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Gap" sheetId="14" state="visible" r:id="rId16"/>
    <sheet name="FundRaw" sheetId="15" state="visible" r:id="rId17"/>
    <sheet name="Facility" sheetId="16" state="visible" r:id="rId18"/>
    <sheet name="SegIn" sheetId="17" state="visible" r:id="rId19"/>
    <sheet name="Spend" sheetId="18" state="visible" r:id="rId20"/>
    <sheet name="Interface" sheetId="19" state="visible" r:id="rId21"/>
    <sheet name="Checks" sheetId="20" state="visible" r:id="rId22"/>
    <sheet name="Decisions" sheetId="21" state="visible" r:id="rId23"/>
    <sheet name="DB_Evidence" sheetId="22" state="visible" r:id="rId24"/>
    <sheet name="Sources" sheetId="23" state="visible" r:id="rId25"/>
    <sheet name="Requests" sheetId="24" state="visible" r:id="rId26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cash_amzn" vbProcedure="false">In!$I$186</definedName>
    <definedName function="false" hidden="false" name="gcash_ant" vbProcedure="false">In!$I$234</definedName>
    <definedName function="false" hidden="false" name="gcash_crwv" vbProcedure="false">In!$I$204</definedName>
    <definedName function="false" hidden="false" name="gcash_googl" vbProcedure="false">In!$I$180</definedName>
    <definedName function="false" hidden="false" name="gcash_meta" vbProcedure="false">In!$I$192</definedName>
    <definedName function="false" hidden="false" name="gcash_msft" vbProcedure="false">In!$I$174</definedName>
    <definedName function="false" hidden="false" name="gcash_nbis" vbProcedure="false">In!$I$210</definedName>
    <definedName function="false" hidden="false" name="gcash_oai" vbProcedure="false">In!$I$228</definedName>
    <definedName function="false" hidden="false" name="gcash_orcl" vbProcedure="false">In!$I$198</definedName>
    <definedName function="false" hidden="false" name="gcash_wyfi" vbProcedure="false">In!$I$216</definedName>
    <definedName function="false" hidden="false" name="gcash_xai" vbProcedure="false">In!$I$222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Checks!$C$180</definedName>
    <definedName function="false" hidden="false" name="WGOV_Warn" vbProcedure="false">Checks!$C$181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Coverage_Power_2024" vbProcedure="false">Interface!$D$8</definedName>
    <definedName function="false" hidden="false" name="WIF_Coverage_Power_2025" vbProcedure="false">Interface!$E$8</definedName>
    <definedName function="false" hidden="false" name="WIF_Coverage_Power_2026" vbProcedure="false">Interface!$F$8</definedName>
    <definedName function="false" hidden="false" name="WIF_Coverage_Power_2027" vbProcedure="false">Interface!$G$8</definedName>
    <definedName function="false" hidden="false" name="WIF_Coverage_Power_2028" vbProcedure="false">Interface!$H$8</definedName>
    <definedName function="false" hidden="false" name="WIF_Coverage_Power_2029" vbProcedure="false">Interface!$I$8</definedName>
    <definedName function="false" hidden="false" name="WIF_Coverage_Power_2030" vbProcedure="false">Interface!$J$8</definedName>
    <definedName function="false" hidden="false" name="WIF_Coverage_Power_2031" vbProcedure="false">Interface!$K$8</definedName>
    <definedName function="false" hidden="false" name="WIF_Coverage_Power_2032" vbProcedure="false">Interface!$L$8</definedName>
    <definedName function="false" hidden="false" name="WIF_Facility_bldg_2024" vbProcedure="false">Interface!$D$139</definedName>
    <definedName function="false" hidden="false" name="WIF_Facility_bldg_2025" vbProcedure="false">Interface!$E$139</definedName>
    <definedName function="false" hidden="false" name="WIF_Facility_bldg_2026" vbProcedure="false">Interface!$F$139</definedName>
    <definedName function="false" hidden="false" name="WIF_Facility_bldg_2027" vbProcedure="false">Interface!$G$139</definedName>
    <definedName function="false" hidden="false" name="WIF_Facility_bldg_2028" vbProcedure="false">Interface!$H$139</definedName>
    <definedName function="false" hidden="false" name="WIF_Facility_bldg_2029" vbProcedure="false">Interface!$I$139</definedName>
    <definedName function="false" hidden="false" name="WIF_Facility_bldg_2030" vbProcedure="false">Interface!$J$139</definedName>
    <definedName function="false" hidden="false" name="WIF_Facility_bldg_2031" vbProcedure="false">Interface!$K$139</definedName>
    <definedName function="false" hidden="false" name="WIF_Facility_bldg_2032" vbProcedure="false">Interface!$L$139</definedName>
    <definedName function="false" hidden="false" name="WIF_Facility_cool_2024" vbProcedure="false">Interface!$D$138</definedName>
    <definedName function="false" hidden="false" name="WIF_Facility_cool_2025" vbProcedure="false">Interface!$E$138</definedName>
    <definedName function="false" hidden="false" name="WIF_Facility_cool_2026" vbProcedure="false">Interface!$F$138</definedName>
    <definedName function="false" hidden="false" name="WIF_Facility_cool_2027" vbProcedure="false">Interface!$G$138</definedName>
    <definedName function="false" hidden="false" name="WIF_Facility_cool_2028" vbProcedure="false">Interface!$H$138</definedName>
    <definedName function="false" hidden="false" name="WIF_Facility_cool_2029" vbProcedure="false">Interface!$I$138</definedName>
    <definedName function="false" hidden="false" name="WIF_Facility_cool_2030" vbProcedure="false">Interface!$J$138</definedName>
    <definedName function="false" hidden="false" name="WIF_Facility_cool_2031" vbProcedure="false">Interface!$K$138</definedName>
    <definedName function="false" hidden="false" name="WIF_Facility_cool_2032" vbProcedure="false">Interface!$L$138</definedName>
    <definedName function="false" hidden="false" name="WIF_Facility_dist_2024" vbProcedure="false">Interface!$D$135</definedName>
    <definedName function="false" hidden="false" name="WIF_Facility_dist_2025" vbProcedure="false">Interface!$E$135</definedName>
    <definedName function="false" hidden="false" name="WIF_Facility_dist_2026" vbProcedure="false">Interface!$F$135</definedName>
    <definedName function="false" hidden="false" name="WIF_Facility_dist_2027" vbProcedure="false">Interface!$G$135</definedName>
    <definedName function="false" hidden="false" name="WIF_Facility_dist_2028" vbProcedure="false">Interface!$H$135</definedName>
    <definedName function="false" hidden="false" name="WIF_Facility_dist_2029" vbProcedure="false">Interface!$I$135</definedName>
    <definedName function="false" hidden="false" name="WIF_Facility_dist_2030" vbProcedure="false">Interface!$J$135</definedName>
    <definedName function="false" hidden="false" name="WIF_Facility_dist_2031" vbProcedure="false">Interface!$K$135</definedName>
    <definedName function="false" hidden="false" name="WIF_Facility_dist_2032" vbProcedure="false">Interface!$L$135</definedName>
    <definedName function="false" hidden="false" name="WIF_Facility_gen_2024" vbProcedure="false">Interface!$D$136</definedName>
    <definedName function="false" hidden="false" name="WIF_Facility_gen_2025" vbProcedure="false">Interface!$E$136</definedName>
    <definedName function="false" hidden="false" name="WIF_Facility_gen_2026" vbProcedure="false">Interface!$F$136</definedName>
    <definedName function="false" hidden="false" name="WIF_Facility_gen_2027" vbProcedure="false">Interface!$G$136</definedName>
    <definedName function="false" hidden="false" name="WIF_Facility_gen_2028" vbProcedure="false">Interface!$H$136</definedName>
    <definedName function="false" hidden="false" name="WIF_Facility_gen_2029" vbProcedure="false">Interface!$I$136</definedName>
    <definedName function="false" hidden="false" name="WIF_Facility_gen_2030" vbProcedure="false">Interface!$J$136</definedName>
    <definedName function="false" hidden="false" name="WIF_Facility_gen_2031" vbProcedure="false">Interface!$K$136</definedName>
    <definedName function="false" hidden="false" name="WIF_Facility_gen_2032" vbProcedure="false">Interface!$L$136</definedName>
    <definedName function="false" hidden="false" name="WIF_Facility_labor_2024" vbProcedure="false">Interface!$D$140</definedName>
    <definedName function="false" hidden="false" name="WIF_Facility_labor_2025" vbProcedure="false">Interface!$E$140</definedName>
    <definedName function="false" hidden="false" name="WIF_Facility_labor_2026" vbProcedure="false">Interface!$F$140</definedName>
    <definedName function="false" hidden="false" name="WIF_Facility_labor_2027" vbProcedure="false">Interface!$G$140</definedName>
    <definedName function="false" hidden="false" name="WIF_Facility_labor_2028" vbProcedure="false">Interface!$H$140</definedName>
    <definedName function="false" hidden="false" name="WIF_Facility_labor_2029" vbProcedure="false">Interface!$I$140</definedName>
    <definedName function="false" hidden="false" name="WIF_Facility_labor_2030" vbProcedure="false">Interface!$J$140</definedName>
    <definedName function="false" hidden="false" name="WIF_Facility_labor_2031" vbProcedure="false">Interface!$K$140</definedName>
    <definedName function="false" hidden="false" name="WIF_Facility_labor_2032" vbProcedure="false">Interface!$L$140</definedName>
    <definedName function="false" hidden="false" name="WIF_Facility_land_2024" vbProcedure="false">Interface!$D$143</definedName>
    <definedName function="false" hidden="false" name="WIF_Facility_land_2025" vbProcedure="false">Interface!$E$143</definedName>
    <definedName function="false" hidden="false" name="WIF_Facility_land_2026" vbProcedure="false">Interface!$F$143</definedName>
    <definedName function="false" hidden="false" name="WIF_Facility_land_2027" vbProcedure="false">Interface!$G$143</definedName>
    <definedName function="false" hidden="false" name="WIF_Facility_land_2028" vbProcedure="false">Interface!$H$143</definedName>
    <definedName function="false" hidden="false" name="WIF_Facility_land_2029" vbProcedure="false">Interface!$I$143</definedName>
    <definedName function="false" hidden="false" name="WIF_Facility_land_2030" vbProcedure="false">Interface!$J$143</definedName>
    <definedName function="false" hidden="false" name="WIF_Facility_land_2031" vbProcedure="false">Interface!$K$143</definedName>
    <definedName function="false" hidden="false" name="WIF_Facility_land_2032" vbProcedure="false">Interface!$L$143</definedName>
    <definedName function="false" hidden="false" name="WIF_Facility_mkt_q_gen_2024" vbProcedure="false">Interface!$D$146</definedName>
    <definedName function="false" hidden="false" name="WIF_Facility_mkt_q_gen_2025" vbProcedure="false">Interface!$E$146</definedName>
    <definedName function="false" hidden="false" name="WIF_Facility_mkt_q_gen_2026" vbProcedure="false">Interface!$F$146</definedName>
    <definedName function="false" hidden="false" name="WIF_Facility_mkt_q_gen_2027" vbProcedure="false">Interface!$G$146</definedName>
    <definedName function="false" hidden="false" name="WIF_Facility_mkt_q_gen_2028" vbProcedure="false">Interface!$H$146</definedName>
    <definedName function="false" hidden="false" name="WIF_Facility_mkt_q_gen_2029" vbProcedure="false">Interface!$I$146</definedName>
    <definedName function="false" hidden="false" name="WIF_Facility_mkt_q_gen_2030" vbProcedure="false">Interface!$J$146</definedName>
    <definedName function="false" hidden="false" name="WIF_Facility_mkt_q_gen_2031" vbProcedure="false">Interface!$K$146</definedName>
    <definedName function="false" hidden="false" name="WIF_Facility_mkt_q_gen_2032" vbProcedure="false">Interface!$L$146</definedName>
    <definedName function="false" hidden="false" name="WIF_Facility_mkt_q_self_2024" vbProcedure="false">Interface!$D$147</definedName>
    <definedName function="false" hidden="false" name="WIF_Facility_mkt_q_self_2025" vbProcedure="false">Interface!$E$147</definedName>
    <definedName function="false" hidden="false" name="WIF_Facility_mkt_q_self_2026" vbProcedure="false">Interface!$F$147</definedName>
    <definedName function="false" hidden="false" name="WIF_Facility_mkt_q_self_2027" vbProcedure="false">Interface!$G$147</definedName>
    <definedName function="false" hidden="false" name="WIF_Facility_mkt_q_self_2028" vbProcedure="false">Interface!$H$147</definedName>
    <definedName function="false" hidden="false" name="WIF_Facility_mkt_q_self_2029" vbProcedure="false">Interface!$I$147</definedName>
    <definedName function="false" hidden="false" name="WIF_Facility_mkt_q_self_2030" vbProcedure="false">Interface!$J$147</definedName>
    <definedName function="false" hidden="false" name="WIF_Facility_mkt_q_self_2031" vbProcedure="false">Interface!$K$147</definedName>
    <definedName function="false" hidden="false" name="WIF_Facility_mkt_q_self_2032" vbProcedure="false">Interface!$L$147</definedName>
    <definedName function="false" hidden="false" name="WIF_Facility_net_2024" vbProcedure="false">Interface!$D$142</definedName>
    <definedName function="false" hidden="false" name="WIF_Facility_net_2025" vbProcedure="false">Interface!$E$142</definedName>
    <definedName function="false" hidden="false" name="WIF_Facility_net_2026" vbProcedure="false">Interface!$F$142</definedName>
    <definedName function="false" hidden="false" name="WIF_Facility_net_2027" vbProcedure="false">Interface!$G$142</definedName>
    <definedName function="false" hidden="false" name="WIF_Facility_net_2028" vbProcedure="false">Interface!$H$142</definedName>
    <definedName function="false" hidden="false" name="WIF_Facility_net_2029" vbProcedure="false">Interface!$I$142</definedName>
    <definedName function="false" hidden="false" name="WIF_Facility_net_2030" vbProcedure="false">Interface!$J$142</definedName>
    <definedName function="false" hidden="false" name="WIF_Facility_net_2031" vbProcedure="false">Interface!$K$142</definedName>
    <definedName function="false" hidden="false" name="WIF_Facility_net_2032" vbProcedure="false">Interface!$L$142</definedName>
    <definedName function="false" hidden="false" name="WIF_Facility_prof_2024" vbProcedure="false">Interface!$D$141</definedName>
    <definedName function="false" hidden="false" name="WIF_Facility_prof_2025" vbProcedure="false">Interface!$E$141</definedName>
    <definedName function="false" hidden="false" name="WIF_Facility_prof_2026" vbProcedure="false">Interface!$F$141</definedName>
    <definedName function="false" hidden="false" name="WIF_Facility_prof_2027" vbProcedure="false">Interface!$G$141</definedName>
    <definedName function="false" hidden="false" name="WIF_Facility_prof_2028" vbProcedure="false">Interface!$H$141</definedName>
    <definedName function="false" hidden="false" name="WIF_Facility_prof_2029" vbProcedure="false">Interface!$I$141</definedName>
    <definedName function="false" hidden="false" name="WIF_Facility_prof_2030" vbProcedure="false">Interface!$J$141</definedName>
    <definedName function="false" hidden="false" name="WIF_Facility_prof_2031" vbProcedure="false">Interface!$K$141</definedName>
    <definedName function="false" hidden="false" name="WIF_Facility_prof_2032" vbProcedure="false">Interface!$L$141</definedName>
    <definedName function="false" hidden="false" name="WIF_Facility_resid_2024" vbProcedure="false">Interface!$D$144</definedName>
    <definedName function="false" hidden="false" name="WIF_Facility_resid_2025" vbProcedure="false">Interface!$E$144</definedName>
    <definedName function="false" hidden="false" name="WIF_Facility_resid_2026" vbProcedure="false">Interface!$F$144</definedName>
    <definedName function="false" hidden="false" name="WIF_Facility_resid_2027" vbProcedure="false">Interface!$G$144</definedName>
    <definedName function="false" hidden="false" name="WIF_Facility_resid_2028" vbProcedure="false">Interface!$H$144</definedName>
    <definedName function="false" hidden="false" name="WIF_Facility_resid_2029" vbProcedure="false">Interface!$I$144</definedName>
    <definedName function="false" hidden="false" name="WIF_Facility_resid_2030" vbProcedure="false">Interface!$J$144</definedName>
    <definedName function="false" hidden="false" name="WIF_Facility_resid_2031" vbProcedure="false">Interface!$K$144</definedName>
    <definedName function="false" hidden="false" name="WIF_Facility_resid_2032" vbProcedure="false">Interface!$L$144</definedName>
    <definedName function="false" hidden="false" name="WIF_Facility_self_unit_2024" vbProcedure="false">Interface!$D$145</definedName>
    <definedName function="false" hidden="false" name="WIF_Facility_self_unit_2025" vbProcedure="false">Interface!$E$145</definedName>
    <definedName function="false" hidden="false" name="WIF_Facility_self_unit_2026" vbProcedure="false">Interface!$F$145</definedName>
    <definedName function="false" hidden="false" name="WIF_Facility_self_unit_2027" vbProcedure="false">Interface!$G$145</definedName>
    <definedName function="false" hidden="false" name="WIF_Facility_self_unit_2028" vbProcedure="false">Interface!$H$145</definedName>
    <definedName function="false" hidden="false" name="WIF_Facility_self_unit_2029" vbProcedure="false">Interface!$I$145</definedName>
    <definedName function="false" hidden="false" name="WIF_Facility_self_unit_2030" vbProcedure="false">Interface!$J$145</definedName>
    <definedName function="false" hidden="false" name="WIF_Facility_self_unit_2031" vbProcedure="false">Interface!$K$145</definedName>
    <definedName function="false" hidden="false" name="WIF_Facility_self_unit_2032" vbProcedure="false">Interface!$L$145</definedName>
    <definedName function="false" hidden="false" name="WIF_Facility_ups_2024" vbProcedure="false">Interface!$D$137</definedName>
    <definedName function="false" hidden="false" name="WIF_Facility_ups_2025" vbProcedure="false">Interface!$E$137</definedName>
    <definedName function="false" hidden="false" name="WIF_Facility_ups_2026" vbProcedure="false">Interface!$F$137</definedName>
    <definedName function="false" hidden="false" name="WIF_Facility_ups_2027" vbProcedure="false">Interface!$G$137</definedName>
    <definedName function="false" hidden="false" name="WIF_Facility_ups_2028" vbProcedure="false">Interface!$H$137</definedName>
    <definedName function="false" hidden="false" name="WIF_Facility_ups_2029" vbProcedure="false">Interface!$I$137</definedName>
    <definedName function="false" hidden="false" name="WIF_Facility_ups_2030" vbProcedure="false">Interface!$J$137</definedName>
    <definedName function="false" hidden="false" name="WIF_Facility_ups_2031" vbProcedure="false">Interface!$K$137</definedName>
    <definedName function="false" hidden="false" name="WIF_Facility_ups_2032" vbProcedure="false">Interface!$L$137</definedName>
    <definedName function="false" hidden="false" name="WIF_Funding_amzn_2024_capex" vbProcedure="false">Interface!$D$252</definedName>
    <definedName function="false" hidden="false" name="WIF_Funding_amzn_2024_debt_pct" vbProcedure="false">Interface!$D$256</definedName>
    <definedName function="false" hidden="false" name="WIF_Funding_amzn_2024_debt_raised" vbProcedure="false">Interface!$D$267</definedName>
    <definedName function="false" hidden="false" name="WIF_Funding_amzn_2024_equity_pct" vbProcedure="false">Interface!$D$255</definedName>
    <definedName function="false" hidden="false" name="WIF_Funding_amzn_2024_equity_raised" vbProcedure="false">Interface!$D$268</definedName>
    <definedName function="false" hidden="false" name="WIF_Funding_amzn_2024_fcf" vbProcedure="false">Interface!$D$265</definedName>
    <definedName function="false" hidden="false" name="WIF_Funding_amzn_2024_gross_debt_pct" vbProcedure="false">Interface!$D$261</definedName>
    <definedName function="false" hidden="false" name="WIF_Funding_amzn_2024_gross_equity_pct" vbProcedure="false">Interface!$D$262</definedName>
    <definedName function="false" hidden="false" name="WIF_Funding_amzn_2024_gross_ext" vbProcedure="false">Interface!$D$258</definedName>
    <definedName function="false" hidden="false" name="WIF_Funding_amzn_2024_gross_ext_pct" vbProcedure="false">Interface!$D$259</definedName>
    <definedName function="false" hidden="false" name="WIF_Funding_amzn_2024_gross_lease_jv_pct" vbProcedure="false">Interface!$D$263</definedName>
    <definedName function="false" hidden="false" name="WIF_Funding_amzn_2024_gross_ocf_pct" vbProcedure="false">Interface!$D$260</definedName>
    <definedName function="false" hidden="false" name="WIF_Funding_amzn_2024_int_pct" vbProcedure="false">Interface!$D$253</definedName>
    <definedName function="false" hidden="false" name="WIF_Funding_amzn_2024_lease_pct" vbProcedure="false">Interface!$D$254</definedName>
    <definedName function="false" hidden="false" name="WIF_Funding_amzn_2024_lnc" vbProcedure="false">Interface!$D$266</definedName>
    <definedName function="false" hidden="false" name="WIF_Funding_amzn_2024_ocf" vbProcedure="false">Interface!$D$264</definedName>
    <definedName function="false" hidden="false" name="WIF_Funding_amzn_2024_other_pct" vbProcedure="false">Interface!$D$257</definedName>
    <definedName function="false" hidden="false" name="WIF_Funding_amzn_2025_capex" vbProcedure="false">Interface!$D$269</definedName>
    <definedName function="false" hidden="false" name="WIF_Funding_amzn_2025_debt_pct" vbProcedure="false">Interface!$D$273</definedName>
    <definedName function="false" hidden="false" name="WIF_Funding_amzn_2025_debt_raised" vbProcedure="false">Interface!$D$284</definedName>
    <definedName function="false" hidden="false" name="WIF_Funding_amzn_2025_equity_pct" vbProcedure="false">Interface!$D$272</definedName>
    <definedName function="false" hidden="false" name="WIF_Funding_amzn_2025_equity_raised" vbProcedure="false">Interface!$D$285</definedName>
    <definedName function="false" hidden="false" name="WIF_Funding_amzn_2025_fcf" vbProcedure="false">Interface!$D$282</definedName>
    <definedName function="false" hidden="false" name="WIF_Funding_amzn_2025_gross_debt_pct" vbProcedure="false">Interface!$D$278</definedName>
    <definedName function="false" hidden="false" name="WIF_Funding_amzn_2025_gross_equity_pct" vbProcedure="false">Interface!$D$279</definedName>
    <definedName function="false" hidden="false" name="WIF_Funding_amzn_2025_gross_ext" vbProcedure="false">Interface!$D$275</definedName>
    <definedName function="false" hidden="false" name="WIF_Funding_amzn_2025_gross_ext_pct" vbProcedure="false">Interface!$D$276</definedName>
    <definedName function="false" hidden="false" name="WIF_Funding_amzn_2025_gross_lease_jv_pct" vbProcedure="false">Interface!$D$280</definedName>
    <definedName function="false" hidden="false" name="WIF_Funding_amzn_2025_gross_ocf_pct" vbProcedure="false">Interface!$D$277</definedName>
    <definedName function="false" hidden="false" name="WIF_Funding_amzn_2025_int_pct" vbProcedure="false">Interface!$D$270</definedName>
    <definedName function="false" hidden="false" name="WIF_Funding_amzn_2025_lease_pct" vbProcedure="false">Interface!$D$271</definedName>
    <definedName function="false" hidden="false" name="WIF_Funding_amzn_2025_lnc" vbProcedure="false">Interface!$D$283</definedName>
    <definedName function="false" hidden="false" name="WIF_Funding_amzn_2025_ocf" vbProcedure="false">Interface!$D$281</definedName>
    <definedName function="false" hidden="false" name="WIF_Funding_amzn_2025_other_pct" vbProcedure="false">Interface!$D$274</definedName>
    <definedName function="false" hidden="false" name="WIF_Funding_amzn_2026_capex" vbProcedure="false">Interface!$D$286</definedName>
    <definedName function="false" hidden="false" name="WIF_Funding_amzn_2026_debt_pct" vbProcedure="false">Interface!$D$290</definedName>
    <definedName function="false" hidden="false" name="WIF_Funding_amzn_2026_debt_raised" vbProcedure="false">Interface!$D$301</definedName>
    <definedName function="false" hidden="false" name="WIF_Funding_amzn_2026_equity_pct" vbProcedure="false">Interface!$D$289</definedName>
    <definedName function="false" hidden="false" name="WIF_Funding_amzn_2026_equity_raised" vbProcedure="false">Interface!$D$302</definedName>
    <definedName function="false" hidden="false" name="WIF_Funding_amzn_2026_fcf" vbProcedure="false">Interface!$D$299</definedName>
    <definedName function="false" hidden="false" name="WIF_Funding_amzn_2026_gross_debt_pct" vbProcedure="false">Interface!$D$295</definedName>
    <definedName function="false" hidden="false" name="WIF_Funding_amzn_2026_gross_equity_pct" vbProcedure="false">Interface!$D$296</definedName>
    <definedName function="false" hidden="false" name="WIF_Funding_amzn_2026_gross_ext" vbProcedure="false">Interface!$D$292</definedName>
    <definedName function="false" hidden="false" name="WIF_Funding_amzn_2026_gross_ext_pct" vbProcedure="false">Interface!$D$293</definedName>
    <definedName function="false" hidden="false" name="WIF_Funding_amzn_2026_gross_lease_jv_pct" vbProcedure="false">Interface!$D$297</definedName>
    <definedName function="false" hidden="false" name="WIF_Funding_amzn_2026_gross_ocf_pct" vbProcedure="false">Interface!$D$294</definedName>
    <definedName function="false" hidden="false" name="WIF_Funding_amzn_2026_int_pct" vbProcedure="false">Interface!$D$287</definedName>
    <definedName function="false" hidden="false" name="WIF_Funding_amzn_2026_lease_pct" vbProcedure="false">Interface!$D$288</definedName>
    <definedName function="false" hidden="false" name="WIF_Funding_amzn_2026_lnc" vbProcedure="false">Interface!$D$300</definedName>
    <definedName function="false" hidden="false" name="WIF_Funding_amzn_2026_ocf" vbProcedure="false">Interface!$D$298</definedName>
    <definedName function="false" hidden="false" name="WIF_Funding_amzn_2026_other_pct" vbProcedure="false">Interface!$D$291</definedName>
    <definedName function="false" hidden="false" name="WIF_Funding_ant_2025_capex" vbProcedure="false">Interface!$D$558</definedName>
    <definedName function="false" hidden="false" name="WIF_Funding_ant_2025_debt_pct" vbProcedure="false">Interface!$D$562</definedName>
    <definedName function="false" hidden="false" name="WIF_Funding_ant_2025_debt_raised" vbProcedure="false">Interface!$D$573</definedName>
    <definedName function="false" hidden="false" name="WIF_Funding_ant_2025_equity_pct" vbProcedure="false">Interface!$D$561</definedName>
    <definedName function="false" hidden="false" name="WIF_Funding_ant_2025_equity_raised" vbProcedure="false">Interface!$D$574</definedName>
    <definedName function="false" hidden="false" name="WIF_Funding_ant_2025_fcf" vbProcedure="false">Interface!$D$571</definedName>
    <definedName function="false" hidden="false" name="WIF_Funding_ant_2025_gross_debt_pct" vbProcedure="false">Interface!$D$567</definedName>
    <definedName function="false" hidden="false" name="WIF_Funding_ant_2025_gross_equity_pct" vbProcedure="false">Interface!$D$568</definedName>
    <definedName function="false" hidden="false" name="WIF_Funding_ant_2025_gross_ext" vbProcedure="false">Interface!$D$564</definedName>
    <definedName function="false" hidden="false" name="WIF_Funding_ant_2025_gross_ext_pct" vbProcedure="false">Interface!$D$565</definedName>
    <definedName function="false" hidden="false" name="WIF_Funding_ant_2025_gross_lease_jv_pct" vbProcedure="false">Interface!$D$569</definedName>
    <definedName function="false" hidden="false" name="WIF_Funding_ant_2025_gross_ocf_pct" vbProcedure="false">Interface!$D$566</definedName>
    <definedName function="false" hidden="false" name="WIF_Funding_ant_2025_int_pct" vbProcedure="false">Interface!$D$559</definedName>
    <definedName function="false" hidden="false" name="WIF_Funding_ant_2025_lease_pct" vbProcedure="false">Interface!$D$560</definedName>
    <definedName function="false" hidden="false" name="WIF_Funding_ant_2025_lnc" vbProcedure="false">Interface!$D$572</definedName>
    <definedName function="false" hidden="false" name="WIF_Funding_ant_2025_ocf" vbProcedure="false">Interface!$D$570</definedName>
    <definedName function="false" hidden="false" name="WIF_Funding_ant_2025_other_pct" vbProcedure="false">Interface!$D$563</definedName>
    <definedName function="false" hidden="false" name="WIF_Funding_ant_2026_capex" vbProcedure="false">Interface!$D$575</definedName>
    <definedName function="false" hidden="false" name="WIF_Funding_ant_2026_debt_pct" vbProcedure="false">Interface!$D$579</definedName>
    <definedName function="false" hidden="false" name="WIF_Funding_ant_2026_debt_raised" vbProcedure="false">Interface!$D$590</definedName>
    <definedName function="false" hidden="false" name="WIF_Funding_ant_2026_equity_pct" vbProcedure="false">Interface!$D$578</definedName>
    <definedName function="false" hidden="false" name="WIF_Funding_ant_2026_equity_raised" vbProcedure="false">Interface!$D$591</definedName>
    <definedName function="false" hidden="false" name="WIF_Funding_ant_2026_fcf" vbProcedure="false">Interface!$D$588</definedName>
    <definedName function="false" hidden="false" name="WIF_Funding_ant_2026_gross_debt_pct" vbProcedure="false">Interface!$D$584</definedName>
    <definedName function="false" hidden="false" name="WIF_Funding_ant_2026_gross_equity_pct" vbProcedure="false">Interface!$D$585</definedName>
    <definedName function="false" hidden="false" name="WIF_Funding_ant_2026_gross_ext" vbProcedure="false">Interface!$D$581</definedName>
    <definedName function="false" hidden="false" name="WIF_Funding_ant_2026_gross_ext_pct" vbProcedure="false">Interface!$D$582</definedName>
    <definedName function="false" hidden="false" name="WIF_Funding_ant_2026_gross_lease_jv_pct" vbProcedure="false">Interface!$D$586</definedName>
    <definedName function="false" hidden="false" name="WIF_Funding_ant_2026_gross_ocf_pct" vbProcedure="false">Interface!$D$583</definedName>
    <definedName function="false" hidden="false" name="WIF_Funding_ant_2026_int_pct" vbProcedure="false">Interface!$D$576</definedName>
    <definedName function="false" hidden="false" name="WIF_Funding_ant_2026_lease_pct" vbProcedure="false">Interface!$D$577</definedName>
    <definedName function="false" hidden="false" name="WIF_Funding_ant_2026_lnc" vbProcedure="false">Interface!$D$589</definedName>
    <definedName function="false" hidden="false" name="WIF_Funding_ant_2026_ocf" vbProcedure="false">Interface!$D$587</definedName>
    <definedName function="false" hidden="false" name="WIF_Funding_ant_2026_other_pct" vbProcedure="false">Interface!$D$580</definedName>
    <definedName function="false" hidden="false" name="WIF_Funding_crwv_2024_capex" vbProcedure="false">Interface!$D$405</definedName>
    <definedName function="false" hidden="false" name="WIF_Funding_crwv_2024_debt_pct" vbProcedure="false">Interface!$D$409</definedName>
    <definedName function="false" hidden="false" name="WIF_Funding_crwv_2024_debt_raised" vbProcedure="false">Interface!$D$420</definedName>
    <definedName function="false" hidden="false" name="WIF_Funding_crwv_2024_equity_pct" vbProcedure="false">Interface!$D$408</definedName>
    <definedName function="false" hidden="false" name="WIF_Funding_crwv_2024_equity_raised" vbProcedure="false">Interface!$D$421</definedName>
    <definedName function="false" hidden="false" name="WIF_Funding_crwv_2024_fcf" vbProcedure="false">Interface!$D$418</definedName>
    <definedName function="false" hidden="false" name="WIF_Funding_crwv_2024_gross_debt_pct" vbProcedure="false">Interface!$D$414</definedName>
    <definedName function="false" hidden="false" name="WIF_Funding_crwv_2024_gross_equity_pct" vbProcedure="false">Interface!$D$415</definedName>
    <definedName function="false" hidden="false" name="WIF_Funding_crwv_2024_gross_ext" vbProcedure="false">Interface!$D$411</definedName>
    <definedName function="false" hidden="false" name="WIF_Funding_crwv_2024_gross_ext_pct" vbProcedure="false">Interface!$D$412</definedName>
    <definedName function="false" hidden="false" name="WIF_Funding_crwv_2024_gross_lease_jv_pct" vbProcedure="false">Interface!$D$416</definedName>
    <definedName function="false" hidden="false" name="WIF_Funding_crwv_2024_gross_ocf_pct" vbProcedure="false">Interface!$D$413</definedName>
    <definedName function="false" hidden="false" name="WIF_Funding_crwv_2024_int_pct" vbProcedure="false">Interface!$D$406</definedName>
    <definedName function="false" hidden="false" name="WIF_Funding_crwv_2024_lease_pct" vbProcedure="false">Interface!$D$407</definedName>
    <definedName function="false" hidden="false" name="WIF_Funding_crwv_2024_lnc" vbProcedure="false">Interface!$D$419</definedName>
    <definedName function="false" hidden="false" name="WIF_Funding_crwv_2024_ocf" vbProcedure="false">Interface!$D$417</definedName>
    <definedName function="false" hidden="false" name="WIF_Funding_crwv_2024_other_pct" vbProcedure="false">Interface!$D$410</definedName>
    <definedName function="false" hidden="false" name="WIF_Funding_crwv_2025_capex" vbProcedure="false">Interface!$D$422</definedName>
    <definedName function="false" hidden="false" name="WIF_Funding_crwv_2025_debt_pct" vbProcedure="false">Interface!$D$426</definedName>
    <definedName function="false" hidden="false" name="WIF_Funding_crwv_2025_debt_raised" vbProcedure="false">Interface!$D$437</definedName>
    <definedName function="false" hidden="false" name="WIF_Funding_crwv_2025_equity_pct" vbProcedure="false">Interface!$D$425</definedName>
    <definedName function="false" hidden="false" name="WIF_Funding_crwv_2025_equity_raised" vbProcedure="false">Interface!$D$438</definedName>
    <definedName function="false" hidden="false" name="WIF_Funding_crwv_2025_fcf" vbProcedure="false">Interface!$D$435</definedName>
    <definedName function="false" hidden="false" name="WIF_Funding_crwv_2025_gross_debt_pct" vbProcedure="false">Interface!$D$431</definedName>
    <definedName function="false" hidden="false" name="WIF_Funding_crwv_2025_gross_equity_pct" vbProcedure="false">Interface!$D$432</definedName>
    <definedName function="false" hidden="false" name="WIF_Funding_crwv_2025_gross_ext" vbProcedure="false">Interface!$D$428</definedName>
    <definedName function="false" hidden="false" name="WIF_Funding_crwv_2025_gross_ext_pct" vbProcedure="false">Interface!$D$429</definedName>
    <definedName function="false" hidden="false" name="WIF_Funding_crwv_2025_gross_lease_jv_pct" vbProcedure="false">Interface!$D$433</definedName>
    <definedName function="false" hidden="false" name="WIF_Funding_crwv_2025_gross_ocf_pct" vbProcedure="false">Interface!$D$430</definedName>
    <definedName function="false" hidden="false" name="WIF_Funding_crwv_2025_int_pct" vbProcedure="false">Interface!$D$423</definedName>
    <definedName function="false" hidden="false" name="WIF_Funding_crwv_2025_lease_pct" vbProcedure="false">Interface!$D$424</definedName>
    <definedName function="false" hidden="false" name="WIF_Funding_crwv_2025_lnc" vbProcedure="false">Interface!$D$436</definedName>
    <definedName function="false" hidden="false" name="WIF_Funding_crwv_2025_ocf" vbProcedure="false">Interface!$D$434</definedName>
    <definedName function="false" hidden="false" name="WIF_Funding_crwv_2025_other_pct" vbProcedure="false">Interface!$D$427</definedName>
    <definedName function="false" hidden="false" name="WIF_Funding_crwv_2026_capex" vbProcedure="false">Interface!$D$439</definedName>
    <definedName function="false" hidden="false" name="WIF_Funding_crwv_2026_debt_pct" vbProcedure="false">Interface!$D$443</definedName>
    <definedName function="false" hidden="false" name="WIF_Funding_crwv_2026_debt_raised" vbProcedure="false">Interface!$D$454</definedName>
    <definedName function="false" hidden="false" name="WIF_Funding_crwv_2026_equity_pct" vbProcedure="false">Interface!$D$442</definedName>
    <definedName function="false" hidden="false" name="WIF_Funding_crwv_2026_equity_raised" vbProcedure="false">Interface!$D$455</definedName>
    <definedName function="false" hidden="false" name="WIF_Funding_crwv_2026_fcf" vbProcedure="false">Interface!$D$452</definedName>
    <definedName function="false" hidden="false" name="WIF_Funding_crwv_2026_gross_debt_pct" vbProcedure="false">Interface!$D$448</definedName>
    <definedName function="false" hidden="false" name="WIF_Funding_crwv_2026_gross_equity_pct" vbProcedure="false">Interface!$D$449</definedName>
    <definedName function="false" hidden="false" name="WIF_Funding_crwv_2026_gross_ext" vbProcedure="false">Interface!$D$445</definedName>
    <definedName function="false" hidden="false" name="WIF_Funding_crwv_2026_gross_ext_pct" vbProcedure="false">Interface!$D$446</definedName>
    <definedName function="false" hidden="false" name="WIF_Funding_crwv_2026_gross_lease_jv_pct" vbProcedure="false">Interface!$D$450</definedName>
    <definedName function="false" hidden="false" name="WIF_Funding_crwv_2026_gross_ocf_pct" vbProcedure="false">Interface!$D$447</definedName>
    <definedName function="false" hidden="false" name="WIF_Funding_crwv_2026_int_pct" vbProcedure="false">Interface!$D$440</definedName>
    <definedName function="false" hidden="false" name="WIF_Funding_crwv_2026_lease_pct" vbProcedure="false">Interface!$D$441</definedName>
    <definedName function="false" hidden="false" name="WIF_Funding_crwv_2026_lnc" vbProcedure="false">Interface!$D$453</definedName>
    <definedName function="false" hidden="false" name="WIF_Funding_crwv_2026_ocf" vbProcedure="false">Interface!$D$451</definedName>
    <definedName function="false" hidden="false" name="WIF_Funding_crwv_2026_other_pct" vbProcedure="false">Interface!$D$444</definedName>
    <definedName function="false" hidden="false" name="WIF_Funding_googl_2024_capex" vbProcedure="false">Interface!$D$201</definedName>
    <definedName function="false" hidden="false" name="WIF_Funding_googl_2024_debt_pct" vbProcedure="false">Interface!$D$205</definedName>
    <definedName function="false" hidden="false" name="WIF_Funding_googl_2024_debt_raised" vbProcedure="false">Interface!$D$216</definedName>
    <definedName function="false" hidden="false" name="WIF_Funding_googl_2024_equity_pct" vbProcedure="false">Interface!$D$204</definedName>
    <definedName function="false" hidden="false" name="WIF_Funding_googl_2024_equity_raised" vbProcedure="false">Interface!$D$217</definedName>
    <definedName function="false" hidden="false" name="WIF_Funding_googl_2024_fcf" vbProcedure="false">Interface!$D$214</definedName>
    <definedName function="false" hidden="false" name="WIF_Funding_googl_2024_gross_debt_pct" vbProcedure="false">Interface!$D$210</definedName>
    <definedName function="false" hidden="false" name="WIF_Funding_googl_2024_gross_equity_pct" vbProcedure="false">Interface!$D$211</definedName>
    <definedName function="false" hidden="false" name="WIF_Funding_googl_2024_gross_ext" vbProcedure="false">Interface!$D$207</definedName>
    <definedName function="false" hidden="false" name="WIF_Funding_googl_2024_gross_ext_pct" vbProcedure="false">Interface!$D$208</definedName>
    <definedName function="false" hidden="false" name="WIF_Funding_googl_2024_gross_lease_jv_pct" vbProcedure="false">Interface!$D$212</definedName>
    <definedName function="false" hidden="false" name="WIF_Funding_googl_2024_gross_ocf_pct" vbProcedure="false">Interface!$D$209</definedName>
    <definedName function="false" hidden="false" name="WIF_Funding_googl_2024_int_pct" vbProcedure="false">Interface!$D$202</definedName>
    <definedName function="false" hidden="false" name="WIF_Funding_googl_2024_lease_pct" vbProcedure="false">Interface!$D$203</definedName>
    <definedName function="false" hidden="false" name="WIF_Funding_googl_2024_lnc" vbProcedure="false">Interface!$D$215</definedName>
    <definedName function="false" hidden="false" name="WIF_Funding_googl_2024_ocf" vbProcedure="false">Interface!$D$213</definedName>
    <definedName function="false" hidden="false" name="WIF_Funding_googl_2024_other_pct" vbProcedure="false">Interface!$D$206</definedName>
    <definedName function="false" hidden="false" name="WIF_Funding_googl_2025_capex" vbProcedure="false">Interface!$D$218</definedName>
    <definedName function="false" hidden="false" name="WIF_Funding_googl_2025_debt_pct" vbProcedure="false">Interface!$D$222</definedName>
    <definedName function="false" hidden="false" name="WIF_Funding_googl_2025_debt_raised" vbProcedure="false">Interface!$D$233</definedName>
    <definedName function="false" hidden="false" name="WIF_Funding_googl_2025_equity_pct" vbProcedure="false">Interface!$D$221</definedName>
    <definedName function="false" hidden="false" name="WIF_Funding_googl_2025_equity_raised" vbProcedure="false">Interface!$D$234</definedName>
    <definedName function="false" hidden="false" name="WIF_Funding_googl_2025_fcf" vbProcedure="false">Interface!$D$231</definedName>
    <definedName function="false" hidden="false" name="WIF_Funding_googl_2025_gross_debt_pct" vbProcedure="false">Interface!$D$227</definedName>
    <definedName function="false" hidden="false" name="WIF_Funding_googl_2025_gross_equity_pct" vbProcedure="false">Interface!$D$228</definedName>
    <definedName function="false" hidden="false" name="WIF_Funding_googl_2025_gross_ext" vbProcedure="false">Interface!$D$224</definedName>
    <definedName function="false" hidden="false" name="WIF_Funding_googl_2025_gross_ext_pct" vbProcedure="false">Interface!$D$225</definedName>
    <definedName function="false" hidden="false" name="WIF_Funding_googl_2025_gross_lease_jv_pct" vbProcedure="false">Interface!$D$229</definedName>
    <definedName function="false" hidden="false" name="WIF_Funding_googl_2025_gross_ocf_pct" vbProcedure="false">Interface!$D$226</definedName>
    <definedName function="false" hidden="false" name="WIF_Funding_googl_2025_int_pct" vbProcedure="false">Interface!$D$219</definedName>
    <definedName function="false" hidden="false" name="WIF_Funding_googl_2025_lease_pct" vbProcedure="false">Interface!$D$220</definedName>
    <definedName function="false" hidden="false" name="WIF_Funding_googl_2025_lnc" vbProcedure="false">Interface!$D$232</definedName>
    <definedName function="false" hidden="false" name="WIF_Funding_googl_2025_ocf" vbProcedure="false">Interface!$D$230</definedName>
    <definedName function="false" hidden="false" name="WIF_Funding_googl_2025_other_pct" vbProcedure="false">Interface!$D$223</definedName>
    <definedName function="false" hidden="false" name="WIF_Funding_googl_2026_capex" vbProcedure="false">Interface!$D$235</definedName>
    <definedName function="false" hidden="false" name="WIF_Funding_googl_2026_debt_pct" vbProcedure="false">Interface!$D$239</definedName>
    <definedName function="false" hidden="false" name="WIF_Funding_googl_2026_debt_raised" vbProcedure="false">Interface!$D$250</definedName>
    <definedName function="false" hidden="false" name="WIF_Funding_googl_2026_equity_pct" vbProcedure="false">Interface!$D$238</definedName>
    <definedName function="false" hidden="false" name="WIF_Funding_googl_2026_equity_raised" vbProcedure="false">Interface!$D$251</definedName>
    <definedName function="false" hidden="false" name="WIF_Funding_googl_2026_fcf" vbProcedure="false">Interface!$D$248</definedName>
    <definedName function="false" hidden="false" name="WIF_Funding_googl_2026_gross_debt_pct" vbProcedure="false">Interface!$D$244</definedName>
    <definedName function="false" hidden="false" name="WIF_Funding_googl_2026_gross_equity_pct" vbProcedure="false">Interface!$D$245</definedName>
    <definedName function="false" hidden="false" name="WIF_Funding_googl_2026_gross_ext" vbProcedure="false">Interface!$D$241</definedName>
    <definedName function="false" hidden="false" name="WIF_Funding_googl_2026_gross_ext_pct" vbProcedure="false">Interface!$D$242</definedName>
    <definedName function="false" hidden="false" name="WIF_Funding_googl_2026_gross_lease_jv_pct" vbProcedure="false">Interface!$D$246</definedName>
    <definedName function="false" hidden="false" name="WIF_Funding_googl_2026_gross_ocf_pct" vbProcedure="false">Interface!$D$243</definedName>
    <definedName function="false" hidden="false" name="WIF_Funding_googl_2026_int_pct" vbProcedure="false">Interface!$D$236</definedName>
    <definedName function="false" hidden="false" name="WIF_Funding_googl_2026_lease_pct" vbProcedure="false">Interface!$D$237</definedName>
    <definedName function="false" hidden="false" name="WIF_Funding_googl_2026_lnc" vbProcedure="false">Interface!$D$249</definedName>
    <definedName function="false" hidden="false" name="WIF_Funding_googl_2026_ocf" vbProcedure="false">Interface!$D$247</definedName>
    <definedName function="false" hidden="false" name="WIF_Funding_googl_2026_other_pct" vbProcedure="false">Interface!$D$240</definedName>
    <definedName function="false" hidden="false" name="WIF_Funding_meta_2024_capex" vbProcedure="false">Interface!$D$303</definedName>
    <definedName function="false" hidden="false" name="WIF_Funding_meta_2024_debt_pct" vbProcedure="false">Interface!$D$307</definedName>
    <definedName function="false" hidden="false" name="WIF_Funding_meta_2024_debt_raised" vbProcedure="false">Interface!$D$318</definedName>
    <definedName function="false" hidden="false" name="WIF_Funding_meta_2024_equity_pct" vbProcedure="false">Interface!$D$306</definedName>
    <definedName function="false" hidden="false" name="WIF_Funding_meta_2024_equity_raised" vbProcedure="false">Interface!$D$319</definedName>
    <definedName function="false" hidden="false" name="WIF_Funding_meta_2024_fcf" vbProcedure="false">Interface!$D$316</definedName>
    <definedName function="false" hidden="false" name="WIF_Funding_meta_2024_gross_debt_pct" vbProcedure="false">Interface!$D$312</definedName>
    <definedName function="false" hidden="false" name="WIF_Funding_meta_2024_gross_equity_pct" vbProcedure="false">Interface!$D$313</definedName>
    <definedName function="false" hidden="false" name="WIF_Funding_meta_2024_gross_ext" vbProcedure="false">Interface!$D$309</definedName>
    <definedName function="false" hidden="false" name="WIF_Funding_meta_2024_gross_ext_pct" vbProcedure="false">Interface!$D$310</definedName>
    <definedName function="false" hidden="false" name="WIF_Funding_meta_2024_gross_lease_jv_pct" vbProcedure="false">Interface!$D$314</definedName>
    <definedName function="false" hidden="false" name="WIF_Funding_meta_2024_gross_ocf_pct" vbProcedure="false">Interface!$D$311</definedName>
    <definedName function="false" hidden="false" name="WIF_Funding_meta_2024_int_pct" vbProcedure="false">Interface!$D$304</definedName>
    <definedName function="false" hidden="false" name="WIF_Funding_meta_2024_lease_pct" vbProcedure="false">Interface!$D$305</definedName>
    <definedName function="false" hidden="false" name="WIF_Funding_meta_2024_lnc" vbProcedure="false">Interface!$D$317</definedName>
    <definedName function="false" hidden="false" name="WIF_Funding_meta_2024_ocf" vbProcedure="false">Interface!$D$315</definedName>
    <definedName function="false" hidden="false" name="WIF_Funding_meta_2024_other_pct" vbProcedure="false">Interface!$D$308</definedName>
    <definedName function="false" hidden="false" name="WIF_Funding_meta_2025_capex" vbProcedure="false">Interface!$D$320</definedName>
    <definedName function="false" hidden="false" name="WIF_Funding_meta_2025_debt_pct" vbProcedure="false">Interface!$D$324</definedName>
    <definedName function="false" hidden="false" name="WIF_Funding_meta_2025_debt_raised" vbProcedure="false">Interface!$D$335</definedName>
    <definedName function="false" hidden="false" name="WIF_Funding_meta_2025_equity_pct" vbProcedure="false">Interface!$D$323</definedName>
    <definedName function="false" hidden="false" name="WIF_Funding_meta_2025_equity_raised" vbProcedure="false">Interface!$D$336</definedName>
    <definedName function="false" hidden="false" name="WIF_Funding_meta_2025_fcf" vbProcedure="false">Interface!$D$333</definedName>
    <definedName function="false" hidden="false" name="WIF_Funding_meta_2025_gross_debt_pct" vbProcedure="false">Interface!$D$329</definedName>
    <definedName function="false" hidden="false" name="WIF_Funding_meta_2025_gross_equity_pct" vbProcedure="false">Interface!$D$330</definedName>
    <definedName function="false" hidden="false" name="WIF_Funding_meta_2025_gross_ext" vbProcedure="false">Interface!$D$326</definedName>
    <definedName function="false" hidden="false" name="WIF_Funding_meta_2025_gross_ext_pct" vbProcedure="false">Interface!$D$327</definedName>
    <definedName function="false" hidden="false" name="WIF_Funding_meta_2025_gross_lease_jv_pct" vbProcedure="false">Interface!$D$331</definedName>
    <definedName function="false" hidden="false" name="WIF_Funding_meta_2025_gross_ocf_pct" vbProcedure="false">Interface!$D$328</definedName>
    <definedName function="false" hidden="false" name="WIF_Funding_meta_2025_int_pct" vbProcedure="false">Interface!$D$321</definedName>
    <definedName function="false" hidden="false" name="WIF_Funding_meta_2025_lease_pct" vbProcedure="false">Interface!$D$322</definedName>
    <definedName function="false" hidden="false" name="WIF_Funding_meta_2025_lnc" vbProcedure="false">Interface!$D$334</definedName>
    <definedName function="false" hidden="false" name="WIF_Funding_meta_2025_ocf" vbProcedure="false">Interface!$D$332</definedName>
    <definedName function="false" hidden="false" name="WIF_Funding_meta_2025_other_pct" vbProcedure="false">Interface!$D$325</definedName>
    <definedName function="false" hidden="false" name="WIF_Funding_meta_2026_capex" vbProcedure="false">Interface!$D$337</definedName>
    <definedName function="false" hidden="false" name="WIF_Funding_meta_2026_debt_pct" vbProcedure="false">Interface!$D$341</definedName>
    <definedName function="false" hidden="false" name="WIF_Funding_meta_2026_debt_raised" vbProcedure="false">Interface!$D$352</definedName>
    <definedName function="false" hidden="false" name="WIF_Funding_meta_2026_equity_pct" vbProcedure="false">Interface!$D$340</definedName>
    <definedName function="false" hidden="false" name="WIF_Funding_meta_2026_equity_raised" vbProcedure="false">Interface!$D$353</definedName>
    <definedName function="false" hidden="false" name="WIF_Funding_meta_2026_fcf" vbProcedure="false">Interface!$D$350</definedName>
    <definedName function="false" hidden="false" name="WIF_Funding_meta_2026_gross_debt_pct" vbProcedure="false">Interface!$D$346</definedName>
    <definedName function="false" hidden="false" name="WIF_Funding_meta_2026_gross_equity_pct" vbProcedure="false">Interface!$D$347</definedName>
    <definedName function="false" hidden="false" name="WIF_Funding_meta_2026_gross_ext" vbProcedure="false">Interface!$D$343</definedName>
    <definedName function="false" hidden="false" name="WIF_Funding_meta_2026_gross_ext_pct" vbProcedure="false">Interface!$D$344</definedName>
    <definedName function="false" hidden="false" name="WIF_Funding_meta_2026_gross_lease_jv_pct" vbProcedure="false">Interface!$D$348</definedName>
    <definedName function="false" hidden="false" name="WIF_Funding_meta_2026_gross_ocf_pct" vbProcedure="false">Interface!$D$345</definedName>
    <definedName function="false" hidden="false" name="WIF_Funding_meta_2026_int_pct" vbProcedure="false">Interface!$D$338</definedName>
    <definedName function="false" hidden="false" name="WIF_Funding_meta_2026_lease_pct" vbProcedure="false">Interface!$D$339</definedName>
    <definedName function="false" hidden="false" name="WIF_Funding_meta_2026_lnc" vbProcedure="false">Interface!$D$351</definedName>
    <definedName function="false" hidden="false" name="WIF_Funding_meta_2026_ocf" vbProcedure="false">Interface!$D$349</definedName>
    <definedName function="false" hidden="false" name="WIF_Funding_meta_2026_other_pct" vbProcedure="false">Interface!$D$342</definedName>
    <definedName function="false" hidden="false" name="WIF_Funding_msft_2024_capex" vbProcedure="false">Interface!$D$150</definedName>
    <definedName function="false" hidden="false" name="WIF_Funding_msft_2024_debt_pct" vbProcedure="false">Interface!$D$154</definedName>
    <definedName function="false" hidden="false" name="WIF_Funding_msft_2024_debt_raised" vbProcedure="false">Interface!$D$165</definedName>
    <definedName function="false" hidden="false" name="WIF_Funding_msft_2024_equity_pct" vbProcedure="false">Interface!$D$153</definedName>
    <definedName function="false" hidden="false" name="WIF_Funding_msft_2024_equity_raised" vbProcedure="false">Interface!$D$166</definedName>
    <definedName function="false" hidden="false" name="WIF_Funding_msft_2024_fcf" vbProcedure="false">Interface!$D$163</definedName>
    <definedName function="false" hidden="false" name="WIF_Funding_msft_2024_gross_debt_pct" vbProcedure="false">Interface!$D$159</definedName>
    <definedName function="false" hidden="false" name="WIF_Funding_msft_2024_gross_equity_pct" vbProcedure="false">Interface!$D$160</definedName>
    <definedName function="false" hidden="false" name="WIF_Funding_msft_2024_gross_ext" vbProcedure="false">Interface!$D$156</definedName>
    <definedName function="false" hidden="false" name="WIF_Funding_msft_2024_gross_ext_pct" vbProcedure="false">Interface!$D$157</definedName>
    <definedName function="false" hidden="false" name="WIF_Funding_msft_2024_gross_lease_jv_pct" vbProcedure="false">Interface!$D$161</definedName>
    <definedName function="false" hidden="false" name="WIF_Funding_msft_2024_gross_ocf_pct" vbProcedure="false">Interface!$D$158</definedName>
    <definedName function="false" hidden="false" name="WIF_Funding_msft_2024_int_pct" vbProcedure="false">Interface!$D$151</definedName>
    <definedName function="false" hidden="false" name="WIF_Funding_msft_2024_lease_pct" vbProcedure="false">Interface!$D$152</definedName>
    <definedName function="false" hidden="false" name="WIF_Funding_msft_2024_lnc" vbProcedure="false">Interface!$D$164</definedName>
    <definedName function="false" hidden="false" name="WIF_Funding_msft_2024_ocf" vbProcedure="false">Interface!$D$162</definedName>
    <definedName function="false" hidden="false" name="WIF_Funding_msft_2024_other_pct" vbProcedure="false">Interface!$D$155</definedName>
    <definedName function="false" hidden="false" name="WIF_Funding_msft_2025_capex" vbProcedure="false">Interface!$D$167</definedName>
    <definedName function="false" hidden="false" name="WIF_Funding_msft_2025_debt_pct" vbProcedure="false">Interface!$D$171</definedName>
    <definedName function="false" hidden="false" name="WIF_Funding_msft_2025_debt_raised" vbProcedure="false">Interface!$D$182</definedName>
    <definedName function="false" hidden="false" name="WIF_Funding_msft_2025_equity_pct" vbProcedure="false">Interface!$D$170</definedName>
    <definedName function="false" hidden="false" name="WIF_Funding_msft_2025_equity_raised" vbProcedure="false">Interface!$D$183</definedName>
    <definedName function="false" hidden="false" name="WIF_Funding_msft_2025_fcf" vbProcedure="false">Interface!$D$180</definedName>
    <definedName function="false" hidden="false" name="WIF_Funding_msft_2025_gross_debt_pct" vbProcedure="false">Interface!$D$176</definedName>
    <definedName function="false" hidden="false" name="WIF_Funding_msft_2025_gross_equity_pct" vbProcedure="false">Interface!$D$177</definedName>
    <definedName function="false" hidden="false" name="WIF_Funding_msft_2025_gross_ext" vbProcedure="false">Interface!$D$173</definedName>
    <definedName function="false" hidden="false" name="WIF_Funding_msft_2025_gross_ext_pct" vbProcedure="false">Interface!$D$174</definedName>
    <definedName function="false" hidden="false" name="WIF_Funding_msft_2025_gross_lease_jv_pct" vbProcedure="false">Interface!$D$178</definedName>
    <definedName function="false" hidden="false" name="WIF_Funding_msft_2025_gross_ocf_pct" vbProcedure="false">Interface!$D$175</definedName>
    <definedName function="false" hidden="false" name="WIF_Funding_msft_2025_int_pct" vbProcedure="false">Interface!$D$168</definedName>
    <definedName function="false" hidden="false" name="WIF_Funding_msft_2025_lease_pct" vbProcedure="false">Interface!$D$169</definedName>
    <definedName function="false" hidden="false" name="WIF_Funding_msft_2025_lnc" vbProcedure="false">Interface!$D$181</definedName>
    <definedName function="false" hidden="false" name="WIF_Funding_msft_2025_ocf" vbProcedure="false">Interface!$D$179</definedName>
    <definedName function="false" hidden="false" name="WIF_Funding_msft_2025_other_pct" vbProcedure="false">Interface!$D$172</definedName>
    <definedName function="false" hidden="false" name="WIF_Funding_msft_2026_capex" vbProcedure="false">Interface!$D$184</definedName>
    <definedName function="false" hidden="false" name="WIF_Funding_msft_2026_debt_pct" vbProcedure="false">Interface!$D$188</definedName>
    <definedName function="false" hidden="false" name="WIF_Funding_msft_2026_debt_raised" vbProcedure="false">Interface!$D$199</definedName>
    <definedName function="false" hidden="false" name="WIF_Funding_msft_2026_equity_pct" vbProcedure="false">Interface!$D$187</definedName>
    <definedName function="false" hidden="false" name="WIF_Funding_msft_2026_equity_raised" vbProcedure="false">Interface!$D$200</definedName>
    <definedName function="false" hidden="false" name="WIF_Funding_msft_2026_fcf" vbProcedure="false">Interface!$D$197</definedName>
    <definedName function="false" hidden="false" name="WIF_Funding_msft_2026_gross_debt_pct" vbProcedure="false">Interface!$D$193</definedName>
    <definedName function="false" hidden="false" name="WIF_Funding_msft_2026_gross_equity_pct" vbProcedure="false">Interface!$D$194</definedName>
    <definedName function="false" hidden="false" name="WIF_Funding_msft_2026_gross_ext" vbProcedure="false">Interface!$D$190</definedName>
    <definedName function="false" hidden="false" name="WIF_Funding_msft_2026_gross_ext_pct" vbProcedure="false">Interface!$D$191</definedName>
    <definedName function="false" hidden="false" name="WIF_Funding_msft_2026_gross_lease_jv_pct" vbProcedure="false">Interface!$D$195</definedName>
    <definedName function="false" hidden="false" name="WIF_Funding_msft_2026_gross_ocf_pct" vbProcedure="false">Interface!$D$192</definedName>
    <definedName function="false" hidden="false" name="WIF_Funding_msft_2026_int_pct" vbProcedure="false">Interface!$D$185</definedName>
    <definedName function="false" hidden="false" name="WIF_Funding_msft_2026_lease_pct" vbProcedure="false">Interface!$D$186</definedName>
    <definedName function="false" hidden="false" name="WIF_Funding_msft_2026_lnc" vbProcedure="false">Interface!$D$198</definedName>
    <definedName function="false" hidden="false" name="WIF_Funding_msft_2026_ocf" vbProcedure="false">Interface!$D$196</definedName>
    <definedName function="false" hidden="false" name="WIF_Funding_msft_2026_other_pct" vbProcedure="false">Interface!$D$189</definedName>
    <definedName function="false" hidden="false" name="WIF_Funding_nbis_2025_capex" vbProcedure="false">Interface!$D$456</definedName>
    <definedName function="false" hidden="false" name="WIF_Funding_nbis_2025_debt_pct" vbProcedure="false">Interface!$D$460</definedName>
    <definedName function="false" hidden="false" name="WIF_Funding_nbis_2025_debt_raised" vbProcedure="false">Interface!$D$471</definedName>
    <definedName function="false" hidden="false" name="WIF_Funding_nbis_2025_equity_pct" vbProcedure="false">Interface!$D$459</definedName>
    <definedName function="false" hidden="false" name="WIF_Funding_nbis_2025_equity_raised" vbProcedure="false">Interface!$D$472</definedName>
    <definedName function="false" hidden="false" name="WIF_Funding_nbis_2025_fcf" vbProcedure="false">Interface!$D$469</definedName>
    <definedName function="false" hidden="false" name="WIF_Funding_nbis_2025_gross_debt_pct" vbProcedure="false">Interface!$D$465</definedName>
    <definedName function="false" hidden="false" name="WIF_Funding_nbis_2025_gross_equity_pct" vbProcedure="false">Interface!$D$466</definedName>
    <definedName function="false" hidden="false" name="WIF_Funding_nbis_2025_gross_ext" vbProcedure="false">Interface!$D$462</definedName>
    <definedName function="false" hidden="false" name="WIF_Funding_nbis_2025_gross_ext_pct" vbProcedure="false">Interface!$D$463</definedName>
    <definedName function="false" hidden="false" name="WIF_Funding_nbis_2025_gross_lease_jv_pct" vbProcedure="false">Interface!$D$467</definedName>
    <definedName function="false" hidden="false" name="WIF_Funding_nbis_2025_gross_ocf_pct" vbProcedure="false">Interface!$D$464</definedName>
    <definedName function="false" hidden="false" name="WIF_Funding_nbis_2025_int_pct" vbProcedure="false">Interface!$D$457</definedName>
    <definedName function="false" hidden="false" name="WIF_Funding_nbis_2025_lease_pct" vbProcedure="false">Interface!$D$458</definedName>
    <definedName function="false" hidden="false" name="WIF_Funding_nbis_2025_lnc" vbProcedure="false">Interface!$D$470</definedName>
    <definedName function="false" hidden="false" name="WIF_Funding_nbis_2025_ocf" vbProcedure="false">Interface!$D$468</definedName>
    <definedName function="false" hidden="false" name="WIF_Funding_nbis_2025_other_pct" vbProcedure="false">Interface!$D$461</definedName>
    <definedName function="false" hidden="false" name="WIF_Funding_nbis_2026_capex" vbProcedure="false">Interface!$D$473</definedName>
    <definedName function="false" hidden="false" name="WIF_Funding_nbis_2026_debt_pct" vbProcedure="false">Interface!$D$477</definedName>
    <definedName function="false" hidden="false" name="WIF_Funding_nbis_2026_debt_raised" vbProcedure="false">Interface!$D$488</definedName>
    <definedName function="false" hidden="false" name="WIF_Funding_nbis_2026_equity_pct" vbProcedure="false">Interface!$D$476</definedName>
    <definedName function="false" hidden="false" name="WIF_Funding_nbis_2026_equity_raised" vbProcedure="false">Interface!$D$489</definedName>
    <definedName function="false" hidden="false" name="WIF_Funding_nbis_2026_fcf" vbProcedure="false">Interface!$D$486</definedName>
    <definedName function="false" hidden="false" name="WIF_Funding_nbis_2026_gross_debt_pct" vbProcedure="false">Interface!$D$482</definedName>
    <definedName function="false" hidden="false" name="WIF_Funding_nbis_2026_gross_equity_pct" vbProcedure="false">Interface!$D$483</definedName>
    <definedName function="false" hidden="false" name="WIF_Funding_nbis_2026_gross_ext" vbProcedure="false">Interface!$D$479</definedName>
    <definedName function="false" hidden="false" name="WIF_Funding_nbis_2026_gross_ext_pct" vbProcedure="false">Interface!$D$480</definedName>
    <definedName function="false" hidden="false" name="WIF_Funding_nbis_2026_gross_lease_jv_pct" vbProcedure="false">Interface!$D$484</definedName>
    <definedName function="false" hidden="false" name="WIF_Funding_nbis_2026_gross_ocf_pct" vbProcedure="false">Interface!$D$481</definedName>
    <definedName function="false" hidden="false" name="WIF_Funding_nbis_2026_int_pct" vbProcedure="false">Interface!$D$474</definedName>
    <definedName function="false" hidden="false" name="WIF_Funding_nbis_2026_lease_pct" vbProcedure="false">Interface!$D$475</definedName>
    <definedName function="false" hidden="false" name="WIF_Funding_nbis_2026_lnc" vbProcedure="false">Interface!$D$487</definedName>
    <definedName function="false" hidden="false" name="WIF_Funding_nbis_2026_ocf" vbProcedure="false">Interface!$D$485</definedName>
    <definedName function="false" hidden="false" name="WIF_Funding_nbis_2026_other_pct" vbProcedure="false">Interface!$D$478</definedName>
    <definedName function="false" hidden="false" name="WIF_Funding_oai_2025_capex" vbProcedure="false">Interface!$D$524</definedName>
    <definedName function="false" hidden="false" name="WIF_Funding_oai_2025_debt_pct" vbProcedure="false">Interface!$D$528</definedName>
    <definedName function="false" hidden="false" name="WIF_Funding_oai_2025_debt_raised" vbProcedure="false">Interface!$D$539</definedName>
    <definedName function="false" hidden="false" name="WIF_Funding_oai_2025_equity_pct" vbProcedure="false">Interface!$D$527</definedName>
    <definedName function="false" hidden="false" name="WIF_Funding_oai_2025_equity_raised" vbProcedure="false">Interface!$D$540</definedName>
    <definedName function="false" hidden="false" name="WIF_Funding_oai_2025_fcf" vbProcedure="false">Interface!$D$537</definedName>
    <definedName function="false" hidden="false" name="WIF_Funding_oai_2025_gross_debt_pct" vbProcedure="false">Interface!$D$533</definedName>
    <definedName function="false" hidden="false" name="WIF_Funding_oai_2025_gross_equity_pct" vbProcedure="false">Interface!$D$534</definedName>
    <definedName function="false" hidden="false" name="WIF_Funding_oai_2025_gross_ext" vbProcedure="false">Interface!$D$530</definedName>
    <definedName function="false" hidden="false" name="WIF_Funding_oai_2025_gross_ext_pct" vbProcedure="false">Interface!$D$531</definedName>
    <definedName function="false" hidden="false" name="WIF_Funding_oai_2025_gross_lease_jv_pct" vbProcedure="false">Interface!$D$535</definedName>
    <definedName function="false" hidden="false" name="WIF_Funding_oai_2025_gross_ocf_pct" vbProcedure="false">Interface!$D$532</definedName>
    <definedName function="false" hidden="false" name="WIF_Funding_oai_2025_int_pct" vbProcedure="false">Interface!$D$525</definedName>
    <definedName function="false" hidden="false" name="WIF_Funding_oai_2025_lease_pct" vbProcedure="false">Interface!$D$526</definedName>
    <definedName function="false" hidden="false" name="WIF_Funding_oai_2025_lnc" vbProcedure="false">Interface!$D$538</definedName>
    <definedName function="false" hidden="false" name="WIF_Funding_oai_2025_ocf" vbProcedure="false">Interface!$D$536</definedName>
    <definedName function="false" hidden="false" name="WIF_Funding_oai_2025_other_pct" vbProcedure="false">Interface!$D$529</definedName>
    <definedName function="false" hidden="false" name="WIF_Funding_oai_2026_capex" vbProcedure="false">Interface!$D$541</definedName>
    <definedName function="false" hidden="false" name="WIF_Funding_oai_2026_debt_pct" vbProcedure="false">Interface!$D$545</definedName>
    <definedName function="false" hidden="false" name="WIF_Funding_oai_2026_debt_raised" vbProcedure="false">Interface!$D$556</definedName>
    <definedName function="false" hidden="false" name="WIF_Funding_oai_2026_equity_pct" vbProcedure="false">Interface!$D$544</definedName>
    <definedName function="false" hidden="false" name="WIF_Funding_oai_2026_equity_raised" vbProcedure="false">Interface!$D$557</definedName>
    <definedName function="false" hidden="false" name="WIF_Funding_oai_2026_fcf" vbProcedure="false">Interface!$D$554</definedName>
    <definedName function="false" hidden="false" name="WIF_Funding_oai_2026_gross_debt_pct" vbProcedure="false">Interface!$D$550</definedName>
    <definedName function="false" hidden="false" name="WIF_Funding_oai_2026_gross_equity_pct" vbProcedure="false">Interface!$D$551</definedName>
    <definedName function="false" hidden="false" name="WIF_Funding_oai_2026_gross_ext" vbProcedure="false">Interface!$D$547</definedName>
    <definedName function="false" hidden="false" name="WIF_Funding_oai_2026_gross_ext_pct" vbProcedure="false">Interface!$D$548</definedName>
    <definedName function="false" hidden="false" name="WIF_Funding_oai_2026_gross_lease_jv_pct" vbProcedure="false">Interface!$D$552</definedName>
    <definedName function="false" hidden="false" name="WIF_Funding_oai_2026_gross_ocf_pct" vbProcedure="false">Interface!$D$549</definedName>
    <definedName function="false" hidden="false" name="WIF_Funding_oai_2026_int_pct" vbProcedure="false">Interface!$D$542</definedName>
    <definedName function="false" hidden="false" name="WIF_Funding_oai_2026_lease_pct" vbProcedure="false">Interface!$D$543</definedName>
    <definedName function="false" hidden="false" name="WIF_Funding_oai_2026_lnc" vbProcedure="false">Interface!$D$555</definedName>
    <definedName function="false" hidden="false" name="WIF_Funding_oai_2026_ocf" vbProcedure="false">Interface!$D$553</definedName>
    <definedName function="false" hidden="false" name="WIF_Funding_oai_2026_other_pct" vbProcedure="false">Interface!$D$546</definedName>
    <definedName function="false" hidden="false" name="WIF_Funding_orcl_2024_capex" vbProcedure="false">Interface!$D$354</definedName>
    <definedName function="false" hidden="false" name="WIF_Funding_orcl_2024_debt_pct" vbProcedure="false">Interface!$D$358</definedName>
    <definedName function="false" hidden="false" name="WIF_Funding_orcl_2024_debt_raised" vbProcedure="false">Interface!$D$369</definedName>
    <definedName function="false" hidden="false" name="WIF_Funding_orcl_2024_equity_pct" vbProcedure="false">Interface!$D$357</definedName>
    <definedName function="false" hidden="false" name="WIF_Funding_orcl_2024_equity_raised" vbProcedure="false">Interface!$D$370</definedName>
    <definedName function="false" hidden="false" name="WIF_Funding_orcl_2024_fcf" vbProcedure="false">Interface!$D$367</definedName>
    <definedName function="false" hidden="false" name="WIF_Funding_orcl_2024_gross_debt_pct" vbProcedure="false">Interface!$D$363</definedName>
    <definedName function="false" hidden="false" name="WIF_Funding_orcl_2024_gross_equity_pct" vbProcedure="false">Interface!$D$364</definedName>
    <definedName function="false" hidden="false" name="WIF_Funding_orcl_2024_gross_ext" vbProcedure="false">Interface!$D$360</definedName>
    <definedName function="false" hidden="false" name="WIF_Funding_orcl_2024_gross_ext_pct" vbProcedure="false">Interface!$D$361</definedName>
    <definedName function="false" hidden="false" name="WIF_Funding_orcl_2024_gross_lease_jv_pct" vbProcedure="false">Interface!$D$365</definedName>
    <definedName function="false" hidden="false" name="WIF_Funding_orcl_2024_gross_ocf_pct" vbProcedure="false">Interface!$D$362</definedName>
    <definedName function="false" hidden="false" name="WIF_Funding_orcl_2024_int_pct" vbProcedure="false">Interface!$D$355</definedName>
    <definedName function="false" hidden="false" name="WIF_Funding_orcl_2024_lease_pct" vbProcedure="false">Interface!$D$356</definedName>
    <definedName function="false" hidden="false" name="WIF_Funding_orcl_2024_lnc" vbProcedure="false">Interface!$D$368</definedName>
    <definedName function="false" hidden="false" name="WIF_Funding_orcl_2024_ocf" vbProcedure="false">Interface!$D$366</definedName>
    <definedName function="false" hidden="false" name="WIF_Funding_orcl_2024_other_pct" vbProcedure="false">Interface!$D$359</definedName>
    <definedName function="false" hidden="false" name="WIF_Funding_orcl_2025_capex" vbProcedure="false">Interface!$D$371</definedName>
    <definedName function="false" hidden="false" name="WIF_Funding_orcl_2025_debt_pct" vbProcedure="false">Interface!$D$375</definedName>
    <definedName function="false" hidden="false" name="WIF_Funding_orcl_2025_debt_raised" vbProcedure="false">Interface!$D$386</definedName>
    <definedName function="false" hidden="false" name="WIF_Funding_orcl_2025_equity_pct" vbProcedure="false">Interface!$D$374</definedName>
    <definedName function="false" hidden="false" name="WIF_Funding_orcl_2025_equity_raised" vbProcedure="false">Interface!$D$387</definedName>
    <definedName function="false" hidden="false" name="WIF_Funding_orcl_2025_fcf" vbProcedure="false">Interface!$D$384</definedName>
    <definedName function="false" hidden="false" name="WIF_Funding_orcl_2025_gross_debt_pct" vbProcedure="false">Interface!$D$380</definedName>
    <definedName function="false" hidden="false" name="WIF_Funding_orcl_2025_gross_equity_pct" vbProcedure="false">Interface!$D$381</definedName>
    <definedName function="false" hidden="false" name="WIF_Funding_orcl_2025_gross_ext" vbProcedure="false">Interface!$D$377</definedName>
    <definedName function="false" hidden="false" name="WIF_Funding_orcl_2025_gross_ext_pct" vbProcedure="false">Interface!$D$378</definedName>
    <definedName function="false" hidden="false" name="WIF_Funding_orcl_2025_gross_lease_jv_pct" vbProcedure="false">Interface!$D$382</definedName>
    <definedName function="false" hidden="false" name="WIF_Funding_orcl_2025_gross_ocf_pct" vbProcedure="false">Interface!$D$379</definedName>
    <definedName function="false" hidden="false" name="WIF_Funding_orcl_2025_int_pct" vbProcedure="false">Interface!$D$372</definedName>
    <definedName function="false" hidden="false" name="WIF_Funding_orcl_2025_lease_pct" vbProcedure="false">Interface!$D$373</definedName>
    <definedName function="false" hidden="false" name="WIF_Funding_orcl_2025_lnc" vbProcedure="false">Interface!$D$385</definedName>
    <definedName function="false" hidden="false" name="WIF_Funding_orcl_2025_ocf" vbProcedure="false">Interface!$D$383</definedName>
    <definedName function="false" hidden="false" name="WIF_Funding_orcl_2025_other_pct" vbProcedure="false">Interface!$D$376</definedName>
    <definedName function="false" hidden="false" name="WIF_Funding_orcl_2026_capex" vbProcedure="false">Interface!$D$388</definedName>
    <definedName function="false" hidden="false" name="WIF_Funding_orcl_2026_debt_pct" vbProcedure="false">Interface!$D$392</definedName>
    <definedName function="false" hidden="false" name="WIF_Funding_orcl_2026_debt_raised" vbProcedure="false">Interface!$D$403</definedName>
    <definedName function="false" hidden="false" name="WIF_Funding_orcl_2026_equity_pct" vbProcedure="false">Interface!$D$391</definedName>
    <definedName function="false" hidden="false" name="WIF_Funding_orcl_2026_equity_raised" vbProcedure="false">Interface!$D$404</definedName>
    <definedName function="false" hidden="false" name="WIF_Funding_orcl_2026_fcf" vbProcedure="false">Interface!$D$401</definedName>
    <definedName function="false" hidden="false" name="WIF_Funding_orcl_2026_gross_debt_pct" vbProcedure="false">Interface!$D$397</definedName>
    <definedName function="false" hidden="false" name="WIF_Funding_orcl_2026_gross_equity_pct" vbProcedure="false">Interface!$D$398</definedName>
    <definedName function="false" hidden="false" name="WIF_Funding_orcl_2026_gross_ext" vbProcedure="false">Interface!$D$394</definedName>
    <definedName function="false" hidden="false" name="WIF_Funding_orcl_2026_gross_ext_pct" vbProcedure="false">Interface!$D$395</definedName>
    <definedName function="false" hidden="false" name="WIF_Funding_orcl_2026_gross_lease_jv_pct" vbProcedure="false">Interface!$D$399</definedName>
    <definedName function="false" hidden="false" name="WIF_Funding_orcl_2026_gross_ocf_pct" vbProcedure="false">Interface!$D$396</definedName>
    <definedName function="false" hidden="false" name="WIF_Funding_orcl_2026_int_pct" vbProcedure="false">Interface!$D$389</definedName>
    <definedName function="false" hidden="false" name="WIF_Funding_orcl_2026_lease_pct" vbProcedure="false">Interface!$D$390</definedName>
    <definedName function="false" hidden="false" name="WIF_Funding_orcl_2026_lnc" vbProcedure="false">Interface!$D$402</definedName>
    <definedName function="false" hidden="false" name="WIF_Funding_orcl_2026_ocf" vbProcedure="false">Interface!$D$400</definedName>
    <definedName function="false" hidden="false" name="WIF_Funding_orcl_2026_other_pct" vbProcedure="false">Interface!$D$393</definedName>
    <definedName function="false" hidden="false" name="WIF_Funding_xai_2025_capex" vbProcedure="false">Interface!$D$490</definedName>
    <definedName function="false" hidden="false" name="WIF_Funding_xai_2025_debt_pct" vbProcedure="false">Interface!$D$494</definedName>
    <definedName function="false" hidden="false" name="WIF_Funding_xai_2025_debt_raised" vbProcedure="false">Interface!$D$505</definedName>
    <definedName function="false" hidden="false" name="WIF_Funding_xai_2025_equity_pct" vbProcedure="false">Interface!$D$493</definedName>
    <definedName function="false" hidden="false" name="WIF_Funding_xai_2025_equity_raised" vbProcedure="false">Interface!$D$506</definedName>
    <definedName function="false" hidden="false" name="WIF_Funding_xai_2025_fcf" vbProcedure="false">Interface!$D$503</definedName>
    <definedName function="false" hidden="false" name="WIF_Funding_xai_2025_gross_debt_pct" vbProcedure="false">Interface!$D$499</definedName>
    <definedName function="false" hidden="false" name="WIF_Funding_xai_2025_gross_equity_pct" vbProcedure="false">Interface!$D$500</definedName>
    <definedName function="false" hidden="false" name="WIF_Funding_xai_2025_gross_ext" vbProcedure="false">Interface!$D$496</definedName>
    <definedName function="false" hidden="false" name="WIF_Funding_xai_2025_gross_ext_pct" vbProcedure="false">Interface!$D$497</definedName>
    <definedName function="false" hidden="false" name="WIF_Funding_xai_2025_gross_lease_jv_pct" vbProcedure="false">Interface!$D$501</definedName>
    <definedName function="false" hidden="false" name="WIF_Funding_xai_2025_gross_ocf_pct" vbProcedure="false">Interface!$D$498</definedName>
    <definedName function="false" hidden="false" name="WIF_Funding_xai_2025_int_pct" vbProcedure="false">Interface!$D$491</definedName>
    <definedName function="false" hidden="false" name="WIF_Funding_xai_2025_lease_pct" vbProcedure="false">Interface!$D$492</definedName>
    <definedName function="false" hidden="false" name="WIF_Funding_xai_2025_lnc" vbProcedure="false">Interface!$D$504</definedName>
    <definedName function="false" hidden="false" name="WIF_Funding_xai_2025_ocf" vbProcedure="false">Interface!$D$502</definedName>
    <definedName function="false" hidden="false" name="WIF_Funding_xai_2025_other_pct" vbProcedure="false">Interface!$D$495</definedName>
    <definedName function="false" hidden="false" name="WIF_Funding_xai_2026_capex" vbProcedure="false">Interface!$D$507</definedName>
    <definedName function="false" hidden="false" name="WIF_Funding_xai_2026_debt_pct" vbProcedure="false">Interface!$D$511</definedName>
    <definedName function="false" hidden="false" name="WIF_Funding_xai_2026_debt_raised" vbProcedure="false">Interface!$D$522</definedName>
    <definedName function="false" hidden="false" name="WIF_Funding_xai_2026_equity_pct" vbProcedure="false">Interface!$D$510</definedName>
    <definedName function="false" hidden="false" name="WIF_Funding_xai_2026_equity_raised" vbProcedure="false">Interface!$D$523</definedName>
    <definedName function="false" hidden="false" name="WIF_Funding_xai_2026_fcf" vbProcedure="false">Interface!$D$520</definedName>
    <definedName function="false" hidden="false" name="WIF_Funding_xai_2026_gross_debt_pct" vbProcedure="false">Interface!$D$516</definedName>
    <definedName function="false" hidden="false" name="WIF_Funding_xai_2026_gross_equity_pct" vbProcedure="false">Interface!$D$517</definedName>
    <definedName function="false" hidden="false" name="WIF_Funding_xai_2026_gross_ext" vbProcedure="false">Interface!$D$513</definedName>
    <definedName function="false" hidden="false" name="WIF_Funding_xai_2026_gross_ext_pct" vbProcedure="false">Interface!$D$514</definedName>
    <definedName function="false" hidden="false" name="WIF_Funding_xai_2026_gross_lease_jv_pct" vbProcedure="false">Interface!$D$518</definedName>
    <definedName function="false" hidden="false" name="WIF_Funding_xai_2026_gross_ocf_pct" vbProcedure="false">Interface!$D$515</definedName>
    <definedName function="false" hidden="false" name="WIF_Funding_xai_2026_int_pct" vbProcedure="false">Interface!$D$508</definedName>
    <definedName function="false" hidden="false" name="WIF_Funding_xai_2026_lease_pct" vbProcedure="false">Interface!$D$509</definedName>
    <definedName function="false" hidden="false" name="WIF_Funding_xai_2026_lnc" vbProcedure="false">Interface!$D$521</definedName>
    <definedName function="false" hidden="false" name="WIF_Funding_xai_2026_ocf" vbProcedure="false">Interface!$D$519</definedName>
    <definedName function="false" hidden="false" name="WIF_Funding_xai_2026_other_pct" vbProcedure="false">Interface!$D$512</definedName>
    <definedName function="false" hidden="false" name="WIF_Gap_BufferCum" vbProcedure="false">Interface!$D$625</definedName>
    <definedName function="false" hidden="false" name="WIF_Gap_Buyback_2024" vbProcedure="false">Interface!$D$616</definedName>
    <definedName function="false" hidden="false" name="WIF_Gap_Buyback_2025" vbProcedure="false">Interface!$E$616</definedName>
    <definedName function="false" hidden="false" name="WIF_Gap_Buyback_2026" vbProcedure="false">Interface!$F$616</definedName>
    <definedName function="false" hidden="false" name="WIF_Gap_Buyback_2027" vbProcedure="false">Interface!$G$616</definedName>
    <definedName function="false" hidden="false" name="WIF_Gap_Buyback_2028" vbProcedure="false">Interface!$H$616</definedName>
    <definedName function="false" hidden="false" name="WIF_Gap_Buyback_2029" vbProcedure="false">Interface!$I$616</definedName>
    <definedName function="false" hidden="false" name="WIF_Gap_Buyback_2030" vbProcedure="false">Interface!$J$616</definedName>
    <definedName function="false" hidden="false" name="WIF_Gap_Committed" vbProcedure="false">Interface!$D$623</definedName>
    <definedName function="false" hidden="false" name="WIF_Gap_CumNeed_A_D0_2026" vbProcedure="false">Interface!$F$632</definedName>
    <definedName function="false" hidden="false" name="WIF_Gap_CumNeed_A_D0_2027" vbProcedure="false">Interface!$G$632</definedName>
    <definedName function="false" hidden="false" name="WIF_Gap_CumNeed_A_D0_2028" vbProcedure="false">Interface!$H$632</definedName>
    <definedName function="false" hidden="false" name="WIF_Gap_CumNeed_A_D0_2029" vbProcedure="false">Interface!$I$632</definedName>
    <definedName function="false" hidden="false" name="WIF_Gap_CumNeed_A_D0_2030" vbProcedure="false">Interface!$J$632</definedName>
    <definedName function="false" hidden="false" name="WIF_Gap_CumNeed_A_D1_2026" vbProcedure="false">Interface!$F$649</definedName>
    <definedName function="false" hidden="false" name="WIF_Gap_CumNeed_A_D1_2027" vbProcedure="false">Interface!$G$649</definedName>
    <definedName function="false" hidden="false" name="WIF_Gap_CumNeed_A_D1_2028" vbProcedure="false">Interface!$H$649</definedName>
    <definedName function="false" hidden="false" name="WIF_Gap_CumNeed_A_D1_2029" vbProcedure="false">Interface!$I$649</definedName>
    <definedName function="false" hidden="false" name="WIF_Gap_CumNeed_A_D1_2030" vbProcedure="false">Interface!$J$649</definedName>
    <definedName function="false" hidden="false" name="WIF_Gap_CumNeed_A_D2_2026" vbProcedure="false">Interface!$F$666</definedName>
    <definedName function="false" hidden="false" name="WIF_Gap_CumNeed_A_D2_2027" vbProcedure="false">Interface!$G$666</definedName>
    <definedName function="false" hidden="false" name="WIF_Gap_CumNeed_A_D2_2028" vbProcedure="false">Interface!$H$666</definedName>
    <definedName function="false" hidden="false" name="WIF_Gap_CumNeed_A_D2_2029" vbProcedure="false">Interface!$I$666</definedName>
    <definedName function="false" hidden="false" name="WIF_Gap_CumNeed_A_D2_2030" vbProcedure="false">Interface!$J$666</definedName>
    <definedName function="false" hidden="false" name="WIF_Gap_CumNeed_B_D0_2026" vbProcedure="false">Interface!$F$683</definedName>
    <definedName function="false" hidden="false" name="WIF_Gap_CumNeed_B_D0_2027" vbProcedure="false">Interface!$G$683</definedName>
    <definedName function="false" hidden="false" name="WIF_Gap_CumNeed_B_D0_2028" vbProcedure="false">Interface!$H$683</definedName>
    <definedName function="false" hidden="false" name="WIF_Gap_CumNeed_B_D0_2029" vbProcedure="false">Interface!$I$683</definedName>
    <definedName function="false" hidden="false" name="WIF_Gap_CumNeed_B_D0_2030" vbProcedure="false">Interface!$J$683</definedName>
    <definedName function="false" hidden="false" name="WIF_Gap_CumNeed_B_D1_2026" vbProcedure="false">Interface!$F$700</definedName>
    <definedName function="false" hidden="false" name="WIF_Gap_CumNeed_B_D1_2027" vbProcedure="false">Interface!$G$700</definedName>
    <definedName function="false" hidden="false" name="WIF_Gap_CumNeed_B_D1_2028" vbProcedure="false">Interface!$H$700</definedName>
    <definedName function="false" hidden="false" name="WIF_Gap_CumNeed_B_D1_2029" vbProcedure="false">Interface!$I$700</definedName>
    <definedName function="false" hidden="false" name="WIF_Gap_CumNeed_B_D1_2030" vbProcedure="false">Interface!$J$700</definedName>
    <definedName function="false" hidden="false" name="WIF_Gap_CumNeed_B_D2_2026" vbProcedure="false">Interface!$F$717</definedName>
    <definedName function="false" hidden="false" name="WIF_Gap_CumNeed_B_D2_2027" vbProcedure="false">Interface!$G$717</definedName>
    <definedName function="false" hidden="false" name="WIF_Gap_CumNeed_B_D2_2028" vbProcedure="false">Interface!$H$717</definedName>
    <definedName function="false" hidden="false" name="WIF_Gap_CumNeed_B_D2_2029" vbProcedure="false">Interface!$I$717</definedName>
    <definedName function="false" hidden="false" name="WIF_Gap_CumNeed_B_D2_2030" vbProcedure="false">Interface!$J$717</definedName>
    <definedName function="false" hidden="false" name="WIF_Gap_CumNeed_C_D0_2026" vbProcedure="false">Interface!$F$734</definedName>
    <definedName function="false" hidden="false" name="WIF_Gap_CumNeed_C_D0_2027" vbProcedure="false">Interface!$G$734</definedName>
    <definedName function="false" hidden="false" name="WIF_Gap_CumNeed_C_D0_2028" vbProcedure="false">Interface!$H$734</definedName>
    <definedName function="false" hidden="false" name="WIF_Gap_CumNeed_C_D0_2029" vbProcedure="false">Interface!$I$734</definedName>
    <definedName function="false" hidden="false" name="WIF_Gap_CumNeed_C_D0_2030" vbProcedure="false">Interface!$J$734</definedName>
    <definedName function="false" hidden="false" name="WIF_Gap_CumNeed_C_D1_2026" vbProcedure="false">Interface!$F$751</definedName>
    <definedName function="false" hidden="false" name="WIF_Gap_CumNeed_C_D1_2027" vbProcedure="false">Interface!$G$751</definedName>
    <definedName function="false" hidden="false" name="WIF_Gap_CumNeed_C_D1_2028" vbProcedure="false">Interface!$H$751</definedName>
    <definedName function="false" hidden="false" name="WIF_Gap_CumNeed_C_D1_2029" vbProcedure="false">Interface!$I$751</definedName>
    <definedName function="false" hidden="false" name="WIF_Gap_CumNeed_C_D1_2030" vbProcedure="false">Interface!$J$751</definedName>
    <definedName function="false" hidden="false" name="WIF_Gap_CumNeed_C_D2_2026" vbProcedure="false">Interface!$F$768</definedName>
    <definedName function="false" hidden="false" name="WIF_Gap_CumNeed_C_D2_2027" vbProcedure="false">Interface!$G$768</definedName>
    <definedName function="false" hidden="false" name="WIF_Gap_CumNeed_C_D2_2028" vbProcedure="false">Interface!$H$768</definedName>
    <definedName function="false" hidden="false" name="WIF_Gap_CumNeed_C_D2_2029" vbProcedure="false">Interface!$I$768</definedName>
    <definedName function="false" hidden="false" name="WIF_Gap_CumNeed_C_D2_2030" vbProcedure="false">Interface!$J$768</definedName>
    <definedName function="false" hidden="false" name="WIF_Gap_CumNeed_ModelCapex_A_D0_2026" vbProcedure="false">Interface!$F$639</definedName>
    <definedName function="false" hidden="false" name="WIF_Gap_CumNeed_ModelCapex_A_D0_2027" vbProcedure="false">Interface!$G$639</definedName>
    <definedName function="false" hidden="false" name="WIF_Gap_CumNeed_ModelCapex_A_D0_2028" vbProcedure="false">Interface!$H$639</definedName>
    <definedName function="false" hidden="false" name="WIF_Gap_CumNeed_ModelCapex_A_D0_2029" vbProcedure="false">Interface!$I$639</definedName>
    <definedName function="false" hidden="false" name="WIF_Gap_CumNeed_ModelCapex_A_D0_2030" vbProcedure="false">Interface!$J$639</definedName>
    <definedName function="false" hidden="false" name="WIF_Gap_CumNeed_ModelCapex_A_D1_2026" vbProcedure="false">Interface!$F$656</definedName>
    <definedName function="false" hidden="false" name="WIF_Gap_CumNeed_ModelCapex_A_D1_2027" vbProcedure="false">Interface!$G$656</definedName>
    <definedName function="false" hidden="false" name="WIF_Gap_CumNeed_ModelCapex_A_D1_2028" vbProcedure="false">Interface!$H$656</definedName>
    <definedName function="false" hidden="false" name="WIF_Gap_CumNeed_ModelCapex_A_D1_2029" vbProcedure="false">Interface!$I$656</definedName>
    <definedName function="false" hidden="false" name="WIF_Gap_CumNeed_ModelCapex_A_D1_2030" vbProcedure="false">Interface!$J$656</definedName>
    <definedName function="false" hidden="false" name="WIF_Gap_CumNeed_ModelCapex_A_D2_2026" vbProcedure="false">Interface!$F$673</definedName>
    <definedName function="false" hidden="false" name="WIF_Gap_CumNeed_ModelCapex_A_D2_2027" vbProcedure="false">Interface!$G$673</definedName>
    <definedName function="false" hidden="false" name="WIF_Gap_CumNeed_ModelCapex_A_D2_2028" vbProcedure="false">Interface!$H$673</definedName>
    <definedName function="false" hidden="false" name="WIF_Gap_CumNeed_ModelCapex_A_D2_2029" vbProcedure="false">Interface!$I$673</definedName>
    <definedName function="false" hidden="false" name="WIF_Gap_CumNeed_ModelCapex_A_D2_2030" vbProcedure="false">Interface!$J$673</definedName>
    <definedName function="false" hidden="false" name="WIF_Gap_CumNeed_ModelCapex_B_D0_2026" vbProcedure="false">Interface!$F$690</definedName>
    <definedName function="false" hidden="false" name="WIF_Gap_CumNeed_ModelCapex_B_D0_2027" vbProcedure="false">Interface!$G$690</definedName>
    <definedName function="false" hidden="false" name="WIF_Gap_CumNeed_ModelCapex_B_D0_2028" vbProcedure="false">Interface!$H$690</definedName>
    <definedName function="false" hidden="false" name="WIF_Gap_CumNeed_ModelCapex_B_D0_2029" vbProcedure="false">Interface!$I$690</definedName>
    <definedName function="false" hidden="false" name="WIF_Gap_CumNeed_ModelCapex_B_D0_2030" vbProcedure="false">Interface!$J$690</definedName>
    <definedName function="false" hidden="false" name="WIF_Gap_CumNeed_ModelCapex_B_D1_2026" vbProcedure="false">Interface!$F$707</definedName>
    <definedName function="false" hidden="false" name="WIF_Gap_CumNeed_ModelCapex_B_D1_2027" vbProcedure="false">Interface!$G$707</definedName>
    <definedName function="false" hidden="false" name="WIF_Gap_CumNeed_ModelCapex_B_D1_2028" vbProcedure="false">Interface!$H$707</definedName>
    <definedName function="false" hidden="false" name="WIF_Gap_CumNeed_ModelCapex_B_D1_2029" vbProcedure="false">Interface!$I$707</definedName>
    <definedName function="false" hidden="false" name="WIF_Gap_CumNeed_ModelCapex_B_D1_2030" vbProcedure="false">Interface!$J$707</definedName>
    <definedName function="false" hidden="false" name="WIF_Gap_CumNeed_ModelCapex_B_D2_2026" vbProcedure="false">Interface!$F$724</definedName>
    <definedName function="false" hidden="false" name="WIF_Gap_CumNeed_ModelCapex_B_D2_2027" vbProcedure="false">Interface!$G$724</definedName>
    <definedName function="false" hidden="false" name="WIF_Gap_CumNeed_ModelCapex_B_D2_2028" vbProcedure="false">Interface!$H$724</definedName>
    <definedName function="false" hidden="false" name="WIF_Gap_CumNeed_ModelCapex_B_D2_2029" vbProcedure="false">Interface!$I$724</definedName>
    <definedName function="false" hidden="false" name="WIF_Gap_CumNeed_ModelCapex_B_D2_2030" vbProcedure="false">Interface!$J$724</definedName>
    <definedName function="false" hidden="false" name="WIF_Gap_CumNeed_ModelCapex_C_D0_2026" vbProcedure="false">Interface!$F$741</definedName>
    <definedName function="false" hidden="false" name="WIF_Gap_CumNeed_ModelCapex_C_D0_2027" vbProcedure="false">Interface!$G$741</definedName>
    <definedName function="false" hidden="false" name="WIF_Gap_CumNeed_ModelCapex_C_D0_2028" vbProcedure="false">Interface!$H$741</definedName>
    <definedName function="false" hidden="false" name="WIF_Gap_CumNeed_ModelCapex_C_D0_2029" vbProcedure="false">Interface!$I$741</definedName>
    <definedName function="false" hidden="false" name="WIF_Gap_CumNeed_ModelCapex_C_D0_2030" vbProcedure="false">Interface!$J$741</definedName>
    <definedName function="false" hidden="false" name="WIF_Gap_CumNeed_ModelCapex_C_D1_2026" vbProcedure="false">Interface!$F$758</definedName>
    <definedName function="false" hidden="false" name="WIF_Gap_CumNeed_ModelCapex_C_D1_2027" vbProcedure="false">Interface!$G$758</definedName>
    <definedName function="false" hidden="false" name="WIF_Gap_CumNeed_ModelCapex_C_D1_2028" vbProcedure="false">Interface!$H$758</definedName>
    <definedName function="false" hidden="false" name="WIF_Gap_CumNeed_ModelCapex_C_D1_2029" vbProcedure="false">Interface!$I$758</definedName>
    <definedName function="false" hidden="false" name="WIF_Gap_CumNeed_ModelCapex_C_D1_2030" vbProcedure="false">Interface!$J$758</definedName>
    <definedName function="false" hidden="false" name="WIF_Gap_CumNeed_ModelCapex_C_D2_2026" vbProcedure="false">Interface!$F$775</definedName>
    <definedName function="false" hidden="false" name="WIF_Gap_CumNeed_ModelCapex_C_D2_2027" vbProcedure="false">Interface!$G$775</definedName>
    <definedName function="false" hidden="false" name="WIF_Gap_CumNeed_ModelCapex_C_D2_2028" vbProcedure="false">Interface!$H$775</definedName>
    <definedName function="false" hidden="false" name="WIF_Gap_CumNeed_ModelCapex_C_D2_2029" vbProcedure="false">Interface!$I$775</definedName>
    <definedName function="false" hidden="false" name="WIF_Gap_CumNeed_ModelCapex_C_D2_2030" vbProcedure="false">Interface!$J$775</definedName>
    <definedName function="false" hidden="false" name="WIF_Gap_CumUnarranged_A_D0_2026" vbProcedure="false">Interface!$F$633</definedName>
    <definedName function="false" hidden="false" name="WIF_Gap_CumUnarranged_A_D0_2027" vbProcedure="false">Interface!$G$633</definedName>
    <definedName function="false" hidden="false" name="WIF_Gap_CumUnarranged_A_D0_2028" vbProcedure="false">Interface!$H$633</definedName>
    <definedName function="false" hidden="false" name="WIF_Gap_CumUnarranged_A_D0_2029" vbProcedure="false">Interface!$I$633</definedName>
    <definedName function="false" hidden="false" name="WIF_Gap_CumUnarranged_A_D0_2030" vbProcedure="false">Interface!$J$633</definedName>
    <definedName function="false" hidden="false" name="WIF_Gap_CumUnarranged_A_D1_2026" vbProcedure="false">Interface!$F$650</definedName>
    <definedName function="false" hidden="false" name="WIF_Gap_CumUnarranged_A_D1_2027" vbProcedure="false">Interface!$G$650</definedName>
    <definedName function="false" hidden="false" name="WIF_Gap_CumUnarranged_A_D1_2028" vbProcedure="false">Interface!$H$650</definedName>
    <definedName function="false" hidden="false" name="WIF_Gap_CumUnarranged_A_D1_2029" vbProcedure="false">Interface!$I$650</definedName>
    <definedName function="false" hidden="false" name="WIF_Gap_CumUnarranged_A_D1_2030" vbProcedure="false">Interface!$J$650</definedName>
    <definedName function="false" hidden="false" name="WIF_Gap_CumUnarranged_A_D2_2026" vbProcedure="false">Interface!$F$667</definedName>
    <definedName function="false" hidden="false" name="WIF_Gap_CumUnarranged_A_D2_2027" vbProcedure="false">Interface!$G$667</definedName>
    <definedName function="false" hidden="false" name="WIF_Gap_CumUnarranged_A_D2_2028" vbProcedure="false">Interface!$H$667</definedName>
    <definedName function="false" hidden="false" name="WIF_Gap_CumUnarranged_A_D2_2029" vbProcedure="false">Interface!$I$667</definedName>
    <definedName function="false" hidden="false" name="WIF_Gap_CumUnarranged_A_D2_2030" vbProcedure="false">Interface!$J$667</definedName>
    <definedName function="false" hidden="false" name="WIF_Gap_CumUnarranged_B_D0_2026" vbProcedure="false">Interface!$F$684</definedName>
    <definedName function="false" hidden="false" name="WIF_Gap_CumUnarranged_B_D0_2027" vbProcedure="false">Interface!$G$684</definedName>
    <definedName function="false" hidden="false" name="WIF_Gap_CumUnarranged_B_D0_2028" vbProcedure="false">Interface!$H$684</definedName>
    <definedName function="false" hidden="false" name="WIF_Gap_CumUnarranged_B_D0_2029" vbProcedure="false">Interface!$I$684</definedName>
    <definedName function="false" hidden="false" name="WIF_Gap_CumUnarranged_B_D0_2030" vbProcedure="false">Interface!$J$684</definedName>
    <definedName function="false" hidden="false" name="WIF_Gap_CumUnarranged_B_D1_2026" vbProcedure="false">Interface!$F$701</definedName>
    <definedName function="false" hidden="false" name="WIF_Gap_CumUnarranged_B_D1_2027" vbProcedure="false">Interface!$G$701</definedName>
    <definedName function="false" hidden="false" name="WIF_Gap_CumUnarranged_B_D1_2028" vbProcedure="false">Interface!$H$701</definedName>
    <definedName function="false" hidden="false" name="WIF_Gap_CumUnarranged_B_D1_2029" vbProcedure="false">Interface!$I$701</definedName>
    <definedName function="false" hidden="false" name="WIF_Gap_CumUnarranged_B_D1_2030" vbProcedure="false">Interface!$J$701</definedName>
    <definedName function="false" hidden="false" name="WIF_Gap_CumUnarranged_B_D2_2026" vbProcedure="false">Interface!$F$718</definedName>
    <definedName function="false" hidden="false" name="WIF_Gap_CumUnarranged_B_D2_2027" vbProcedure="false">Interface!$G$718</definedName>
    <definedName function="false" hidden="false" name="WIF_Gap_CumUnarranged_B_D2_2028" vbProcedure="false">Interface!$H$718</definedName>
    <definedName function="false" hidden="false" name="WIF_Gap_CumUnarranged_B_D2_2029" vbProcedure="false">Interface!$I$718</definedName>
    <definedName function="false" hidden="false" name="WIF_Gap_CumUnarranged_B_D2_2030" vbProcedure="false">Interface!$J$718</definedName>
    <definedName function="false" hidden="false" name="WIF_Gap_CumUnarranged_C_D0_2026" vbProcedure="false">Interface!$F$735</definedName>
    <definedName function="false" hidden="false" name="WIF_Gap_CumUnarranged_C_D0_2027" vbProcedure="false">Interface!$G$735</definedName>
    <definedName function="false" hidden="false" name="WIF_Gap_CumUnarranged_C_D0_2028" vbProcedure="false">Interface!$H$735</definedName>
    <definedName function="false" hidden="false" name="WIF_Gap_CumUnarranged_C_D0_2029" vbProcedure="false">Interface!$I$735</definedName>
    <definedName function="false" hidden="false" name="WIF_Gap_CumUnarranged_C_D0_2030" vbProcedure="false">Interface!$J$735</definedName>
    <definedName function="false" hidden="false" name="WIF_Gap_CumUnarranged_C_D1_2026" vbProcedure="false">Interface!$F$752</definedName>
    <definedName function="false" hidden="false" name="WIF_Gap_CumUnarranged_C_D1_2027" vbProcedure="false">Interface!$G$752</definedName>
    <definedName function="false" hidden="false" name="WIF_Gap_CumUnarranged_C_D1_2028" vbProcedure="false">Interface!$H$752</definedName>
    <definedName function="false" hidden="false" name="WIF_Gap_CumUnarranged_C_D1_2029" vbProcedure="false">Interface!$I$752</definedName>
    <definedName function="false" hidden="false" name="WIF_Gap_CumUnarranged_C_D1_2030" vbProcedure="false">Interface!$J$752</definedName>
    <definedName function="false" hidden="false" name="WIF_Gap_CumUnarranged_C_D2_2026" vbProcedure="false">Interface!$F$769</definedName>
    <definedName function="false" hidden="false" name="WIF_Gap_CumUnarranged_C_D2_2027" vbProcedure="false">Interface!$G$769</definedName>
    <definedName function="false" hidden="false" name="WIF_Gap_CumUnarranged_C_D2_2028" vbProcedure="false">Interface!$H$769</definedName>
    <definedName function="false" hidden="false" name="WIF_Gap_CumUnarranged_C_D2_2029" vbProcedure="false">Interface!$I$769</definedName>
    <definedName function="false" hidden="false" name="WIF_Gap_CumUnarranged_C_D2_2030" vbProcedure="false">Interface!$J$769</definedName>
    <definedName function="false" hidden="false" name="WIF_Gap_CumUnarranged_M1_A_D0_2026" vbProcedure="false">Interface!$F$791</definedName>
    <definedName function="false" hidden="false" name="WIF_Gap_CumUnarranged_M1_A_D0_2027" vbProcedure="false">Interface!$G$791</definedName>
    <definedName function="false" hidden="false" name="WIF_Gap_CumUnarranged_M1_A_D0_2028" vbProcedure="false">Interface!$H$791</definedName>
    <definedName function="false" hidden="false" name="WIF_Gap_CumUnarranged_M1_A_D0_2029" vbProcedure="false">Interface!$I$791</definedName>
    <definedName function="false" hidden="false" name="WIF_Gap_CumUnarranged_M1_A_D0_2030" vbProcedure="false">Interface!$J$791</definedName>
    <definedName function="false" hidden="false" name="WIF_Gap_CumUnarranged_M1_A_D1_2026" vbProcedure="false">Interface!$F$793</definedName>
    <definedName function="false" hidden="false" name="WIF_Gap_CumUnarranged_M1_A_D1_2027" vbProcedure="false">Interface!$G$793</definedName>
    <definedName function="false" hidden="false" name="WIF_Gap_CumUnarranged_M1_A_D1_2028" vbProcedure="false">Interface!$H$793</definedName>
    <definedName function="false" hidden="false" name="WIF_Gap_CumUnarranged_M1_A_D1_2029" vbProcedure="false">Interface!$I$793</definedName>
    <definedName function="false" hidden="false" name="WIF_Gap_CumUnarranged_M1_A_D1_2030" vbProcedure="false">Interface!$J$793</definedName>
    <definedName function="false" hidden="false" name="WIF_Gap_CumUnarranged_M1_A_D2_2026" vbProcedure="false">Interface!$F$795</definedName>
    <definedName function="false" hidden="false" name="WIF_Gap_CumUnarranged_M1_A_D2_2027" vbProcedure="false">Interface!$G$795</definedName>
    <definedName function="false" hidden="false" name="WIF_Gap_CumUnarranged_M1_A_D2_2028" vbProcedure="false">Interface!$H$795</definedName>
    <definedName function="false" hidden="false" name="WIF_Gap_CumUnarranged_M1_A_D2_2029" vbProcedure="false">Interface!$I$795</definedName>
    <definedName function="false" hidden="false" name="WIF_Gap_CumUnarranged_M1_A_D2_2030" vbProcedure="false">Interface!$J$795</definedName>
    <definedName function="false" hidden="false" name="WIF_Gap_CumUnarranged_M1_B_D1_2026" vbProcedure="false">Interface!$F$797</definedName>
    <definedName function="false" hidden="false" name="WIF_Gap_CumUnarranged_M1_B_D1_2027" vbProcedure="false">Interface!$G$797</definedName>
    <definedName function="false" hidden="false" name="WIF_Gap_CumUnarranged_M1_B_D1_2028" vbProcedure="false">Interface!$H$797</definedName>
    <definedName function="false" hidden="false" name="WIF_Gap_CumUnarranged_M1_B_D1_2029" vbProcedure="false">Interface!$I$797</definedName>
    <definedName function="false" hidden="false" name="WIF_Gap_CumUnarranged_M1_B_D1_2030" vbProcedure="false">Interface!$J$797</definedName>
    <definedName function="false" hidden="false" name="WIF_Gap_CumUnarranged_M1_C_D2_2026" vbProcedure="false">Interface!$F$799</definedName>
    <definedName function="false" hidden="false" name="WIF_Gap_CumUnarranged_M1_C_D2_2027" vbProcedure="false">Interface!$G$799</definedName>
    <definedName function="false" hidden="false" name="WIF_Gap_CumUnarranged_M1_C_D2_2028" vbProcedure="false">Interface!$H$799</definedName>
    <definedName function="false" hidden="false" name="WIF_Gap_CumUnarranged_M1_C_D2_2029" vbProcedure="false">Interface!$I$799</definedName>
    <definedName function="false" hidden="false" name="WIF_Gap_CumUnarranged_M1_C_D2_2030" vbProcedure="false">Interface!$J$799</definedName>
    <definedName function="false" hidden="false" name="WIF_Gap_CumUnarranged_MemoInclCommitted_A_D0_2026" vbProcedure="false">Interface!$F$634</definedName>
    <definedName function="false" hidden="false" name="WIF_Gap_CumUnarranged_MemoInclCommitted_A_D0_2027" vbProcedure="false">Interface!$G$634</definedName>
    <definedName function="false" hidden="false" name="WIF_Gap_CumUnarranged_MemoInclCommitted_A_D0_2028" vbProcedure="false">Interface!$H$634</definedName>
    <definedName function="false" hidden="false" name="WIF_Gap_CumUnarranged_MemoInclCommitted_A_D0_2029" vbProcedure="false">Interface!$I$634</definedName>
    <definedName function="false" hidden="false" name="WIF_Gap_CumUnarranged_MemoInclCommitted_A_D0_2030" vbProcedure="false">Interface!$J$634</definedName>
    <definedName function="false" hidden="false" name="WIF_Gap_CumUnarranged_MemoInclCommitted_A_D1_2026" vbProcedure="false">Interface!$F$651</definedName>
    <definedName function="false" hidden="false" name="WIF_Gap_CumUnarranged_MemoInclCommitted_A_D1_2027" vbProcedure="false">Interface!$G$651</definedName>
    <definedName function="false" hidden="false" name="WIF_Gap_CumUnarranged_MemoInclCommitted_A_D1_2028" vbProcedure="false">Interface!$H$651</definedName>
    <definedName function="false" hidden="false" name="WIF_Gap_CumUnarranged_MemoInclCommitted_A_D1_2029" vbProcedure="false">Interface!$I$651</definedName>
    <definedName function="false" hidden="false" name="WIF_Gap_CumUnarranged_MemoInclCommitted_A_D1_2030" vbProcedure="false">Interface!$J$651</definedName>
    <definedName function="false" hidden="false" name="WIF_Gap_CumUnarranged_MemoInclCommitted_A_D2_2026" vbProcedure="false">Interface!$F$668</definedName>
    <definedName function="false" hidden="false" name="WIF_Gap_CumUnarranged_MemoInclCommitted_A_D2_2027" vbProcedure="false">Interface!$G$668</definedName>
    <definedName function="false" hidden="false" name="WIF_Gap_CumUnarranged_MemoInclCommitted_A_D2_2028" vbProcedure="false">Interface!$H$668</definedName>
    <definedName function="false" hidden="false" name="WIF_Gap_CumUnarranged_MemoInclCommitted_A_D2_2029" vbProcedure="false">Interface!$I$668</definedName>
    <definedName function="false" hidden="false" name="WIF_Gap_CumUnarranged_MemoInclCommitted_A_D2_2030" vbProcedure="false">Interface!$J$668</definedName>
    <definedName function="false" hidden="false" name="WIF_Gap_CumUnarranged_MemoInclCommitted_B_D0_2026" vbProcedure="false">Interface!$F$685</definedName>
    <definedName function="false" hidden="false" name="WIF_Gap_CumUnarranged_MemoInclCommitted_B_D0_2027" vbProcedure="false">Interface!$G$685</definedName>
    <definedName function="false" hidden="false" name="WIF_Gap_CumUnarranged_MemoInclCommitted_B_D0_2028" vbProcedure="false">Interface!$H$685</definedName>
    <definedName function="false" hidden="false" name="WIF_Gap_CumUnarranged_MemoInclCommitted_B_D0_2029" vbProcedure="false">Interface!$I$685</definedName>
    <definedName function="false" hidden="false" name="WIF_Gap_CumUnarranged_MemoInclCommitted_B_D0_2030" vbProcedure="false">Interface!$J$685</definedName>
    <definedName function="false" hidden="false" name="WIF_Gap_CumUnarranged_MemoInclCommitted_B_D1_2026" vbProcedure="false">Interface!$F$702</definedName>
    <definedName function="false" hidden="false" name="WIF_Gap_CumUnarranged_MemoInclCommitted_B_D1_2027" vbProcedure="false">Interface!$G$702</definedName>
    <definedName function="false" hidden="false" name="WIF_Gap_CumUnarranged_MemoInclCommitted_B_D1_2028" vbProcedure="false">Interface!$H$702</definedName>
    <definedName function="false" hidden="false" name="WIF_Gap_CumUnarranged_MemoInclCommitted_B_D1_2029" vbProcedure="false">Interface!$I$702</definedName>
    <definedName function="false" hidden="false" name="WIF_Gap_CumUnarranged_MemoInclCommitted_B_D1_2030" vbProcedure="false">Interface!$J$702</definedName>
    <definedName function="false" hidden="false" name="WIF_Gap_CumUnarranged_MemoInclCommitted_B_D2_2026" vbProcedure="false">Interface!$F$719</definedName>
    <definedName function="false" hidden="false" name="WIF_Gap_CumUnarranged_MemoInclCommitted_B_D2_2027" vbProcedure="false">Interface!$G$719</definedName>
    <definedName function="false" hidden="false" name="WIF_Gap_CumUnarranged_MemoInclCommitted_B_D2_2028" vbProcedure="false">Interface!$H$719</definedName>
    <definedName function="false" hidden="false" name="WIF_Gap_CumUnarranged_MemoInclCommitted_B_D2_2029" vbProcedure="false">Interface!$I$719</definedName>
    <definedName function="false" hidden="false" name="WIF_Gap_CumUnarranged_MemoInclCommitted_B_D2_2030" vbProcedure="false">Interface!$J$719</definedName>
    <definedName function="false" hidden="false" name="WIF_Gap_CumUnarranged_MemoInclCommitted_C_D0_2026" vbProcedure="false">Interface!$F$736</definedName>
    <definedName function="false" hidden="false" name="WIF_Gap_CumUnarranged_MemoInclCommitted_C_D0_2027" vbProcedure="false">Interface!$G$736</definedName>
    <definedName function="false" hidden="false" name="WIF_Gap_CumUnarranged_MemoInclCommitted_C_D0_2028" vbProcedure="false">Interface!$H$736</definedName>
    <definedName function="false" hidden="false" name="WIF_Gap_CumUnarranged_MemoInclCommitted_C_D0_2029" vbProcedure="false">Interface!$I$736</definedName>
    <definedName function="false" hidden="false" name="WIF_Gap_CumUnarranged_MemoInclCommitted_C_D0_2030" vbProcedure="false">Interface!$J$736</definedName>
    <definedName function="false" hidden="false" name="WIF_Gap_CumUnarranged_MemoInclCommitted_C_D1_2026" vbProcedure="false">Interface!$F$753</definedName>
    <definedName function="false" hidden="false" name="WIF_Gap_CumUnarranged_MemoInclCommitted_C_D1_2027" vbProcedure="false">Interface!$G$753</definedName>
    <definedName function="false" hidden="false" name="WIF_Gap_CumUnarranged_MemoInclCommitted_C_D1_2028" vbProcedure="false">Interface!$H$753</definedName>
    <definedName function="false" hidden="false" name="WIF_Gap_CumUnarranged_MemoInclCommitted_C_D1_2029" vbProcedure="false">Interface!$I$753</definedName>
    <definedName function="false" hidden="false" name="WIF_Gap_CumUnarranged_MemoInclCommitted_C_D1_2030" vbProcedure="false">Interface!$J$753</definedName>
    <definedName function="false" hidden="false" name="WIF_Gap_CumUnarranged_MemoInclCommitted_C_D2_2026" vbProcedure="false">Interface!$F$770</definedName>
    <definedName function="false" hidden="false" name="WIF_Gap_CumUnarranged_MemoInclCommitted_C_D2_2027" vbProcedure="false">Interface!$G$770</definedName>
    <definedName function="false" hidden="false" name="WIF_Gap_CumUnarranged_MemoInclCommitted_C_D2_2028" vbProcedure="false">Interface!$H$770</definedName>
    <definedName function="false" hidden="false" name="WIF_Gap_CumUnarranged_MemoInclCommitted_C_D2_2029" vbProcedure="false">Interface!$I$770</definedName>
    <definedName function="false" hidden="false" name="WIF_Gap_CumUnarranged_MemoInclCommitted_C_D2_2030" vbProcedure="false">Interface!$J$770</definedName>
    <definedName function="false" hidden="false" name="WIF_Gap_CumUnarranged_ModelCapex_A_D0_2026" vbProcedure="false">Interface!$F$640</definedName>
    <definedName function="false" hidden="false" name="WIF_Gap_CumUnarranged_ModelCapex_A_D0_2027" vbProcedure="false">Interface!$G$640</definedName>
    <definedName function="false" hidden="false" name="WIF_Gap_CumUnarranged_ModelCapex_A_D0_2028" vbProcedure="false">Interface!$H$640</definedName>
    <definedName function="false" hidden="false" name="WIF_Gap_CumUnarranged_ModelCapex_A_D0_2029" vbProcedure="false">Interface!$I$640</definedName>
    <definedName function="false" hidden="false" name="WIF_Gap_CumUnarranged_ModelCapex_A_D0_2030" vbProcedure="false">Interface!$J$640</definedName>
    <definedName function="false" hidden="false" name="WIF_Gap_CumUnarranged_ModelCapex_A_D1_2026" vbProcedure="false">Interface!$F$657</definedName>
    <definedName function="false" hidden="false" name="WIF_Gap_CumUnarranged_ModelCapex_A_D1_2027" vbProcedure="false">Interface!$G$657</definedName>
    <definedName function="false" hidden="false" name="WIF_Gap_CumUnarranged_ModelCapex_A_D1_2028" vbProcedure="false">Interface!$H$657</definedName>
    <definedName function="false" hidden="false" name="WIF_Gap_CumUnarranged_ModelCapex_A_D1_2029" vbProcedure="false">Interface!$I$657</definedName>
    <definedName function="false" hidden="false" name="WIF_Gap_CumUnarranged_ModelCapex_A_D1_2030" vbProcedure="false">Interface!$J$657</definedName>
    <definedName function="false" hidden="false" name="WIF_Gap_CumUnarranged_ModelCapex_A_D2_2026" vbProcedure="false">Interface!$F$674</definedName>
    <definedName function="false" hidden="false" name="WIF_Gap_CumUnarranged_ModelCapex_A_D2_2027" vbProcedure="false">Interface!$G$674</definedName>
    <definedName function="false" hidden="false" name="WIF_Gap_CumUnarranged_ModelCapex_A_D2_2028" vbProcedure="false">Interface!$H$674</definedName>
    <definedName function="false" hidden="false" name="WIF_Gap_CumUnarranged_ModelCapex_A_D2_2029" vbProcedure="false">Interface!$I$674</definedName>
    <definedName function="false" hidden="false" name="WIF_Gap_CumUnarranged_ModelCapex_A_D2_2030" vbProcedure="false">Interface!$J$674</definedName>
    <definedName function="false" hidden="false" name="WIF_Gap_CumUnarranged_ModelCapex_B_D0_2026" vbProcedure="false">Interface!$F$691</definedName>
    <definedName function="false" hidden="false" name="WIF_Gap_CumUnarranged_ModelCapex_B_D0_2027" vbProcedure="false">Interface!$G$691</definedName>
    <definedName function="false" hidden="false" name="WIF_Gap_CumUnarranged_ModelCapex_B_D0_2028" vbProcedure="false">Interface!$H$691</definedName>
    <definedName function="false" hidden="false" name="WIF_Gap_CumUnarranged_ModelCapex_B_D0_2029" vbProcedure="false">Interface!$I$691</definedName>
    <definedName function="false" hidden="false" name="WIF_Gap_CumUnarranged_ModelCapex_B_D0_2030" vbProcedure="false">Interface!$J$691</definedName>
    <definedName function="false" hidden="false" name="WIF_Gap_CumUnarranged_ModelCapex_B_D1_2026" vbProcedure="false">Interface!$F$708</definedName>
    <definedName function="false" hidden="false" name="WIF_Gap_CumUnarranged_ModelCapex_B_D1_2027" vbProcedure="false">Interface!$G$708</definedName>
    <definedName function="false" hidden="false" name="WIF_Gap_CumUnarranged_ModelCapex_B_D1_2028" vbProcedure="false">Interface!$H$708</definedName>
    <definedName function="false" hidden="false" name="WIF_Gap_CumUnarranged_ModelCapex_B_D1_2029" vbProcedure="false">Interface!$I$708</definedName>
    <definedName function="false" hidden="false" name="WIF_Gap_CumUnarranged_ModelCapex_B_D1_2030" vbProcedure="false">Interface!$J$708</definedName>
    <definedName function="false" hidden="false" name="WIF_Gap_CumUnarranged_ModelCapex_B_D2_2026" vbProcedure="false">Interface!$F$725</definedName>
    <definedName function="false" hidden="false" name="WIF_Gap_CumUnarranged_ModelCapex_B_D2_2027" vbProcedure="false">Interface!$G$725</definedName>
    <definedName function="false" hidden="false" name="WIF_Gap_CumUnarranged_ModelCapex_B_D2_2028" vbProcedure="false">Interface!$H$725</definedName>
    <definedName function="false" hidden="false" name="WIF_Gap_CumUnarranged_ModelCapex_B_D2_2029" vbProcedure="false">Interface!$I$725</definedName>
    <definedName function="false" hidden="false" name="WIF_Gap_CumUnarranged_ModelCapex_B_D2_2030" vbProcedure="false">Interface!$J$725</definedName>
    <definedName function="false" hidden="false" name="WIF_Gap_CumUnarranged_ModelCapex_C_D0_2026" vbProcedure="false">Interface!$F$742</definedName>
    <definedName function="false" hidden="false" name="WIF_Gap_CumUnarranged_ModelCapex_C_D0_2027" vbProcedure="false">Interface!$G$742</definedName>
    <definedName function="false" hidden="false" name="WIF_Gap_CumUnarranged_ModelCapex_C_D0_2028" vbProcedure="false">Interface!$H$742</definedName>
    <definedName function="false" hidden="false" name="WIF_Gap_CumUnarranged_ModelCapex_C_D0_2029" vbProcedure="false">Interface!$I$742</definedName>
    <definedName function="false" hidden="false" name="WIF_Gap_CumUnarranged_ModelCapex_C_D0_2030" vbProcedure="false">Interface!$J$742</definedName>
    <definedName function="false" hidden="false" name="WIF_Gap_CumUnarranged_ModelCapex_C_D1_2026" vbProcedure="false">Interface!$F$759</definedName>
    <definedName function="false" hidden="false" name="WIF_Gap_CumUnarranged_ModelCapex_C_D1_2027" vbProcedure="false">Interface!$G$759</definedName>
    <definedName function="false" hidden="false" name="WIF_Gap_CumUnarranged_ModelCapex_C_D1_2028" vbProcedure="false">Interface!$H$759</definedName>
    <definedName function="false" hidden="false" name="WIF_Gap_CumUnarranged_ModelCapex_C_D1_2029" vbProcedure="false">Interface!$I$759</definedName>
    <definedName function="false" hidden="false" name="WIF_Gap_CumUnarranged_ModelCapex_C_D1_2030" vbProcedure="false">Interface!$J$759</definedName>
    <definedName function="false" hidden="false" name="WIF_Gap_CumUnarranged_ModelCapex_C_D2_2026" vbProcedure="false">Interface!$F$776</definedName>
    <definedName function="false" hidden="false" name="WIF_Gap_CumUnarranged_ModelCapex_C_D2_2027" vbProcedure="false">Interface!$G$776</definedName>
    <definedName function="false" hidden="false" name="WIF_Gap_CumUnarranged_ModelCapex_C_D2_2028" vbProcedure="false">Interface!$H$776</definedName>
    <definedName function="false" hidden="false" name="WIF_Gap_CumUnarranged_ModelCapex_C_D2_2029" vbProcedure="false">Interface!$I$776</definedName>
    <definedName function="false" hidden="false" name="WIF_Gap_CumUnarranged_ModelCapex_C_D2_2030" vbProcedure="false">Interface!$J$776</definedName>
    <definedName function="false" hidden="false" name="WIF_Gap_CumUnarranged_ModelCapex_MemoInclCommitted_A_D0_2026" vbProcedure="false">Interface!$F$641</definedName>
    <definedName function="false" hidden="false" name="WIF_Gap_CumUnarranged_ModelCapex_MemoInclCommitted_A_D0_2027" vbProcedure="false">Interface!$G$641</definedName>
    <definedName function="false" hidden="false" name="WIF_Gap_CumUnarranged_ModelCapex_MemoInclCommitted_A_D0_2028" vbProcedure="false">Interface!$H$641</definedName>
    <definedName function="false" hidden="false" name="WIF_Gap_CumUnarranged_ModelCapex_MemoInclCommitted_A_D0_2029" vbProcedure="false">Interface!$I$641</definedName>
    <definedName function="false" hidden="false" name="WIF_Gap_CumUnarranged_ModelCapex_MemoInclCommitted_A_D0_2030" vbProcedure="false">Interface!$J$641</definedName>
    <definedName function="false" hidden="false" name="WIF_Gap_CumUnarranged_ModelCapex_MemoInclCommitted_A_D1_2026" vbProcedure="false">Interface!$F$658</definedName>
    <definedName function="false" hidden="false" name="WIF_Gap_CumUnarranged_ModelCapex_MemoInclCommitted_A_D1_2027" vbProcedure="false">Interface!$G$658</definedName>
    <definedName function="false" hidden="false" name="WIF_Gap_CumUnarranged_ModelCapex_MemoInclCommitted_A_D1_2028" vbProcedure="false">Interface!$H$658</definedName>
    <definedName function="false" hidden="false" name="WIF_Gap_CumUnarranged_ModelCapex_MemoInclCommitted_A_D1_2029" vbProcedure="false">Interface!$I$658</definedName>
    <definedName function="false" hidden="false" name="WIF_Gap_CumUnarranged_ModelCapex_MemoInclCommitted_A_D1_2030" vbProcedure="false">Interface!$J$658</definedName>
    <definedName function="false" hidden="false" name="WIF_Gap_CumUnarranged_ModelCapex_MemoInclCommitted_A_D2_2026" vbProcedure="false">Interface!$F$675</definedName>
    <definedName function="false" hidden="false" name="WIF_Gap_CumUnarranged_ModelCapex_MemoInclCommitted_A_D2_2027" vbProcedure="false">Interface!$G$675</definedName>
    <definedName function="false" hidden="false" name="WIF_Gap_CumUnarranged_ModelCapex_MemoInclCommitted_A_D2_2028" vbProcedure="false">Interface!$H$675</definedName>
    <definedName function="false" hidden="false" name="WIF_Gap_CumUnarranged_ModelCapex_MemoInclCommitted_A_D2_2029" vbProcedure="false">Interface!$I$675</definedName>
    <definedName function="false" hidden="false" name="WIF_Gap_CumUnarranged_ModelCapex_MemoInclCommitted_A_D2_2030" vbProcedure="false">Interface!$J$675</definedName>
    <definedName function="false" hidden="false" name="WIF_Gap_CumUnarranged_ModelCapex_MemoInclCommitted_B_D0_2026" vbProcedure="false">Interface!$F$692</definedName>
    <definedName function="false" hidden="false" name="WIF_Gap_CumUnarranged_ModelCapex_MemoInclCommitted_B_D0_2027" vbProcedure="false">Interface!$G$692</definedName>
    <definedName function="false" hidden="false" name="WIF_Gap_CumUnarranged_ModelCapex_MemoInclCommitted_B_D0_2028" vbProcedure="false">Interface!$H$692</definedName>
    <definedName function="false" hidden="false" name="WIF_Gap_CumUnarranged_ModelCapex_MemoInclCommitted_B_D0_2029" vbProcedure="false">Interface!$I$692</definedName>
    <definedName function="false" hidden="false" name="WIF_Gap_CumUnarranged_ModelCapex_MemoInclCommitted_B_D0_2030" vbProcedure="false">Interface!$J$692</definedName>
    <definedName function="false" hidden="false" name="WIF_Gap_CumUnarranged_ModelCapex_MemoInclCommitted_B_D1_2026" vbProcedure="false">Interface!$F$709</definedName>
    <definedName function="false" hidden="false" name="WIF_Gap_CumUnarranged_ModelCapex_MemoInclCommitted_B_D1_2027" vbProcedure="false">Interface!$G$709</definedName>
    <definedName function="false" hidden="false" name="WIF_Gap_CumUnarranged_ModelCapex_MemoInclCommitted_B_D1_2028" vbProcedure="false">Interface!$H$709</definedName>
    <definedName function="false" hidden="false" name="WIF_Gap_CumUnarranged_ModelCapex_MemoInclCommitted_B_D1_2029" vbProcedure="false">Interface!$I$709</definedName>
    <definedName function="false" hidden="false" name="WIF_Gap_CumUnarranged_ModelCapex_MemoInclCommitted_B_D1_2030" vbProcedure="false">Interface!$J$709</definedName>
    <definedName function="false" hidden="false" name="WIF_Gap_CumUnarranged_ModelCapex_MemoInclCommitted_B_D2_2026" vbProcedure="false">Interface!$F$726</definedName>
    <definedName function="false" hidden="false" name="WIF_Gap_CumUnarranged_ModelCapex_MemoInclCommitted_B_D2_2027" vbProcedure="false">Interface!$G$726</definedName>
    <definedName function="false" hidden="false" name="WIF_Gap_CumUnarranged_ModelCapex_MemoInclCommitted_B_D2_2028" vbProcedure="false">Interface!$H$726</definedName>
    <definedName function="false" hidden="false" name="WIF_Gap_CumUnarranged_ModelCapex_MemoInclCommitted_B_D2_2029" vbProcedure="false">Interface!$I$726</definedName>
    <definedName function="false" hidden="false" name="WIF_Gap_CumUnarranged_ModelCapex_MemoInclCommitted_B_D2_2030" vbProcedure="false">Interface!$J$726</definedName>
    <definedName function="false" hidden="false" name="WIF_Gap_CumUnarranged_ModelCapex_MemoInclCommitted_C_D0_2026" vbProcedure="false">Interface!$F$743</definedName>
    <definedName function="false" hidden="false" name="WIF_Gap_CumUnarranged_ModelCapex_MemoInclCommitted_C_D0_2027" vbProcedure="false">Interface!$G$743</definedName>
    <definedName function="false" hidden="false" name="WIF_Gap_CumUnarranged_ModelCapex_MemoInclCommitted_C_D0_2028" vbProcedure="false">Interface!$H$743</definedName>
    <definedName function="false" hidden="false" name="WIF_Gap_CumUnarranged_ModelCapex_MemoInclCommitted_C_D0_2029" vbProcedure="false">Interface!$I$743</definedName>
    <definedName function="false" hidden="false" name="WIF_Gap_CumUnarranged_ModelCapex_MemoInclCommitted_C_D0_2030" vbProcedure="false">Interface!$J$743</definedName>
    <definedName function="false" hidden="false" name="WIF_Gap_CumUnarranged_ModelCapex_MemoInclCommitted_C_D1_2026" vbProcedure="false">Interface!$F$760</definedName>
    <definedName function="false" hidden="false" name="WIF_Gap_CumUnarranged_ModelCapex_MemoInclCommitted_C_D1_2027" vbProcedure="false">Interface!$G$760</definedName>
    <definedName function="false" hidden="false" name="WIF_Gap_CumUnarranged_ModelCapex_MemoInclCommitted_C_D1_2028" vbProcedure="false">Interface!$H$760</definedName>
    <definedName function="false" hidden="false" name="WIF_Gap_CumUnarranged_ModelCapex_MemoInclCommitted_C_D1_2029" vbProcedure="false">Interface!$I$760</definedName>
    <definedName function="false" hidden="false" name="WIF_Gap_CumUnarranged_ModelCapex_MemoInclCommitted_C_D1_2030" vbProcedure="false">Interface!$J$760</definedName>
    <definedName function="false" hidden="false" name="WIF_Gap_CumUnarranged_ModelCapex_MemoInclCommitted_C_D2_2026" vbProcedure="false">Interface!$F$777</definedName>
    <definedName function="false" hidden="false" name="WIF_Gap_CumUnarranged_ModelCapex_MemoInclCommitted_C_D2_2027" vbProcedure="false">Interface!$G$777</definedName>
    <definedName function="false" hidden="false" name="WIF_Gap_CumUnarranged_ModelCapex_MemoInclCommitted_C_D2_2028" vbProcedure="false">Interface!$H$777</definedName>
    <definedName function="false" hidden="false" name="WIF_Gap_CumUnarranged_ModelCapex_MemoInclCommitted_C_D2_2029" vbProcedure="false">Interface!$I$777</definedName>
    <definedName function="false" hidden="false" name="WIF_Gap_CumUnarranged_ModelCapex_MemoInclCommitted_C_D2_2030" vbProcedure="false">Interface!$J$777</definedName>
    <definedName function="false" hidden="false" name="WIF_Gap_ExtObs2026Memo" vbProcedure="false">Interface!$D$624</definedName>
    <definedName function="false" hidden="false" name="WIF_Gap_ExtObs_2024" vbProcedure="false">Interface!$D$615</definedName>
    <definedName function="false" hidden="false" name="WIF_Gap_ExtObs_2025" vbProcedure="false">Interface!$E$615</definedName>
    <definedName function="false" hidden="false" name="WIF_Gap_FallbackCells_2024" vbProcedure="false">Interface!$D$621</definedName>
    <definedName function="false" hidden="false" name="WIF_Gap_FallbackCells_2025" vbProcedure="false">Interface!$E$621</definedName>
    <definedName function="false" hidden="false" name="WIF_Gap_FallbackCells_2026" vbProcedure="false">Interface!$F$621</definedName>
    <definedName function="false" hidden="false" name="WIF_Gap_FallbackCells_2027" vbProcedure="false">Interface!$G$621</definedName>
    <definedName function="false" hidden="false" name="WIF_Gap_FallbackCells_2028" vbProcedure="false">Interface!$H$621</definedName>
    <definedName function="false" hidden="false" name="WIF_Gap_FallbackCells_2029" vbProcedure="false">Interface!$I$621</definedName>
    <definedName function="false" hidden="false" name="WIF_Gap_FallbackCells_2030" vbProcedure="false">Interface!$J$621</definedName>
    <definedName function="false" hidden="false" name="WIF_Gap_Fallback_2024" vbProcedure="false">Interface!$D$622</definedName>
    <definedName function="false" hidden="false" name="WIF_Gap_Fallback_2025" vbProcedure="false">Interface!$E$622</definedName>
    <definedName function="false" hidden="false" name="WIF_Gap_Fallback_2026" vbProcedure="false">Interface!$F$622</definedName>
    <definedName function="false" hidden="false" name="WIF_Gap_Fallback_2027" vbProcedure="false">Interface!$G$622</definedName>
    <definedName function="false" hidden="false" name="WIF_Gap_Fallback_2028" vbProcedure="false">Interface!$H$622</definedName>
    <definedName function="false" hidden="false" name="WIF_Gap_Fallback_2029" vbProcedure="false">Interface!$I$622</definedName>
    <definedName function="false" hidden="false" name="WIF_Gap_Fallback_2030" vbProcedure="false">Interface!$J$622</definedName>
    <definedName function="false" hidden="false" name="WIF_Gap_Item_fac_bldg_2024" vbProcedure="false">Interface!$D$607</definedName>
    <definedName function="false" hidden="false" name="WIF_Gap_Item_fac_bldg_2025" vbProcedure="false">Interface!$E$607</definedName>
    <definedName function="false" hidden="false" name="WIF_Gap_Item_fac_bldg_2026" vbProcedure="false">Interface!$F$607</definedName>
    <definedName function="false" hidden="false" name="WIF_Gap_Item_fac_bldg_2027" vbProcedure="false">Interface!$G$607</definedName>
    <definedName function="false" hidden="false" name="WIF_Gap_Item_fac_bldg_2028" vbProcedure="false">Interface!$H$607</definedName>
    <definedName function="false" hidden="false" name="WIF_Gap_Item_fac_bldg_2029" vbProcedure="false">Interface!$I$607</definedName>
    <definedName function="false" hidden="false" name="WIF_Gap_Item_fac_bldg_2030" vbProcedure="false">Interface!$J$607</definedName>
    <definedName function="false" hidden="false" name="WIF_Gap_Item_fac_cool_2024" vbProcedure="false">Interface!$D$606</definedName>
    <definedName function="false" hidden="false" name="WIF_Gap_Item_fac_cool_2025" vbProcedure="false">Interface!$E$606</definedName>
    <definedName function="false" hidden="false" name="WIF_Gap_Item_fac_cool_2026" vbProcedure="false">Interface!$F$606</definedName>
    <definedName function="false" hidden="false" name="WIF_Gap_Item_fac_cool_2027" vbProcedure="false">Interface!$G$606</definedName>
    <definedName function="false" hidden="false" name="WIF_Gap_Item_fac_cool_2028" vbProcedure="false">Interface!$H$606</definedName>
    <definedName function="false" hidden="false" name="WIF_Gap_Item_fac_cool_2029" vbProcedure="false">Interface!$I$606</definedName>
    <definedName function="false" hidden="false" name="WIF_Gap_Item_fac_cool_2030" vbProcedure="false">Interface!$J$606</definedName>
    <definedName function="false" hidden="false" name="WIF_Gap_Item_fac_dist_2024" vbProcedure="false">Interface!$D$603</definedName>
    <definedName function="false" hidden="false" name="WIF_Gap_Item_fac_dist_2025" vbProcedure="false">Interface!$E$603</definedName>
    <definedName function="false" hidden="false" name="WIF_Gap_Item_fac_dist_2026" vbProcedure="false">Interface!$F$603</definedName>
    <definedName function="false" hidden="false" name="WIF_Gap_Item_fac_dist_2027" vbProcedure="false">Interface!$G$603</definedName>
    <definedName function="false" hidden="false" name="WIF_Gap_Item_fac_dist_2028" vbProcedure="false">Interface!$H$603</definedName>
    <definedName function="false" hidden="false" name="WIF_Gap_Item_fac_dist_2029" vbProcedure="false">Interface!$I$603</definedName>
    <definedName function="false" hidden="false" name="WIF_Gap_Item_fac_dist_2030" vbProcedure="false">Interface!$J$603</definedName>
    <definedName function="false" hidden="false" name="WIF_Gap_Item_fac_gen_2024" vbProcedure="false">Interface!$D$604</definedName>
    <definedName function="false" hidden="false" name="WIF_Gap_Item_fac_gen_2025" vbProcedure="false">Interface!$E$604</definedName>
    <definedName function="false" hidden="false" name="WIF_Gap_Item_fac_gen_2026" vbProcedure="false">Interface!$F$604</definedName>
    <definedName function="false" hidden="false" name="WIF_Gap_Item_fac_gen_2027" vbProcedure="false">Interface!$G$604</definedName>
    <definedName function="false" hidden="false" name="WIF_Gap_Item_fac_gen_2028" vbProcedure="false">Interface!$H$604</definedName>
    <definedName function="false" hidden="false" name="WIF_Gap_Item_fac_gen_2029" vbProcedure="false">Interface!$I$604</definedName>
    <definedName function="false" hidden="false" name="WIF_Gap_Item_fac_gen_2030" vbProcedure="false">Interface!$J$604</definedName>
    <definedName function="false" hidden="false" name="WIF_Gap_Item_fac_labor_2024" vbProcedure="false">Interface!$D$608</definedName>
    <definedName function="false" hidden="false" name="WIF_Gap_Item_fac_labor_2025" vbProcedure="false">Interface!$E$608</definedName>
    <definedName function="false" hidden="false" name="WIF_Gap_Item_fac_labor_2026" vbProcedure="false">Interface!$F$608</definedName>
    <definedName function="false" hidden="false" name="WIF_Gap_Item_fac_labor_2027" vbProcedure="false">Interface!$G$608</definedName>
    <definedName function="false" hidden="false" name="WIF_Gap_Item_fac_labor_2028" vbProcedure="false">Interface!$H$608</definedName>
    <definedName function="false" hidden="false" name="WIF_Gap_Item_fac_labor_2029" vbProcedure="false">Interface!$I$608</definedName>
    <definedName function="false" hidden="false" name="WIF_Gap_Item_fac_labor_2030" vbProcedure="false">Interface!$J$608</definedName>
    <definedName function="false" hidden="false" name="WIF_Gap_Item_fac_land_2024" vbProcedure="false">Interface!$D$611</definedName>
    <definedName function="false" hidden="false" name="WIF_Gap_Item_fac_land_2025" vbProcedure="false">Interface!$E$611</definedName>
    <definedName function="false" hidden="false" name="WIF_Gap_Item_fac_land_2026" vbProcedure="false">Interface!$F$611</definedName>
    <definedName function="false" hidden="false" name="WIF_Gap_Item_fac_land_2027" vbProcedure="false">Interface!$G$611</definedName>
    <definedName function="false" hidden="false" name="WIF_Gap_Item_fac_land_2028" vbProcedure="false">Interface!$H$611</definedName>
    <definedName function="false" hidden="false" name="WIF_Gap_Item_fac_land_2029" vbProcedure="false">Interface!$I$611</definedName>
    <definedName function="false" hidden="false" name="WIF_Gap_Item_fac_land_2030" vbProcedure="false">Interface!$J$611</definedName>
    <definedName function="false" hidden="false" name="WIF_Gap_Item_fac_net_2024" vbProcedure="false">Interface!$D$610</definedName>
    <definedName function="false" hidden="false" name="WIF_Gap_Item_fac_net_2025" vbProcedure="false">Interface!$E$610</definedName>
    <definedName function="false" hidden="false" name="WIF_Gap_Item_fac_net_2026" vbProcedure="false">Interface!$F$610</definedName>
    <definedName function="false" hidden="false" name="WIF_Gap_Item_fac_net_2027" vbProcedure="false">Interface!$G$610</definedName>
    <definedName function="false" hidden="false" name="WIF_Gap_Item_fac_net_2028" vbProcedure="false">Interface!$H$610</definedName>
    <definedName function="false" hidden="false" name="WIF_Gap_Item_fac_net_2029" vbProcedure="false">Interface!$I$610</definedName>
    <definedName function="false" hidden="false" name="WIF_Gap_Item_fac_net_2030" vbProcedure="false">Interface!$J$610</definedName>
    <definedName function="false" hidden="false" name="WIF_Gap_Item_fac_prof_2024" vbProcedure="false">Interface!$D$609</definedName>
    <definedName function="false" hidden="false" name="WIF_Gap_Item_fac_prof_2025" vbProcedure="false">Interface!$E$609</definedName>
    <definedName function="false" hidden="false" name="WIF_Gap_Item_fac_prof_2026" vbProcedure="false">Interface!$F$609</definedName>
    <definedName function="false" hidden="false" name="WIF_Gap_Item_fac_prof_2027" vbProcedure="false">Interface!$G$609</definedName>
    <definedName function="false" hidden="false" name="WIF_Gap_Item_fac_prof_2028" vbProcedure="false">Interface!$H$609</definedName>
    <definedName function="false" hidden="false" name="WIF_Gap_Item_fac_prof_2029" vbProcedure="false">Interface!$I$609</definedName>
    <definedName function="false" hidden="false" name="WIF_Gap_Item_fac_prof_2030" vbProcedure="false">Interface!$J$609</definedName>
    <definedName function="false" hidden="false" name="WIF_Gap_Item_fac_resid_2024" vbProcedure="false">Interface!$D$612</definedName>
    <definedName function="false" hidden="false" name="WIF_Gap_Item_fac_resid_2025" vbProcedure="false">Interface!$E$612</definedName>
    <definedName function="false" hidden="false" name="WIF_Gap_Item_fac_resid_2026" vbProcedure="false">Interface!$F$612</definedName>
    <definedName function="false" hidden="false" name="WIF_Gap_Item_fac_resid_2027" vbProcedure="false">Interface!$G$612</definedName>
    <definedName function="false" hidden="false" name="WIF_Gap_Item_fac_resid_2028" vbProcedure="false">Interface!$H$612</definedName>
    <definedName function="false" hidden="false" name="WIF_Gap_Item_fac_resid_2029" vbProcedure="false">Interface!$I$612</definedName>
    <definedName function="false" hidden="false" name="WIF_Gap_Item_fac_resid_2030" vbProcedure="false">Interface!$J$612</definedName>
    <definedName function="false" hidden="false" name="WIF_Gap_Item_fac_ups_2024" vbProcedure="false">Interface!$D$605</definedName>
    <definedName function="false" hidden="false" name="WIF_Gap_Item_fac_ups_2025" vbProcedure="false">Interface!$E$605</definedName>
    <definedName function="false" hidden="false" name="WIF_Gap_Item_fac_ups_2026" vbProcedure="false">Interface!$F$605</definedName>
    <definedName function="false" hidden="false" name="WIF_Gap_Item_fac_ups_2027" vbProcedure="false">Interface!$G$605</definedName>
    <definedName function="false" hidden="false" name="WIF_Gap_Item_fac_ups_2028" vbProcedure="false">Interface!$H$605</definedName>
    <definedName function="false" hidden="false" name="WIF_Gap_Item_fac_ups_2029" vbProcedure="false">Interface!$I$605</definedName>
    <definedName function="false" hidden="false" name="WIF_Gap_Item_fac_ups_2030" vbProcedure="false">Interface!$J$605</definedName>
    <definedName function="false" hidden="false" name="WIF_Gap_Item_it_compute_2024" vbProcedure="false">Interface!$D$595</definedName>
    <definedName function="false" hidden="false" name="WIF_Gap_Item_it_compute_2025" vbProcedure="false">Interface!$E$595</definedName>
    <definedName function="false" hidden="false" name="WIF_Gap_Item_it_compute_2026" vbProcedure="false">Interface!$F$595</definedName>
    <definedName function="false" hidden="false" name="WIF_Gap_Item_it_compute_2027" vbProcedure="false">Interface!$G$595</definedName>
    <definedName function="false" hidden="false" name="WIF_Gap_Item_it_compute_2028" vbProcedure="false">Interface!$H$595</definedName>
    <definedName function="false" hidden="false" name="WIF_Gap_Item_it_compute_2029" vbProcedure="false">Interface!$I$595</definedName>
    <definedName function="false" hidden="false" name="WIF_Gap_Item_it_compute_2030" vbProcedure="false">Interface!$J$595</definedName>
    <definedName function="false" hidden="false" name="WIF_Gap_Item_it_foundry_2024" vbProcedure="false">Interface!$D$598</definedName>
    <definedName function="false" hidden="false" name="WIF_Gap_Item_it_foundry_2025" vbProcedure="false">Interface!$E$598</definedName>
    <definedName function="false" hidden="false" name="WIF_Gap_Item_it_foundry_2026" vbProcedure="false">Interface!$F$598</definedName>
    <definedName function="false" hidden="false" name="WIF_Gap_Item_it_foundry_2027" vbProcedure="false">Interface!$G$598</definedName>
    <definedName function="false" hidden="false" name="WIF_Gap_Item_it_foundry_2028" vbProcedure="false">Interface!$H$598</definedName>
    <definedName function="false" hidden="false" name="WIF_Gap_Item_it_foundry_2029" vbProcedure="false">Interface!$I$598</definedName>
    <definedName function="false" hidden="false" name="WIF_Gap_Item_it_foundry_2030" vbProcedure="false">Interface!$J$598</definedName>
    <definedName function="false" hidden="false" name="WIF_Gap_Item_it_memory_2024" vbProcedure="false">Interface!$D$596</definedName>
    <definedName function="false" hidden="false" name="WIF_Gap_Item_it_memory_2025" vbProcedure="false">Interface!$E$596</definedName>
    <definedName function="false" hidden="false" name="WIF_Gap_Item_it_memory_2026" vbProcedure="false">Interface!$F$596</definedName>
    <definedName function="false" hidden="false" name="WIF_Gap_Item_it_memory_2027" vbProcedure="false">Interface!$G$596</definedName>
    <definedName function="false" hidden="false" name="WIF_Gap_Item_it_memory_2028" vbProcedure="false">Interface!$H$596</definedName>
    <definedName function="false" hidden="false" name="WIF_Gap_Item_it_memory_2029" vbProcedure="false">Interface!$I$596</definedName>
    <definedName function="false" hidden="false" name="WIF_Gap_Item_it_memory_2030" vbProcedure="false">Interface!$J$596</definedName>
    <definedName function="false" hidden="false" name="WIF_Gap_Item_it_network_2024" vbProcedure="false">Interface!$D$597</definedName>
    <definedName function="false" hidden="false" name="WIF_Gap_Item_it_network_2025" vbProcedure="false">Interface!$E$597</definedName>
    <definedName function="false" hidden="false" name="WIF_Gap_Item_it_network_2026" vbProcedure="false">Interface!$F$597</definedName>
    <definedName function="false" hidden="false" name="WIF_Gap_Item_it_network_2027" vbProcedure="false">Interface!$G$597</definedName>
    <definedName function="false" hidden="false" name="WIF_Gap_Item_it_network_2028" vbProcedure="false">Interface!$H$597</definedName>
    <definedName function="false" hidden="false" name="WIF_Gap_Item_it_network_2029" vbProcedure="false">Interface!$I$597</definedName>
    <definedName function="false" hidden="false" name="WIF_Gap_Item_it_network_2030" vbProcedure="false">Interface!$J$597</definedName>
    <definedName function="false" hidden="false" name="WIF_Gap_Item_it_power_thermal_2024" vbProcedure="false">Interface!$D$600</definedName>
    <definedName function="false" hidden="false" name="WIF_Gap_Item_it_power_thermal_2025" vbProcedure="false">Interface!$E$600</definedName>
    <definedName function="false" hidden="false" name="WIF_Gap_Item_it_power_thermal_2026" vbProcedure="false">Interface!$F$600</definedName>
    <definedName function="false" hidden="false" name="WIF_Gap_Item_it_power_thermal_2027" vbProcedure="false">Interface!$G$600</definedName>
    <definedName function="false" hidden="false" name="WIF_Gap_Item_it_power_thermal_2028" vbProcedure="false">Interface!$H$600</definedName>
    <definedName function="false" hidden="false" name="WIF_Gap_Item_it_power_thermal_2029" vbProcedure="false">Interface!$I$600</definedName>
    <definedName function="false" hidden="false" name="WIF_Gap_Item_it_power_thermal_2030" vbProcedure="false">Interface!$J$600</definedName>
    <definedName function="false" hidden="false" name="WIF_Gap_Item_it_server_2024" vbProcedure="false">Interface!$D$601</definedName>
    <definedName function="false" hidden="false" name="WIF_Gap_Item_it_server_2025" vbProcedure="false">Interface!$E$601</definedName>
    <definedName function="false" hidden="false" name="WIF_Gap_Item_it_server_2026" vbProcedure="false">Interface!$F$601</definedName>
    <definedName function="false" hidden="false" name="WIF_Gap_Item_it_server_2027" vbProcedure="false">Interface!$G$601</definedName>
    <definedName function="false" hidden="false" name="WIF_Gap_Item_it_server_2028" vbProcedure="false">Interface!$H$601</definedName>
    <definedName function="false" hidden="false" name="WIF_Gap_Item_it_server_2029" vbProcedure="false">Interface!$I$601</definedName>
    <definedName function="false" hidden="false" name="WIF_Gap_Item_it_server_2030" vbProcedure="false">Interface!$J$601</definedName>
    <definedName function="false" hidden="false" name="WIF_Gap_Item_it_storage_2024" vbProcedure="false">Interface!$D$602</definedName>
    <definedName function="false" hidden="false" name="WIF_Gap_Item_it_storage_2025" vbProcedure="false">Interface!$E$602</definedName>
    <definedName function="false" hidden="false" name="WIF_Gap_Item_it_storage_2026" vbProcedure="false">Interface!$F$602</definedName>
    <definedName function="false" hidden="false" name="WIF_Gap_Item_it_storage_2027" vbProcedure="false">Interface!$G$602</definedName>
    <definedName function="false" hidden="false" name="WIF_Gap_Item_it_storage_2028" vbProcedure="false">Interface!$H$602</definedName>
    <definedName function="false" hidden="false" name="WIF_Gap_Item_it_storage_2029" vbProcedure="false">Interface!$I$602</definedName>
    <definedName function="false" hidden="false" name="WIF_Gap_Item_it_storage_2030" vbProcedure="false">Interface!$J$602</definedName>
    <definedName function="false" hidden="false" name="WIF_Gap_Item_it_substrate_2024" vbProcedure="false">Interface!$D$599</definedName>
    <definedName function="false" hidden="false" name="WIF_Gap_Item_it_substrate_2025" vbProcedure="false">Interface!$E$599</definedName>
    <definedName function="false" hidden="false" name="WIF_Gap_Item_it_substrate_2026" vbProcedure="false">Interface!$F$599</definedName>
    <definedName function="false" hidden="false" name="WIF_Gap_Item_it_substrate_2027" vbProcedure="false">Interface!$G$599</definedName>
    <definedName function="false" hidden="false" name="WIF_Gap_Item_it_substrate_2028" vbProcedure="false">Interface!$H$599</definedName>
    <definedName function="false" hidden="false" name="WIF_Gap_Item_it_substrate_2029" vbProcedure="false">Interface!$I$599</definedName>
    <definedName function="false" hidden="false" name="WIF_Gap_Item_it_substrate_2030" vbProcedure="false">Interface!$J$599</definedName>
    <definedName function="false" hidden="false" name="WIF_Gap_MktAdd_A_D0_2024" vbProcedure="false">Interface!$D$626</definedName>
    <definedName function="false" hidden="false" name="WIF_Gap_MktAdd_A_D0_2025" vbProcedure="false">Interface!$E$626</definedName>
    <definedName function="false" hidden="false" name="WIF_Gap_MktAdd_A_D0_2026" vbProcedure="false">Interface!$F$626</definedName>
    <definedName function="false" hidden="false" name="WIF_Gap_MktAdd_A_D0_2027" vbProcedure="false">Interface!$G$626</definedName>
    <definedName function="false" hidden="false" name="WIF_Gap_MktAdd_A_D0_2028" vbProcedure="false">Interface!$H$626</definedName>
    <definedName function="false" hidden="false" name="WIF_Gap_MktAdd_A_D0_2029" vbProcedure="false">Interface!$I$626</definedName>
    <definedName function="false" hidden="false" name="WIF_Gap_MktAdd_A_D0_2030" vbProcedure="false">Interface!$J$626</definedName>
    <definedName function="false" hidden="false" name="WIF_Gap_MktAdd_A_D1_2024" vbProcedure="false">Interface!$D$643</definedName>
    <definedName function="false" hidden="false" name="WIF_Gap_MktAdd_A_D1_2025" vbProcedure="false">Interface!$E$643</definedName>
    <definedName function="false" hidden="false" name="WIF_Gap_MktAdd_A_D1_2026" vbProcedure="false">Interface!$F$643</definedName>
    <definedName function="false" hidden="false" name="WIF_Gap_MktAdd_A_D1_2027" vbProcedure="false">Interface!$G$643</definedName>
    <definedName function="false" hidden="false" name="WIF_Gap_MktAdd_A_D1_2028" vbProcedure="false">Interface!$H$643</definedName>
    <definedName function="false" hidden="false" name="WIF_Gap_MktAdd_A_D1_2029" vbProcedure="false">Interface!$I$643</definedName>
    <definedName function="false" hidden="false" name="WIF_Gap_MktAdd_A_D1_2030" vbProcedure="false">Interface!$J$643</definedName>
    <definedName function="false" hidden="false" name="WIF_Gap_MktAdd_A_D2_2024" vbProcedure="false">Interface!$D$660</definedName>
    <definedName function="false" hidden="false" name="WIF_Gap_MktAdd_A_D2_2025" vbProcedure="false">Interface!$E$660</definedName>
    <definedName function="false" hidden="false" name="WIF_Gap_MktAdd_A_D2_2026" vbProcedure="false">Interface!$F$660</definedName>
    <definedName function="false" hidden="false" name="WIF_Gap_MktAdd_A_D2_2027" vbProcedure="false">Interface!$G$660</definedName>
    <definedName function="false" hidden="false" name="WIF_Gap_MktAdd_A_D2_2028" vbProcedure="false">Interface!$H$660</definedName>
    <definedName function="false" hidden="false" name="WIF_Gap_MktAdd_A_D2_2029" vbProcedure="false">Interface!$I$660</definedName>
    <definedName function="false" hidden="false" name="WIF_Gap_MktAdd_A_D2_2030" vbProcedure="false">Interface!$J$660</definedName>
    <definedName function="false" hidden="false" name="WIF_Gap_MktAdd_B_D0_2024" vbProcedure="false">Interface!$D$677</definedName>
    <definedName function="false" hidden="false" name="WIF_Gap_MktAdd_B_D0_2025" vbProcedure="false">Interface!$E$677</definedName>
    <definedName function="false" hidden="false" name="WIF_Gap_MktAdd_B_D0_2026" vbProcedure="false">Interface!$F$677</definedName>
    <definedName function="false" hidden="false" name="WIF_Gap_MktAdd_B_D0_2027" vbProcedure="false">Interface!$G$677</definedName>
    <definedName function="false" hidden="false" name="WIF_Gap_MktAdd_B_D0_2028" vbProcedure="false">Interface!$H$677</definedName>
    <definedName function="false" hidden="false" name="WIF_Gap_MktAdd_B_D0_2029" vbProcedure="false">Interface!$I$677</definedName>
    <definedName function="false" hidden="false" name="WIF_Gap_MktAdd_B_D0_2030" vbProcedure="false">Interface!$J$677</definedName>
    <definedName function="false" hidden="false" name="WIF_Gap_MktAdd_B_D1_2024" vbProcedure="false">Interface!$D$694</definedName>
    <definedName function="false" hidden="false" name="WIF_Gap_MktAdd_B_D1_2025" vbProcedure="false">Interface!$E$694</definedName>
    <definedName function="false" hidden="false" name="WIF_Gap_MktAdd_B_D1_2026" vbProcedure="false">Interface!$F$694</definedName>
    <definedName function="false" hidden="false" name="WIF_Gap_MktAdd_B_D1_2027" vbProcedure="false">Interface!$G$694</definedName>
    <definedName function="false" hidden="false" name="WIF_Gap_MktAdd_B_D1_2028" vbProcedure="false">Interface!$H$694</definedName>
    <definedName function="false" hidden="false" name="WIF_Gap_MktAdd_B_D1_2029" vbProcedure="false">Interface!$I$694</definedName>
    <definedName function="false" hidden="false" name="WIF_Gap_MktAdd_B_D1_2030" vbProcedure="false">Interface!$J$694</definedName>
    <definedName function="false" hidden="false" name="WIF_Gap_MktAdd_B_D2_2024" vbProcedure="false">Interface!$D$711</definedName>
    <definedName function="false" hidden="false" name="WIF_Gap_MktAdd_B_D2_2025" vbProcedure="false">Interface!$E$711</definedName>
    <definedName function="false" hidden="false" name="WIF_Gap_MktAdd_B_D2_2026" vbProcedure="false">Interface!$F$711</definedName>
    <definedName function="false" hidden="false" name="WIF_Gap_MktAdd_B_D2_2027" vbProcedure="false">Interface!$G$711</definedName>
    <definedName function="false" hidden="false" name="WIF_Gap_MktAdd_B_D2_2028" vbProcedure="false">Interface!$H$711</definedName>
    <definedName function="false" hidden="false" name="WIF_Gap_MktAdd_B_D2_2029" vbProcedure="false">Interface!$I$711</definedName>
    <definedName function="false" hidden="false" name="WIF_Gap_MktAdd_B_D2_2030" vbProcedure="false">Interface!$J$711</definedName>
    <definedName function="false" hidden="false" name="WIF_Gap_MktAdd_C_D0_2024" vbProcedure="false">Interface!$D$728</definedName>
    <definedName function="false" hidden="false" name="WIF_Gap_MktAdd_C_D0_2025" vbProcedure="false">Interface!$E$728</definedName>
    <definedName function="false" hidden="false" name="WIF_Gap_MktAdd_C_D0_2026" vbProcedure="false">Interface!$F$728</definedName>
    <definedName function="false" hidden="false" name="WIF_Gap_MktAdd_C_D0_2027" vbProcedure="false">Interface!$G$728</definedName>
    <definedName function="false" hidden="false" name="WIF_Gap_MktAdd_C_D0_2028" vbProcedure="false">Interface!$H$728</definedName>
    <definedName function="false" hidden="false" name="WIF_Gap_MktAdd_C_D0_2029" vbProcedure="false">Interface!$I$728</definedName>
    <definedName function="false" hidden="false" name="WIF_Gap_MktAdd_C_D0_2030" vbProcedure="false">Interface!$J$728</definedName>
    <definedName function="false" hidden="false" name="WIF_Gap_MktAdd_C_D1_2024" vbProcedure="false">Interface!$D$745</definedName>
    <definedName function="false" hidden="false" name="WIF_Gap_MktAdd_C_D1_2025" vbProcedure="false">Interface!$E$745</definedName>
    <definedName function="false" hidden="false" name="WIF_Gap_MktAdd_C_D1_2026" vbProcedure="false">Interface!$F$745</definedName>
    <definedName function="false" hidden="false" name="WIF_Gap_MktAdd_C_D1_2027" vbProcedure="false">Interface!$G$745</definedName>
    <definedName function="false" hidden="false" name="WIF_Gap_MktAdd_C_D1_2028" vbProcedure="false">Interface!$H$745</definedName>
    <definedName function="false" hidden="false" name="WIF_Gap_MktAdd_C_D1_2029" vbProcedure="false">Interface!$I$745</definedName>
    <definedName function="false" hidden="false" name="WIF_Gap_MktAdd_C_D1_2030" vbProcedure="false">Interface!$J$745</definedName>
    <definedName function="false" hidden="false" name="WIF_Gap_MktAdd_C_D2_2024" vbProcedure="false">Interface!$D$762</definedName>
    <definedName function="false" hidden="false" name="WIF_Gap_MktAdd_C_D2_2025" vbProcedure="false">Interface!$E$762</definedName>
    <definedName function="false" hidden="false" name="WIF_Gap_MktAdd_C_D2_2026" vbProcedure="false">Interface!$F$762</definedName>
    <definedName function="false" hidden="false" name="WIF_Gap_MktAdd_C_D2_2027" vbProcedure="false">Interface!$G$762</definedName>
    <definedName function="false" hidden="false" name="WIF_Gap_MktAdd_C_D2_2028" vbProcedure="false">Interface!$H$762</definedName>
    <definedName function="false" hidden="false" name="WIF_Gap_MktAdd_C_D2_2029" vbProcedure="false">Interface!$I$762</definedName>
    <definedName function="false" hidden="false" name="WIF_Gap_MktAdd_C_D2_2030" vbProcedure="false">Interface!$J$762</definedName>
    <definedName function="false" hidden="false" name="WIF_Gap_MktRestMemo_2024" vbProcedure="false">Interface!$D$779</definedName>
    <definedName function="false" hidden="false" name="WIF_Gap_MktRestMemo_2025" vbProcedure="false">Interface!$E$779</definedName>
    <definedName function="false" hidden="false" name="WIF_Gap_MktRestMemo_2026" vbProcedure="false">Interface!$F$779</definedName>
    <definedName function="false" hidden="false" name="WIF_Gap_MktRestMemo_2027" vbProcedure="false">Interface!$G$779</definedName>
    <definedName function="false" hidden="false" name="WIF_Gap_MktRestMemo_2028" vbProcedure="false">Interface!$H$779</definedName>
    <definedName function="false" hidden="false" name="WIF_Gap_MktRestMemo_2029" vbProcedure="false">Interface!$I$779</definedName>
    <definedName function="false" hidden="false" name="WIF_Gap_MktRestMemo_2030" vbProcedure="false">Interface!$J$779</definedName>
    <definedName function="false" hidden="false" name="WIF_Gap_NeedOwn_A_D0_2024" vbProcedure="false">Interface!$D$630</definedName>
    <definedName function="false" hidden="false" name="WIF_Gap_NeedOwn_A_D0_2025" vbProcedure="false">Interface!$E$630</definedName>
    <definedName function="false" hidden="false" name="WIF_Gap_NeedOwn_A_D0_2026" vbProcedure="false">Interface!$F$630</definedName>
    <definedName function="false" hidden="false" name="WIF_Gap_NeedOwn_A_D0_2027" vbProcedure="false">Interface!$G$630</definedName>
    <definedName function="false" hidden="false" name="WIF_Gap_NeedOwn_A_D0_2028" vbProcedure="false">Interface!$H$630</definedName>
    <definedName function="false" hidden="false" name="WIF_Gap_NeedOwn_A_D0_2029" vbProcedure="false">Interface!$I$630</definedName>
    <definedName function="false" hidden="false" name="WIF_Gap_NeedOwn_A_D0_2030" vbProcedure="false">Interface!$J$630</definedName>
    <definedName function="false" hidden="false" name="WIF_Gap_NeedOwn_A_D1_2024" vbProcedure="false">Interface!$D$647</definedName>
    <definedName function="false" hidden="false" name="WIF_Gap_NeedOwn_A_D1_2025" vbProcedure="false">Interface!$E$647</definedName>
    <definedName function="false" hidden="false" name="WIF_Gap_NeedOwn_A_D1_2026" vbProcedure="false">Interface!$F$647</definedName>
    <definedName function="false" hidden="false" name="WIF_Gap_NeedOwn_A_D1_2027" vbProcedure="false">Interface!$G$647</definedName>
    <definedName function="false" hidden="false" name="WIF_Gap_NeedOwn_A_D1_2028" vbProcedure="false">Interface!$H$647</definedName>
    <definedName function="false" hidden="false" name="WIF_Gap_NeedOwn_A_D1_2029" vbProcedure="false">Interface!$I$647</definedName>
    <definedName function="false" hidden="false" name="WIF_Gap_NeedOwn_A_D1_2030" vbProcedure="false">Interface!$J$647</definedName>
    <definedName function="false" hidden="false" name="WIF_Gap_NeedOwn_A_D2_2024" vbProcedure="false">Interface!$D$664</definedName>
    <definedName function="false" hidden="false" name="WIF_Gap_NeedOwn_A_D2_2025" vbProcedure="false">Interface!$E$664</definedName>
    <definedName function="false" hidden="false" name="WIF_Gap_NeedOwn_A_D2_2026" vbProcedure="false">Interface!$F$664</definedName>
    <definedName function="false" hidden="false" name="WIF_Gap_NeedOwn_A_D2_2027" vbProcedure="false">Interface!$G$664</definedName>
    <definedName function="false" hidden="false" name="WIF_Gap_NeedOwn_A_D2_2028" vbProcedure="false">Interface!$H$664</definedName>
    <definedName function="false" hidden="false" name="WIF_Gap_NeedOwn_A_D2_2029" vbProcedure="false">Interface!$I$664</definedName>
    <definedName function="false" hidden="false" name="WIF_Gap_NeedOwn_A_D2_2030" vbProcedure="false">Interface!$J$664</definedName>
    <definedName function="false" hidden="false" name="WIF_Gap_NeedOwn_B_D0_2024" vbProcedure="false">Interface!$D$681</definedName>
    <definedName function="false" hidden="false" name="WIF_Gap_NeedOwn_B_D0_2025" vbProcedure="false">Interface!$E$681</definedName>
    <definedName function="false" hidden="false" name="WIF_Gap_NeedOwn_B_D0_2026" vbProcedure="false">Interface!$F$681</definedName>
    <definedName function="false" hidden="false" name="WIF_Gap_NeedOwn_B_D0_2027" vbProcedure="false">Interface!$G$681</definedName>
    <definedName function="false" hidden="false" name="WIF_Gap_NeedOwn_B_D0_2028" vbProcedure="false">Interface!$H$681</definedName>
    <definedName function="false" hidden="false" name="WIF_Gap_NeedOwn_B_D0_2029" vbProcedure="false">Interface!$I$681</definedName>
    <definedName function="false" hidden="false" name="WIF_Gap_NeedOwn_B_D0_2030" vbProcedure="false">Interface!$J$681</definedName>
    <definedName function="false" hidden="false" name="WIF_Gap_NeedOwn_B_D1_2024" vbProcedure="false">Interface!$D$698</definedName>
    <definedName function="false" hidden="false" name="WIF_Gap_NeedOwn_B_D1_2025" vbProcedure="false">Interface!$E$698</definedName>
    <definedName function="false" hidden="false" name="WIF_Gap_NeedOwn_B_D1_2026" vbProcedure="false">Interface!$F$698</definedName>
    <definedName function="false" hidden="false" name="WIF_Gap_NeedOwn_B_D1_2027" vbProcedure="false">Interface!$G$698</definedName>
    <definedName function="false" hidden="false" name="WIF_Gap_NeedOwn_B_D1_2028" vbProcedure="false">Interface!$H$698</definedName>
    <definedName function="false" hidden="false" name="WIF_Gap_NeedOwn_B_D1_2029" vbProcedure="false">Interface!$I$698</definedName>
    <definedName function="false" hidden="false" name="WIF_Gap_NeedOwn_B_D1_2030" vbProcedure="false">Interface!$J$698</definedName>
    <definedName function="false" hidden="false" name="WIF_Gap_NeedOwn_B_D2_2024" vbProcedure="false">Interface!$D$715</definedName>
    <definedName function="false" hidden="false" name="WIF_Gap_NeedOwn_B_D2_2025" vbProcedure="false">Interface!$E$715</definedName>
    <definedName function="false" hidden="false" name="WIF_Gap_NeedOwn_B_D2_2026" vbProcedure="false">Interface!$F$715</definedName>
    <definedName function="false" hidden="false" name="WIF_Gap_NeedOwn_B_D2_2027" vbProcedure="false">Interface!$G$715</definedName>
    <definedName function="false" hidden="false" name="WIF_Gap_NeedOwn_B_D2_2028" vbProcedure="false">Interface!$H$715</definedName>
    <definedName function="false" hidden="false" name="WIF_Gap_NeedOwn_B_D2_2029" vbProcedure="false">Interface!$I$715</definedName>
    <definedName function="false" hidden="false" name="WIF_Gap_NeedOwn_B_D2_2030" vbProcedure="false">Interface!$J$715</definedName>
    <definedName function="false" hidden="false" name="WIF_Gap_NeedOwn_C_D0_2024" vbProcedure="false">Interface!$D$732</definedName>
    <definedName function="false" hidden="false" name="WIF_Gap_NeedOwn_C_D0_2025" vbProcedure="false">Interface!$E$732</definedName>
    <definedName function="false" hidden="false" name="WIF_Gap_NeedOwn_C_D0_2026" vbProcedure="false">Interface!$F$732</definedName>
    <definedName function="false" hidden="false" name="WIF_Gap_NeedOwn_C_D0_2027" vbProcedure="false">Interface!$G$732</definedName>
    <definedName function="false" hidden="false" name="WIF_Gap_NeedOwn_C_D0_2028" vbProcedure="false">Interface!$H$732</definedName>
    <definedName function="false" hidden="false" name="WIF_Gap_NeedOwn_C_D0_2029" vbProcedure="false">Interface!$I$732</definedName>
    <definedName function="false" hidden="false" name="WIF_Gap_NeedOwn_C_D0_2030" vbProcedure="false">Interface!$J$732</definedName>
    <definedName function="false" hidden="false" name="WIF_Gap_NeedOwn_C_D1_2024" vbProcedure="false">Interface!$D$749</definedName>
    <definedName function="false" hidden="false" name="WIF_Gap_NeedOwn_C_D1_2025" vbProcedure="false">Interface!$E$749</definedName>
    <definedName function="false" hidden="false" name="WIF_Gap_NeedOwn_C_D1_2026" vbProcedure="false">Interface!$F$749</definedName>
    <definedName function="false" hidden="false" name="WIF_Gap_NeedOwn_C_D1_2027" vbProcedure="false">Interface!$G$749</definedName>
    <definedName function="false" hidden="false" name="WIF_Gap_NeedOwn_C_D1_2028" vbProcedure="false">Interface!$H$749</definedName>
    <definedName function="false" hidden="false" name="WIF_Gap_NeedOwn_C_D1_2029" vbProcedure="false">Interface!$I$749</definedName>
    <definedName function="false" hidden="false" name="WIF_Gap_NeedOwn_C_D1_2030" vbProcedure="false">Interface!$J$749</definedName>
    <definedName function="false" hidden="false" name="WIF_Gap_NeedOwn_C_D2_2024" vbProcedure="false">Interface!$D$766</definedName>
    <definedName function="false" hidden="false" name="WIF_Gap_NeedOwn_C_D2_2025" vbProcedure="false">Interface!$E$766</definedName>
    <definedName function="false" hidden="false" name="WIF_Gap_NeedOwn_C_D2_2026" vbProcedure="false">Interface!$F$766</definedName>
    <definedName function="false" hidden="false" name="WIF_Gap_NeedOwn_C_D2_2027" vbProcedure="false">Interface!$G$766</definedName>
    <definedName function="false" hidden="false" name="WIF_Gap_NeedOwn_C_D2_2028" vbProcedure="false">Interface!$H$766</definedName>
    <definedName function="false" hidden="false" name="WIF_Gap_NeedOwn_C_D2_2029" vbProcedure="false">Interface!$I$766</definedName>
    <definedName function="false" hidden="false" name="WIF_Gap_NeedOwn_C_D2_2030" vbProcedure="false">Interface!$J$766</definedName>
    <definedName function="false" hidden="false" name="WIF_Gap_NeedOwn_ModelCapex_A_D0_2024" vbProcedure="false">Interface!$D$637</definedName>
    <definedName function="false" hidden="false" name="WIF_Gap_NeedOwn_ModelCapex_A_D0_2025" vbProcedure="false">Interface!$E$637</definedName>
    <definedName function="false" hidden="false" name="WIF_Gap_NeedOwn_ModelCapex_A_D0_2026" vbProcedure="false">Interface!$F$637</definedName>
    <definedName function="false" hidden="false" name="WIF_Gap_NeedOwn_ModelCapex_A_D0_2027" vbProcedure="false">Interface!$G$637</definedName>
    <definedName function="false" hidden="false" name="WIF_Gap_NeedOwn_ModelCapex_A_D0_2028" vbProcedure="false">Interface!$H$637</definedName>
    <definedName function="false" hidden="false" name="WIF_Gap_NeedOwn_ModelCapex_A_D0_2029" vbProcedure="false">Interface!$I$637</definedName>
    <definedName function="false" hidden="false" name="WIF_Gap_NeedOwn_ModelCapex_A_D0_2030" vbProcedure="false">Interface!$J$637</definedName>
    <definedName function="false" hidden="false" name="WIF_Gap_NeedOwn_ModelCapex_A_D1_2024" vbProcedure="false">Interface!$D$654</definedName>
    <definedName function="false" hidden="false" name="WIF_Gap_NeedOwn_ModelCapex_A_D1_2025" vbProcedure="false">Interface!$E$654</definedName>
    <definedName function="false" hidden="false" name="WIF_Gap_NeedOwn_ModelCapex_A_D1_2026" vbProcedure="false">Interface!$F$654</definedName>
    <definedName function="false" hidden="false" name="WIF_Gap_NeedOwn_ModelCapex_A_D1_2027" vbProcedure="false">Interface!$G$654</definedName>
    <definedName function="false" hidden="false" name="WIF_Gap_NeedOwn_ModelCapex_A_D1_2028" vbProcedure="false">Interface!$H$654</definedName>
    <definedName function="false" hidden="false" name="WIF_Gap_NeedOwn_ModelCapex_A_D1_2029" vbProcedure="false">Interface!$I$654</definedName>
    <definedName function="false" hidden="false" name="WIF_Gap_NeedOwn_ModelCapex_A_D1_2030" vbProcedure="false">Interface!$J$654</definedName>
    <definedName function="false" hidden="false" name="WIF_Gap_NeedOwn_ModelCapex_A_D2_2024" vbProcedure="false">Interface!$D$671</definedName>
    <definedName function="false" hidden="false" name="WIF_Gap_NeedOwn_ModelCapex_A_D2_2025" vbProcedure="false">Interface!$E$671</definedName>
    <definedName function="false" hidden="false" name="WIF_Gap_NeedOwn_ModelCapex_A_D2_2026" vbProcedure="false">Interface!$F$671</definedName>
    <definedName function="false" hidden="false" name="WIF_Gap_NeedOwn_ModelCapex_A_D2_2027" vbProcedure="false">Interface!$G$671</definedName>
    <definedName function="false" hidden="false" name="WIF_Gap_NeedOwn_ModelCapex_A_D2_2028" vbProcedure="false">Interface!$H$671</definedName>
    <definedName function="false" hidden="false" name="WIF_Gap_NeedOwn_ModelCapex_A_D2_2029" vbProcedure="false">Interface!$I$671</definedName>
    <definedName function="false" hidden="false" name="WIF_Gap_NeedOwn_ModelCapex_A_D2_2030" vbProcedure="false">Interface!$J$671</definedName>
    <definedName function="false" hidden="false" name="WIF_Gap_NeedOwn_ModelCapex_B_D0_2024" vbProcedure="false">Interface!$D$688</definedName>
    <definedName function="false" hidden="false" name="WIF_Gap_NeedOwn_ModelCapex_B_D0_2025" vbProcedure="false">Interface!$E$688</definedName>
    <definedName function="false" hidden="false" name="WIF_Gap_NeedOwn_ModelCapex_B_D0_2026" vbProcedure="false">Interface!$F$688</definedName>
    <definedName function="false" hidden="false" name="WIF_Gap_NeedOwn_ModelCapex_B_D0_2027" vbProcedure="false">Interface!$G$688</definedName>
    <definedName function="false" hidden="false" name="WIF_Gap_NeedOwn_ModelCapex_B_D0_2028" vbProcedure="false">Interface!$H$688</definedName>
    <definedName function="false" hidden="false" name="WIF_Gap_NeedOwn_ModelCapex_B_D0_2029" vbProcedure="false">Interface!$I$688</definedName>
    <definedName function="false" hidden="false" name="WIF_Gap_NeedOwn_ModelCapex_B_D0_2030" vbProcedure="false">Interface!$J$688</definedName>
    <definedName function="false" hidden="false" name="WIF_Gap_NeedOwn_ModelCapex_B_D1_2024" vbProcedure="false">Interface!$D$705</definedName>
    <definedName function="false" hidden="false" name="WIF_Gap_NeedOwn_ModelCapex_B_D1_2025" vbProcedure="false">Interface!$E$705</definedName>
    <definedName function="false" hidden="false" name="WIF_Gap_NeedOwn_ModelCapex_B_D1_2026" vbProcedure="false">Interface!$F$705</definedName>
    <definedName function="false" hidden="false" name="WIF_Gap_NeedOwn_ModelCapex_B_D1_2027" vbProcedure="false">Interface!$G$705</definedName>
    <definedName function="false" hidden="false" name="WIF_Gap_NeedOwn_ModelCapex_B_D1_2028" vbProcedure="false">Interface!$H$705</definedName>
    <definedName function="false" hidden="false" name="WIF_Gap_NeedOwn_ModelCapex_B_D1_2029" vbProcedure="false">Interface!$I$705</definedName>
    <definedName function="false" hidden="false" name="WIF_Gap_NeedOwn_ModelCapex_B_D1_2030" vbProcedure="false">Interface!$J$705</definedName>
    <definedName function="false" hidden="false" name="WIF_Gap_NeedOwn_ModelCapex_B_D2_2024" vbProcedure="false">Interface!$D$722</definedName>
    <definedName function="false" hidden="false" name="WIF_Gap_NeedOwn_ModelCapex_B_D2_2025" vbProcedure="false">Interface!$E$722</definedName>
    <definedName function="false" hidden="false" name="WIF_Gap_NeedOwn_ModelCapex_B_D2_2026" vbProcedure="false">Interface!$F$722</definedName>
    <definedName function="false" hidden="false" name="WIF_Gap_NeedOwn_ModelCapex_B_D2_2027" vbProcedure="false">Interface!$G$722</definedName>
    <definedName function="false" hidden="false" name="WIF_Gap_NeedOwn_ModelCapex_B_D2_2028" vbProcedure="false">Interface!$H$722</definedName>
    <definedName function="false" hidden="false" name="WIF_Gap_NeedOwn_ModelCapex_B_D2_2029" vbProcedure="false">Interface!$I$722</definedName>
    <definedName function="false" hidden="false" name="WIF_Gap_NeedOwn_ModelCapex_B_D2_2030" vbProcedure="false">Interface!$J$722</definedName>
    <definedName function="false" hidden="false" name="WIF_Gap_NeedOwn_ModelCapex_C_D0_2024" vbProcedure="false">Interface!$D$739</definedName>
    <definedName function="false" hidden="false" name="WIF_Gap_NeedOwn_ModelCapex_C_D0_2025" vbProcedure="false">Interface!$E$739</definedName>
    <definedName function="false" hidden="false" name="WIF_Gap_NeedOwn_ModelCapex_C_D0_2026" vbProcedure="false">Interface!$F$739</definedName>
    <definedName function="false" hidden="false" name="WIF_Gap_NeedOwn_ModelCapex_C_D0_2027" vbProcedure="false">Interface!$G$739</definedName>
    <definedName function="false" hidden="false" name="WIF_Gap_NeedOwn_ModelCapex_C_D0_2028" vbProcedure="false">Interface!$H$739</definedName>
    <definedName function="false" hidden="false" name="WIF_Gap_NeedOwn_ModelCapex_C_D0_2029" vbProcedure="false">Interface!$I$739</definedName>
    <definedName function="false" hidden="false" name="WIF_Gap_NeedOwn_ModelCapex_C_D0_2030" vbProcedure="false">Interface!$J$739</definedName>
    <definedName function="false" hidden="false" name="WIF_Gap_NeedOwn_ModelCapex_C_D1_2024" vbProcedure="false">Interface!$D$756</definedName>
    <definedName function="false" hidden="false" name="WIF_Gap_NeedOwn_ModelCapex_C_D1_2025" vbProcedure="false">Interface!$E$756</definedName>
    <definedName function="false" hidden="false" name="WIF_Gap_NeedOwn_ModelCapex_C_D1_2026" vbProcedure="false">Interface!$F$756</definedName>
    <definedName function="false" hidden="false" name="WIF_Gap_NeedOwn_ModelCapex_C_D1_2027" vbProcedure="false">Interface!$G$756</definedName>
    <definedName function="false" hidden="false" name="WIF_Gap_NeedOwn_ModelCapex_C_D1_2028" vbProcedure="false">Interface!$H$756</definedName>
    <definedName function="false" hidden="false" name="WIF_Gap_NeedOwn_ModelCapex_C_D1_2029" vbProcedure="false">Interface!$I$756</definedName>
    <definedName function="false" hidden="false" name="WIF_Gap_NeedOwn_ModelCapex_C_D1_2030" vbProcedure="false">Interface!$J$756</definedName>
    <definedName function="false" hidden="false" name="WIF_Gap_NeedOwn_ModelCapex_C_D2_2024" vbProcedure="false">Interface!$D$773</definedName>
    <definedName function="false" hidden="false" name="WIF_Gap_NeedOwn_ModelCapex_C_D2_2025" vbProcedure="false">Interface!$E$773</definedName>
    <definedName function="false" hidden="false" name="WIF_Gap_NeedOwn_ModelCapex_C_D2_2026" vbProcedure="false">Interface!$F$773</definedName>
    <definedName function="false" hidden="false" name="WIF_Gap_NeedOwn_ModelCapex_C_D2_2027" vbProcedure="false">Interface!$G$773</definedName>
    <definedName function="false" hidden="false" name="WIF_Gap_NeedOwn_ModelCapex_C_D2_2028" vbProcedure="false">Interface!$H$773</definedName>
    <definedName function="false" hidden="false" name="WIF_Gap_NeedOwn_ModelCapex_C_D2_2029" vbProcedure="false">Interface!$I$773</definedName>
    <definedName function="false" hidden="false" name="WIF_Gap_NeedOwn_ModelCapex_C_D2_2030" vbProcedure="false">Interface!$J$773</definedName>
    <definedName function="false" hidden="false" name="WIF_Gap_Need_A_D0_2024" vbProcedure="false">Interface!$D$629</definedName>
    <definedName function="false" hidden="false" name="WIF_Gap_Need_A_D0_2025" vbProcedure="false">Interface!$E$629</definedName>
    <definedName function="false" hidden="false" name="WIF_Gap_Need_A_D0_2026" vbProcedure="false">Interface!$F$629</definedName>
    <definedName function="false" hidden="false" name="WIF_Gap_Need_A_D0_2027" vbProcedure="false">Interface!$G$629</definedName>
    <definedName function="false" hidden="false" name="WIF_Gap_Need_A_D0_2028" vbProcedure="false">Interface!$H$629</definedName>
    <definedName function="false" hidden="false" name="WIF_Gap_Need_A_D0_2029" vbProcedure="false">Interface!$I$629</definedName>
    <definedName function="false" hidden="false" name="WIF_Gap_Need_A_D0_2030" vbProcedure="false">Interface!$J$629</definedName>
    <definedName function="false" hidden="false" name="WIF_Gap_Need_A_D1_2024" vbProcedure="false">Interface!$D$646</definedName>
    <definedName function="false" hidden="false" name="WIF_Gap_Need_A_D1_2025" vbProcedure="false">Interface!$E$646</definedName>
    <definedName function="false" hidden="false" name="WIF_Gap_Need_A_D1_2026" vbProcedure="false">Interface!$F$646</definedName>
    <definedName function="false" hidden="false" name="WIF_Gap_Need_A_D1_2027" vbProcedure="false">Interface!$G$646</definedName>
    <definedName function="false" hidden="false" name="WIF_Gap_Need_A_D1_2028" vbProcedure="false">Interface!$H$646</definedName>
    <definedName function="false" hidden="false" name="WIF_Gap_Need_A_D1_2029" vbProcedure="false">Interface!$I$646</definedName>
    <definedName function="false" hidden="false" name="WIF_Gap_Need_A_D1_2030" vbProcedure="false">Interface!$J$646</definedName>
    <definedName function="false" hidden="false" name="WIF_Gap_Need_A_D2_2024" vbProcedure="false">Interface!$D$663</definedName>
    <definedName function="false" hidden="false" name="WIF_Gap_Need_A_D2_2025" vbProcedure="false">Interface!$E$663</definedName>
    <definedName function="false" hidden="false" name="WIF_Gap_Need_A_D2_2026" vbProcedure="false">Interface!$F$663</definedName>
    <definedName function="false" hidden="false" name="WIF_Gap_Need_A_D2_2027" vbProcedure="false">Interface!$G$663</definedName>
    <definedName function="false" hidden="false" name="WIF_Gap_Need_A_D2_2028" vbProcedure="false">Interface!$H$663</definedName>
    <definedName function="false" hidden="false" name="WIF_Gap_Need_A_D2_2029" vbProcedure="false">Interface!$I$663</definedName>
    <definedName function="false" hidden="false" name="WIF_Gap_Need_A_D2_2030" vbProcedure="false">Interface!$J$663</definedName>
    <definedName function="false" hidden="false" name="WIF_Gap_Need_B_D0_2024" vbProcedure="false">Interface!$D$680</definedName>
    <definedName function="false" hidden="false" name="WIF_Gap_Need_B_D0_2025" vbProcedure="false">Interface!$E$680</definedName>
    <definedName function="false" hidden="false" name="WIF_Gap_Need_B_D0_2026" vbProcedure="false">Interface!$F$680</definedName>
    <definedName function="false" hidden="false" name="WIF_Gap_Need_B_D0_2027" vbProcedure="false">Interface!$G$680</definedName>
    <definedName function="false" hidden="false" name="WIF_Gap_Need_B_D0_2028" vbProcedure="false">Interface!$H$680</definedName>
    <definedName function="false" hidden="false" name="WIF_Gap_Need_B_D0_2029" vbProcedure="false">Interface!$I$680</definedName>
    <definedName function="false" hidden="false" name="WIF_Gap_Need_B_D0_2030" vbProcedure="false">Interface!$J$680</definedName>
    <definedName function="false" hidden="false" name="WIF_Gap_Need_B_D1_2024" vbProcedure="false">Interface!$D$697</definedName>
    <definedName function="false" hidden="false" name="WIF_Gap_Need_B_D1_2025" vbProcedure="false">Interface!$E$697</definedName>
    <definedName function="false" hidden="false" name="WIF_Gap_Need_B_D1_2026" vbProcedure="false">Interface!$F$697</definedName>
    <definedName function="false" hidden="false" name="WIF_Gap_Need_B_D1_2027" vbProcedure="false">Interface!$G$697</definedName>
    <definedName function="false" hidden="false" name="WIF_Gap_Need_B_D1_2028" vbProcedure="false">Interface!$H$697</definedName>
    <definedName function="false" hidden="false" name="WIF_Gap_Need_B_D1_2029" vbProcedure="false">Interface!$I$697</definedName>
    <definedName function="false" hidden="false" name="WIF_Gap_Need_B_D1_2030" vbProcedure="false">Interface!$J$697</definedName>
    <definedName function="false" hidden="false" name="WIF_Gap_Need_B_D2_2024" vbProcedure="false">Interface!$D$714</definedName>
    <definedName function="false" hidden="false" name="WIF_Gap_Need_B_D2_2025" vbProcedure="false">Interface!$E$714</definedName>
    <definedName function="false" hidden="false" name="WIF_Gap_Need_B_D2_2026" vbProcedure="false">Interface!$F$714</definedName>
    <definedName function="false" hidden="false" name="WIF_Gap_Need_B_D2_2027" vbProcedure="false">Interface!$G$714</definedName>
    <definedName function="false" hidden="false" name="WIF_Gap_Need_B_D2_2028" vbProcedure="false">Interface!$H$714</definedName>
    <definedName function="false" hidden="false" name="WIF_Gap_Need_B_D2_2029" vbProcedure="false">Interface!$I$714</definedName>
    <definedName function="false" hidden="false" name="WIF_Gap_Need_B_D2_2030" vbProcedure="false">Interface!$J$714</definedName>
    <definedName function="false" hidden="false" name="WIF_Gap_Need_C_D0_2024" vbProcedure="false">Interface!$D$731</definedName>
    <definedName function="false" hidden="false" name="WIF_Gap_Need_C_D0_2025" vbProcedure="false">Interface!$E$731</definedName>
    <definedName function="false" hidden="false" name="WIF_Gap_Need_C_D0_2026" vbProcedure="false">Interface!$F$731</definedName>
    <definedName function="false" hidden="false" name="WIF_Gap_Need_C_D0_2027" vbProcedure="false">Interface!$G$731</definedName>
    <definedName function="false" hidden="false" name="WIF_Gap_Need_C_D0_2028" vbProcedure="false">Interface!$H$731</definedName>
    <definedName function="false" hidden="false" name="WIF_Gap_Need_C_D0_2029" vbProcedure="false">Interface!$I$731</definedName>
    <definedName function="false" hidden="false" name="WIF_Gap_Need_C_D0_2030" vbProcedure="false">Interface!$J$731</definedName>
    <definedName function="false" hidden="false" name="WIF_Gap_Need_C_D1_2024" vbProcedure="false">Interface!$D$748</definedName>
    <definedName function="false" hidden="false" name="WIF_Gap_Need_C_D1_2025" vbProcedure="false">Interface!$E$748</definedName>
    <definedName function="false" hidden="false" name="WIF_Gap_Need_C_D1_2026" vbProcedure="false">Interface!$F$748</definedName>
    <definedName function="false" hidden="false" name="WIF_Gap_Need_C_D1_2027" vbProcedure="false">Interface!$G$748</definedName>
    <definedName function="false" hidden="false" name="WIF_Gap_Need_C_D1_2028" vbProcedure="false">Interface!$H$748</definedName>
    <definedName function="false" hidden="false" name="WIF_Gap_Need_C_D1_2029" vbProcedure="false">Interface!$I$748</definedName>
    <definedName function="false" hidden="false" name="WIF_Gap_Need_C_D1_2030" vbProcedure="false">Interface!$J$748</definedName>
    <definedName function="false" hidden="false" name="WIF_Gap_Need_C_D2_2024" vbProcedure="false">Interface!$D$765</definedName>
    <definedName function="false" hidden="false" name="WIF_Gap_Need_C_D2_2025" vbProcedure="false">Interface!$E$765</definedName>
    <definedName function="false" hidden="false" name="WIF_Gap_Need_C_D2_2026" vbProcedure="false">Interface!$F$765</definedName>
    <definedName function="false" hidden="false" name="WIF_Gap_Need_C_D2_2027" vbProcedure="false">Interface!$G$765</definedName>
    <definedName function="false" hidden="false" name="WIF_Gap_Need_C_D2_2028" vbProcedure="false">Interface!$H$765</definedName>
    <definedName function="false" hidden="false" name="WIF_Gap_Need_C_D2_2029" vbProcedure="false">Interface!$I$765</definedName>
    <definedName function="false" hidden="false" name="WIF_Gap_Need_C_D2_2030" vbProcedure="false">Interface!$J$765</definedName>
    <definedName function="false" hidden="false" name="WIF_Gap_Need_ModelCapex_A_D0_2024" vbProcedure="false">Interface!$D$636</definedName>
    <definedName function="false" hidden="false" name="WIF_Gap_Need_ModelCapex_A_D0_2025" vbProcedure="false">Interface!$E$636</definedName>
    <definedName function="false" hidden="false" name="WIF_Gap_Need_ModelCapex_A_D0_2026" vbProcedure="false">Interface!$F$636</definedName>
    <definedName function="false" hidden="false" name="WIF_Gap_Need_ModelCapex_A_D0_2027" vbProcedure="false">Interface!$G$636</definedName>
    <definedName function="false" hidden="false" name="WIF_Gap_Need_ModelCapex_A_D0_2028" vbProcedure="false">Interface!$H$636</definedName>
    <definedName function="false" hidden="false" name="WIF_Gap_Need_ModelCapex_A_D0_2029" vbProcedure="false">Interface!$I$636</definedName>
    <definedName function="false" hidden="false" name="WIF_Gap_Need_ModelCapex_A_D0_2030" vbProcedure="false">Interface!$J$636</definedName>
    <definedName function="false" hidden="false" name="WIF_Gap_Need_ModelCapex_A_D1_2024" vbProcedure="false">Interface!$D$653</definedName>
    <definedName function="false" hidden="false" name="WIF_Gap_Need_ModelCapex_A_D1_2025" vbProcedure="false">Interface!$E$653</definedName>
    <definedName function="false" hidden="false" name="WIF_Gap_Need_ModelCapex_A_D1_2026" vbProcedure="false">Interface!$F$653</definedName>
    <definedName function="false" hidden="false" name="WIF_Gap_Need_ModelCapex_A_D1_2027" vbProcedure="false">Interface!$G$653</definedName>
    <definedName function="false" hidden="false" name="WIF_Gap_Need_ModelCapex_A_D1_2028" vbProcedure="false">Interface!$H$653</definedName>
    <definedName function="false" hidden="false" name="WIF_Gap_Need_ModelCapex_A_D1_2029" vbProcedure="false">Interface!$I$653</definedName>
    <definedName function="false" hidden="false" name="WIF_Gap_Need_ModelCapex_A_D1_2030" vbProcedure="false">Interface!$J$653</definedName>
    <definedName function="false" hidden="false" name="WIF_Gap_Need_ModelCapex_A_D2_2024" vbProcedure="false">Interface!$D$670</definedName>
    <definedName function="false" hidden="false" name="WIF_Gap_Need_ModelCapex_A_D2_2025" vbProcedure="false">Interface!$E$670</definedName>
    <definedName function="false" hidden="false" name="WIF_Gap_Need_ModelCapex_A_D2_2026" vbProcedure="false">Interface!$F$670</definedName>
    <definedName function="false" hidden="false" name="WIF_Gap_Need_ModelCapex_A_D2_2027" vbProcedure="false">Interface!$G$670</definedName>
    <definedName function="false" hidden="false" name="WIF_Gap_Need_ModelCapex_A_D2_2028" vbProcedure="false">Interface!$H$670</definedName>
    <definedName function="false" hidden="false" name="WIF_Gap_Need_ModelCapex_A_D2_2029" vbProcedure="false">Interface!$I$670</definedName>
    <definedName function="false" hidden="false" name="WIF_Gap_Need_ModelCapex_A_D2_2030" vbProcedure="false">Interface!$J$670</definedName>
    <definedName function="false" hidden="false" name="WIF_Gap_Need_ModelCapex_B_D0_2024" vbProcedure="false">Interface!$D$687</definedName>
    <definedName function="false" hidden="false" name="WIF_Gap_Need_ModelCapex_B_D0_2025" vbProcedure="false">Interface!$E$687</definedName>
    <definedName function="false" hidden="false" name="WIF_Gap_Need_ModelCapex_B_D0_2026" vbProcedure="false">Interface!$F$687</definedName>
    <definedName function="false" hidden="false" name="WIF_Gap_Need_ModelCapex_B_D0_2027" vbProcedure="false">Interface!$G$687</definedName>
    <definedName function="false" hidden="false" name="WIF_Gap_Need_ModelCapex_B_D0_2028" vbProcedure="false">Interface!$H$687</definedName>
    <definedName function="false" hidden="false" name="WIF_Gap_Need_ModelCapex_B_D0_2029" vbProcedure="false">Interface!$I$687</definedName>
    <definedName function="false" hidden="false" name="WIF_Gap_Need_ModelCapex_B_D0_2030" vbProcedure="false">Interface!$J$687</definedName>
    <definedName function="false" hidden="false" name="WIF_Gap_Need_ModelCapex_B_D1_2024" vbProcedure="false">Interface!$D$704</definedName>
    <definedName function="false" hidden="false" name="WIF_Gap_Need_ModelCapex_B_D1_2025" vbProcedure="false">Interface!$E$704</definedName>
    <definedName function="false" hidden="false" name="WIF_Gap_Need_ModelCapex_B_D1_2026" vbProcedure="false">Interface!$F$704</definedName>
    <definedName function="false" hidden="false" name="WIF_Gap_Need_ModelCapex_B_D1_2027" vbProcedure="false">Interface!$G$704</definedName>
    <definedName function="false" hidden="false" name="WIF_Gap_Need_ModelCapex_B_D1_2028" vbProcedure="false">Interface!$H$704</definedName>
    <definedName function="false" hidden="false" name="WIF_Gap_Need_ModelCapex_B_D1_2029" vbProcedure="false">Interface!$I$704</definedName>
    <definedName function="false" hidden="false" name="WIF_Gap_Need_ModelCapex_B_D1_2030" vbProcedure="false">Interface!$J$704</definedName>
    <definedName function="false" hidden="false" name="WIF_Gap_Need_ModelCapex_B_D2_2024" vbProcedure="false">Interface!$D$721</definedName>
    <definedName function="false" hidden="false" name="WIF_Gap_Need_ModelCapex_B_D2_2025" vbProcedure="false">Interface!$E$721</definedName>
    <definedName function="false" hidden="false" name="WIF_Gap_Need_ModelCapex_B_D2_2026" vbProcedure="false">Interface!$F$721</definedName>
    <definedName function="false" hidden="false" name="WIF_Gap_Need_ModelCapex_B_D2_2027" vbProcedure="false">Interface!$G$721</definedName>
    <definedName function="false" hidden="false" name="WIF_Gap_Need_ModelCapex_B_D2_2028" vbProcedure="false">Interface!$H$721</definedName>
    <definedName function="false" hidden="false" name="WIF_Gap_Need_ModelCapex_B_D2_2029" vbProcedure="false">Interface!$I$721</definedName>
    <definedName function="false" hidden="false" name="WIF_Gap_Need_ModelCapex_B_D2_2030" vbProcedure="false">Interface!$J$721</definedName>
    <definedName function="false" hidden="false" name="WIF_Gap_Need_ModelCapex_C_D0_2024" vbProcedure="false">Interface!$D$738</definedName>
    <definedName function="false" hidden="false" name="WIF_Gap_Need_ModelCapex_C_D0_2025" vbProcedure="false">Interface!$E$738</definedName>
    <definedName function="false" hidden="false" name="WIF_Gap_Need_ModelCapex_C_D0_2026" vbProcedure="false">Interface!$F$738</definedName>
    <definedName function="false" hidden="false" name="WIF_Gap_Need_ModelCapex_C_D0_2027" vbProcedure="false">Interface!$G$738</definedName>
    <definedName function="false" hidden="false" name="WIF_Gap_Need_ModelCapex_C_D0_2028" vbProcedure="false">Interface!$H$738</definedName>
    <definedName function="false" hidden="false" name="WIF_Gap_Need_ModelCapex_C_D0_2029" vbProcedure="false">Interface!$I$738</definedName>
    <definedName function="false" hidden="false" name="WIF_Gap_Need_ModelCapex_C_D0_2030" vbProcedure="false">Interface!$J$738</definedName>
    <definedName function="false" hidden="false" name="WIF_Gap_Need_ModelCapex_C_D1_2024" vbProcedure="false">Interface!$D$755</definedName>
    <definedName function="false" hidden="false" name="WIF_Gap_Need_ModelCapex_C_D1_2025" vbProcedure="false">Interface!$E$755</definedName>
    <definedName function="false" hidden="false" name="WIF_Gap_Need_ModelCapex_C_D1_2026" vbProcedure="false">Interface!$F$755</definedName>
    <definedName function="false" hidden="false" name="WIF_Gap_Need_ModelCapex_C_D1_2027" vbProcedure="false">Interface!$G$755</definedName>
    <definedName function="false" hidden="false" name="WIF_Gap_Need_ModelCapex_C_D1_2028" vbProcedure="false">Interface!$H$755</definedName>
    <definedName function="false" hidden="false" name="WIF_Gap_Need_ModelCapex_C_D1_2029" vbProcedure="false">Interface!$I$755</definedName>
    <definedName function="false" hidden="false" name="WIF_Gap_Need_ModelCapex_C_D1_2030" vbProcedure="false">Interface!$J$755</definedName>
    <definedName function="false" hidden="false" name="WIF_Gap_Need_ModelCapex_C_D2_2024" vbProcedure="false">Interface!$D$772</definedName>
    <definedName function="false" hidden="false" name="WIF_Gap_Need_ModelCapex_C_D2_2025" vbProcedure="false">Interface!$E$772</definedName>
    <definedName function="false" hidden="false" name="WIF_Gap_Need_ModelCapex_C_D2_2026" vbProcedure="false">Interface!$F$772</definedName>
    <definedName function="false" hidden="false" name="WIF_Gap_Need_ModelCapex_C_D2_2027" vbProcedure="false">Interface!$G$772</definedName>
    <definedName function="false" hidden="false" name="WIF_Gap_Need_ModelCapex_C_D2_2028" vbProcedure="false">Interface!$H$772</definedName>
    <definedName function="false" hidden="false" name="WIF_Gap_Need_ModelCapex_C_D2_2029" vbProcedure="false">Interface!$I$772</definedName>
    <definedName function="false" hidden="false" name="WIF_Gap_Need_ModelCapex_C_D2_2030" vbProcedure="false">Interface!$J$772</definedName>
    <definedName function="false" hidden="false" name="WIF_Gap_NonAIFallbackCells_2024" vbProcedure="false">Interface!$D$619</definedName>
    <definedName function="false" hidden="false" name="WIF_Gap_NonAIFallbackCells_2025" vbProcedure="false">Interface!$E$619</definedName>
    <definedName function="false" hidden="false" name="WIF_Gap_NonAIFallbackCells_2026" vbProcedure="false">Interface!$F$619</definedName>
    <definedName function="false" hidden="false" name="WIF_Gap_NonAIFallbackCells_2027" vbProcedure="false">Interface!$G$619</definedName>
    <definedName function="false" hidden="false" name="WIF_Gap_NonAIFallbackCells_2028" vbProcedure="false">Interface!$H$619</definedName>
    <definedName function="false" hidden="false" name="WIF_Gap_NonAIFallbackCells_2029" vbProcedure="false">Interface!$I$619</definedName>
    <definedName function="false" hidden="false" name="WIF_Gap_NonAIFallbackCells_2030" vbProcedure="false">Interface!$J$619</definedName>
    <definedName function="false" hidden="false" name="WIF_Gap_NonAIZeroCells_2024" vbProcedure="false">Interface!$D$620</definedName>
    <definedName function="false" hidden="false" name="WIF_Gap_NonAIZeroCells_2025" vbProcedure="false">Interface!$E$620</definedName>
    <definedName function="false" hidden="false" name="WIF_Gap_NonAIZeroCells_2026" vbProcedure="false">Interface!$F$620</definedName>
    <definedName function="false" hidden="false" name="WIF_Gap_NonAIZeroCells_2027" vbProcedure="false">Interface!$G$620</definedName>
    <definedName function="false" hidden="false" name="WIF_Gap_NonAIZeroCells_2028" vbProcedure="false">Interface!$H$620</definedName>
    <definedName function="false" hidden="false" name="WIF_Gap_NonAIZeroCells_2029" vbProcedure="false">Interface!$I$620</definedName>
    <definedName function="false" hidden="false" name="WIF_Gap_NonAIZeroCells_2030" vbProcedure="false">Interface!$J$620</definedName>
    <definedName function="false" hidden="false" name="WIF_Gap_NonAI_2024" vbProcedure="false">Interface!$D$613</definedName>
    <definedName function="false" hidden="false" name="WIF_Gap_NonAI_2025" vbProcedure="false">Interface!$E$613</definedName>
    <definedName function="false" hidden="false" name="WIF_Gap_NonAI_2026" vbProcedure="false">Interface!$F$613</definedName>
    <definedName function="false" hidden="false" name="WIF_Gap_NonAI_2027" vbProcedure="false">Interface!$G$613</definedName>
    <definedName function="false" hidden="false" name="WIF_Gap_NonAI_2028" vbProcedure="false">Interface!$H$613</definedName>
    <definedName function="false" hidden="false" name="WIF_Gap_NonAI_2029" vbProcedure="false">Interface!$I$613</definedName>
    <definedName function="false" hidden="false" name="WIF_Gap_NonAI_2030" vbProcedure="false">Interface!$J$613</definedName>
    <definedName function="false" hidden="false" name="WIF_Gap_OCFMissing_2024" vbProcedure="false">Interface!$D$617</definedName>
    <definedName function="false" hidden="false" name="WIF_Gap_OCFMissing_2025" vbProcedure="false">Interface!$E$617</definedName>
    <definedName function="false" hidden="false" name="WIF_Gap_OCFMissing_2026" vbProcedure="false">Interface!$F$617</definedName>
    <definedName function="false" hidden="false" name="WIF_Gap_OCFMissing_2027" vbProcedure="false">Interface!$G$617</definedName>
    <definedName function="false" hidden="false" name="WIF_Gap_OCFMissing_2028" vbProcedure="false">Interface!$H$617</definedName>
    <definedName function="false" hidden="false" name="WIF_Gap_OCFMissing_2029" vbProcedure="false">Interface!$I$617</definedName>
    <definedName function="false" hidden="false" name="WIF_Gap_OCFMissing_2030" vbProcedure="false">Interface!$J$617</definedName>
    <definedName function="false" hidden="false" name="WIF_Gap_OCF_2024" vbProcedure="false">Interface!$D$614</definedName>
    <definedName function="false" hidden="false" name="WIF_Gap_OCF_2025" vbProcedure="false">Interface!$E$614</definedName>
    <definedName function="false" hidden="false" name="WIF_Gap_OCF_2026" vbProcedure="false">Interface!$F$614</definedName>
    <definedName function="false" hidden="false" name="WIF_Gap_OCF_2027" vbProcedure="false">Interface!$G$614</definedName>
    <definedName function="false" hidden="false" name="WIF_Gap_OCF_2028" vbProcedure="false">Interface!$H$614</definedName>
    <definedName function="false" hidden="false" name="WIF_Gap_OCF_2029" vbProcedure="false">Interface!$I$614</definedName>
    <definedName function="false" hidden="false" name="WIF_Gap_OCF_2030" vbProcedure="false">Interface!$J$614</definedName>
    <definedName function="false" hidden="false" name="WIF_Gap_OpenCash" vbProcedure="false">Interface!$D$618</definedName>
    <definedName function="false" hidden="false" name="WIF_Gap_PerGW_2024" vbProcedure="false">Interface!$D$594</definedName>
    <definedName function="false" hidden="false" name="WIF_Gap_PerGW_2025" vbProcedure="false">Interface!$E$594</definedName>
    <definedName function="false" hidden="false" name="WIF_Gap_PerGW_2026" vbProcedure="false">Interface!$F$594</definedName>
    <definedName function="false" hidden="false" name="WIF_Gap_PerGW_2027" vbProcedure="false">Interface!$G$594</definedName>
    <definedName function="false" hidden="false" name="WIF_Gap_PerGW_2028" vbProcedure="false">Interface!$H$594</definedName>
    <definedName function="false" hidden="false" name="WIF_Gap_PerGW_2029" vbProcedure="false">Interface!$I$594</definedName>
    <definedName function="false" hidden="false" name="WIF_Gap_PerGW_2030" vbProcedure="false">Interface!$J$594</definedName>
    <definedName function="false" hidden="false" name="WIF_Gap_PlayerCash_amzn" vbProcedure="false">Interface!$D$834</definedName>
    <definedName function="false" hidden="false" name="WIF_Gap_PlayerCash_ant" vbProcedure="false">Interface!$D$929</definedName>
    <definedName function="false" hidden="false" name="WIF_Gap_PlayerCash_crwv" vbProcedure="false">Interface!$D$870</definedName>
    <definedName function="false" hidden="false" name="WIF_Gap_PlayerCash_googl" vbProcedure="false">Interface!$D$822</definedName>
    <definedName function="false" hidden="false" name="WIF_Gap_PlayerCash_meta" vbProcedure="false">Interface!$D$846</definedName>
    <definedName function="false" hidden="false" name="WIF_Gap_PlayerCash_msft" vbProcedure="false">Interface!$D$810</definedName>
    <definedName function="false" hidden="false" name="WIF_Gap_PlayerCash_nbis" vbProcedure="false">Interface!$D$882</definedName>
    <definedName function="false" hidden="false" name="WIF_Gap_PlayerCash_oai" vbProcedure="false">Interface!$D$917</definedName>
    <definedName function="false" hidden="false" name="WIF_Gap_PlayerCash_orcl" vbProcedure="false">Interface!$D$858</definedName>
    <definedName function="false" hidden="false" name="WIF_Gap_PlayerCash_wyfi" vbProcedure="false">Interface!$D$894</definedName>
    <definedName function="false" hidden="false" name="WIF_Gap_PlayerCash_xai" vbProcedure="false">Interface!$D$905</definedName>
    <definedName function="false" hidden="false" name="WIF_Gap_PlayerCommitted_amzn" vbProcedure="false">Interface!$D$835</definedName>
    <definedName function="false" hidden="false" name="WIF_Gap_PlayerCommitted_ant" vbProcedure="false">Interface!$D$930</definedName>
    <definedName function="false" hidden="false" name="WIF_Gap_PlayerCommitted_crwv" vbProcedure="false">Interface!$D$871</definedName>
    <definedName function="false" hidden="false" name="WIF_Gap_PlayerCommitted_googl" vbProcedure="false">Interface!$D$823</definedName>
    <definedName function="false" hidden="false" name="WIF_Gap_PlayerCommitted_meta" vbProcedure="false">Interface!$D$847</definedName>
    <definedName function="false" hidden="false" name="WIF_Gap_PlayerCommitted_msft" vbProcedure="false">Interface!$D$811</definedName>
    <definedName function="false" hidden="false" name="WIF_Gap_PlayerCommitted_nbis" vbProcedure="false">Interface!$D$883</definedName>
    <definedName function="false" hidden="false" name="WIF_Gap_PlayerCommitted_oai" vbProcedure="false">Interface!$D$918</definedName>
    <definedName function="false" hidden="false" name="WIF_Gap_PlayerCommitted_orcl" vbProcedure="false">Interface!$D$859</definedName>
    <definedName function="false" hidden="false" name="WIF_Gap_PlayerCommitted_xai" vbProcedure="false">Interface!$D$906</definedName>
    <definedName function="false" hidden="false" name="WIF_Gap_PlayerCumGap_A_D1_amzn" vbProcedure="false">Interface!$D$782</definedName>
    <definedName function="false" hidden="false" name="WIF_Gap_PlayerCumGap_A_D1_ant" vbProcedure="false">Interface!$D$790</definedName>
    <definedName function="false" hidden="false" name="WIF_Gap_PlayerCumGap_A_D1_crwv" vbProcedure="false">Interface!$D$785</definedName>
    <definedName function="false" hidden="false" name="WIF_Gap_PlayerCumGap_A_D1_googl" vbProcedure="false">Interface!$D$781</definedName>
    <definedName function="false" hidden="false" name="WIF_Gap_PlayerCumGap_A_D1_meta" vbProcedure="false">Interface!$D$783</definedName>
    <definedName function="false" hidden="false" name="WIF_Gap_PlayerCumGap_A_D1_msft" vbProcedure="false">Interface!$D$780</definedName>
    <definedName function="false" hidden="false" name="WIF_Gap_PlayerCumGap_A_D1_nbis" vbProcedure="false">Interface!$D$786</definedName>
    <definedName function="false" hidden="false" name="WIF_Gap_PlayerCumGap_A_D1_oai" vbProcedure="false">Interface!$D$789</definedName>
    <definedName function="false" hidden="false" name="WIF_Gap_PlayerCumGap_A_D1_orcl" vbProcedure="false">Interface!$D$784</definedName>
    <definedName function="false" hidden="false" name="WIF_Gap_PlayerCumGap_A_D1_wyfi" vbProcedure="false">Interface!$D$787</definedName>
    <definedName function="false" hidden="false" name="WIF_Gap_PlayerCumGap_A_D1_xai" vbProcedure="false">Interface!$D$788</definedName>
    <definedName function="false" hidden="false" name="WIF_Gap_PlayerVerdict_amzn" vbProcedure="false">Interface!$D$836</definedName>
    <definedName function="false" hidden="false" name="WIF_Gap_PlayerVerdict_ant" vbProcedure="false">Interface!$D$931</definedName>
    <definedName function="false" hidden="false" name="WIF_Gap_PlayerVerdict_crwv" vbProcedure="false">Interface!$D$872</definedName>
    <definedName function="false" hidden="false" name="WIF_Gap_PlayerVerdict_googl" vbProcedure="false">Interface!$D$824</definedName>
    <definedName function="false" hidden="false" name="WIF_Gap_PlayerVerdict_meta" vbProcedure="false">Interface!$D$848</definedName>
    <definedName function="false" hidden="false" name="WIF_Gap_PlayerVerdict_msft" vbProcedure="false">Interface!$D$812</definedName>
    <definedName function="false" hidden="false" name="WIF_Gap_PlayerVerdict_nbis" vbProcedure="false">Interface!$D$884</definedName>
    <definedName function="false" hidden="false" name="WIF_Gap_PlayerVerdict_oai" vbProcedure="false">Interface!$D$919</definedName>
    <definedName function="false" hidden="false" name="WIF_Gap_PlayerVerdict_orcl" vbProcedure="false">Interface!$D$860</definedName>
    <definedName function="false" hidden="false" name="WIF_Gap_PlayerVerdict_wyfi" vbProcedure="false">Interface!$D$895</definedName>
    <definedName function="false" hidden="false" name="WIF_Gap_PlayerVerdict_xai" vbProcedure="false">Interface!$D$907</definedName>
    <definedName function="false" hidden="false" name="WIF_Gap_Player_amzn_2024_Buyback" vbProcedure="false">Interface!$D$830</definedName>
    <definedName function="false" hidden="false" name="WIF_Gap_Player_amzn_2024_CapexAI" vbProcedure="false">Interface!$D$826</definedName>
    <definedName function="false" hidden="false" name="WIF_Gap_Player_amzn_2024_CapexAIGW" vbProcedure="false">Interface!$D$832</definedName>
    <definedName function="false" hidden="false" name="WIF_Gap_Player_amzn_2024_CapexAIMC" vbProcedure="false">Interface!$D$833</definedName>
    <definedName function="false" hidden="false" name="WIF_Gap_Player_amzn_2024_CapexAIModel" vbProcedure="false">Interface!$D$831</definedName>
    <definedName function="false" hidden="false" name="WIF_Gap_Player_amzn_2024_CapexNonAI" vbProcedure="false">Interface!$D$827</definedName>
    <definedName function="false" hidden="false" name="WIF_Gap_Player_amzn_2024_Gap" vbProcedure="false">Interface!$D$828</definedName>
    <definedName function="false" hidden="false" name="WIF_Gap_Player_amzn_2024_OCF" vbProcedure="false">Interface!$D$825</definedName>
    <definedName function="false" hidden="false" name="WIF_Gap_Player_amzn_2024_SelfFund" vbProcedure="false">Interface!$D$829</definedName>
    <definedName function="false" hidden="false" name="WIF_Gap_Player_amzn_2025_Buyback" vbProcedure="false">Interface!$E$830</definedName>
    <definedName function="false" hidden="false" name="WIF_Gap_Player_amzn_2025_CapexAI" vbProcedure="false">Interface!$E$826</definedName>
    <definedName function="false" hidden="false" name="WIF_Gap_Player_amzn_2025_CapexAIGW" vbProcedure="false">Interface!$E$832</definedName>
    <definedName function="false" hidden="false" name="WIF_Gap_Player_amzn_2025_CapexAIMC" vbProcedure="false">Interface!$E$833</definedName>
    <definedName function="false" hidden="false" name="WIF_Gap_Player_amzn_2025_CapexAIModel" vbProcedure="false">Interface!$E$831</definedName>
    <definedName function="false" hidden="false" name="WIF_Gap_Player_amzn_2025_CapexNonAI" vbProcedure="false">Interface!$E$827</definedName>
    <definedName function="false" hidden="false" name="WIF_Gap_Player_amzn_2025_Gap" vbProcedure="false">Interface!$E$828</definedName>
    <definedName function="false" hidden="false" name="WIF_Gap_Player_amzn_2025_OCF" vbProcedure="false">Interface!$E$825</definedName>
    <definedName function="false" hidden="false" name="WIF_Gap_Player_amzn_2025_SelfFund" vbProcedure="false">Interface!$E$829</definedName>
    <definedName function="false" hidden="false" name="WIF_Gap_Player_amzn_2026_Buyback" vbProcedure="false">Interface!$F$830</definedName>
    <definedName function="false" hidden="false" name="WIF_Gap_Player_amzn_2026_CapexAI" vbProcedure="false">Interface!$F$826</definedName>
    <definedName function="false" hidden="false" name="WIF_Gap_Player_amzn_2026_CapexAIGW" vbProcedure="false">Interface!$F$832</definedName>
    <definedName function="false" hidden="false" name="WIF_Gap_Player_amzn_2026_CapexAIMC" vbProcedure="false">Interface!$F$833</definedName>
    <definedName function="false" hidden="false" name="WIF_Gap_Player_amzn_2026_CapexAIModel" vbProcedure="false">Interface!$F$831</definedName>
    <definedName function="false" hidden="false" name="WIF_Gap_Player_amzn_2026_CapexNonAI" vbProcedure="false">Interface!$F$827</definedName>
    <definedName function="false" hidden="false" name="WIF_Gap_Player_amzn_2026_Gap" vbProcedure="false">Interface!$F$828</definedName>
    <definedName function="false" hidden="false" name="WIF_Gap_Player_amzn_2026_OCF" vbProcedure="false">Interface!$F$825</definedName>
    <definedName function="false" hidden="false" name="WIF_Gap_Player_amzn_2026_SelfFund" vbProcedure="false">Interface!$F$829</definedName>
    <definedName function="false" hidden="false" name="WIF_Gap_Player_amzn_2027_Buyback" vbProcedure="false">Interface!$G$830</definedName>
    <definedName function="false" hidden="false" name="WIF_Gap_Player_amzn_2027_CapexAI" vbProcedure="false">Interface!$G$826</definedName>
    <definedName function="false" hidden="false" name="WIF_Gap_Player_amzn_2027_CapexAIGW" vbProcedure="false">Interface!$G$832</definedName>
    <definedName function="false" hidden="false" name="WIF_Gap_Player_amzn_2027_CapexAIMC" vbProcedure="false">Interface!$G$833</definedName>
    <definedName function="false" hidden="false" name="WIF_Gap_Player_amzn_2027_CapexAIModel" vbProcedure="false">Interface!$G$831</definedName>
    <definedName function="false" hidden="false" name="WIF_Gap_Player_amzn_2027_CapexNonAI" vbProcedure="false">Interface!$G$827</definedName>
    <definedName function="false" hidden="false" name="WIF_Gap_Player_amzn_2027_Gap" vbProcedure="false">Interface!$G$828</definedName>
    <definedName function="false" hidden="false" name="WIF_Gap_Player_amzn_2027_OCF" vbProcedure="false">Interface!$G$825</definedName>
    <definedName function="false" hidden="false" name="WIF_Gap_Player_amzn_2027_SelfFund" vbProcedure="false">Interface!$G$829</definedName>
    <definedName function="false" hidden="false" name="WIF_Gap_Player_amzn_2028_Buyback" vbProcedure="false">Interface!$H$830</definedName>
    <definedName function="false" hidden="false" name="WIF_Gap_Player_amzn_2028_CapexAI" vbProcedure="false">Interface!$H$826</definedName>
    <definedName function="false" hidden="false" name="WIF_Gap_Player_amzn_2028_CapexAIGW" vbProcedure="false">Interface!$H$832</definedName>
    <definedName function="false" hidden="false" name="WIF_Gap_Player_amzn_2028_CapexAIMC" vbProcedure="false">Interface!$H$833</definedName>
    <definedName function="false" hidden="false" name="WIF_Gap_Player_amzn_2028_CapexAIModel" vbProcedure="false">Interface!$H$831</definedName>
    <definedName function="false" hidden="false" name="WIF_Gap_Player_amzn_2028_CapexNonAI" vbProcedure="false">Interface!$H$827</definedName>
    <definedName function="false" hidden="false" name="WIF_Gap_Player_amzn_2028_Gap" vbProcedure="false">Interface!$H$828</definedName>
    <definedName function="false" hidden="false" name="WIF_Gap_Player_amzn_2028_OCF" vbProcedure="false">Interface!$H$825</definedName>
    <definedName function="false" hidden="false" name="WIF_Gap_Player_amzn_2028_SelfFund" vbProcedure="false">Interface!$H$829</definedName>
    <definedName function="false" hidden="false" name="WIF_Gap_Player_amzn_2029_Buyback" vbProcedure="false">Interface!$I$830</definedName>
    <definedName function="false" hidden="false" name="WIF_Gap_Player_amzn_2029_CapexAI" vbProcedure="false">Interface!$I$826</definedName>
    <definedName function="false" hidden="false" name="WIF_Gap_Player_amzn_2029_CapexAIGW" vbProcedure="false">Interface!$I$832</definedName>
    <definedName function="false" hidden="false" name="WIF_Gap_Player_amzn_2029_CapexAIMC" vbProcedure="false">Interface!$I$833</definedName>
    <definedName function="false" hidden="false" name="WIF_Gap_Player_amzn_2029_CapexAIModel" vbProcedure="false">Interface!$I$831</definedName>
    <definedName function="false" hidden="false" name="WIF_Gap_Player_amzn_2029_CapexNonAI" vbProcedure="false">Interface!$I$827</definedName>
    <definedName function="false" hidden="false" name="WIF_Gap_Player_amzn_2029_Gap" vbProcedure="false">Interface!$I$828</definedName>
    <definedName function="false" hidden="false" name="WIF_Gap_Player_amzn_2029_OCF" vbProcedure="false">Interface!$I$825</definedName>
    <definedName function="false" hidden="false" name="WIF_Gap_Player_amzn_2029_SelfFund" vbProcedure="false">Interface!$I$829</definedName>
    <definedName function="false" hidden="false" name="WIF_Gap_Player_amzn_2030_Buyback" vbProcedure="false">Interface!$J$830</definedName>
    <definedName function="false" hidden="false" name="WIF_Gap_Player_amzn_2030_CapexAI" vbProcedure="false">Interface!$J$826</definedName>
    <definedName function="false" hidden="false" name="WIF_Gap_Player_amzn_2030_CapexAIGW" vbProcedure="false">Interface!$J$832</definedName>
    <definedName function="false" hidden="false" name="WIF_Gap_Player_amzn_2030_CapexAIMC" vbProcedure="false">Interface!$J$833</definedName>
    <definedName function="false" hidden="false" name="WIF_Gap_Player_amzn_2030_CapexAIModel" vbProcedure="false">Interface!$J$831</definedName>
    <definedName function="false" hidden="false" name="WIF_Gap_Player_amzn_2030_CapexNonAI" vbProcedure="false">Interface!$J$827</definedName>
    <definedName function="false" hidden="false" name="WIF_Gap_Player_amzn_2030_Gap" vbProcedure="false">Interface!$J$828</definedName>
    <definedName function="false" hidden="false" name="WIF_Gap_Player_amzn_2030_OCF" vbProcedure="false">Interface!$J$825</definedName>
    <definedName function="false" hidden="false" name="WIF_Gap_Player_amzn_2030_SelfFund" vbProcedure="false">Interface!$J$829</definedName>
    <definedName function="false" hidden="false" name="WIF_Gap_Player_ant_2024_Buyback" vbProcedure="false">Interface!$D$925</definedName>
    <definedName function="false" hidden="false" name="WIF_Gap_Player_ant_2024_CapexAI" vbProcedure="false">Interface!$D$921</definedName>
    <definedName function="false" hidden="false" name="WIF_Gap_Player_ant_2024_CapexAIGW" vbProcedure="false">Interface!$D$927</definedName>
    <definedName function="false" hidden="false" name="WIF_Gap_Player_ant_2024_CapexAIMC" vbProcedure="false">Interface!$D$928</definedName>
    <definedName function="false" hidden="false" name="WIF_Gap_Player_ant_2024_CapexAIModel" vbProcedure="false">Interface!$D$926</definedName>
    <definedName function="false" hidden="false" name="WIF_Gap_Player_ant_2024_CapexNonAI" vbProcedure="false">Interface!$D$922</definedName>
    <definedName function="false" hidden="false" name="WIF_Gap_Player_ant_2024_Gap" vbProcedure="false">Interface!$D$923</definedName>
    <definedName function="false" hidden="false" name="WIF_Gap_Player_ant_2024_OCF" vbProcedure="false">Interface!$D$920</definedName>
    <definedName function="false" hidden="false" name="WIF_Gap_Player_ant_2024_SelfFund" vbProcedure="false">Interface!$D$924</definedName>
    <definedName function="false" hidden="false" name="WIF_Gap_Player_ant_2025_Buyback" vbProcedure="false">Interface!$E$925</definedName>
    <definedName function="false" hidden="false" name="WIF_Gap_Player_ant_2025_CapexAI" vbProcedure="false">Interface!$E$921</definedName>
    <definedName function="false" hidden="false" name="WIF_Gap_Player_ant_2025_CapexAIGW" vbProcedure="false">Interface!$E$927</definedName>
    <definedName function="false" hidden="false" name="WIF_Gap_Player_ant_2025_CapexAIMC" vbProcedure="false">Interface!$E$928</definedName>
    <definedName function="false" hidden="false" name="WIF_Gap_Player_ant_2025_CapexAIModel" vbProcedure="false">Interface!$E$926</definedName>
    <definedName function="false" hidden="false" name="WIF_Gap_Player_ant_2025_CapexNonAI" vbProcedure="false">Interface!$E$922</definedName>
    <definedName function="false" hidden="false" name="WIF_Gap_Player_ant_2025_Gap" vbProcedure="false">Interface!$E$923</definedName>
    <definedName function="false" hidden="false" name="WIF_Gap_Player_ant_2025_OCF" vbProcedure="false">Interface!$E$920</definedName>
    <definedName function="false" hidden="false" name="WIF_Gap_Player_ant_2025_SelfFund" vbProcedure="false">Interface!$E$924</definedName>
    <definedName function="false" hidden="false" name="WIF_Gap_Player_ant_2026_Buyback" vbProcedure="false">Interface!$F$925</definedName>
    <definedName function="false" hidden="false" name="WIF_Gap_Player_ant_2026_CapexAI" vbProcedure="false">Interface!$F$921</definedName>
    <definedName function="false" hidden="false" name="WIF_Gap_Player_ant_2026_CapexAIGW" vbProcedure="false">Interface!$F$927</definedName>
    <definedName function="false" hidden="false" name="WIF_Gap_Player_ant_2026_CapexAIMC" vbProcedure="false">Interface!$F$928</definedName>
    <definedName function="false" hidden="false" name="WIF_Gap_Player_ant_2026_CapexAIModel" vbProcedure="false">Interface!$F$926</definedName>
    <definedName function="false" hidden="false" name="WIF_Gap_Player_ant_2026_CapexNonAI" vbProcedure="false">Interface!$F$922</definedName>
    <definedName function="false" hidden="false" name="WIF_Gap_Player_ant_2026_Gap" vbProcedure="false">Interface!$F$923</definedName>
    <definedName function="false" hidden="false" name="WIF_Gap_Player_ant_2026_OCF" vbProcedure="false">Interface!$F$920</definedName>
    <definedName function="false" hidden="false" name="WIF_Gap_Player_ant_2026_SelfFund" vbProcedure="false">Interface!$F$924</definedName>
    <definedName function="false" hidden="false" name="WIF_Gap_Player_ant_2027_Buyback" vbProcedure="false">Interface!$G$925</definedName>
    <definedName function="false" hidden="false" name="WIF_Gap_Player_ant_2027_CapexAI" vbProcedure="false">Interface!$G$921</definedName>
    <definedName function="false" hidden="false" name="WIF_Gap_Player_ant_2027_CapexAIGW" vbProcedure="false">Interface!$G$927</definedName>
    <definedName function="false" hidden="false" name="WIF_Gap_Player_ant_2027_CapexAIMC" vbProcedure="false">Interface!$G$928</definedName>
    <definedName function="false" hidden="false" name="WIF_Gap_Player_ant_2027_CapexAIModel" vbProcedure="false">Interface!$G$926</definedName>
    <definedName function="false" hidden="false" name="WIF_Gap_Player_ant_2027_CapexNonAI" vbProcedure="false">Interface!$G$922</definedName>
    <definedName function="false" hidden="false" name="WIF_Gap_Player_ant_2027_Gap" vbProcedure="false">Interface!$G$923</definedName>
    <definedName function="false" hidden="false" name="WIF_Gap_Player_ant_2027_OCF" vbProcedure="false">Interface!$G$920</definedName>
    <definedName function="false" hidden="false" name="WIF_Gap_Player_ant_2027_SelfFund" vbProcedure="false">Interface!$G$924</definedName>
    <definedName function="false" hidden="false" name="WIF_Gap_Player_ant_2028_Buyback" vbProcedure="false">Interface!$H$925</definedName>
    <definedName function="false" hidden="false" name="WIF_Gap_Player_ant_2028_CapexAI" vbProcedure="false">Interface!$H$921</definedName>
    <definedName function="false" hidden="false" name="WIF_Gap_Player_ant_2028_CapexAIGW" vbProcedure="false">Interface!$H$927</definedName>
    <definedName function="false" hidden="false" name="WIF_Gap_Player_ant_2028_CapexAIMC" vbProcedure="false">Interface!$H$928</definedName>
    <definedName function="false" hidden="false" name="WIF_Gap_Player_ant_2028_CapexAIModel" vbProcedure="false">Interface!$H$926</definedName>
    <definedName function="false" hidden="false" name="WIF_Gap_Player_ant_2028_CapexNonAI" vbProcedure="false">Interface!$H$922</definedName>
    <definedName function="false" hidden="false" name="WIF_Gap_Player_ant_2028_Gap" vbProcedure="false">Interface!$H$923</definedName>
    <definedName function="false" hidden="false" name="WIF_Gap_Player_ant_2028_OCF" vbProcedure="false">Interface!$H$920</definedName>
    <definedName function="false" hidden="false" name="WIF_Gap_Player_ant_2028_SelfFund" vbProcedure="false">Interface!$H$924</definedName>
    <definedName function="false" hidden="false" name="WIF_Gap_Player_ant_2029_Buyback" vbProcedure="false">Interface!$I$925</definedName>
    <definedName function="false" hidden="false" name="WIF_Gap_Player_ant_2029_CapexAI" vbProcedure="false">Interface!$I$921</definedName>
    <definedName function="false" hidden="false" name="WIF_Gap_Player_ant_2029_CapexAIGW" vbProcedure="false">Interface!$I$927</definedName>
    <definedName function="false" hidden="false" name="WIF_Gap_Player_ant_2029_CapexAIMC" vbProcedure="false">Interface!$I$928</definedName>
    <definedName function="false" hidden="false" name="WIF_Gap_Player_ant_2029_CapexAIModel" vbProcedure="false">Interface!$I$926</definedName>
    <definedName function="false" hidden="false" name="WIF_Gap_Player_ant_2029_CapexNonAI" vbProcedure="false">Interface!$I$922</definedName>
    <definedName function="false" hidden="false" name="WIF_Gap_Player_ant_2029_Gap" vbProcedure="false">Interface!$I$923</definedName>
    <definedName function="false" hidden="false" name="WIF_Gap_Player_ant_2029_OCF" vbProcedure="false">Interface!$I$920</definedName>
    <definedName function="false" hidden="false" name="WIF_Gap_Player_ant_2029_SelfFund" vbProcedure="false">Interface!$I$924</definedName>
    <definedName function="false" hidden="false" name="WIF_Gap_Player_ant_2030_Buyback" vbProcedure="false">Interface!$J$925</definedName>
    <definedName function="false" hidden="false" name="WIF_Gap_Player_ant_2030_CapexAI" vbProcedure="false">Interface!$J$921</definedName>
    <definedName function="false" hidden="false" name="WIF_Gap_Player_ant_2030_CapexAIGW" vbProcedure="false">Interface!$J$927</definedName>
    <definedName function="false" hidden="false" name="WIF_Gap_Player_ant_2030_CapexAIMC" vbProcedure="false">Interface!$J$928</definedName>
    <definedName function="false" hidden="false" name="WIF_Gap_Player_ant_2030_CapexAIModel" vbProcedure="false">Interface!$J$926</definedName>
    <definedName function="false" hidden="false" name="WIF_Gap_Player_ant_2030_CapexNonAI" vbProcedure="false">Interface!$J$922</definedName>
    <definedName function="false" hidden="false" name="WIF_Gap_Player_ant_2030_Gap" vbProcedure="false">Interface!$J$923</definedName>
    <definedName function="false" hidden="false" name="WIF_Gap_Player_ant_2030_OCF" vbProcedure="false">Interface!$J$920</definedName>
    <definedName function="false" hidden="false" name="WIF_Gap_Player_ant_2030_SelfFund" vbProcedure="false">Interface!$J$924</definedName>
    <definedName function="false" hidden="false" name="WIF_Gap_Player_crwv_2024_Buyback" vbProcedure="false">Interface!$D$866</definedName>
    <definedName function="false" hidden="false" name="WIF_Gap_Player_crwv_2024_CapexAI" vbProcedure="false">Interface!$D$862</definedName>
    <definedName function="false" hidden="false" name="WIF_Gap_Player_crwv_2024_CapexAIGW" vbProcedure="false">Interface!$D$868</definedName>
    <definedName function="false" hidden="false" name="WIF_Gap_Player_crwv_2024_CapexAIMC" vbProcedure="false">Interface!$D$869</definedName>
    <definedName function="false" hidden="false" name="WIF_Gap_Player_crwv_2024_CapexAIModel" vbProcedure="false">Interface!$D$867</definedName>
    <definedName function="false" hidden="false" name="WIF_Gap_Player_crwv_2024_CapexNonAI" vbProcedure="false">Interface!$D$863</definedName>
    <definedName function="false" hidden="false" name="WIF_Gap_Player_crwv_2024_Gap" vbProcedure="false">Interface!$D$864</definedName>
    <definedName function="false" hidden="false" name="WIF_Gap_Player_crwv_2024_OCF" vbProcedure="false">Interface!$D$861</definedName>
    <definedName function="false" hidden="false" name="WIF_Gap_Player_crwv_2024_SelfFund" vbProcedure="false">Interface!$D$865</definedName>
    <definedName function="false" hidden="false" name="WIF_Gap_Player_crwv_2025_Buyback" vbProcedure="false">Interface!$E$866</definedName>
    <definedName function="false" hidden="false" name="WIF_Gap_Player_crwv_2025_CapexAI" vbProcedure="false">Interface!$E$862</definedName>
    <definedName function="false" hidden="false" name="WIF_Gap_Player_crwv_2025_CapexAIGW" vbProcedure="false">Interface!$E$868</definedName>
    <definedName function="false" hidden="false" name="WIF_Gap_Player_crwv_2025_CapexAIMC" vbProcedure="false">Interface!$E$869</definedName>
    <definedName function="false" hidden="false" name="WIF_Gap_Player_crwv_2025_CapexAIModel" vbProcedure="false">Interface!$E$867</definedName>
    <definedName function="false" hidden="false" name="WIF_Gap_Player_crwv_2025_CapexNonAI" vbProcedure="false">Interface!$E$863</definedName>
    <definedName function="false" hidden="false" name="WIF_Gap_Player_crwv_2025_Gap" vbProcedure="false">Interface!$E$864</definedName>
    <definedName function="false" hidden="false" name="WIF_Gap_Player_crwv_2025_OCF" vbProcedure="false">Interface!$E$861</definedName>
    <definedName function="false" hidden="false" name="WIF_Gap_Player_crwv_2025_SelfFund" vbProcedure="false">Interface!$E$865</definedName>
    <definedName function="false" hidden="false" name="WIF_Gap_Player_crwv_2026_Buyback" vbProcedure="false">Interface!$F$866</definedName>
    <definedName function="false" hidden="false" name="WIF_Gap_Player_crwv_2026_CapexAI" vbProcedure="false">Interface!$F$862</definedName>
    <definedName function="false" hidden="false" name="WIF_Gap_Player_crwv_2026_CapexAIGW" vbProcedure="false">Interface!$F$868</definedName>
    <definedName function="false" hidden="false" name="WIF_Gap_Player_crwv_2026_CapexAIMC" vbProcedure="false">Interface!$F$869</definedName>
    <definedName function="false" hidden="false" name="WIF_Gap_Player_crwv_2026_CapexAIModel" vbProcedure="false">Interface!$F$867</definedName>
    <definedName function="false" hidden="false" name="WIF_Gap_Player_crwv_2026_CapexNonAI" vbProcedure="false">Interface!$F$863</definedName>
    <definedName function="false" hidden="false" name="WIF_Gap_Player_crwv_2026_Gap" vbProcedure="false">Interface!$F$864</definedName>
    <definedName function="false" hidden="false" name="WIF_Gap_Player_crwv_2026_OCF" vbProcedure="false">Interface!$F$861</definedName>
    <definedName function="false" hidden="false" name="WIF_Gap_Player_crwv_2026_SelfFund" vbProcedure="false">Interface!$F$865</definedName>
    <definedName function="false" hidden="false" name="WIF_Gap_Player_crwv_2027_Buyback" vbProcedure="false">Interface!$G$866</definedName>
    <definedName function="false" hidden="false" name="WIF_Gap_Player_crwv_2027_CapexAI" vbProcedure="false">Interface!$G$862</definedName>
    <definedName function="false" hidden="false" name="WIF_Gap_Player_crwv_2027_CapexAIGW" vbProcedure="false">Interface!$G$868</definedName>
    <definedName function="false" hidden="false" name="WIF_Gap_Player_crwv_2027_CapexAIMC" vbProcedure="false">Interface!$G$869</definedName>
    <definedName function="false" hidden="false" name="WIF_Gap_Player_crwv_2027_CapexAIModel" vbProcedure="false">Interface!$G$867</definedName>
    <definedName function="false" hidden="false" name="WIF_Gap_Player_crwv_2027_CapexNonAI" vbProcedure="false">Interface!$G$863</definedName>
    <definedName function="false" hidden="false" name="WIF_Gap_Player_crwv_2027_Gap" vbProcedure="false">Interface!$G$864</definedName>
    <definedName function="false" hidden="false" name="WIF_Gap_Player_crwv_2027_OCF" vbProcedure="false">Interface!$G$861</definedName>
    <definedName function="false" hidden="false" name="WIF_Gap_Player_crwv_2027_SelfFund" vbProcedure="false">Interface!$G$865</definedName>
    <definedName function="false" hidden="false" name="WIF_Gap_Player_crwv_2028_Buyback" vbProcedure="false">Interface!$H$866</definedName>
    <definedName function="false" hidden="false" name="WIF_Gap_Player_crwv_2028_CapexAI" vbProcedure="false">Interface!$H$862</definedName>
    <definedName function="false" hidden="false" name="WIF_Gap_Player_crwv_2028_CapexAIGW" vbProcedure="false">Interface!$H$868</definedName>
    <definedName function="false" hidden="false" name="WIF_Gap_Player_crwv_2028_CapexAIMC" vbProcedure="false">Interface!$H$869</definedName>
    <definedName function="false" hidden="false" name="WIF_Gap_Player_crwv_2028_CapexAIModel" vbProcedure="false">Interface!$H$867</definedName>
    <definedName function="false" hidden="false" name="WIF_Gap_Player_crwv_2028_CapexNonAI" vbProcedure="false">Interface!$H$863</definedName>
    <definedName function="false" hidden="false" name="WIF_Gap_Player_crwv_2028_Gap" vbProcedure="false">Interface!$H$864</definedName>
    <definedName function="false" hidden="false" name="WIF_Gap_Player_crwv_2028_OCF" vbProcedure="false">Interface!$H$861</definedName>
    <definedName function="false" hidden="false" name="WIF_Gap_Player_crwv_2028_SelfFund" vbProcedure="false">Interface!$H$865</definedName>
    <definedName function="false" hidden="false" name="WIF_Gap_Player_crwv_2029_Buyback" vbProcedure="false">Interface!$I$866</definedName>
    <definedName function="false" hidden="false" name="WIF_Gap_Player_crwv_2029_CapexAI" vbProcedure="false">Interface!$I$862</definedName>
    <definedName function="false" hidden="false" name="WIF_Gap_Player_crwv_2029_CapexAIGW" vbProcedure="false">Interface!$I$868</definedName>
    <definedName function="false" hidden="false" name="WIF_Gap_Player_crwv_2029_CapexAIMC" vbProcedure="false">Interface!$I$869</definedName>
    <definedName function="false" hidden="false" name="WIF_Gap_Player_crwv_2029_CapexAIModel" vbProcedure="false">Interface!$I$867</definedName>
    <definedName function="false" hidden="false" name="WIF_Gap_Player_crwv_2029_CapexNonAI" vbProcedure="false">Interface!$I$863</definedName>
    <definedName function="false" hidden="false" name="WIF_Gap_Player_crwv_2029_Gap" vbProcedure="false">Interface!$I$864</definedName>
    <definedName function="false" hidden="false" name="WIF_Gap_Player_crwv_2029_OCF" vbProcedure="false">Interface!$I$861</definedName>
    <definedName function="false" hidden="false" name="WIF_Gap_Player_crwv_2029_SelfFund" vbProcedure="false">Interface!$I$865</definedName>
    <definedName function="false" hidden="false" name="WIF_Gap_Player_crwv_2030_Buyback" vbProcedure="false">Interface!$J$866</definedName>
    <definedName function="false" hidden="false" name="WIF_Gap_Player_crwv_2030_CapexAI" vbProcedure="false">Interface!$J$862</definedName>
    <definedName function="false" hidden="false" name="WIF_Gap_Player_crwv_2030_CapexAIGW" vbProcedure="false">Interface!$J$868</definedName>
    <definedName function="false" hidden="false" name="WIF_Gap_Player_crwv_2030_CapexAIMC" vbProcedure="false">Interface!$J$869</definedName>
    <definedName function="false" hidden="false" name="WIF_Gap_Player_crwv_2030_CapexAIModel" vbProcedure="false">Interface!$J$867</definedName>
    <definedName function="false" hidden="false" name="WIF_Gap_Player_crwv_2030_CapexNonAI" vbProcedure="false">Interface!$J$863</definedName>
    <definedName function="false" hidden="false" name="WIF_Gap_Player_crwv_2030_Gap" vbProcedure="false">Interface!$J$864</definedName>
    <definedName function="false" hidden="false" name="WIF_Gap_Player_crwv_2030_OCF" vbProcedure="false">Interface!$J$861</definedName>
    <definedName function="false" hidden="false" name="WIF_Gap_Player_crwv_2030_SelfFund" vbProcedure="false">Interface!$J$865</definedName>
    <definedName function="false" hidden="false" name="WIF_Gap_Player_googl_2024_Buyback" vbProcedure="false">Interface!$D$818</definedName>
    <definedName function="false" hidden="false" name="WIF_Gap_Player_googl_2024_CapexAI" vbProcedure="false">Interface!$D$814</definedName>
    <definedName function="false" hidden="false" name="WIF_Gap_Player_googl_2024_CapexAIGW" vbProcedure="false">Interface!$D$820</definedName>
    <definedName function="false" hidden="false" name="WIF_Gap_Player_googl_2024_CapexAIMC" vbProcedure="false">Interface!$D$821</definedName>
    <definedName function="false" hidden="false" name="WIF_Gap_Player_googl_2024_CapexAIModel" vbProcedure="false">Interface!$D$819</definedName>
    <definedName function="false" hidden="false" name="WIF_Gap_Player_googl_2024_CapexNonAI" vbProcedure="false">Interface!$D$815</definedName>
    <definedName function="false" hidden="false" name="WIF_Gap_Player_googl_2024_Gap" vbProcedure="false">Interface!$D$816</definedName>
    <definedName function="false" hidden="false" name="WIF_Gap_Player_googl_2024_OCF" vbProcedure="false">Interface!$D$813</definedName>
    <definedName function="false" hidden="false" name="WIF_Gap_Player_googl_2024_SelfFund" vbProcedure="false">Interface!$D$817</definedName>
    <definedName function="false" hidden="false" name="WIF_Gap_Player_googl_2025_Buyback" vbProcedure="false">Interface!$E$818</definedName>
    <definedName function="false" hidden="false" name="WIF_Gap_Player_googl_2025_CapexAI" vbProcedure="false">Interface!$E$814</definedName>
    <definedName function="false" hidden="false" name="WIF_Gap_Player_googl_2025_CapexAIGW" vbProcedure="false">Interface!$E$820</definedName>
    <definedName function="false" hidden="false" name="WIF_Gap_Player_googl_2025_CapexAIMC" vbProcedure="false">Interface!$E$821</definedName>
    <definedName function="false" hidden="false" name="WIF_Gap_Player_googl_2025_CapexAIModel" vbProcedure="false">Interface!$E$819</definedName>
    <definedName function="false" hidden="false" name="WIF_Gap_Player_googl_2025_CapexNonAI" vbProcedure="false">Interface!$E$815</definedName>
    <definedName function="false" hidden="false" name="WIF_Gap_Player_googl_2025_Gap" vbProcedure="false">Interface!$E$816</definedName>
    <definedName function="false" hidden="false" name="WIF_Gap_Player_googl_2025_OCF" vbProcedure="false">Interface!$E$813</definedName>
    <definedName function="false" hidden="false" name="WIF_Gap_Player_googl_2025_SelfFund" vbProcedure="false">Interface!$E$817</definedName>
    <definedName function="false" hidden="false" name="WIF_Gap_Player_googl_2026_Buyback" vbProcedure="false">Interface!$F$818</definedName>
    <definedName function="false" hidden="false" name="WIF_Gap_Player_googl_2026_CapexAI" vbProcedure="false">Interface!$F$814</definedName>
    <definedName function="false" hidden="false" name="WIF_Gap_Player_googl_2026_CapexAIGW" vbProcedure="false">Interface!$F$820</definedName>
    <definedName function="false" hidden="false" name="WIF_Gap_Player_googl_2026_CapexAIMC" vbProcedure="false">Interface!$F$821</definedName>
    <definedName function="false" hidden="false" name="WIF_Gap_Player_googl_2026_CapexAIModel" vbProcedure="false">Interface!$F$819</definedName>
    <definedName function="false" hidden="false" name="WIF_Gap_Player_googl_2026_CapexNonAI" vbProcedure="false">Interface!$F$815</definedName>
    <definedName function="false" hidden="false" name="WIF_Gap_Player_googl_2026_Gap" vbProcedure="false">Interface!$F$816</definedName>
    <definedName function="false" hidden="false" name="WIF_Gap_Player_googl_2026_OCF" vbProcedure="false">Interface!$F$813</definedName>
    <definedName function="false" hidden="false" name="WIF_Gap_Player_googl_2026_SelfFund" vbProcedure="false">Interface!$F$817</definedName>
    <definedName function="false" hidden="false" name="WIF_Gap_Player_googl_2027_Buyback" vbProcedure="false">Interface!$G$818</definedName>
    <definedName function="false" hidden="false" name="WIF_Gap_Player_googl_2027_CapexAI" vbProcedure="false">Interface!$G$814</definedName>
    <definedName function="false" hidden="false" name="WIF_Gap_Player_googl_2027_CapexAIGW" vbProcedure="false">Interface!$G$820</definedName>
    <definedName function="false" hidden="false" name="WIF_Gap_Player_googl_2027_CapexAIMC" vbProcedure="false">Interface!$G$821</definedName>
    <definedName function="false" hidden="false" name="WIF_Gap_Player_googl_2027_CapexAIModel" vbProcedure="false">Interface!$G$819</definedName>
    <definedName function="false" hidden="false" name="WIF_Gap_Player_googl_2027_CapexNonAI" vbProcedure="false">Interface!$G$815</definedName>
    <definedName function="false" hidden="false" name="WIF_Gap_Player_googl_2027_Gap" vbProcedure="false">Interface!$G$816</definedName>
    <definedName function="false" hidden="false" name="WIF_Gap_Player_googl_2027_OCF" vbProcedure="false">Interface!$G$813</definedName>
    <definedName function="false" hidden="false" name="WIF_Gap_Player_googl_2027_SelfFund" vbProcedure="false">Interface!$G$817</definedName>
    <definedName function="false" hidden="false" name="WIF_Gap_Player_googl_2028_Buyback" vbProcedure="false">Interface!$H$818</definedName>
    <definedName function="false" hidden="false" name="WIF_Gap_Player_googl_2028_CapexAI" vbProcedure="false">Interface!$H$814</definedName>
    <definedName function="false" hidden="false" name="WIF_Gap_Player_googl_2028_CapexAIGW" vbProcedure="false">Interface!$H$820</definedName>
    <definedName function="false" hidden="false" name="WIF_Gap_Player_googl_2028_CapexAIMC" vbProcedure="false">Interface!$H$821</definedName>
    <definedName function="false" hidden="false" name="WIF_Gap_Player_googl_2028_CapexAIModel" vbProcedure="false">Interface!$H$819</definedName>
    <definedName function="false" hidden="false" name="WIF_Gap_Player_googl_2028_CapexNonAI" vbProcedure="false">Interface!$H$815</definedName>
    <definedName function="false" hidden="false" name="WIF_Gap_Player_googl_2028_Gap" vbProcedure="false">Interface!$H$816</definedName>
    <definedName function="false" hidden="false" name="WIF_Gap_Player_googl_2028_OCF" vbProcedure="false">Interface!$H$813</definedName>
    <definedName function="false" hidden="false" name="WIF_Gap_Player_googl_2028_SelfFund" vbProcedure="false">Interface!$H$817</definedName>
    <definedName function="false" hidden="false" name="WIF_Gap_Player_googl_2029_Buyback" vbProcedure="false">Interface!$I$818</definedName>
    <definedName function="false" hidden="false" name="WIF_Gap_Player_googl_2029_CapexAI" vbProcedure="false">Interface!$I$814</definedName>
    <definedName function="false" hidden="false" name="WIF_Gap_Player_googl_2029_CapexAIGW" vbProcedure="false">Interface!$I$820</definedName>
    <definedName function="false" hidden="false" name="WIF_Gap_Player_googl_2029_CapexAIMC" vbProcedure="false">Interface!$I$821</definedName>
    <definedName function="false" hidden="false" name="WIF_Gap_Player_googl_2029_CapexAIModel" vbProcedure="false">Interface!$I$819</definedName>
    <definedName function="false" hidden="false" name="WIF_Gap_Player_googl_2029_CapexNonAI" vbProcedure="false">Interface!$I$815</definedName>
    <definedName function="false" hidden="false" name="WIF_Gap_Player_googl_2029_Gap" vbProcedure="false">Interface!$I$816</definedName>
    <definedName function="false" hidden="false" name="WIF_Gap_Player_googl_2029_OCF" vbProcedure="false">Interface!$I$813</definedName>
    <definedName function="false" hidden="false" name="WIF_Gap_Player_googl_2029_SelfFund" vbProcedure="false">Interface!$I$817</definedName>
    <definedName function="false" hidden="false" name="WIF_Gap_Player_googl_2030_Buyback" vbProcedure="false">Interface!$J$818</definedName>
    <definedName function="false" hidden="false" name="WIF_Gap_Player_googl_2030_CapexAI" vbProcedure="false">Interface!$J$814</definedName>
    <definedName function="false" hidden="false" name="WIF_Gap_Player_googl_2030_CapexAIGW" vbProcedure="false">Interface!$J$820</definedName>
    <definedName function="false" hidden="false" name="WIF_Gap_Player_googl_2030_CapexAIMC" vbProcedure="false">Interface!$J$821</definedName>
    <definedName function="false" hidden="false" name="WIF_Gap_Player_googl_2030_CapexAIModel" vbProcedure="false">Interface!$J$819</definedName>
    <definedName function="false" hidden="false" name="WIF_Gap_Player_googl_2030_CapexNonAI" vbProcedure="false">Interface!$J$815</definedName>
    <definedName function="false" hidden="false" name="WIF_Gap_Player_googl_2030_Gap" vbProcedure="false">Interface!$J$816</definedName>
    <definedName function="false" hidden="false" name="WIF_Gap_Player_googl_2030_OCF" vbProcedure="false">Interface!$J$813</definedName>
    <definedName function="false" hidden="false" name="WIF_Gap_Player_googl_2030_SelfFund" vbProcedure="false">Interface!$J$817</definedName>
    <definedName function="false" hidden="false" name="WIF_Gap_Player_meta_2024_Buyback" vbProcedure="false">Interface!$D$842</definedName>
    <definedName function="false" hidden="false" name="WIF_Gap_Player_meta_2024_CapexAI" vbProcedure="false">Interface!$D$838</definedName>
    <definedName function="false" hidden="false" name="WIF_Gap_Player_meta_2024_CapexAIGW" vbProcedure="false">Interface!$D$844</definedName>
    <definedName function="false" hidden="false" name="WIF_Gap_Player_meta_2024_CapexAIMC" vbProcedure="false">Interface!$D$845</definedName>
    <definedName function="false" hidden="false" name="WIF_Gap_Player_meta_2024_CapexAIModel" vbProcedure="false">Interface!$D$843</definedName>
    <definedName function="false" hidden="false" name="WIF_Gap_Player_meta_2024_CapexNonAI" vbProcedure="false">Interface!$D$839</definedName>
    <definedName function="false" hidden="false" name="WIF_Gap_Player_meta_2024_Gap" vbProcedure="false">Interface!$D$840</definedName>
    <definedName function="false" hidden="false" name="WIF_Gap_Player_meta_2024_OCF" vbProcedure="false">Interface!$D$837</definedName>
    <definedName function="false" hidden="false" name="WIF_Gap_Player_meta_2024_SelfFund" vbProcedure="false">Interface!$D$841</definedName>
    <definedName function="false" hidden="false" name="WIF_Gap_Player_meta_2025_Buyback" vbProcedure="false">Interface!$E$842</definedName>
    <definedName function="false" hidden="false" name="WIF_Gap_Player_meta_2025_CapexAI" vbProcedure="false">Interface!$E$838</definedName>
    <definedName function="false" hidden="false" name="WIF_Gap_Player_meta_2025_CapexAIGW" vbProcedure="false">Interface!$E$844</definedName>
    <definedName function="false" hidden="false" name="WIF_Gap_Player_meta_2025_CapexAIMC" vbProcedure="false">Interface!$E$845</definedName>
    <definedName function="false" hidden="false" name="WIF_Gap_Player_meta_2025_CapexAIModel" vbProcedure="false">Interface!$E$843</definedName>
    <definedName function="false" hidden="false" name="WIF_Gap_Player_meta_2025_CapexNonAI" vbProcedure="false">Interface!$E$839</definedName>
    <definedName function="false" hidden="false" name="WIF_Gap_Player_meta_2025_Gap" vbProcedure="false">Interface!$E$840</definedName>
    <definedName function="false" hidden="false" name="WIF_Gap_Player_meta_2025_OCF" vbProcedure="false">Interface!$E$837</definedName>
    <definedName function="false" hidden="false" name="WIF_Gap_Player_meta_2025_SelfFund" vbProcedure="false">Interface!$E$841</definedName>
    <definedName function="false" hidden="false" name="WIF_Gap_Player_meta_2026_Buyback" vbProcedure="false">Interface!$F$842</definedName>
    <definedName function="false" hidden="false" name="WIF_Gap_Player_meta_2026_CapexAI" vbProcedure="false">Interface!$F$838</definedName>
    <definedName function="false" hidden="false" name="WIF_Gap_Player_meta_2026_CapexAIGW" vbProcedure="false">Interface!$F$844</definedName>
    <definedName function="false" hidden="false" name="WIF_Gap_Player_meta_2026_CapexAIMC" vbProcedure="false">Interface!$F$845</definedName>
    <definedName function="false" hidden="false" name="WIF_Gap_Player_meta_2026_CapexAIModel" vbProcedure="false">Interface!$F$843</definedName>
    <definedName function="false" hidden="false" name="WIF_Gap_Player_meta_2026_CapexNonAI" vbProcedure="false">Interface!$F$839</definedName>
    <definedName function="false" hidden="false" name="WIF_Gap_Player_meta_2026_Gap" vbProcedure="false">Interface!$F$840</definedName>
    <definedName function="false" hidden="false" name="WIF_Gap_Player_meta_2026_OCF" vbProcedure="false">Interface!$F$837</definedName>
    <definedName function="false" hidden="false" name="WIF_Gap_Player_meta_2026_SelfFund" vbProcedure="false">Interface!$F$841</definedName>
    <definedName function="false" hidden="false" name="WIF_Gap_Player_meta_2027_Buyback" vbProcedure="false">Interface!$G$842</definedName>
    <definedName function="false" hidden="false" name="WIF_Gap_Player_meta_2027_CapexAI" vbProcedure="false">Interface!$G$838</definedName>
    <definedName function="false" hidden="false" name="WIF_Gap_Player_meta_2027_CapexAIGW" vbProcedure="false">Interface!$G$844</definedName>
    <definedName function="false" hidden="false" name="WIF_Gap_Player_meta_2027_CapexAIMC" vbProcedure="false">Interface!$G$845</definedName>
    <definedName function="false" hidden="false" name="WIF_Gap_Player_meta_2027_CapexAIModel" vbProcedure="false">Interface!$G$843</definedName>
    <definedName function="false" hidden="false" name="WIF_Gap_Player_meta_2027_CapexNonAI" vbProcedure="false">Interface!$G$839</definedName>
    <definedName function="false" hidden="false" name="WIF_Gap_Player_meta_2027_Gap" vbProcedure="false">Interface!$G$840</definedName>
    <definedName function="false" hidden="false" name="WIF_Gap_Player_meta_2027_OCF" vbProcedure="false">Interface!$G$837</definedName>
    <definedName function="false" hidden="false" name="WIF_Gap_Player_meta_2027_SelfFund" vbProcedure="false">Interface!$G$841</definedName>
    <definedName function="false" hidden="false" name="WIF_Gap_Player_meta_2028_Buyback" vbProcedure="false">Interface!$H$842</definedName>
    <definedName function="false" hidden="false" name="WIF_Gap_Player_meta_2028_CapexAI" vbProcedure="false">Interface!$H$838</definedName>
    <definedName function="false" hidden="false" name="WIF_Gap_Player_meta_2028_CapexAIGW" vbProcedure="false">Interface!$H$844</definedName>
    <definedName function="false" hidden="false" name="WIF_Gap_Player_meta_2028_CapexAIMC" vbProcedure="false">Interface!$H$845</definedName>
    <definedName function="false" hidden="false" name="WIF_Gap_Player_meta_2028_CapexAIModel" vbProcedure="false">Interface!$H$843</definedName>
    <definedName function="false" hidden="false" name="WIF_Gap_Player_meta_2028_CapexNonAI" vbProcedure="false">Interface!$H$839</definedName>
    <definedName function="false" hidden="false" name="WIF_Gap_Player_meta_2028_Gap" vbProcedure="false">Interface!$H$840</definedName>
    <definedName function="false" hidden="false" name="WIF_Gap_Player_meta_2028_OCF" vbProcedure="false">Interface!$H$837</definedName>
    <definedName function="false" hidden="false" name="WIF_Gap_Player_meta_2028_SelfFund" vbProcedure="false">Interface!$H$841</definedName>
    <definedName function="false" hidden="false" name="WIF_Gap_Player_meta_2029_Buyback" vbProcedure="false">Interface!$I$842</definedName>
    <definedName function="false" hidden="false" name="WIF_Gap_Player_meta_2029_CapexAI" vbProcedure="false">Interface!$I$838</definedName>
    <definedName function="false" hidden="false" name="WIF_Gap_Player_meta_2029_CapexAIGW" vbProcedure="false">Interface!$I$844</definedName>
    <definedName function="false" hidden="false" name="WIF_Gap_Player_meta_2029_CapexAIMC" vbProcedure="false">Interface!$I$845</definedName>
    <definedName function="false" hidden="false" name="WIF_Gap_Player_meta_2029_CapexAIModel" vbProcedure="false">Interface!$I$843</definedName>
    <definedName function="false" hidden="false" name="WIF_Gap_Player_meta_2029_CapexNonAI" vbProcedure="false">Interface!$I$839</definedName>
    <definedName function="false" hidden="false" name="WIF_Gap_Player_meta_2029_Gap" vbProcedure="false">Interface!$I$840</definedName>
    <definedName function="false" hidden="false" name="WIF_Gap_Player_meta_2029_OCF" vbProcedure="false">Interface!$I$837</definedName>
    <definedName function="false" hidden="false" name="WIF_Gap_Player_meta_2029_SelfFund" vbProcedure="false">Interface!$I$841</definedName>
    <definedName function="false" hidden="false" name="WIF_Gap_Player_meta_2030_Buyback" vbProcedure="false">Interface!$J$842</definedName>
    <definedName function="false" hidden="false" name="WIF_Gap_Player_meta_2030_CapexAI" vbProcedure="false">Interface!$J$838</definedName>
    <definedName function="false" hidden="false" name="WIF_Gap_Player_meta_2030_CapexAIGW" vbProcedure="false">Interface!$J$844</definedName>
    <definedName function="false" hidden="false" name="WIF_Gap_Player_meta_2030_CapexAIMC" vbProcedure="false">Interface!$J$845</definedName>
    <definedName function="false" hidden="false" name="WIF_Gap_Player_meta_2030_CapexAIModel" vbProcedure="false">Interface!$J$843</definedName>
    <definedName function="false" hidden="false" name="WIF_Gap_Player_meta_2030_CapexNonAI" vbProcedure="false">Interface!$J$839</definedName>
    <definedName function="false" hidden="false" name="WIF_Gap_Player_meta_2030_Gap" vbProcedure="false">Interface!$J$840</definedName>
    <definedName function="false" hidden="false" name="WIF_Gap_Player_meta_2030_OCF" vbProcedure="false">Interface!$J$837</definedName>
    <definedName function="false" hidden="false" name="WIF_Gap_Player_meta_2030_SelfFund" vbProcedure="false">Interface!$J$841</definedName>
    <definedName function="false" hidden="false" name="WIF_Gap_Player_msft_2024_Buyback" vbProcedure="false">Interface!$D$806</definedName>
    <definedName function="false" hidden="false" name="WIF_Gap_Player_msft_2024_CapexAI" vbProcedure="false">Interface!$D$802</definedName>
    <definedName function="false" hidden="false" name="WIF_Gap_Player_msft_2024_CapexAIGW" vbProcedure="false">Interface!$D$808</definedName>
    <definedName function="false" hidden="false" name="WIF_Gap_Player_msft_2024_CapexAIMC" vbProcedure="false">Interface!$D$809</definedName>
    <definedName function="false" hidden="false" name="WIF_Gap_Player_msft_2024_CapexAIModel" vbProcedure="false">Interface!$D$807</definedName>
    <definedName function="false" hidden="false" name="WIF_Gap_Player_msft_2024_CapexNonAI" vbProcedure="false">Interface!$D$803</definedName>
    <definedName function="false" hidden="false" name="WIF_Gap_Player_msft_2024_Gap" vbProcedure="false">Interface!$D$804</definedName>
    <definedName function="false" hidden="false" name="WIF_Gap_Player_msft_2024_OCF" vbProcedure="false">Interface!$D$801</definedName>
    <definedName function="false" hidden="false" name="WIF_Gap_Player_msft_2024_SelfFund" vbProcedure="false">Interface!$D$805</definedName>
    <definedName function="false" hidden="false" name="WIF_Gap_Player_msft_2025_Buyback" vbProcedure="false">Interface!$E$806</definedName>
    <definedName function="false" hidden="false" name="WIF_Gap_Player_msft_2025_CapexAI" vbProcedure="false">Interface!$E$802</definedName>
    <definedName function="false" hidden="false" name="WIF_Gap_Player_msft_2025_CapexAIGW" vbProcedure="false">Interface!$E$808</definedName>
    <definedName function="false" hidden="false" name="WIF_Gap_Player_msft_2025_CapexAIMC" vbProcedure="false">Interface!$E$809</definedName>
    <definedName function="false" hidden="false" name="WIF_Gap_Player_msft_2025_CapexAIModel" vbProcedure="false">Interface!$E$807</definedName>
    <definedName function="false" hidden="false" name="WIF_Gap_Player_msft_2025_CapexNonAI" vbProcedure="false">Interface!$E$803</definedName>
    <definedName function="false" hidden="false" name="WIF_Gap_Player_msft_2025_Gap" vbProcedure="false">Interface!$E$804</definedName>
    <definedName function="false" hidden="false" name="WIF_Gap_Player_msft_2025_OCF" vbProcedure="false">Interface!$E$801</definedName>
    <definedName function="false" hidden="false" name="WIF_Gap_Player_msft_2025_SelfFund" vbProcedure="false">Interface!$E$805</definedName>
    <definedName function="false" hidden="false" name="WIF_Gap_Player_msft_2026_Buyback" vbProcedure="false">Interface!$F$806</definedName>
    <definedName function="false" hidden="false" name="WIF_Gap_Player_msft_2026_CapexAI" vbProcedure="false">Interface!$F$802</definedName>
    <definedName function="false" hidden="false" name="WIF_Gap_Player_msft_2026_CapexAIGW" vbProcedure="false">Interface!$F$808</definedName>
    <definedName function="false" hidden="false" name="WIF_Gap_Player_msft_2026_CapexAIMC" vbProcedure="false">Interface!$F$809</definedName>
    <definedName function="false" hidden="false" name="WIF_Gap_Player_msft_2026_CapexAIModel" vbProcedure="false">Interface!$F$807</definedName>
    <definedName function="false" hidden="false" name="WIF_Gap_Player_msft_2026_CapexNonAI" vbProcedure="false">Interface!$F$803</definedName>
    <definedName function="false" hidden="false" name="WIF_Gap_Player_msft_2026_Gap" vbProcedure="false">Interface!$F$804</definedName>
    <definedName function="false" hidden="false" name="WIF_Gap_Player_msft_2026_OCF" vbProcedure="false">Interface!$F$801</definedName>
    <definedName function="false" hidden="false" name="WIF_Gap_Player_msft_2026_SelfFund" vbProcedure="false">Interface!$F$805</definedName>
    <definedName function="false" hidden="false" name="WIF_Gap_Player_msft_2027_Buyback" vbProcedure="false">Interface!$G$806</definedName>
    <definedName function="false" hidden="false" name="WIF_Gap_Player_msft_2027_CapexAI" vbProcedure="false">Interface!$G$802</definedName>
    <definedName function="false" hidden="false" name="WIF_Gap_Player_msft_2027_CapexAIGW" vbProcedure="false">Interface!$G$808</definedName>
    <definedName function="false" hidden="false" name="WIF_Gap_Player_msft_2027_CapexAIMC" vbProcedure="false">Interface!$G$809</definedName>
    <definedName function="false" hidden="false" name="WIF_Gap_Player_msft_2027_CapexAIModel" vbProcedure="false">Interface!$G$807</definedName>
    <definedName function="false" hidden="false" name="WIF_Gap_Player_msft_2027_CapexNonAI" vbProcedure="false">Interface!$G$803</definedName>
    <definedName function="false" hidden="false" name="WIF_Gap_Player_msft_2027_Gap" vbProcedure="false">Interface!$G$804</definedName>
    <definedName function="false" hidden="false" name="WIF_Gap_Player_msft_2027_OCF" vbProcedure="false">Interface!$G$801</definedName>
    <definedName function="false" hidden="false" name="WIF_Gap_Player_msft_2027_SelfFund" vbProcedure="false">Interface!$G$805</definedName>
    <definedName function="false" hidden="false" name="WIF_Gap_Player_msft_2028_Buyback" vbProcedure="false">Interface!$H$806</definedName>
    <definedName function="false" hidden="false" name="WIF_Gap_Player_msft_2028_CapexAI" vbProcedure="false">Interface!$H$802</definedName>
    <definedName function="false" hidden="false" name="WIF_Gap_Player_msft_2028_CapexAIGW" vbProcedure="false">Interface!$H$808</definedName>
    <definedName function="false" hidden="false" name="WIF_Gap_Player_msft_2028_CapexAIMC" vbProcedure="false">Interface!$H$809</definedName>
    <definedName function="false" hidden="false" name="WIF_Gap_Player_msft_2028_CapexAIModel" vbProcedure="false">Interface!$H$807</definedName>
    <definedName function="false" hidden="false" name="WIF_Gap_Player_msft_2028_CapexNonAI" vbProcedure="false">Interface!$H$803</definedName>
    <definedName function="false" hidden="false" name="WIF_Gap_Player_msft_2028_Gap" vbProcedure="false">Interface!$H$804</definedName>
    <definedName function="false" hidden="false" name="WIF_Gap_Player_msft_2028_OCF" vbProcedure="false">Interface!$H$801</definedName>
    <definedName function="false" hidden="false" name="WIF_Gap_Player_msft_2028_SelfFund" vbProcedure="false">Interface!$H$805</definedName>
    <definedName function="false" hidden="false" name="WIF_Gap_Player_msft_2029_Buyback" vbProcedure="false">Interface!$I$806</definedName>
    <definedName function="false" hidden="false" name="WIF_Gap_Player_msft_2029_CapexAI" vbProcedure="false">Interface!$I$802</definedName>
    <definedName function="false" hidden="false" name="WIF_Gap_Player_msft_2029_CapexAIGW" vbProcedure="false">Interface!$I$808</definedName>
    <definedName function="false" hidden="false" name="WIF_Gap_Player_msft_2029_CapexAIMC" vbProcedure="false">Interface!$I$809</definedName>
    <definedName function="false" hidden="false" name="WIF_Gap_Player_msft_2029_CapexAIModel" vbProcedure="false">Interface!$I$807</definedName>
    <definedName function="false" hidden="false" name="WIF_Gap_Player_msft_2029_CapexNonAI" vbProcedure="false">Interface!$I$803</definedName>
    <definedName function="false" hidden="false" name="WIF_Gap_Player_msft_2029_Gap" vbProcedure="false">Interface!$I$804</definedName>
    <definedName function="false" hidden="false" name="WIF_Gap_Player_msft_2029_OCF" vbProcedure="false">Interface!$I$801</definedName>
    <definedName function="false" hidden="false" name="WIF_Gap_Player_msft_2029_SelfFund" vbProcedure="false">Interface!$I$805</definedName>
    <definedName function="false" hidden="false" name="WIF_Gap_Player_msft_2030_Buyback" vbProcedure="false">Interface!$J$806</definedName>
    <definedName function="false" hidden="false" name="WIF_Gap_Player_msft_2030_CapexAI" vbProcedure="false">Interface!$J$802</definedName>
    <definedName function="false" hidden="false" name="WIF_Gap_Player_msft_2030_CapexAIGW" vbProcedure="false">Interface!$J$808</definedName>
    <definedName function="false" hidden="false" name="WIF_Gap_Player_msft_2030_CapexAIMC" vbProcedure="false">Interface!$J$809</definedName>
    <definedName function="false" hidden="false" name="WIF_Gap_Player_msft_2030_CapexAIModel" vbProcedure="false">Interface!$J$807</definedName>
    <definedName function="false" hidden="false" name="WIF_Gap_Player_msft_2030_CapexNonAI" vbProcedure="false">Interface!$J$803</definedName>
    <definedName function="false" hidden="false" name="WIF_Gap_Player_msft_2030_Gap" vbProcedure="false">Interface!$J$804</definedName>
    <definedName function="false" hidden="false" name="WIF_Gap_Player_msft_2030_OCF" vbProcedure="false">Interface!$J$801</definedName>
    <definedName function="false" hidden="false" name="WIF_Gap_Player_msft_2030_SelfFund" vbProcedure="false">Interface!$J$805</definedName>
    <definedName function="false" hidden="false" name="WIF_Gap_Player_nbis_2024_Buyback" vbProcedure="false">Interface!$D$878</definedName>
    <definedName function="false" hidden="false" name="WIF_Gap_Player_nbis_2024_CapexAI" vbProcedure="false">Interface!$D$874</definedName>
    <definedName function="false" hidden="false" name="WIF_Gap_Player_nbis_2024_CapexAIGW" vbProcedure="false">Interface!$D$880</definedName>
    <definedName function="false" hidden="false" name="WIF_Gap_Player_nbis_2024_CapexAIMC" vbProcedure="false">Interface!$D$881</definedName>
    <definedName function="false" hidden="false" name="WIF_Gap_Player_nbis_2024_CapexAIModel" vbProcedure="false">Interface!$D$879</definedName>
    <definedName function="false" hidden="false" name="WIF_Gap_Player_nbis_2024_CapexNonAI" vbProcedure="false">Interface!$D$875</definedName>
    <definedName function="false" hidden="false" name="WIF_Gap_Player_nbis_2024_Gap" vbProcedure="false">Interface!$D$876</definedName>
    <definedName function="false" hidden="false" name="WIF_Gap_Player_nbis_2024_OCF" vbProcedure="false">Interface!$D$873</definedName>
    <definedName function="false" hidden="false" name="WIF_Gap_Player_nbis_2024_SelfFund" vbProcedure="false">Interface!$D$877</definedName>
    <definedName function="false" hidden="false" name="WIF_Gap_Player_nbis_2025_Buyback" vbProcedure="false">Interface!$E$878</definedName>
    <definedName function="false" hidden="false" name="WIF_Gap_Player_nbis_2025_CapexAI" vbProcedure="false">Interface!$E$874</definedName>
    <definedName function="false" hidden="false" name="WIF_Gap_Player_nbis_2025_CapexAIGW" vbProcedure="false">Interface!$E$880</definedName>
    <definedName function="false" hidden="false" name="WIF_Gap_Player_nbis_2025_CapexAIMC" vbProcedure="false">Interface!$E$881</definedName>
    <definedName function="false" hidden="false" name="WIF_Gap_Player_nbis_2025_CapexAIModel" vbProcedure="false">Interface!$E$879</definedName>
    <definedName function="false" hidden="false" name="WIF_Gap_Player_nbis_2025_CapexNonAI" vbProcedure="false">Interface!$E$875</definedName>
    <definedName function="false" hidden="false" name="WIF_Gap_Player_nbis_2025_Gap" vbProcedure="false">Interface!$E$876</definedName>
    <definedName function="false" hidden="false" name="WIF_Gap_Player_nbis_2025_OCF" vbProcedure="false">Interface!$E$873</definedName>
    <definedName function="false" hidden="false" name="WIF_Gap_Player_nbis_2025_SelfFund" vbProcedure="false">Interface!$E$877</definedName>
    <definedName function="false" hidden="false" name="WIF_Gap_Player_nbis_2026_Buyback" vbProcedure="false">Interface!$F$878</definedName>
    <definedName function="false" hidden="false" name="WIF_Gap_Player_nbis_2026_CapexAI" vbProcedure="false">Interface!$F$874</definedName>
    <definedName function="false" hidden="false" name="WIF_Gap_Player_nbis_2026_CapexAIGW" vbProcedure="false">Interface!$F$880</definedName>
    <definedName function="false" hidden="false" name="WIF_Gap_Player_nbis_2026_CapexAIMC" vbProcedure="false">Interface!$F$881</definedName>
    <definedName function="false" hidden="false" name="WIF_Gap_Player_nbis_2026_CapexAIModel" vbProcedure="false">Interface!$F$879</definedName>
    <definedName function="false" hidden="false" name="WIF_Gap_Player_nbis_2026_CapexNonAI" vbProcedure="false">Interface!$F$875</definedName>
    <definedName function="false" hidden="false" name="WIF_Gap_Player_nbis_2026_Gap" vbProcedure="false">Interface!$F$876</definedName>
    <definedName function="false" hidden="false" name="WIF_Gap_Player_nbis_2026_OCF" vbProcedure="false">Interface!$F$873</definedName>
    <definedName function="false" hidden="false" name="WIF_Gap_Player_nbis_2026_SelfFund" vbProcedure="false">Interface!$F$877</definedName>
    <definedName function="false" hidden="false" name="WIF_Gap_Player_nbis_2027_Buyback" vbProcedure="false">Interface!$G$878</definedName>
    <definedName function="false" hidden="false" name="WIF_Gap_Player_nbis_2027_CapexAI" vbProcedure="false">Interface!$G$874</definedName>
    <definedName function="false" hidden="false" name="WIF_Gap_Player_nbis_2027_CapexAIGW" vbProcedure="false">Interface!$G$880</definedName>
    <definedName function="false" hidden="false" name="WIF_Gap_Player_nbis_2027_CapexAIMC" vbProcedure="false">Interface!$G$881</definedName>
    <definedName function="false" hidden="false" name="WIF_Gap_Player_nbis_2027_CapexAIModel" vbProcedure="false">Interface!$G$879</definedName>
    <definedName function="false" hidden="false" name="WIF_Gap_Player_nbis_2027_CapexNonAI" vbProcedure="false">Interface!$G$875</definedName>
    <definedName function="false" hidden="false" name="WIF_Gap_Player_nbis_2027_Gap" vbProcedure="false">Interface!$G$876</definedName>
    <definedName function="false" hidden="false" name="WIF_Gap_Player_nbis_2027_OCF" vbProcedure="false">Interface!$G$873</definedName>
    <definedName function="false" hidden="false" name="WIF_Gap_Player_nbis_2027_SelfFund" vbProcedure="false">Interface!$G$877</definedName>
    <definedName function="false" hidden="false" name="WIF_Gap_Player_nbis_2028_Buyback" vbProcedure="false">Interface!$H$878</definedName>
    <definedName function="false" hidden="false" name="WIF_Gap_Player_nbis_2028_CapexAI" vbProcedure="false">Interface!$H$874</definedName>
    <definedName function="false" hidden="false" name="WIF_Gap_Player_nbis_2028_CapexAIGW" vbProcedure="false">Interface!$H$880</definedName>
    <definedName function="false" hidden="false" name="WIF_Gap_Player_nbis_2028_CapexAIMC" vbProcedure="false">Interface!$H$881</definedName>
    <definedName function="false" hidden="false" name="WIF_Gap_Player_nbis_2028_CapexAIModel" vbProcedure="false">Interface!$H$879</definedName>
    <definedName function="false" hidden="false" name="WIF_Gap_Player_nbis_2028_CapexNonAI" vbProcedure="false">Interface!$H$875</definedName>
    <definedName function="false" hidden="false" name="WIF_Gap_Player_nbis_2028_Gap" vbProcedure="false">Interface!$H$876</definedName>
    <definedName function="false" hidden="false" name="WIF_Gap_Player_nbis_2028_OCF" vbProcedure="false">Interface!$H$873</definedName>
    <definedName function="false" hidden="false" name="WIF_Gap_Player_nbis_2028_SelfFund" vbProcedure="false">Interface!$H$877</definedName>
    <definedName function="false" hidden="false" name="WIF_Gap_Player_nbis_2029_Buyback" vbProcedure="false">Interface!$I$878</definedName>
    <definedName function="false" hidden="false" name="WIF_Gap_Player_nbis_2029_CapexAI" vbProcedure="false">Interface!$I$874</definedName>
    <definedName function="false" hidden="false" name="WIF_Gap_Player_nbis_2029_CapexAIGW" vbProcedure="false">Interface!$I$880</definedName>
    <definedName function="false" hidden="false" name="WIF_Gap_Player_nbis_2029_CapexAIMC" vbProcedure="false">Interface!$I$881</definedName>
    <definedName function="false" hidden="false" name="WIF_Gap_Player_nbis_2029_CapexAIModel" vbProcedure="false">Interface!$I$879</definedName>
    <definedName function="false" hidden="false" name="WIF_Gap_Player_nbis_2029_CapexNonAI" vbProcedure="false">Interface!$I$875</definedName>
    <definedName function="false" hidden="false" name="WIF_Gap_Player_nbis_2029_Gap" vbProcedure="false">Interface!$I$876</definedName>
    <definedName function="false" hidden="false" name="WIF_Gap_Player_nbis_2029_OCF" vbProcedure="false">Interface!$I$873</definedName>
    <definedName function="false" hidden="false" name="WIF_Gap_Player_nbis_2029_SelfFund" vbProcedure="false">Interface!$I$877</definedName>
    <definedName function="false" hidden="false" name="WIF_Gap_Player_nbis_2030_Buyback" vbProcedure="false">Interface!$J$878</definedName>
    <definedName function="false" hidden="false" name="WIF_Gap_Player_nbis_2030_CapexAI" vbProcedure="false">Interface!$J$874</definedName>
    <definedName function="false" hidden="false" name="WIF_Gap_Player_nbis_2030_CapexAIGW" vbProcedure="false">Interface!$J$880</definedName>
    <definedName function="false" hidden="false" name="WIF_Gap_Player_nbis_2030_CapexAIMC" vbProcedure="false">Interface!$J$881</definedName>
    <definedName function="false" hidden="false" name="WIF_Gap_Player_nbis_2030_CapexAIModel" vbProcedure="false">Interface!$J$879</definedName>
    <definedName function="false" hidden="false" name="WIF_Gap_Player_nbis_2030_CapexNonAI" vbProcedure="false">Interface!$J$875</definedName>
    <definedName function="false" hidden="false" name="WIF_Gap_Player_nbis_2030_Gap" vbProcedure="false">Interface!$J$876</definedName>
    <definedName function="false" hidden="false" name="WIF_Gap_Player_nbis_2030_OCF" vbProcedure="false">Interface!$J$873</definedName>
    <definedName function="false" hidden="false" name="WIF_Gap_Player_nbis_2030_SelfFund" vbProcedure="false">Interface!$J$877</definedName>
    <definedName function="false" hidden="false" name="WIF_Gap_Player_oai_2024_Buyback" vbProcedure="false">Interface!$D$913</definedName>
    <definedName function="false" hidden="false" name="WIF_Gap_Player_oai_2024_CapexAI" vbProcedure="false">Interface!$D$909</definedName>
    <definedName function="false" hidden="false" name="WIF_Gap_Player_oai_2024_CapexAIGW" vbProcedure="false">Interface!$D$915</definedName>
    <definedName function="false" hidden="false" name="WIF_Gap_Player_oai_2024_CapexAIMC" vbProcedure="false">Interface!$D$916</definedName>
    <definedName function="false" hidden="false" name="WIF_Gap_Player_oai_2024_CapexAIModel" vbProcedure="false">Interface!$D$914</definedName>
    <definedName function="false" hidden="false" name="WIF_Gap_Player_oai_2024_CapexNonAI" vbProcedure="false">Interface!$D$910</definedName>
    <definedName function="false" hidden="false" name="WIF_Gap_Player_oai_2024_Gap" vbProcedure="false">Interface!$D$911</definedName>
    <definedName function="false" hidden="false" name="WIF_Gap_Player_oai_2024_OCF" vbProcedure="false">Interface!$D$908</definedName>
    <definedName function="false" hidden="false" name="WIF_Gap_Player_oai_2024_SelfFund" vbProcedure="false">Interface!$D$912</definedName>
    <definedName function="false" hidden="false" name="WIF_Gap_Player_oai_2025_Buyback" vbProcedure="false">Interface!$E$913</definedName>
    <definedName function="false" hidden="false" name="WIF_Gap_Player_oai_2025_CapexAI" vbProcedure="false">Interface!$E$909</definedName>
    <definedName function="false" hidden="false" name="WIF_Gap_Player_oai_2025_CapexAIGW" vbProcedure="false">Interface!$E$915</definedName>
    <definedName function="false" hidden="false" name="WIF_Gap_Player_oai_2025_CapexAIMC" vbProcedure="false">Interface!$E$916</definedName>
    <definedName function="false" hidden="false" name="WIF_Gap_Player_oai_2025_CapexAIModel" vbProcedure="false">Interface!$E$914</definedName>
    <definedName function="false" hidden="false" name="WIF_Gap_Player_oai_2025_CapexNonAI" vbProcedure="false">Interface!$E$910</definedName>
    <definedName function="false" hidden="false" name="WIF_Gap_Player_oai_2025_Gap" vbProcedure="false">Interface!$E$911</definedName>
    <definedName function="false" hidden="false" name="WIF_Gap_Player_oai_2025_OCF" vbProcedure="false">Interface!$E$908</definedName>
    <definedName function="false" hidden="false" name="WIF_Gap_Player_oai_2025_SelfFund" vbProcedure="false">Interface!$E$912</definedName>
    <definedName function="false" hidden="false" name="WIF_Gap_Player_oai_2026_Buyback" vbProcedure="false">Interface!$F$913</definedName>
    <definedName function="false" hidden="false" name="WIF_Gap_Player_oai_2026_CapexAI" vbProcedure="false">Interface!$F$909</definedName>
    <definedName function="false" hidden="false" name="WIF_Gap_Player_oai_2026_CapexAIGW" vbProcedure="false">Interface!$F$915</definedName>
    <definedName function="false" hidden="false" name="WIF_Gap_Player_oai_2026_CapexAIMC" vbProcedure="false">Interface!$F$916</definedName>
    <definedName function="false" hidden="false" name="WIF_Gap_Player_oai_2026_CapexAIModel" vbProcedure="false">Interface!$F$914</definedName>
    <definedName function="false" hidden="false" name="WIF_Gap_Player_oai_2026_CapexNonAI" vbProcedure="false">Interface!$F$910</definedName>
    <definedName function="false" hidden="false" name="WIF_Gap_Player_oai_2026_Gap" vbProcedure="false">Interface!$F$911</definedName>
    <definedName function="false" hidden="false" name="WIF_Gap_Player_oai_2026_OCF" vbProcedure="false">Interface!$F$908</definedName>
    <definedName function="false" hidden="false" name="WIF_Gap_Player_oai_2026_SelfFund" vbProcedure="false">Interface!$F$912</definedName>
    <definedName function="false" hidden="false" name="WIF_Gap_Player_oai_2027_Buyback" vbProcedure="false">Interface!$G$913</definedName>
    <definedName function="false" hidden="false" name="WIF_Gap_Player_oai_2027_CapexAI" vbProcedure="false">Interface!$G$909</definedName>
    <definedName function="false" hidden="false" name="WIF_Gap_Player_oai_2027_CapexAIGW" vbProcedure="false">Interface!$G$915</definedName>
    <definedName function="false" hidden="false" name="WIF_Gap_Player_oai_2027_CapexAIMC" vbProcedure="false">Interface!$G$916</definedName>
    <definedName function="false" hidden="false" name="WIF_Gap_Player_oai_2027_CapexAIModel" vbProcedure="false">Interface!$G$914</definedName>
    <definedName function="false" hidden="false" name="WIF_Gap_Player_oai_2027_CapexNonAI" vbProcedure="false">Interface!$G$910</definedName>
    <definedName function="false" hidden="false" name="WIF_Gap_Player_oai_2027_Gap" vbProcedure="false">Interface!$G$911</definedName>
    <definedName function="false" hidden="false" name="WIF_Gap_Player_oai_2027_OCF" vbProcedure="false">Interface!$G$908</definedName>
    <definedName function="false" hidden="false" name="WIF_Gap_Player_oai_2027_SelfFund" vbProcedure="false">Interface!$G$912</definedName>
    <definedName function="false" hidden="false" name="WIF_Gap_Player_oai_2028_Buyback" vbProcedure="false">Interface!$H$913</definedName>
    <definedName function="false" hidden="false" name="WIF_Gap_Player_oai_2028_CapexAI" vbProcedure="false">Interface!$H$909</definedName>
    <definedName function="false" hidden="false" name="WIF_Gap_Player_oai_2028_CapexAIGW" vbProcedure="false">Interface!$H$915</definedName>
    <definedName function="false" hidden="false" name="WIF_Gap_Player_oai_2028_CapexAIMC" vbProcedure="false">Interface!$H$916</definedName>
    <definedName function="false" hidden="false" name="WIF_Gap_Player_oai_2028_CapexAIModel" vbProcedure="false">Interface!$H$914</definedName>
    <definedName function="false" hidden="false" name="WIF_Gap_Player_oai_2028_CapexNonAI" vbProcedure="false">Interface!$H$910</definedName>
    <definedName function="false" hidden="false" name="WIF_Gap_Player_oai_2028_Gap" vbProcedure="false">Interface!$H$911</definedName>
    <definedName function="false" hidden="false" name="WIF_Gap_Player_oai_2028_OCF" vbProcedure="false">Interface!$H$908</definedName>
    <definedName function="false" hidden="false" name="WIF_Gap_Player_oai_2028_SelfFund" vbProcedure="false">Interface!$H$912</definedName>
    <definedName function="false" hidden="false" name="WIF_Gap_Player_oai_2029_Buyback" vbProcedure="false">Interface!$I$913</definedName>
    <definedName function="false" hidden="false" name="WIF_Gap_Player_oai_2029_CapexAI" vbProcedure="false">Interface!$I$909</definedName>
    <definedName function="false" hidden="false" name="WIF_Gap_Player_oai_2029_CapexAIGW" vbProcedure="false">Interface!$I$915</definedName>
    <definedName function="false" hidden="false" name="WIF_Gap_Player_oai_2029_CapexAIMC" vbProcedure="false">Interface!$I$916</definedName>
    <definedName function="false" hidden="false" name="WIF_Gap_Player_oai_2029_CapexAIModel" vbProcedure="false">Interface!$I$914</definedName>
    <definedName function="false" hidden="false" name="WIF_Gap_Player_oai_2029_CapexNonAI" vbProcedure="false">Interface!$I$910</definedName>
    <definedName function="false" hidden="false" name="WIF_Gap_Player_oai_2029_Gap" vbProcedure="false">Interface!$I$911</definedName>
    <definedName function="false" hidden="false" name="WIF_Gap_Player_oai_2029_OCF" vbProcedure="false">Interface!$I$908</definedName>
    <definedName function="false" hidden="false" name="WIF_Gap_Player_oai_2029_SelfFund" vbProcedure="false">Interface!$I$912</definedName>
    <definedName function="false" hidden="false" name="WIF_Gap_Player_oai_2030_Buyback" vbProcedure="false">Interface!$J$913</definedName>
    <definedName function="false" hidden="false" name="WIF_Gap_Player_oai_2030_CapexAI" vbProcedure="false">Interface!$J$909</definedName>
    <definedName function="false" hidden="false" name="WIF_Gap_Player_oai_2030_CapexAIGW" vbProcedure="false">Interface!$J$915</definedName>
    <definedName function="false" hidden="false" name="WIF_Gap_Player_oai_2030_CapexAIMC" vbProcedure="false">Interface!$J$916</definedName>
    <definedName function="false" hidden="false" name="WIF_Gap_Player_oai_2030_CapexAIModel" vbProcedure="false">Interface!$J$914</definedName>
    <definedName function="false" hidden="false" name="WIF_Gap_Player_oai_2030_CapexNonAI" vbProcedure="false">Interface!$J$910</definedName>
    <definedName function="false" hidden="false" name="WIF_Gap_Player_oai_2030_Gap" vbProcedure="false">Interface!$J$911</definedName>
    <definedName function="false" hidden="false" name="WIF_Gap_Player_oai_2030_OCF" vbProcedure="false">Interface!$J$908</definedName>
    <definedName function="false" hidden="false" name="WIF_Gap_Player_oai_2030_SelfFund" vbProcedure="false">Interface!$J$912</definedName>
    <definedName function="false" hidden="false" name="WIF_Gap_Player_orcl_2024_Buyback" vbProcedure="false">Interface!$D$854</definedName>
    <definedName function="false" hidden="false" name="WIF_Gap_Player_orcl_2024_CapexAI" vbProcedure="false">Interface!$D$850</definedName>
    <definedName function="false" hidden="false" name="WIF_Gap_Player_orcl_2024_CapexAIGW" vbProcedure="false">Interface!$D$856</definedName>
    <definedName function="false" hidden="false" name="WIF_Gap_Player_orcl_2024_CapexAIMC" vbProcedure="false">Interface!$D$857</definedName>
    <definedName function="false" hidden="false" name="WIF_Gap_Player_orcl_2024_CapexAIModel" vbProcedure="false">Interface!$D$855</definedName>
    <definedName function="false" hidden="false" name="WIF_Gap_Player_orcl_2024_CapexNonAI" vbProcedure="false">Interface!$D$851</definedName>
    <definedName function="false" hidden="false" name="WIF_Gap_Player_orcl_2024_Gap" vbProcedure="false">Interface!$D$852</definedName>
    <definedName function="false" hidden="false" name="WIF_Gap_Player_orcl_2024_OCF" vbProcedure="false">Interface!$D$849</definedName>
    <definedName function="false" hidden="false" name="WIF_Gap_Player_orcl_2024_SelfFund" vbProcedure="false">Interface!$D$853</definedName>
    <definedName function="false" hidden="false" name="WIF_Gap_Player_orcl_2025_Buyback" vbProcedure="false">Interface!$E$854</definedName>
    <definedName function="false" hidden="false" name="WIF_Gap_Player_orcl_2025_CapexAI" vbProcedure="false">Interface!$E$850</definedName>
    <definedName function="false" hidden="false" name="WIF_Gap_Player_orcl_2025_CapexAIGW" vbProcedure="false">Interface!$E$856</definedName>
    <definedName function="false" hidden="false" name="WIF_Gap_Player_orcl_2025_CapexAIMC" vbProcedure="false">Interface!$E$857</definedName>
    <definedName function="false" hidden="false" name="WIF_Gap_Player_orcl_2025_CapexAIModel" vbProcedure="false">Interface!$E$855</definedName>
    <definedName function="false" hidden="false" name="WIF_Gap_Player_orcl_2025_CapexNonAI" vbProcedure="false">Interface!$E$851</definedName>
    <definedName function="false" hidden="false" name="WIF_Gap_Player_orcl_2025_Gap" vbProcedure="false">Interface!$E$852</definedName>
    <definedName function="false" hidden="false" name="WIF_Gap_Player_orcl_2025_OCF" vbProcedure="false">Interface!$E$849</definedName>
    <definedName function="false" hidden="false" name="WIF_Gap_Player_orcl_2025_SelfFund" vbProcedure="false">Interface!$E$853</definedName>
    <definedName function="false" hidden="false" name="WIF_Gap_Player_orcl_2026_Buyback" vbProcedure="false">Interface!$F$854</definedName>
    <definedName function="false" hidden="false" name="WIF_Gap_Player_orcl_2026_CapexAI" vbProcedure="false">Interface!$F$850</definedName>
    <definedName function="false" hidden="false" name="WIF_Gap_Player_orcl_2026_CapexAIGW" vbProcedure="false">Interface!$F$856</definedName>
    <definedName function="false" hidden="false" name="WIF_Gap_Player_orcl_2026_CapexAIMC" vbProcedure="false">Interface!$F$857</definedName>
    <definedName function="false" hidden="false" name="WIF_Gap_Player_orcl_2026_CapexAIModel" vbProcedure="false">Interface!$F$855</definedName>
    <definedName function="false" hidden="false" name="WIF_Gap_Player_orcl_2026_CapexNonAI" vbProcedure="false">Interface!$F$851</definedName>
    <definedName function="false" hidden="false" name="WIF_Gap_Player_orcl_2026_Gap" vbProcedure="false">Interface!$F$852</definedName>
    <definedName function="false" hidden="false" name="WIF_Gap_Player_orcl_2026_OCF" vbProcedure="false">Interface!$F$849</definedName>
    <definedName function="false" hidden="false" name="WIF_Gap_Player_orcl_2026_SelfFund" vbProcedure="false">Interface!$F$853</definedName>
    <definedName function="false" hidden="false" name="WIF_Gap_Player_orcl_2027_Buyback" vbProcedure="false">Interface!$G$854</definedName>
    <definedName function="false" hidden="false" name="WIF_Gap_Player_orcl_2027_CapexAI" vbProcedure="false">Interface!$G$850</definedName>
    <definedName function="false" hidden="false" name="WIF_Gap_Player_orcl_2027_CapexAIGW" vbProcedure="false">Interface!$G$856</definedName>
    <definedName function="false" hidden="false" name="WIF_Gap_Player_orcl_2027_CapexAIMC" vbProcedure="false">Interface!$G$857</definedName>
    <definedName function="false" hidden="false" name="WIF_Gap_Player_orcl_2027_CapexAIModel" vbProcedure="false">Interface!$G$855</definedName>
    <definedName function="false" hidden="false" name="WIF_Gap_Player_orcl_2027_CapexNonAI" vbProcedure="false">Interface!$G$851</definedName>
    <definedName function="false" hidden="false" name="WIF_Gap_Player_orcl_2027_Gap" vbProcedure="false">Interface!$G$852</definedName>
    <definedName function="false" hidden="false" name="WIF_Gap_Player_orcl_2027_OCF" vbProcedure="false">Interface!$G$849</definedName>
    <definedName function="false" hidden="false" name="WIF_Gap_Player_orcl_2027_SelfFund" vbProcedure="false">Interface!$G$853</definedName>
    <definedName function="false" hidden="false" name="WIF_Gap_Player_orcl_2028_Buyback" vbProcedure="false">Interface!$H$854</definedName>
    <definedName function="false" hidden="false" name="WIF_Gap_Player_orcl_2028_CapexAI" vbProcedure="false">Interface!$H$850</definedName>
    <definedName function="false" hidden="false" name="WIF_Gap_Player_orcl_2028_CapexAIGW" vbProcedure="false">Interface!$H$856</definedName>
    <definedName function="false" hidden="false" name="WIF_Gap_Player_orcl_2028_CapexAIMC" vbProcedure="false">Interface!$H$857</definedName>
    <definedName function="false" hidden="false" name="WIF_Gap_Player_orcl_2028_CapexAIModel" vbProcedure="false">Interface!$H$855</definedName>
    <definedName function="false" hidden="false" name="WIF_Gap_Player_orcl_2028_CapexNonAI" vbProcedure="false">Interface!$H$851</definedName>
    <definedName function="false" hidden="false" name="WIF_Gap_Player_orcl_2028_Gap" vbProcedure="false">Interface!$H$852</definedName>
    <definedName function="false" hidden="false" name="WIF_Gap_Player_orcl_2028_OCF" vbProcedure="false">Interface!$H$849</definedName>
    <definedName function="false" hidden="false" name="WIF_Gap_Player_orcl_2028_SelfFund" vbProcedure="false">Interface!$H$853</definedName>
    <definedName function="false" hidden="false" name="WIF_Gap_Player_orcl_2029_Buyback" vbProcedure="false">Interface!$I$854</definedName>
    <definedName function="false" hidden="false" name="WIF_Gap_Player_orcl_2029_CapexAI" vbProcedure="false">Interface!$I$850</definedName>
    <definedName function="false" hidden="false" name="WIF_Gap_Player_orcl_2029_CapexAIGW" vbProcedure="false">Interface!$I$856</definedName>
    <definedName function="false" hidden="false" name="WIF_Gap_Player_orcl_2029_CapexAIMC" vbProcedure="false">Interface!$I$857</definedName>
    <definedName function="false" hidden="false" name="WIF_Gap_Player_orcl_2029_CapexAIModel" vbProcedure="false">Interface!$I$855</definedName>
    <definedName function="false" hidden="false" name="WIF_Gap_Player_orcl_2029_CapexNonAI" vbProcedure="false">Interface!$I$851</definedName>
    <definedName function="false" hidden="false" name="WIF_Gap_Player_orcl_2029_Gap" vbProcedure="false">Interface!$I$852</definedName>
    <definedName function="false" hidden="false" name="WIF_Gap_Player_orcl_2029_OCF" vbProcedure="false">Interface!$I$849</definedName>
    <definedName function="false" hidden="false" name="WIF_Gap_Player_orcl_2029_SelfFund" vbProcedure="false">Interface!$I$853</definedName>
    <definedName function="false" hidden="false" name="WIF_Gap_Player_orcl_2030_Buyback" vbProcedure="false">Interface!$J$854</definedName>
    <definedName function="false" hidden="false" name="WIF_Gap_Player_orcl_2030_CapexAI" vbProcedure="false">Interface!$J$850</definedName>
    <definedName function="false" hidden="false" name="WIF_Gap_Player_orcl_2030_CapexAIGW" vbProcedure="false">Interface!$J$856</definedName>
    <definedName function="false" hidden="false" name="WIF_Gap_Player_orcl_2030_CapexAIMC" vbProcedure="false">Interface!$J$857</definedName>
    <definedName function="false" hidden="false" name="WIF_Gap_Player_orcl_2030_CapexAIModel" vbProcedure="false">Interface!$J$855</definedName>
    <definedName function="false" hidden="false" name="WIF_Gap_Player_orcl_2030_CapexNonAI" vbProcedure="false">Interface!$J$851</definedName>
    <definedName function="false" hidden="false" name="WIF_Gap_Player_orcl_2030_Gap" vbProcedure="false">Interface!$J$852</definedName>
    <definedName function="false" hidden="false" name="WIF_Gap_Player_orcl_2030_OCF" vbProcedure="false">Interface!$J$849</definedName>
    <definedName function="false" hidden="false" name="WIF_Gap_Player_orcl_2030_SelfFund" vbProcedure="false">Interface!$J$853</definedName>
    <definedName function="false" hidden="false" name="WIF_Gap_Player_wyfi_2024_Buyback" vbProcedure="false">Interface!$D$890</definedName>
    <definedName function="false" hidden="false" name="WIF_Gap_Player_wyfi_2024_CapexAI" vbProcedure="false">Interface!$D$886</definedName>
    <definedName function="false" hidden="false" name="WIF_Gap_Player_wyfi_2024_CapexAIGW" vbProcedure="false">Interface!$D$892</definedName>
    <definedName function="false" hidden="false" name="WIF_Gap_Player_wyfi_2024_CapexAIMC" vbProcedure="false">Interface!$D$893</definedName>
    <definedName function="false" hidden="false" name="WIF_Gap_Player_wyfi_2024_CapexAIModel" vbProcedure="false">Interface!$D$891</definedName>
    <definedName function="false" hidden="false" name="WIF_Gap_Player_wyfi_2024_CapexNonAI" vbProcedure="false">Interface!$D$887</definedName>
    <definedName function="false" hidden="false" name="WIF_Gap_Player_wyfi_2024_Gap" vbProcedure="false">Interface!$D$888</definedName>
    <definedName function="false" hidden="false" name="WIF_Gap_Player_wyfi_2024_OCF" vbProcedure="false">Interface!$D$885</definedName>
    <definedName function="false" hidden="false" name="WIF_Gap_Player_wyfi_2024_SelfFund" vbProcedure="false">Interface!$D$889</definedName>
    <definedName function="false" hidden="false" name="WIF_Gap_Player_wyfi_2025_Buyback" vbProcedure="false">Interface!$E$890</definedName>
    <definedName function="false" hidden="false" name="WIF_Gap_Player_wyfi_2025_CapexAI" vbProcedure="false">Interface!$E$886</definedName>
    <definedName function="false" hidden="false" name="WIF_Gap_Player_wyfi_2025_CapexAIGW" vbProcedure="false">Interface!$E$892</definedName>
    <definedName function="false" hidden="false" name="WIF_Gap_Player_wyfi_2025_CapexAIMC" vbProcedure="false">Interface!$E$893</definedName>
    <definedName function="false" hidden="false" name="WIF_Gap_Player_wyfi_2025_CapexAIModel" vbProcedure="false">Interface!$E$891</definedName>
    <definedName function="false" hidden="false" name="WIF_Gap_Player_wyfi_2025_CapexNonAI" vbProcedure="false">Interface!$E$887</definedName>
    <definedName function="false" hidden="false" name="WIF_Gap_Player_wyfi_2025_Gap" vbProcedure="false">Interface!$E$888</definedName>
    <definedName function="false" hidden="false" name="WIF_Gap_Player_wyfi_2025_OCF" vbProcedure="false">Interface!$E$885</definedName>
    <definedName function="false" hidden="false" name="WIF_Gap_Player_wyfi_2025_SelfFund" vbProcedure="false">Interface!$E$889</definedName>
    <definedName function="false" hidden="false" name="WIF_Gap_Player_wyfi_2026_Buyback" vbProcedure="false">Interface!$F$890</definedName>
    <definedName function="false" hidden="false" name="WIF_Gap_Player_wyfi_2026_CapexAI" vbProcedure="false">Interface!$F$886</definedName>
    <definedName function="false" hidden="false" name="WIF_Gap_Player_wyfi_2026_CapexAIGW" vbProcedure="false">Interface!$F$892</definedName>
    <definedName function="false" hidden="false" name="WIF_Gap_Player_wyfi_2026_CapexAIMC" vbProcedure="false">Interface!$F$893</definedName>
    <definedName function="false" hidden="false" name="WIF_Gap_Player_wyfi_2026_CapexAIModel" vbProcedure="false">Interface!$F$891</definedName>
    <definedName function="false" hidden="false" name="WIF_Gap_Player_wyfi_2026_CapexNonAI" vbProcedure="false">Interface!$F$887</definedName>
    <definedName function="false" hidden="false" name="WIF_Gap_Player_wyfi_2026_Gap" vbProcedure="false">Interface!$F$888</definedName>
    <definedName function="false" hidden="false" name="WIF_Gap_Player_wyfi_2026_OCF" vbProcedure="false">Interface!$F$885</definedName>
    <definedName function="false" hidden="false" name="WIF_Gap_Player_wyfi_2026_SelfFund" vbProcedure="false">Interface!$F$889</definedName>
    <definedName function="false" hidden="false" name="WIF_Gap_Player_wyfi_2027_Buyback" vbProcedure="false">Interface!$G$890</definedName>
    <definedName function="false" hidden="false" name="WIF_Gap_Player_wyfi_2027_CapexAI" vbProcedure="false">Interface!$G$886</definedName>
    <definedName function="false" hidden="false" name="WIF_Gap_Player_wyfi_2027_CapexAIGW" vbProcedure="false">Interface!$G$892</definedName>
    <definedName function="false" hidden="false" name="WIF_Gap_Player_wyfi_2027_CapexAIMC" vbProcedure="false">Interface!$G$893</definedName>
    <definedName function="false" hidden="false" name="WIF_Gap_Player_wyfi_2027_CapexAIModel" vbProcedure="false">Interface!$G$891</definedName>
    <definedName function="false" hidden="false" name="WIF_Gap_Player_wyfi_2027_CapexNonAI" vbProcedure="false">Interface!$G$887</definedName>
    <definedName function="false" hidden="false" name="WIF_Gap_Player_wyfi_2027_Gap" vbProcedure="false">Interface!$G$888</definedName>
    <definedName function="false" hidden="false" name="WIF_Gap_Player_wyfi_2027_OCF" vbProcedure="false">Interface!$G$885</definedName>
    <definedName function="false" hidden="false" name="WIF_Gap_Player_wyfi_2027_SelfFund" vbProcedure="false">Interface!$G$889</definedName>
    <definedName function="false" hidden="false" name="WIF_Gap_Player_wyfi_2028_Buyback" vbProcedure="false">Interface!$H$890</definedName>
    <definedName function="false" hidden="false" name="WIF_Gap_Player_wyfi_2028_CapexAI" vbProcedure="false">Interface!$H$886</definedName>
    <definedName function="false" hidden="false" name="WIF_Gap_Player_wyfi_2028_CapexAIGW" vbProcedure="false">Interface!$H$892</definedName>
    <definedName function="false" hidden="false" name="WIF_Gap_Player_wyfi_2028_CapexAIMC" vbProcedure="false">Interface!$H$893</definedName>
    <definedName function="false" hidden="false" name="WIF_Gap_Player_wyfi_2028_CapexAIModel" vbProcedure="false">Interface!$H$891</definedName>
    <definedName function="false" hidden="false" name="WIF_Gap_Player_wyfi_2028_CapexNonAI" vbProcedure="false">Interface!$H$887</definedName>
    <definedName function="false" hidden="false" name="WIF_Gap_Player_wyfi_2028_Gap" vbProcedure="false">Interface!$H$888</definedName>
    <definedName function="false" hidden="false" name="WIF_Gap_Player_wyfi_2028_OCF" vbProcedure="false">Interface!$H$885</definedName>
    <definedName function="false" hidden="false" name="WIF_Gap_Player_wyfi_2028_SelfFund" vbProcedure="false">Interface!$H$889</definedName>
    <definedName function="false" hidden="false" name="WIF_Gap_Player_wyfi_2029_Buyback" vbProcedure="false">Interface!$I$890</definedName>
    <definedName function="false" hidden="false" name="WIF_Gap_Player_wyfi_2029_CapexAI" vbProcedure="false">Interface!$I$886</definedName>
    <definedName function="false" hidden="false" name="WIF_Gap_Player_wyfi_2029_CapexAIGW" vbProcedure="false">Interface!$I$892</definedName>
    <definedName function="false" hidden="false" name="WIF_Gap_Player_wyfi_2029_CapexAIMC" vbProcedure="false">Interface!$I$893</definedName>
    <definedName function="false" hidden="false" name="WIF_Gap_Player_wyfi_2029_CapexAIModel" vbProcedure="false">Interface!$I$891</definedName>
    <definedName function="false" hidden="false" name="WIF_Gap_Player_wyfi_2029_CapexNonAI" vbProcedure="false">Interface!$I$887</definedName>
    <definedName function="false" hidden="false" name="WIF_Gap_Player_wyfi_2029_Gap" vbProcedure="false">Interface!$I$888</definedName>
    <definedName function="false" hidden="false" name="WIF_Gap_Player_wyfi_2029_OCF" vbProcedure="false">Interface!$I$885</definedName>
    <definedName function="false" hidden="false" name="WIF_Gap_Player_wyfi_2029_SelfFund" vbProcedure="false">Interface!$I$889</definedName>
    <definedName function="false" hidden="false" name="WIF_Gap_Player_wyfi_2030_Buyback" vbProcedure="false">Interface!$J$890</definedName>
    <definedName function="false" hidden="false" name="WIF_Gap_Player_wyfi_2030_CapexAI" vbProcedure="false">Interface!$J$886</definedName>
    <definedName function="false" hidden="false" name="WIF_Gap_Player_wyfi_2030_CapexAIGW" vbProcedure="false">Interface!$J$892</definedName>
    <definedName function="false" hidden="false" name="WIF_Gap_Player_wyfi_2030_CapexAIMC" vbProcedure="false">Interface!$J$893</definedName>
    <definedName function="false" hidden="false" name="WIF_Gap_Player_wyfi_2030_CapexAIModel" vbProcedure="false">Interface!$J$891</definedName>
    <definedName function="false" hidden="false" name="WIF_Gap_Player_wyfi_2030_CapexNonAI" vbProcedure="false">Interface!$J$887</definedName>
    <definedName function="false" hidden="false" name="WIF_Gap_Player_wyfi_2030_Gap" vbProcedure="false">Interface!$J$888</definedName>
    <definedName function="false" hidden="false" name="WIF_Gap_Player_wyfi_2030_OCF" vbProcedure="false">Interface!$J$885</definedName>
    <definedName function="false" hidden="false" name="WIF_Gap_Player_wyfi_2030_SelfFund" vbProcedure="false">Interface!$J$889</definedName>
    <definedName function="false" hidden="false" name="WIF_Gap_Player_xai_2024_Buyback" vbProcedure="false">Interface!$D$901</definedName>
    <definedName function="false" hidden="false" name="WIF_Gap_Player_xai_2024_CapexAI" vbProcedure="false">Interface!$D$897</definedName>
    <definedName function="false" hidden="false" name="WIF_Gap_Player_xai_2024_CapexAIGW" vbProcedure="false">Interface!$D$903</definedName>
    <definedName function="false" hidden="false" name="WIF_Gap_Player_xai_2024_CapexAIMC" vbProcedure="false">Interface!$D$904</definedName>
    <definedName function="false" hidden="false" name="WIF_Gap_Player_xai_2024_CapexAIModel" vbProcedure="false">Interface!$D$902</definedName>
    <definedName function="false" hidden="false" name="WIF_Gap_Player_xai_2024_CapexNonAI" vbProcedure="false">Interface!$D$898</definedName>
    <definedName function="false" hidden="false" name="WIF_Gap_Player_xai_2024_Gap" vbProcedure="false">Interface!$D$899</definedName>
    <definedName function="false" hidden="false" name="WIF_Gap_Player_xai_2024_OCF" vbProcedure="false">Interface!$D$896</definedName>
    <definedName function="false" hidden="false" name="WIF_Gap_Player_xai_2024_SelfFund" vbProcedure="false">Interface!$D$900</definedName>
    <definedName function="false" hidden="false" name="WIF_Gap_Player_xai_2025_Buyback" vbProcedure="false">Interface!$E$901</definedName>
    <definedName function="false" hidden="false" name="WIF_Gap_Player_xai_2025_CapexAI" vbProcedure="false">Interface!$E$897</definedName>
    <definedName function="false" hidden="false" name="WIF_Gap_Player_xai_2025_CapexAIGW" vbProcedure="false">Interface!$E$903</definedName>
    <definedName function="false" hidden="false" name="WIF_Gap_Player_xai_2025_CapexAIMC" vbProcedure="false">Interface!$E$904</definedName>
    <definedName function="false" hidden="false" name="WIF_Gap_Player_xai_2025_CapexAIModel" vbProcedure="false">Interface!$E$902</definedName>
    <definedName function="false" hidden="false" name="WIF_Gap_Player_xai_2025_CapexNonAI" vbProcedure="false">Interface!$E$898</definedName>
    <definedName function="false" hidden="false" name="WIF_Gap_Player_xai_2025_Gap" vbProcedure="false">Interface!$E$899</definedName>
    <definedName function="false" hidden="false" name="WIF_Gap_Player_xai_2025_OCF" vbProcedure="false">Interface!$E$896</definedName>
    <definedName function="false" hidden="false" name="WIF_Gap_Player_xai_2025_SelfFund" vbProcedure="false">Interface!$E$900</definedName>
    <definedName function="false" hidden="false" name="WIF_Gap_Player_xai_2026_Buyback" vbProcedure="false">Interface!$F$901</definedName>
    <definedName function="false" hidden="false" name="WIF_Gap_Player_xai_2026_CapexAI" vbProcedure="false">Interface!$F$897</definedName>
    <definedName function="false" hidden="false" name="WIF_Gap_Player_xai_2026_CapexAIGW" vbProcedure="false">Interface!$F$903</definedName>
    <definedName function="false" hidden="false" name="WIF_Gap_Player_xai_2026_CapexAIMC" vbProcedure="false">Interface!$F$904</definedName>
    <definedName function="false" hidden="false" name="WIF_Gap_Player_xai_2026_CapexAIModel" vbProcedure="false">Interface!$F$902</definedName>
    <definedName function="false" hidden="false" name="WIF_Gap_Player_xai_2026_CapexNonAI" vbProcedure="false">Interface!$F$898</definedName>
    <definedName function="false" hidden="false" name="WIF_Gap_Player_xai_2026_Gap" vbProcedure="false">Interface!$F$899</definedName>
    <definedName function="false" hidden="false" name="WIF_Gap_Player_xai_2026_OCF" vbProcedure="false">Interface!$F$896</definedName>
    <definedName function="false" hidden="false" name="WIF_Gap_Player_xai_2026_SelfFund" vbProcedure="false">Interface!$F$900</definedName>
    <definedName function="false" hidden="false" name="WIF_Gap_Player_xai_2027_Buyback" vbProcedure="false">Interface!$G$901</definedName>
    <definedName function="false" hidden="false" name="WIF_Gap_Player_xai_2027_CapexAI" vbProcedure="false">Interface!$G$897</definedName>
    <definedName function="false" hidden="false" name="WIF_Gap_Player_xai_2027_CapexAIGW" vbProcedure="false">Interface!$G$903</definedName>
    <definedName function="false" hidden="false" name="WIF_Gap_Player_xai_2027_CapexAIMC" vbProcedure="false">Interface!$G$904</definedName>
    <definedName function="false" hidden="false" name="WIF_Gap_Player_xai_2027_CapexAIModel" vbProcedure="false">Interface!$G$902</definedName>
    <definedName function="false" hidden="false" name="WIF_Gap_Player_xai_2027_CapexNonAI" vbProcedure="false">Interface!$G$898</definedName>
    <definedName function="false" hidden="false" name="WIF_Gap_Player_xai_2027_Gap" vbProcedure="false">Interface!$G$899</definedName>
    <definedName function="false" hidden="false" name="WIF_Gap_Player_xai_2027_OCF" vbProcedure="false">Interface!$G$896</definedName>
    <definedName function="false" hidden="false" name="WIF_Gap_Player_xai_2027_SelfFund" vbProcedure="false">Interface!$G$900</definedName>
    <definedName function="false" hidden="false" name="WIF_Gap_Player_xai_2028_Buyback" vbProcedure="false">Interface!$H$901</definedName>
    <definedName function="false" hidden="false" name="WIF_Gap_Player_xai_2028_CapexAI" vbProcedure="false">Interface!$H$897</definedName>
    <definedName function="false" hidden="false" name="WIF_Gap_Player_xai_2028_CapexAIGW" vbProcedure="false">Interface!$H$903</definedName>
    <definedName function="false" hidden="false" name="WIF_Gap_Player_xai_2028_CapexAIMC" vbProcedure="false">Interface!$H$904</definedName>
    <definedName function="false" hidden="false" name="WIF_Gap_Player_xai_2028_CapexAIModel" vbProcedure="false">Interface!$H$902</definedName>
    <definedName function="false" hidden="false" name="WIF_Gap_Player_xai_2028_CapexNonAI" vbProcedure="false">Interface!$H$898</definedName>
    <definedName function="false" hidden="false" name="WIF_Gap_Player_xai_2028_Gap" vbProcedure="false">Interface!$H$899</definedName>
    <definedName function="false" hidden="false" name="WIF_Gap_Player_xai_2028_OCF" vbProcedure="false">Interface!$H$896</definedName>
    <definedName function="false" hidden="false" name="WIF_Gap_Player_xai_2028_SelfFund" vbProcedure="false">Interface!$H$900</definedName>
    <definedName function="false" hidden="false" name="WIF_Gap_Player_xai_2029_Buyback" vbProcedure="false">Interface!$I$901</definedName>
    <definedName function="false" hidden="false" name="WIF_Gap_Player_xai_2029_CapexAI" vbProcedure="false">Interface!$I$897</definedName>
    <definedName function="false" hidden="false" name="WIF_Gap_Player_xai_2029_CapexAIGW" vbProcedure="false">Interface!$I$903</definedName>
    <definedName function="false" hidden="false" name="WIF_Gap_Player_xai_2029_CapexAIMC" vbProcedure="false">Interface!$I$904</definedName>
    <definedName function="false" hidden="false" name="WIF_Gap_Player_xai_2029_CapexAIModel" vbProcedure="false">Interface!$I$902</definedName>
    <definedName function="false" hidden="false" name="WIF_Gap_Player_xai_2029_CapexNonAI" vbProcedure="false">Interface!$I$898</definedName>
    <definedName function="false" hidden="false" name="WIF_Gap_Player_xai_2029_Gap" vbProcedure="false">Interface!$I$899</definedName>
    <definedName function="false" hidden="false" name="WIF_Gap_Player_xai_2029_OCF" vbProcedure="false">Interface!$I$896</definedName>
    <definedName function="false" hidden="false" name="WIF_Gap_Player_xai_2029_SelfFund" vbProcedure="false">Interface!$I$900</definedName>
    <definedName function="false" hidden="false" name="WIF_Gap_Player_xai_2030_Buyback" vbProcedure="false">Interface!$J$901</definedName>
    <definedName function="false" hidden="false" name="WIF_Gap_Player_xai_2030_CapexAI" vbProcedure="false">Interface!$J$897</definedName>
    <definedName function="false" hidden="false" name="WIF_Gap_Player_xai_2030_CapexAIGW" vbProcedure="false">Interface!$J$903</definedName>
    <definedName function="false" hidden="false" name="WIF_Gap_Player_xai_2030_CapexAIMC" vbProcedure="false">Interface!$J$904</definedName>
    <definedName function="false" hidden="false" name="WIF_Gap_Player_xai_2030_CapexAIModel" vbProcedure="false">Interface!$J$902</definedName>
    <definedName function="false" hidden="false" name="WIF_Gap_Player_xai_2030_CapexNonAI" vbProcedure="false">Interface!$J$898</definedName>
    <definedName function="false" hidden="false" name="WIF_Gap_Player_xai_2030_Gap" vbProcedure="false">Interface!$J$899</definedName>
    <definedName function="false" hidden="false" name="WIF_Gap_Player_xai_2030_OCF" vbProcedure="false">Interface!$J$896</definedName>
    <definedName function="false" hidden="false" name="WIF_Gap_Player_xai_2030_SelfFund" vbProcedure="false">Interface!$J$900</definedName>
    <definedName function="false" hidden="false" name="WIF_Gap_Ratio_A_D0_2024" vbProcedure="false">Interface!$D$627</definedName>
    <definedName function="false" hidden="false" name="WIF_Gap_Ratio_A_D0_2025" vbProcedure="false">Interface!$E$627</definedName>
    <definedName function="false" hidden="false" name="WIF_Gap_Ratio_A_D0_2026" vbProcedure="false">Interface!$F$627</definedName>
    <definedName function="false" hidden="false" name="WIF_Gap_Ratio_A_D0_2027" vbProcedure="false">Interface!$G$627</definedName>
    <definedName function="false" hidden="false" name="WIF_Gap_Ratio_A_D0_2028" vbProcedure="false">Interface!$H$627</definedName>
    <definedName function="false" hidden="false" name="WIF_Gap_Ratio_A_D0_2029" vbProcedure="false">Interface!$I$627</definedName>
    <definedName function="false" hidden="false" name="WIF_Gap_Ratio_A_D0_2030" vbProcedure="false">Interface!$J$627</definedName>
    <definedName function="false" hidden="false" name="WIF_Gap_Ratio_A_D1_2024" vbProcedure="false">Interface!$D$644</definedName>
    <definedName function="false" hidden="false" name="WIF_Gap_Ratio_A_D1_2025" vbProcedure="false">Interface!$E$644</definedName>
    <definedName function="false" hidden="false" name="WIF_Gap_Ratio_A_D1_2026" vbProcedure="false">Interface!$F$644</definedName>
    <definedName function="false" hidden="false" name="WIF_Gap_Ratio_A_D1_2027" vbProcedure="false">Interface!$G$644</definedName>
    <definedName function="false" hidden="false" name="WIF_Gap_Ratio_A_D1_2028" vbProcedure="false">Interface!$H$644</definedName>
    <definedName function="false" hidden="false" name="WIF_Gap_Ratio_A_D1_2029" vbProcedure="false">Interface!$I$644</definedName>
    <definedName function="false" hidden="false" name="WIF_Gap_Ratio_A_D1_2030" vbProcedure="false">Interface!$J$644</definedName>
    <definedName function="false" hidden="false" name="WIF_Gap_Ratio_A_D2_2024" vbProcedure="false">Interface!$D$661</definedName>
    <definedName function="false" hidden="false" name="WIF_Gap_Ratio_A_D2_2025" vbProcedure="false">Interface!$E$661</definedName>
    <definedName function="false" hidden="false" name="WIF_Gap_Ratio_A_D2_2026" vbProcedure="false">Interface!$F$661</definedName>
    <definedName function="false" hidden="false" name="WIF_Gap_Ratio_A_D2_2027" vbProcedure="false">Interface!$G$661</definedName>
    <definedName function="false" hidden="false" name="WIF_Gap_Ratio_A_D2_2028" vbProcedure="false">Interface!$H$661</definedName>
    <definedName function="false" hidden="false" name="WIF_Gap_Ratio_A_D2_2029" vbProcedure="false">Interface!$I$661</definedName>
    <definedName function="false" hidden="false" name="WIF_Gap_Ratio_A_D2_2030" vbProcedure="false">Interface!$J$661</definedName>
    <definedName function="false" hidden="false" name="WIF_Gap_Ratio_B_D0_2024" vbProcedure="false">Interface!$D$678</definedName>
    <definedName function="false" hidden="false" name="WIF_Gap_Ratio_B_D0_2025" vbProcedure="false">Interface!$E$678</definedName>
    <definedName function="false" hidden="false" name="WIF_Gap_Ratio_B_D0_2026" vbProcedure="false">Interface!$F$678</definedName>
    <definedName function="false" hidden="false" name="WIF_Gap_Ratio_B_D0_2027" vbProcedure="false">Interface!$G$678</definedName>
    <definedName function="false" hidden="false" name="WIF_Gap_Ratio_B_D0_2028" vbProcedure="false">Interface!$H$678</definedName>
    <definedName function="false" hidden="false" name="WIF_Gap_Ratio_B_D0_2029" vbProcedure="false">Interface!$I$678</definedName>
    <definedName function="false" hidden="false" name="WIF_Gap_Ratio_B_D0_2030" vbProcedure="false">Interface!$J$678</definedName>
    <definedName function="false" hidden="false" name="WIF_Gap_Ratio_B_D1_2024" vbProcedure="false">Interface!$D$695</definedName>
    <definedName function="false" hidden="false" name="WIF_Gap_Ratio_B_D1_2025" vbProcedure="false">Interface!$E$695</definedName>
    <definedName function="false" hidden="false" name="WIF_Gap_Ratio_B_D1_2026" vbProcedure="false">Interface!$F$695</definedName>
    <definedName function="false" hidden="false" name="WIF_Gap_Ratio_B_D1_2027" vbProcedure="false">Interface!$G$695</definedName>
    <definedName function="false" hidden="false" name="WIF_Gap_Ratio_B_D1_2028" vbProcedure="false">Interface!$H$695</definedName>
    <definedName function="false" hidden="false" name="WIF_Gap_Ratio_B_D1_2029" vbProcedure="false">Interface!$I$695</definedName>
    <definedName function="false" hidden="false" name="WIF_Gap_Ratio_B_D1_2030" vbProcedure="false">Interface!$J$695</definedName>
    <definedName function="false" hidden="false" name="WIF_Gap_Ratio_B_D2_2024" vbProcedure="false">Interface!$D$712</definedName>
    <definedName function="false" hidden="false" name="WIF_Gap_Ratio_B_D2_2025" vbProcedure="false">Interface!$E$712</definedName>
    <definedName function="false" hidden="false" name="WIF_Gap_Ratio_B_D2_2026" vbProcedure="false">Interface!$F$712</definedName>
    <definedName function="false" hidden="false" name="WIF_Gap_Ratio_B_D2_2027" vbProcedure="false">Interface!$G$712</definedName>
    <definedName function="false" hidden="false" name="WIF_Gap_Ratio_B_D2_2028" vbProcedure="false">Interface!$H$712</definedName>
    <definedName function="false" hidden="false" name="WIF_Gap_Ratio_B_D2_2029" vbProcedure="false">Interface!$I$712</definedName>
    <definedName function="false" hidden="false" name="WIF_Gap_Ratio_B_D2_2030" vbProcedure="false">Interface!$J$712</definedName>
    <definedName function="false" hidden="false" name="WIF_Gap_Ratio_C_D0_2024" vbProcedure="false">Interface!$D$729</definedName>
    <definedName function="false" hidden="false" name="WIF_Gap_Ratio_C_D0_2025" vbProcedure="false">Interface!$E$729</definedName>
    <definedName function="false" hidden="false" name="WIF_Gap_Ratio_C_D0_2026" vbProcedure="false">Interface!$F$729</definedName>
    <definedName function="false" hidden="false" name="WIF_Gap_Ratio_C_D0_2027" vbProcedure="false">Interface!$G$729</definedName>
    <definedName function="false" hidden="false" name="WIF_Gap_Ratio_C_D0_2028" vbProcedure="false">Interface!$H$729</definedName>
    <definedName function="false" hidden="false" name="WIF_Gap_Ratio_C_D0_2029" vbProcedure="false">Interface!$I$729</definedName>
    <definedName function="false" hidden="false" name="WIF_Gap_Ratio_C_D0_2030" vbProcedure="false">Interface!$J$729</definedName>
    <definedName function="false" hidden="false" name="WIF_Gap_Ratio_C_D1_2024" vbProcedure="false">Interface!$D$746</definedName>
    <definedName function="false" hidden="false" name="WIF_Gap_Ratio_C_D1_2025" vbProcedure="false">Interface!$E$746</definedName>
    <definedName function="false" hidden="false" name="WIF_Gap_Ratio_C_D1_2026" vbProcedure="false">Interface!$F$746</definedName>
    <definedName function="false" hidden="false" name="WIF_Gap_Ratio_C_D1_2027" vbProcedure="false">Interface!$G$746</definedName>
    <definedName function="false" hidden="false" name="WIF_Gap_Ratio_C_D1_2028" vbProcedure="false">Interface!$H$746</definedName>
    <definedName function="false" hidden="false" name="WIF_Gap_Ratio_C_D1_2029" vbProcedure="false">Interface!$I$746</definedName>
    <definedName function="false" hidden="false" name="WIF_Gap_Ratio_C_D1_2030" vbProcedure="false">Interface!$J$746</definedName>
    <definedName function="false" hidden="false" name="WIF_Gap_Ratio_C_D2_2024" vbProcedure="false">Interface!$D$763</definedName>
    <definedName function="false" hidden="false" name="WIF_Gap_Ratio_C_D2_2025" vbProcedure="false">Interface!$E$763</definedName>
    <definedName function="false" hidden="false" name="WIF_Gap_Ratio_C_D2_2026" vbProcedure="false">Interface!$F$763</definedName>
    <definedName function="false" hidden="false" name="WIF_Gap_Ratio_C_D2_2027" vbProcedure="false">Interface!$G$763</definedName>
    <definedName function="false" hidden="false" name="WIF_Gap_Ratio_C_D2_2028" vbProcedure="false">Interface!$H$763</definedName>
    <definedName function="false" hidden="false" name="WIF_Gap_Ratio_C_D2_2029" vbProcedure="false">Interface!$I$763</definedName>
    <definedName function="false" hidden="false" name="WIF_Gap_Ratio_C_D2_2030" vbProcedure="false">Interface!$J$763</definedName>
    <definedName function="false" hidden="false" name="WIF_Gap_Share11_A_D0_2024" vbProcedure="false">Interface!$D$628</definedName>
    <definedName function="false" hidden="false" name="WIF_Gap_Share11_A_D0_2025" vbProcedure="false">Interface!$E$628</definedName>
    <definedName function="false" hidden="false" name="WIF_Gap_Share11_A_D0_2026" vbProcedure="false">Interface!$F$628</definedName>
    <definedName function="false" hidden="false" name="WIF_Gap_Share11_A_D0_2027" vbProcedure="false">Interface!$G$628</definedName>
    <definedName function="false" hidden="false" name="WIF_Gap_Share11_A_D0_2028" vbProcedure="false">Interface!$H$628</definedName>
    <definedName function="false" hidden="false" name="WIF_Gap_Share11_A_D0_2029" vbProcedure="false">Interface!$I$628</definedName>
    <definedName function="false" hidden="false" name="WIF_Gap_Share11_A_D0_2030" vbProcedure="false">Interface!$J$628</definedName>
    <definedName function="false" hidden="false" name="WIF_Gap_Share11_A_D1_2024" vbProcedure="false">Interface!$D$645</definedName>
    <definedName function="false" hidden="false" name="WIF_Gap_Share11_A_D1_2025" vbProcedure="false">Interface!$E$645</definedName>
    <definedName function="false" hidden="false" name="WIF_Gap_Share11_A_D1_2026" vbProcedure="false">Interface!$F$645</definedName>
    <definedName function="false" hidden="false" name="WIF_Gap_Share11_A_D1_2027" vbProcedure="false">Interface!$G$645</definedName>
    <definedName function="false" hidden="false" name="WIF_Gap_Share11_A_D1_2028" vbProcedure="false">Interface!$H$645</definedName>
    <definedName function="false" hidden="false" name="WIF_Gap_Share11_A_D1_2029" vbProcedure="false">Interface!$I$645</definedName>
    <definedName function="false" hidden="false" name="WIF_Gap_Share11_A_D1_2030" vbProcedure="false">Interface!$J$645</definedName>
    <definedName function="false" hidden="false" name="WIF_Gap_Share11_A_D2_2024" vbProcedure="false">Interface!$D$662</definedName>
    <definedName function="false" hidden="false" name="WIF_Gap_Share11_A_D2_2025" vbProcedure="false">Interface!$E$662</definedName>
    <definedName function="false" hidden="false" name="WIF_Gap_Share11_A_D2_2026" vbProcedure="false">Interface!$F$662</definedName>
    <definedName function="false" hidden="false" name="WIF_Gap_Share11_A_D2_2027" vbProcedure="false">Interface!$G$662</definedName>
    <definedName function="false" hidden="false" name="WIF_Gap_Share11_A_D2_2028" vbProcedure="false">Interface!$H$662</definedName>
    <definedName function="false" hidden="false" name="WIF_Gap_Share11_A_D2_2029" vbProcedure="false">Interface!$I$662</definedName>
    <definedName function="false" hidden="false" name="WIF_Gap_Share11_A_D2_2030" vbProcedure="false">Interface!$J$662</definedName>
    <definedName function="false" hidden="false" name="WIF_Gap_Share11_B_D0_2024" vbProcedure="false">Interface!$D$679</definedName>
    <definedName function="false" hidden="false" name="WIF_Gap_Share11_B_D0_2025" vbProcedure="false">Interface!$E$679</definedName>
    <definedName function="false" hidden="false" name="WIF_Gap_Share11_B_D0_2026" vbProcedure="false">Interface!$F$679</definedName>
    <definedName function="false" hidden="false" name="WIF_Gap_Share11_B_D0_2027" vbProcedure="false">Interface!$G$679</definedName>
    <definedName function="false" hidden="false" name="WIF_Gap_Share11_B_D0_2028" vbProcedure="false">Interface!$H$679</definedName>
    <definedName function="false" hidden="false" name="WIF_Gap_Share11_B_D0_2029" vbProcedure="false">Interface!$I$679</definedName>
    <definedName function="false" hidden="false" name="WIF_Gap_Share11_B_D0_2030" vbProcedure="false">Interface!$J$679</definedName>
    <definedName function="false" hidden="false" name="WIF_Gap_Share11_B_D1_2024" vbProcedure="false">Interface!$D$696</definedName>
    <definedName function="false" hidden="false" name="WIF_Gap_Share11_B_D1_2025" vbProcedure="false">Interface!$E$696</definedName>
    <definedName function="false" hidden="false" name="WIF_Gap_Share11_B_D1_2026" vbProcedure="false">Interface!$F$696</definedName>
    <definedName function="false" hidden="false" name="WIF_Gap_Share11_B_D1_2027" vbProcedure="false">Interface!$G$696</definedName>
    <definedName function="false" hidden="false" name="WIF_Gap_Share11_B_D1_2028" vbProcedure="false">Interface!$H$696</definedName>
    <definedName function="false" hidden="false" name="WIF_Gap_Share11_B_D1_2029" vbProcedure="false">Interface!$I$696</definedName>
    <definedName function="false" hidden="false" name="WIF_Gap_Share11_B_D1_2030" vbProcedure="false">Interface!$J$696</definedName>
    <definedName function="false" hidden="false" name="WIF_Gap_Share11_B_D2_2024" vbProcedure="false">Interface!$D$713</definedName>
    <definedName function="false" hidden="false" name="WIF_Gap_Share11_B_D2_2025" vbProcedure="false">Interface!$E$713</definedName>
    <definedName function="false" hidden="false" name="WIF_Gap_Share11_B_D2_2026" vbProcedure="false">Interface!$F$713</definedName>
    <definedName function="false" hidden="false" name="WIF_Gap_Share11_B_D2_2027" vbProcedure="false">Interface!$G$713</definedName>
    <definedName function="false" hidden="false" name="WIF_Gap_Share11_B_D2_2028" vbProcedure="false">Interface!$H$713</definedName>
    <definedName function="false" hidden="false" name="WIF_Gap_Share11_B_D2_2029" vbProcedure="false">Interface!$I$713</definedName>
    <definedName function="false" hidden="false" name="WIF_Gap_Share11_B_D2_2030" vbProcedure="false">Interface!$J$713</definedName>
    <definedName function="false" hidden="false" name="WIF_Gap_Share11_C_D0_2024" vbProcedure="false">Interface!$D$730</definedName>
    <definedName function="false" hidden="false" name="WIF_Gap_Share11_C_D0_2025" vbProcedure="false">Interface!$E$730</definedName>
    <definedName function="false" hidden="false" name="WIF_Gap_Share11_C_D0_2026" vbProcedure="false">Interface!$F$730</definedName>
    <definedName function="false" hidden="false" name="WIF_Gap_Share11_C_D0_2027" vbProcedure="false">Interface!$G$730</definedName>
    <definedName function="false" hidden="false" name="WIF_Gap_Share11_C_D0_2028" vbProcedure="false">Interface!$H$730</definedName>
    <definedName function="false" hidden="false" name="WIF_Gap_Share11_C_D0_2029" vbProcedure="false">Interface!$I$730</definedName>
    <definedName function="false" hidden="false" name="WIF_Gap_Share11_C_D0_2030" vbProcedure="false">Interface!$J$730</definedName>
    <definedName function="false" hidden="false" name="WIF_Gap_Share11_C_D1_2024" vbProcedure="false">Interface!$D$747</definedName>
    <definedName function="false" hidden="false" name="WIF_Gap_Share11_C_D1_2025" vbProcedure="false">Interface!$E$747</definedName>
    <definedName function="false" hidden="false" name="WIF_Gap_Share11_C_D1_2026" vbProcedure="false">Interface!$F$747</definedName>
    <definedName function="false" hidden="false" name="WIF_Gap_Share11_C_D1_2027" vbProcedure="false">Interface!$G$747</definedName>
    <definedName function="false" hidden="false" name="WIF_Gap_Share11_C_D1_2028" vbProcedure="false">Interface!$H$747</definedName>
    <definedName function="false" hidden="false" name="WIF_Gap_Share11_C_D1_2029" vbProcedure="false">Interface!$I$747</definedName>
    <definedName function="false" hidden="false" name="WIF_Gap_Share11_C_D1_2030" vbProcedure="false">Interface!$J$747</definedName>
    <definedName function="false" hidden="false" name="WIF_Gap_Share11_C_D2_2024" vbProcedure="false">Interface!$D$764</definedName>
    <definedName function="false" hidden="false" name="WIF_Gap_Share11_C_D2_2025" vbProcedure="false">Interface!$E$764</definedName>
    <definedName function="false" hidden="false" name="WIF_Gap_Share11_C_D2_2026" vbProcedure="false">Interface!$F$764</definedName>
    <definedName function="false" hidden="false" name="WIF_Gap_Share11_C_D2_2027" vbProcedure="false">Interface!$G$764</definedName>
    <definedName function="false" hidden="false" name="WIF_Gap_Share11_C_D2_2028" vbProcedure="false">Interface!$H$764</definedName>
    <definedName function="false" hidden="false" name="WIF_Gap_Share11_C_D2_2029" vbProcedure="false">Interface!$I$764</definedName>
    <definedName function="false" hidden="false" name="WIF_Gap_Share11_C_D2_2030" vbProcedure="false">Interface!$J$764</definedName>
    <definedName function="false" hidden="false" name="WIF_Gap_Short_A_D0_2024" vbProcedure="false">Interface!$D$631</definedName>
    <definedName function="false" hidden="false" name="WIF_Gap_Short_A_D0_2025" vbProcedure="false">Interface!$E$631</definedName>
    <definedName function="false" hidden="false" name="WIF_Gap_Short_A_D0_2026" vbProcedure="false">Interface!$F$631</definedName>
    <definedName function="false" hidden="false" name="WIF_Gap_Short_A_D0_2027" vbProcedure="false">Interface!$G$631</definedName>
    <definedName function="false" hidden="false" name="WIF_Gap_Short_A_D0_2028" vbProcedure="false">Interface!$H$631</definedName>
    <definedName function="false" hidden="false" name="WIF_Gap_Short_A_D0_2029" vbProcedure="false">Interface!$I$631</definedName>
    <definedName function="false" hidden="false" name="WIF_Gap_Short_A_D0_2030" vbProcedure="false">Interface!$J$631</definedName>
    <definedName function="false" hidden="false" name="WIF_Gap_Short_A_D1_2024" vbProcedure="false">Interface!$D$648</definedName>
    <definedName function="false" hidden="false" name="WIF_Gap_Short_A_D1_2025" vbProcedure="false">Interface!$E$648</definedName>
    <definedName function="false" hidden="false" name="WIF_Gap_Short_A_D1_2026" vbProcedure="false">Interface!$F$648</definedName>
    <definedName function="false" hidden="false" name="WIF_Gap_Short_A_D1_2027" vbProcedure="false">Interface!$G$648</definedName>
    <definedName function="false" hidden="false" name="WIF_Gap_Short_A_D1_2028" vbProcedure="false">Interface!$H$648</definedName>
    <definedName function="false" hidden="false" name="WIF_Gap_Short_A_D1_2029" vbProcedure="false">Interface!$I$648</definedName>
    <definedName function="false" hidden="false" name="WIF_Gap_Short_A_D1_2030" vbProcedure="false">Interface!$J$648</definedName>
    <definedName function="false" hidden="false" name="WIF_Gap_Short_A_D2_2024" vbProcedure="false">Interface!$D$665</definedName>
    <definedName function="false" hidden="false" name="WIF_Gap_Short_A_D2_2025" vbProcedure="false">Interface!$E$665</definedName>
    <definedName function="false" hidden="false" name="WIF_Gap_Short_A_D2_2026" vbProcedure="false">Interface!$F$665</definedName>
    <definedName function="false" hidden="false" name="WIF_Gap_Short_A_D2_2027" vbProcedure="false">Interface!$G$665</definedName>
    <definedName function="false" hidden="false" name="WIF_Gap_Short_A_D2_2028" vbProcedure="false">Interface!$H$665</definedName>
    <definedName function="false" hidden="false" name="WIF_Gap_Short_A_D2_2029" vbProcedure="false">Interface!$I$665</definedName>
    <definedName function="false" hidden="false" name="WIF_Gap_Short_A_D2_2030" vbProcedure="false">Interface!$J$665</definedName>
    <definedName function="false" hidden="false" name="WIF_Gap_Short_B_D0_2024" vbProcedure="false">Interface!$D$682</definedName>
    <definedName function="false" hidden="false" name="WIF_Gap_Short_B_D0_2025" vbProcedure="false">Interface!$E$682</definedName>
    <definedName function="false" hidden="false" name="WIF_Gap_Short_B_D0_2026" vbProcedure="false">Interface!$F$682</definedName>
    <definedName function="false" hidden="false" name="WIF_Gap_Short_B_D0_2027" vbProcedure="false">Interface!$G$682</definedName>
    <definedName function="false" hidden="false" name="WIF_Gap_Short_B_D0_2028" vbProcedure="false">Interface!$H$682</definedName>
    <definedName function="false" hidden="false" name="WIF_Gap_Short_B_D0_2029" vbProcedure="false">Interface!$I$682</definedName>
    <definedName function="false" hidden="false" name="WIF_Gap_Short_B_D0_2030" vbProcedure="false">Interface!$J$682</definedName>
    <definedName function="false" hidden="false" name="WIF_Gap_Short_B_D1_2024" vbProcedure="false">Interface!$D$699</definedName>
    <definedName function="false" hidden="false" name="WIF_Gap_Short_B_D1_2025" vbProcedure="false">Interface!$E$699</definedName>
    <definedName function="false" hidden="false" name="WIF_Gap_Short_B_D1_2026" vbProcedure="false">Interface!$F$699</definedName>
    <definedName function="false" hidden="false" name="WIF_Gap_Short_B_D1_2027" vbProcedure="false">Interface!$G$699</definedName>
    <definedName function="false" hidden="false" name="WIF_Gap_Short_B_D1_2028" vbProcedure="false">Interface!$H$699</definedName>
    <definedName function="false" hidden="false" name="WIF_Gap_Short_B_D1_2029" vbProcedure="false">Interface!$I$699</definedName>
    <definedName function="false" hidden="false" name="WIF_Gap_Short_B_D1_2030" vbProcedure="false">Interface!$J$699</definedName>
    <definedName function="false" hidden="false" name="WIF_Gap_Short_B_D2_2024" vbProcedure="false">Interface!$D$716</definedName>
    <definedName function="false" hidden="false" name="WIF_Gap_Short_B_D2_2025" vbProcedure="false">Interface!$E$716</definedName>
    <definedName function="false" hidden="false" name="WIF_Gap_Short_B_D2_2026" vbProcedure="false">Interface!$F$716</definedName>
    <definedName function="false" hidden="false" name="WIF_Gap_Short_B_D2_2027" vbProcedure="false">Interface!$G$716</definedName>
    <definedName function="false" hidden="false" name="WIF_Gap_Short_B_D2_2028" vbProcedure="false">Interface!$H$716</definedName>
    <definedName function="false" hidden="false" name="WIF_Gap_Short_B_D2_2029" vbProcedure="false">Interface!$I$716</definedName>
    <definedName function="false" hidden="false" name="WIF_Gap_Short_B_D2_2030" vbProcedure="false">Interface!$J$716</definedName>
    <definedName function="false" hidden="false" name="WIF_Gap_Short_C_D0_2024" vbProcedure="false">Interface!$D$733</definedName>
    <definedName function="false" hidden="false" name="WIF_Gap_Short_C_D0_2025" vbProcedure="false">Interface!$E$733</definedName>
    <definedName function="false" hidden="false" name="WIF_Gap_Short_C_D0_2026" vbProcedure="false">Interface!$F$733</definedName>
    <definedName function="false" hidden="false" name="WIF_Gap_Short_C_D0_2027" vbProcedure="false">Interface!$G$733</definedName>
    <definedName function="false" hidden="false" name="WIF_Gap_Short_C_D0_2028" vbProcedure="false">Interface!$H$733</definedName>
    <definedName function="false" hidden="false" name="WIF_Gap_Short_C_D0_2029" vbProcedure="false">Interface!$I$733</definedName>
    <definedName function="false" hidden="false" name="WIF_Gap_Short_C_D0_2030" vbProcedure="false">Interface!$J$733</definedName>
    <definedName function="false" hidden="false" name="WIF_Gap_Short_C_D1_2024" vbProcedure="false">Interface!$D$750</definedName>
    <definedName function="false" hidden="false" name="WIF_Gap_Short_C_D1_2025" vbProcedure="false">Interface!$E$750</definedName>
    <definedName function="false" hidden="false" name="WIF_Gap_Short_C_D1_2026" vbProcedure="false">Interface!$F$750</definedName>
    <definedName function="false" hidden="false" name="WIF_Gap_Short_C_D1_2027" vbProcedure="false">Interface!$G$750</definedName>
    <definedName function="false" hidden="false" name="WIF_Gap_Short_C_D1_2028" vbProcedure="false">Interface!$H$750</definedName>
    <definedName function="false" hidden="false" name="WIF_Gap_Short_C_D1_2029" vbProcedure="false">Interface!$I$750</definedName>
    <definedName function="false" hidden="false" name="WIF_Gap_Short_C_D1_2030" vbProcedure="false">Interface!$J$750</definedName>
    <definedName function="false" hidden="false" name="WIF_Gap_Short_C_D2_2024" vbProcedure="false">Interface!$D$767</definedName>
    <definedName function="false" hidden="false" name="WIF_Gap_Short_C_D2_2025" vbProcedure="false">Interface!$E$767</definedName>
    <definedName function="false" hidden="false" name="WIF_Gap_Short_C_D2_2026" vbProcedure="false">Interface!$F$767</definedName>
    <definedName function="false" hidden="false" name="WIF_Gap_Short_C_D2_2027" vbProcedure="false">Interface!$G$767</definedName>
    <definedName function="false" hidden="false" name="WIF_Gap_Short_C_D2_2028" vbProcedure="false">Interface!$H$767</definedName>
    <definedName function="false" hidden="false" name="WIF_Gap_Short_C_D2_2029" vbProcedure="false">Interface!$I$767</definedName>
    <definedName function="false" hidden="false" name="WIF_Gap_Short_C_D2_2030" vbProcedure="false">Interface!$J$767</definedName>
    <definedName function="false" hidden="false" name="WIF_Gap_Short_ModelCapex_A_D0_2024" vbProcedure="false">Interface!$D$638</definedName>
    <definedName function="false" hidden="false" name="WIF_Gap_Short_ModelCapex_A_D0_2025" vbProcedure="false">Interface!$E$638</definedName>
    <definedName function="false" hidden="false" name="WIF_Gap_Short_ModelCapex_A_D0_2026" vbProcedure="false">Interface!$F$638</definedName>
    <definedName function="false" hidden="false" name="WIF_Gap_Short_ModelCapex_A_D0_2027" vbProcedure="false">Interface!$G$638</definedName>
    <definedName function="false" hidden="false" name="WIF_Gap_Short_ModelCapex_A_D0_2028" vbProcedure="false">Interface!$H$638</definedName>
    <definedName function="false" hidden="false" name="WIF_Gap_Short_ModelCapex_A_D0_2029" vbProcedure="false">Interface!$I$638</definedName>
    <definedName function="false" hidden="false" name="WIF_Gap_Short_ModelCapex_A_D0_2030" vbProcedure="false">Interface!$J$638</definedName>
    <definedName function="false" hidden="false" name="WIF_Gap_Short_ModelCapex_A_D1_2024" vbProcedure="false">Interface!$D$655</definedName>
    <definedName function="false" hidden="false" name="WIF_Gap_Short_ModelCapex_A_D1_2025" vbProcedure="false">Interface!$E$655</definedName>
    <definedName function="false" hidden="false" name="WIF_Gap_Short_ModelCapex_A_D1_2026" vbProcedure="false">Interface!$F$655</definedName>
    <definedName function="false" hidden="false" name="WIF_Gap_Short_ModelCapex_A_D1_2027" vbProcedure="false">Interface!$G$655</definedName>
    <definedName function="false" hidden="false" name="WIF_Gap_Short_ModelCapex_A_D1_2028" vbProcedure="false">Interface!$H$655</definedName>
    <definedName function="false" hidden="false" name="WIF_Gap_Short_ModelCapex_A_D1_2029" vbProcedure="false">Interface!$I$655</definedName>
    <definedName function="false" hidden="false" name="WIF_Gap_Short_ModelCapex_A_D1_2030" vbProcedure="false">Interface!$J$655</definedName>
    <definedName function="false" hidden="false" name="WIF_Gap_Short_ModelCapex_A_D2_2024" vbProcedure="false">Interface!$D$672</definedName>
    <definedName function="false" hidden="false" name="WIF_Gap_Short_ModelCapex_A_D2_2025" vbProcedure="false">Interface!$E$672</definedName>
    <definedName function="false" hidden="false" name="WIF_Gap_Short_ModelCapex_A_D2_2026" vbProcedure="false">Interface!$F$672</definedName>
    <definedName function="false" hidden="false" name="WIF_Gap_Short_ModelCapex_A_D2_2027" vbProcedure="false">Interface!$G$672</definedName>
    <definedName function="false" hidden="false" name="WIF_Gap_Short_ModelCapex_A_D2_2028" vbProcedure="false">Interface!$H$672</definedName>
    <definedName function="false" hidden="false" name="WIF_Gap_Short_ModelCapex_A_D2_2029" vbProcedure="false">Interface!$I$672</definedName>
    <definedName function="false" hidden="false" name="WIF_Gap_Short_ModelCapex_A_D2_2030" vbProcedure="false">Interface!$J$672</definedName>
    <definedName function="false" hidden="false" name="WIF_Gap_Short_ModelCapex_B_D0_2024" vbProcedure="false">Interface!$D$689</definedName>
    <definedName function="false" hidden="false" name="WIF_Gap_Short_ModelCapex_B_D0_2025" vbProcedure="false">Interface!$E$689</definedName>
    <definedName function="false" hidden="false" name="WIF_Gap_Short_ModelCapex_B_D0_2026" vbProcedure="false">Interface!$F$689</definedName>
    <definedName function="false" hidden="false" name="WIF_Gap_Short_ModelCapex_B_D0_2027" vbProcedure="false">Interface!$G$689</definedName>
    <definedName function="false" hidden="false" name="WIF_Gap_Short_ModelCapex_B_D0_2028" vbProcedure="false">Interface!$H$689</definedName>
    <definedName function="false" hidden="false" name="WIF_Gap_Short_ModelCapex_B_D0_2029" vbProcedure="false">Interface!$I$689</definedName>
    <definedName function="false" hidden="false" name="WIF_Gap_Short_ModelCapex_B_D0_2030" vbProcedure="false">Interface!$J$689</definedName>
    <definedName function="false" hidden="false" name="WIF_Gap_Short_ModelCapex_B_D1_2024" vbProcedure="false">Interface!$D$706</definedName>
    <definedName function="false" hidden="false" name="WIF_Gap_Short_ModelCapex_B_D1_2025" vbProcedure="false">Interface!$E$706</definedName>
    <definedName function="false" hidden="false" name="WIF_Gap_Short_ModelCapex_B_D1_2026" vbProcedure="false">Interface!$F$706</definedName>
    <definedName function="false" hidden="false" name="WIF_Gap_Short_ModelCapex_B_D1_2027" vbProcedure="false">Interface!$G$706</definedName>
    <definedName function="false" hidden="false" name="WIF_Gap_Short_ModelCapex_B_D1_2028" vbProcedure="false">Interface!$H$706</definedName>
    <definedName function="false" hidden="false" name="WIF_Gap_Short_ModelCapex_B_D1_2029" vbProcedure="false">Interface!$I$706</definedName>
    <definedName function="false" hidden="false" name="WIF_Gap_Short_ModelCapex_B_D1_2030" vbProcedure="false">Interface!$J$706</definedName>
    <definedName function="false" hidden="false" name="WIF_Gap_Short_ModelCapex_B_D2_2024" vbProcedure="false">Interface!$D$723</definedName>
    <definedName function="false" hidden="false" name="WIF_Gap_Short_ModelCapex_B_D2_2025" vbProcedure="false">Interface!$E$723</definedName>
    <definedName function="false" hidden="false" name="WIF_Gap_Short_ModelCapex_B_D2_2026" vbProcedure="false">Interface!$F$723</definedName>
    <definedName function="false" hidden="false" name="WIF_Gap_Short_ModelCapex_B_D2_2027" vbProcedure="false">Interface!$G$723</definedName>
    <definedName function="false" hidden="false" name="WIF_Gap_Short_ModelCapex_B_D2_2028" vbProcedure="false">Interface!$H$723</definedName>
    <definedName function="false" hidden="false" name="WIF_Gap_Short_ModelCapex_B_D2_2029" vbProcedure="false">Interface!$I$723</definedName>
    <definedName function="false" hidden="false" name="WIF_Gap_Short_ModelCapex_B_D2_2030" vbProcedure="false">Interface!$J$723</definedName>
    <definedName function="false" hidden="false" name="WIF_Gap_Short_ModelCapex_C_D0_2024" vbProcedure="false">Interface!$D$740</definedName>
    <definedName function="false" hidden="false" name="WIF_Gap_Short_ModelCapex_C_D0_2025" vbProcedure="false">Interface!$E$740</definedName>
    <definedName function="false" hidden="false" name="WIF_Gap_Short_ModelCapex_C_D0_2026" vbProcedure="false">Interface!$F$740</definedName>
    <definedName function="false" hidden="false" name="WIF_Gap_Short_ModelCapex_C_D0_2027" vbProcedure="false">Interface!$G$740</definedName>
    <definedName function="false" hidden="false" name="WIF_Gap_Short_ModelCapex_C_D0_2028" vbProcedure="false">Interface!$H$740</definedName>
    <definedName function="false" hidden="false" name="WIF_Gap_Short_ModelCapex_C_D0_2029" vbProcedure="false">Interface!$I$740</definedName>
    <definedName function="false" hidden="false" name="WIF_Gap_Short_ModelCapex_C_D0_2030" vbProcedure="false">Interface!$J$740</definedName>
    <definedName function="false" hidden="false" name="WIF_Gap_Short_ModelCapex_C_D1_2024" vbProcedure="false">Interface!$D$757</definedName>
    <definedName function="false" hidden="false" name="WIF_Gap_Short_ModelCapex_C_D1_2025" vbProcedure="false">Interface!$E$757</definedName>
    <definedName function="false" hidden="false" name="WIF_Gap_Short_ModelCapex_C_D1_2026" vbProcedure="false">Interface!$F$757</definedName>
    <definedName function="false" hidden="false" name="WIF_Gap_Short_ModelCapex_C_D1_2027" vbProcedure="false">Interface!$G$757</definedName>
    <definedName function="false" hidden="false" name="WIF_Gap_Short_ModelCapex_C_D1_2028" vbProcedure="false">Interface!$H$757</definedName>
    <definedName function="false" hidden="false" name="WIF_Gap_Short_ModelCapex_C_D1_2029" vbProcedure="false">Interface!$I$757</definedName>
    <definedName function="false" hidden="false" name="WIF_Gap_Short_ModelCapex_C_D1_2030" vbProcedure="false">Interface!$J$757</definedName>
    <definedName function="false" hidden="false" name="WIF_Gap_Short_ModelCapex_C_D2_2024" vbProcedure="false">Interface!$D$774</definedName>
    <definedName function="false" hidden="false" name="WIF_Gap_Short_ModelCapex_C_D2_2025" vbProcedure="false">Interface!$E$774</definedName>
    <definedName function="false" hidden="false" name="WIF_Gap_Short_ModelCapex_C_D2_2026" vbProcedure="false">Interface!$F$774</definedName>
    <definedName function="false" hidden="false" name="WIF_Gap_Short_ModelCapex_C_D2_2027" vbProcedure="false">Interface!$G$774</definedName>
    <definedName function="false" hidden="false" name="WIF_Gap_Short_ModelCapex_C_D2_2028" vbProcedure="false">Interface!$H$774</definedName>
    <definedName function="false" hidden="false" name="WIF_Gap_Short_ModelCapex_C_D2_2029" vbProcedure="false">Interface!$I$774</definedName>
    <definedName function="false" hidden="false" name="WIF_Gap_Short_ModelCapex_C_D2_2030" vbProcedure="false">Interface!$J$774</definedName>
    <definedName function="false" hidden="false" name="WIF_Gap_Verdict_A_D0" vbProcedure="false">Interface!$D$635</definedName>
    <definedName function="false" hidden="false" name="WIF_Gap_Verdict_A_D1" vbProcedure="false">Interface!$D$652</definedName>
    <definedName function="false" hidden="false" name="WIF_Gap_Verdict_A_D2" vbProcedure="false">Interface!$D$669</definedName>
    <definedName function="false" hidden="false" name="WIF_Gap_Verdict_B_D0" vbProcedure="false">Interface!$D$686</definedName>
    <definedName function="false" hidden="false" name="WIF_Gap_Verdict_B_D1" vbProcedure="false">Interface!$D$703</definedName>
    <definedName function="false" hidden="false" name="WIF_Gap_Verdict_B_D2" vbProcedure="false">Interface!$D$720</definedName>
    <definedName function="false" hidden="false" name="WIF_Gap_Verdict_C_D0" vbProcedure="false">Interface!$D$737</definedName>
    <definedName function="false" hidden="false" name="WIF_Gap_Verdict_C_D1" vbProcedure="false">Interface!$D$754</definedName>
    <definedName function="false" hidden="false" name="WIF_Gap_Verdict_C_D2" vbProcedure="false">Interface!$D$771</definedName>
    <definedName function="false" hidden="false" name="WIF_Gap_Verdict_M1_A_D0" vbProcedure="false">Interface!$D$792</definedName>
    <definedName function="false" hidden="false" name="WIF_Gap_Verdict_M1_A_D1" vbProcedure="false">Interface!$D$794</definedName>
    <definedName function="false" hidden="false" name="WIF_Gap_Verdict_M1_A_D2" vbProcedure="false">Interface!$D$796</definedName>
    <definedName function="false" hidden="false" name="WIF_Gap_Verdict_M1_B_D1" vbProcedure="false">Interface!$D$798</definedName>
    <definedName function="false" hidden="false" name="WIF_Gap_Verdict_M1_C_D2" vbProcedure="false">Interface!$D$800</definedName>
    <definedName function="false" hidden="false" name="WIF_Gap_Verdict_ModelCapex_A_D0" vbProcedure="false">Interface!$D$642</definedName>
    <definedName function="false" hidden="false" name="WIF_Gap_Verdict_ModelCapex_A_D1" vbProcedure="false">Interface!$D$659</definedName>
    <definedName function="false" hidden="false" name="WIF_Gap_Verdict_ModelCapex_A_D2" vbProcedure="false">Interface!$D$676</definedName>
    <definedName function="false" hidden="false" name="WIF_Gap_Verdict_ModelCapex_B_D0" vbProcedure="false">Interface!$D$693</definedName>
    <definedName function="false" hidden="false" name="WIF_Gap_Verdict_ModelCapex_B_D1" vbProcedure="false">Interface!$D$710</definedName>
    <definedName function="false" hidden="false" name="WIF_Gap_Verdict_ModelCapex_B_D2" vbProcedure="false">Interface!$D$727</definedName>
    <definedName function="false" hidden="false" name="WIF_Gap_Verdict_ModelCapex_C_D0" vbProcedure="false">Interface!$D$744</definedName>
    <definedName function="false" hidden="false" name="WIF_Gap_Verdict_ModelCapex_C_D1" vbProcedure="false">Interface!$D$761</definedName>
    <definedName function="false" hidden="false" name="WIF_Gap_Verdict_ModelCapex_C_D2" vbProcedure="false">Interface!$D$778</definedName>
    <definedName function="false" hidden="false" name="WIF_MktGW_Add_A_D0_2024" vbProcedure="false">Interface!$D$28</definedName>
    <definedName function="false" hidden="false" name="WIF_MktGW_Add_A_D0_2025" vbProcedure="false">Interface!$E$28</definedName>
    <definedName function="false" hidden="false" name="WIF_MktGW_Add_A_D0_2026" vbProcedure="false">Interface!$F$28</definedName>
    <definedName function="false" hidden="false" name="WIF_MktGW_Add_A_D0_2027" vbProcedure="false">Interface!$G$28</definedName>
    <definedName function="false" hidden="false" name="WIF_MktGW_Add_A_D0_2028" vbProcedure="false">Interface!$H$28</definedName>
    <definedName function="false" hidden="false" name="WIF_MktGW_Add_A_D0_2029" vbProcedure="false">Interface!$I$28</definedName>
    <definedName function="false" hidden="false" name="WIF_MktGW_Add_A_D0_2030" vbProcedure="false">Interface!$J$28</definedName>
    <definedName function="false" hidden="false" name="WIF_MktGW_Add_A_D0_2031" vbProcedure="false">Interface!$K$28</definedName>
    <definedName function="false" hidden="false" name="WIF_MktGW_Add_A_D0_2032" vbProcedure="false">Interface!$L$28</definedName>
    <definedName function="false" hidden="false" name="WIF_MktGW_Add_A_D0_SiteOnly_2024" vbProcedure="false">Interface!$D$63</definedName>
    <definedName function="false" hidden="false" name="WIF_MktGW_Add_A_D0_SiteOnly_2025" vbProcedure="false">Interface!$E$63</definedName>
    <definedName function="false" hidden="false" name="WIF_MktGW_Add_A_D0_SiteOnly_2026" vbProcedure="false">Interface!$F$63</definedName>
    <definedName function="false" hidden="false" name="WIF_MktGW_Add_A_D0_SiteOnly_2027" vbProcedure="false">Interface!$G$63</definedName>
    <definedName function="false" hidden="false" name="WIF_MktGW_Add_A_D0_SiteOnly_2028" vbProcedure="false">Interface!$H$63</definedName>
    <definedName function="false" hidden="false" name="WIF_MktGW_Add_A_D0_SiteOnly_2029" vbProcedure="false">Interface!$I$63</definedName>
    <definedName function="false" hidden="false" name="WIF_MktGW_Add_A_D0_SiteOnly_2030" vbProcedure="false">Interface!$J$63</definedName>
    <definedName function="false" hidden="false" name="WIF_MktGW_Add_A_D0_SiteOnly_2031" vbProcedure="false">Interface!$K$63</definedName>
    <definedName function="false" hidden="false" name="WIF_MktGW_Add_A_D0_SiteOnly_2032" vbProcedure="false">Interface!$L$63</definedName>
    <definedName function="false" hidden="false" name="WIF_MktGW_Add_A_D1_2024" vbProcedure="false">Interface!$D$29</definedName>
    <definedName function="false" hidden="false" name="WIF_MktGW_Add_A_D1_2025" vbProcedure="false">Interface!$E$29</definedName>
    <definedName function="false" hidden="false" name="WIF_MktGW_Add_A_D1_2026" vbProcedure="false">Interface!$F$29</definedName>
    <definedName function="false" hidden="false" name="WIF_MktGW_Add_A_D1_2027" vbProcedure="false">Interface!$G$29</definedName>
    <definedName function="false" hidden="false" name="WIF_MktGW_Add_A_D1_2028" vbProcedure="false">Interface!$H$29</definedName>
    <definedName function="false" hidden="false" name="WIF_MktGW_Add_A_D1_2029" vbProcedure="false">Interface!$I$29</definedName>
    <definedName function="false" hidden="false" name="WIF_MktGW_Add_A_D1_2030" vbProcedure="false">Interface!$J$29</definedName>
    <definedName function="false" hidden="false" name="WIF_MktGW_Add_A_D1_2031" vbProcedure="false">Interface!$K$29</definedName>
    <definedName function="false" hidden="false" name="WIF_MktGW_Add_A_D1_2032" vbProcedure="false">Interface!$L$29</definedName>
    <definedName function="false" hidden="false" name="WIF_MktGW_Add_A_D1_SiteOnly_2024" vbProcedure="false">Interface!$D$64</definedName>
    <definedName function="false" hidden="false" name="WIF_MktGW_Add_A_D1_SiteOnly_2025" vbProcedure="false">Interface!$E$64</definedName>
    <definedName function="false" hidden="false" name="WIF_MktGW_Add_A_D1_SiteOnly_2026" vbProcedure="false">Interface!$F$64</definedName>
    <definedName function="false" hidden="false" name="WIF_MktGW_Add_A_D1_SiteOnly_2027" vbProcedure="false">Interface!$G$64</definedName>
    <definedName function="false" hidden="false" name="WIF_MktGW_Add_A_D1_SiteOnly_2028" vbProcedure="false">Interface!$H$64</definedName>
    <definedName function="false" hidden="false" name="WIF_MktGW_Add_A_D1_SiteOnly_2029" vbProcedure="false">Interface!$I$64</definedName>
    <definedName function="false" hidden="false" name="WIF_MktGW_Add_A_D1_SiteOnly_2030" vbProcedure="false">Interface!$J$64</definedName>
    <definedName function="false" hidden="false" name="WIF_MktGW_Add_A_D1_SiteOnly_2031" vbProcedure="false">Interface!$K$64</definedName>
    <definedName function="false" hidden="false" name="WIF_MktGW_Add_A_D1_SiteOnly_2032" vbProcedure="false">Interface!$L$64</definedName>
    <definedName function="false" hidden="false" name="WIF_MktGW_Add_A_D2_2024" vbProcedure="false">Interface!$D$30</definedName>
    <definedName function="false" hidden="false" name="WIF_MktGW_Add_A_D2_2025" vbProcedure="false">Interface!$E$30</definedName>
    <definedName function="false" hidden="false" name="WIF_MktGW_Add_A_D2_2026" vbProcedure="false">Interface!$F$30</definedName>
    <definedName function="false" hidden="false" name="WIF_MktGW_Add_A_D2_2027" vbProcedure="false">Interface!$G$30</definedName>
    <definedName function="false" hidden="false" name="WIF_MktGW_Add_A_D2_2028" vbProcedure="false">Interface!$H$30</definedName>
    <definedName function="false" hidden="false" name="WIF_MktGW_Add_A_D2_2029" vbProcedure="false">Interface!$I$30</definedName>
    <definedName function="false" hidden="false" name="WIF_MktGW_Add_A_D2_2030" vbProcedure="false">Interface!$J$30</definedName>
    <definedName function="false" hidden="false" name="WIF_MktGW_Add_A_D2_2031" vbProcedure="false">Interface!$K$30</definedName>
    <definedName function="false" hidden="false" name="WIF_MktGW_Add_A_D2_2032" vbProcedure="false">Interface!$L$30</definedName>
    <definedName function="false" hidden="false" name="WIF_MktGW_Add_A_D2_SiteOnly_2024" vbProcedure="false">Interface!$D$65</definedName>
    <definedName function="false" hidden="false" name="WIF_MktGW_Add_A_D2_SiteOnly_2025" vbProcedure="false">Interface!$E$65</definedName>
    <definedName function="false" hidden="false" name="WIF_MktGW_Add_A_D2_SiteOnly_2026" vbProcedure="false">Interface!$F$65</definedName>
    <definedName function="false" hidden="false" name="WIF_MktGW_Add_A_D2_SiteOnly_2027" vbProcedure="false">Interface!$G$65</definedName>
    <definedName function="false" hidden="false" name="WIF_MktGW_Add_A_D2_SiteOnly_2028" vbProcedure="false">Interface!$H$65</definedName>
    <definedName function="false" hidden="false" name="WIF_MktGW_Add_A_D2_SiteOnly_2029" vbProcedure="false">Interface!$I$65</definedName>
    <definedName function="false" hidden="false" name="WIF_MktGW_Add_A_D2_SiteOnly_2030" vbProcedure="false">Interface!$J$65</definedName>
    <definedName function="false" hidden="false" name="WIF_MktGW_Add_A_D2_SiteOnly_2031" vbProcedure="false">Interface!$K$65</definedName>
    <definedName function="false" hidden="false" name="WIF_MktGW_Add_A_D2_SiteOnly_2032" vbProcedure="false">Interface!$L$65</definedName>
    <definedName function="false" hidden="false" name="WIF_MktGW_Add_B_D0_2024" vbProcedure="false">Interface!$D$31</definedName>
    <definedName function="false" hidden="false" name="WIF_MktGW_Add_B_D0_2025" vbProcedure="false">Interface!$E$31</definedName>
    <definedName function="false" hidden="false" name="WIF_MktGW_Add_B_D0_2026" vbProcedure="false">Interface!$F$31</definedName>
    <definedName function="false" hidden="false" name="WIF_MktGW_Add_B_D0_2027" vbProcedure="false">Interface!$G$31</definedName>
    <definedName function="false" hidden="false" name="WIF_MktGW_Add_B_D0_2028" vbProcedure="false">Interface!$H$31</definedName>
    <definedName function="false" hidden="false" name="WIF_MktGW_Add_B_D0_2029" vbProcedure="false">Interface!$I$31</definedName>
    <definedName function="false" hidden="false" name="WIF_MktGW_Add_B_D0_2030" vbProcedure="false">Interface!$J$31</definedName>
    <definedName function="false" hidden="false" name="WIF_MktGW_Add_B_D0_2031" vbProcedure="false">Interface!$K$31</definedName>
    <definedName function="false" hidden="false" name="WIF_MktGW_Add_B_D0_2032" vbProcedure="false">Interface!$L$31</definedName>
    <definedName function="false" hidden="false" name="WIF_MktGW_Add_B_D0_SiteOnly_2024" vbProcedure="false">Interface!$D$66</definedName>
    <definedName function="false" hidden="false" name="WIF_MktGW_Add_B_D0_SiteOnly_2025" vbProcedure="false">Interface!$E$66</definedName>
    <definedName function="false" hidden="false" name="WIF_MktGW_Add_B_D0_SiteOnly_2026" vbProcedure="false">Interface!$F$66</definedName>
    <definedName function="false" hidden="false" name="WIF_MktGW_Add_B_D0_SiteOnly_2027" vbProcedure="false">Interface!$G$66</definedName>
    <definedName function="false" hidden="false" name="WIF_MktGW_Add_B_D0_SiteOnly_2028" vbProcedure="false">Interface!$H$66</definedName>
    <definedName function="false" hidden="false" name="WIF_MktGW_Add_B_D0_SiteOnly_2029" vbProcedure="false">Interface!$I$66</definedName>
    <definedName function="false" hidden="false" name="WIF_MktGW_Add_B_D0_SiteOnly_2030" vbProcedure="false">Interface!$J$66</definedName>
    <definedName function="false" hidden="false" name="WIF_MktGW_Add_B_D0_SiteOnly_2031" vbProcedure="false">Interface!$K$66</definedName>
    <definedName function="false" hidden="false" name="WIF_MktGW_Add_B_D0_SiteOnly_2032" vbProcedure="false">Interface!$L$66</definedName>
    <definedName function="false" hidden="false" name="WIF_MktGW_Add_B_D1_2024" vbProcedure="false">Interface!$D$32</definedName>
    <definedName function="false" hidden="false" name="WIF_MktGW_Add_B_D1_2025" vbProcedure="false">Interface!$E$32</definedName>
    <definedName function="false" hidden="false" name="WIF_MktGW_Add_B_D1_2026" vbProcedure="false">Interface!$F$32</definedName>
    <definedName function="false" hidden="false" name="WIF_MktGW_Add_B_D1_2027" vbProcedure="false">Interface!$G$32</definedName>
    <definedName function="false" hidden="false" name="WIF_MktGW_Add_B_D1_2028" vbProcedure="false">Interface!$H$32</definedName>
    <definedName function="false" hidden="false" name="WIF_MktGW_Add_B_D1_2029" vbProcedure="false">Interface!$I$32</definedName>
    <definedName function="false" hidden="false" name="WIF_MktGW_Add_B_D1_2030" vbProcedure="false">Interface!$J$32</definedName>
    <definedName function="false" hidden="false" name="WIF_MktGW_Add_B_D1_2031" vbProcedure="false">Interface!$K$32</definedName>
    <definedName function="false" hidden="false" name="WIF_MktGW_Add_B_D1_2032" vbProcedure="false">Interface!$L$32</definedName>
    <definedName function="false" hidden="false" name="WIF_MktGW_Add_B_D1_SiteOnly_2024" vbProcedure="false">Interface!$D$67</definedName>
    <definedName function="false" hidden="false" name="WIF_MktGW_Add_B_D1_SiteOnly_2025" vbProcedure="false">Interface!$E$67</definedName>
    <definedName function="false" hidden="false" name="WIF_MktGW_Add_B_D1_SiteOnly_2026" vbProcedure="false">Interface!$F$67</definedName>
    <definedName function="false" hidden="false" name="WIF_MktGW_Add_B_D1_SiteOnly_2027" vbProcedure="false">Interface!$G$67</definedName>
    <definedName function="false" hidden="false" name="WIF_MktGW_Add_B_D1_SiteOnly_2028" vbProcedure="false">Interface!$H$67</definedName>
    <definedName function="false" hidden="false" name="WIF_MktGW_Add_B_D1_SiteOnly_2029" vbProcedure="false">Interface!$I$67</definedName>
    <definedName function="false" hidden="false" name="WIF_MktGW_Add_B_D1_SiteOnly_2030" vbProcedure="false">Interface!$J$67</definedName>
    <definedName function="false" hidden="false" name="WIF_MktGW_Add_B_D1_SiteOnly_2031" vbProcedure="false">Interface!$K$67</definedName>
    <definedName function="false" hidden="false" name="WIF_MktGW_Add_B_D1_SiteOnly_2032" vbProcedure="false">Interface!$L$67</definedName>
    <definedName function="false" hidden="false" name="WIF_MktGW_Add_B_D2_2024" vbProcedure="false">Interface!$D$33</definedName>
    <definedName function="false" hidden="false" name="WIF_MktGW_Add_B_D2_2025" vbProcedure="false">Interface!$E$33</definedName>
    <definedName function="false" hidden="false" name="WIF_MktGW_Add_B_D2_2026" vbProcedure="false">Interface!$F$33</definedName>
    <definedName function="false" hidden="false" name="WIF_MktGW_Add_B_D2_2027" vbProcedure="false">Interface!$G$33</definedName>
    <definedName function="false" hidden="false" name="WIF_MktGW_Add_B_D2_2028" vbProcedure="false">Interface!$H$33</definedName>
    <definedName function="false" hidden="false" name="WIF_MktGW_Add_B_D2_2029" vbProcedure="false">Interface!$I$33</definedName>
    <definedName function="false" hidden="false" name="WIF_MktGW_Add_B_D2_2030" vbProcedure="false">Interface!$J$33</definedName>
    <definedName function="false" hidden="false" name="WIF_MktGW_Add_B_D2_2031" vbProcedure="false">Interface!$K$33</definedName>
    <definedName function="false" hidden="false" name="WIF_MktGW_Add_B_D2_2032" vbProcedure="false">Interface!$L$33</definedName>
    <definedName function="false" hidden="false" name="WIF_MktGW_Add_B_D2_SiteOnly_2024" vbProcedure="false">Interface!$D$68</definedName>
    <definedName function="false" hidden="false" name="WIF_MktGW_Add_B_D2_SiteOnly_2025" vbProcedure="false">Interface!$E$68</definedName>
    <definedName function="false" hidden="false" name="WIF_MktGW_Add_B_D2_SiteOnly_2026" vbProcedure="false">Interface!$F$68</definedName>
    <definedName function="false" hidden="false" name="WIF_MktGW_Add_B_D2_SiteOnly_2027" vbProcedure="false">Interface!$G$68</definedName>
    <definedName function="false" hidden="false" name="WIF_MktGW_Add_B_D2_SiteOnly_2028" vbProcedure="false">Interface!$H$68</definedName>
    <definedName function="false" hidden="false" name="WIF_MktGW_Add_B_D2_SiteOnly_2029" vbProcedure="false">Interface!$I$68</definedName>
    <definedName function="false" hidden="false" name="WIF_MktGW_Add_B_D2_SiteOnly_2030" vbProcedure="false">Interface!$J$68</definedName>
    <definedName function="false" hidden="false" name="WIF_MktGW_Add_B_D2_SiteOnly_2031" vbProcedure="false">Interface!$K$68</definedName>
    <definedName function="false" hidden="false" name="WIF_MktGW_Add_B_D2_SiteOnly_2032" vbProcedure="false">Interface!$L$68</definedName>
    <definedName function="false" hidden="false" name="WIF_MktGW_Add_C_D0_2024" vbProcedure="false">Interface!$D$34</definedName>
    <definedName function="false" hidden="false" name="WIF_MktGW_Add_C_D0_2025" vbProcedure="false">Interface!$E$34</definedName>
    <definedName function="false" hidden="false" name="WIF_MktGW_Add_C_D0_2026" vbProcedure="false">Interface!$F$34</definedName>
    <definedName function="false" hidden="false" name="WIF_MktGW_Add_C_D0_2027" vbProcedure="false">Interface!$G$34</definedName>
    <definedName function="false" hidden="false" name="WIF_MktGW_Add_C_D0_2028" vbProcedure="false">Interface!$H$34</definedName>
    <definedName function="false" hidden="false" name="WIF_MktGW_Add_C_D0_2029" vbProcedure="false">Interface!$I$34</definedName>
    <definedName function="false" hidden="false" name="WIF_MktGW_Add_C_D0_2030" vbProcedure="false">Interface!$J$34</definedName>
    <definedName function="false" hidden="false" name="WIF_MktGW_Add_C_D0_2031" vbProcedure="false">Interface!$K$34</definedName>
    <definedName function="false" hidden="false" name="WIF_MktGW_Add_C_D0_2032" vbProcedure="false">Interface!$L$34</definedName>
    <definedName function="false" hidden="false" name="WIF_MktGW_Add_C_D0_SiteOnly_2024" vbProcedure="false">Interface!$D$69</definedName>
    <definedName function="false" hidden="false" name="WIF_MktGW_Add_C_D0_SiteOnly_2025" vbProcedure="false">Interface!$E$69</definedName>
    <definedName function="false" hidden="false" name="WIF_MktGW_Add_C_D0_SiteOnly_2026" vbProcedure="false">Interface!$F$69</definedName>
    <definedName function="false" hidden="false" name="WIF_MktGW_Add_C_D0_SiteOnly_2027" vbProcedure="false">Interface!$G$69</definedName>
    <definedName function="false" hidden="false" name="WIF_MktGW_Add_C_D0_SiteOnly_2028" vbProcedure="false">Interface!$H$69</definedName>
    <definedName function="false" hidden="false" name="WIF_MktGW_Add_C_D0_SiteOnly_2029" vbProcedure="false">Interface!$I$69</definedName>
    <definedName function="false" hidden="false" name="WIF_MktGW_Add_C_D0_SiteOnly_2030" vbProcedure="false">Interface!$J$69</definedName>
    <definedName function="false" hidden="false" name="WIF_MktGW_Add_C_D0_SiteOnly_2031" vbProcedure="false">Interface!$K$69</definedName>
    <definedName function="false" hidden="false" name="WIF_MktGW_Add_C_D0_SiteOnly_2032" vbProcedure="false">Interface!$L$69</definedName>
    <definedName function="false" hidden="false" name="WIF_MktGW_Add_C_D1_2024" vbProcedure="false">Interface!$D$35</definedName>
    <definedName function="false" hidden="false" name="WIF_MktGW_Add_C_D1_2025" vbProcedure="false">Interface!$E$35</definedName>
    <definedName function="false" hidden="false" name="WIF_MktGW_Add_C_D1_2026" vbProcedure="false">Interface!$F$35</definedName>
    <definedName function="false" hidden="false" name="WIF_MktGW_Add_C_D1_2027" vbProcedure="false">Interface!$G$35</definedName>
    <definedName function="false" hidden="false" name="WIF_MktGW_Add_C_D1_2028" vbProcedure="false">Interface!$H$35</definedName>
    <definedName function="false" hidden="false" name="WIF_MktGW_Add_C_D1_2029" vbProcedure="false">Interface!$I$35</definedName>
    <definedName function="false" hidden="false" name="WIF_MktGW_Add_C_D1_2030" vbProcedure="false">Interface!$J$35</definedName>
    <definedName function="false" hidden="false" name="WIF_MktGW_Add_C_D1_2031" vbProcedure="false">Interface!$K$35</definedName>
    <definedName function="false" hidden="false" name="WIF_MktGW_Add_C_D1_2032" vbProcedure="false">Interface!$L$35</definedName>
    <definedName function="false" hidden="false" name="WIF_MktGW_Add_C_D1_SiteOnly_2024" vbProcedure="false">Interface!$D$70</definedName>
    <definedName function="false" hidden="false" name="WIF_MktGW_Add_C_D1_SiteOnly_2025" vbProcedure="false">Interface!$E$70</definedName>
    <definedName function="false" hidden="false" name="WIF_MktGW_Add_C_D1_SiteOnly_2026" vbProcedure="false">Interface!$F$70</definedName>
    <definedName function="false" hidden="false" name="WIF_MktGW_Add_C_D1_SiteOnly_2027" vbProcedure="false">Interface!$G$70</definedName>
    <definedName function="false" hidden="false" name="WIF_MktGW_Add_C_D1_SiteOnly_2028" vbProcedure="false">Interface!$H$70</definedName>
    <definedName function="false" hidden="false" name="WIF_MktGW_Add_C_D1_SiteOnly_2029" vbProcedure="false">Interface!$I$70</definedName>
    <definedName function="false" hidden="false" name="WIF_MktGW_Add_C_D1_SiteOnly_2030" vbProcedure="false">Interface!$J$70</definedName>
    <definedName function="false" hidden="false" name="WIF_MktGW_Add_C_D1_SiteOnly_2031" vbProcedure="false">Interface!$K$70</definedName>
    <definedName function="false" hidden="false" name="WIF_MktGW_Add_C_D1_SiteOnly_2032" vbProcedure="false">Interface!$L$70</definedName>
    <definedName function="false" hidden="false" name="WIF_MktGW_Add_C_D2_2024" vbProcedure="false">Interface!$D$36</definedName>
    <definedName function="false" hidden="false" name="WIF_MktGW_Add_C_D2_2025" vbProcedure="false">Interface!$E$36</definedName>
    <definedName function="false" hidden="false" name="WIF_MktGW_Add_C_D2_2026" vbProcedure="false">Interface!$F$36</definedName>
    <definedName function="false" hidden="false" name="WIF_MktGW_Add_C_D2_2027" vbProcedure="false">Interface!$G$36</definedName>
    <definedName function="false" hidden="false" name="WIF_MktGW_Add_C_D2_2028" vbProcedure="false">Interface!$H$36</definedName>
    <definedName function="false" hidden="false" name="WIF_MktGW_Add_C_D2_2029" vbProcedure="false">Interface!$I$36</definedName>
    <definedName function="false" hidden="false" name="WIF_MktGW_Add_C_D2_2030" vbProcedure="false">Interface!$J$36</definedName>
    <definedName function="false" hidden="false" name="WIF_MktGW_Add_C_D2_2031" vbProcedure="false">Interface!$K$36</definedName>
    <definedName function="false" hidden="false" name="WIF_MktGW_Add_C_D2_2032" vbProcedure="false">Interface!$L$36</definedName>
    <definedName function="false" hidden="false" name="WIF_MktGW_Add_C_D2_SiteOnly_2024" vbProcedure="false">Interface!$D$71</definedName>
    <definedName function="false" hidden="false" name="WIF_MktGW_Add_C_D2_SiteOnly_2025" vbProcedure="false">Interface!$E$71</definedName>
    <definedName function="false" hidden="false" name="WIF_MktGW_Add_C_D2_SiteOnly_2026" vbProcedure="false">Interface!$F$71</definedName>
    <definedName function="false" hidden="false" name="WIF_MktGW_Add_C_D2_SiteOnly_2027" vbProcedure="false">Interface!$G$71</definedName>
    <definedName function="false" hidden="false" name="WIF_MktGW_Add_C_D2_SiteOnly_2028" vbProcedure="false">Interface!$H$71</definedName>
    <definedName function="false" hidden="false" name="WIF_MktGW_Add_C_D2_SiteOnly_2029" vbProcedure="false">Interface!$I$71</definedName>
    <definedName function="false" hidden="false" name="WIF_MktGW_Add_C_D2_SiteOnly_2030" vbProcedure="false">Interface!$J$71</definedName>
    <definedName function="false" hidden="false" name="WIF_MktGW_Add_C_D2_SiteOnly_2031" vbProcedure="false">Interface!$K$71</definedName>
    <definedName function="false" hidden="false" name="WIF_MktGW_Add_C_D2_SiteOnly_2032" vbProcedure="false">Interface!$L$71</definedName>
    <definedName function="false" hidden="false" name="WIF_MktGW_Avg_A_D0_2024" vbProcedure="false">Interface!$D$19</definedName>
    <definedName function="false" hidden="false" name="WIF_MktGW_Avg_A_D0_2025" vbProcedure="false">Interface!$E$19</definedName>
    <definedName function="false" hidden="false" name="WIF_MktGW_Avg_A_D0_2026" vbProcedure="false">Interface!$F$19</definedName>
    <definedName function="false" hidden="false" name="WIF_MktGW_Avg_A_D0_2027" vbProcedure="false">Interface!$G$19</definedName>
    <definedName function="false" hidden="false" name="WIF_MktGW_Avg_A_D0_2028" vbProcedure="false">Interface!$H$19</definedName>
    <definedName function="false" hidden="false" name="WIF_MktGW_Avg_A_D0_2029" vbProcedure="false">Interface!$I$19</definedName>
    <definedName function="false" hidden="false" name="WIF_MktGW_Avg_A_D0_2030" vbProcedure="false">Interface!$J$19</definedName>
    <definedName function="false" hidden="false" name="WIF_MktGW_Avg_A_D0_2031" vbProcedure="false">Interface!$K$19</definedName>
    <definedName function="false" hidden="false" name="WIF_MktGW_Avg_A_D0_2032" vbProcedure="false">Interface!$L$19</definedName>
    <definedName function="false" hidden="false" name="WIF_MktGW_Avg_A_D0_SiteOnly_2024" vbProcedure="false">Interface!$D$54</definedName>
    <definedName function="false" hidden="false" name="WIF_MktGW_Avg_A_D0_SiteOnly_2025" vbProcedure="false">Interface!$E$54</definedName>
    <definedName function="false" hidden="false" name="WIF_MktGW_Avg_A_D0_SiteOnly_2026" vbProcedure="false">Interface!$F$54</definedName>
    <definedName function="false" hidden="false" name="WIF_MktGW_Avg_A_D0_SiteOnly_2027" vbProcedure="false">Interface!$G$54</definedName>
    <definedName function="false" hidden="false" name="WIF_MktGW_Avg_A_D0_SiteOnly_2028" vbProcedure="false">Interface!$H$54</definedName>
    <definedName function="false" hidden="false" name="WIF_MktGW_Avg_A_D0_SiteOnly_2029" vbProcedure="false">Interface!$I$54</definedName>
    <definedName function="false" hidden="false" name="WIF_MktGW_Avg_A_D0_SiteOnly_2030" vbProcedure="false">Interface!$J$54</definedName>
    <definedName function="false" hidden="false" name="WIF_MktGW_Avg_A_D0_SiteOnly_2031" vbProcedure="false">Interface!$K$54</definedName>
    <definedName function="false" hidden="false" name="WIF_MktGW_Avg_A_D0_SiteOnly_2032" vbProcedure="false">Interface!$L$54</definedName>
    <definedName function="false" hidden="false" name="WIF_MktGW_Avg_A_D1_2024" vbProcedure="false">Interface!$D$20</definedName>
    <definedName function="false" hidden="false" name="WIF_MktGW_Avg_A_D1_2025" vbProcedure="false">Interface!$E$20</definedName>
    <definedName function="false" hidden="false" name="WIF_MktGW_Avg_A_D1_2026" vbProcedure="false">Interface!$F$20</definedName>
    <definedName function="false" hidden="false" name="WIF_MktGW_Avg_A_D1_2027" vbProcedure="false">Interface!$G$20</definedName>
    <definedName function="false" hidden="false" name="WIF_MktGW_Avg_A_D1_2028" vbProcedure="false">Interface!$H$20</definedName>
    <definedName function="false" hidden="false" name="WIF_MktGW_Avg_A_D1_2029" vbProcedure="false">Interface!$I$20</definedName>
    <definedName function="false" hidden="false" name="WIF_MktGW_Avg_A_D1_2030" vbProcedure="false">Interface!$J$20</definedName>
    <definedName function="false" hidden="false" name="WIF_MktGW_Avg_A_D1_2031" vbProcedure="false">Interface!$K$20</definedName>
    <definedName function="false" hidden="false" name="WIF_MktGW_Avg_A_D1_2032" vbProcedure="false">Interface!$L$20</definedName>
    <definedName function="false" hidden="false" name="WIF_MktGW_Avg_A_D1_SiteOnly_2024" vbProcedure="false">Interface!$D$55</definedName>
    <definedName function="false" hidden="false" name="WIF_MktGW_Avg_A_D1_SiteOnly_2025" vbProcedure="false">Interface!$E$55</definedName>
    <definedName function="false" hidden="false" name="WIF_MktGW_Avg_A_D1_SiteOnly_2026" vbProcedure="false">Interface!$F$55</definedName>
    <definedName function="false" hidden="false" name="WIF_MktGW_Avg_A_D1_SiteOnly_2027" vbProcedure="false">Interface!$G$55</definedName>
    <definedName function="false" hidden="false" name="WIF_MktGW_Avg_A_D1_SiteOnly_2028" vbProcedure="false">Interface!$H$55</definedName>
    <definedName function="false" hidden="false" name="WIF_MktGW_Avg_A_D1_SiteOnly_2029" vbProcedure="false">Interface!$I$55</definedName>
    <definedName function="false" hidden="false" name="WIF_MktGW_Avg_A_D1_SiteOnly_2030" vbProcedure="false">Interface!$J$55</definedName>
    <definedName function="false" hidden="false" name="WIF_MktGW_Avg_A_D1_SiteOnly_2031" vbProcedure="false">Interface!$K$55</definedName>
    <definedName function="false" hidden="false" name="WIF_MktGW_Avg_A_D1_SiteOnly_2032" vbProcedure="false">Interface!$L$55</definedName>
    <definedName function="false" hidden="false" name="WIF_MktGW_Avg_A_D2_2024" vbProcedure="false">Interface!$D$21</definedName>
    <definedName function="false" hidden="false" name="WIF_MktGW_Avg_A_D2_2025" vbProcedure="false">Interface!$E$21</definedName>
    <definedName function="false" hidden="false" name="WIF_MktGW_Avg_A_D2_2026" vbProcedure="false">Interface!$F$21</definedName>
    <definedName function="false" hidden="false" name="WIF_MktGW_Avg_A_D2_2027" vbProcedure="false">Interface!$G$21</definedName>
    <definedName function="false" hidden="false" name="WIF_MktGW_Avg_A_D2_2028" vbProcedure="false">Interface!$H$21</definedName>
    <definedName function="false" hidden="false" name="WIF_MktGW_Avg_A_D2_2029" vbProcedure="false">Interface!$I$21</definedName>
    <definedName function="false" hidden="false" name="WIF_MktGW_Avg_A_D2_2030" vbProcedure="false">Interface!$J$21</definedName>
    <definedName function="false" hidden="false" name="WIF_MktGW_Avg_A_D2_2031" vbProcedure="false">Interface!$K$21</definedName>
    <definedName function="false" hidden="false" name="WIF_MktGW_Avg_A_D2_2032" vbProcedure="false">Interface!$L$21</definedName>
    <definedName function="false" hidden="false" name="WIF_MktGW_Avg_A_D2_SiteOnly_2024" vbProcedure="false">Interface!$D$56</definedName>
    <definedName function="false" hidden="false" name="WIF_MktGW_Avg_A_D2_SiteOnly_2025" vbProcedure="false">Interface!$E$56</definedName>
    <definedName function="false" hidden="false" name="WIF_MktGW_Avg_A_D2_SiteOnly_2026" vbProcedure="false">Interface!$F$56</definedName>
    <definedName function="false" hidden="false" name="WIF_MktGW_Avg_A_D2_SiteOnly_2027" vbProcedure="false">Interface!$G$56</definedName>
    <definedName function="false" hidden="false" name="WIF_MktGW_Avg_A_D2_SiteOnly_2028" vbProcedure="false">Interface!$H$56</definedName>
    <definedName function="false" hidden="false" name="WIF_MktGW_Avg_A_D2_SiteOnly_2029" vbProcedure="false">Interface!$I$56</definedName>
    <definedName function="false" hidden="false" name="WIF_MktGW_Avg_A_D2_SiteOnly_2030" vbProcedure="false">Interface!$J$56</definedName>
    <definedName function="false" hidden="false" name="WIF_MktGW_Avg_A_D2_SiteOnly_2031" vbProcedure="false">Interface!$K$56</definedName>
    <definedName function="false" hidden="false" name="WIF_MktGW_Avg_A_D2_SiteOnly_2032" vbProcedure="false">Interface!$L$56</definedName>
    <definedName function="false" hidden="false" name="WIF_MktGW_Avg_B_D0_2024" vbProcedure="false">Interface!$D$22</definedName>
    <definedName function="false" hidden="false" name="WIF_MktGW_Avg_B_D0_2025" vbProcedure="false">Interface!$E$22</definedName>
    <definedName function="false" hidden="false" name="WIF_MktGW_Avg_B_D0_2026" vbProcedure="false">Interface!$F$22</definedName>
    <definedName function="false" hidden="false" name="WIF_MktGW_Avg_B_D0_2027" vbProcedure="false">Interface!$G$22</definedName>
    <definedName function="false" hidden="false" name="WIF_MktGW_Avg_B_D0_2028" vbProcedure="false">Interface!$H$22</definedName>
    <definedName function="false" hidden="false" name="WIF_MktGW_Avg_B_D0_2029" vbProcedure="false">Interface!$I$22</definedName>
    <definedName function="false" hidden="false" name="WIF_MktGW_Avg_B_D0_2030" vbProcedure="false">Interface!$J$22</definedName>
    <definedName function="false" hidden="false" name="WIF_MktGW_Avg_B_D0_2031" vbProcedure="false">Interface!$K$22</definedName>
    <definedName function="false" hidden="false" name="WIF_MktGW_Avg_B_D0_2032" vbProcedure="false">Interface!$L$22</definedName>
    <definedName function="false" hidden="false" name="WIF_MktGW_Avg_B_D0_SiteOnly_2024" vbProcedure="false">Interface!$D$57</definedName>
    <definedName function="false" hidden="false" name="WIF_MktGW_Avg_B_D0_SiteOnly_2025" vbProcedure="false">Interface!$E$57</definedName>
    <definedName function="false" hidden="false" name="WIF_MktGW_Avg_B_D0_SiteOnly_2026" vbProcedure="false">Interface!$F$57</definedName>
    <definedName function="false" hidden="false" name="WIF_MktGW_Avg_B_D0_SiteOnly_2027" vbProcedure="false">Interface!$G$57</definedName>
    <definedName function="false" hidden="false" name="WIF_MktGW_Avg_B_D0_SiteOnly_2028" vbProcedure="false">Interface!$H$57</definedName>
    <definedName function="false" hidden="false" name="WIF_MktGW_Avg_B_D0_SiteOnly_2029" vbProcedure="false">Interface!$I$57</definedName>
    <definedName function="false" hidden="false" name="WIF_MktGW_Avg_B_D0_SiteOnly_2030" vbProcedure="false">Interface!$J$57</definedName>
    <definedName function="false" hidden="false" name="WIF_MktGW_Avg_B_D0_SiteOnly_2031" vbProcedure="false">Interface!$K$57</definedName>
    <definedName function="false" hidden="false" name="WIF_MktGW_Avg_B_D0_SiteOnly_2032" vbProcedure="false">Interface!$L$57</definedName>
    <definedName function="false" hidden="false" name="WIF_MktGW_Avg_B_D1_2024" vbProcedure="false">Interface!$D$23</definedName>
    <definedName function="false" hidden="false" name="WIF_MktGW_Avg_B_D1_2025" vbProcedure="false">Interface!$E$23</definedName>
    <definedName function="false" hidden="false" name="WIF_MktGW_Avg_B_D1_2026" vbProcedure="false">Interface!$F$23</definedName>
    <definedName function="false" hidden="false" name="WIF_MktGW_Avg_B_D1_2027" vbProcedure="false">Interface!$G$23</definedName>
    <definedName function="false" hidden="false" name="WIF_MktGW_Avg_B_D1_2028" vbProcedure="false">Interface!$H$23</definedName>
    <definedName function="false" hidden="false" name="WIF_MktGW_Avg_B_D1_2029" vbProcedure="false">Interface!$I$23</definedName>
    <definedName function="false" hidden="false" name="WIF_MktGW_Avg_B_D1_2030" vbProcedure="false">Interface!$J$23</definedName>
    <definedName function="false" hidden="false" name="WIF_MktGW_Avg_B_D1_2031" vbProcedure="false">Interface!$K$23</definedName>
    <definedName function="false" hidden="false" name="WIF_MktGW_Avg_B_D1_2032" vbProcedure="false">Interface!$L$23</definedName>
    <definedName function="false" hidden="false" name="WIF_MktGW_Avg_B_D1_SiteOnly_2024" vbProcedure="false">Interface!$D$58</definedName>
    <definedName function="false" hidden="false" name="WIF_MktGW_Avg_B_D1_SiteOnly_2025" vbProcedure="false">Interface!$E$58</definedName>
    <definedName function="false" hidden="false" name="WIF_MktGW_Avg_B_D1_SiteOnly_2026" vbProcedure="false">Interface!$F$58</definedName>
    <definedName function="false" hidden="false" name="WIF_MktGW_Avg_B_D1_SiteOnly_2027" vbProcedure="false">Interface!$G$58</definedName>
    <definedName function="false" hidden="false" name="WIF_MktGW_Avg_B_D1_SiteOnly_2028" vbProcedure="false">Interface!$H$58</definedName>
    <definedName function="false" hidden="false" name="WIF_MktGW_Avg_B_D1_SiteOnly_2029" vbProcedure="false">Interface!$I$58</definedName>
    <definedName function="false" hidden="false" name="WIF_MktGW_Avg_B_D1_SiteOnly_2030" vbProcedure="false">Interface!$J$58</definedName>
    <definedName function="false" hidden="false" name="WIF_MktGW_Avg_B_D1_SiteOnly_2031" vbProcedure="false">Interface!$K$58</definedName>
    <definedName function="false" hidden="false" name="WIF_MktGW_Avg_B_D1_SiteOnly_2032" vbProcedure="false">Interface!$L$58</definedName>
    <definedName function="false" hidden="false" name="WIF_MktGW_Avg_B_D2_2024" vbProcedure="false">Interface!$D$24</definedName>
    <definedName function="false" hidden="false" name="WIF_MktGW_Avg_B_D2_2025" vbProcedure="false">Interface!$E$24</definedName>
    <definedName function="false" hidden="false" name="WIF_MktGW_Avg_B_D2_2026" vbProcedure="false">Interface!$F$24</definedName>
    <definedName function="false" hidden="false" name="WIF_MktGW_Avg_B_D2_2027" vbProcedure="false">Interface!$G$24</definedName>
    <definedName function="false" hidden="false" name="WIF_MktGW_Avg_B_D2_2028" vbProcedure="false">Interface!$H$24</definedName>
    <definedName function="false" hidden="false" name="WIF_MktGW_Avg_B_D2_2029" vbProcedure="false">Interface!$I$24</definedName>
    <definedName function="false" hidden="false" name="WIF_MktGW_Avg_B_D2_2030" vbProcedure="false">Interface!$J$24</definedName>
    <definedName function="false" hidden="false" name="WIF_MktGW_Avg_B_D2_2031" vbProcedure="false">Interface!$K$24</definedName>
    <definedName function="false" hidden="false" name="WIF_MktGW_Avg_B_D2_2032" vbProcedure="false">Interface!$L$24</definedName>
    <definedName function="false" hidden="false" name="WIF_MktGW_Avg_B_D2_SiteOnly_2024" vbProcedure="false">Interface!$D$59</definedName>
    <definedName function="false" hidden="false" name="WIF_MktGW_Avg_B_D2_SiteOnly_2025" vbProcedure="false">Interface!$E$59</definedName>
    <definedName function="false" hidden="false" name="WIF_MktGW_Avg_B_D2_SiteOnly_2026" vbProcedure="false">Interface!$F$59</definedName>
    <definedName function="false" hidden="false" name="WIF_MktGW_Avg_B_D2_SiteOnly_2027" vbProcedure="false">Interface!$G$59</definedName>
    <definedName function="false" hidden="false" name="WIF_MktGW_Avg_B_D2_SiteOnly_2028" vbProcedure="false">Interface!$H$59</definedName>
    <definedName function="false" hidden="false" name="WIF_MktGW_Avg_B_D2_SiteOnly_2029" vbProcedure="false">Interface!$I$59</definedName>
    <definedName function="false" hidden="false" name="WIF_MktGW_Avg_B_D2_SiteOnly_2030" vbProcedure="false">Interface!$J$59</definedName>
    <definedName function="false" hidden="false" name="WIF_MktGW_Avg_B_D2_SiteOnly_2031" vbProcedure="false">Interface!$K$59</definedName>
    <definedName function="false" hidden="false" name="WIF_MktGW_Avg_B_D2_SiteOnly_2032" vbProcedure="false">Interface!$L$59</definedName>
    <definedName function="false" hidden="false" name="WIF_MktGW_Avg_C_D0_2024" vbProcedure="false">Interface!$D$25</definedName>
    <definedName function="false" hidden="false" name="WIF_MktGW_Avg_C_D0_2025" vbProcedure="false">Interface!$E$25</definedName>
    <definedName function="false" hidden="false" name="WIF_MktGW_Avg_C_D0_2026" vbProcedure="false">Interface!$F$25</definedName>
    <definedName function="false" hidden="false" name="WIF_MktGW_Avg_C_D0_2027" vbProcedure="false">Interface!$G$25</definedName>
    <definedName function="false" hidden="false" name="WIF_MktGW_Avg_C_D0_2028" vbProcedure="false">Interface!$H$25</definedName>
    <definedName function="false" hidden="false" name="WIF_MktGW_Avg_C_D0_2029" vbProcedure="false">Interface!$I$25</definedName>
    <definedName function="false" hidden="false" name="WIF_MktGW_Avg_C_D0_2030" vbProcedure="false">Interface!$J$25</definedName>
    <definedName function="false" hidden="false" name="WIF_MktGW_Avg_C_D0_2031" vbProcedure="false">Interface!$K$25</definedName>
    <definedName function="false" hidden="false" name="WIF_MktGW_Avg_C_D0_2032" vbProcedure="false">Interface!$L$25</definedName>
    <definedName function="false" hidden="false" name="WIF_MktGW_Avg_C_D0_SiteOnly_2024" vbProcedure="false">Interface!$D$60</definedName>
    <definedName function="false" hidden="false" name="WIF_MktGW_Avg_C_D0_SiteOnly_2025" vbProcedure="false">Interface!$E$60</definedName>
    <definedName function="false" hidden="false" name="WIF_MktGW_Avg_C_D0_SiteOnly_2026" vbProcedure="false">Interface!$F$60</definedName>
    <definedName function="false" hidden="false" name="WIF_MktGW_Avg_C_D0_SiteOnly_2027" vbProcedure="false">Interface!$G$60</definedName>
    <definedName function="false" hidden="false" name="WIF_MktGW_Avg_C_D0_SiteOnly_2028" vbProcedure="false">Interface!$H$60</definedName>
    <definedName function="false" hidden="false" name="WIF_MktGW_Avg_C_D0_SiteOnly_2029" vbProcedure="false">Interface!$I$60</definedName>
    <definedName function="false" hidden="false" name="WIF_MktGW_Avg_C_D0_SiteOnly_2030" vbProcedure="false">Interface!$J$60</definedName>
    <definedName function="false" hidden="false" name="WIF_MktGW_Avg_C_D0_SiteOnly_2031" vbProcedure="false">Interface!$K$60</definedName>
    <definedName function="false" hidden="false" name="WIF_MktGW_Avg_C_D0_SiteOnly_2032" vbProcedure="false">Interface!$L$60</definedName>
    <definedName function="false" hidden="false" name="WIF_MktGW_Avg_C_D1_2024" vbProcedure="false">Interface!$D$26</definedName>
    <definedName function="false" hidden="false" name="WIF_MktGW_Avg_C_D1_2025" vbProcedure="false">Interface!$E$26</definedName>
    <definedName function="false" hidden="false" name="WIF_MktGW_Avg_C_D1_2026" vbProcedure="false">Interface!$F$26</definedName>
    <definedName function="false" hidden="false" name="WIF_MktGW_Avg_C_D1_2027" vbProcedure="false">Interface!$G$26</definedName>
    <definedName function="false" hidden="false" name="WIF_MktGW_Avg_C_D1_2028" vbProcedure="false">Interface!$H$26</definedName>
    <definedName function="false" hidden="false" name="WIF_MktGW_Avg_C_D1_2029" vbProcedure="false">Interface!$I$26</definedName>
    <definedName function="false" hidden="false" name="WIF_MktGW_Avg_C_D1_2030" vbProcedure="false">Interface!$J$26</definedName>
    <definedName function="false" hidden="false" name="WIF_MktGW_Avg_C_D1_2031" vbProcedure="false">Interface!$K$26</definedName>
    <definedName function="false" hidden="false" name="WIF_MktGW_Avg_C_D1_2032" vbProcedure="false">Interface!$L$26</definedName>
    <definedName function="false" hidden="false" name="WIF_MktGW_Avg_C_D1_SiteOnly_2024" vbProcedure="false">Interface!$D$61</definedName>
    <definedName function="false" hidden="false" name="WIF_MktGW_Avg_C_D1_SiteOnly_2025" vbProcedure="false">Interface!$E$61</definedName>
    <definedName function="false" hidden="false" name="WIF_MktGW_Avg_C_D1_SiteOnly_2026" vbProcedure="false">Interface!$F$61</definedName>
    <definedName function="false" hidden="false" name="WIF_MktGW_Avg_C_D1_SiteOnly_2027" vbProcedure="false">Interface!$G$61</definedName>
    <definedName function="false" hidden="false" name="WIF_MktGW_Avg_C_D1_SiteOnly_2028" vbProcedure="false">Interface!$H$61</definedName>
    <definedName function="false" hidden="false" name="WIF_MktGW_Avg_C_D1_SiteOnly_2029" vbProcedure="false">Interface!$I$61</definedName>
    <definedName function="false" hidden="false" name="WIF_MktGW_Avg_C_D1_SiteOnly_2030" vbProcedure="false">Interface!$J$61</definedName>
    <definedName function="false" hidden="false" name="WIF_MktGW_Avg_C_D1_SiteOnly_2031" vbProcedure="false">Interface!$K$61</definedName>
    <definedName function="false" hidden="false" name="WIF_MktGW_Avg_C_D1_SiteOnly_2032" vbProcedure="false">Interface!$L$61</definedName>
    <definedName function="false" hidden="false" name="WIF_MktGW_Avg_C_D2_2024" vbProcedure="false">Interface!$D$27</definedName>
    <definedName function="false" hidden="false" name="WIF_MktGW_Avg_C_D2_2025" vbProcedure="false">Interface!$E$27</definedName>
    <definedName function="false" hidden="false" name="WIF_MktGW_Avg_C_D2_2026" vbProcedure="false">Interface!$F$27</definedName>
    <definedName function="false" hidden="false" name="WIF_MktGW_Avg_C_D2_2027" vbProcedure="false">Interface!$G$27</definedName>
    <definedName function="false" hidden="false" name="WIF_MktGW_Avg_C_D2_2028" vbProcedure="false">Interface!$H$27</definedName>
    <definedName function="false" hidden="false" name="WIF_MktGW_Avg_C_D2_2029" vbProcedure="false">Interface!$I$27</definedName>
    <definedName function="false" hidden="false" name="WIF_MktGW_Avg_C_D2_2030" vbProcedure="false">Interface!$J$27</definedName>
    <definedName function="false" hidden="false" name="WIF_MktGW_Avg_C_D2_2031" vbProcedure="false">Interface!$K$27</definedName>
    <definedName function="false" hidden="false" name="WIF_MktGW_Avg_C_D2_2032" vbProcedure="false">Interface!$L$27</definedName>
    <definedName function="false" hidden="false" name="WIF_MktGW_Avg_C_D2_SiteOnly_2024" vbProcedure="false">Interface!$D$62</definedName>
    <definedName function="false" hidden="false" name="WIF_MktGW_Avg_C_D2_SiteOnly_2025" vbProcedure="false">Interface!$E$62</definedName>
    <definedName function="false" hidden="false" name="WIF_MktGW_Avg_C_D2_SiteOnly_2026" vbProcedure="false">Interface!$F$62</definedName>
    <definedName function="false" hidden="false" name="WIF_MktGW_Avg_C_D2_SiteOnly_2027" vbProcedure="false">Interface!$G$62</definedName>
    <definedName function="false" hidden="false" name="WIF_MktGW_Avg_C_D2_SiteOnly_2028" vbProcedure="false">Interface!$H$62</definedName>
    <definedName function="false" hidden="false" name="WIF_MktGW_Avg_C_D2_SiteOnly_2029" vbProcedure="false">Interface!$I$62</definedName>
    <definedName function="false" hidden="false" name="WIF_MktGW_Avg_C_D2_SiteOnly_2030" vbProcedure="false">Interface!$J$62</definedName>
    <definedName function="false" hidden="false" name="WIF_MktGW_Avg_C_D2_SiteOnly_2031" vbProcedure="false">Interface!$K$62</definedName>
    <definedName function="false" hidden="false" name="WIF_MktGW_Avg_C_D2_SiteOnly_2032" vbProcedure="false">Interface!$L$62</definedName>
    <definedName function="false" hidden="false" name="WIF_MktGW_YE_A_D0_2024" vbProcedure="false">Interface!$D$10</definedName>
    <definedName function="false" hidden="false" name="WIF_MktGW_YE_A_D0_2025" vbProcedure="false">Interface!$E$10</definedName>
    <definedName function="false" hidden="false" name="WIF_MktGW_YE_A_D0_2026" vbProcedure="false">Interface!$F$10</definedName>
    <definedName function="false" hidden="false" name="WIF_MktGW_YE_A_D0_2027" vbProcedure="false">Interface!$G$10</definedName>
    <definedName function="false" hidden="false" name="WIF_MktGW_YE_A_D0_2028" vbProcedure="false">Interface!$H$10</definedName>
    <definedName function="false" hidden="false" name="WIF_MktGW_YE_A_D0_2029" vbProcedure="false">Interface!$I$10</definedName>
    <definedName function="false" hidden="false" name="WIF_MktGW_YE_A_D0_2030" vbProcedure="false">Interface!$J$10</definedName>
    <definedName function="false" hidden="false" name="WIF_MktGW_YE_A_D0_2031" vbProcedure="false">Interface!$K$10</definedName>
    <definedName function="false" hidden="false" name="WIF_MktGW_YE_A_D0_2032" vbProcedure="false">Interface!$L$10</definedName>
    <definedName function="false" hidden="false" name="WIF_MktGW_YE_A_D0_SiteOnly_2024" vbProcedure="false">Interface!$D$45</definedName>
    <definedName function="false" hidden="false" name="WIF_MktGW_YE_A_D0_SiteOnly_2025" vbProcedure="false">Interface!$E$45</definedName>
    <definedName function="false" hidden="false" name="WIF_MktGW_YE_A_D0_SiteOnly_2026" vbProcedure="false">Interface!$F$45</definedName>
    <definedName function="false" hidden="false" name="WIF_MktGW_YE_A_D0_SiteOnly_2027" vbProcedure="false">Interface!$G$45</definedName>
    <definedName function="false" hidden="false" name="WIF_MktGW_YE_A_D0_SiteOnly_2028" vbProcedure="false">Interface!$H$45</definedName>
    <definedName function="false" hidden="false" name="WIF_MktGW_YE_A_D0_SiteOnly_2029" vbProcedure="false">Interface!$I$45</definedName>
    <definedName function="false" hidden="false" name="WIF_MktGW_YE_A_D0_SiteOnly_2030" vbProcedure="false">Interface!$J$45</definedName>
    <definedName function="false" hidden="false" name="WIF_MktGW_YE_A_D0_SiteOnly_2031" vbProcedure="false">Interface!$K$45</definedName>
    <definedName function="false" hidden="false" name="WIF_MktGW_YE_A_D0_SiteOnly_2032" vbProcedure="false">Interface!$L$45</definedName>
    <definedName function="false" hidden="false" name="WIF_MktGW_YE_A_D1_2024" vbProcedure="false">Interface!$D$11</definedName>
    <definedName function="false" hidden="false" name="WIF_MktGW_YE_A_D1_2025" vbProcedure="false">Interface!$E$11</definedName>
    <definedName function="false" hidden="false" name="WIF_MktGW_YE_A_D1_2026" vbProcedure="false">Interface!$F$11</definedName>
    <definedName function="false" hidden="false" name="WIF_MktGW_YE_A_D1_2027" vbProcedure="false">Interface!$G$11</definedName>
    <definedName function="false" hidden="false" name="WIF_MktGW_YE_A_D1_2028" vbProcedure="false">Interface!$H$11</definedName>
    <definedName function="false" hidden="false" name="WIF_MktGW_YE_A_D1_2029" vbProcedure="false">Interface!$I$11</definedName>
    <definedName function="false" hidden="false" name="WIF_MktGW_YE_A_D1_2030" vbProcedure="false">Interface!$J$11</definedName>
    <definedName function="false" hidden="false" name="WIF_MktGW_YE_A_D1_2031" vbProcedure="false">Interface!$K$11</definedName>
    <definedName function="false" hidden="false" name="WIF_MktGW_YE_A_D1_2032" vbProcedure="false">Interface!$L$11</definedName>
    <definedName function="false" hidden="false" name="WIF_MktGW_YE_A_D1_SiteOnly_2024" vbProcedure="false">Interface!$D$46</definedName>
    <definedName function="false" hidden="false" name="WIF_MktGW_YE_A_D1_SiteOnly_2025" vbProcedure="false">Interface!$E$46</definedName>
    <definedName function="false" hidden="false" name="WIF_MktGW_YE_A_D1_SiteOnly_2026" vbProcedure="false">Interface!$F$46</definedName>
    <definedName function="false" hidden="false" name="WIF_MktGW_YE_A_D1_SiteOnly_2027" vbProcedure="false">Interface!$G$46</definedName>
    <definedName function="false" hidden="false" name="WIF_MktGW_YE_A_D1_SiteOnly_2028" vbProcedure="false">Interface!$H$46</definedName>
    <definedName function="false" hidden="false" name="WIF_MktGW_YE_A_D1_SiteOnly_2029" vbProcedure="false">Interface!$I$46</definedName>
    <definedName function="false" hidden="false" name="WIF_MktGW_YE_A_D1_SiteOnly_2030" vbProcedure="false">Interface!$J$46</definedName>
    <definedName function="false" hidden="false" name="WIF_MktGW_YE_A_D1_SiteOnly_2031" vbProcedure="false">Interface!$K$46</definedName>
    <definedName function="false" hidden="false" name="WIF_MktGW_YE_A_D1_SiteOnly_2032" vbProcedure="false">Interface!$L$46</definedName>
    <definedName function="false" hidden="false" name="WIF_MktGW_YE_A_D2_2024" vbProcedure="false">Interface!$D$12</definedName>
    <definedName function="false" hidden="false" name="WIF_MktGW_YE_A_D2_2025" vbProcedure="false">Interface!$E$12</definedName>
    <definedName function="false" hidden="false" name="WIF_MktGW_YE_A_D2_2026" vbProcedure="false">Interface!$F$12</definedName>
    <definedName function="false" hidden="false" name="WIF_MktGW_YE_A_D2_2027" vbProcedure="false">Interface!$G$12</definedName>
    <definedName function="false" hidden="false" name="WIF_MktGW_YE_A_D2_2028" vbProcedure="false">Interface!$H$12</definedName>
    <definedName function="false" hidden="false" name="WIF_MktGW_YE_A_D2_2029" vbProcedure="false">Interface!$I$12</definedName>
    <definedName function="false" hidden="false" name="WIF_MktGW_YE_A_D2_2030" vbProcedure="false">Interface!$J$12</definedName>
    <definedName function="false" hidden="false" name="WIF_MktGW_YE_A_D2_2031" vbProcedure="false">Interface!$K$12</definedName>
    <definedName function="false" hidden="false" name="WIF_MktGW_YE_A_D2_2032" vbProcedure="false">Interface!$L$12</definedName>
    <definedName function="false" hidden="false" name="WIF_MktGW_YE_A_D2_SiteOnly_2024" vbProcedure="false">Interface!$D$47</definedName>
    <definedName function="false" hidden="false" name="WIF_MktGW_YE_A_D2_SiteOnly_2025" vbProcedure="false">Interface!$E$47</definedName>
    <definedName function="false" hidden="false" name="WIF_MktGW_YE_A_D2_SiteOnly_2026" vbProcedure="false">Interface!$F$47</definedName>
    <definedName function="false" hidden="false" name="WIF_MktGW_YE_A_D2_SiteOnly_2027" vbProcedure="false">Interface!$G$47</definedName>
    <definedName function="false" hidden="false" name="WIF_MktGW_YE_A_D2_SiteOnly_2028" vbProcedure="false">Interface!$H$47</definedName>
    <definedName function="false" hidden="false" name="WIF_MktGW_YE_A_D2_SiteOnly_2029" vbProcedure="false">Interface!$I$47</definedName>
    <definedName function="false" hidden="false" name="WIF_MktGW_YE_A_D2_SiteOnly_2030" vbProcedure="false">Interface!$J$47</definedName>
    <definedName function="false" hidden="false" name="WIF_MktGW_YE_A_D2_SiteOnly_2031" vbProcedure="false">Interface!$K$47</definedName>
    <definedName function="false" hidden="false" name="WIF_MktGW_YE_A_D2_SiteOnly_2032" vbProcedure="false">Interface!$L$47</definedName>
    <definedName function="false" hidden="false" name="WIF_MktGW_YE_B_D0_2024" vbProcedure="false">Interface!$D$13</definedName>
    <definedName function="false" hidden="false" name="WIF_MktGW_YE_B_D0_2025" vbProcedure="false">Interface!$E$13</definedName>
    <definedName function="false" hidden="false" name="WIF_MktGW_YE_B_D0_2026" vbProcedure="false">Interface!$F$13</definedName>
    <definedName function="false" hidden="false" name="WIF_MktGW_YE_B_D0_2027" vbProcedure="false">Interface!$G$13</definedName>
    <definedName function="false" hidden="false" name="WIF_MktGW_YE_B_D0_2028" vbProcedure="false">Interface!$H$13</definedName>
    <definedName function="false" hidden="false" name="WIF_MktGW_YE_B_D0_2029" vbProcedure="false">Interface!$I$13</definedName>
    <definedName function="false" hidden="false" name="WIF_MktGW_YE_B_D0_2030" vbProcedure="false">Interface!$J$13</definedName>
    <definedName function="false" hidden="false" name="WIF_MktGW_YE_B_D0_2031" vbProcedure="false">Interface!$K$13</definedName>
    <definedName function="false" hidden="false" name="WIF_MktGW_YE_B_D0_2032" vbProcedure="false">Interface!$L$13</definedName>
    <definedName function="false" hidden="false" name="WIF_MktGW_YE_B_D0_SiteOnly_2024" vbProcedure="false">Interface!$D$48</definedName>
    <definedName function="false" hidden="false" name="WIF_MktGW_YE_B_D0_SiteOnly_2025" vbProcedure="false">Interface!$E$48</definedName>
    <definedName function="false" hidden="false" name="WIF_MktGW_YE_B_D0_SiteOnly_2026" vbProcedure="false">Interface!$F$48</definedName>
    <definedName function="false" hidden="false" name="WIF_MktGW_YE_B_D0_SiteOnly_2027" vbProcedure="false">Interface!$G$48</definedName>
    <definedName function="false" hidden="false" name="WIF_MktGW_YE_B_D0_SiteOnly_2028" vbProcedure="false">Interface!$H$48</definedName>
    <definedName function="false" hidden="false" name="WIF_MktGW_YE_B_D0_SiteOnly_2029" vbProcedure="false">Interface!$I$48</definedName>
    <definedName function="false" hidden="false" name="WIF_MktGW_YE_B_D0_SiteOnly_2030" vbProcedure="false">Interface!$J$48</definedName>
    <definedName function="false" hidden="false" name="WIF_MktGW_YE_B_D0_SiteOnly_2031" vbProcedure="false">Interface!$K$48</definedName>
    <definedName function="false" hidden="false" name="WIF_MktGW_YE_B_D0_SiteOnly_2032" vbProcedure="false">Interface!$L$48</definedName>
    <definedName function="false" hidden="false" name="WIF_MktGW_YE_B_D1_2024" vbProcedure="false">Interface!$D$14</definedName>
    <definedName function="false" hidden="false" name="WIF_MktGW_YE_B_D1_2025" vbProcedure="false">Interface!$E$14</definedName>
    <definedName function="false" hidden="false" name="WIF_MktGW_YE_B_D1_2026" vbProcedure="false">Interface!$F$14</definedName>
    <definedName function="false" hidden="false" name="WIF_MktGW_YE_B_D1_2027" vbProcedure="false">Interface!$G$14</definedName>
    <definedName function="false" hidden="false" name="WIF_MktGW_YE_B_D1_2028" vbProcedure="false">Interface!$H$14</definedName>
    <definedName function="false" hidden="false" name="WIF_MktGW_YE_B_D1_2029" vbProcedure="false">Interface!$I$14</definedName>
    <definedName function="false" hidden="false" name="WIF_MktGW_YE_B_D1_2030" vbProcedure="false">Interface!$J$14</definedName>
    <definedName function="false" hidden="false" name="WIF_MktGW_YE_B_D1_2031" vbProcedure="false">Interface!$K$14</definedName>
    <definedName function="false" hidden="false" name="WIF_MktGW_YE_B_D1_2032" vbProcedure="false">Interface!$L$14</definedName>
    <definedName function="false" hidden="false" name="WIF_MktGW_YE_B_D1_SiteOnly_2024" vbProcedure="false">Interface!$D$49</definedName>
    <definedName function="false" hidden="false" name="WIF_MktGW_YE_B_D1_SiteOnly_2025" vbProcedure="false">Interface!$E$49</definedName>
    <definedName function="false" hidden="false" name="WIF_MktGW_YE_B_D1_SiteOnly_2026" vbProcedure="false">Interface!$F$49</definedName>
    <definedName function="false" hidden="false" name="WIF_MktGW_YE_B_D1_SiteOnly_2027" vbProcedure="false">Interface!$G$49</definedName>
    <definedName function="false" hidden="false" name="WIF_MktGW_YE_B_D1_SiteOnly_2028" vbProcedure="false">Interface!$H$49</definedName>
    <definedName function="false" hidden="false" name="WIF_MktGW_YE_B_D1_SiteOnly_2029" vbProcedure="false">Interface!$I$49</definedName>
    <definedName function="false" hidden="false" name="WIF_MktGW_YE_B_D1_SiteOnly_2030" vbProcedure="false">Interface!$J$49</definedName>
    <definedName function="false" hidden="false" name="WIF_MktGW_YE_B_D1_SiteOnly_2031" vbProcedure="false">Interface!$K$49</definedName>
    <definedName function="false" hidden="false" name="WIF_MktGW_YE_B_D1_SiteOnly_2032" vbProcedure="false">Interface!$L$49</definedName>
    <definedName function="false" hidden="false" name="WIF_MktGW_YE_B_D2_2024" vbProcedure="false">Interface!$D$15</definedName>
    <definedName function="false" hidden="false" name="WIF_MktGW_YE_B_D2_2025" vbProcedure="false">Interface!$E$15</definedName>
    <definedName function="false" hidden="false" name="WIF_MktGW_YE_B_D2_2026" vbProcedure="false">Interface!$F$15</definedName>
    <definedName function="false" hidden="false" name="WIF_MktGW_YE_B_D2_2027" vbProcedure="false">Interface!$G$15</definedName>
    <definedName function="false" hidden="false" name="WIF_MktGW_YE_B_D2_2028" vbProcedure="false">Interface!$H$15</definedName>
    <definedName function="false" hidden="false" name="WIF_MktGW_YE_B_D2_2029" vbProcedure="false">Interface!$I$15</definedName>
    <definedName function="false" hidden="false" name="WIF_MktGW_YE_B_D2_2030" vbProcedure="false">Interface!$J$15</definedName>
    <definedName function="false" hidden="false" name="WIF_MktGW_YE_B_D2_2031" vbProcedure="false">Interface!$K$15</definedName>
    <definedName function="false" hidden="false" name="WIF_MktGW_YE_B_D2_2032" vbProcedure="false">Interface!$L$15</definedName>
    <definedName function="false" hidden="false" name="WIF_MktGW_YE_B_D2_SiteOnly_2024" vbProcedure="false">Interface!$D$50</definedName>
    <definedName function="false" hidden="false" name="WIF_MktGW_YE_B_D2_SiteOnly_2025" vbProcedure="false">Interface!$E$50</definedName>
    <definedName function="false" hidden="false" name="WIF_MktGW_YE_B_D2_SiteOnly_2026" vbProcedure="false">Interface!$F$50</definedName>
    <definedName function="false" hidden="false" name="WIF_MktGW_YE_B_D2_SiteOnly_2027" vbProcedure="false">Interface!$G$50</definedName>
    <definedName function="false" hidden="false" name="WIF_MktGW_YE_B_D2_SiteOnly_2028" vbProcedure="false">Interface!$H$50</definedName>
    <definedName function="false" hidden="false" name="WIF_MktGW_YE_B_D2_SiteOnly_2029" vbProcedure="false">Interface!$I$50</definedName>
    <definedName function="false" hidden="false" name="WIF_MktGW_YE_B_D2_SiteOnly_2030" vbProcedure="false">Interface!$J$50</definedName>
    <definedName function="false" hidden="false" name="WIF_MktGW_YE_B_D2_SiteOnly_2031" vbProcedure="false">Interface!$K$50</definedName>
    <definedName function="false" hidden="false" name="WIF_MktGW_YE_B_D2_SiteOnly_2032" vbProcedure="false">Interface!$L$50</definedName>
    <definedName function="false" hidden="false" name="WIF_MktGW_YE_C_D0_2024" vbProcedure="false">Interface!$D$16</definedName>
    <definedName function="false" hidden="false" name="WIF_MktGW_YE_C_D0_2025" vbProcedure="false">Interface!$E$16</definedName>
    <definedName function="false" hidden="false" name="WIF_MktGW_YE_C_D0_2026" vbProcedure="false">Interface!$F$16</definedName>
    <definedName function="false" hidden="false" name="WIF_MktGW_YE_C_D0_2027" vbProcedure="false">Interface!$G$16</definedName>
    <definedName function="false" hidden="false" name="WIF_MktGW_YE_C_D0_2028" vbProcedure="false">Interface!$H$16</definedName>
    <definedName function="false" hidden="false" name="WIF_MktGW_YE_C_D0_2029" vbProcedure="false">Interface!$I$16</definedName>
    <definedName function="false" hidden="false" name="WIF_MktGW_YE_C_D0_2030" vbProcedure="false">Interface!$J$16</definedName>
    <definedName function="false" hidden="false" name="WIF_MktGW_YE_C_D0_2031" vbProcedure="false">Interface!$K$16</definedName>
    <definedName function="false" hidden="false" name="WIF_MktGW_YE_C_D0_2032" vbProcedure="false">Interface!$L$16</definedName>
    <definedName function="false" hidden="false" name="WIF_MktGW_YE_C_D0_SiteOnly_2024" vbProcedure="false">Interface!$D$51</definedName>
    <definedName function="false" hidden="false" name="WIF_MktGW_YE_C_D0_SiteOnly_2025" vbProcedure="false">Interface!$E$51</definedName>
    <definedName function="false" hidden="false" name="WIF_MktGW_YE_C_D0_SiteOnly_2026" vbProcedure="false">Interface!$F$51</definedName>
    <definedName function="false" hidden="false" name="WIF_MktGW_YE_C_D0_SiteOnly_2027" vbProcedure="false">Interface!$G$51</definedName>
    <definedName function="false" hidden="false" name="WIF_MktGW_YE_C_D0_SiteOnly_2028" vbProcedure="false">Interface!$H$51</definedName>
    <definedName function="false" hidden="false" name="WIF_MktGW_YE_C_D0_SiteOnly_2029" vbProcedure="false">Interface!$I$51</definedName>
    <definedName function="false" hidden="false" name="WIF_MktGW_YE_C_D0_SiteOnly_2030" vbProcedure="false">Interface!$J$51</definedName>
    <definedName function="false" hidden="false" name="WIF_MktGW_YE_C_D0_SiteOnly_2031" vbProcedure="false">Interface!$K$51</definedName>
    <definedName function="false" hidden="false" name="WIF_MktGW_YE_C_D0_SiteOnly_2032" vbProcedure="false">Interface!$L$51</definedName>
    <definedName function="false" hidden="false" name="WIF_MktGW_YE_C_D1_2024" vbProcedure="false">Interface!$D$17</definedName>
    <definedName function="false" hidden="false" name="WIF_MktGW_YE_C_D1_2025" vbProcedure="false">Interface!$E$17</definedName>
    <definedName function="false" hidden="false" name="WIF_MktGW_YE_C_D1_2026" vbProcedure="false">Interface!$F$17</definedName>
    <definedName function="false" hidden="false" name="WIF_MktGW_YE_C_D1_2027" vbProcedure="false">Interface!$G$17</definedName>
    <definedName function="false" hidden="false" name="WIF_MktGW_YE_C_D1_2028" vbProcedure="false">Interface!$H$17</definedName>
    <definedName function="false" hidden="false" name="WIF_MktGW_YE_C_D1_2029" vbProcedure="false">Interface!$I$17</definedName>
    <definedName function="false" hidden="false" name="WIF_MktGW_YE_C_D1_2030" vbProcedure="false">Interface!$J$17</definedName>
    <definedName function="false" hidden="false" name="WIF_MktGW_YE_C_D1_2031" vbProcedure="false">Interface!$K$17</definedName>
    <definedName function="false" hidden="false" name="WIF_MktGW_YE_C_D1_2032" vbProcedure="false">Interface!$L$17</definedName>
    <definedName function="false" hidden="false" name="WIF_MktGW_YE_C_D1_SiteOnly_2024" vbProcedure="false">Interface!$D$52</definedName>
    <definedName function="false" hidden="false" name="WIF_MktGW_YE_C_D1_SiteOnly_2025" vbProcedure="false">Interface!$E$52</definedName>
    <definedName function="false" hidden="false" name="WIF_MktGW_YE_C_D1_SiteOnly_2026" vbProcedure="false">Interface!$F$52</definedName>
    <definedName function="false" hidden="false" name="WIF_MktGW_YE_C_D1_SiteOnly_2027" vbProcedure="false">Interface!$G$52</definedName>
    <definedName function="false" hidden="false" name="WIF_MktGW_YE_C_D1_SiteOnly_2028" vbProcedure="false">Interface!$H$52</definedName>
    <definedName function="false" hidden="false" name="WIF_MktGW_YE_C_D1_SiteOnly_2029" vbProcedure="false">Interface!$I$52</definedName>
    <definedName function="false" hidden="false" name="WIF_MktGW_YE_C_D1_SiteOnly_2030" vbProcedure="false">Interface!$J$52</definedName>
    <definedName function="false" hidden="false" name="WIF_MktGW_YE_C_D1_SiteOnly_2031" vbProcedure="false">Interface!$K$52</definedName>
    <definedName function="false" hidden="false" name="WIF_MktGW_YE_C_D1_SiteOnly_2032" vbProcedure="false">Interface!$L$52</definedName>
    <definedName function="false" hidden="false" name="WIF_MktGW_YE_C_D2_2024" vbProcedure="false">Interface!$D$18</definedName>
    <definedName function="false" hidden="false" name="WIF_MktGW_YE_C_D2_2025" vbProcedure="false">Interface!$E$18</definedName>
    <definedName function="false" hidden="false" name="WIF_MktGW_YE_C_D2_2026" vbProcedure="false">Interface!$F$18</definedName>
    <definedName function="false" hidden="false" name="WIF_MktGW_YE_C_D2_2027" vbProcedure="false">Interface!$G$18</definedName>
    <definedName function="false" hidden="false" name="WIF_MktGW_YE_C_D2_2028" vbProcedure="false">Interface!$H$18</definedName>
    <definedName function="false" hidden="false" name="WIF_MktGW_YE_C_D2_2029" vbProcedure="false">Interface!$I$18</definedName>
    <definedName function="false" hidden="false" name="WIF_MktGW_YE_C_D2_2030" vbProcedure="false">Interface!$J$18</definedName>
    <definedName function="false" hidden="false" name="WIF_MktGW_YE_C_D2_2031" vbProcedure="false">Interface!$K$18</definedName>
    <definedName function="false" hidden="false" name="WIF_MktGW_YE_C_D2_2032" vbProcedure="false">Interface!$L$18</definedName>
    <definedName function="false" hidden="false" name="WIF_MktGW_YE_C_D2_SiteOnly_2024" vbProcedure="false">Interface!$D$53</definedName>
    <definedName function="false" hidden="false" name="WIF_MktGW_YE_C_D2_SiteOnly_2025" vbProcedure="false">Interface!$E$53</definedName>
    <definedName function="false" hidden="false" name="WIF_MktGW_YE_C_D2_SiteOnly_2026" vbProcedure="false">Interface!$F$53</definedName>
    <definedName function="false" hidden="false" name="WIF_MktGW_YE_C_D2_SiteOnly_2027" vbProcedure="false">Interface!$G$53</definedName>
    <definedName function="false" hidden="false" name="WIF_MktGW_YE_C_D2_SiteOnly_2028" vbProcedure="false">Interface!$H$53</definedName>
    <definedName function="false" hidden="false" name="WIF_MktGW_YE_C_D2_SiteOnly_2029" vbProcedure="false">Interface!$I$53</definedName>
    <definedName function="false" hidden="false" name="WIF_MktGW_YE_C_D2_SiteOnly_2030" vbProcedure="false">Interface!$J$53</definedName>
    <definedName function="false" hidden="false" name="WIF_MktGW_YE_C_D2_SiteOnly_2031" vbProcedure="false">Interface!$K$53</definedName>
    <definedName function="false" hidden="false" name="WIF_MktGW_YE_C_D2_SiteOnly_2032" vbProcedure="false">Interface!$L$53</definedName>
    <definedName function="false" hidden="false" name="WIF_PlayerGW_YE_amzn_2024" vbProcedure="false">Interface!$D$82</definedName>
    <definedName function="false" hidden="false" name="WIF_PlayerGW_YE_amzn_2025" vbProcedure="false">Interface!$E$82</definedName>
    <definedName function="false" hidden="false" name="WIF_PlayerGW_YE_amzn_2026" vbProcedure="false">Interface!$F$82</definedName>
    <definedName function="false" hidden="false" name="WIF_PlayerGW_YE_amzn_2027" vbProcedure="false">Interface!$G$82</definedName>
    <definedName function="false" hidden="false" name="WIF_PlayerGW_YE_amzn_2028" vbProcedure="false">Interface!$H$82</definedName>
    <definedName function="false" hidden="false" name="WIF_PlayerGW_YE_amzn_2029" vbProcedure="false">Interface!$I$82</definedName>
    <definedName function="false" hidden="false" name="WIF_PlayerGW_YE_amzn_2030" vbProcedure="false">Interface!$J$82</definedName>
    <definedName function="false" hidden="false" name="WIF_PlayerGW_YE_amzn_2031" vbProcedure="false">Interface!$K$82</definedName>
    <definedName function="false" hidden="false" name="WIF_PlayerGW_YE_amzn_2032" vbProcedure="false">Interface!$L$82</definedName>
    <definedName function="false" hidden="false" name="WIF_PlayerGW_YE_amzn_SiteOnly_2024" vbProcedure="false">Interface!$D$98</definedName>
    <definedName function="false" hidden="false" name="WIF_PlayerGW_YE_amzn_SiteOnly_2025" vbProcedure="false">Interface!$E$98</definedName>
    <definedName function="false" hidden="false" name="WIF_PlayerGW_YE_amzn_SiteOnly_2026" vbProcedure="false">Interface!$F$98</definedName>
    <definedName function="false" hidden="false" name="WIF_PlayerGW_YE_amzn_SiteOnly_2027" vbProcedure="false">Interface!$G$98</definedName>
    <definedName function="false" hidden="false" name="WIF_PlayerGW_YE_amzn_SiteOnly_2028" vbProcedure="false">Interface!$H$98</definedName>
    <definedName function="false" hidden="false" name="WIF_PlayerGW_YE_amzn_SiteOnly_2029" vbProcedure="false">Interface!$I$98</definedName>
    <definedName function="false" hidden="false" name="WIF_PlayerGW_YE_amzn_SiteOnly_2030" vbProcedure="false">Interface!$J$98</definedName>
    <definedName function="false" hidden="false" name="WIF_PlayerGW_YE_amzn_SiteOnly_2031" vbProcedure="false">Interface!$K$98</definedName>
    <definedName function="false" hidden="false" name="WIF_PlayerGW_YE_amzn_SiteOnly_2032" vbProcedure="false">Interface!$L$98</definedName>
    <definedName function="false" hidden="false" name="WIF_PlayerGW_YE_ant_2024" vbProcedure="false">Interface!$D$90</definedName>
    <definedName function="false" hidden="false" name="WIF_PlayerGW_YE_ant_2025" vbProcedure="false">Interface!$E$90</definedName>
    <definedName function="false" hidden="false" name="WIF_PlayerGW_YE_ant_2026" vbProcedure="false">Interface!$F$90</definedName>
    <definedName function="false" hidden="false" name="WIF_PlayerGW_YE_ant_2027" vbProcedure="false">Interface!$G$90</definedName>
    <definedName function="false" hidden="false" name="WIF_PlayerGW_YE_ant_2028" vbProcedure="false">Interface!$H$90</definedName>
    <definedName function="false" hidden="false" name="WIF_PlayerGW_YE_ant_2029" vbProcedure="false">Interface!$I$90</definedName>
    <definedName function="false" hidden="false" name="WIF_PlayerGW_YE_ant_2030" vbProcedure="false">Interface!$J$90</definedName>
    <definedName function="false" hidden="false" name="WIF_PlayerGW_YE_ant_2031" vbProcedure="false">Interface!$K$90</definedName>
    <definedName function="false" hidden="false" name="WIF_PlayerGW_YE_ant_2032" vbProcedure="false">Interface!$L$90</definedName>
    <definedName function="false" hidden="false" name="WIF_PlayerGW_YE_ant_SiteOnly_2024" vbProcedure="false">Interface!$D$106</definedName>
    <definedName function="false" hidden="false" name="WIF_PlayerGW_YE_ant_SiteOnly_2025" vbProcedure="false">Interface!$E$106</definedName>
    <definedName function="false" hidden="false" name="WIF_PlayerGW_YE_ant_SiteOnly_2026" vbProcedure="false">Interface!$F$106</definedName>
    <definedName function="false" hidden="false" name="WIF_PlayerGW_YE_ant_SiteOnly_2027" vbProcedure="false">Interface!$G$106</definedName>
    <definedName function="false" hidden="false" name="WIF_PlayerGW_YE_ant_SiteOnly_2028" vbProcedure="false">Interface!$H$106</definedName>
    <definedName function="false" hidden="false" name="WIF_PlayerGW_YE_ant_SiteOnly_2029" vbProcedure="false">Interface!$I$106</definedName>
    <definedName function="false" hidden="false" name="WIF_PlayerGW_YE_ant_SiteOnly_2030" vbProcedure="false">Interface!$J$106</definedName>
    <definedName function="false" hidden="false" name="WIF_PlayerGW_YE_ant_SiteOnly_2031" vbProcedure="false">Interface!$K$106</definedName>
    <definedName function="false" hidden="false" name="WIF_PlayerGW_YE_ant_SiteOnly_2032" vbProcedure="false">Interface!$L$106</definedName>
    <definedName function="false" hidden="false" name="WIF_PlayerGW_YE_cn_2024" vbProcedure="false">Interface!$D$93</definedName>
    <definedName function="false" hidden="false" name="WIF_PlayerGW_YE_cn_2025" vbProcedure="false">Interface!$E$93</definedName>
    <definedName function="false" hidden="false" name="WIF_PlayerGW_YE_cn_2026" vbProcedure="false">Interface!$F$93</definedName>
    <definedName function="false" hidden="false" name="WIF_PlayerGW_YE_cn_2027" vbProcedure="false">Interface!$G$93</definedName>
    <definedName function="false" hidden="false" name="WIF_PlayerGW_YE_cn_2028" vbProcedure="false">Interface!$H$93</definedName>
    <definedName function="false" hidden="false" name="WIF_PlayerGW_YE_cn_2029" vbProcedure="false">Interface!$I$93</definedName>
    <definedName function="false" hidden="false" name="WIF_PlayerGW_YE_cn_2030" vbProcedure="false">Interface!$J$93</definedName>
    <definedName function="false" hidden="false" name="WIF_PlayerGW_YE_cn_2031" vbProcedure="false">Interface!$K$93</definedName>
    <definedName function="false" hidden="false" name="WIF_PlayerGW_YE_cn_2032" vbProcedure="false">Interface!$L$93</definedName>
    <definedName function="false" hidden="false" name="WIF_PlayerGW_YE_cn_SiteOnly_2024" vbProcedure="false">Interface!$D$109</definedName>
    <definedName function="false" hidden="false" name="WIF_PlayerGW_YE_cn_SiteOnly_2025" vbProcedure="false">Interface!$E$109</definedName>
    <definedName function="false" hidden="false" name="WIF_PlayerGW_YE_cn_SiteOnly_2026" vbProcedure="false">Interface!$F$109</definedName>
    <definedName function="false" hidden="false" name="WIF_PlayerGW_YE_cn_SiteOnly_2027" vbProcedure="false">Interface!$G$109</definedName>
    <definedName function="false" hidden="false" name="WIF_PlayerGW_YE_cn_SiteOnly_2028" vbProcedure="false">Interface!$H$109</definedName>
    <definedName function="false" hidden="false" name="WIF_PlayerGW_YE_cn_SiteOnly_2029" vbProcedure="false">Interface!$I$109</definedName>
    <definedName function="false" hidden="false" name="WIF_PlayerGW_YE_cn_SiteOnly_2030" vbProcedure="false">Interface!$J$109</definedName>
    <definedName function="false" hidden="false" name="WIF_PlayerGW_YE_cn_SiteOnly_2031" vbProcedure="false">Interface!$K$109</definedName>
    <definedName function="false" hidden="false" name="WIF_PlayerGW_YE_cn_SiteOnly_2032" vbProcedure="false">Interface!$L$109</definedName>
    <definedName function="false" hidden="false" name="WIF_PlayerGW_YE_crwv_2024" vbProcedure="false">Interface!$D$85</definedName>
    <definedName function="false" hidden="false" name="WIF_PlayerGW_YE_crwv_2025" vbProcedure="false">Interface!$E$85</definedName>
    <definedName function="false" hidden="false" name="WIF_PlayerGW_YE_crwv_2026" vbProcedure="false">Interface!$F$85</definedName>
    <definedName function="false" hidden="false" name="WIF_PlayerGW_YE_crwv_2027" vbProcedure="false">Interface!$G$85</definedName>
    <definedName function="false" hidden="false" name="WIF_PlayerGW_YE_crwv_2028" vbProcedure="false">Interface!$H$85</definedName>
    <definedName function="false" hidden="false" name="WIF_PlayerGW_YE_crwv_2029" vbProcedure="false">Interface!$I$85</definedName>
    <definedName function="false" hidden="false" name="WIF_PlayerGW_YE_crwv_2030" vbProcedure="false">Interface!$J$85</definedName>
    <definedName function="false" hidden="false" name="WIF_PlayerGW_YE_crwv_2031" vbProcedure="false">Interface!$K$85</definedName>
    <definedName function="false" hidden="false" name="WIF_PlayerGW_YE_crwv_2032" vbProcedure="false">Interface!$L$85</definedName>
    <definedName function="false" hidden="false" name="WIF_PlayerGW_YE_crwv_SiteOnly_2024" vbProcedure="false">Interface!$D$101</definedName>
    <definedName function="false" hidden="false" name="WIF_PlayerGW_YE_crwv_SiteOnly_2025" vbProcedure="false">Interface!$E$101</definedName>
    <definedName function="false" hidden="false" name="WIF_PlayerGW_YE_crwv_SiteOnly_2026" vbProcedure="false">Interface!$F$101</definedName>
    <definedName function="false" hidden="false" name="WIF_PlayerGW_YE_crwv_SiteOnly_2027" vbProcedure="false">Interface!$G$101</definedName>
    <definedName function="false" hidden="false" name="WIF_PlayerGW_YE_crwv_SiteOnly_2028" vbProcedure="false">Interface!$H$101</definedName>
    <definedName function="false" hidden="false" name="WIF_PlayerGW_YE_crwv_SiteOnly_2029" vbProcedure="false">Interface!$I$101</definedName>
    <definedName function="false" hidden="false" name="WIF_PlayerGW_YE_crwv_SiteOnly_2030" vbProcedure="false">Interface!$J$101</definedName>
    <definedName function="false" hidden="false" name="WIF_PlayerGW_YE_crwv_SiteOnly_2031" vbProcedure="false">Interface!$K$101</definedName>
    <definedName function="false" hidden="false" name="WIF_PlayerGW_YE_crwv_SiteOnly_2032" vbProcedure="false">Interface!$L$101</definedName>
    <definedName function="false" hidden="false" name="WIF_PlayerGW_YE_googl_2024" vbProcedure="false">Interface!$D$81</definedName>
    <definedName function="false" hidden="false" name="WIF_PlayerGW_YE_googl_2025" vbProcedure="false">Interface!$E$81</definedName>
    <definedName function="false" hidden="false" name="WIF_PlayerGW_YE_googl_2026" vbProcedure="false">Interface!$F$81</definedName>
    <definedName function="false" hidden="false" name="WIF_PlayerGW_YE_googl_2027" vbProcedure="false">Interface!$G$81</definedName>
    <definedName function="false" hidden="false" name="WIF_PlayerGW_YE_googl_2028" vbProcedure="false">Interface!$H$81</definedName>
    <definedName function="false" hidden="false" name="WIF_PlayerGW_YE_googl_2029" vbProcedure="false">Interface!$I$81</definedName>
    <definedName function="false" hidden="false" name="WIF_PlayerGW_YE_googl_2030" vbProcedure="false">Interface!$J$81</definedName>
    <definedName function="false" hidden="false" name="WIF_PlayerGW_YE_googl_2031" vbProcedure="false">Interface!$K$81</definedName>
    <definedName function="false" hidden="false" name="WIF_PlayerGW_YE_googl_2032" vbProcedure="false">Interface!$L$81</definedName>
    <definedName function="false" hidden="false" name="WIF_PlayerGW_YE_googl_SiteOnly_2024" vbProcedure="false">Interface!$D$97</definedName>
    <definedName function="false" hidden="false" name="WIF_PlayerGW_YE_googl_SiteOnly_2025" vbProcedure="false">Interface!$E$97</definedName>
    <definedName function="false" hidden="false" name="WIF_PlayerGW_YE_googl_SiteOnly_2026" vbProcedure="false">Interface!$F$97</definedName>
    <definedName function="false" hidden="false" name="WIF_PlayerGW_YE_googl_SiteOnly_2027" vbProcedure="false">Interface!$G$97</definedName>
    <definedName function="false" hidden="false" name="WIF_PlayerGW_YE_googl_SiteOnly_2028" vbProcedure="false">Interface!$H$97</definedName>
    <definedName function="false" hidden="false" name="WIF_PlayerGW_YE_googl_SiteOnly_2029" vbProcedure="false">Interface!$I$97</definedName>
    <definedName function="false" hidden="false" name="WIF_PlayerGW_YE_googl_SiteOnly_2030" vbProcedure="false">Interface!$J$97</definedName>
    <definedName function="false" hidden="false" name="WIF_PlayerGW_YE_googl_SiteOnly_2031" vbProcedure="false">Interface!$K$97</definedName>
    <definedName function="false" hidden="false" name="WIF_PlayerGW_YE_googl_SiteOnly_2032" vbProcedure="false">Interface!$L$97</definedName>
    <definedName function="false" hidden="false" name="WIF_PlayerGW_YE_meta_2024" vbProcedure="false">Interface!$D$83</definedName>
    <definedName function="false" hidden="false" name="WIF_PlayerGW_YE_meta_2025" vbProcedure="false">Interface!$E$83</definedName>
    <definedName function="false" hidden="false" name="WIF_PlayerGW_YE_meta_2026" vbProcedure="false">Interface!$F$83</definedName>
    <definedName function="false" hidden="false" name="WIF_PlayerGW_YE_meta_2027" vbProcedure="false">Interface!$G$83</definedName>
    <definedName function="false" hidden="false" name="WIF_PlayerGW_YE_meta_2028" vbProcedure="false">Interface!$H$83</definedName>
    <definedName function="false" hidden="false" name="WIF_PlayerGW_YE_meta_2029" vbProcedure="false">Interface!$I$83</definedName>
    <definedName function="false" hidden="false" name="WIF_PlayerGW_YE_meta_2030" vbProcedure="false">Interface!$J$83</definedName>
    <definedName function="false" hidden="false" name="WIF_PlayerGW_YE_meta_2031" vbProcedure="false">Interface!$K$83</definedName>
    <definedName function="false" hidden="false" name="WIF_PlayerGW_YE_meta_2032" vbProcedure="false">Interface!$L$83</definedName>
    <definedName function="false" hidden="false" name="WIF_PlayerGW_YE_meta_SiteOnly_2024" vbProcedure="false">Interface!$D$99</definedName>
    <definedName function="false" hidden="false" name="WIF_PlayerGW_YE_meta_SiteOnly_2025" vbProcedure="false">Interface!$E$99</definedName>
    <definedName function="false" hidden="false" name="WIF_PlayerGW_YE_meta_SiteOnly_2026" vbProcedure="false">Interface!$F$99</definedName>
    <definedName function="false" hidden="false" name="WIF_PlayerGW_YE_meta_SiteOnly_2027" vbProcedure="false">Interface!$G$99</definedName>
    <definedName function="false" hidden="false" name="WIF_PlayerGW_YE_meta_SiteOnly_2028" vbProcedure="false">Interface!$H$99</definedName>
    <definedName function="false" hidden="false" name="WIF_PlayerGW_YE_meta_SiteOnly_2029" vbProcedure="false">Interface!$I$99</definedName>
    <definedName function="false" hidden="false" name="WIF_PlayerGW_YE_meta_SiteOnly_2030" vbProcedure="false">Interface!$J$99</definedName>
    <definedName function="false" hidden="false" name="WIF_PlayerGW_YE_meta_SiteOnly_2031" vbProcedure="false">Interface!$K$99</definedName>
    <definedName function="false" hidden="false" name="WIF_PlayerGW_YE_meta_SiteOnly_2032" vbProcedure="false">Interface!$L$99</definedName>
    <definedName function="false" hidden="false" name="WIF_PlayerGW_YE_msft_2024" vbProcedure="false">Interface!$D$80</definedName>
    <definedName function="false" hidden="false" name="WIF_PlayerGW_YE_msft_2025" vbProcedure="false">Interface!$E$80</definedName>
    <definedName function="false" hidden="false" name="WIF_PlayerGW_YE_msft_2026" vbProcedure="false">Interface!$F$80</definedName>
    <definedName function="false" hidden="false" name="WIF_PlayerGW_YE_msft_2027" vbProcedure="false">Interface!$G$80</definedName>
    <definedName function="false" hidden="false" name="WIF_PlayerGW_YE_msft_2028" vbProcedure="false">Interface!$H$80</definedName>
    <definedName function="false" hidden="false" name="WIF_PlayerGW_YE_msft_2029" vbProcedure="false">Interface!$I$80</definedName>
    <definedName function="false" hidden="false" name="WIF_PlayerGW_YE_msft_2030" vbProcedure="false">Interface!$J$80</definedName>
    <definedName function="false" hidden="false" name="WIF_PlayerGW_YE_msft_2031" vbProcedure="false">Interface!$K$80</definedName>
    <definedName function="false" hidden="false" name="WIF_PlayerGW_YE_msft_2032" vbProcedure="false">Interface!$L$80</definedName>
    <definedName function="false" hidden="false" name="WIF_PlayerGW_YE_msft_SiteOnly_2024" vbProcedure="false">Interface!$D$96</definedName>
    <definedName function="false" hidden="false" name="WIF_PlayerGW_YE_msft_SiteOnly_2025" vbProcedure="false">Interface!$E$96</definedName>
    <definedName function="false" hidden="false" name="WIF_PlayerGW_YE_msft_SiteOnly_2026" vbProcedure="false">Interface!$F$96</definedName>
    <definedName function="false" hidden="false" name="WIF_PlayerGW_YE_msft_SiteOnly_2027" vbProcedure="false">Interface!$G$96</definedName>
    <definedName function="false" hidden="false" name="WIF_PlayerGW_YE_msft_SiteOnly_2028" vbProcedure="false">Interface!$H$96</definedName>
    <definedName function="false" hidden="false" name="WIF_PlayerGW_YE_msft_SiteOnly_2029" vbProcedure="false">Interface!$I$96</definedName>
    <definedName function="false" hidden="false" name="WIF_PlayerGW_YE_msft_SiteOnly_2030" vbProcedure="false">Interface!$J$96</definedName>
    <definedName function="false" hidden="false" name="WIF_PlayerGW_YE_msft_SiteOnly_2031" vbProcedure="false">Interface!$K$96</definedName>
    <definedName function="false" hidden="false" name="WIF_PlayerGW_YE_msft_SiteOnly_2032" vbProcedure="false">Interface!$L$96</definedName>
    <definedName function="false" hidden="false" name="WIF_PlayerGW_YE_nbis_2024" vbProcedure="false">Interface!$D$86</definedName>
    <definedName function="false" hidden="false" name="WIF_PlayerGW_YE_nbis_2025" vbProcedure="false">Interface!$E$86</definedName>
    <definedName function="false" hidden="false" name="WIF_PlayerGW_YE_nbis_2026" vbProcedure="false">Interface!$F$86</definedName>
    <definedName function="false" hidden="false" name="WIF_PlayerGW_YE_nbis_2027" vbProcedure="false">Interface!$G$86</definedName>
    <definedName function="false" hidden="false" name="WIF_PlayerGW_YE_nbis_2028" vbProcedure="false">Interface!$H$86</definedName>
    <definedName function="false" hidden="false" name="WIF_PlayerGW_YE_nbis_2029" vbProcedure="false">Interface!$I$86</definedName>
    <definedName function="false" hidden="false" name="WIF_PlayerGW_YE_nbis_2030" vbProcedure="false">Interface!$J$86</definedName>
    <definedName function="false" hidden="false" name="WIF_PlayerGW_YE_nbis_2031" vbProcedure="false">Interface!$K$86</definedName>
    <definedName function="false" hidden="false" name="WIF_PlayerGW_YE_nbis_2032" vbProcedure="false">Interface!$L$86</definedName>
    <definedName function="false" hidden="false" name="WIF_PlayerGW_YE_nbis_SiteOnly_2024" vbProcedure="false">Interface!$D$102</definedName>
    <definedName function="false" hidden="false" name="WIF_PlayerGW_YE_nbis_SiteOnly_2025" vbProcedure="false">Interface!$E$102</definedName>
    <definedName function="false" hidden="false" name="WIF_PlayerGW_YE_nbis_SiteOnly_2026" vbProcedure="false">Interface!$F$102</definedName>
    <definedName function="false" hidden="false" name="WIF_PlayerGW_YE_nbis_SiteOnly_2027" vbProcedure="false">Interface!$G$102</definedName>
    <definedName function="false" hidden="false" name="WIF_PlayerGW_YE_nbis_SiteOnly_2028" vbProcedure="false">Interface!$H$102</definedName>
    <definedName function="false" hidden="false" name="WIF_PlayerGW_YE_nbis_SiteOnly_2029" vbProcedure="false">Interface!$I$102</definedName>
    <definedName function="false" hidden="false" name="WIF_PlayerGW_YE_nbis_SiteOnly_2030" vbProcedure="false">Interface!$J$102</definedName>
    <definedName function="false" hidden="false" name="WIF_PlayerGW_YE_nbis_SiteOnly_2031" vbProcedure="false">Interface!$K$102</definedName>
    <definedName function="false" hidden="false" name="WIF_PlayerGW_YE_nbis_SiteOnly_2032" vbProcedure="false">Interface!$L$102</definedName>
    <definedName function="false" hidden="false" name="WIF_PlayerGW_YE_neo_2024" vbProcedure="false">Interface!$D$91</definedName>
    <definedName function="false" hidden="false" name="WIF_PlayerGW_YE_neo_2025" vbProcedure="false">Interface!$E$91</definedName>
    <definedName function="false" hidden="false" name="WIF_PlayerGW_YE_neo_2026" vbProcedure="false">Interface!$F$91</definedName>
    <definedName function="false" hidden="false" name="WIF_PlayerGW_YE_neo_2027" vbProcedure="false">Interface!$G$91</definedName>
    <definedName function="false" hidden="false" name="WIF_PlayerGW_YE_neo_2028" vbProcedure="false">Interface!$H$91</definedName>
    <definedName function="false" hidden="false" name="WIF_PlayerGW_YE_neo_2029" vbProcedure="false">Interface!$I$91</definedName>
    <definedName function="false" hidden="false" name="WIF_PlayerGW_YE_neo_2030" vbProcedure="false">Interface!$J$91</definedName>
    <definedName function="false" hidden="false" name="WIF_PlayerGW_YE_neo_2031" vbProcedure="false">Interface!$K$91</definedName>
    <definedName function="false" hidden="false" name="WIF_PlayerGW_YE_neo_2032" vbProcedure="false">Interface!$L$91</definedName>
    <definedName function="false" hidden="false" name="WIF_PlayerGW_YE_neo_SiteOnly_2024" vbProcedure="false">Interface!$D$107</definedName>
    <definedName function="false" hidden="false" name="WIF_PlayerGW_YE_neo_SiteOnly_2025" vbProcedure="false">Interface!$E$107</definedName>
    <definedName function="false" hidden="false" name="WIF_PlayerGW_YE_neo_SiteOnly_2026" vbProcedure="false">Interface!$F$107</definedName>
    <definedName function="false" hidden="false" name="WIF_PlayerGW_YE_neo_SiteOnly_2027" vbProcedure="false">Interface!$G$107</definedName>
    <definedName function="false" hidden="false" name="WIF_PlayerGW_YE_neo_SiteOnly_2028" vbProcedure="false">Interface!$H$107</definedName>
    <definedName function="false" hidden="false" name="WIF_PlayerGW_YE_neo_SiteOnly_2029" vbProcedure="false">Interface!$I$107</definedName>
    <definedName function="false" hidden="false" name="WIF_PlayerGW_YE_neo_SiteOnly_2030" vbProcedure="false">Interface!$J$107</definedName>
    <definedName function="false" hidden="false" name="WIF_PlayerGW_YE_neo_SiteOnly_2031" vbProcedure="false">Interface!$K$107</definedName>
    <definedName function="false" hidden="false" name="WIF_PlayerGW_YE_neo_SiteOnly_2032" vbProcedure="false">Interface!$L$107</definedName>
    <definedName function="false" hidden="false" name="WIF_PlayerGW_YE_oai_2024" vbProcedure="false">Interface!$D$89</definedName>
    <definedName function="false" hidden="false" name="WIF_PlayerGW_YE_oai_2025" vbProcedure="false">Interface!$E$89</definedName>
    <definedName function="false" hidden="false" name="WIF_PlayerGW_YE_oai_2026" vbProcedure="false">Interface!$F$89</definedName>
    <definedName function="false" hidden="false" name="WIF_PlayerGW_YE_oai_2027" vbProcedure="false">Interface!$G$89</definedName>
    <definedName function="false" hidden="false" name="WIF_PlayerGW_YE_oai_2028" vbProcedure="false">Interface!$H$89</definedName>
    <definedName function="false" hidden="false" name="WIF_PlayerGW_YE_oai_2029" vbProcedure="false">Interface!$I$89</definedName>
    <definedName function="false" hidden="false" name="WIF_PlayerGW_YE_oai_2030" vbProcedure="false">Interface!$J$89</definedName>
    <definedName function="false" hidden="false" name="WIF_PlayerGW_YE_oai_2031" vbProcedure="false">Interface!$K$89</definedName>
    <definedName function="false" hidden="false" name="WIF_PlayerGW_YE_oai_2032" vbProcedure="false">Interface!$L$89</definedName>
    <definedName function="false" hidden="false" name="WIF_PlayerGW_YE_oai_SiteOnly_2024" vbProcedure="false">Interface!$D$105</definedName>
    <definedName function="false" hidden="false" name="WIF_PlayerGW_YE_oai_SiteOnly_2025" vbProcedure="false">Interface!$E$105</definedName>
    <definedName function="false" hidden="false" name="WIF_PlayerGW_YE_oai_SiteOnly_2026" vbProcedure="false">Interface!$F$105</definedName>
    <definedName function="false" hidden="false" name="WIF_PlayerGW_YE_oai_SiteOnly_2027" vbProcedure="false">Interface!$G$105</definedName>
    <definedName function="false" hidden="false" name="WIF_PlayerGW_YE_oai_SiteOnly_2028" vbProcedure="false">Interface!$H$105</definedName>
    <definedName function="false" hidden="false" name="WIF_PlayerGW_YE_oai_SiteOnly_2029" vbProcedure="false">Interface!$I$105</definedName>
    <definedName function="false" hidden="false" name="WIF_PlayerGW_YE_oai_SiteOnly_2030" vbProcedure="false">Interface!$J$105</definedName>
    <definedName function="false" hidden="false" name="WIF_PlayerGW_YE_oai_SiteOnly_2031" vbProcedure="false">Interface!$K$105</definedName>
    <definedName function="false" hidden="false" name="WIF_PlayerGW_YE_oai_SiteOnly_2032" vbProcedure="false">Interface!$L$105</definedName>
    <definedName function="false" hidden="false" name="WIF_PlayerGW_YE_orcl_2024" vbProcedure="false">Interface!$D$84</definedName>
    <definedName function="false" hidden="false" name="WIF_PlayerGW_YE_orcl_2025" vbProcedure="false">Interface!$E$84</definedName>
    <definedName function="false" hidden="false" name="WIF_PlayerGW_YE_orcl_2026" vbProcedure="false">Interface!$F$84</definedName>
    <definedName function="false" hidden="false" name="WIF_PlayerGW_YE_orcl_2027" vbProcedure="false">Interface!$G$84</definedName>
    <definedName function="false" hidden="false" name="WIF_PlayerGW_YE_orcl_2028" vbProcedure="false">Interface!$H$84</definedName>
    <definedName function="false" hidden="false" name="WIF_PlayerGW_YE_orcl_2029" vbProcedure="false">Interface!$I$84</definedName>
    <definedName function="false" hidden="false" name="WIF_PlayerGW_YE_orcl_2030" vbProcedure="false">Interface!$J$84</definedName>
    <definedName function="false" hidden="false" name="WIF_PlayerGW_YE_orcl_2031" vbProcedure="false">Interface!$K$84</definedName>
    <definedName function="false" hidden="false" name="WIF_PlayerGW_YE_orcl_2032" vbProcedure="false">Interface!$L$84</definedName>
    <definedName function="false" hidden="false" name="WIF_PlayerGW_YE_orcl_SiteOnly_2024" vbProcedure="false">Interface!$D$100</definedName>
    <definedName function="false" hidden="false" name="WIF_PlayerGW_YE_orcl_SiteOnly_2025" vbProcedure="false">Interface!$E$100</definedName>
    <definedName function="false" hidden="false" name="WIF_PlayerGW_YE_orcl_SiteOnly_2026" vbProcedure="false">Interface!$F$100</definedName>
    <definedName function="false" hidden="false" name="WIF_PlayerGW_YE_orcl_SiteOnly_2027" vbProcedure="false">Interface!$G$100</definedName>
    <definedName function="false" hidden="false" name="WIF_PlayerGW_YE_orcl_SiteOnly_2028" vbProcedure="false">Interface!$H$100</definedName>
    <definedName function="false" hidden="false" name="WIF_PlayerGW_YE_orcl_SiteOnly_2029" vbProcedure="false">Interface!$I$100</definedName>
    <definedName function="false" hidden="false" name="WIF_PlayerGW_YE_orcl_SiteOnly_2030" vbProcedure="false">Interface!$J$100</definedName>
    <definedName function="false" hidden="false" name="WIF_PlayerGW_YE_orcl_SiteOnly_2031" vbProcedure="false">Interface!$K$100</definedName>
    <definedName function="false" hidden="false" name="WIF_PlayerGW_YE_orcl_SiteOnly_2032" vbProcedure="false">Interface!$L$100</definedName>
    <definedName function="false" hidden="false" name="WIF_PlayerGW_YE_oth_2024" vbProcedure="false">Interface!$D$94</definedName>
    <definedName function="false" hidden="false" name="WIF_PlayerGW_YE_oth_2025" vbProcedure="false">Interface!$E$94</definedName>
    <definedName function="false" hidden="false" name="WIF_PlayerGW_YE_oth_2026" vbProcedure="false">Interface!$F$94</definedName>
    <definedName function="false" hidden="false" name="WIF_PlayerGW_YE_oth_2027" vbProcedure="false">Interface!$G$94</definedName>
    <definedName function="false" hidden="false" name="WIF_PlayerGW_YE_oth_2028" vbProcedure="false">Interface!$H$94</definedName>
    <definedName function="false" hidden="false" name="WIF_PlayerGW_YE_oth_2029" vbProcedure="false">Interface!$I$94</definedName>
    <definedName function="false" hidden="false" name="WIF_PlayerGW_YE_oth_2030" vbProcedure="false">Interface!$J$94</definedName>
    <definedName function="false" hidden="false" name="WIF_PlayerGW_YE_oth_2031" vbProcedure="false">Interface!$K$94</definedName>
    <definedName function="false" hidden="false" name="WIF_PlayerGW_YE_oth_2032" vbProcedure="false">Interface!$L$94</definedName>
    <definedName function="false" hidden="false" name="WIF_PlayerGW_YE_oth_SiteOnly_2024" vbProcedure="false">Interface!$D$110</definedName>
    <definedName function="false" hidden="false" name="WIF_PlayerGW_YE_oth_SiteOnly_2025" vbProcedure="false">Interface!$E$110</definedName>
    <definedName function="false" hidden="false" name="WIF_PlayerGW_YE_oth_SiteOnly_2026" vbProcedure="false">Interface!$F$110</definedName>
    <definedName function="false" hidden="false" name="WIF_PlayerGW_YE_oth_SiteOnly_2027" vbProcedure="false">Interface!$G$110</definedName>
    <definedName function="false" hidden="false" name="WIF_PlayerGW_YE_oth_SiteOnly_2028" vbProcedure="false">Interface!$H$110</definedName>
    <definedName function="false" hidden="false" name="WIF_PlayerGW_YE_oth_SiteOnly_2029" vbProcedure="false">Interface!$I$110</definedName>
    <definedName function="false" hidden="false" name="WIF_PlayerGW_YE_oth_SiteOnly_2030" vbProcedure="false">Interface!$J$110</definedName>
    <definedName function="false" hidden="false" name="WIF_PlayerGW_YE_oth_SiteOnly_2031" vbProcedure="false">Interface!$K$110</definedName>
    <definedName function="false" hidden="false" name="WIF_PlayerGW_YE_oth_SiteOnly_2032" vbProcedure="false">Interface!$L$110</definedName>
    <definedName function="false" hidden="false" name="WIF_PlayerGW_YE_sov_2024" vbProcedure="false">Interface!$D$92</definedName>
    <definedName function="false" hidden="false" name="WIF_PlayerGW_YE_sov_2025" vbProcedure="false">Interface!$E$92</definedName>
    <definedName function="false" hidden="false" name="WIF_PlayerGW_YE_sov_2026" vbProcedure="false">Interface!$F$92</definedName>
    <definedName function="false" hidden="false" name="WIF_PlayerGW_YE_sov_2027" vbProcedure="false">Interface!$G$92</definedName>
    <definedName function="false" hidden="false" name="WIF_PlayerGW_YE_sov_2028" vbProcedure="false">Interface!$H$92</definedName>
    <definedName function="false" hidden="false" name="WIF_PlayerGW_YE_sov_2029" vbProcedure="false">Interface!$I$92</definedName>
    <definedName function="false" hidden="false" name="WIF_PlayerGW_YE_sov_2030" vbProcedure="false">Interface!$J$92</definedName>
    <definedName function="false" hidden="false" name="WIF_PlayerGW_YE_sov_2031" vbProcedure="false">Interface!$K$92</definedName>
    <definedName function="false" hidden="false" name="WIF_PlayerGW_YE_sov_2032" vbProcedure="false">Interface!$L$92</definedName>
    <definedName function="false" hidden="false" name="WIF_PlayerGW_YE_sov_SiteOnly_2024" vbProcedure="false">Interface!$D$108</definedName>
    <definedName function="false" hidden="false" name="WIF_PlayerGW_YE_sov_SiteOnly_2025" vbProcedure="false">Interface!$E$108</definedName>
    <definedName function="false" hidden="false" name="WIF_PlayerGW_YE_sov_SiteOnly_2026" vbProcedure="false">Interface!$F$108</definedName>
    <definedName function="false" hidden="false" name="WIF_PlayerGW_YE_sov_SiteOnly_2027" vbProcedure="false">Interface!$G$108</definedName>
    <definedName function="false" hidden="false" name="WIF_PlayerGW_YE_sov_SiteOnly_2028" vbProcedure="false">Interface!$H$108</definedName>
    <definedName function="false" hidden="false" name="WIF_PlayerGW_YE_sov_SiteOnly_2029" vbProcedure="false">Interface!$I$108</definedName>
    <definedName function="false" hidden="false" name="WIF_PlayerGW_YE_sov_SiteOnly_2030" vbProcedure="false">Interface!$J$108</definedName>
    <definedName function="false" hidden="false" name="WIF_PlayerGW_YE_sov_SiteOnly_2031" vbProcedure="false">Interface!$K$108</definedName>
    <definedName function="false" hidden="false" name="WIF_PlayerGW_YE_sov_SiteOnly_2032" vbProcedure="false">Interface!$L$108</definedName>
    <definedName function="false" hidden="false" name="WIF_PlayerGW_YE_wyfi_2024" vbProcedure="false">Interface!$D$87</definedName>
    <definedName function="false" hidden="false" name="WIF_PlayerGW_YE_wyfi_2025" vbProcedure="false">Interface!$E$87</definedName>
    <definedName function="false" hidden="false" name="WIF_PlayerGW_YE_wyfi_2026" vbProcedure="false">Interface!$F$87</definedName>
    <definedName function="false" hidden="false" name="WIF_PlayerGW_YE_wyfi_2027" vbProcedure="false">Interface!$G$87</definedName>
    <definedName function="false" hidden="false" name="WIF_PlayerGW_YE_wyfi_2028" vbProcedure="false">Interface!$H$87</definedName>
    <definedName function="false" hidden="false" name="WIF_PlayerGW_YE_wyfi_2029" vbProcedure="false">Interface!$I$87</definedName>
    <definedName function="false" hidden="false" name="WIF_PlayerGW_YE_wyfi_2030" vbProcedure="false">Interface!$J$87</definedName>
    <definedName function="false" hidden="false" name="WIF_PlayerGW_YE_wyfi_2031" vbProcedure="false">Interface!$K$87</definedName>
    <definedName function="false" hidden="false" name="WIF_PlayerGW_YE_wyfi_2032" vbProcedure="false">Interface!$L$87</definedName>
    <definedName function="false" hidden="false" name="WIF_PlayerGW_YE_wyfi_SiteOnly_2024" vbProcedure="false">Interface!$D$103</definedName>
    <definedName function="false" hidden="false" name="WIF_PlayerGW_YE_wyfi_SiteOnly_2025" vbProcedure="false">Interface!$E$103</definedName>
    <definedName function="false" hidden="false" name="WIF_PlayerGW_YE_wyfi_SiteOnly_2026" vbProcedure="false">Interface!$F$103</definedName>
    <definedName function="false" hidden="false" name="WIF_PlayerGW_YE_wyfi_SiteOnly_2027" vbProcedure="false">Interface!$G$103</definedName>
    <definedName function="false" hidden="false" name="WIF_PlayerGW_YE_wyfi_SiteOnly_2028" vbProcedure="false">Interface!$H$103</definedName>
    <definedName function="false" hidden="false" name="WIF_PlayerGW_YE_wyfi_SiteOnly_2029" vbProcedure="false">Interface!$I$103</definedName>
    <definedName function="false" hidden="false" name="WIF_PlayerGW_YE_wyfi_SiteOnly_2030" vbProcedure="false">Interface!$J$103</definedName>
    <definedName function="false" hidden="false" name="WIF_PlayerGW_YE_wyfi_SiteOnly_2031" vbProcedure="false">Interface!$K$103</definedName>
    <definedName function="false" hidden="false" name="WIF_PlayerGW_YE_wyfi_SiteOnly_2032" vbProcedure="false">Interface!$L$103</definedName>
    <definedName function="false" hidden="false" name="WIF_PlayerGW_YE_xai_2024" vbProcedure="false">Interface!$D$88</definedName>
    <definedName function="false" hidden="false" name="WIF_PlayerGW_YE_xai_2025" vbProcedure="false">Interface!$E$88</definedName>
    <definedName function="false" hidden="false" name="WIF_PlayerGW_YE_xai_2026" vbProcedure="false">Interface!$F$88</definedName>
    <definedName function="false" hidden="false" name="WIF_PlayerGW_YE_xai_2027" vbProcedure="false">Interface!$G$88</definedName>
    <definedName function="false" hidden="false" name="WIF_PlayerGW_YE_xai_2028" vbProcedure="false">Interface!$H$88</definedName>
    <definedName function="false" hidden="false" name="WIF_PlayerGW_YE_xai_2029" vbProcedure="false">Interface!$I$88</definedName>
    <definedName function="false" hidden="false" name="WIF_PlayerGW_YE_xai_2030" vbProcedure="false">Interface!$J$88</definedName>
    <definedName function="false" hidden="false" name="WIF_PlayerGW_YE_xai_2031" vbProcedure="false">Interface!$K$88</definedName>
    <definedName function="false" hidden="false" name="WIF_PlayerGW_YE_xai_2032" vbProcedure="false">Interface!$L$88</definedName>
    <definedName function="false" hidden="false" name="WIF_PlayerGW_YE_xai_SiteOnly_2024" vbProcedure="false">Interface!$D$104</definedName>
    <definedName function="false" hidden="false" name="WIF_PlayerGW_YE_xai_SiteOnly_2025" vbProcedure="false">Interface!$E$104</definedName>
    <definedName function="false" hidden="false" name="WIF_PlayerGW_YE_xai_SiteOnly_2026" vbProcedure="false">Interface!$F$104</definedName>
    <definedName function="false" hidden="false" name="WIF_PlayerGW_YE_xai_SiteOnly_2027" vbProcedure="false">Interface!$G$104</definedName>
    <definedName function="false" hidden="false" name="WIF_PlayerGW_YE_xai_SiteOnly_2028" vbProcedure="false">Interface!$H$104</definedName>
    <definedName function="false" hidden="false" name="WIF_PlayerGW_YE_xai_SiteOnly_2029" vbProcedure="false">Interface!$I$104</definedName>
    <definedName function="false" hidden="false" name="WIF_PlayerGW_YE_xai_SiteOnly_2030" vbProcedure="false">Interface!$J$104</definedName>
    <definedName function="false" hidden="false" name="WIF_PlayerGW_YE_xai_SiteOnly_2031" vbProcedure="false">Interface!$K$104</definedName>
    <definedName function="false" hidden="false" name="WIF_PlayerGW_YE_xai_SiteOnly_2032" vbProcedure="false">Interface!$L$104</definedName>
    <definedName function="false" hidden="false" name="WIF_ShippedNotOnline_A_D1_2024" vbProcedure="false">Interface!$D$38</definedName>
    <definedName function="false" hidden="false" name="WIF_ShippedNotOnline_A_D1_2025" vbProcedure="false">Interface!$E$38</definedName>
    <definedName function="false" hidden="false" name="WIF_ShippedNotOnline_A_D1_2026" vbProcedure="false">Interface!$F$38</definedName>
    <definedName function="false" hidden="false" name="WIF_ShippedNotOnline_A_D1_2027" vbProcedure="false">Interface!$G$38</definedName>
    <definedName function="false" hidden="false" name="WIF_ShippedNotOnline_A_D1_2028" vbProcedure="false">Interface!$H$38</definedName>
    <definedName function="false" hidden="false" name="WIF_ShippedNotOnline_A_D1_2029" vbProcedure="false">Interface!$I$38</definedName>
    <definedName function="false" hidden="false" name="WIF_ShippedNotOnline_A_D1_2030" vbProcedure="false">Interface!$J$38</definedName>
    <definedName function="false" hidden="false" name="WIF_ShippedNotOnline_A_D1_2031" vbProcedure="false">Interface!$K$38</definedName>
    <definedName function="false" hidden="false" name="WIF_ShippedNotOnline_A_D1_2032" vbProcedure="false">Interface!$L$38</definedName>
    <definedName function="false" hidden="false" name="WIF_ShippedNotOnline_A_D1_SiteOnly_2024" vbProcedure="false">Interface!$D$73</definedName>
    <definedName function="false" hidden="false" name="WIF_ShippedNotOnline_A_D1_SiteOnly_2025" vbProcedure="false">Interface!$E$73</definedName>
    <definedName function="false" hidden="false" name="WIF_ShippedNotOnline_A_D1_SiteOnly_2026" vbProcedure="false">Interface!$F$73</definedName>
    <definedName function="false" hidden="false" name="WIF_ShippedNotOnline_A_D1_SiteOnly_2027" vbProcedure="false">Interface!$G$73</definedName>
    <definedName function="false" hidden="false" name="WIF_ShippedNotOnline_A_D1_SiteOnly_2028" vbProcedure="false">Interface!$H$73</definedName>
    <definedName function="false" hidden="false" name="WIF_ShippedNotOnline_A_D1_SiteOnly_2029" vbProcedure="false">Interface!$I$73</definedName>
    <definedName function="false" hidden="false" name="WIF_ShippedNotOnline_A_D1_SiteOnly_2030" vbProcedure="false">Interface!$J$73</definedName>
    <definedName function="false" hidden="false" name="WIF_ShippedNotOnline_A_D1_SiteOnly_2031" vbProcedure="false">Interface!$K$73</definedName>
    <definedName function="false" hidden="false" name="WIF_ShippedNotOnline_A_D1_SiteOnly_2032" vbProcedure="false">Interface!$L$73</definedName>
    <definedName function="false" hidden="false" name="WIF_ShippedNotOnline_A_D2_2024" vbProcedure="false">Interface!$D$39</definedName>
    <definedName function="false" hidden="false" name="WIF_ShippedNotOnline_A_D2_2025" vbProcedure="false">Interface!$E$39</definedName>
    <definedName function="false" hidden="false" name="WIF_ShippedNotOnline_A_D2_2026" vbProcedure="false">Interface!$F$39</definedName>
    <definedName function="false" hidden="false" name="WIF_ShippedNotOnline_A_D2_2027" vbProcedure="false">Interface!$G$39</definedName>
    <definedName function="false" hidden="false" name="WIF_ShippedNotOnline_A_D2_2028" vbProcedure="false">Interface!$H$39</definedName>
    <definedName function="false" hidden="false" name="WIF_ShippedNotOnline_A_D2_2029" vbProcedure="false">Interface!$I$39</definedName>
    <definedName function="false" hidden="false" name="WIF_ShippedNotOnline_A_D2_2030" vbProcedure="false">Interface!$J$39</definedName>
    <definedName function="false" hidden="false" name="WIF_ShippedNotOnline_A_D2_2031" vbProcedure="false">Interface!$K$39</definedName>
    <definedName function="false" hidden="false" name="WIF_ShippedNotOnline_A_D2_2032" vbProcedure="false">Interface!$L$39</definedName>
    <definedName function="false" hidden="false" name="WIF_ShippedNotOnline_A_D2_SiteOnly_2024" vbProcedure="false">Interface!$D$74</definedName>
    <definedName function="false" hidden="false" name="WIF_ShippedNotOnline_A_D2_SiteOnly_2025" vbProcedure="false">Interface!$E$74</definedName>
    <definedName function="false" hidden="false" name="WIF_ShippedNotOnline_A_D2_SiteOnly_2026" vbProcedure="false">Interface!$F$74</definedName>
    <definedName function="false" hidden="false" name="WIF_ShippedNotOnline_A_D2_SiteOnly_2027" vbProcedure="false">Interface!$G$74</definedName>
    <definedName function="false" hidden="false" name="WIF_ShippedNotOnline_A_D2_SiteOnly_2028" vbProcedure="false">Interface!$H$74</definedName>
    <definedName function="false" hidden="false" name="WIF_ShippedNotOnline_A_D2_SiteOnly_2029" vbProcedure="false">Interface!$I$74</definedName>
    <definedName function="false" hidden="false" name="WIF_ShippedNotOnline_A_D2_SiteOnly_2030" vbProcedure="false">Interface!$J$74</definedName>
    <definedName function="false" hidden="false" name="WIF_ShippedNotOnline_A_D2_SiteOnly_2031" vbProcedure="false">Interface!$K$74</definedName>
    <definedName function="false" hidden="false" name="WIF_ShippedNotOnline_A_D2_SiteOnly_2032" vbProcedure="false">Interface!$L$74</definedName>
    <definedName function="false" hidden="false" name="WIF_ShippedNotOnline_B_D1_2024" vbProcedure="false">Interface!$D$40</definedName>
    <definedName function="false" hidden="false" name="WIF_ShippedNotOnline_B_D1_2025" vbProcedure="false">Interface!$E$40</definedName>
    <definedName function="false" hidden="false" name="WIF_ShippedNotOnline_B_D1_2026" vbProcedure="false">Interface!$F$40</definedName>
    <definedName function="false" hidden="false" name="WIF_ShippedNotOnline_B_D1_2027" vbProcedure="false">Interface!$G$40</definedName>
    <definedName function="false" hidden="false" name="WIF_ShippedNotOnline_B_D1_2028" vbProcedure="false">Interface!$H$40</definedName>
    <definedName function="false" hidden="false" name="WIF_ShippedNotOnline_B_D1_2029" vbProcedure="false">Interface!$I$40</definedName>
    <definedName function="false" hidden="false" name="WIF_ShippedNotOnline_B_D1_2030" vbProcedure="false">Interface!$J$40</definedName>
    <definedName function="false" hidden="false" name="WIF_ShippedNotOnline_B_D1_2031" vbProcedure="false">Interface!$K$40</definedName>
    <definedName function="false" hidden="false" name="WIF_ShippedNotOnline_B_D1_2032" vbProcedure="false">Interface!$L$40</definedName>
    <definedName function="false" hidden="false" name="WIF_ShippedNotOnline_B_D1_SiteOnly_2024" vbProcedure="false">Interface!$D$75</definedName>
    <definedName function="false" hidden="false" name="WIF_ShippedNotOnline_B_D1_SiteOnly_2025" vbProcedure="false">Interface!$E$75</definedName>
    <definedName function="false" hidden="false" name="WIF_ShippedNotOnline_B_D1_SiteOnly_2026" vbProcedure="false">Interface!$F$75</definedName>
    <definedName function="false" hidden="false" name="WIF_ShippedNotOnline_B_D1_SiteOnly_2027" vbProcedure="false">Interface!$G$75</definedName>
    <definedName function="false" hidden="false" name="WIF_ShippedNotOnline_B_D1_SiteOnly_2028" vbProcedure="false">Interface!$H$75</definedName>
    <definedName function="false" hidden="false" name="WIF_ShippedNotOnline_B_D1_SiteOnly_2029" vbProcedure="false">Interface!$I$75</definedName>
    <definedName function="false" hidden="false" name="WIF_ShippedNotOnline_B_D1_SiteOnly_2030" vbProcedure="false">Interface!$J$75</definedName>
    <definedName function="false" hidden="false" name="WIF_ShippedNotOnline_B_D1_SiteOnly_2031" vbProcedure="false">Interface!$K$75</definedName>
    <definedName function="false" hidden="false" name="WIF_ShippedNotOnline_B_D1_SiteOnly_2032" vbProcedure="false">Interface!$L$75</definedName>
    <definedName function="false" hidden="false" name="WIF_ShippedNotOnline_B_D2_2024" vbProcedure="false">Interface!$D$41</definedName>
    <definedName function="false" hidden="false" name="WIF_ShippedNotOnline_B_D2_2025" vbProcedure="false">Interface!$E$41</definedName>
    <definedName function="false" hidden="false" name="WIF_ShippedNotOnline_B_D2_2026" vbProcedure="false">Interface!$F$41</definedName>
    <definedName function="false" hidden="false" name="WIF_ShippedNotOnline_B_D2_2027" vbProcedure="false">Interface!$G$41</definedName>
    <definedName function="false" hidden="false" name="WIF_ShippedNotOnline_B_D2_2028" vbProcedure="false">Interface!$H$41</definedName>
    <definedName function="false" hidden="false" name="WIF_ShippedNotOnline_B_D2_2029" vbProcedure="false">Interface!$I$41</definedName>
    <definedName function="false" hidden="false" name="WIF_ShippedNotOnline_B_D2_2030" vbProcedure="false">Interface!$J$41</definedName>
    <definedName function="false" hidden="false" name="WIF_ShippedNotOnline_B_D2_2031" vbProcedure="false">Interface!$K$41</definedName>
    <definedName function="false" hidden="false" name="WIF_ShippedNotOnline_B_D2_2032" vbProcedure="false">Interface!$L$41</definedName>
    <definedName function="false" hidden="false" name="WIF_ShippedNotOnline_B_D2_SiteOnly_2024" vbProcedure="false">Interface!$D$76</definedName>
    <definedName function="false" hidden="false" name="WIF_ShippedNotOnline_B_D2_SiteOnly_2025" vbProcedure="false">Interface!$E$76</definedName>
    <definedName function="false" hidden="false" name="WIF_ShippedNotOnline_B_D2_SiteOnly_2026" vbProcedure="false">Interface!$F$76</definedName>
    <definedName function="false" hidden="false" name="WIF_ShippedNotOnline_B_D2_SiteOnly_2027" vbProcedure="false">Interface!$G$76</definedName>
    <definedName function="false" hidden="false" name="WIF_ShippedNotOnline_B_D2_SiteOnly_2028" vbProcedure="false">Interface!$H$76</definedName>
    <definedName function="false" hidden="false" name="WIF_ShippedNotOnline_B_D2_SiteOnly_2029" vbProcedure="false">Interface!$I$76</definedName>
    <definedName function="false" hidden="false" name="WIF_ShippedNotOnline_B_D2_SiteOnly_2030" vbProcedure="false">Interface!$J$76</definedName>
    <definedName function="false" hidden="false" name="WIF_ShippedNotOnline_B_D2_SiteOnly_2031" vbProcedure="false">Interface!$K$76</definedName>
    <definedName function="false" hidden="false" name="WIF_ShippedNotOnline_B_D2_SiteOnly_2032" vbProcedure="false">Interface!$L$76</definedName>
    <definedName function="false" hidden="false" name="WIF_ShippedNotOnline_C_D1_2024" vbProcedure="false">Interface!$D$42</definedName>
    <definedName function="false" hidden="false" name="WIF_ShippedNotOnline_C_D1_2025" vbProcedure="false">Interface!$E$42</definedName>
    <definedName function="false" hidden="false" name="WIF_ShippedNotOnline_C_D1_2026" vbProcedure="false">Interface!$F$42</definedName>
    <definedName function="false" hidden="false" name="WIF_ShippedNotOnline_C_D1_2027" vbProcedure="false">Interface!$G$42</definedName>
    <definedName function="false" hidden="false" name="WIF_ShippedNotOnline_C_D1_2028" vbProcedure="false">Interface!$H$42</definedName>
    <definedName function="false" hidden="false" name="WIF_ShippedNotOnline_C_D1_2029" vbProcedure="false">Interface!$I$42</definedName>
    <definedName function="false" hidden="false" name="WIF_ShippedNotOnline_C_D1_2030" vbProcedure="false">Interface!$J$42</definedName>
    <definedName function="false" hidden="false" name="WIF_ShippedNotOnline_C_D1_2031" vbProcedure="false">Interface!$K$42</definedName>
    <definedName function="false" hidden="false" name="WIF_ShippedNotOnline_C_D1_2032" vbProcedure="false">Interface!$L$42</definedName>
    <definedName function="false" hidden="false" name="WIF_ShippedNotOnline_C_D1_SiteOnly_2024" vbProcedure="false">Interface!$D$77</definedName>
    <definedName function="false" hidden="false" name="WIF_ShippedNotOnline_C_D1_SiteOnly_2025" vbProcedure="false">Interface!$E$77</definedName>
    <definedName function="false" hidden="false" name="WIF_ShippedNotOnline_C_D1_SiteOnly_2026" vbProcedure="false">Interface!$F$77</definedName>
    <definedName function="false" hidden="false" name="WIF_ShippedNotOnline_C_D1_SiteOnly_2027" vbProcedure="false">Interface!$G$77</definedName>
    <definedName function="false" hidden="false" name="WIF_ShippedNotOnline_C_D1_SiteOnly_2028" vbProcedure="false">Interface!$H$77</definedName>
    <definedName function="false" hidden="false" name="WIF_ShippedNotOnline_C_D1_SiteOnly_2029" vbProcedure="false">Interface!$I$77</definedName>
    <definedName function="false" hidden="false" name="WIF_ShippedNotOnline_C_D1_SiteOnly_2030" vbProcedure="false">Interface!$J$77</definedName>
    <definedName function="false" hidden="false" name="WIF_ShippedNotOnline_C_D1_SiteOnly_2031" vbProcedure="false">Interface!$K$77</definedName>
    <definedName function="false" hidden="false" name="WIF_ShippedNotOnline_C_D1_SiteOnly_2032" vbProcedure="false">Interface!$L$77</definedName>
    <definedName function="false" hidden="false" name="WIF_ShippedNotOnline_C_D2_2024" vbProcedure="false">Interface!$D$43</definedName>
    <definedName function="false" hidden="false" name="WIF_ShippedNotOnline_C_D2_2025" vbProcedure="false">Interface!$E$43</definedName>
    <definedName function="false" hidden="false" name="WIF_ShippedNotOnline_C_D2_2026" vbProcedure="false">Interface!$F$43</definedName>
    <definedName function="false" hidden="false" name="WIF_ShippedNotOnline_C_D2_2027" vbProcedure="false">Interface!$G$43</definedName>
    <definedName function="false" hidden="false" name="WIF_ShippedNotOnline_C_D2_2028" vbProcedure="false">Interface!$H$43</definedName>
    <definedName function="false" hidden="false" name="WIF_ShippedNotOnline_C_D2_2029" vbProcedure="false">Interface!$I$43</definedName>
    <definedName function="false" hidden="false" name="WIF_ShippedNotOnline_C_D2_2030" vbProcedure="false">Interface!$J$43</definedName>
    <definedName function="false" hidden="false" name="WIF_ShippedNotOnline_C_D2_2031" vbProcedure="false">Interface!$K$43</definedName>
    <definedName function="false" hidden="false" name="WIF_ShippedNotOnline_C_D2_2032" vbProcedure="false">Interface!$L$43</definedName>
    <definedName function="false" hidden="false" name="WIF_ShippedNotOnline_C_D2_SiteOnly_2024" vbProcedure="false">Interface!$D$78</definedName>
    <definedName function="false" hidden="false" name="WIF_ShippedNotOnline_C_D2_SiteOnly_2025" vbProcedure="false">Interface!$E$78</definedName>
    <definedName function="false" hidden="false" name="WIF_ShippedNotOnline_C_D2_SiteOnly_2026" vbProcedure="false">Interface!$F$78</definedName>
    <definedName function="false" hidden="false" name="WIF_ShippedNotOnline_C_D2_SiteOnly_2027" vbProcedure="false">Interface!$G$78</definedName>
    <definedName function="false" hidden="false" name="WIF_ShippedNotOnline_C_D2_SiteOnly_2028" vbProcedure="false">Interface!$H$78</definedName>
    <definedName function="false" hidden="false" name="WIF_ShippedNotOnline_C_D2_SiteOnly_2029" vbProcedure="false">Interface!$I$78</definedName>
    <definedName function="false" hidden="false" name="WIF_ShippedNotOnline_C_D2_SiteOnly_2030" vbProcedure="false">Interface!$J$78</definedName>
    <definedName function="false" hidden="false" name="WIF_ShippedNotOnline_C_D2_SiteOnly_2031" vbProcedure="false">Interface!$K$78</definedName>
    <definedName function="false" hidden="false" name="WIF_ShippedNotOnline_C_D2_SiteOnly_2032" vbProcedure="false">Interface!$L$78</definedName>
    <definedName function="false" hidden="false" name="WIF_Spend_fac_bldg_2024" vbProcedure="false">Interface!$D$125</definedName>
    <definedName function="false" hidden="false" name="WIF_Spend_fac_bldg_2025" vbProcedure="false">Interface!$E$125</definedName>
    <definedName function="false" hidden="false" name="WIF_Spend_fac_bldg_2026" vbProcedure="false">Interface!$F$125</definedName>
    <definedName function="false" hidden="false" name="WIF_Spend_fac_bldg_2027" vbProcedure="false">Interface!$G$125</definedName>
    <definedName function="false" hidden="false" name="WIF_Spend_fac_bldg_2028" vbProcedure="false">Interface!$H$125</definedName>
    <definedName function="false" hidden="false" name="WIF_Spend_fac_bldg_2029" vbProcedure="false">Interface!$I$125</definedName>
    <definedName function="false" hidden="false" name="WIF_Spend_fac_bldg_2030" vbProcedure="false">Interface!$J$125</definedName>
    <definedName function="false" hidden="false" name="WIF_Spend_fac_bldg_2031" vbProcedure="false">Interface!$K$125</definedName>
    <definedName function="false" hidden="false" name="WIF_Spend_fac_bldg_2032" vbProcedure="false">Interface!$L$125</definedName>
    <definedName function="false" hidden="false" name="WIF_Spend_fac_cool_2024" vbProcedure="false">Interface!$D$124</definedName>
    <definedName function="false" hidden="false" name="WIF_Spend_fac_cool_2025" vbProcedure="false">Interface!$E$124</definedName>
    <definedName function="false" hidden="false" name="WIF_Spend_fac_cool_2026" vbProcedure="false">Interface!$F$124</definedName>
    <definedName function="false" hidden="false" name="WIF_Spend_fac_cool_2027" vbProcedure="false">Interface!$G$124</definedName>
    <definedName function="false" hidden="false" name="WIF_Spend_fac_cool_2028" vbProcedure="false">Interface!$H$124</definedName>
    <definedName function="false" hidden="false" name="WIF_Spend_fac_cool_2029" vbProcedure="false">Interface!$I$124</definedName>
    <definedName function="false" hidden="false" name="WIF_Spend_fac_cool_2030" vbProcedure="false">Interface!$J$124</definedName>
    <definedName function="false" hidden="false" name="WIF_Spend_fac_cool_2031" vbProcedure="false">Interface!$K$124</definedName>
    <definedName function="false" hidden="false" name="WIF_Spend_fac_cool_2032" vbProcedure="false">Interface!$L$124</definedName>
    <definedName function="false" hidden="false" name="WIF_Spend_fac_dist_2024" vbProcedure="false">Interface!$D$121</definedName>
    <definedName function="false" hidden="false" name="WIF_Spend_fac_dist_2025" vbProcedure="false">Interface!$E$121</definedName>
    <definedName function="false" hidden="false" name="WIF_Spend_fac_dist_2026" vbProcedure="false">Interface!$F$121</definedName>
    <definedName function="false" hidden="false" name="WIF_Spend_fac_dist_2027" vbProcedure="false">Interface!$G$121</definedName>
    <definedName function="false" hidden="false" name="WIF_Spend_fac_dist_2028" vbProcedure="false">Interface!$H$121</definedName>
    <definedName function="false" hidden="false" name="WIF_Spend_fac_dist_2029" vbProcedure="false">Interface!$I$121</definedName>
    <definedName function="false" hidden="false" name="WIF_Spend_fac_dist_2030" vbProcedure="false">Interface!$J$121</definedName>
    <definedName function="false" hidden="false" name="WIF_Spend_fac_dist_2031" vbProcedure="false">Interface!$K$121</definedName>
    <definedName function="false" hidden="false" name="WIF_Spend_fac_dist_2032" vbProcedure="false">Interface!$L$121</definedName>
    <definedName function="false" hidden="false" name="WIF_Spend_fac_gen_2024" vbProcedure="false">Interface!$D$122</definedName>
    <definedName function="false" hidden="false" name="WIF_Spend_fac_gen_2025" vbProcedure="false">Interface!$E$122</definedName>
    <definedName function="false" hidden="false" name="WIF_Spend_fac_gen_2026" vbProcedure="false">Interface!$F$122</definedName>
    <definedName function="false" hidden="false" name="WIF_Spend_fac_gen_2027" vbProcedure="false">Interface!$G$122</definedName>
    <definedName function="false" hidden="false" name="WIF_Spend_fac_gen_2028" vbProcedure="false">Interface!$H$122</definedName>
    <definedName function="false" hidden="false" name="WIF_Spend_fac_gen_2029" vbProcedure="false">Interface!$I$122</definedName>
    <definedName function="false" hidden="false" name="WIF_Spend_fac_gen_2030" vbProcedure="false">Interface!$J$122</definedName>
    <definedName function="false" hidden="false" name="WIF_Spend_fac_gen_2031" vbProcedure="false">Interface!$K$122</definedName>
    <definedName function="false" hidden="false" name="WIF_Spend_fac_gen_2032" vbProcedure="false">Interface!$L$122</definedName>
    <definedName function="false" hidden="false" name="WIF_Spend_fac_labor_2024" vbProcedure="false">Interface!$D$126</definedName>
    <definedName function="false" hidden="false" name="WIF_Spend_fac_labor_2025" vbProcedure="false">Interface!$E$126</definedName>
    <definedName function="false" hidden="false" name="WIF_Spend_fac_labor_2026" vbProcedure="false">Interface!$F$126</definedName>
    <definedName function="false" hidden="false" name="WIF_Spend_fac_labor_2027" vbProcedure="false">Interface!$G$126</definedName>
    <definedName function="false" hidden="false" name="WIF_Spend_fac_labor_2028" vbProcedure="false">Interface!$H$126</definedName>
    <definedName function="false" hidden="false" name="WIF_Spend_fac_labor_2029" vbProcedure="false">Interface!$I$126</definedName>
    <definedName function="false" hidden="false" name="WIF_Spend_fac_labor_2030" vbProcedure="false">Interface!$J$126</definedName>
    <definedName function="false" hidden="false" name="WIF_Spend_fac_labor_2031" vbProcedure="false">Interface!$K$126</definedName>
    <definedName function="false" hidden="false" name="WIF_Spend_fac_labor_2032" vbProcedure="false">Interface!$L$126</definedName>
    <definedName function="false" hidden="false" name="WIF_Spend_fac_land_2024" vbProcedure="false">Interface!$D$129</definedName>
    <definedName function="false" hidden="false" name="WIF_Spend_fac_land_2025" vbProcedure="false">Interface!$E$129</definedName>
    <definedName function="false" hidden="false" name="WIF_Spend_fac_land_2026" vbProcedure="false">Interface!$F$129</definedName>
    <definedName function="false" hidden="false" name="WIF_Spend_fac_land_2027" vbProcedure="false">Interface!$G$129</definedName>
    <definedName function="false" hidden="false" name="WIF_Spend_fac_land_2028" vbProcedure="false">Interface!$H$129</definedName>
    <definedName function="false" hidden="false" name="WIF_Spend_fac_land_2029" vbProcedure="false">Interface!$I$129</definedName>
    <definedName function="false" hidden="false" name="WIF_Spend_fac_land_2030" vbProcedure="false">Interface!$J$129</definedName>
    <definedName function="false" hidden="false" name="WIF_Spend_fac_land_2031" vbProcedure="false">Interface!$K$129</definedName>
    <definedName function="false" hidden="false" name="WIF_Spend_fac_land_2032" vbProcedure="false">Interface!$L$129</definedName>
    <definedName function="false" hidden="false" name="WIF_Spend_fac_net_2024" vbProcedure="false">Interface!$D$128</definedName>
    <definedName function="false" hidden="false" name="WIF_Spend_fac_net_2025" vbProcedure="false">Interface!$E$128</definedName>
    <definedName function="false" hidden="false" name="WIF_Spend_fac_net_2026" vbProcedure="false">Interface!$F$128</definedName>
    <definedName function="false" hidden="false" name="WIF_Spend_fac_net_2027" vbProcedure="false">Interface!$G$128</definedName>
    <definedName function="false" hidden="false" name="WIF_Spend_fac_net_2028" vbProcedure="false">Interface!$H$128</definedName>
    <definedName function="false" hidden="false" name="WIF_Spend_fac_net_2029" vbProcedure="false">Interface!$I$128</definedName>
    <definedName function="false" hidden="false" name="WIF_Spend_fac_net_2030" vbProcedure="false">Interface!$J$128</definedName>
    <definedName function="false" hidden="false" name="WIF_Spend_fac_net_2031" vbProcedure="false">Interface!$K$128</definedName>
    <definedName function="false" hidden="false" name="WIF_Spend_fac_net_2032" vbProcedure="false">Interface!$L$128</definedName>
    <definedName function="false" hidden="false" name="WIF_Spend_fac_prof_2024" vbProcedure="false">Interface!$D$127</definedName>
    <definedName function="false" hidden="false" name="WIF_Spend_fac_prof_2025" vbProcedure="false">Interface!$E$127</definedName>
    <definedName function="false" hidden="false" name="WIF_Spend_fac_prof_2026" vbProcedure="false">Interface!$F$127</definedName>
    <definedName function="false" hidden="false" name="WIF_Spend_fac_prof_2027" vbProcedure="false">Interface!$G$127</definedName>
    <definedName function="false" hidden="false" name="WIF_Spend_fac_prof_2028" vbProcedure="false">Interface!$H$127</definedName>
    <definedName function="false" hidden="false" name="WIF_Spend_fac_prof_2029" vbProcedure="false">Interface!$I$127</definedName>
    <definedName function="false" hidden="false" name="WIF_Spend_fac_prof_2030" vbProcedure="false">Interface!$J$127</definedName>
    <definedName function="false" hidden="false" name="WIF_Spend_fac_prof_2031" vbProcedure="false">Interface!$K$127</definedName>
    <definedName function="false" hidden="false" name="WIF_Spend_fac_prof_2032" vbProcedure="false">Interface!$L$127</definedName>
    <definedName function="false" hidden="false" name="WIF_Spend_fac_resid_2024" vbProcedure="false">Interface!$D$130</definedName>
    <definedName function="false" hidden="false" name="WIF_Spend_fac_resid_2025" vbProcedure="false">Interface!$E$130</definedName>
    <definedName function="false" hidden="false" name="WIF_Spend_fac_resid_2026" vbProcedure="false">Interface!$F$130</definedName>
    <definedName function="false" hidden="false" name="WIF_Spend_fac_resid_2027" vbProcedure="false">Interface!$G$130</definedName>
    <definedName function="false" hidden="false" name="WIF_Spend_fac_resid_2028" vbProcedure="false">Interface!$H$130</definedName>
    <definedName function="false" hidden="false" name="WIF_Spend_fac_resid_2029" vbProcedure="false">Interface!$I$130</definedName>
    <definedName function="false" hidden="false" name="WIF_Spend_fac_resid_2030" vbProcedure="false">Interface!$J$130</definedName>
    <definedName function="false" hidden="false" name="WIF_Spend_fac_resid_2031" vbProcedure="false">Interface!$K$130</definedName>
    <definedName function="false" hidden="false" name="WIF_Spend_fac_resid_2032" vbProcedure="false">Interface!$L$130</definedName>
    <definedName function="false" hidden="false" name="WIF_Spend_fac_sum_2024" vbProcedure="false">Interface!$D$131</definedName>
    <definedName function="false" hidden="false" name="WIF_Spend_fac_sum_2025" vbProcedure="false">Interface!$E$131</definedName>
    <definedName function="false" hidden="false" name="WIF_Spend_fac_sum_2026" vbProcedure="false">Interface!$F$131</definedName>
    <definedName function="false" hidden="false" name="WIF_Spend_fac_sum_2027" vbProcedure="false">Interface!$G$131</definedName>
    <definedName function="false" hidden="false" name="WIF_Spend_fac_sum_2028" vbProcedure="false">Interface!$H$131</definedName>
    <definedName function="false" hidden="false" name="WIF_Spend_fac_sum_2029" vbProcedure="false">Interface!$I$131</definedName>
    <definedName function="false" hidden="false" name="WIF_Spend_fac_sum_2030" vbProcedure="false">Interface!$J$131</definedName>
    <definedName function="false" hidden="false" name="WIF_Spend_fac_sum_2031" vbProcedure="false">Interface!$K$131</definedName>
    <definedName function="false" hidden="false" name="WIF_Spend_fac_sum_2032" vbProcedure="false">Interface!$L$131</definedName>
    <definedName function="false" hidden="false" name="WIF_Spend_fac_ups_2024" vbProcedure="false">Interface!$D$123</definedName>
    <definedName function="false" hidden="false" name="WIF_Spend_fac_ups_2025" vbProcedure="false">Interface!$E$123</definedName>
    <definedName function="false" hidden="false" name="WIF_Spend_fac_ups_2026" vbProcedure="false">Interface!$F$123</definedName>
    <definedName function="false" hidden="false" name="WIF_Spend_fac_ups_2027" vbProcedure="false">Interface!$G$123</definedName>
    <definedName function="false" hidden="false" name="WIF_Spend_fac_ups_2028" vbProcedure="false">Interface!$H$123</definedName>
    <definedName function="false" hidden="false" name="WIF_Spend_fac_ups_2029" vbProcedure="false">Interface!$I$123</definedName>
    <definedName function="false" hidden="false" name="WIF_Spend_fac_ups_2030" vbProcedure="false">Interface!$J$123</definedName>
    <definedName function="false" hidden="false" name="WIF_Spend_fac_ups_2031" vbProcedure="false">Interface!$K$123</definedName>
    <definedName function="false" hidden="false" name="WIF_Spend_fac_ups_2032" vbProcedure="false">Interface!$L$123</definedName>
    <definedName function="false" hidden="false" name="WIF_Spend_it_compute_2024" vbProcedure="false">Interface!$D$112</definedName>
    <definedName function="false" hidden="false" name="WIF_Spend_it_compute_2025" vbProcedure="false">Interface!$E$112</definedName>
    <definedName function="false" hidden="false" name="WIF_Spend_it_compute_2026" vbProcedure="false">Interface!$F$112</definedName>
    <definedName function="false" hidden="false" name="WIF_Spend_it_compute_2027" vbProcedure="false">Interface!$G$112</definedName>
    <definedName function="false" hidden="false" name="WIF_Spend_it_compute_2028" vbProcedure="false">Interface!$H$112</definedName>
    <definedName function="false" hidden="false" name="WIF_Spend_it_compute_2029" vbProcedure="false">Interface!$I$112</definedName>
    <definedName function="false" hidden="false" name="WIF_Spend_it_compute_2030" vbProcedure="false">Interface!$J$112</definedName>
    <definedName function="false" hidden="false" name="WIF_Spend_it_compute_2031" vbProcedure="false">Interface!$K$112</definedName>
    <definedName function="false" hidden="false" name="WIF_Spend_it_compute_2032" vbProcedure="false">Interface!$L$112</definedName>
    <definedName function="false" hidden="false" name="WIF_Spend_it_foundry_2024" vbProcedure="false">Interface!$D$115</definedName>
    <definedName function="false" hidden="false" name="WIF_Spend_it_foundry_2025" vbProcedure="false">Interface!$E$115</definedName>
    <definedName function="false" hidden="false" name="WIF_Spend_it_foundry_2026" vbProcedure="false">Interface!$F$115</definedName>
    <definedName function="false" hidden="false" name="WIF_Spend_it_foundry_2027" vbProcedure="false">Interface!$G$115</definedName>
    <definedName function="false" hidden="false" name="WIF_Spend_it_foundry_2028" vbProcedure="false">Interface!$H$115</definedName>
    <definedName function="false" hidden="false" name="WIF_Spend_it_foundry_2029" vbProcedure="false">Interface!$I$115</definedName>
    <definedName function="false" hidden="false" name="WIF_Spend_it_foundry_2030" vbProcedure="false">Interface!$J$115</definedName>
    <definedName function="false" hidden="false" name="WIF_Spend_it_foundry_2031" vbProcedure="false">Interface!$K$115</definedName>
    <definedName function="false" hidden="false" name="WIF_Spend_it_foundry_2032" vbProcedure="false">Interface!$L$115</definedName>
    <definedName function="false" hidden="false" name="WIF_Spend_it_memory_2024" vbProcedure="false">Interface!$D$113</definedName>
    <definedName function="false" hidden="false" name="WIF_Spend_it_memory_2025" vbProcedure="false">Interface!$E$113</definedName>
    <definedName function="false" hidden="false" name="WIF_Spend_it_memory_2026" vbProcedure="false">Interface!$F$113</definedName>
    <definedName function="false" hidden="false" name="WIF_Spend_it_memory_2027" vbProcedure="false">Interface!$G$113</definedName>
    <definedName function="false" hidden="false" name="WIF_Spend_it_memory_2028" vbProcedure="false">Interface!$H$113</definedName>
    <definedName function="false" hidden="false" name="WIF_Spend_it_memory_2029" vbProcedure="false">Interface!$I$113</definedName>
    <definedName function="false" hidden="false" name="WIF_Spend_it_memory_2030" vbProcedure="false">Interface!$J$113</definedName>
    <definedName function="false" hidden="false" name="WIF_Spend_it_memory_2031" vbProcedure="false">Interface!$K$113</definedName>
    <definedName function="false" hidden="false" name="WIF_Spend_it_memory_2032" vbProcedure="false">Interface!$L$113</definedName>
    <definedName function="false" hidden="false" name="WIF_Spend_it_network_2024" vbProcedure="false">Interface!$D$114</definedName>
    <definedName function="false" hidden="false" name="WIF_Spend_it_network_2025" vbProcedure="false">Interface!$E$114</definedName>
    <definedName function="false" hidden="false" name="WIF_Spend_it_network_2026" vbProcedure="false">Interface!$F$114</definedName>
    <definedName function="false" hidden="false" name="WIF_Spend_it_network_2027" vbProcedure="false">Interface!$G$114</definedName>
    <definedName function="false" hidden="false" name="WIF_Spend_it_network_2028" vbProcedure="false">Interface!$H$114</definedName>
    <definedName function="false" hidden="false" name="WIF_Spend_it_network_2029" vbProcedure="false">Interface!$I$114</definedName>
    <definedName function="false" hidden="false" name="WIF_Spend_it_network_2030" vbProcedure="false">Interface!$J$114</definedName>
    <definedName function="false" hidden="false" name="WIF_Spend_it_network_2031" vbProcedure="false">Interface!$K$114</definedName>
    <definedName function="false" hidden="false" name="WIF_Spend_it_network_2032" vbProcedure="false">Interface!$L$114</definedName>
    <definedName function="false" hidden="false" name="WIF_Spend_it_power_thermal_2024" vbProcedure="false">Interface!$D$117</definedName>
    <definedName function="false" hidden="false" name="WIF_Spend_it_power_thermal_2025" vbProcedure="false">Interface!$E$117</definedName>
    <definedName function="false" hidden="false" name="WIF_Spend_it_power_thermal_2026" vbProcedure="false">Interface!$F$117</definedName>
    <definedName function="false" hidden="false" name="WIF_Spend_it_power_thermal_2027" vbProcedure="false">Interface!$G$117</definedName>
    <definedName function="false" hidden="false" name="WIF_Spend_it_power_thermal_2028" vbProcedure="false">Interface!$H$117</definedName>
    <definedName function="false" hidden="false" name="WIF_Spend_it_power_thermal_2029" vbProcedure="false">Interface!$I$117</definedName>
    <definedName function="false" hidden="false" name="WIF_Spend_it_power_thermal_2030" vbProcedure="false">Interface!$J$117</definedName>
    <definedName function="false" hidden="false" name="WIF_Spend_it_power_thermal_2031" vbProcedure="false">Interface!$K$117</definedName>
    <definedName function="false" hidden="false" name="WIF_Spend_it_power_thermal_2032" vbProcedure="false">Interface!$L$117</definedName>
    <definedName function="false" hidden="false" name="WIF_Spend_it_server_2024" vbProcedure="false">Interface!$D$118</definedName>
    <definedName function="false" hidden="false" name="WIF_Spend_it_server_2025" vbProcedure="false">Interface!$E$118</definedName>
    <definedName function="false" hidden="false" name="WIF_Spend_it_server_2026" vbProcedure="false">Interface!$F$118</definedName>
    <definedName function="false" hidden="false" name="WIF_Spend_it_server_2027" vbProcedure="false">Interface!$G$118</definedName>
    <definedName function="false" hidden="false" name="WIF_Spend_it_server_2028" vbProcedure="false">Interface!$H$118</definedName>
    <definedName function="false" hidden="false" name="WIF_Spend_it_server_2029" vbProcedure="false">Interface!$I$118</definedName>
    <definedName function="false" hidden="false" name="WIF_Spend_it_server_2030" vbProcedure="false">Interface!$J$118</definedName>
    <definedName function="false" hidden="false" name="WIF_Spend_it_server_2031" vbProcedure="false">Interface!$K$118</definedName>
    <definedName function="false" hidden="false" name="WIF_Spend_it_server_2032" vbProcedure="false">Interface!$L$118</definedName>
    <definedName function="false" hidden="false" name="WIF_Spend_it_storage_2024" vbProcedure="false">Interface!$D$119</definedName>
    <definedName function="false" hidden="false" name="WIF_Spend_it_storage_2025" vbProcedure="false">Interface!$E$119</definedName>
    <definedName function="false" hidden="false" name="WIF_Spend_it_storage_2026" vbProcedure="false">Interface!$F$119</definedName>
    <definedName function="false" hidden="false" name="WIF_Spend_it_storage_2027" vbProcedure="false">Interface!$G$119</definedName>
    <definedName function="false" hidden="false" name="WIF_Spend_it_storage_2028" vbProcedure="false">Interface!$H$119</definedName>
    <definedName function="false" hidden="false" name="WIF_Spend_it_storage_2029" vbProcedure="false">Interface!$I$119</definedName>
    <definedName function="false" hidden="false" name="WIF_Spend_it_storage_2030" vbProcedure="false">Interface!$J$119</definedName>
    <definedName function="false" hidden="false" name="WIF_Spend_it_storage_2031" vbProcedure="false">Interface!$K$119</definedName>
    <definedName function="false" hidden="false" name="WIF_Spend_it_storage_2032" vbProcedure="false">Interface!$L$119</definedName>
    <definedName function="false" hidden="false" name="WIF_Spend_it_substrate_2024" vbProcedure="false">Interface!$D$116</definedName>
    <definedName function="false" hidden="false" name="WIF_Spend_it_substrate_2025" vbProcedure="false">Interface!$E$116</definedName>
    <definedName function="false" hidden="false" name="WIF_Spend_it_substrate_2026" vbProcedure="false">Interface!$F$116</definedName>
    <definedName function="false" hidden="false" name="WIF_Spend_it_substrate_2027" vbProcedure="false">Interface!$G$116</definedName>
    <definedName function="false" hidden="false" name="WIF_Spend_it_substrate_2028" vbProcedure="false">Interface!$H$116</definedName>
    <definedName function="false" hidden="false" name="WIF_Spend_it_substrate_2029" vbProcedure="false">Interface!$I$116</definedName>
    <definedName function="false" hidden="false" name="WIF_Spend_it_substrate_2030" vbProcedure="false">Interface!$J$116</definedName>
    <definedName function="false" hidden="false" name="WIF_Spend_it_substrate_2031" vbProcedure="false">Interface!$K$116</definedName>
    <definedName function="false" hidden="false" name="WIF_Spend_it_substrate_2032" vbProcedure="false">Interface!$L$116</definedName>
    <definedName function="false" hidden="false" name="WIF_Spend_it_sum_2024" vbProcedure="false">Interface!$D$120</definedName>
    <definedName function="false" hidden="false" name="WIF_Spend_it_sum_2025" vbProcedure="false">Interface!$E$120</definedName>
    <definedName function="false" hidden="false" name="WIF_Spend_it_sum_2026" vbProcedure="false">Interface!$F$120</definedName>
    <definedName function="false" hidden="false" name="WIF_Spend_it_sum_2027" vbProcedure="false">Interface!$G$120</definedName>
    <definedName function="false" hidden="false" name="WIF_Spend_it_sum_2028" vbProcedure="false">Interface!$H$120</definedName>
    <definedName function="false" hidden="false" name="WIF_Spend_it_sum_2029" vbProcedure="false">Interface!$I$120</definedName>
    <definedName function="false" hidden="false" name="WIF_Spend_it_sum_2030" vbProcedure="false">Interface!$J$120</definedName>
    <definedName function="false" hidden="false" name="WIF_Spend_it_sum_2031" vbProcedure="false">Interface!$K$120</definedName>
    <definedName function="false" hidden="false" name="WIF_Spend_it_sum_2032" vbProcedure="false">Interface!$L$120</definedName>
    <definedName function="false" hidden="false" name="WIF_Spend_self_gen_2024" vbProcedure="false">Interface!$D$132</definedName>
    <definedName function="false" hidden="false" name="WIF_Spend_self_gen_2025" vbProcedure="false">Interface!$E$132</definedName>
    <definedName function="false" hidden="false" name="WIF_Spend_self_gen_2026" vbProcedure="false">Interface!$F$132</definedName>
    <definedName function="false" hidden="false" name="WIF_Spend_self_gen_2027" vbProcedure="false">Interface!$G$132</definedName>
    <definedName function="false" hidden="false" name="WIF_Spend_self_gen_2028" vbProcedure="false">Interface!$H$132</definedName>
    <definedName function="false" hidden="false" name="WIF_Spend_self_gen_2029" vbProcedure="false">Interface!$I$132</definedName>
    <definedName function="false" hidden="false" name="WIF_Spend_self_gen_2030" vbProcedure="false">Interface!$J$132</definedName>
    <definedName function="false" hidden="false" name="WIF_Spend_self_gen_2031" vbProcedure="false">Interface!$K$132</definedName>
    <definedName function="false" hidden="false" name="WIF_Spend_self_gen_2032" vbProcedure="false">Interface!$L$132</definedName>
    <definedName function="false" hidden="false" name="WIF_Spend_total_2024" vbProcedure="false">Interface!$D$133</definedName>
    <definedName function="false" hidden="false" name="WIF_Spend_total_2025" vbProcedure="false">Interface!$E$133</definedName>
    <definedName function="false" hidden="false" name="WIF_Spend_total_2026" vbProcedure="false">Interface!$F$133</definedName>
    <definedName function="false" hidden="false" name="WIF_Spend_total_2027" vbProcedure="false">Interface!$G$133</definedName>
    <definedName function="false" hidden="false" name="WIF_Spend_total_2028" vbProcedure="false">Interface!$H$133</definedName>
    <definedName function="false" hidden="false" name="WIF_Spend_total_2029" vbProcedure="false">Interface!$I$133</definedName>
    <definedName function="false" hidden="false" name="WIF_Spend_total_2030" vbProcedure="false">Interface!$J$133</definedName>
    <definedName function="false" hidden="false" name="WIF_Spend_total_2031" vbProcedure="false">Interface!$K$133</definedName>
    <definedName function="false" hidden="false" name="WIF_Spend_total_2032" vbProcedure="false">Interface!$L$133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<sst xmlns="http://schemas.openxmlformats.org/spreadsheetml/2006/main" count="27842" uniqueCount="11736">
  <si>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v0.1.7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20261031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</si>
  <si>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</si>
  <si>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</si>
  <si>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</si>
  <si>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資金來源｜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資金缺口（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</si>
  <si>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</si>
  <si>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</si>
  <si>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</si>
  <si>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</si>
  <si>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</si>
  <si>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r>
      <rPr>
        <b val="true"/>
        <sz val="13"/>
        <rFont val="Cambria"/>
        <family val="0"/>
        <charset val="1"/>
      </rPr>
      <t xml:space="preserve">v0.1.4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財報 </t>
    </r>
    <r>
      <rPr>
        <b val="true"/>
        <sz val="13"/>
        <rFont val="Cambria"/>
        <family val="0"/>
        <charset val="1"/>
      </rPr>
      <t xml:space="preserve">F#255–257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AWS backlog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Amazon 2027 </t>
    </r>
    <r>
      <rPr>
        <b val="true"/>
        <sz val="13"/>
        <rFont val="Noto Sans CJK SC"/>
        <family val="2"/>
      </rPr>
      <t xml:space="preserve">資本支出未量化指引、</t>
    </r>
    <r>
      <rPr>
        <b val="true"/>
        <sz val="13"/>
        <rFont val="Cambria"/>
        <family val="0"/>
        <charset val="1"/>
      </rPr>
      <t xml:space="preserve">Meta 9-30 </t>
    </r>
    <r>
      <rPr>
        <b val="true"/>
        <sz val="13"/>
        <rFont val="Noto Sans CJK SC"/>
        <family val="2"/>
      </rPr>
      <t xml:space="preserve">債務與現金）。</t>
    </r>
  </si>
  <si>
    <r>
      <rPr>
        <b val="true"/>
        <sz val="13"/>
        <rFont val="Cambria"/>
        <family val="0"/>
        <charset val="1"/>
      </rPr>
      <t xml:space="preserve">v0.1.5</t>
    </r>
    <r>
      <rPr>
        <b val="true"/>
        <sz val="13"/>
        <rFont val="Noto Sans CJK SC"/>
        <family val="2"/>
      </rPr>
      <t xml:space="preserve">：補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覆蓋率（</t>
    </r>
    <r>
      <rPr>
        <b val="true"/>
        <sz val="13"/>
        <rFont val="Cambria"/>
        <family val="0"/>
        <charset val="1"/>
      </rPr>
      <t xml:space="preserve">J </t>
    </r>
    <r>
      <rPr>
        <b val="true"/>
        <sz val="13"/>
        <rFont val="Noto Sans CJK SC"/>
        <family val="2"/>
      </rPr>
      <t xml:space="preserve">段）：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站點時間線逐頁、公司與電力公司文件、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</t>
    </r>
    <r>
      <rPr>
        <b val="true"/>
        <sz val="13"/>
        <rFont val="Cambria"/>
        <family val="0"/>
        <charset val="1"/>
      </rPr>
      <t xml:space="preserve">2026-10-30 </t>
    </r>
    <r>
      <rPr>
        <b val="true"/>
        <sz val="13"/>
        <rFont val="Noto Sans CJK SC"/>
        <family val="2"/>
      </rPr>
      <t xml:space="preserve">送件，經未參與代理開原文複核（</t>
    </r>
    <r>
      <rPr>
        <b val="true"/>
        <sz val="13"/>
        <rFont val="Cambria"/>
        <family val="0"/>
        <charset val="1"/>
      </rPr>
      <t xml:space="preserve">30 </t>
    </r>
    <r>
      <rPr>
        <b val="true"/>
        <sz val="13"/>
        <rFont val="Noto Sans CJK SC"/>
        <family val="2"/>
      </rPr>
      <t xml:space="preserve">列可用、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列無法核對）後合併——新增 </t>
    </r>
    <r>
      <rPr>
        <b val="true"/>
        <sz val="13"/>
        <rFont val="Cambria"/>
        <family val="0"/>
        <charset val="1"/>
      </rPr>
      <t xml:space="preserve">T2 27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Google Fort Wayne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Cedar Rapids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Storey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Columbus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Lincoln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Goodnight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AWS New Albany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Ridgeland B5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Berwick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Black Pearl DH4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Meta Montgomery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Cheyenne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Bowling Green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Oracle Saline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棟、</t>
    </r>
    <r>
      <rPr>
        <b val="true"/>
        <sz val="13"/>
        <rFont val="Cambria"/>
        <family val="0"/>
        <charset val="1"/>
      </rPr>
      <t xml:space="preserve">Red Oak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Nebius Mäntsälä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Nscale Sines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Lake Mariner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2028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Van Buren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Kozani</t>
    </r>
    <r>
      <rPr>
        <b val="true"/>
        <sz val="13"/>
        <rFont val="Noto Sans CJK SC"/>
        <family val="2"/>
      </rPr>
      <t xml:space="preserve">），改既有 </t>
    </r>
    <r>
      <rPr>
        <b val="true"/>
        <sz val="13"/>
        <rFont val="Cambria"/>
        <family val="0"/>
        <charset val="1"/>
      </rPr>
      <t xml:space="preserve">6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Shackelford </t>
    </r>
    <r>
      <rPr>
        <b val="true"/>
        <sz val="13"/>
        <rFont val="Noto Sans CJK SC"/>
        <family val="2"/>
      </rPr>
      <t xml:space="preserve">依 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時程前移、</t>
    </r>
    <r>
      <rPr>
        <b val="true"/>
        <sz val="13"/>
        <rFont val="Cambria"/>
        <family val="0"/>
        <charset val="1"/>
      </rPr>
      <t xml:space="preserve">Saline 1,383→922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Lordstown </t>
    </r>
    <r>
      <rPr>
        <b val="true"/>
        <sz val="13"/>
        <rFont val="Noto Sans CJK SC"/>
        <family val="2"/>
      </rPr>
      <t xml:space="preserve">納入、</t>
    </r>
    <r>
      <rPr>
        <b val="true"/>
        <sz val="13"/>
        <rFont val="Cambria"/>
        <family val="0"/>
        <charset val="1"/>
      </rPr>
      <t xml:space="preserve">Nebius PA 260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Lappeenranta 70 </t>
    </r>
    <r>
      <rPr>
        <b val="true"/>
        <sz val="13"/>
        <rFont val="Noto Sans CJK SC"/>
        <family val="2"/>
      </rPr>
      <t xml:space="preserve">納入）。</t>
    </r>
    <r>
      <rPr>
        <b val="true"/>
        <sz val="13"/>
        <rFont val="Cambria"/>
        <family val="0"/>
        <charset val="1"/>
      </rPr>
      <t xml:space="preserve">WIF_Coverage_2027 0.377→0.526</t>
    </r>
    <r>
      <rPr>
        <b val="true"/>
        <sz val="13"/>
        <rFont val="Noto Sans CJK SC"/>
        <family val="2"/>
      </rPr>
      <t xml:space="preserve">；只動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年以後的上線量，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年底不變。</t>
    </r>
  </si>
  <si>
    <r>
      <rPr>
        <b val="true"/>
        <sz val="13"/>
        <rFont val="Cambria"/>
        <family val="0"/>
        <charset val="1"/>
      </rPr>
      <t xml:space="preserve">v0.1.6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K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2028H2–2032 </t>
    </r>
    <r>
      <rPr>
        <b val="true"/>
        <sz val="13"/>
        <rFont val="Noto Sans CJK SC"/>
        <family val="2"/>
      </rPr>
      <t xml:space="preserve">證據（未參與代理複核：屬實 </t>
    </r>
    <r>
      <rPr>
        <b val="true"/>
        <sz val="13"/>
        <rFont val="Cambria"/>
        <family val="0"/>
        <charset val="1"/>
      </rPr>
      <t xml:space="preserve">26</t>
    </r>
    <r>
      <rPr>
        <b val="true"/>
        <sz val="13"/>
        <rFont val="Noto Sans CJK SC"/>
        <family val="2"/>
      </rPr>
      <t xml:space="preserve">、小誤 </t>
    </r>
    <r>
      <rPr>
        <b val="true"/>
        <sz val="13"/>
        <rFont val="Cambria"/>
        <family val="0"/>
        <charset val="1"/>
      </rPr>
      <t xml:space="preserve">9</t>
    </r>
    <r>
      <rPr>
        <b val="true"/>
        <sz val="13"/>
        <rFont val="Noto Sans CJK SC"/>
        <family val="2"/>
      </rPr>
      <t xml:space="preserve">）——新增 </t>
    </r>
    <r>
      <rPr>
        <b val="true"/>
        <sz val="13"/>
        <rFont val="Cambria"/>
        <family val="0"/>
        <charset val="1"/>
      </rPr>
      <t xml:space="preserve">T2 33 </t>
    </r>
    <r>
      <rPr>
        <b val="true"/>
        <sz val="13"/>
        <rFont val="Noto Sans CJK SC"/>
        <family val="2"/>
      </rPr>
      <t xml:space="preserve">列：站點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Microsoft Pecos 2,000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Catawba 720 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Rome 422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Aragón 150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Google Visakhapatnam 1,000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CoreWeave Helios III 132</t>
    </r>
    <r>
      <rPr>
        <b val="true"/>
        <sz val="13"/>
        <rFont val="Noto Sans CJK SC"/>
        <family val="2"/>
      </rPr>
      <t xml:space="preserve">）、電力證據路徑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NIPSCO–Amazon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1,200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Georgia Power–OpenAI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2,200</t>
    </r>
    <r>
      <rPr>
        <b val="true"/>
        <sz val="13"/>
        <rFont val="Noto Sans CJK SC"/>
        <family val="2"/>
      </rPr>
      <t xml:space="preserve">；只進 </t>
    </r>
    <r>
      <rPr>
        <b val="true"/>
        <sz val="13"/>
        <rFont val="Cambria"/>
        <family val="0"/>
        <charset val="1"/>
      </rPr>
      <t xml:space="preserve">WIF_Coverage_Power</t>
    </r>
    <r>
      <rPr>
        <b val="true"/>
        <sz val="13"/>
        <rFont val="Noto Sans CJK SC"/>
        <family val="2"/>
      </rPr>
      <t xml:space="preserve">，不入 </t>
    </r>
    <r>
      <rPr>
        <b val="true"/>
        <sz val="13"/>
        <rFont val="Cambria"/>
        <family val="0"/>
        <charset val="1"/>
      </rPr>
      <t xml:space="preserve">Players</t>
    </r>
    <r>
      <rPr>
        <b val="true"/>
        <sz val="13"/>
        <rFont val="Noto Sans CJK SC"/>
        <family val="2"/>
      </rPr>
      <t xml:space="preserve">）、未核准合約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）。新名稱 </t>
    </r>
    <r>
      <rPr>
        <b val="true"/>
        <sz val="13"/>
        <rFont val="Cambria"/>
        <family val="0"/>
        <charset val="1"/>
      </rPr>
      <t xml:space="preserve">WIF_Coverage_Power_&lt;yyyy&gt;</t>
    </r>
    <r>
      <rPr>
        <b val="true"/>
        <sz val="13"/>
        <rFont val="Noto Sans CJK SC"/>
        <family val="2"/>
      </rPr>
      <t xml:space="preserve">。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年以前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變動，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年主路徑與 </t>
    </r>
    <r>
      <rPr>
        <b val="true"/>
        <sz val="13"/>
        <rFont val="Cambria"/>
        <family val="0"/>
        <charset val="1"/>
      </rPr>
      <t xml:space="preserve">SiteOnly </t>
    </r>
    <r>
      <rPr>
        <b val="true"/>
        <sz val="13"/>
        <rFont val="Noto Sans CJK SC"/>
        <family val="2"/>
      </rPr>
      <t xml:space="preserve">不變。</t>
    </r>
  </si>
  <si>
    <r>
      <rPr>
        <b val="true"/>
        <sz val="13"/>
        <rFont val="Cambria"/>
        <family val="0"/>
        <charset val="1"/>
      </rPr>
      <t xml:space="preserve">v0.1.7</t>
    </r>
    <r>
      <rPr>
        <b val="true"/>
        <sz val="13"/>
        <rFont val="Noto Sans CJK SC"/>
        <family val="2"/>
      </rPr>
      <t xml:space="preserve">：新增 </t>
    </r>
    <r>
      <rPr>
        <b val="true"/>
        <sz val="13"/>
        <rFont val="Cambria"/>
        <family val="0"/>
        <charset val="1"/>
      </rPr>
      <t xml:space="preserve">Gap </t>
    </r>
    <r>
      <rPr>
        <b val="true"/>
        <sz val="13"/>
        <rFont val="Noto Sans CJK SC"/>
        <family val="2"/>
      </rPr>
      <t xml:space="preserve">頁（資金缺口；</t>
    </r>
    <r>
      <rPr>
        <b val="true"/>
        <sz val="13"/>
        <rFont val="Cambria"/>
        <family val="0"/>
        <charset val="1"/>
      </rPr>
      <t xml:space="preserve">Andy 2026-10-31 </t>
    </r>
    <r>
      <rPr>
        <b val="true"/>
        <sz val="13"/>
        <rFont val="Noto Sans CJK SC"/>
        <family val="2"/>
      </rPr>
      <t xml:space="preserve">規格）：需要的錢＝新增 </t>
    </r>
    <r>
      <rPr>
        <b val="true"/>
        <sz val="13"/>
        <rFont val="Cambria"/>
        <family val="0"/>
        <charset val="1"/>
      </rPr>
      <t xml:space="preserve">IT 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建置成本（</t>
    </r>
    <r>
      <rPr>
        <b val="true"/>
        <sz val="13"/>
        <rFont val="Cambria"/>
        <family val="0"/>
        <charset val="1"/>
      </rPr>
      <t xml:space="preserve">TK IF_CapexTotal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Cambria"/>
        <family val="0"/>
        <charset val="1"/>
      </rPr>
      <t xml:space="preserve">Spend </t>
    </r>
    <r>
      <rPr>
        <b val="true"/>
        <sz val="13"/>
        <rFont val="Noto Sans CJK SC"/>
        <family val="2"/>
      </rPr>
      <t xml:space="preserve">同式、廠房與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同式；廠房提前 </t>
    </r>
    <r>
      <rPr>
        <b val="true"/>
        <sz val="13"/>
        <rFont val="Cambria"/>
        <family val="0"/>
        <charset val="1"/>
      </rPr>
      <t xml:space="preserve">lag_bldg</t>
    </r>
    <r>
      <rPr>
        <b val="true"/>
        <sz val="13"/>
        <rFont val="Noto Sans CJK SC"/>
        <family val="2"/>
      </rPr>
      <t xml:space="preserve">），每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只在擁有者計一次；錢從哪來＝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家全公司營業現金流（個股模型基準情境，不扣買回股利）＋已觀測外部融資（</t>
    </r>
    <r>
      <rPr>
        <b val="true"/>
        <sz val="13"/>
        <rFont val="Cambria"/>
        <family val="0"/>
        <charset val="1"/>
      </rPr>
      <t xml:space="preserve">2024–2025</t>
    </r>
    <r>
      <rPr>
        <b val="true"/>
        <sz val="13"/>
        <rFont val="Noto Sans CJK SC"/>
        <family val="2"/>
      </rPr>
      <t xml:space="preserve">）；『整個市場當一間公司』逐情景列需要三層（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、市場其餘、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家非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）、來源兩層、尚需新融資與累計仍未安排；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新節 </t>
    </r>
    <r>
      <rPr>
        <b val="true"/>
        <sz val="13"/>
        <rFont val="Cambria"/>
        <family val="0"/>
        <charset val="1"/>
      </rPr>
      <t xml:space="preserve">Y9</t>
    </r>
    <r>
      <rPr>
        <b val="true"/>
        <sz val="13"/>
        <rFont val="Noto Sans CJK SC"/>
        <family val="2"/>
      </rPr>
      <t xml:space="preserve">（個股模型基準值）；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新增 </t>
    </r>
    <r>
      <rPr>
        <b val="true"/>
        <sz val="13"/>
        <rFont val="Cambria"/>
        <family val="0"/>
        <charset val="1"/>
      </rPr>
      <t xml:space="preserve">WIF_Gap_*</t>
    </r>
    <r>
      <rPr>
        <b val="true"/>
        <sz val="13"/>
        <rFont val="Noto Sans CJK SC"/>
        <family val="2"/>
      </rPr>
      <t xml:space="preserve">；既有 </t>
    </r>
    <r>
      <rPr>
        <b val="true"/>
        <sz val="13"/>
        <rFont val="Cambria"/>
        <family val="0"/>
        <charset val="1"/>
      </rPr>
      <t xml:space="preserve">WIF_ </t>
    </r>
    <r>
      <rPr>
        <b val="true"/>
        <sz val="13"/>
        <rFont val="Noto Sans CJK SC"/>
        <family val="2"/>
      </rPr>
      <t xml:space="preserve">名稱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變動。判斷題 </t>
    </r>
    <r>
      <rPr>
        <b val="true"/>
        <sz val="13"/>
        <rFont val="Cambria"/>
        <family val="0"/>
        <charset val="1"/>
      </rPr>
      <t xml:space="preserve">G1–G6 </t>
    </r>
    <r>
      <rPr>
        <b val="true"/>
        <sz val="13"/>
        <rFont val="Noto Sans CJK SC"/>
        <family val="2"/>
      </rPr>
      <t xml:space="preserve">見 </t>
    </r>
    <r>
      <rPr>
        <b val="true"/>
        <sz val="13"/>
        <rFont val="Cambria"/>
        <family val="0"/>
        <charset val="1"/>
      </rPr>
      <t xml:space="preserve">Decisions GL01-25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GL01-33</t>
    </r>
    <r>
      <rPr>
        <b val="true"/>
        <sz val="13"/>
        <rFont val="Noto Sans CJK SC"/>
        <family val="2"/>
      </rPr>
      <t xml:space="preserve">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</si>
  <si>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</si>
  <si>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</si>
  <si>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</si>
  <si>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</si>
  <si>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</si>
  <si>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</si>
  <si>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</si>
  <si>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</si>
  <si>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</si>
  <si>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</si>
  <si>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</si>
  <si>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</si>
  <si>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</si>
  <si>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</si>
  <si>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</si>
  <si>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</si>
  <si>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</si>
  <si>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</si>
  <si>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</si>
  <si>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</si>
  <si>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</si>
  <si>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</si>
  <si>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</si>
  <si>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</si>
  <si>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</si>
  <si>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</si>
  <si>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</si>
  <si>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</si>
  <si>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</si>
  <si>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</si>
  <si>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</si>
  <si>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</si>
  <si>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</si>
  <si>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</si>
  <si>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</si>
  <si>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</si>
  <si>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</si>
  <si>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</si>
  <si>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</si>
  <si>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</si>
  <si>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</si>
  <si>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</si>
  <si>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</si>
  <si>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</si>
  <si>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</si>
  <si>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</si>
  <si>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</si>
  <si>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</si>
  <si>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</si>
  <si>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</si>
  <si>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</si>
  <si>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</si>
  <si>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</si>
  <si>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</si>
  <si>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</si>
  <si>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</si>
  <si>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</si>
  <si>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</si>
  <si>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</si>
  <si>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</si>
  <si>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</si>
  <si>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</si>
  <si>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</si>
  <si>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</si>
  <si>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</si>
  <si>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</si>
  <si>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</si>
  <si>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</si>
  <si>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</si>
  <si>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</si>
  <si>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</si>
  <si>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</si>
  <si>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</si>
  <si>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</si>
  <si>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</si>
  <si>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</si>
  <si>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</si>
  <si>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</si>
  <si>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</si>
  <si>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</si>
  <si>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</si>
  <si>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</si>
  <si>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</si>
  <si>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</si>
  <si>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</si>
  <si>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</si>
  <si>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</si>
  <si>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</si>
  <si>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</si>
  <si>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</si>
  <si>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</si>
  <si>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</si>
  <si>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</si>
  <si>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</si>
  <si>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</si>
  <si>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</si>
  <si>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</si>
  <si>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</si>
  <si>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</si>
  <si>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</si>
  <si>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</si>
  <si>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</si>
  <si>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</si>
  <si>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</si>
  <si>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</si>
  <si>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</si>
  <si>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</si>
  <si>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</si>
  <si>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</si>
  <si>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</si>
  <si>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</si>
  <si>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</si>
  <si>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</si>
  <si>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</si>
  <si>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</si>
  <si>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</si>
  <si>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</si>
  <si>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</si>
  <si>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</si>
  <si>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</si>
  <si>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</si>
  <si>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</si>
  <si>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</si>
  <si>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</si>
  <si>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</si>
  <si>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</si>
  <si>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</si>
  <si>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</si>
  <si>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</si>
  <si>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</si>
  <si>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</si>
  <si>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</si>
  <si>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</si>
  <si>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</si>
  <si>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</si>
  <si>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</si>
  <si>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</si>
  <si>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</si>
  <si>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</si>
  <si>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</si>
  <si>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</si>
  <si>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</si>
  <si>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</si>
  <si>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</si>
  <si>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</si>
  <si>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</si>
  <si>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</si>
  <si>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</si>
  <si>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</si>
  <si>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</si>
  <si>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</si>
  <si>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</si>
  <si>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</si>
  <si>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</si>
  <si>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</si>
  <si>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</si>
  <si>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</si>
  <si>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</si>
  <si>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</si>
  <si>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</si>
  <si>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</si>
  <si>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</si>
  <si>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</si>
  <si>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</si>
  <si>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</si>
  <si>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</si>
  <si>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</si>
  <si>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</si>
  <si>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</si>
  <si>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</si>
  <si>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</si>
  <si>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</si>
  <si>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</si>
  <si>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</si>
  <si>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</si>
  <si>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</si>
  <si>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</si>
  <si>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</si>
  <si>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</si>
  <si>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</si>
  <si>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</si>
  <si>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</si>
  <si>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</si>
  <si>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</si>
  <si>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</si>
  <si>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</si>
  <si>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</si>
  <si>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</si>
  <si>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</si>
  <si>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</si>
  <si>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</si>
  <si>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</si>
  <si>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</si>
  <si>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</si>
  <si>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</si>
  <si>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</si>
  <si>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</si>
  <si>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</si>
  <si>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</si>
  <si>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</si>
  <si>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</si>
  <si>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</si>
  <si>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</si>
  <si>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</si>
  <si>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</si>
  <si>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</si>
  <si>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</si>
  <si>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</si>
  <si>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</si>
  <si>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</si>
  <si>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</si>
  <si>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</si>
  <si>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</si>
  <si>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</si>
  <si>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</si>
  <si>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</si>
  <si>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</si>
  <si>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</si>
  <si>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</si>
  <si>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</si>
  <si>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</si>
  <si>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</si>
  <si>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</si>
  <si>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</si>
  <si>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</si>
  <si>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</si>
  <si>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</si>
  <si>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</si>
  <si>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</si>
  <si>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</si>
  <si>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</si>
  <si>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</si>
  <si>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</si>
  <si>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</si>
  <si>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</si>
  <si>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</si>
  <si>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</si>
  <si>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</si>
  <si>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</si>
  <si>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</si>
  <si>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</si>
  <si>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</si>
  <si>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</si>
  <si>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</si>
  <si>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</si>
  <si>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</si>
  <si>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</si>
  <si>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</si>
  <si>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</si>
  <si>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</si>
  <si>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</si>
  <si>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</si>
  <si>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</si>
  <si>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</si>
  <si>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</si>
  <si>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</si>
  <si>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</si>
  <si>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</si>
  <si>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</si>
  <si>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</si>
  <si>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</si>
  <si>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</si>
  <si>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</si>
  <si>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</si>
  <si>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</si>
  <si>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</si>
  <si>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</si>
  <si>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</si>
  <si>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</si>
  <si>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</si>
  <si>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</si>
  <si>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</si>
  <si>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</si>
  <si>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</si>
  <si>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</si>
  <si>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</si>
  <si>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</si>
  <si>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</si>
  <si>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</si>
  <si>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</si>
  <si>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</si>
  <si>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</si>
  <si>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</si>
  <si>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</si>
  <si>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</si>
  <si>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</si>
  <si>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</si>
  <si>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</si>
  <si>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</si>
  <si>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</si>
  <si>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</si>
  <si>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</si>
  <si>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</si>
  <si>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</si>
  <si>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</si>
  <si>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</si>
  <si>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</si>
  <si>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</si>
  <si>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</si>
  <si>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</si>
  <si>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</si>
  <si>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</si>
  <si>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</si>
  <si>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</si>
  <si>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</si>
  <si>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</si>
  <si>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</si>
  <si>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</si>
  <si>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</si>
  <si>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</si>
  <si>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</si>
  <si>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</si>
  <si>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</si>
  <si>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</si>
  <si>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</si>
  <si>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</si>
  <si>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</si>
  <si>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</si>
  <si>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</si>
  <si>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</si>
  <si>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</si>
  <si>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</si>
  <si>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</si>
  <si>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</si>
  <si>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</si>
  <si>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</si>
  <si>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</si>
  <si>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</si>
  <si>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</si>
  <si>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</si>
  <si>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</si>
  <si>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</si>
  <si>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</si>
  <si>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</si>
  <si>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</si>
  <si>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</si>
  <si>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</si>
  <si>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</si>
  <si>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</si>
  <si>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</si>
  <si>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</si>
  <si>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</si>
  <si>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</si>
  <si>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</si>
  <si>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</si>
  <si>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</si>
  <si>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</si>
  <si>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</si>
  <si>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</si>
  <si>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</si>
  <si>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</si>
  <si>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</si>
  <si>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</si>
  <si>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</si>
  <si>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</si>
  <si>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</si>
  <si>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</si>
  <si>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</si>
  <si>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</si>
  <si>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</si>
  <si>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</si>
  <si>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</si>
  <si>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</si>
  <si>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</si>
  <si>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</si>
  <si>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</si>
  <si>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</si>
  <si>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</si>
  <si>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</si>
  <si>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</si>
  <si>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</si>
  <si>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</si>
  <si>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</si>
  <si>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</si>
  <si>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</si>
  <si>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</si>
  <si>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</si>
  <si>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</si>
  <si>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</si>
  <si>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</si>
  <si>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</si>
  <si>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</si>
  <si>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</si>
  <si>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</si>
  <si>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</si>
  <si>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</si>
  <si>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</si>
  <si>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</si>
  <si>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</si>
  <si>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</si>
  <si>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</si>
  <si>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</si>
  <si>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</si>
  <si>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</si>
  <si>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</si>
  <si>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</si>
  <si>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</si>
  <si>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</si>
  <si>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</si>
  <si>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</si>
  <si>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</si>
  <si>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</si>
  <si>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</si>
  <si>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</si>
  <si>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</si>
  <si>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</si>
  <si>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</si>
  <si>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</si>
  <si>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</si>
  <si>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</si>
  <si>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</si>
  <si>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</si>
  <si>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</si>
  <si>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</si>
  <si>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</si>
  <si>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</si>
  <si>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</si>
  <si>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</si>
  <si>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</si>
  <si>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</si>
  <si>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</si>
  <si>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</si>
  <si>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</si>
  <si>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</si>
  <si>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</si>
  <si>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</si>
  <si>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</si>
  <si>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</si>
  <si>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</si>
  <si>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</si>
  <si>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</si>
  <si>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</si>
  <si>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</si>
  <si>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</si>
  <si>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</si>
  <si>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</si>
  <si>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</si>
  <si>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</si>
  <si>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</si>
  <si>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</si>
  <si>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</si>
  <si>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</si>
  <si>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</si>
  <si>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</si>
  <si>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</si>
  <si>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</si>
  <si>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</si>
  <si>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</si>
  <si>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</si>
  <si>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</si>
  <si>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</si>
  <si>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</si>
  <si>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</si>
  <si>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</si>
  <si>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</si>
  <si>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</si>
  <si>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</si>
  <si>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</si>
  <si>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</si>
  <si>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</si>
  <si>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</si>
  <si>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</si>
  <si>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</si>
  <si>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</si>
  <si>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</si>
  <si>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</si>
  <si>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</si>
  <si>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</si>
  <si>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</si>
  <si>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</si>
  <si>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</si>
  <si>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</si>
  <si>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</si>
  <si>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</si>
  <si>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</si>
  <si>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</si>
  <si>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</si>
  <si>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</si>
  <si>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</si>
  <si>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</si>
  <si>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</si>
  <si>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</si>
  <si>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</si>
  <si>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</si>
  <si>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</si>
  <si>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</si>
  <si>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</si>
  <si>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</si>
  <si>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</si>
  <si>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Y9. </t>
    </r>
    <r>
      <rPr>
        <b val="true"/>
        <sz val="11"/>
        <rFont val="Noto Sans CJK SC"/>
        <family val="2"/>
      </rPr>
      <t xml:space="preserve">資金缺口：個股模型基準值（欄＝公司財年；</t>
    </r>
    <r>
      <rPr>
        <b val="true"/>
        <sz val="11"/>
        <rFont val="Cambria"/>
        <family val="0"/>
        <charset val="1"/>
      </rPr>
      <t xml:space="preserve">Gap </t>
    </r>
    <r>
      <rPr>
        <b val="true"/>
        <sz val="11"/>
        <rFont val="Noto Sans CJK SC"/>
        <family val="2"/>
      </rPr>
      <t xml:space="preserve">頁依財年結束月換成曆年；</t>
    </r>
    <r>
      <rPr>
        <b val="true"/>
        <sz val="11"/>
        <rFont val="Cambria"/>
        <family val="0"/>
        <charset val="1"/>
      </rPr>
      <t xml:space="preserve">tools/import_gap_models.py </t>
    </r>
    <r>
      <rPr>
        <b val="true"/>
        <sz val="11"/>
        <rFont val="Noto Sans CJK SC"/>
        <family val="2"/>
      </rPr>
      <t xml:space="preserve">首建，之後以本頁為準；空白＝無模型值，不外推、不補估）</t>
    </r>
  </si>
  <si>
    <t xml:space="preserve">gocf_msft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</si>
  <si>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</si>
  <si>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為財報）</t>
    </r>
  </si>
  <si>
    <t xml:space="preserve">SRC_GL_310</t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</si>
  <si>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「營業現金流」；財年結束月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；工作單寫『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已確認 </t>
    </r>
    <r>
      <rPr>
        <sz val="11"/>
        <color theme="1"/>
        <rFont val="Calibri"/>
        <family val="2"/>
        <charset val="1"/>
      </rPr>
      <t xml:space="preserve">CF!A23</t>
    </r>
    <r>
      <rPr>
        <sz val="11"/>
        <color theme="1"/>
        <rFont val="Noto Sans CJK SC"/>
        <family val="2"/>
      </rPr>
      <t xml:space="preserve">』，但 </t>
    </r>
    <r>
      <rPr>
        <sz val="11"/>
        <color theme="1"/>
        <rFont val="Calibri"/>
        <family val="2"/>
        <charset val="1"/>
      </rPr>
      <t xml:space="preserve">A23 </t>
    </r>
    <r>
      <rPr>
        <sz val="11"/>
        <color theme="1"/>
        <rFont val="Noto Sans CJK SC"/>
        <family val="2"/>
      </rPr>
      <t xml:space="preserve">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（樂觀）區塊；基準情境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為第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列，本表採 </t>
    </r>
    <r>
      <rPr>
        <sz val="11"/>
        <color theme="1"/>
        <rFont val="Calibri"/>
        <family val="2"/>
        <charset val="1"/>
      </rPr>
      <t xml:space="preserve">B</t>
    </r>
  </si>
  <si>
    <t xml:space="preserve">gcapai_msft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</si>
  <si>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</si>
  <si>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</si>
  <si>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gnai_msft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</si>
  <si>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</si>
  <si>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／年限折舊，折舊由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營業利益扣除）」；財年結束月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另加第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列（補足指引下限的其他資本支出，不增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，模型以非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折舊；只有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有值）</t>
    </r>
  </si>
  <si>
    <t xml:space="preserve">gcap_msft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</si>
  <si>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</si>
  <si>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CF!K59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CF!A–C59</t>
    </r>
    <r>
      <rPr>
        <sz val="11"/>
        <color theme="1"/>
        <rFont val="Noto Sans CJK SC"/>
        <family val="2"/>
      </rPr>
      <t xml:space="preserve">「資本支出合計（公司口徑，含融資租賃）」；財年結束月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</si>
  <si>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gbb_msft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</si>
  <si>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</si>
  <si>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CF!A–C64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CF!A–C67</t>
    </r>
    <r>
      <rPr>
        <sz val="11"/>
        <color theme="1"/>
        <rFont val="Noto Sans CJK SC"/>
        <family val="2"/>
      </rPr>
      <t xml:space="preserve">「回購（現金不足時先減）」；財年結束月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</si>
  <si>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</si>
  <si>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</si>
  <si>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CF!E69</t>
    </r>
    <r>
      <rPr>
        <sz val="11"/>
        <color theme="1"/>
        <rFont val="Noto Sans CJK SC"/>
        <family val="2"/>
      </rPr>
      <t xml:space="preserve">「現金與短期投資（年底）」；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</si>
  <si>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</si>
  <si>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</si>
  <si>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為財報，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</si>
  <si>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SRC_GL_311</t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</si>
  <si>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</si>
  <si>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gcapai_googl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</si>
  <si>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</si>
  <si>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未拆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無模型值</t>
    </r>
  </si>
  <si>
    <t xml:space="preserve">gnai_googl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</si>
  <si>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</si>
  <si>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</si>
  <si>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</si>
  <si>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</si>
  <si>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</si>
  <si>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</si>
  <si>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</si>
  <si>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</si>
  <si>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</si>
  <si>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</si>
  <si>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「期初現金（現金＋債權類有價證券）」；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</si>
  <si>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</si>
  <si>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</si>
  <si>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SRC_GL_312</t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</si>
  <si>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</si>
  <si>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</si>
  <si>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</si>
  <si>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</si>
  <si>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gnai_amzn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</si>
  <si>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</si>
  <si>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其他營收）」；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</t>
    </r>
  </si>
  <si>
    <t xml:space="preserve">gcap_amzn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</si>
  <si>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</si>
  <si>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「資本支出（現金，淨額）」；財年結束月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</si>
  <si>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</si>
  <si>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</si>
  <si>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</si>
  <si>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</si>
  <si>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</si>
  <si>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CF!D64</t>
    </r>
    <r>
      <rPr>
        <sz val="11"/>
        <color theme="1"/>
        <rFont val="Noto Sans CJK SC"/>
        <family val="2"/>
      </rPr>
      <t xml:space="preserve">「期末現金與有價證券」；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</t>
    </r>
  </si>
  <si>
    <t xml:space="preserve">gocf_meta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</si>
  <si>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</si>
  <si>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SRC_GL_313</t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</si>
  <si>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</si>
  <si>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gcapai_meta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</si>
  <si>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</si>
  <si>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</si>
  <si>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</si>
  <si>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</si>
  <si>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</si>
  <si>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</si>
  <si>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</si>
  <si>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「資本支出合計（含融資租賃本金）」；財年結束月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</si>
  <si>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</si>
  <si>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</si>
  <si>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</si>
  <si>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</si>
  <si>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</si>
  <si>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</si>
  <si>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</si>
  <si>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</si>
  <si>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SRC_GL_314</t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</si>
  <si>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</si>
  <si>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gcapai_orcl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</si>
  <si>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</si>
  <si>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</si>
  <si>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gnai_orcl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</si>
  <si>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</si>
  <si>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空白 → 無模型值</t>
    </r>
  </si>
  <si>
    <t xml:space="preserve">gcap_orcl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</si>
  <si>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</si>
  <si>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</si>
  <si>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gbb_orcl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</si>
  <si>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</si>
  <si>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CF!I60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CF!A–C60</t>
    </r>
    <r>
      <rPr>
        <sz val="11"/>
        <color theme="1"/>
        <rFont val="Noto Sans CJK SC"/>
        <family val="2"/>
      </rPr>
      <t xml:space="preserve">「股利（普通股＋特別股）」；財年結束月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；只有股利；模型無回購列</t>
    </r>
  </si>
  <si>
    <t xml:space="preserve">gcash_orcl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</si>
  <si>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</si>
  <si>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CF!D63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末）」；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</si>
  <si>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</si>
  <si>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</si>
  <si>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（個股模型；營業現金流由模型列組合）</t>
    </r>
  </si>
  <si>
    <t xml:space="preserve">SRC_GL_315</t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</si>
  <si>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!G20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!A–C39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!A–C18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!A–C19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!A–C20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出資＋電力／維護 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（＝營運來源 − 租金 − 利息；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3.663</t>
    </r>
    <r>
      <rPr>
        <sz val="11"/>
        <color theme="1"/>
        <rFont val="Noto Sans CJK SC"/>
        <family val="2"/>
      </rPr>
      <t xml:space="preserve">）</t>
    </r>
  </si>
  <si>
    <t xml:space="preserve">gcapai_crwv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</si>
  <si>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</si>
  <si>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</si>
  <si>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</si>
  <si>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</si>
  <si>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</si>
  <si>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</si>
  <si>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</si>
  <si>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</si>
  <si>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</si>
  <si>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</si>
  <si>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））：無模型值：模型無股利、回購列（</t>
    </r>
    <r>
      <rPr>
        <sz val="11"/>
        <color theme="1"/>
        <rFont val="Calibri"/>
        <family val="2"/>
        <charset val="1"/>
      </rPr>
      <t xml:space="preserve">models_extract </t>
    </r>
    <r>
      <rPr>
        <sz val="11"/>
        <color theme="1"/>
        <rFont val="Noto Sans CJK SC"/>
        <family val="2"/>
      </rPr>
      <t xml:space="preserve">標籤註明無股利與回購）</t>
    </r>
  </si>
  <si>
    <t xml:space="preserve">gcash_crwv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</si>
  <si>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</si>
  <si>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!C74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</si>
  <si>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</si>
  <si>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</si>
  <si>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SRC_GL_316</t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</si>
  <si>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!A–C45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!A–C21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!A–C22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4.50</t>
    </r>
    <r>
      <rPr>
        <sz val="11"/>
        <color theme="1"/>
        <rFont val="Noto Sans CJK SC"/>
        <family val="2"/>
      </rPr>
      <t xml:space="preserve">）</t>
    </r>
  </si>
  <si>
    <t xml:space="preserve">gcapai_nbis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</si>
  <si>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</si>
  <si>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</si>
  <si>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</si>
  <si>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</si>
  <si>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</si>
  <si>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</si>
  <si>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</si>
  <si>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</si>
  <si>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</si>
  <si>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</si>
  <si>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））：無模型值：模型無股利、回購列（第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列說明：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不發股息）</t>
    </r>
  </si>
  <si>
    <t xml:space="preserve">gcash_nbis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</si>
  <si>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</si>
  <si>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!C86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</si>
  <si>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</si>
  <si>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</si>
  <si>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（個股模型；營業現金流由模型列組合；原值 </t>
    </r>
    <r>
      <rPr>
        <sz val="11"/>
        <color theme="1"/>
        <rFont val="Calibri"/>
        <family val="2"/>
        <charset val="1"/>
      </rPr>
      <t xml:space="preserve">US$m ÷ 1000</t>
    </r>
    <r>
      <rPr>
        <sz val="11"/>
        <color theme="1"/>
        <rFont val="Noto Sans CJK SC"/>
        <family val="2"/>
      </rPr>
      <t xml:space="preserve">）</t>
    </r>
  </si>
  <si>
    <t xml:space="preserve">SRC_GL_317</t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</si>
  <si>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!G26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!A–C52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股利（普通股＋特別股）」；各期收支</t>
    </r>
    <r>
      <rPr>
        <sz val="11"/>
        <color theme="1"/>
        <rFont val="Calibri"/>
        <family val="2"/>
        <charset val="1"/>
      </rPr>
      <t xml:space="preserve">!A–C25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!A–C26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出資＋股利＋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（營運缺口已扣股利，加回；現金稅留在營業現金流內）；原值 </t>
    </r>
    <r>
      <rPr>
        <sz val="11"/>
        <color theme="1"/>
        <rFont val="Calibri"/>
        <family val="2"/>
        <charset val="1"/>
      </rPr>
      <t xml:space="preserve">US$m</t>
    </r>
  </si>
  <si>
    <t xml:space="preserve">gcapai_wyfi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</si>
  <si>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</si>
  <si>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；雲端＋託管，全為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</t>
    </r>
  </si>
  <si>
    <t xml:space="preserve">gnai_wyfi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</si>
  <si>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</si>
  <si>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</si>
  <si>
    <t xml:space="preserve">gcap_wyfi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</si>
  <si>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</si>
  <si>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</si>
  <si>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</si>
  <si>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</si>
  <si>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；模型股利列（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）；無回購列</t>
    </r>
  </si>
  <si>
    <t xml:space="preserve">gcash_wyfi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</si>
  <si>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</si>
  <si>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!C100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</si>
  <si>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</si>
  <si>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</si>
  <si>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，合併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</si>
  <si>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SRC_GL_318</t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</si>
  <si>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</si>
  <si>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</si>
  <si>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</si>
  <si>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算力）＝</t>
    </r>
    <r>
      <rPr>
        <sz val="11"/>
        <color theme="1"/>
        <rFont val="Calibri"/>
        <family val="2"/>
        <charset val="1"/>
      </rPr>
      <t xml:space="preserve">AI</t>
    </r>
  </si>
  <si>
    <t xml:space="preserve">gnai_xai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</si>
  <si>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</si>
  <si>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</t>
    </r>
  </si>
  <si>
    <t xml:space="preserve">gcap_xai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</si>
  <si>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</si>
  <si>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「資本支出合計（現金）」；財年結束月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</si>
  <si>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</si>
  <si>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</si>
  <si>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））：無模型值：模型無股利、回購列</t>
    </r>
  </si>
  <si>
    <t xml:space="preserve">gcash_xai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</si>
  <si>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</si>
  <si>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</si>
  <si>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</si>
  <si>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</si>
  <si>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、自有資本支出為模型假設）</t>
    </r>
  </si>
  <si>
    <t xml:space="preserve">SRC_GL_319</t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</si>
  <si>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Funding!A–C13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（營收 − 算力現金成本 − 非算力成本）＋ 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頁自有資本支出（算力現金成本內含，屬投資）；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為校準年（模型註明只對照）→ 不取</t>
    </r>
  </si>
  <si>
    <t xml:space="preserve">gcapai_oai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</si>
  <si>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</si>
  <si>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；模型自有資本支出（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180–185 </t>
    </r>
    <r>
      <rPr>
        <sz val="11"/>
        <color theme="1"/>
        <rFont val="Noto Sans CJK SC"/>
        <family val="2"/>
      </rPr>
      <t xml:space="preserve">列，模型標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</si>
  <si>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gnai_oai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</si>
  <si>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</si>
  <si>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</si>
  <si>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</si>
  <si>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</si>
  <si>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</si>
  <si>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</si>
  <si>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</si>
  <si>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</si>
  <si>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</si>
  <si>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</si>
  <si>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Funding!D30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</si>
  <si>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</si>
  <si>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</si>
  <si>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</si>
  <si>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SRC_GL_320</t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</si>
  <si>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Funding!A–C14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F07 </t>
    </r>
    <r>
      <rPr>
        <sz val="11"/>
        <color theme="1"/>
        <rFont val="Noto Sans CJK SC"/>
        <family val="2"/>
      </rPr>
      <t xml:space="preserve">＋ 自建資本支出 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；算力現金成本內含，屬投資）；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欄模型註明只對照 → 不取</t>
    </r>
  </si>
  <si>
    <t xml:space="preserve">gcapai_ant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</si>
  <si>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</si>
  <si>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；自建資本支出（</t>
    </r>
    <r>
      <rPr>
        <sz val="11"/>
        <color theme="1"/>
        <rFont val="Calibri"/>
        <family val="2"/>
        <charset val="1"/>
      </rPr>
      <t xml:space="preserve">Fluidstack $50B </t>
    </r>
    <r>
      <rPr>
        <sz val="11"/>
        <color theme="1"/>
        <rFont val="Noto Sans CJK SC"/>
        <family val="2"/>
      </rPr>
      <t xml:space="preserve">均攤 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</si>
  <si>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gnai_ant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</si>
  <si>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</si>
  <si>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</si>
  <si>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</si>
  <si>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</si>
  <si>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</si>
  <si>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</si>
  <si>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</si>
  <si>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</si>
  <si>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</si>
  <si>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</si>
  <si>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Funding!D42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</si>
  <si>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</si>
  <si>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</si>
  <si>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</si>
  <si>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</si>
  <si>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</si>
  <si>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</si>
  <si>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</si>
  <si>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</si>
  <si>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</si>
  <si>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</si>
  <si>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</si>
  <si>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</si>
  <si>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</si>
  <si>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</si>
  <si>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</si>
  <si>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</si>
  <si>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</si>
  <si>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</si>
  <si>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</si>
  <si>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</si>
  <si>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</si>
  <si>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</si>
  <si>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</si>
  <si>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</si>
  <si>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</si>
  <si>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</si>
  <si>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</si>
  <si>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</si>
  <si>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</si>
  <si>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</si>
  <si>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</si>
  <si>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</si>
  <si>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</si>
  <si>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</si>
  <si>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</si>
  <si>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</si>
  <si>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</si>
  <si>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</si>
  <si>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</si>
  <si>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</si>
  <si>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</si>
  <si>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</si>
  <si>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</si>
  <si>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</si>
  <si>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</si>
  <si>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</si>
  <si>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</si>
  <si>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</si>
  <si>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</si>
  <si>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</si>
  <si>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</si>
  <si>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</si>
  <si>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</si>
  <si>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</si>
  <si>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</si>
  <si>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＝計入；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＝只進電力證據路徑，不入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Pipeline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</si>
  <si>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</si>
  <si>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</si>
  <si>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</si>
  <si>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</si>
  <si>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</si>
  <si>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</si>
  <si>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</si>
  <si>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</si>
  <si>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</si>
  <si>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</si>
  <si>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</si>
  <si>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</si>
  <si>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</si>
  <si>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</si>
  <si>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</si>
  <si>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</si>
  <si>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</si>
  <si>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</si>
  <si>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</si>
  <si>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</si>
  <si>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</si>
  <si>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</si>
  <si>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</si>
  <si>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</si>
  <si>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</si>
  <si>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</si>
  <si>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</si>
  <si>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</si>
  <si>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</si>
  <si>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</si>
  <si>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</si>
  <si>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</si>
  <si>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</si>
  <si>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</si>
  <si>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</si>
  <si>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</si>
  <si>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</si>
  <si>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</si>
  <si>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</si>
  <si>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</si>
  <si>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</si>
  <si>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</si>
  <si>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</si>
  <si>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</si>
  <si>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</si>
  <si>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</si>
  <si>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</si>
  <si>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</si>
  <si>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</si>
  <si>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</si>
  <si>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：依 </t>
    </r>
    <r>
      <rPr>
        <sz val="11"/>
        <color theme="1"/>
        <rFont val="Calibri"/>
        <family val="2"/>
        <charset val="1"/>
      </rPr>
      <t xml:space="preserve">Epoch 2027 </t>
    </r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200→600 </t>
    </r>
    <r>
      <rPr>
        <sz val="11"/>
        <color theme="1"/>
        <rFont val="Noto Sans CJK SC"/>
        <family val="2"/>
      </rPr>
      <t xml:space="preserve">設施、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</si>
  <si>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</si>
  <si>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</si>
  <si>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1,800→1,400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部分移 </t>
    </r>
    <r>
      <rPr>
        <sz val="11"/>
        <color theme="1"/>
        <rFont val="Calibri"/>
        <family val="2"/>
        <charset val="1"/>
      </rPr>
      <t xml:space="preserve">shk1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</si>
  <si>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</si>
  <si>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</si>
  <si>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</si>
  <si>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</si>
  <si>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</si>
  <si>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</si>
  <si>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</si>
  <si>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</si>
  <si>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461 </t>
    </r>
    <r>
      <rPr>
        <sz val="11"/>
        <color theme="1"/>
        <rFont val="Noto Sans CJK SC"/>
        <family val="2"/>
      </rPr>
      <t xml:space="preserve">拆出為 </t>
    </r>
    <r>
      <rPr>
        <sz val="11"/>
        <color theme="1"/>
        <rFont val="Calibri"/>
        <family val="2"/>
        <charset val="1"/>
      </rPr>
      <t xml:space="preserve">cp_orcl_sal_b1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</si>
  <si>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</si>
  <si>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</si>
  <si>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</si>
  <si>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</si>
  <si>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</si>
  <si>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</si>
  <si>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</si>
  <si>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</si>
  <si>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</si>
  <si>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</si>
  <si>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</si>
  <si>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</si>
  <si>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</si>
  <si>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</si>
  <si>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</si>
  <si>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</si>
  <si>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</si>
  <si>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</si>
  <si>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</si>
  <si>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</si>
  <si>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</si>
  <si>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</si>
  <si>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</si>
  <si>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</si>
  <si>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</si>
  <si>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</si>
  <si>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</si>
  <si>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</si>
  <si>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</si>
  <si>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</si>
  <si>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 GW −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餘量見 </t>
    </r>
    <r>
      <rPr>
        <sz val="11"/>
        <color theme="1"/>
        <rFont val="Calibri"/>
        <family val="2"/>
        <charset val="1"/>
      </rPr>
      <t xml:space="preserve">cp_sov_hum3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段：只有公司目標支持，個別站點證據都較晚（</t>
    </r>
    <r>
      <rPr>
        <sz val="11"/>
        <color theme="1"/>
        <rFont val="Calibri"/>
        <family val="2"/>
        <charset val="1"/>
      </rPr>
      <t xml:space="preserve">Al-Saad 100 MW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、二期 </t>
    </r>
    <r>
      <rPr>
        <sz val="11"/>
        <color theme="1"/>
        <rFont val="Calibri"/>
        <family val="2"/>
        <charset val="1"/>
      </rPr>
      <t xml:space="preserve">2029-01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MIS 250 MW </t>
    </r>
    <r>
      <rPr>
        <sz val="11"/>
        <color theme="1"/>
        <rFont val="Noto Sans CJK SC"/>
        <family val="2"/>
      </rPr>
      <t xml:space="preserve">只收到工單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）→ 僅公司目標、站點證據不足（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所寫「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交付」依 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段刪除）</t>
    </r>
  </si>
  <si>
    <t xml:space="preserve">cpx_nbis_lpr</t>
  </si>
  <si>
    <t xml:space="preserve">Nebius Lappeenranta</t>
  </si>
  <si>
    <r>
      <rPr>
        <sz val="11"/>
        <color theme="1"/>
        <rFont val="Calibri"/>
        <family val="2"/>
        <charset val="1"/>
      </rPr>
      <t xml:space="preserve">J#24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Caverion: 70 MW first-phase substation, spring 2027 (upper bound)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310 </t>
    </r>
    <r>
      <rPr>
        <sz val="11"/>
        <color theme="1"/>
        <rFont val="Noto Sans CJK SC"/>
        <family val="2"/>
      </rPr>
      <t xml:space="preserve">為完工容量，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只有首期、量未揭露）；不入）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</si>
  <si>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</si>
  <si>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</si>
  <si>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</si>
  <si>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</si>
  <si>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</si>
  <si>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</si>
  <si>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theme="1"/>
        <rFont val="Calibri"/>
        <family val="2"/>
        <charset val="1"/>
      </rPr>
      <t xml:space="preserve">J#23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"260 MW available by October 2027"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A#101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</si>
  <si>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</si>
  <si>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</si>
  <si>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</si>
  <si>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</si>
  <si>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</si>
  <si>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</si>
  <si>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</si>
  <si>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</si>
  <si>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</si>
  <si>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</si>
  <si>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</si>
  <si>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</si>
  <si>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</si>
  <si>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</si>
  <si>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2027-03-01 214 MW-IT </t>
    </r>
    <r>
      <rPr>
        <sz val="11"/>
        <color theme="1"/>
        <rFont val="Noto Sans CJK SC"/>
        <family val="2"/>
      </rPr>
      <t xml:space="preserve">複核屬實 → 納入（</t>
    </r>
    <r>
      <rPr>
        <sz val="11"/>
        <color theme="1"/>
        <rFont val="Calibri"/>
        <family val="2"/>
        <charset val="1"/>
      </rPr>
      <t xml:space="preserve">J#27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B#15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</si>
  <si>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</si>
  <si>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</si>
  <si>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</si>
  <si>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</si>
  <si>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</si>
  <si>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</si>
  <si>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</si>
  <si>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</si>
  <si>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</si>
  <si>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</si>
  <si>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</si>
  <si>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</si>
  <si>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</si>
  <si>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</si>
  <si>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</si>
  <si>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</si>
  <si>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</si>
  <si>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</si>
  <si>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</si>
  <si>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</si>
  <si>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</si>
  <si>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</si>
  <si>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</si>
  <si>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</si>
  <si>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</si>
  <si>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</si>
  <si>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</si>
  <si>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</si>
  <si>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</si>
  <si>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</si>
  <si>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</si>
  <si>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</si>
  <si>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</si>
  <si>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</si>
  <si>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</si>
  <si>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</si>
  <si>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</si>
  <si>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</si>
  <si>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</si>
  <si>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</si>
  <si>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</si>
  <si>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</si>
  <si>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</si>
  <si>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</si>
  <si>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</si>
  <si>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</si>
  <si>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</si>
  <si>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</si>
  <si>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</si>
  <si>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</si>
  <si>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</si>
  <si>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</si>
  <si>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</si>
  <si>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</si>
  <si>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</si>
  <si>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</si>
  <si>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</si>
  <si>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</si>
  <si>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</si>
  <si>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</si>
  <si>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</si>
  <si>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</si>
  <si>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</si>
  <si>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</si>
  <si>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</si>
  <si>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</si>
  <si>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</si>
  <si>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</si>
  <si>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</si>
  <si>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</si>
  <si>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</si>
  <si>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</si>
  <si>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</si>
  <si>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</si>
  <si>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</si>
  <si>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</si>
  <si>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</si>
  <si>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</si>
  <si>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</si>
  <si>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</si>
  <si>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</si>
  <si>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</si>
  <si>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</si>
  <si>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</si>
  <si>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</si>
  <si>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</si>
  <si>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；設施取電口徑；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970 − 250 [Derived]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</si>
  <si>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</si>
  <si>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</si>
  <si>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</si>
  <si>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</si>
  <si>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</si>
  <si>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</si>
  <si>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</si>
  <si>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</si>
  <si>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</si>
  <si>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</si>
  <si>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</si>
  <si>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</si>
  <si>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</si>
  <si>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</si>
  <si>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</si>
  <si>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t xml:space="preserve">cp_googl_ftw1</t>
  </si>
  <si>
    <r>
      <rPr>
        <sz val="11"/>
        <color theme="1"/>
        <rFont val="Calibri"/>
        <family val="2"/>
        <charset val="1"/>
      </rPr>
      <t xml:space="preserve">Google Fort Wayne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Zodiac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345−173</t>
    </r>
    <r>
      <rPr>
        <sz val="11"/>
        <color theme="1"/>
        <rFont val="Noto Sans CJK SC"/>
        <family val="2"/>
      </rPr>
      <t xml:space="preserve">）</t>
    </r>
  </si>
  <si>
    <t xml:space="preserve">SRC_GL_210</t>
  </si>
  <si>
    <r>
      <rPr>
        <sz val="11"/>
        <color theme="1"/>
        <rFont val="Calibri"/>
        <family val="2"/>
        <charset val="1"/>
      </rPr>
      <t xml:space="preserve">J#1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2026-12-01 173 MW → 2027-03-31 345 MW (projected)</t>
    </r>
  </si>
  <si>
    <t xml:space="preserve">cp_googl_ftw2</t>
  </si>
  <si>
    <r>
      <rPr>
        <sz val="11"/>
        <color theme="1"/>
        <rFont val="Calibri"/>
        <family val="2"/>
        <charset val="1"/>
      </rPr>
      <t xml:space="preserve">Google Fort Wayne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518−345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</si>
  <si>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2027-08-28 518 MW (projected)</t>
    </r>
  </si>
  <si>
    <t xml:space="preserve">cp_googl_cdr1</t>
  </si>
  <si>
    <r>
      <rPr>
        <sz val="11"/>
        <color theme="1"/>
        <rFont val="Calibri"/>
        <family val="2"/>
        <charset val="1"/>
      </rPr>
      <t xml:space="preserve">Google Cedar Rapids 2027-02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174−87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</si>
  <si>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2026-12-31 87 → 2027-02-22 174</t>
    </r>
  </si>
  <si>
    <t xml:space="preserve">cp_googl_cdr2</t>
  </si>
  <si>
    <r>
      <rPr>
        <sz val="11"/>
        <color theme="1"/>
        <rFont val="Calibri"/>
        <family val="2"/>
        <charset val="1"/>
      </rPr>
      <t xml:space="preserve">Google Cedar Rapids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261−174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</si>
  <si>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2027-05-23 261</t>
    </r>
  </si>
  <si>
    <t xml:space="preserve">cp_googl_sto1</t>
  </si>
  <si>
    <r>
      <rPr>
        <sz val="11"/>
        <color theme="1"/>
        <rFont val="Calibri"/>
        <family val="2"/>
        <charset val="1"/>
      </rPr>
      <t xml:space="preserve">Google Storey County 2027-06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300−161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</si>
  <si>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last 2026 point 161 → 2027-06-30 300</t>
    </r>
  </si>
  <si>
    <t xml:space="preserve">cp_googl_col5</t>
  </si>
  <si>
    <r>
      <rPr>
        <sz val="11"/>
        <color theme="1"/>
        <rFont val="Calibri"/>
        <family val="2"/>
        <charset val="1"/>
      </rPr>
      <t xml:space="preserve">Google Columbus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386−303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</si>
  <si>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2026-08-05 303 → 2027-07-01 386 (AEP 100 MW line in-service 2027-07-01)</t>
    </r>
  </si>
  <si>
    <t xml:space="preserve">cp_googl_lin2</t>
  </si>
  <si>
    <r>
      <rPr>
        <sz val="11"/>
        <color theme="1"/>
        <rFont val="Calibri"/>
        <family val="2"/>
        <charset val="1"/>
      </rPr>
      <t xml:space="preserve">Google Lincoln Building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283−141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</si>
  <si>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2026-05-12 141 → 2027-10-01 283</t>
    </r>
  </si>
  <si>
    <t xml:space="preserve">cp_googl_gn1</t>
  </si>
  <si>
    <r>
      <rPr>
        <sz val="11"/>
        <color theme="1"/>
        <rFont val="Calibri"/>
        <family val="2"/>
        <charset val="1"/>
      </rPr>
      <t xml:space="preserve">Goodnight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Armstrong County TX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建、售予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</t>
    </r>
  </si>
  <si>
    <r>
      <rPr>
        <sz val="11"/>
        <color theme="1"/>
        <rFont val="Calibri"/>
        <family val="2"/>
        <charset val="1"/>
      </rPr>
      <t xml:space="preserve">J#8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2027-03-15 103; The Energy Mag 2026-07-31: Building 4 due March 2027, four 25 MW halls per building; https://theenergymag.com/news/2026-07-31/crusoe-texas-ai-data-center-goodnight</t>
    </r>
  </si>
  <si>
    <t xml:space="preserve">cp_googl_gn2</t>
  </si>
  <si>
    <r>
      <rPr>
        <sz val="11"/>
        <color theme="1"/>
        <rFont val="Calibri"/>
        <family val="2"/>
        <charset val="1"/>
      </rPr>
      <t xml:space="preserve">Goodnight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206−103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</si>
  <si>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2027-05-15 206</t>
    </r>
  </si>
  <si>
    <t xml:space="preserve">cp_googl_gn3</t>
  </si>
  <si>
    <r>
      <rPr>
        <sz val="11"/>
        <color theme="1"/>
        <rFont val="Calibri"/>
        <family val="2"/>
        <charset val="1"/>
      </rPr>
      <t xml:space="preserve">Goodnight 2027-10 </t>
    </r>
    <r>
      <rPr>
        <sz val="11"/>
        <color theme="1"/>
        <rFont val="Noto Sans CJK SC"/>
        <family val="2"/>
      </rPr>
      <t xml:space="preserve">增量（第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 </t>
    </r>
    <r>
      <rPr>
        <sz val="11"/>
        <color theme="1"/>
        <rFont val="Calibri"/>
        <family val="2"/>
        <charset val="1"/>
      </rPr>
      <t xml:space="preserve">800→412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</si>
  <si>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Epoch 2027-10-01 1006; owner label "Google #speculative" on Epoch — check basis and whether Google ownership is supported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Epoch 1,006 </t>
    </r>
    <r>
      <rPr>
        <sz val="11"/>
        <color theme="1"/>
        <rFont val="Noto Sans CJK SC"/>
        <family val="2"/>
      </rPr>
      <t xml:space="preserve">隱含後期每棟約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，與減稅協議「每棟四個 </t>
    </r>
    <r>
      <rPr>
        <sz val="11"/>
        <color theme="1"/>
        <rFont val="Calibri"/>
        <family val="2"/>
        <charset val="1"/>
      </rPr>
      <t xml:space="preserve">25 MW </t>
    </r>
    <r>
      <rPr>
        <sz val="11"/>
        <color theme="1"/>
        <rFont val="Noto Sans CJK SC"/>
        <family val="2"/>
      </rPr>
      <t xml:space="preserve">機房」不符 → 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棟各約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，合計約 </t>
    </r>
    <r>
      <rPr>
        <sz val="11"/>
        <color theme="1"/>
        <rFont val="Calibri"/>
        <family val="2"/>
        <charset val="1"/>
      </rPr>
      <t xml:space="preserve">618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W.media 2026-09-29 Crusoe </t>
    </r>
    <r>
      <rPr>
        <sz val="11"/>
        <color theme="1"/>
        <rFont val="Noto Sans CJK SC"/>
        <family val="2"/>
      </rPr>
      <t xml:space="preserve">稱為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新園區開發商（標記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412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，由複核者依每棟 </t>
    </r>
    <r>
      <rPr>
        <sz val="11"/>
        <color theme="1"/>
        <rFont val="Calibri"/>
        <family val="2"/>
        <charset val="1"/>
      </rPr>
      <t xml:space="preserve">4×25 MW </t>
    </r>
    <r>
      <rPr>
        <sz val="11"/>
        <color theme="1"/>
        <rFont val="Noto Sans CJK SC"/>
        <family val="2"/>
      </rPr>
      <t xml:space="preserve">推得，非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原值）</t>
    </r>
  </si>
  <si>
    <t xml:space="preserve">cp_amzn_nalb</t>
  </si>
  <si>
    <r>
      <rPr>
        <sz val="11"/>
        <color theme="1"/>
        <rFont val="Calibri"/>
        <family val="2"/>
        <charset val="1"/>
      </rPr>
      <t xml:space="preserve">AWS New Albany</t>
    </r>
    <r>
      <rPr>
        <sz val="11"/>
        <color theme="1"/>
        <rFont val="Noto Sans CJK SC"/>
        <family val="2"/>
      </rPr>
      <t xml:space="preserve">（三園區）</t>
    </r>
    <r>
      <rPr>
        <sz val="11"/>
        <color theme="1"/>
        <rFont val="Calibri"/>
        <family val="2"/>
        <charset val="1"/>
      </rPr>
      <t xml:space="preserve">2027-07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338−213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</si>
  <si>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2026-05-18 213 → 2027-07-01 338 (Epoch counts ~44% of IT as AI)</t>
    </r>
  </si>
  <si>
    <t xml:space="preserve">cp_amzn_rdg_b5</t>
  </si>
  <si>
    <r>
      <rPr>
        <sz val="11"/>
        <color theme="1"/>
        <rFont val="Calibri"/>
        <family val="2"/>
        <charset val="1"/>
      </rPr>
      <t xml:space="preserve">AWS Ridgeland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284−228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</si>
  <si>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2026-05-15 228 → 2027-02-09 284; then existing cp_amzn_rdg_b614 (840−284) 2028-09 unchanged</t>
    </r>
  </si>
  <si>
    <t xml:space="preserve">cp_amzn_brw</t>
  </si>
  <si>
    <r>
      <rPr>
        <sz val="11"/>
        <color theme="1"/>
        <rFont val="Calibri"/>
        <family val="2"/>
        <charset val="1"/>
      </rPr>
      <t xml:space="preserve">AWS Berwick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169−108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</si>
  <si>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2027-08-01 169; current 108</t>
    </r>
  </si>
  <si>
    <t xml:space="preserve">cp_amzn_cip4</t>
  </si>
  <si>
    <r>
      <rPr>
        <sz val="11"/>
        <color theme="1"/>
        <rFont val="Calibri"/>
        <family val="2"/>
        <charset val="1"/>
      </rPr>
      <t xml:space="preserve">Cipher Black Pearl Data Hall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</si>
  <si>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J#14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Cipher 8-K presentation: "81 IT MW on Feb. 28th, 2027 Data Hall 4"; existing cpx_amzn_cip (216, 2026-10, inc 0) left as is</t>
    </r>
  </si>
  <si>
    <t xml:space="preserve">cp_meta_mont1</t>
  </si>
  <si>
    <r>
      <rPr>
        <sz val="11"/>
        <color theme="1"/>
        <rFont val="Calibri"/>
        <family val="2"/>
        <charset val="1"/>
      </rPr>
      <t xml:space="preserve">Meta Montgomery Buildings 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204−153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</si>
  <si>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2026-06-18 153 → 2027-02-02 204</t>
    </r>
  </si>
  <si>
    <t xml:space="preserve">cp_meta_mont2</t>
  </si>
  <si>
    <r>
      <rPr>
        <sz val="11"/>
        <color theme="1"/>
        <rFont val="Calibri"/>
        <family val="2"/>
        <charset val="1"/>
      </rPr>
      <t xml:space="preserve">Meta Montgomery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358−204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</si>
  <si>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2027-02-23 358</t>
    </r>
  </si>
  <si>
    <t xml:space="preserve">cp_meta_chy2</t>
  </si>
  <si>
    <r>
      <rPr>
        <sz val="11"/>
        <color theme="1"/>
        <rFont val="Calibri"/>
        <family val="2"/>
        <charset val="1"/>
      </rPr>
      <t xml:space="preserve">Meta Cheyenne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207−152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</si>
  <si>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2026-07-25 152 → 2027-02-15 207</t>
    </r>
  </si>
  <si>
    <t xml:space="preserve">cp_meta_bg1</t>
  </si>
  <si>
    <t xml:space="preserve">Meta Bowling Green 2027-02</t>
  </si>
  <si>
    <r>
      <rPr>
        <sz val="11"/>
        <color theme="1"/>
        <rFont val="Calibri"/>
        <family val="2"/>
        <charset val="1"/>
      </rPr>
      <t xml:space="preserve">J#18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2027-02-01 86</t>
    </r>
  </si>
  <si>
    <t xml:space="preserve">cp_meta_bg2</t>
  </si>
  <si>
    <r>
      <rPr>
        <sz val="11"/>
        <color theme="1"/>
        <rFont val="Calibri"/>
        <family val="2"/>
        <charset val="1"/>
      </rPr>
      <t xml:space="preserve">Meta Bowling Green 2027-04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163−86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</si>
  <si>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2027-04-01 163</t>
    </r>
  </si>
  <si>
    <t xml:space="preserve">cp_orcl_sal_b1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</si>
  <si>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1,383 ÷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</si>
  <si>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DTE MPSC application 2025-10-31: load begins Jan 2027, max load by Dec 2027 (up to 12-month delay allowed); Oracle 2026-06-01: first of three buildings nearing completion; 461=1383/3. Existing cp_orcl_sal 1383 → 922</t>
    </r>
    <r>
      <rPr>
        <sz val="11"/>
        <color theme="1"/>
        <rFont val="Noto Sans CJK SC"/>
        <family val="2"/>
      </rPr>
      <t xml:space="preserve">（三棟等分為假設，來源只說三棟、第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棟即將完工）</t>
    </r>
  </si>
  <si>
    <t xml:space="preserve">cp_orcl_redoak</t>
  </si>
  <si>
    <r>
      <rPr>
        <sz val="11"/>
        <color theme="1"/>
        <rFont val="Calibri"/>
        <family val="2"/>
        <charset val="1"/>
      </rPr>
      <t xml:space="preserve">DataBank Red Oak DFW10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</si>
  <si>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DFW10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2027-01-31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為承租方僅見 </t>
    </r>
    <r>
      <rPr>
        <sz val="11"/>
        <color theme="1"/>
        <rFont val="Calibri"/>
        <family val="2"/>
        <charset val="1"/>
      </rPr>
      <t xml:space="preserve">Business Insider </t>
    </r>
    <r>
      <rPr>
        <sz val="11"/>
        <color theme="1"/>
        <rFont val="Noto Sans CJK SC"/>
        <family val="2"/>
      </rPr>
      <t xml:space="preserve">引德州審計長清單（二手；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租戶 </t>
    </r>
    <r>
      <rPr>
        <sz val="11"/>
        <color theme="1"/>
        <rFont val="Calibri"/>
        <family val="2"/>
        <charset val="1"/>
      </rPr>
      <t xml:space="preserve">Not Assigned</t>
    </r>
    <r>
      <rPr>
        <sz val="11"/>
        <color theme="1"/>
        <rFont val="Noto Sans CJK SC"/>
        <family val="2"/>
      </rPr>
      <t xml:space="preserve">）</t>
    </r>
  </si>
  <si>
    <t xml:space="preserve">cp_orcl_redoak2</t>
  </si>
  <si>
    <r>
      <rPr>
        <sz val="11"/>
        <color theme="1"/>
        <rFont val="Calibri"/>
        <family val="2"/>
        <charset val="1"/>
      </rPr>
      <t xml:space="preserve">DataBank Red Oak DFW11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</si>
  <si>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DFW11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2028-01-15</t>
    </r>
    <r>
      <rPr>
        <sz val="11"/>
        <color theme="1"/>
        <rFont val="Noto Sans CJK SC"/>
        <family val="2"/>
      </rPr>
      <t xml:space="preserve">；承租方同上（二手）</t>
    </r>
  </si>
  <si>
    <t xml:space="preserve">cp_nbis_mts2</t>
  </si>
  <si>
    <r>
      <rPr>
        <sz val="11"/>
        <color theme="1"/>
        <rFont val="Calibri"/>
        <family val="2"/>
        <charset val="1"/>
      </rPr>
      <t xml:space="preserve">Nebius Mäntsälä 2027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145−75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</si>
  <si>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2027-12-31 145, current 75</t>
    </r>
  </si>
  <si>
    <t xml:space="preserve">cp_neo_sines</t>
  </si>
  <si>
    <r>
      <rPr>
        <sz val="11"/>
        <color theme="1"/>
        <rFont val="Calibri"/>
        <family val="2"/>
        <charset val="1"/>
      </rPr>
      <t xml:space="preserve">Start Campus Sines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使用）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233−33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</si>
  <si>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2027-09-30 233</t>
    </r>
  </si>
  <si>
    <t xml:space="preserve">cp_neo_lmar</t>
  </si>
  <si>
    <r>
      <rPr>
        <sz val="11"/>
        <color theme="1"/>
        <rFont val="Calibri"/>
        <family val="2"/>
        <charset val="1"/>
      </rPr>
      <t xml:space="preserve">Anthropic Lake Mariner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378−210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</si>
  <si>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2026-10-31 210 → 2027-03-31 378. Check overlap with existing neo rows</t>
    </r>
  </si>
  <si>
    <t xml:space="preserve">cp_googl_vanburen</t>
  </si>
  <si>
    <r>
      <rPr>
        <sz val="11"/>
        <color theme="1"/>
        <rFont val="Calibri"/>
        <family val="2"/>
        <charset val="1"/>
      </rPr>
      <t xml:space="preserve">Google Van Buren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Cannoli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</si>
  <si>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Calibri"/>
        <family val="2"/>
        <charset val="1"/>
      </rPr>
      <t xml:space="preserve">J#30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DTE: service from Dec 2027, max load by Dec 2028; MPSC approved 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段更正：口徑為設施（鎮府稱約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用電）</t>
    </r>
  </si>
  <si>
    <t xml:space="preserve">cp_amzn_kozani1</t>
  </si>
  <si>
    <r>
      <rPr>
        <sz val="11"/>
        <color theme="1"/>
        <rFont val="Calibri"/>
        <family val="2"/>
        <charset val="1"/>
      </rPr>
      <t xml:space="preserve">PPC–AWS Kozani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300 MW</t>
    </r>
  </si>
  <si>
    <r>
      <rPr>
        <sz val="11"/>
        <color theme="1"/>
        <rFont val="Calibri"/>
        <family val="2"/>
        <charset val="1"/>
      </rPr>
      <t xml:space="preserve">J#31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"The goal is to complete the project by 2028."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段更正：原文未說明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／設施；具約束力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目標（風險）</t>
    </r>
  </si>
  <si>
    <t xml:space="preserve">v16_googl_okla1</t>
  </si>
  <si>
    <t xml:space="preserve">Google Oklahoma (Muskogee/Stillwater; OG&amp;E) linear ramp segment</t>
  </si>
  <si>
    <t xml:space="preserve">SRC_GL_212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</si>
  <si>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段複核）：只列不入；核准後可改納入＝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CJK SC"/>
        <family val="2"/>
      </rPr>
      <t xml:space="preserve">（電力證據路徑）</t>
    </r>
  </si>
  <si>
    <t xml:space="preserve">v16_googl_okla2</t>
  </si>
  <si>
    <t xml:space="preserve">v16_googl_okla3</t>
  </si>
  <si>
    <t xml:space="preserve">v16_googl_okla4</t>
  </si>
  <si>
    <t xml:space="preserve">v16_googl_okla5</t>
  </si>
  <si>
    <t xml:space="preserve">v16_googl_vizag</t>
  </si>
  <si>
    <t xml:space="preserve">Google Visakhapatnam AI hub (AdaniConneX/Airtel)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</si>
  <si>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段複核更正：營運者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（加入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資料中心網路）；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只見二手（</t>
    </r>
    <r>
      <rPr>
        <sz val="11"/>
        <color theme="1"/>
        <rFont val="Calibri"/>
        <family val="2"/>
        <charset val="1"/>
      </rPr>
      <t xml:space="preserve">Drishti IAS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2030-12 </t>
    </r>
    <r>
      <rPr>
        <sz val="11"/>
        <color theme="1"/>
        <rFont val="Noto Sans CJK SC"/>
        <family val="2"/>
      </rPr>
      <t xml:space="preserve">為投資期末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2028-07 </t>
    </r>
    <r>
      <rPr>
        <sz val="11"/>
        <color theme="1"/>
        <rFont val="Noto Sans CJK SC"/>
        <family val="2"/>
      </rPr>
      <t xml:space="preserve">起投運；</t>
    </r>
    <r>
      <rPr>
        <sz val="11"/>
        <color theme="1"/>
        <rFont val="Calibri"/>
        <family val="2"/>
        <charset val="1"/>
      </rPr>
      <t xml:space="preserve">"This investment of approximately $15 billion (USD) over five years (2026-2030)"; "India's first truly gigawatt-scale da</t>
    </r>
  </si>
  <si>
    <t xml:space="preserve">v16_amzn_nin1</t>
  </si>
  <si>
    <t xml:space="preserve">AWS Northern Indiana $15B campuses (NIPSCO special contract) firm half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</si>
  <si>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NIPSCO–Amazon </t>
    </r>
    <r>
      <rPr>
        <sz val="11"/>
        <color theme="1"/>
        <rFont val="Noto Sans CJK SC"/>
        <family val="2"/>
      </rPr>
      <t xml:space="preserve">特別合約，</t>
    </r>
    <r>
      <rPr>
        <sz val="11"/>
        <color theme="1"/>
        <rFont val="Calibri"/>
        <family val="2"/>
        <charset val="1"/>
      </rPr>
      <t xml:space="preserve">IURC Cause 46322 </t>
    </r>
    <r>
      <rPr>
        <sz val="11"/>
        <color theme="1"/>
        <rFont val="Noto Sans CJK SC"/>
        <family val="2"/>
      </rPr>
      <t xml:space="preserve">核准（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Noto Sans CJK SC"/>
        <family val="2"/>
      </rPr>
      <t xml:space="preserve">）；到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1,200 MW </t>
    </r>
    <r>
      <rPr>
        <sz val="11"/>
        <color theme="1"/>
        <rFont val="Noto Sans CJK SC"/>
        <family val="2"/>
      </rPr>
      <t xml:space="preserve">可於 </t>
    </r>
    <r>
      <rPr>
        <sz val="11"/>
        <color theme="1"/>
        <rFont val="Calibri"/>
        <family val="2"/>
        <charset val="1"/>
      </rPr>
      <t xml:space="preserve">2029-03-31 </t>
    </r>
    <r>
      <rPr>
        <sz val="11"/>
        <color theme="1"/>
        <rFont val="Noto Sans CJK SC"/>
        <family val="2"/>
      </rPr>
      <t xml:space="preserve">前減少 → 只計確定的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</si>
  <si>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v16_amzn_nin2</t>
  </si>
  <si>
    <t xml:space="preserve">v16_amzn_nin3</t>
  </si>
  <si>
    <t xml:space="preserve">v16_amzn_nin4</t>
  </si>
  <si>
    <t xml:space="preserve">v16_amzn_nin5</t>
  </si>
  <si>
    <t xml:space="preserve">v16_amzn_nin6</t>
  </si>
  <si>
    <t xml:space="preserve">v16_msft_pecos</t>
  </si>
  <si>
    <t xml:space="preserve">Microsoft Pecos TX (behind-the-meter gas)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</si>
  <si>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屬實；「</t>
    </r>
    <r>
      <rPr>
        <sz val="11"/>
        <color theme="1"/>
        <rFont val="Calibri"/>
        <family val="2"/>
        <charset val="1"/>
      </rPr>
      <t xml:space="preserve">five to seven years</t>
    </r>
    <r>
      <rPr>
        <sz val="11"/>
        <color theme="1"/>
        <rFont val="Noto Sans CJK SC"/>
        <family val="2"/>
      </rPr>
      <t xml:space="preserve">」為投資期，全數放 </t>
    </r>
    <r>
      <rPr>
        <sz val="11"/>
        <color theme="1"/>
        <rFont val="Calibri"/>
        <family val="2"/>
        <charset val="1"/>
      </rPr>
      <t xml:space="preserve">2032-12 </t>
    </r>
    <r>
      <rPr>
        <sz val="11"/>
        <color theme="1"/>
        <rFont val="Noto Sans CJK SC"/>
        <family val="2"/>
      </rPr>
      <t xml:space="preserve">為保守假設；</t>
    </r>
    <r>
      <rPr>
        <sz val="11"/>
        <color theme="1"/>
        <rFont val="Calibri"/>
        <family val="2"/>
        <charset val="1"/>
      </rPr>
      <t xml:space="preserve">"expanding our global datacenter capacity by approximately 2 gigawatts (GW)"; "over the next five to seven years"</t>
    </r>
  </si>
  <si>
    <t xml:space="preserve">v16_msft_aragon</t>
  </si>
  <si>
    <t xml:space="preserve">Microsoft Aragón phase 1 (3 sites x 50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</si>
  <si>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）屬實／小誤已更正；複核：一期 </t>
    </r>
    <r>
      <rPr>
        <sz val="11"/>
        <color theme="1"/>
        <rFont val="Calibri"/>
        <family val="2"/>
        <charset val="1"/>
      </rPr>
      <t xml:space="preserve">3×50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4 años</t>
    </r>
    <r>
      <rPr>
        <sz val="11"/>
        <color theme="1"/>
        <rFont val="Noto Sans CJK SC"/>
        <family val="2"/>
      </rPr>
      <t xml:space="preserve">」自最終核准起算，</t>
    </r>
    <r>
      <rPr>
        <sz val="11"/>
        <color theme="1"/>
        <rFont val="Calibri"/>
        <family val="2"/>
        <charset val="1"/>
      </rPr>
      <t xml:space="preserve">2031-12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"con un periodo estimado de 4 años para la finalización y puesta en marcha de la primera fase"</t>
    </r>
  </si>
  <si>
    <t xml:space="preserve">v16_msft_catawba1</t>
  </si>
  <si>
    <t xml:space="preserve">Microsoft Catawba County NC (Lyle Creek/Boyd Farm/Stover North; 15 x 48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</si>
  <si>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720 MW Critical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15×48</t>
    </r>
    <r>
      <rPr>
        <sz val="11"/>
        <color theme="1"/>
        <rFont val="Noto Sans CJK SC"/>
        <family val="2"/>
      </rPr>
      <t xml:space="preserve">）屬實，首批 </t>
    </r>
    <r>
      <rPr>
        <sz val="11"/>
        <color theme="1"/>
        <rFont val="Calibri"/>
        <family val="2"/>
        <charset val="1"/>
      </rPr>
      <t xml:space="preserve">2027Q4–2028Q1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為平均分攤假設；</t>
    </r>
    <r>
      <rPr>
        <sz val="11"/>
        <color theme="1"/>
        <rFont val="Calibri"/>
        <family val="2"/>
        <charset val="1"/>
      </rPr>
      <t xml:space="preserve">"Low case (Critical IT, filing-supported): ~720 MW (15 buildings × 48 MW)"; "allow completion through 2032"</t>
    </r>
  </si>
  <si>
    <t xml:space="preserve">v16_msft_catawba2</t>
  </si>
  <si>
    <t xml:space="preserve">v16_msft_catawba3</t>
  </si>
  <si>
    <t xml:space="preserve">v16_msft_catawba4</t>
  </si>
  <si>
    <t xml:space="preserve">v16_msft_catawba5</t>
  </si>
  <si>
    <t xml:space="preserve">v16_msft_rome</t>
  </si>
  <si>
    <t xml:space="preserve">Microsoft Rome GA (Floyd County, 3 buildings, Georgia Power)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</si>
  <si>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422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前完工（州文件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）；無起始日；</t>
    </r>
    <r>
      <rPr>
        <sz val="11"/>
        <color theme="1"/>
        <rFont val="Calibri"/>
        <family val="2"/>
        <charset val="1"/>
      </rPr>
      <t xml:space="preserve">"with 422MW of planned capacity"; "with completion by 2032"</t>
    </r>
  </si>
  <si>
    <t xml:space="preserve">v16_oai_effingham1</t>
  </si>
  <si>
    <t xml:space="preserve">OpenAI Effingham County GA (Georgia Power, 3.2 GW)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</si>
  <si>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Georgia PSC 2026-08-26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3,200 MW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1,000 MW </t>
    </r>
    <r>
      <rPr>
        <sz val="11"/>
        <color theme="1"/>
        <rFont val="Noto Sans CJK SC"/>
        <family val="2"/>
      </rPr>
      <t xml:space="preserve">為可中斷需量反應 → 只計確定 </t>
    </r>
    <r>
      <rPr>
        <sz val="11"/>
        <color theme="1"/>
        <rFont val="Calibri"/>
        <family val="2"/>
        <charset val="1"/>
      </rPr>
      <t xml:space="preserve">2,200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</si>
  <si>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v16_oai_effingham2</t>
  </si>
  <si>
    <t xml:space="preserve">v16_oai_effingham3</t>
  </si>
  <si>
    <t xml:space="preserve">v16_oai_effingham4</t>
  </si>
  <si>
    <t xml:space="preserve">ep_crwv_hel3</t>
  </si>
  <si>
    <t xml:space="preserve">CoreWeave Helios Phase III (B4)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</si>
  <si>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Epoch 528−396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132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Epoch timeline point (projected); see /home/claude/work/epoch/epoch_points.csv</t>
    </r>
  </si>
  <si>
    <t xml:space="preserve">v16_amzn_susq1</t>
  </si>
  <si>
    <t xml:space="preserve">AWS Salem Twp campus adjacent to Susquehanna (Talen PPA 1,920 MW)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</si>
  <si>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Talen 1,920 MW </t>
    </r>
    <r>
      <rPr>
        <sz val="11"/>
        <color rgb="FF808080"/>
        <rFont val="Noto Sans CJK SC"/>
        <family val="2"/>
      </rPr>
      <t xml:space="preserve">核電 </t>
    </r>
    <r>
      <rPr>
        <sz val="11"/>
        <color rgb="FF808080"/>
        <rFont val="Cambria"/>
        <family val="0"/>
        <charset val="1"/>
      </rPr>
      <t xml:space="preserve">PPA </t>
    </r>
    <r>
      <rPr>
        <sz val="11"/>
        <color rgb="FF808080"/>
        <rFont val="Noto Sans CJK SC"/>
        <family val="2"/>
      </rPr>
      <t xml:space="preserve">屬發電、無需 </t>
    </r>
    <r>
      <rPr>
        <sz val="11"/>
        <color rgb="FF808080"/>
        <rFont val="Cambria"/>
        <family val="0"/>
        <charset val="1"/>
      </rPr>
      <t xml:space="preserve">FERC </t>
    </r>
    <r>
      <rPr>
        <sz val="11"/>
        <color rgb="FF808080"/>
        <rFont val="Noto Sans CJK SC"/>
        <family val="2"/>
      </rPr>
      <t xml:space="preserve">核准、可能送往賓州其他站點；只列不入</t>
    </r>
  </si>
  <si>
    <t xml:space="preserve">v16_amzn_susq2</t>
  </si>
  <si>
    <t xml:space="preserve">v16_amzn_susq3</t>
  </si>
  <si>
    <t xml:space="preserve">v16_amzn_susq4</t>
  </si>
  <si>
    <t xml:space="preserve">v16_amzn_susq5</t>
  </si>
  <si>
    <t xml:space="preserve">v16_googl_chey1</t>
  </si>
  <si>
    <t xml:space="preserve">Google Cheyenne WY (Black Hills; grid-connected portion)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</si>
  <si>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Black Hills 8-K </t>
    </r>
    <r>
      <rPr>
        <sz val="11"/>
        <color rgb="FF808080"/>
        <rFont val="Noto Sans CJK SC"/>
        <family val="2"/>
      </rPr>
      <t xml:space="preserve">未見 </t>
    </r>
    <r>
      <rPr>
        <sz val="11"/>
        <color rgb="FF808080"/>
        <rFont val="Cambria"/>
        <family val="0"/>
        <charset val="1"/>
      </rPr>
      <t xml:space="preserve">Wyoming PSC </t>
    </r>
    <r>
      <rPr>
        <sz val="11"/>
        <color rgb="FF808080"/>
        <rFont val="Noto Sans CJK SC"/>
        <family val="2"/>
      </rPr>
      <t xml:space="preserve">核准 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合約；</t>
    </r>
    <r>
      <rPr>
        <sz val="11"/>
        <color rgb="FF808080"/>
        <rFont val="Cambria"/>
        <family val="0"/>
        <charset val="1"/>
      </rPr>
      <t xml:space="preserve">590 MW </t>
    </r>
    <r>
      <rPr>
        <sz val="11"/>
        <color rgb="FF808080"/>
        <rFont val="Noto Sans CJK SC"/>
        <family val="2"/>
      </rPr>
      <t xml:space="preserve">只是併網部分；只列不入</t>
    </r>
  </si>
  <si>
    <t xml:space="preserve">v16_googl_chey2</t>
  </si>
  <si>
    <t xml:space="preserve">v16_googl_chey3</t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</si>
  <si>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</si>
  <si>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</si>
  <si>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</si>
  <si>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</si>
  <si>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</si>
  <si>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</si>
  <si>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</si>
  <si>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</si>
  <si>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</si>
  <si>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</si>
  <si>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</si>
  <si>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</si>
  <si>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</si>
  <si>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</si>
  <si>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</si>
  <si>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</si>
  <si>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</si>
  <si>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</si>
  <si>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</si>
  <si>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</si>
  <si>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</si>
  <si>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</si>
  <si>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</si>
  <si>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</si>
  <si>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</si>
  <si>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</si>
  <si>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</si>
  <si>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</si>
  <si>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</si>
  <si>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</si>
  <si>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</si>
  <si>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</si>
  <si>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</si>
  <si>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</si>
  <si>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</si>
  <si>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</si>
  <si>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</si>
  <si>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</si>
  <si>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</si>
  <si>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</si>
  <si>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</si>
  <si>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</si>
  <si>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</si>
  <si>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</si>
  <si>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</si>
  <si>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</si>
  <si>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</si>
  <si>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</si>
  <si>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</si>
  <si>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</si>
  <si>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</si>
  <si>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</si>
  <si>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</si>
  <si>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</si>
  <si>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</si>
  <si>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</si>
  <si>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</si>
  <si>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</si>
  <si>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</si>
  <si>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</si>
  <si>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</si>
  <si>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</si>
  <si>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</si>
  <si>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</si>
  <si>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</si>
  <si>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</si>
  <si>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</si>
  <si>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</si>
  <si>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</si>
  <si>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</si>
  <si>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</si>
  <si>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</si>
  <si>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</si>
  <si>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</si>
  <si>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</si>
  <si>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</si>
  <si>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</si>
  <si>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</si>
  <si>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</si>
  <si>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</si>
  <si>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</si>
  <si>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</si>
  <si>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</si>
  <si>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</si>
  <si>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</si>
  <si>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</si>
  <si>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</si>
  <si>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</si>
  <si>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</si>
  <si>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</si>
  <si>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</si>
  <si>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</si>
  <si>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</si>
  <si>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</si>
  <si>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</si>
  <si>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</si>
  <si>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</si>
  <si>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</si>
  <si>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</si>
  <si>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</si>
  <si>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</si>
  <si>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</si>
  <si>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</si>
  <si>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</si>
  <si>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</si>
  <si>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</si>
  <si>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</si>
  <si>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</si>
  <si>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</si>
  <si>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</si>
  <si>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</si>
  <si>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</si>
  <si>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</si>
  <si>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</si>
  <si>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</si>
  <si>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</si>
  <si>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</si>
  <si>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</si>
  <si>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</si>
  <si>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</si>
  <si>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</si>
  <si>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</si>
  <si>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</si>
  <si>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</si>
  <si>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</si>
  <si>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</si>
  <si>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</si>
  <si>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</si>
  <si>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</si>
  <si>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</si>
  <si>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</si>
  <si>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</si>
  <si>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</si>
  <si>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</si>
  <si>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</si>
  <si>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</si>
  <si>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</si>
  <si>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</si>
  <si>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</si>
  <si>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20261031_Siliconomics_v0.10.xlsx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6a0406b07fd0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</si>
  <si>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</si>
  <si>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</si>
  <si>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</si>
  <si>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</si>
  <si>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</si>
  <si>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</si>
  <si>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</si>
  <si>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</si>
  <si>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</si>
  <si>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</si>
  <si>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</si>
  <si>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</si>
  <si>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</si>
  <si>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</si>
  <si>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</si>
  <si>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</si>
  <si>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</si>
  <si>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</si>
  <si>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</si>
  <si>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</si>
  <si>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</si>
  <si>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</si>
  <si>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</si>
  <si>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</si>
  <si>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</si>
  <si>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</si>
  <si>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</si>
  <si>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</si>
  <si>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</si>
  <si>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</si>
  <si>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</si>
  <si>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</si>
  <si>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</si>
  <si>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</si>
  <si>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</si>
  <si>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</si>
  <si>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</si>
  <si>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</si>
  <si>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</si>
  <si>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</si>
  <si>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</si>
  <si>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</si>
  <si>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</si>
  <si>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</si>
  <si>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</si>
  <si>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</si>
  <si>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</si>
  <si>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</si>
  <si>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</si>
  <si>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</si>
  <si>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</si>
  <si>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</si>
  <si>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</si>
  <si>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</si>
  <si>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</si>
  <si>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</si>
  <si>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</si>
  <si>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</si>
  <si>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</si>
  <si>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</si>
  <si>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</si>
  <si>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</si>
  <si>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</si>
  <si>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</si>
  <si>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</si>
  <si>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</si>
  <si>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</si>
  <si>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</si>
  <si>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</si>
  <si>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</si>
  <si>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</si>
  <si>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</si>
  <si>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</si>
  <si>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</si>
  <si>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</si>
  <si>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</si>
  <si>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</si>
  <si>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</si>
  <si>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</si>
  <si>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</si>
  <si>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</si>
  <si>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</si>
  <si>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</si>
  <si>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</si>
  <si>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</si>
  <si>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</si>
  <si>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</si>
  <si>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</si>
  <si>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</si>
  <si>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</si>
  <si>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</si>
  <si>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</si>
  <si>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</si>
  <si>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</si>
  <si>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</si>
  <si>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</si>
  <si>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</si>
  <si>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</si>
  <si>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</si>
  <si>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</si>
  <si>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</si>
  <si>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</si>
  <si>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</si>
  <si>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</si>
  <si>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</si>
  <si>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</si>
  <si>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</si>
  <si>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</si>
  <si>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</si>
  <si>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</si>
  <si>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</si>
  <si>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</si>
  <si>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</si>
  <si>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</si>
  <si>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</si>
  <si>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</si>
  <si>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</si>
  <si>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</si>
  <si>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</si>
  <si>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</si>
  <si>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</si>
  <si>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</si>
  <si>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</si>
  <si>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</si>
  <si>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</si>
  <si>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</si>
  <si>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</si>
  <si>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</si>
  <si>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</si>
  <si>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</si>
  <si>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</si>
  <si>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</si>
  <si>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</si>
  <si>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</si>
  <si>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</si>
  <si>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</si>
  <si>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</si>
  <si>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</si>
  <si>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</si>
  <si>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</si>
  <si>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</si>
  <si>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</si>
  <si>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</si>
  <si>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</si>
  <si>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</si>
  <si>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</si>
  <si>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</si>
  <si>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</si>
  <si>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</si>
  <si>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</si>
  <si>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</si>
  <si>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</si>
  <si>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</si>
  <si>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</si>
  <si>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</si>
  <si>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</si>
  <si>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</si>
  <si>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</si>
  <si>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</si>
  <si>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</si>
  <si>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</si>
  <si>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</si>
  <si>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</si>
  <si>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</si>
  <si>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</si>
  <si>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</si>
  <si>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</si>
  <si>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</si>
  <si>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</si>
  <si>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</si>
  <si>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</si>
  <si>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</si>
  <si>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</si>
  <si>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</si>
  <si>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</si>
  <si>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</si>
  <si>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</si>
  <si>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</si>
  <si>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</si>
  <si>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</si>
  <si>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</si>
  <si>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</si>
  <si>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</si>
  <si>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</si>
  <si>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</si>
  <si>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</si>
  <si>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</si>
  <si>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</si>
  <si>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</si>
  <si>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</si>
  <si>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</si>
  <si>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</si>
  <si>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</si>
  <si>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</si>
  <si>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</si>
  <si>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</si>
  <si>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</si>
  <si>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</si>
  <si>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</si>
  <si>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</si>
  <si>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</si>
  <si>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</si>
  <si>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</si>
  <si>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</si>
  <si>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</si>
  <si>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</si>
  <si>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</si>
  <si>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</si>
  <si>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</si>
  <si>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</si>
  <si>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</si>
  <si>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</si>
  <si>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</si>
  <si>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</si>
  <si>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</si>
  <si>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</si>
  <si>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</si>
  <si>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</si>
  <si>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</si>
  <si>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</si>
  <si>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</si>
  <si>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</si>
  <si>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</si>
  <si>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</si>
  <si>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</si>
  <si>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</si>
  <si>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</si>
  <si>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</si>
  <si>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</si>
  <si>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</si>
  <si>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</si>
  <si>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</si>
  <si>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</si>
  <si>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</si>
  <si>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</si>
  <si>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</si>
  <si>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</si>
  <si>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</si>
  <si>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</si>
  <si>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</si>
  <si>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</si>
  <si>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</si>
  <si>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</si>
  <si>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</si>
  <si>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</si>
  <si>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</si>
  <si>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</si>
  <si>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</si>
  <si>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</si>
  <si>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</si>
  <si>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</si>
  <si>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</si>
  <si>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</si>
  <si>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</si>
  <si>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</si>
  <si>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</si>
  <si>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</si>
  <si>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</si>
  <si>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</si>
  <si>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</si>
  <si>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</si>
  <si>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</si>
  <si>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</si>
  <si>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</si>
  <si>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</si>
  <si>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</si>
  <si>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</si>
  <si>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</si>
  <si>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</si>
  <si>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</si>
  <si>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</si>
  <si>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</si>
  <si>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</si>
  <si>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</si>
  <si>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</si>
  <si>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</si>
  <si>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</si>
  <si>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</si>
  <si>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</si>
  <si>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</si>
  <si>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</si>
  <si>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</si>
  <si>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</si>
  <si>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</si>
  <si>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</si>
  <si>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</si>
  <si>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</si>
  <si>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</si>
  <si>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</si>
  <si>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</si>
  <si>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</si>
  <si>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</si>
  <si>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</si>
  <si>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</si>
  <si>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</si>
  <si>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</si>
  <si>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</si>
  <si>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</si>
  <si>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</si>
  <si>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</si>
  <si>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</si>
  <si>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</si>
  <si>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</si>
  <si>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</si>
  <si>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</si>
  <si>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</si>
  <si>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</si>
  <si>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</si>
  <si>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</si>
  <si>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</si>
  <si>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</si>
  <si>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</si>
  <si>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</si>
  <si>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</si>
  <si>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</si>
  <si>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</si>
  <si>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</si>
  <si>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</si>
  <si>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</si>
  <si>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</si>
  <si>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</si>
  <si>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</si>
  <si>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</si>
  <si>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</si>
  <si>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</si>
  <si>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</si>
  <si>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</si>
  <si>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</si>
  <si>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</si>
  <si>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</si>
  <si>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</si>
  <si>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</si>
  <si>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</si>
  <si>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</si>
  <si>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</si>
  <si>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</si>
  <si>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</si>
  <si>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</si>
  <si>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</si>
  <si>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</si>
  <si>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</si>
  <si>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</si>
  <si>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</si>
  <si>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</si>
  <si>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</si>
  <si>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</si>
  <si>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</si>
  <si>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</si>
  <si>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</si>
  <si>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</si>
  <si>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</si>
  <si>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</si>
  <si>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</si>
  <si>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</si>
  <si>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</si>
  <si>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</si>
  <si>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</si>
  <si>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</si>
  <si>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</si>
  <si>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</si>
  <si>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</si>
  <si>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</si>
  <si>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</si>
  <si>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</si>
  <si>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</si>
  <si>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</si>
  <si>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</si>
  <si>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</si>
  <si>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</si>
  <si>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</si>
  <si>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</si>
  <si>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</si>
  <si>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</si>
  <si>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</si>
  <si>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</si>
  <si>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</si>
  <si>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</si>
  <si>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</si>
  <si>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</si>
  <si>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</si>
  <si>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</si>
  <si>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</si>
  <si>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</si>
  <si>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</si>
  <si>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</si>
  <si>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</si>
  <si>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</si>
  <si>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</si>
  <si>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</si>
  <si>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</si>
  <si>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</si>
  <si>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</si>
  <si>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</si>
  <si>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</si>
  <si>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</si>
  <si>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</si>
  <si>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</si>
  <si>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</si>
  <si>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</si>
  <si>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</si>
  <si>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</si>
  <si>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</si>
  <si>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</si>
  <si>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</si>
  <si>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</si>
  <si>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</si>
  <si>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</si>
  <si>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</si>
  <si>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</si>
  <si>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</si>
  <si>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</si>
  <si>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</si>
  <si>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</si>
  <si>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</si>
  <si>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</si>
  <si>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</si>
  <si>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</si>
  <si>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</si>
  <si>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</si>
  <si>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</si>
  <si>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</si>
  <si>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</si>
  <si>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</si>
  <si>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</si>
  <si>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</si>
  <si>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</si>
  <si>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</si>
  <si>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</si>
  <si>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</si>
  <si>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</si>
  <si>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</si>
  <si>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</si>
  <si>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</si>
  <si>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</si>
  <si>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</si>
  <si>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</si>
  <si>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</si>
  <si>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</si>
  <si>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</si>
  <si>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</si>
  <si>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</si>
  <si>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</si>
  <si>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</si>
  <si>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</si>
  <si>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</si>
  <si>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</si>
  <si>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</si>
  <si>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</si>
  <si>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</si>
  <si>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</si>
  <si>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</si>
  <si>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</si>
  <si>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</si>
  <si>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</si>
  <si>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</si>
  <si>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</si>
  <si>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</si>
  <si>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</si>
  <si>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Noto Sans CJK SC"/>
        <family val="2"/>
      </rPr>
      <t xml:space="preserve">電力證據路徑：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的供電合約列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，只用於 </t>
    </r>
    <r>
      <rPr>
        <b val="true"/>
        <sz val="11"/>
        <rFont val="Cambria"/>
        <family val="0"/>
        <charset val="1"/>
      </rPr>
      <t xml:space="preserve">WIF_Coverage_Power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</si>
  <si>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</si>
  <si>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</si>
  <si>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</si>
  <si>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</si>
  <si>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</si>
  <si>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</si>
  <si>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</si>
  <si>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</si>
  <si>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</si>
  <si>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</si>
  <si>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</si>
  <si>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</si>
  <si>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</si>
  <si>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</si>
  <si>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</si>
  <si>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</si>
  <si>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</si>
  <si>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</si>
  <si>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</si>
  <si>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</si>
  <si>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</si>
  <si>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</si>
  <si>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</si>
  <si>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</si>
  <si>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</si>
  <si>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</si>
  <si>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</si>
  <si>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</si>
  <si>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</si>
  <si>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</si>
  <si>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</si>
  <si>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</si>
  <si>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</si>
  <si>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</si>
  <si>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</si>
  <si>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</si>
  <si>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</si>
  <si>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</si>
  <si>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</si>
  <si>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</si>
  <si>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</si>
  <si>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</si>
  <si>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</si>
  <si>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</si>
  <si>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</si>
  <si>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</si>
  <si>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</si>
  <si>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</si>
  <si>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</si>
  <si>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</si>
  <si>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</si>
  <si>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</si>
  <si>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</si>
  <si>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</si>
  <si>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</si>
  <si>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</si>
  <si>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</si>
  <si>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</si>
  <si>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</si>
  <si>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</si>
  <si>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</si>
  <si>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</si>
  <si>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</si>
  <si>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</si>
  <si>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</si>
  <si>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</si>
  <si>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</si>
  <si>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</si>
  <si>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</si>
  <si>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</si>
  <si>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</si>
  <si>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</si>
  <si>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</si>
  <si>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</si>
  <si>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</si>
  <si>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</si>
  <si>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</si>
  <si>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</si>
  <si>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</si>
  <si>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</si>
  <si>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</si>
  <si>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</si>
  <si>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</si>
  <si>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</si>
  <si>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</si>
  <si>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</si>
  <si>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</si>
  <si>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</si>
  <si>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</si>
  <si>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</si>
  <si>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</si>
  <si>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</si>
  <si>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</si>
  <si>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</si>
  <si>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</si>
  <si>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</si>
  <si>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</si>
  <si>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</si>
  <si>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</si>
  <si>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</si>
  <si>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</si>
  <si>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</si>
  <si>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</si>
  <si>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</si>
  <si>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</si>
  <si>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</si>
  <si>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</si>
  <si>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</si>
  <si>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</si>
  <si>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</si>
  <si>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</si>
  <si>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</si>
  <si>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</si>
  <si>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</si>
  <si>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</si>
  <si>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</si>
  <si>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</si>
  <si>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</si>
  <si>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</si>
  <si>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</si>
  <si>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</si>
  <si>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</si>
  <si>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</si>
  <si>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</si>
  <si>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</si>
  <si>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</si>
  <si>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</si>
  <si>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</si>
  <si>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</si>
  <si>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</si>
  <si>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</si>
  <si>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</si>
  <si>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</si>
  <si>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</si>
  <si>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</si>
  <si>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</si>
  <si>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</si>
  <si>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</si>
  <si>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</si>
  <si>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</si>
  <si>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</si>
  <si>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</si>
  <si>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</si>
  <si>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</si>
  <si>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</si>
  <si>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</si>
  <si>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</si>
  <si>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</si>
  <si>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</si>
  <si>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</si>
  <si>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</si>
  <si>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</si>
  <si>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</si>
  <si>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</si>
  <si>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</si>
  <si>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</si>
  <si>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</si>
  <si>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</si>
  <si>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</si>
  <si>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</si>
  <si>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</si>
  <si>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</si>
  <si>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</si>
  <si>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</si>
  <si>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</si>
  <si>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</si>
  <si>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</si>
  <si>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</si>
  <si>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</si>
  <si>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</si>
  <si>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</si>
  <si>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</si>
  <si>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</si>
  <si>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</si>
  <si>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</si>
  <si>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</si>
  <si>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</si>
  <si>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</si>
  <si>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</si>
  <si>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</si>
  <si>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</si>
  <si>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</si>
  <si>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</si>
  <si>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</si>
  <si>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</si>
  <si>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</si>
  <si>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</si>
  <si>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</si>
  <si>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</si>
  <si>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</si>
  <si>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</si>
  <si>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</si>
  <si>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</si>
  <si>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</si>
  <si>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</si>
  <si>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</si>
  <si>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</si>
  <si>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</si>
  <si>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</si>
  <si>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</si>
  <si>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</si>
  <si>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</si>
  <si>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</si>
  <si>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</si>
  <si>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</si>
  <si>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</si>
  <si>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</si>
  <si>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</si>
  <si>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</si>
  <si>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</si>
  <si>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</si>
  <si>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</si>
  <si>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覆蓋率（含電力證據路徑：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年新增＋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的已核准供電合約列；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</si>
  <si>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</si>
  <si>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</si>
  <si>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</si>
  <si>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</si>
  <si>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</si>
  <si>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</si>
  <si>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</si>
  <si>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</si>
  <si>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</si>
  <si>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</si>
  <si>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</si>
  <si>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</si>
  <si>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</si>
  <si>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</si>
  <si>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</si>
  <si>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</si>
  <si>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</si>
  <si>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</si>
  <si>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</si>
  <si>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</si>
  <si>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</si>
  <si>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</si>
  <si>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</si>
  <si>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</si>
  <si>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</si>
  <si>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</si>
  <si>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</si>
  <si>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</si>
  <si>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</si>
  <si>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</si>
  <si>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</si>
  <si>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</si>
  <si>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</si>
  <si>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</si>
  <si>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</si>
  <si>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</si>
  <si>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</si>
  <si>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</si>
  <si>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</si>
  <si>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</si>
  <si>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</si>
  <si>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</si>
  <si>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</si>
  <si>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</si>
  <si>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</si>
  <si>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</si>
  <si>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</si>
  <si>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</si>
  <si>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</si>
  <si>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</si>
  <si>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</si>
  <si>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</si>
  <si>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</si>
  <si>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</si>
  <si>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</si>
  <si>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</si>
  <si>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</si>
  <si>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</si>
  <si>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</si>
  <si>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</si>
  <si>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</si>
  <si>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</si>
  <si>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</si>
  <si>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</si>
  <si>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</si>
  <si>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</si>
  <si>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</si>
  <si>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</si>
  <si>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</si>
  <si>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</si>
  <si>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</si>
  <si>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</si>
  <si>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</si>
  <si>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</si>
  <si>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</si>
  <si>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</si>
  <si>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</si>
  <si>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</si>
  <si>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</si>
  <si>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</si>
  <si>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</si>
  <si>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</si>
  <si>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</si>
  <si>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</si>
  <si>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</si>
  <si>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</si>
  <si>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</si>
  <si>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</si>
  <si>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</si>
  <si>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</si>
  <si>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</si>
  <si>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</si>
  <si>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</si>
  <si>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</si>
  <si>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</si>
  <si>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</si>
  <si>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</si>
  <si>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</si>
  <si>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</si>
  <si>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</si>
  <si>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</si>
  <si>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</si>
  <si>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</si>
  <si>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</si>
  <si>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</si>
  <si>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</si>
  <si>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</si>
  <si>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</si>
  <si>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</si>
  <si>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</si>
  <si>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</si>
  <si>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</si>
  <si>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</si>
  <si>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</si>
  <si>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</si>
  <si>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</si>
  <si>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</si>
  <si>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</si>
  <si>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</si>
  <si>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</si>
  <si>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</si>
  <si>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</si>
  <si>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</si>
  <si>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</si>
  <si>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</si>
  <si>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</si>
  <si>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</si>
  <si>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</si>
  <si>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</si>
  <si>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</si>
  <si>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</si>
  <si>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</si>
  <si>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</si>
  <si>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</si>
  <si>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</si>
  <si>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</si>
  <si>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</si>
  <si>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</si>
  <si>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</si>
  <si>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</si>
  <si>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</si>
  <si>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</si>
  <si>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</si>
  <si>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</si>
  <si>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</si>
  <si>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</si>
  <si>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</si>
  <si>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</si>
  <si>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</si>
  <si>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</si>
  <si>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</si>
  <si>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</si>
  <si>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</si>
  <si>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</si>
  <si>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</si>
  <si>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</si>
  <si>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</si>
  <si>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</si>
  <si>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</si>
  <si>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</si>
  <si>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</si>
  <si>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</si>
  <si>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</si>
  <si>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</si>
  <si>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</si>
  <si>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</si>
  <si>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</si>
  <si>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</si>
  <si>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</si>
  <si>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</si>
  <si>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</si>
  <si>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</si>
  <si>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</si>
  <si>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</si>
  <si>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</si>
  <si>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</si>
  <si>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</si>
  <si>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</si>
  <si>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</si>
  <si>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</si>
  <si>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</si>
  <si>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</si>
  <si>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</si>
  <si>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</si>
  <si>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</si>
  <si>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</si>
  <si>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</si>
  <si>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</si>
  <si>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</si>
  <si>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</si>
  <si>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</si>
  <si>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</si>
  <si>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</si>
  <si>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</si>
  <si>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</si>
  <si>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</si>
  <si>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</si>
  <si>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</si>
  <si>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</si>
  <si>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</si>
  <si>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</si>
  <si>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</si>
  <si>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</si>
  <si>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</si>
  <si>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</si>
  <si>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</si>
  <si>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</si>
  <si>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</si>
  <si>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</si>
  <si>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</si>
  <si>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</si>
  <si>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</si>
  <si>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</si>
  <si>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</si>
  <si>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</si>
  <si>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</si>
  <si>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</si>
  <si>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</si>
  <si>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</si>
  <si>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</si>
  <si>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</si>
  <si>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</si>
  <si>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</si>
  <si>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</si>
  <si>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</si>
  <si>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</si>
  <si>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</si>
  <si>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</si>
  <si>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</si>
  <si>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</si>
  <si>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</si>
  <si>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</si>
  <si>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</si>
  <si>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</si>
  <si>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</si>
  <si>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</si>
  <si>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</si>
  <si>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</si>
  <si>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t xml:space="preserve">CY2027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</si>
  <si>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現金資本支出將 </t>
    </r>
    <r>
      <rPr>
        <sz val="11"/>
        <color theme="1"/>
        <rFont val="Calibri"/>
        <family val="2"/>
        <charset val="1"/>
      </rPr>
      <t xml:space="preserve">meaningfully more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明顯增加，未給數字；</t>
    </r>
    <r>
      <rPr>
        <sz val="11"/>
        <color theme="1"/>
        <rFont val="Calibri"/>
        <family val="2"/>
        <charset val="1"/>
      </rPr>
      <t xml:space="preserve">&gt; 220 </t>
    </r>
    <r>
      <rPr>
        <sz val="11"/>
        <color theme="1"/>
        <rFont val="Noto Sans CJK SC"/>
        <family val="2"/>
      </rPr>
      <t xml:space="preserve">為推論下限，不入數值）；</t>
    </r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 expect cash capital expenditures to meaningfully increase in 2027</t>
    </r>
    <r>
      <rPr>
        <sz val="11"/>
        <color theme="1"/>
        <rFont val="Noto Sans CJK SC"/>
        <family val="2"/>
      </rPr>
      <t xml:space="preserve">；另稱 </t>
    </r>
    <r>
      <rPr>
        <sz val="11"/>
        <color theme="1"/>
        <rFont val="Calibri"/>
        <family val="2"/>
        <charset val="1"/>
      </rPr>
      <t xml:space="preserve">AWS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各年營收成長可望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以上；對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及部分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的大塊容量（數百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，有時達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）能見度很好</t>
    </r>
  </si>
  <si>
    <t xml:space="preserve">F#256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</si>
  <si>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</si>
  <si>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</si>
  <si>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</si>
  <si>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</si>
  <si>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</si>
  <si>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</si>
  <si>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</si>
  <si>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</si>
  <si>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</si>
  <si>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</si>
  <si>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</si>
  <si>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</si>
  <si>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</si>
  <si>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</si>
  <si>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</si>
  <si>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</si>
  <si>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</si>
  <si>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</si>
  <si>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</si>
  <si>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</si>
  <si>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</si>
  <si>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</si>
  <si>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</si>
  <si>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</si>
  <si>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</si>
  <si>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</si>
  <si>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</si>
  <si>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</si>
  <si>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</si>
  <si>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</si>
  <si>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</si>
  <si>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</si>
  <si>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</si>
  <si>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</si>
  <si>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</si>
  <si>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</si>
  <si>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</si>
  <si>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</si>
  <si>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</si>
  <si>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</si>
  <si>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</si>
  <si>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</si>
  <si>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</si>
  <si>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</si>
  <si>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</si>
  <si>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</si>
  <si>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</si>
  <si>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</si>
  <si>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</si>
  <si>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</si>
  <si>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</si>
  <si>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</si>
  <si>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</si>
  <si>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</si>
  <si>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</si>
  <si>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</si>
  <si>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</si>
  <si>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</si>
  <si>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</si>
  <si>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</si>
  <si>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</si>
  <si>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</si>
  <si>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</si>
  <si>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</si>
  <si>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</si>
  <si>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</si>
  <si>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Gap — </t>
    </r>
    <r>
      <rPr>
        <sz val="11"/>
        <color theme="1"/>
        <rFont val="Noto Sans CJK SC"/>
        <family val="2"/>
      </rPr>
      <t xml:space="preserve">資金缺口（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家代表玩家，本專案覆蓋，不含中國；</t>
    </r>
    <r>
      <rPr>
        <sz val="11"/>
        <color theme="1"/>
        <rFont val="Calibri"/>
        <family val="2"/>
        <charset val="1"/>
      </rPr>
      <t xml:space="preserve">Andy 2026-10-31 12:58</t>
    </r>
    <r>
      <rPr>
        <sz val="11"/>
        <color theme="1"/>
        <rFont val="Noto Sans CJK SC"/>
        <family val="2"/>
      </rPr>
      <t xml:space="preserve">：收支只算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家，中國與其他只留需求與下游）。需要＝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建置成本；</t>
    </r>
    <r>
      <rPr>
        <sz val="11"/>
        <color theme="1"/>
        <rFont val="Calibri"/>
        <family val="2"/>
        <charset val="1"/>
      </rPr>
      <t xml:space="preserve">TK IF_CapexTotal</t>
    </r>
    <r>
      <rPr>
        <sz val="11"/>
        <color theme="1"/>
        <rFont val="Noto Sans CJK SC"/>
        <family val="2"/>
      </rPr>
      <t xml:space="preserve">；廠房依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提前；每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只在擁有者計一次；無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證據的年份用個股模型值）＋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資本支出；錢從哪來＝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家全公司營業現金流（不扣買回與股利，</t>
    </r>
    <r>
      <rPr>
        <sz val="11"/>
        <color theme="1"/>
        <rFont val="Calibri"/>
        <family val="2"/>
        <charset val="1"/>
      </rPr>
      <t xml:space="preserve">Andy 04:20</t>
    </r>
    <r>
      <rPr>
        <sz val="11"/>
        <color theme="1"/>
        <rFont val="Noto Sans CJK SC"/>
        <family val="2"/>
      </rPr>
      <t xml:space="preserve">）＋已觀測外部融資（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）；累計仍未安排＝累計尚需 − 期初現金。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；曆年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</si>
  <si>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。中國與其他廠商（其他新雲、主權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SPV</t>
    </r>
    <r>
      <rPr>
        <sz val="11"/>
        <color theme="1"/>
        <rFont val="Noto Sans CJK SC"/>
        <family val="2"/>
      </rPr>
      <t xml:space="preserve">、企業學研）的需求保留在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與下游（</t>
    </r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、個股），不納入本頁收支；本頁只留一列參考。情景：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依市場年新增比例縮放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GL01-38</t>
    </r>
    <r>
      <rPr>
        <sz val="11"/>
        <color theme="1"/>
        <rFont val="Noto Sans CJK SC"/>
        <family val="2"/>
      </rPr>
      <t xml:space="preserve">）；營業現金流固定為個股模型基準（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的年份屬情景</t>
    </r>
  </si>
  <si>
    <r>
      <rPr>
        <b val="true"/>
        <sz val="12"/>
        <rFont val="Cambria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IT GW </t>
    </r>
    <r>
      <rPr>
        <b val="true"/>
        <sz val="12"/>
        <rFont val="Noto Sans CJK SC"/>
        <family val="2"/>
      </rPr>
      <t xml:space="preserve">建置成本（市場；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IT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Spend </t>
    </r>
    <r>
      <rPr>
        <b val="true"/>
        <sz val="12"/>
        <rFont val="Noto Sans CJK SC"/>
        <family val="2"/>
      </rPr>
      <t xml:space="preserve">頁同一公式，廠房＝</t>
    </r>
    <r>
      <rPr>
        <b val="true"/>
        <sz val="12"/>
        <rFont val="Cambria"/>
        <family val="0"/>
        <charset val="1"/>
      </rPr>
      <t xml:space="preserve">CapexGW </t>
    </r>
    <r>
      <rPr>
        <b val="true"/>
        <sz val="12"/>
        <rFont val="Noto Sans CJK SC"/>
        <family val="2"/>
      </rPr>
      <t xml:space="preserve">同一公式套市場 </t>
    </r>
    <r>
      <rPr>
        <b val="true"/>
        <sz val="12"/>
        <rFont val="Cambria"/>
        <family val="0"/>
        <charset val="1"/>
      </rPr>
      <t xml:space="preserve">NonNV </t>
    </r>
    <r>
      <rPr>
        <b val="true"/>
        <sz val="12"/>
        <rFont val="Noto Sans CJK SC"/>
        <family val="2"/>
      </rPr>
      <t xml:space="preserve">比）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</si>
  <si>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（引用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</si>
  <si>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</si>
  <si>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nnv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</si>
  <si>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頁）</t>
    </r>
  </si>
  <si>
    <t xml:space="preserve">pit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</si>
  <si>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GL11-05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</si>
  <si>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</si>
  <si>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pfac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</si>
  <si>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IF_CapexFacility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同式，市場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</si>
  <si>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建置成本合計（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＋廠房）</t>
    </r>
  </si>
  <si>
    <t xml:space="preserve">pgw</t>
  </si>
  <si>
    <r>
      <rPr>
        <b val="true"/>
        <sz val="11"/>
        <rFont val="Noto Sans CJK SC"/>
        <family val="2"/>
      </rPr>
      <t xml:space="preserve">　項目展開（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SegIn </t>
    </r>
    <r>
      <rPr>
        <b val="true"/>
        <sz val="11"/>
        <rFont val="Noto Sans CJK SC"/>
        <family val="2"/>
      </rPr>
      <t xml:space="preserve">次產業比例；廠房依 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頁拆分比例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本頁廠房每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</si>
  <si>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</si>
  <si>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i_it_compute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</si>
  <si>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</si>
  <si>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i_it_memory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</si>
  <si>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</si>
  <si>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i_it_network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</si>
  <si>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</si>
  <si>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i_it_foundry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</si>
  <si>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</si>
  <si>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i_it_substrate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</si>
  <si>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</si>
  <si>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i_it_power_thermal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</si>
  <si>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</si>
  <si>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i_it_server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</si>
  <si>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</si>
  <si>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i_it_storage</t>
  </si>
  <si>
    <t xml:space="preserve">　廠房：配電</t>
  </si>
  <si>
    <t xml:space="preserve">i_fac_dist</t>
  </si>
  <si>
    <t xml:space="preserve">　廠房：備援發電機</t>
  </si>
  <si>
    <t xml:space="preserve">i_fac_gen</t>
  </si>
  <si>
    <r>
      <rPr>
        <sz val="11"/>
        <color theme="1"/>
        <rFont val="Noto Sans CJK SC"/>
        <family val="2"/>
      </rPr>
      <t xml:space="preserve">　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</si>
  <si>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i_fac_ups</t>
  </si>
  <si>
    <t xml:space="preserve">　廠房：冷卻</t>
  </si>
  <si>
    <t xml:space="preserve">i_fac_cool</t>
  </si>
  <si>
    <t xml:space="preserve">　廠房：建築</t>
  </si>
  <si>
    <t xml:space="preserve">i_fac_bldg</t>
  </si>
  <si>
    <t xml:space="preserve">　廠房：施工人工與設計</t>
  </si>
  <si>
    <t xml:space="preserve">i_fac_labor</t>
  </si>
  <si>
    <t xml:space="preserve">　廠房：其他專業服務</t>
  </si>
  <si>
    <t xml:space="preserve">i_fac_prof</t>
  </si>
  <si>
    <t xml:space="preserve">　廠房：網路、消防、安防</t>
  </si>
  <si>
    <t xml:space="preserve">i_fac_net</t>
  </si>
  <si>
    <t xml:space="preserve">　廠房：土地</t>
  </si>
  <si>
    <t xml:space="preserve">i_fac_land</t>
  </si>
  <si>
    <t xml:space="preserve">　廠房：其他／未拆</t>
  </si>
  <si>
    <t xml:space="preserve">i_fac_resid</t>
  </si>
  <si>
    <r>
      <rPr>
        <sz val="11"/>
        <color theme="1"/>
        <rFont val="Noto Sans CJK SC"/>
        <family val="2"/>
      </rPr>
      <t xml:space="preserve">　項目合計（須＝每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建置成本）</t>
    </r>
  </si>
  <si>
    <t xml:space="preserve">isum</t>
  </si>
  <si>
    <r>
      <rPr>
        <sz val="11"/>
        <color theme="1"/>
        <rFont val="Noto Sans CJK SC"/>
        <family val="2"/>
      </rPr>
      <t xml:space="preserve">　備忘：自建發電（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另計，不在 </t>
    </r>
    <r>
      <rPr>
        <sz val="11"/>
        <color theme="1"/>
        <rFont val="Calibri"/>
        <family val="2"/>
        <charset val="1"/>
      </rPr>
      <t xml:space="preserve">IF_CapexTotal</t>
    </r>
    <r>
      <rPr>
        <sz val="11"/>
        <color theme="1"/>
        <rFont val="Noto Sans CJK SC"/>
        <family val="2"/>
      </rPr>
      <t xml:space="preserve">，不進需要）</t>
    </r>
  </si>
  <si>
    <t xml:space="preserve">iself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</si>
  <si>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</si>
  <si>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cov</t>
  </si>
  <si>
    <t xml:space="preserve">年份性質</t>
  </si>
  <si>
    <t xml:space="preserve">covflag</t>
  </si>
  <si>
    <r>
      <rPr>
        <sz val="11"/>
        <color theme="1"/>
        <rFont val="Noto Sans CJK SC"/>
        <family val="2"/>
      </rPr>
      <t xml:space="preserve">對照：年化持有成本（</t>
    </r>
    <r>
      <rPr>
        <sz val="11"/>
        <color theme="1"/>
        <rFont val="Calibri"/>
        <family val="2"/>
        <charset val="1"/>
      </rPr>
      <t xml:space="preserve">TK AL_HoldGen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IF_HoldGen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</si>
  <si>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未含年化持有成本名稱（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）；本版不列數值，不自行估算</t>
    </r>
  </si>
  <si>
    <r>
      <rPr>
        <b val="true"/>
        <sz val="12"/>
        <rFont val="Cambria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玩家層（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家代表玩家；曆年；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D0 </t>
    </r>
    <r>
      <rPr>
        <b val="true"/>
        <sz val="12"/>
        <rFont val="Noto Sans CJK SC"/>
        <family val="2"/>
      </rPr>
      <t xml:space="preserve">基準）。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資本支出＝玩家年新增 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（主路徑：七家 </t>
    </r>
    <r>
      <rPr>
        <b val="true"/>
        <sz val="12"/>
        <rFont val="Cambria"/>
        <family val="0"/>
        <charset val="1"/>
      </rPr>
      <t xml:space="preserve">2027 </t>
    </r>
    <r>
      <rPr>
        <b val="true"/>
        <sz val="12"/>
        <rFont val="Noto Sans CJK SC"/>
        <family val="2"/>
      </rPr>
      <t xml:space="preserve">起甲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，其餘甲）</t>
    </r>
    <r>
      <rPr>
        <b val="true"/>
        <sz val="12"/>
        <rFont val="Cambria"/>
        <family val="0"/>
        <charset val="1"/>
      </rPr>
      <t xml:space="preserve">× </t>
    </r>
    <r>
      <rPr>
        <b val="true"/>
        <sz val="12"/>
        <rFont val="Noto Sans CJK SC"/>
        <family val="2"/>
      </rPr>
      <t xml:space="preserve">玩家每 </t>
    </r>
    <r>
      <rPr>
        <b val="true"/>
        <sz val="12"/>
        <rFont val="Cambria"/>
        <family val="0"/>
        <charset val="1"/>
      </rPr>
      <t xml:space="preserve">GW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CapexGW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C1 </t>
    </r>
    <r>
      <rPr>
        <b val="true"/>
        <sz val="12"/>
        <rFont val="Noto Sans CJK SC"/>
        <family val="2"/>
      </rPr>
      <t xml:space="preserve">同式），廠房提前 </t>
    </r>
    <r>
      <rPr>
        <b val="true"/>
        <sz val="12"/>
        <rFont val="Cambria"/>
        <family val="0"/>
        <charset val="1"/>
      </rPr>
      <t xml:space="preserve">lag_bldg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</si>
  <si>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</si>
  <si>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（主路徑；擁有者）</t>
    </r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</si>
  <si>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</si>
  <si>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</si>
  <si>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</si>
  <si>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資本支出組成：當年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＋當年廠房 </t>
    </r>
    <r>
      <rPr>
        <sz val="11"/>
        <color theme="1"/>
        <rFont val="Calibri"/>
        <family val="2"/>
        <charset val="1"/>
      </rPr>
      <t xml:space="preserve">w0</t>
    </r>
  </si>
  <si>
    <t xml:space="preserve">msft_c0</t>
  </si>
  <si>
    <r>
      <rPr>
        <sz val="11"/>
        <color theme="1"/>
        <rFont val="Noto Sans CJK SC"/>
        <family val="2"/>
      </rPr>
      <t xml:space="preserve">　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資本支出組成：次年上線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的廠房 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（提前入帳）</t>
    </r>
  </si>
  <si>
    <t xml:space="preserve">msft_c1</t>
  </si>
  <si>
    <r>
      <rPr>
        <sz val="11"/>
        <color theme="1"/>
        <rFont val="Noto Sans CJK SC"/>
        <family val="2"/>
      </rPr>
      <t xml:space="preserve">　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資本支出組成：後年上線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的廠房 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（提前入帳）</t>
    </r>
  </si>
  <si>
    <t xml:space="preserve">msft_c2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</si>
  <si>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；廠房提前）＝組成合計</t>
    </r>
  </si>
  <si>
    <t xml:space="preserve">msft_ai_gw</t>
  </si>
  <si>
    <r>
      <rPr>
        <sz val="11"/>
        <color theme="1"/>
        <rFont val="Noto Sans CJK SC"/>
        <family val="2"/>
      </rPr>
      <t xml:space="preserve">　　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改用市場平均）組成 </t>
    </r>
    <r>
      <rPr>
        <sz val="11"/>
        <color theme="1"/>
        <rFont val="Calibri"/>
        <family val="2"/>
        <charset val="1"/>
      </rPr>
      <t xml:space="preserve">0</t>
    </r>
  </si>
  <si>
    <t xml:space="preserve">msft_m0</t>
  </si>
  <si>
    <r>
      <rPr>
        <sz val="11"/>
        <color theme="1"/>
        <rFont val="Noto Sans CJK SC"/>
        <family val="2"/>
      </rPr>
      <t xml:space="preserve">　　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改用市場平均）組成 </t>
    </r>
    <r>
      <rPr>
        <sz val="11"/>
        <color theme="1"/>
        <rFont val="Calibri"/>
        <family val="2"/>
        <charset val="1"/>
      </rPr>
      <t xml:space="preserve">1</t>
    </r>
  </si>
  <si>
    <t xml:space="preserve">msft_m1</t>
  </si>
  <si>
    <r>
      <rPr>
        <sz val="11"/>
        <color theme="1"/>
        <rFont val="Noto Sans CJK SC"/>
        <family val="2"/>
      </rPr>
      <t xml:space="preserve">　　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改用市場平均）組成 </t>
    </r>
    <r>
      <rPr>
        <sz val="11"/>
        <color theme="1"/>
        <rFont val="Calibri"/>
        <family val="2"/>
        <charset val="1"/>
      </rPr>
      <t xml:space="preserve">2</t>
    </r>
  </si>
  <si>
    <t xml:space="preserve">msft_m2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</si>
  <si>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資本支出（財年；模型）</t>
    </r>
  </si>
  <si>
    <t xml:space="preserve">msft_nai_fy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</si>
  <si>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</si>
  <si>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msft_nai_cy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</si>
  <si>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資本支出替代旗標</t>
    </r>
  </si>
  <si>
    <t xml:space="preserve">msft_nai_fb</t>
  </si>
  <si>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拆分的年份：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，財年按月數換曆年；同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</si>
  <si>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資本支出（曆年；模型優先，缺則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，仍缺以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</si>
  <si>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msft_nai</t>
  </si>
  <si>
    <t xml:space="preserve">　資本支出合計（財年；模型；對照）</t>
  </si>
  <si>
    <t xml:space="preserve">msft_cap_fy</t>
  </si>
  <si>
    <t xml:space="preserve">　資本支出合計（曆年；模型；對照）</t>
  </si>
  <si>
    <t xml:space="preserve">msft_cap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</si>
  <si>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資本支出（財年；模型；對照）</t>
    </r>
  </si>
  <si>
    <t xml:space="preserve">msft_cai_fy</t>
  </si>
  <si>
    <r>
      <rPr>
        <sz val="11"/>
        <color theme="1"/>
        <rFont val="Noto Sans CJK SC"/>
        <family val="2"/>
      </rPr>
      <t xml:space="preserve">　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</si>
  <si>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msft_cai</t>
  </si>
  <si>
    <r>
      <rPr>
        <sz val="11"/>
        <color theme="1"/>
        <rFont val="Noto Sans CJK SC"/>
        <family val="2"/>
      </rPr>
      <t xml:space="preserve">　對照：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對照）</t>
    </r>
  </si>
  <si>
    <t xml:space="preserve">msft_capx</t>
  </si>
  <si>
    <r>
      <rPr>
        <sz val="11"/>
        <color theme="1"/>
        <rFont val="Noto Sans CJK SC"/>
        <family val="2"/>
      </rPr>
      <t xml:space="preserve">　營業現金流（財年；模型，缺則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全年觀測）</t>
    </r>
  </si>
  <si>
    <t xml:space="preserve">msft_ocf_fy</t>
  </si>
  <si>
    <t xml:space="preserve">　　營業現金流來源（財年）</t>
  </si>
  <si>
    <t xml:space="preserve">msft_ocf_src</t>
  </si>
  <si>
    <t xml:space="preserve">　營業現金流（曆年；全公司；空白＝無模型值）</t>
  </si>
  <si>
    <t xml:space="preserve">msft_ocf</t>
  </si>
  <si>
    <r>
      <rPr>
        <sz val="11"/>
        <color theme="1"/>
        <rFont val="Noto Sans CJK SC"/>
        <family val="2"/>
      </rPr>
      <t xml:space="preserve">　模型值替代（無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</t>
    </r>
  </si>
  <si>
    <t xml:space="preserve">msft_ai_fb</t>
  </si>
  <si>
    <r>
      <rPr>
        <sz val="11"/>
        <color theme="1"/>
        <rFont val="Noto Sans CJK SC"/>
        <family val="2"/>
      </rPr>
      <t xml:space="preserve">營業現金流有計、但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（沒有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證據）的年份，改用個股模型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資本支出，計為擁有者需要；市場合計同額加上（不從市場其餘扣）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</si>
  <si>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資料中心資本支出（採用：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推算；無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證據時用模型值）</t>
    </r>
  </si>
  <si>
    <r>
      <rPr>
        <sz val="11"/>
        <color theme="1"/>
        <rFont val="Noto Sans CJK SC"/>
        <family val="2"/>
      </rPr>
      <t xml:space="preserve">　並列讀法：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資本支出依個股模型基準（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；模型缺值時用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推算）</t>
    </r>
  </si>
  <si>
    <t xml:space="preserve">msft_ai_mc</t>
  </si>
  <si>
    <t xml:space="preserve">　買回＋股利（財年；備忘）</t>
  </si>
  <si>
    <t xml:space="preserve">msft_bb_fy</t>
  </si>
  <si>
    <t xml:space="preserve">　備忘：可削減緩衝＝買回＋股利（曆年；不進缺口）</t>
  </si>
  <si>
    <t xml:space="preserve">msft_bb</t>
  </si>
  <si>
    <r>
      <rPr>
        <sz val="11"/>
        <color theme="1"/>
        <rFont val="Noto Sans CJK SC"/>
        <family val="2"/>
      </rPr>
      <t xml:space="preserve">　需要合計（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</si>
  <si>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msft_need</t>
  </si>
  <si>
    <r>
      <rPr>
        <sz val="11"/>
        <color theme="1"/>
        <rFont val="Noto Sans CJK SC"/>
        <family val="2"/>
      </rPr>
      <t xml:space="preserve">　自籌比＝營業現金流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</si>
  <si>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msft_self</t>
  </si>
  <si>
    <r>
      <rPr>
        <sz val="11"/>
        <color theme="1"/>
        <rFont val="Noto Sans CJK SC"/>
        <family val="2"/>
      </rPr>
      <t xml:space="preserve">　缺口＝（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）− 營業現金流（正＝需外部資金）</t>
    </r>
  </si>
  <si>
    <t xml:space="preserve">msft_gap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</si>
  <si>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總額口徑）；財年按月數換曆年</t>
    </r>
  </si>
  <si>
    <t xml:space="preserve">msft_ext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</si>
  <si>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擔保、私募信貸）；財年按月數換曆年</t>
    </r>
  </si>
  <si>
    <t xml:space="preserve">msft_ext_debt</t>
  </si>
  <si>
    <t xml:space="preserve">　　其中：股權；財年按月數換曆年</t>
  </si>
  <si>
    <t xml:space="preserve">msft_ext_eq</t>
  </si>
  <si>
    <t xml:space="preserve">　　其中：新增融資租賃＋表外合資；財年按月數換曆年</t>
  </si>
  <si>
    <t xml:space="preserve">msft_ext_lj</t>
  </si>
  <si>
    <r>
      <rPr>
        <sz val="11"/>
        <color theme="1"/>
        <rFont val="Noto Sans CJK SC"/>
        <family val="2"/>
      </rPr>
      <t xml:space="preserve">　推算尚需＝缺口 − 已觀測（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</si>
  <si>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msft_imp</t>
  </si>
  <si>
    <r>
      <rPr>
        <sz val="11"/>
        <color theme="1"/>
        <rFont val="Noto Sans CJK SC"/>
        <family val="2"/>
      </rPr>
      <t xml:space="preserve">　已簽未起租租賃（最近一期存量；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</si>
  <si>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msft_lnc</t>
  </si>
  <si>
    <r>
      <rPr>
        <sz val="11"/>
        <color theme="1"/>
        <rFont val="Noto Sans CJK SC"/>
        <family val="2"/>
      </rPr>
      <t xml:space="preserve">備忘：市場內移轉，不作來源（</t>
    </r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</si>
  <si>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Noto Sans CJK SC"/>
        <family val="2"/>
      </rPr>
      <t xml:space="preserve">　表外合資承諾（最大損失曝險存量；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</si>
  <si>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msft_jvx</t>
  </si>
  <si>
    <t xml:space="preserve">備忘：不作來源</t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</si>
  <si>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</t>
    </r>
    <r>
      <rPr>
        <sz val="11"/>
        <color theme="1"/>
        <rFont val="Calibri"/>
        <family val="2"/>
        <charset val="1"/>
      </rPr>
      <t xml:space="preserve">Funding 2026 </t>
    </r>
    <r>
      <rPr>
        <sz val="11"/>
        <color theme="1"/>
        <rFont val="Noto Sans CJK SC"/>
        <family val="2"/>
      </rPr>
      <t xml:space="preserve">期間，總額口徑；</t>
    </r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不計入來源）</t>
    </r>
  </si>
  <si>
    <t xml:space="preserve">msft_ext26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</si>
  <si>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觀測：</t>
    </r>
    <r>
      <rPr>
        <sz val="11"/>
        <color theme="1"/>
        <rFont val="Calibri"/>
        <family val="2"/>
        <charset val="1"/>
      </rPr>
      <t xml:space="preserve">FundRaw cash_level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</si>
  <si>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msft_cash_obs</t>
  </si>
  <si>
    <r>
      <rPr>
        <sz val="11"/>
        <color theme="1"/>
        <rFont val="Noto Sans CJK SC"/>
        <family val="2"/>
      </rPr>
      <t xml:space="preserve">證據列進 </t>
    </r>
    <r>
      <rPr>
        <sz val="11"/>
        <color theme="1"/>
        <rFont val="Calibri"/>
        <family val="2"/>
        <charset val="1"/>
      </rPr>
      <t xml:space="preserve">F_funding.csv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item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cash_level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period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）並經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段判定採用後，重建即自動帶入</t>
    </r>
  </si>
  <si>
    <r>
      <rPr>
        <sz val="11"/>
        <color theme="1"/>
        <rFont val="Noto Sans CJK SC"/>
        <family val="2"/>
      </rPr>
      <t xml:space="preserve">　期初現金（採用：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觀測優先，未取得時用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個股模型值；一次性，只進累計）</t>
    </r>
  </si>
  <si>
    <t xml:space="preserve">msft_cash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</si>
  <si>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</si>
  <si>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　　期初現金來源</t>
  </si>
  <si>
    <t xml:space="preserve">msft_cash_src</t>
  </si>
  <si>
    <r>
      <rPr>
        <sz val="11"/>
        <color theme="1"/>
        <rFont val="Noto Sans CJK SC"/>
        <family val="2"/>
      </rPr>
      <t xml:space="preserve">　自由現金流＝營業現金流 −（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</si>
  <si>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msft_fcf</t>
  </si>
  <si>
    <t xml:space="preserve">　缺口占資本支出</t>
  </si>
  <si>
    <t xml:space="preserve">msft_gr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</si>
  <si>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</si>
  <si>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googl_c0</t>
  </si>
  <si>
    <t xml:space="preserve">googl_c1</t>
  </si>
  <si>
    <t xml:space="preserve">googl_c2</t>
  </si>
  <si>
    <t xml:space="preserve">googl_ai_gw</t>
  </si>
  <si>
    <t xml:space="preserve">googl_m0</t>
  </si>
  <si>
    <t xml:space="preserve">googl_m1</t>
  </si>
  <si>
    <t xml:space="preserve">googl_m2</t>
  </si>
  <si>
    <t xml:space="preserve">googl_nai_fy</t>
  </si>
  <si>
    <t xml:space="preserve">googl_nai_cy</t>
  </si>
  <si>
    <t xml:space="preserve">googl_nai_fb</t>
  </si>
  <si>
    <t xml:space="preserve">googl_nai</t>
  </si>
  <si>
    <t xml:space="preserve">googl_cap_fy</t>
  </si>
  <si>
    <t xml:space="preserve">googl_cap</t>
  </si>
  <si>
    <t xml:space="preserve">googl_cai_fy</t>
  </si>
  <si>
    <t xml:space="preserve">googl_cai</t>
  </si>
  <si>
    <t xml:space="preserve">googl_capx</t>
  </si>
  <si>
    <t xml:space="preserve">googl_ocf_fy</t>
  </si>
  <si>
    <t xml:space="preserve">googl_ocf_src</t>
  </si>
  <si>
    <t xml:space="preserve">googl_ocf</t>
  </si>
  <si>
    <t xml:space="preserve">googl_ai_fb</t>
  </si>
  <si>
    <t xml:space="preserve">googl_ai_mc</t>
  </si>
  <si>
    <t xml:space="preserve">googl_bb_fy</t>
  </si>
  <si>
    <t xml:space="preserve">googl_bb</t>
  </si>
  <si>
    <t xml:space="preserve">googl_need</t>
  </si>
  <si>
    <t xml:space="preserve">googl_self</t>
  </si>
  <si>
    <t xml:space="preserve">googl_gap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</si>
  <si>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</si>
  <si>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googl_ext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</si>
  <si>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</t>
    </r>
  </si>
  <si>
    <t xml:space="preserve">googl_ext_debt</t>
  </si>
  <si>
    <t xml:space="preserve">　　其中：股權</t>
  </si>
  <si>
    <t xml:space="preserve">googl_ext_eq</t>
  </si>
  <si>
    <t xml:space="preserve">　　其中：新增融資租賃＋表外合資</t>
  </si>
  <si>
    <t xml:space="preserve">googl_ext_lj</t>
  </si>
  <si>
    <t xml:space="preserve">googl_imp</t>
  </si>
  <si>
    <t xml:space="preserve">googl_lnc</t>
  </si>
  <si>
    <t xml:space="preserve">googl_jvx</t>
  </si>
  <si>
    <t xml:space="preserve">googl_ext26</t>
  </si>
  <si>
    <t xml:space="preserve">googl_cash_obs</t>
  </si>
  <si>
    <t xml:space="preserve">googl_cash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</si>
  <si>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</si>
  <si>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googl_cash_src</t>
  </si>
  <si>
    <t xml:space="preserve">googl_fcf</t>
  </si>
  <si>
    <t xml:space="preserve">googl_gr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</si>
  <si>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</si>
  <si>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amzn_c0</t>
  </si>
  <si>
    <t xml:space="preserve">amzn_c1</t>
  </si>
  <si>
    <t xml:space="preserve">amzn_c2</t>
  </si>
  <si>
    <t xml:space="preserve">amzn_ai_gw</t>
  </si>
  <si>
    <t xml:space="preserve">amzn_m0</t>
  </si>
  <si>
    <t xml:space="preserve">amzn_m1</t>
  </si>
  <si>
    <t xml:space="preserve">amzn_m2</t>
  </si>
  <si>
    <t xml:space="preserve">amzn_nai_fy</t>
  </si>
  <si>
    <t xml:space="preserve">amzn_nai_cy</t>
  </si>
  <si>
    <t xml:space="preserve">amzn_nai_fb</t>
  </si>
  <si>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拆分的年份：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，財年按月數換曆年；同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ai_amzn</t>
    </r>
    <r>
      <rPr>
        <sz val="11"/>
        <color theme="1"/>
        <rFont val="Noto Sans CJK SC"/>
        <family val="2"/>
      </rPr>
      <t xml:space="preserve">）</t>
    </r>
  </si>
  <si>
    <t xml:space="preserve">amzn_nai</t>
  </si>
  <si>
    <t xml:space="preserve">amzn_cap_fy</t>
  </si>
  <si>
    <t xml:space="preserve">amzn_cap</t>
  </si>
  <si>
    <t xml:space="preserve">amzn_cai_fy</t>
  </si>
  <si>
    <t xml:space="preserve">amzn_cai</t>
  </si>
  <si>
    <t xml:space="preserve">amzn_capx</t>
  </si>
  <si>
    <t xml:space="preserve">amzn_ocf_fy</t>
  </si>
  <si>
    <t xml:space="preserve">amzn_ocf_src</t>
  </si>
  <si>
    <t xml:space="preserve">amzn_ocf</t>
  </si>
  <si>
    <t xml:space="preserve">amzn_ai_fb</t>
  </si>
  <si>
    <t xml:space="preserve">amzn_ai_mc</t>
  </si>
  <si>
    <t xml:space="preserve">amzn_bb_fy</t>
  </si>
  <si>
    <t xml:space="preserve">amzn_bb</t>
  </si>
  <si>
    <t xml:space="preserve">amzn_need</t>
  </si>
  <si>
    <t xml:space="preserve">amzn_self</t>
  </si>
  <si>
    <t xml:space="preserve">amzn_gap</t>
  </si>
  <si>
    <t xml:space="preserve">amzn_ext</t>
  </si>
  <si>
    <t xml:space="preserve">amzn_ext_debt</t>
  </si>
  <si>
    <t xml:space="preserve">amzn_ext_eq</t>
  </si>
  <si>
    <t xml:space="preserve">amzn_ext_lj</t>
  </si>
  <si>
    <t xml:space="preserve">amzn_imp</t>
  </si>
  <si>
    <t xml:space="preserve">amzn_lnc</t>
  </si>
  <si>
    <t xml:space="preserve">amzn_jvx</t>
  </si>
  <si>
    <t xml:space="preserve">amzn_ext26</t>
  </si>
  <si>
    <t xml:space="preserve">amzn_cash_obs</t>
  </si>
  <si>
    <t xml:space="preserve">amzn_cash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</si>
  <si>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</si>
  <si>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t xml:space="preserve">amzn_cash_src</t>
  </si>
  <si>
    <t xml:space="preserve">amzn_fcf</t>
  </si>
  <si>
    <t xml:space="preserve">amzn_gr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</si>
  <si>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</si>
  <si>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meta_c0</t>
  </si>
  <si>
    <t xml:space="preserve">meta_c1</t>
  </si>
  <si>
    <t xml:space="preserve">meta_c2</t>
  </si>
  <si>
    <t xml:space="preserve">meta_ai_gw</t>
  </si>
  <si>
    <t xml:space="preserve">meta_m0</t>
  </si>
  <si>
    <t xml:space="preserve">meta_m1</t>
  </si>
  <si>
    <t xml:space="preserve">meta_m2</t>
  </si>
  <si>
    <t xml:space="preserve">meta_nai_fy</t>
  </si>
  <si>
    <t xml:space="preserve">meta_nai_cy</t>
  </si>
  <si>
    <t xml:space="preserve">meta_nai_fb</t>
  </si>
  <si>
    <t xml:space="preserve">meta_nai</t>
  </si>
  <si>
    <t xml:space="preserve">meta_cap_fy</t>
  </si>
  <si>
    <t xml:space="preserve">meta_cap</t>
  </si>
  <si>
    <t xml:space="preserve">meta_cai_fy</t>
  </si>
  <si>
    <t xml:space="preserve">meta_cai</t>
  </si>
  <si>
    <t xml:space="preserve">meta_capx</t>
  </si>
  <si>
    <t xml:space="preserve">meta_ocf_fy</t>
  </si>
  <si>
    <t xml:space="preserve">meta_ocf_src</t>
  </si>
  <si>
    <t xml:space="preserve">meta_ocf</t>
  </si>
  <si>
    <t xml:space="preserve">meta_ai_fb</t>
  </si>
  <si>
    <t xml:space="preserve">meta_ai_mc</t>
  </si>
  <si>
    <t xml:space="preserve">meta_bb_fy</t>
  </si>
  <si>
    <t xml:space="preserve">meta_bb</t>
  </si>
  <si>
    <t xml:space="preserve">meta_need</t>
  </si>
  <si>
    <t xml:space="preserve">meta_self</t>
  </si>
  <si>
    <t xml:space="preserve">meta_gap</t>
  </si>
  <si>
    <t xml:space="preserve">meta_ext</t>
  </si>
  <si>
    <t xml:space="preserve">meta_ext_debt</t>
  </si>
  <si>
    <t xml:space="preserve">meta_ext_eq</t>
  </si>
  <si>
    <t xml:space="preserve">meta_ext_lj</t>
  </si>
  <si>
    <t xml:space="preserve">meta_imp</t>
  </si>
  <si>
    <t xml:space="preserve">meta_lnc</t>
  </si>
  <si>
    <t xml:space="preserve">meta_jvx</t>
  </si>
  <si>
    <t xml:space="preserve">meta_ext26</t>
  </si>
  <si>
    <t xml:space="preserve">meta_cash_obs</t>
  </si>
  <si>
    <t xml:space="preserve">meta_cash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</si>
  <si>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</si>
  <si>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meta_cash_src</t>
  </si>
  <si>
    <t xml:space="preserve">meta_fcf</t>
  </si>
  <si>
    <t xml:space="preserve">meta_gr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</si>
  <si>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</si>
  <si>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orcl_c0</t>
  </si>
  <si>
    <t xml:space="preserve">orcl_c1</t>
  </si>
  <si>
    <t xml:space="preserve">orcl_c2</t>
  </si>
  <si>
    <t xml:space="preserve">orcl_ai_gw</t>
  </si>
  <si>
    <t xml:space="preserve">orcl_m0</t>
  </si>
  <si>
    <t xml:space="preserve">orcl_m1</t>
  </si>
  <si>
    <t xml:space="preserve">orcl_m2</t>
  </si>
  <si>
    <t xml:space="preserve">orcl_nai_fy</t>
  </si>
  <si>
    <t xml:space="preserve">orcl_nai_cy</t>
  </si>
  <si>
    <t xml:space="preserve">orcl_nai_fb</t>
  </si>
  <si>
    <t xml:space="preserve">orcl_nai</t>
  </si>
  <si>
    <t xml:space="preserve">orcl_cap_fy</t>
  </si>
  <si>
    <t xml:space="preserve">orcl_cap</t>
  </si>
  <si>
    <t xml:space="preserve">orcl_cai_fy</t>
  </si>
  <si>
    <t xml:space="preserve">orcl_cai</t>
  </si>
  <si>
    <t xml:space="preserve">orcl_capx</t>
  </si>
  <si>
    <t xml:space="preserve">orcl_ocf_fy</t>
  </si>
  <si>
    <t xml:space="preserve">orcl_ocf_src</t>
  </si>
  <si>
    <t xml:space="preserve">orcl_ocf</t>
  </si>
  <si>
    <t xml:space="preserve">orcl_ai_fb</t>
  </si>
  <si>
    <t xml:space="preserve">orcl_ai_mc</t>
  </si>
  <si>
    <t xml:space="preserve">orcl_bb_fy</t>
  </si>
  <si>
    <t xml:space="preserve">orcl_bb</t>
  </si>
  <si>
    <t xml:space="preserve">orcl_need</t>
  </si>
  <si>
    <t xml:space="preserve">orcl_self</t>
  </si>
  <si>
    <t xml:space="preserve">orcl_gap</t>
  </si>
  <si>
    <t xml:space="preserve">orcl_ext</t>
  </si>
  <si>
    <t xml:space="preserve">orcl_ext_debt</t>
  </si>
  <si>
    <t xml:space="preserve">orcl_ext_eq</t>
  </si>
  <si>
    <t xml:space="preserve">orcl_ext_lj</t>
  </si>
  <si>
    <t xml:space="preserve">orcl_imp</t>
  </si>
  <si>
    <t xml:space="preserve">orcl_lnc</t>
  </si>
  <si>
    <t xml:space="preserve">orcl_jvx</t>
  </si>
  <si>
    <t xml:space="preserve">orcl_ext26</t>
  </si>
  <si>
    <t xml:space="preserve">orcl_cash_obs</t>
  </si>
  <si>
    <t xml:space="preserve">orcl_cash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</si>
  <si>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</si>
  <si>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orcl_cash_src</t>
  </si>
  <si>
    <t xml:space="preserve">orcl_fcf</t>
  </si>
  <si>
    <t xml:space="preserve">orcl_gr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</si>
  <si>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</si>
  <si>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crwv_c0</t>
  </si>
  <si>
    <t xml:space="preserve">crwv_c1</t>
  </si>
  <si>
    <t xml:space="preserve">crwv_c2</t>
  </si>
  <si>
    <t xml:space="preserve">crwv_ai_gw</t>
  </si>
  <si>
    <t xml:space="preserve">crwv_m0</t>
  </si>
  <si>
    <t xml:space="preserve">crwv_m1</t>
  </si>
  <si>
    <t xml:space="preserve">crwv_m2</t>
  </si>
  <si>
    <t xml:space="preserve">crwv_nai_fy</t>
  </si>
  <si>
    <t xml:space="preserve">crwv_nai_cy</t>
  </si>
  <si>
    <t xml:space="preserve">crwv_nai_fb</t>
  </si>
  <si>
    <t xml:space="preserve">crwv_nai</t>
  </si>
  <si>
    <t xml:space="preserve">crwv_cap_fy</t>
  </si>
  <si>
    <t xml:space="preserve">crwv_cap</t>
  </si>
  <si>
    <t xml:space="preserve">crwv_cai_fy</t>
  </si>
  <si>
    <t xml:space="preserve">crwv_cai</t>
  </si>
  <si>
    <t xml:space="preserve">crwv_capx</t>
  </si>
  <si>
    <t xml:space="preserve">crwv_ocf_fy</t>
  </si>
  <si>
    <t xml:space="preserve">crwv_ocf_src</t>
  </si>
  <si>
    <t xml:space="preserve">crwv_ocf</t>
  </si>
  <si>
    <t xml:space="preserve">crwv_ai_fb</t>
  </si>
  <si>
    <t xml:space="preserve">crwv_ai_mc</t>
  </si>
  <si>
    <t xml:space="preserve">crwv_bb_fy</t>
  </si>
  <si>
    <t xml:space="preserve">crwv_bb</t>
  </si>
  <si>
    <t xml:space="preserve">crwv_need</t>
  </si>
  <si>
    <t xml:space="preserve">crwv_self</t>
  </si>
  <si>
    <t xml:space="preserve">crwv_gap</t>
  </si>
  <si>
    <t xml:space="preserve">crwv_ext</t>
  </si>
  <si>
    <t xml:space="preserve">crwv_ext_debt</t>
  </si>
  <si>
    <t xml:space="preserve">crwv_ext_eq</t>
  </si>
  <si>
    <t xml:space="preserve">crwv_ext_lj</t>
  </si>
  <si>
    <t xml:space="preserve">crwv_imp</t>
  </si>
  <si>
    <t xml:space="preserve">crwv_lnc</t>
  </si>
  <si>
    <t xml:space="preserve">crwv_jvx</t>
  </si>
  <si>
    <t xml:space="preserve">crwv_ext26</t>
  </si>
  <si>
    <t xml:space="preserve">crwv_cash_obs</t>
  </si>
  <si>
    <t xml:space="preserve">crwv_cash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</si>
  <si>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</si>
  <si>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crwv_cash_src</t>
  </si>
  <si>
    <t xml:space="preserve">crwv_fcf</t>
  </si>
  <si>
    <t xml:space="preserve">crwv_gr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</si>
  <si>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</si>
  <si>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nbis_c0</t>
  </si>
  <si>
    <t xml:space="preserve">nbis_c1</t>
  </si>
  <si>
    <t xml:space="preserve">nbis_c2</t>
  </si>
  <si>
    <t xml:space="preserve">nbis_ai_gw</t>
  </si>
  <si>
    <t xml:space="preserve">nbis_m0</t>
  </si>
  <si>
    <t xml:space="preserve">nbis_m1</t>
  </si>
  <si>
    <t xml:space="preserve">nbis_m2</t>
  </si>
  <si>
    <t xml:space="preserve">nbis_nai_fy</t>
  </si>
  <si>
    <t xml:space="preserve">nbis_nai_cy</t>
  </si>
  <si>
    <t xml:space="preserve">nbis_nai_fb</t>
  </si>
  <si>
    <t xml:space="preserve">nbis_nai</t>
  </si>
  <si>
    <t xml:space="preserve">nbis_cap_fy</t>
  </si>
  <si>
    <t xml:space="preserve">nbis_cap</t>
  </si>
  <si>
    <t xml:space="preserve">nbis_cai_fy</t>
  </si>
  <si>
    <t xml:space="preserve">nbis_cai</t>
  </si>
  <si>
    <t xml:space="preserve">nbis_capx</t>
  </si>
  <si>
    <t xml:space="preserve">nbis_ocf_fy</t>
  </si>
  <si>
    <t xml:space="preserve">nbis_ocf_src</t>
  </si>
  <si>
    <t xml:space="preserve">nbis_ocf</t>
  </si>
  <si>
    <t xml:space="preserve">nbis_ai_fb</t>
  </si>
  <si>
    <t xml:space="preserve">nbis_ai_mc</t>
  </si>
  <si>
    <t xml:space="preserve">nbis_bb_fy</t>
  </si>
  <si>
    <t xml:space="preserve">nbis_bb</t>
  </si>
  <si>
    <t xml:space="preserve">nbis_need</t>
  </si>
  <si>
    <t xml:space="preserve">nbis_self</t>
  </si>
  <si>
    <t xml:space="preserve">nbis_gap</t>
  </si>
  <si>
    <t xml:space="preserve">nbis_ext</t>
  </si>
  <si>
    <t xml:space="preserve">nbis_ext_debt</t>
  </si>
  <si>
    <t xml:space="preserve">nbis_ext_eq</t>
  </si>
  <si>
    <t xml:space="preserve">nbis_ext_lj</t>
  </si>
  <si>
    <t xml:space="preserve">nbis_imp</t>
  </si>
  <si>
    <t xml:space="preserve">nbis_lnc</t>
  </si>
  <si>
    <t xml:space="preserve">nbis_jvx</t>
  </si>
  <si>
    <t xml:space="preserve">nbis_ext26</t>
  </si>
  <si>
    <t xml:space="preserve">nbis_cash_obs</t>
  </si>
  <si>
    <t xml:space="preserve">nbis_cash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</si>
  <si>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</si>
  <si>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nbis_cash_src</t>
  </si>
  <si>
    <t xml:space="preserve">nbis_fcf</t>
  </si>
  <si>
    <t xml:space="preserve">nbis_gr</t>
  </si>
  <si>
    <t xml:space="preserve">WhiteFiber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</si>
  <si>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</si>
  <si>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甲；擁有者）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</si>
  <si>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</si>
  <si>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</si>
  <si>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</si>
  <si>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wyfi_pfac</t>
  </si>
  <si>
    <t xml:space="preserve">wyfi_c0</t>
  </si>
  <si>
    <t xml:space="preserve">wyfi_c1</t>
  </si>
  <si>
    <t xml:space="preserve">wyfi_c2</t>
  </si>
  <si>
    <t xml:space="preserve">wyfi_ai_gw</t>
  </si>
  <si>
    <t xml:space="preserve">wyfi_m0</t>
  </si>
  <si>
    <t xml:space="preserve">wyfi_m1</t>
  </si>
  <si>
    <t xml:space="preserve">wyfi_m2</t>
  </si>
  <si>
    <t xml:space="preserve">wyfi_nai_fy</t>
  </si>
  <si>
    <t xml:space="preserve">wyfi_nai_cy</t>
  </si>
  <si>
    <t xml:space="preserve">wyfi_nai_fb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</si>
  <si>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計，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）</t>
    </r>
  </si>
  <si>
    <t xml:space="preserve">wyfi_nai</t>
  </si>
  <si>
    <t xml:space="preserve">wyfi_cap_fy</t>
  </si>
  <si>
    <t xml:space="preserve">wyfi_cap</t>
  </si>
  <si>
    <t xml:space="preserve">wyfi_cai_fy</t>
  </si>
  <si>
    <t xml:space="preserve">wyfi_cai</t>
  </si>
  <si>
    <t xml:space="preserve">wyfi_ocf_fy</t>
  </si>
  <si>
    <t xml:space="preserve">wyfi_ocf_src</t>
  </si>
  <si>
    <t xml:space="preserve">wyfi_ocf</t>
  </si>
  <si>
    <t xml:space="preserve">wyfi_ai_fb</t>
  </si>
  <si>
    <t xml:space="preserve">wyfi_ai</t>
  </si>
  <si>
    <r>
      <rPr>
        <sz val="11"/>
        <color theme="1"/>
        <rFont val="Noto Sans CJK SC"/>
        <family val="2"/>
      </rPr>
      <t xml:space="preserve">　並列讀法：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資本支出（非七家＝主讀法）</t>
    </r>
  </si>
  <si>
    <t xml:space="preserve">wyfi_ai_mc</t>
  </si>
  <si>
    <t xml:space="preserve">wyfi_bb_fy</t>
  </si>
  <si>
    <t xml:space="preserve">wyfi_bb</t>
  </si>
  <si>
    <t xml:space="preserve">wyfi_need</t>
  </si>
  <si>
    <t xml:space="preserve">wyfi_self</t>
  </si>
  <si>
    <t xml:space="preserve">wyfi_gap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</si>
  <si>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無此玩家；一次性，只進累計）</t>
    </r>
  </si>
  <si>
    <t xml:space="preserve">wyfi_cash</t>
  </si>
  <si>
    <t xml:space="preserve">wyfi_fcf</t>
  </si>
  <si>
    <t xml:space="preserve">wyfi_gr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</si>
  <si>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</si>
  <si>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</si>
  <si>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xai_pit</t>
  </si>
  <si>
    <t xml:space="preserve">xai_pfac</t>
  </si>
  <si>
    <t xml:space="preserve">xai_c0</t>
  </si>
  <si>
    <t xml:space="preserve">xai_c1</t>
  </si>
  <si>
    <t xml:space="preserve">xai_c2</t>
  </si>
  <si>
    <t xml:space="preserve">xai_ai_gw</t>
  </si>
  <si>
    <t xml:space="preserve">xai_m0</t>
  </si>
  <si>
    <t xml:space="preserve">xai_m1</t>
  </si>
  <si>
    <t xml:space="preserve">xai_m2</t>
  </si>
  <si>
    <t xml:space="preserve">xai_nai_fy</t>
  </si>
  <si>
    <t xml:space="preserve">xai_nai_cy</t>
  </si>
  <si>
    <t xml:space="preserve">xai_nai_fb</t>
  </si>
  <si>
    <t xml:space="preserve">xai_nai</t>
  </si>
  <si>
    <t xml:space="preserve">xai_cap_fy</t>
  </si>
  <si>
    <t xml:space="preserve">xai_cap</t>
  </si>
  <si>
    <t xml:space="preserve">xai_cai_fy</t>
  </si>
  <si>
    <t xml:space="preserve">xai_cai</t>
  </si>
  <si>
    <t xml:space="preserve">xai_ocf_fy</t>
  </si>
  <si>
    <t xml:space="preserve">xai_ocf_src</t>
  </si>
  <si>
    <t xml:space="preserve">xai_ocf</t>
  </si>
  <si>
    <t xml:space="preserve">xai_ai_fb</t>
  </si>
  <si>
    <t xml:space="preserve">xai_ai</t>
  </si>
  <si>
    <t xml:space="preserve">xai_ai_mc</t>
  </si>
  <si>
    <t xml:space="preserve">xai_bb_fy</t>
  </si>
  <si>
    <t xml:space="preserve">xai_bb</t>
  </si>
  <si>
    <t xml:space="preserve">xai_need</t>
  </si>
  <si>
    <t xml:space="preserve">xai_self</t>
  </si>
  <si>
    <t xml:space="preserve">xai_gap</t>
  </si>
  <si>
    <t xml:space="preserve">xai_ext</t>
  </si>
  <si>
    <t xml:space="preserve">xai_ext_debt</t>
  </si>
  <si>
    <t xml:space="preserve">xai_ext_eq</t>
  </si>
  <si>
    <t xml:space="preserve">xai_ext_lj</t>
  </si>
  <si>
    <t xml:space="preserve">xai_imp</t>
  </si>
  <si>
    <t xml:space="preserve">xai_lnc</t>
  </si>
  <si>
    <t xml:space="preserve">xai_jvx</t>
  </si>
  <si>
    <t xml:space="preserve">xai_ext26</t>
  </si>
  <si>
    <t xml:space="preserve">xai_cash_obs</t>
  </si>
  <si>
    <t xml:space="preserve">xai_cash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</si>
  <si>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</si>
  <si>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xai_cash_src</t>
  </si>
  <si>
    <t xml:space="preserve">xai_fcf</t>
  </si>
  <si>
    <t xml:space="preserve">xai_gr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</si>
  <si>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</si>
  <si>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擁有，歸市場其餘）</t>
    </r>
  </si>
  <si>
    <t xml:space="preserve">oai_spv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</si>
  <si>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視同市場其餘的擁有者；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只承擔租金（已在營業現金流）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</si>
  <si>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</si>
  <si>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GL01-31</t>
    </r>
    <r>
      <rPr>
        <sz val="11"/>
        <color theme="1"/>
        <rFont val="Noto Sans CJK SC"/>
        <family val="2"/>
      </rPr>
      <t xml:space="preserve">）</t>
    </r>
  </si>
  <si>
    <t xml:space="preserve">oai_pit</t>
  </si>
  <si>
    <t xml:space="preserve">oai_pfac</t>
  </si>
  <si>
    <t xml:space="preserve">oai_c0</t>
  </si>
  <si>
    <t xml:space="preserve">oai_c1</t>
  </si>
  <si>
    <t xml:space="preserve">oai_c2</t>
  </si>
  <si>
    <t xml:space="preserve">oai_ai_gw</t>
  </si>
  <si>
    <t xml:space="preserve">oai_m0</t>
  </si>
  <si>
    <t xml:space="preserve">oai_m1</t>
  </si>
  <si>
    <t xml:space="preserve">oai_m2</t>
  </si>
  <si>
    <t xml:space="preserve">oai_nai_fy</t>
  </si>
  <si>
    <t xml:space="preserve">oai_nai_cy</t>
  </si>
  <si>
    <t xml:space="preserve">oai_nai_fb</t>
  </si>
  <si>
    <t xml:space="preserve">oai_nai</t>
  </si>
  <si>
    <t xml:space="preserve">oai_cap_fy</t>
  </si>
  <si>
    <t xml:space="preserve">oai_cap</t>
  </si>
  <si>
    <t xml:space="preserve">oai_cai_fy</t>
  </si>
  <si>
    <t xml:space="preserve">oai_cai</t>
  </si>
  <si>
    <t xml:space="preserve">oai_ocf_fy</t>
  </si>
  <si>
    <t xml:space="preserve">oai_ocf_src</t>
  </si>
  <si>
    <t xml:space="preserve">oai_ocf</t>
  </si>
  <si>
    <t xml:space="preserve">oai_ai_fb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</si>
  <si>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擁有（不在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家擁有容量內）：不替代（避免與市場以外的容量重複）</t>
    </r>
  </si>
  <si>
    <t xml:space="preserve">oai_ai</t>
  </si>
  <si>
    <t xml:space="preserve">oai_ai_mc</t>
  </si>
  <si>
    <t xml:space="preserve">oai_bb_fy</t>
  </si>
  <si>
    <t xml:space="preserve">oai_bb</t>
  </si>
  <si>
    <t xml:space="preserve">oai_need</t>
  </si>
  <si>
    <t xml:space="preserve">oai_self</t>
  </si>
  <si>
    <t xml:space="preserve">oai_gap</t>
  </si>
  <si>
    <t xml:space="preserve">oai_ext</t>
  </si>
  <si>
    <t xml:space="preserve">oai_ext_debt</t>
  </si>
  <si>
    <t xml:space="preserve">oai_ext_eq</t>
  </si>
  <si>
    <t xml:space="preserve">oai_ext_lj</t>
  </si>
  <si>
    <t xml:space="preserve">oai_imp</t>
  </si>
  <si>
    <t xml:space="preserve">oai_lnc</t>
  </si>
  <si>
    <t xml:space="preserve">oai_jvx</t>
  </si>
  <si>
    <t xml:space="preserve">oai_ext26</t>
  </si>
  <si>
    <t xml:space="preserve">oai_cash_obs</t>
  </si>
  <si>
    <t xml:space="preserve">oai_cash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</si>
  <si>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</si>
  <si>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oai_cash_src</t>
  </si>
  <si>
    <t xml:space="preserve">oai_fcf</t>
  </si>
  <si>
    <t xml:space="preserve">oai_gr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</si>
  <si>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</si>
  <si>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ant_pit</t>
  </si>
  <si>
    <t xml:space="preserve">ant_pfac</t>
  </si>
  <si>
    <t xml:space="preserve">ant_c0</t>
  </si>
  <si>
    <t xml:space="preserve">ant_c1</t>
  </si>
  <si>
    <t xml:space="preserve">ant_c2</t>
  </si>
  <si>
    <t xml:space="preserve">ant_ai_gw</t>
  </si>
  <si>
    <t xml:space="preserve">ant_m0</t>
  </si>
  <si>
    <t xml:space="preserve">ant_m1</t>
  </si>
  <si>
    <t xml:space="preserve">ant_m2</t>
  </si>
  <si>
    <t xml:space="preserve">ant_nai_fy</t>
  </si>
  <si>
    <t xml:space="preserve">ant_nai_cy</t>
  </si>
  <si>
    <t xml:space="preserve">ant_nai_fb</t>
  </si>
  <si>
    <t xml:space="preserve">ant_nai</t>
  </si>
  <si>
    <t xml:space="preserve">ant_cap_fy</t>
  </si>
  <si>
    <t xml:space="preserve">ant_cap</t>
  </si>
  <si>
    <t xml:space="preserve">ant_cai_fy</t>
  </si>
  <si>
    <t xml:space="preserve">ant_cai</t>
  </si>
  <si>
    <t xml:space="preserve">ant_ocf_fy</t>
  </si>
  <si>
    <t xml:space="preserve">ant_ocf_src</t>
  </si>
  <si>
    <t xml:space="preserve">ant_ocf</t>
  </si>
  <si>
    <t xml:space="preserve">ant_ai_fb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</si>
  <si>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容量在其他新雲（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等，</t>
    </r>
    <r>
      <rPr>
        <sz val="11"/>
        <color theme="1"/>
        <rFont val="Calibri"/>
        <family val="2"/>
        <charset val="1"/>
      </rPr>
      <t xml:space="preserve">Players neo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，由出租方擁有：不替代（避免與市場以外的容量重複）</t>
    </r>
  </si>
  <si>
    <t xml:space="preserve">ant_ai</t>
  </si>
  <si>
    <t xml:space="preserve">ant_ai_mc</t>
  </si>
  <si>
    <t xml:space="preserve">ant_bb_fy</t>
  </si>
  <si>
    <t xml:space="preserve">ant_bb</t>
  </si>
  <si>
    <t xml:space="preserve">ant_need</t>
  </si>
  <si>
    <t xml:space="preserve">ant_self</t>
  </si>
  <si>
    <t xml:space="preserve">ant_gap</t>
  </si>
  <si>
    <t xml:space="preserve">ant_ext</t>
  </si>
  <si>
    <t xml:space="preserve">ant_ext_debt</t>
  </si>
  <si>
    <t xml:space="preserve">ant_ext_eq</t>
  </si>
  <si>
    <t xml:space="preserve">ant_ext_lj</t>
  </si>
  <si>
    <t xml:space="preserve">ant_imp</t>
  </si>
  <si>
    <t xml:space="preserve">ant_lnc</t>
  </si>
  <si>
    <t xml:space="preserve">ant_jvx</t>
  </si>
  <si>
    <t xml:space="preserve">ant_ext26</t>
  </si>
  <si>
    <t xml:space="preserve">ant_cash_obs</t>
  </si>
  <si>
    <t xml:space="preserve">ant_cash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</si>
  <si>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</si>
  <si>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ant_cash_src</t>
  </si>
  <si>
    <t xml:space="preserve">ant_fcf</t>
  </si>
  <si>
    <t xml:space="preserve">ant_gr</t>
  </si>
  <si>
    <r>
      <rPr>
        <b val="true"/>
        <sz val="11"/>
        <rFont val="Noto Sans CJK SC"/>
        <family val="2"/>
      </rPr>
      <t xml:space="preserve">玩家判讀（</t>
    </r>
    <r>
      <rPr>
        <b val="true"/>
        <sz val="11"/>
        <rFont val="Cambria"/>
        <family val="0"/>
        <charset val="1"/>
      </rPr>
      <t xml:space="preserve">2026–2030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G3 </t>
    </r>
    <r>
      <rPr>
        <b val="true"/>
        <sz val="11"/>
        <rFont val="Noto Sans CJK SC"/>
        <family val="2"/>
      </rPr>
      <t xml:space="preserve">門檻：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&lt; 0</t>
    </r>
    <r>
      <rPr>
        <b val="true"/>
        <sz val="11"/>
        <rFont val="Noto Sans CJK SC"/>
        <family val="2"/>
      </rPr>
      <t xml:space="preserve">，或缺口占資本支出 </t>
    </r>
    <r>
      <rPr>
        <b val="true"/>
        <sz val="11"/>
        <rFont val="Cambria"/>
        <family val="0"/>
        <charset val="1"/>
      </rPr>
      <t xml:space="preserve">&gt; 30% </t>
    </r>
    <r>
      <rPr>
        <b val="true"/>
        <sz val="11"/>
        <rFont val="Noto Sans CJK SC"/>
        <family val="2"/>
      </rPr>
      <t xml:space="preserve">連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年＝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型；否則 </t>
    </r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型；營業現金流有缺＝未定）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</si>
  <si>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Microsoft</t>
    </r>
  </si>
  <si>
    <t xml:space="preserve">msft_verdict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</si>
  <si>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Alphabet</t>
    </r>
  </si>
  <si>
    <t xml:space="preserve">googl_verdict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</si>
  <si>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Amazon</t>
    </r>
  </si>
  <si>
    <t xml:space="preserve">amzn_verdict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</si>
  <si>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Meta</t>
    </r>
  </si>
  <si>
    <t xml:space="preserve">meta_verdict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</si>
  <si>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Oracle</t>
    </r>
  </si>
  <si>
    <t xml:space="preserve">orcl_verdict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</si>
  <si>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CoreWeave</t>
    </r>
  </si>
  <si>
    <t xml:space="preserve">crwv_verdict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</si>
  <si>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Nebius</t>
    </r>
  </si>
  <si>
    <t xml:space="preserve">nbis_verdict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</si>
  <si>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WhiteFiber</t>
    </r>
  </si>
  <si>
    <t xml:space="preserve">wyfi_verdict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</si>
  <si>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</si>
  <si>
    <t xml:space="preserve">xai_verdict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</si>
  <si>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OpenAI</t>
    </r>
  </si>
  <si>
    <t xml:space="preserve">oai_verdict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</si>
  <si>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Anthropic</t>
    </r>
  </si>
  <si>
    <t xml:space="preserve">ant_verdict</t>
  </si>
  <si>
    <r>
      <rPr>
        <b val="true"/>
        <sz val="12"/>
        <rFont val="Cambria"/>
        <family val="0"/>
        <charset val="1"/>
      </rPr>
      <t xml:space="preserve">C. 11 </t>
    </r>
    <r>
      <rPr>
        <b val="true"/>
        <sz val="12"/>
        <rFont val="Noto Sans CJK SC"/>
        <family val="2"/>
      </rPr>
      <t xml:space="preserve">家代表玩家（本專案覆蓋，不含中國）合計；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D0 </t>
    </r>
    <r>
      <rPr>
        <b val="true"/>
        <sz val="12"/>
        <rFont val="Noto Sans CJK SC"/>
        <family val="2"/>
      </rPr>
      <t xml:space="preserve">基準（各情景另依市場年新增比例縮放，見 </t>
    </r>
    <r>
      <rPr>
        <b val="true"/>
        <sz val="12"/>
        <rFont val="Cambria"/>
        <family val="0"/>
        <charset val="1"/>
      </rPr>
      <t xml:space="preserve">D </t>
    </r>
    <r>
      <rPr>
        <b val="true"/>
        <sz val="12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</si>
  <si>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資料中心資本支出（擁有者口徑；含模型值替代）</t>
    </r>
  </si>
  <si>
    <t xml:space="preserve">t_ai</t>
  </si>
  <si>
    <r>
      <rPr>
        <sz val="11"/>
        <color theme="1"/>
        <rFont val="Noto Sans CJK SC"/>
        <family val="2"/>
      </rPr>
      <t xml:space="preserve">　其中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</si>
  <si>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t_ai_gw</t>
  </si>
  <si>
    <r>
      <rPr>
        <sz val="11"/>
        <color theme="1"/>
        <rFont val="Noto Sans CJK SC"/>
        <family val="2"/>
      </rPr>
      <t xml:space="preserve">　其中模型值替代（無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證據；不在市場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內，市場合計同額加上）</t>
    </r>
  </si>
  <si>
    <t xml:space="preserve">t_fb</t>
  </si>
  <si>
    <t xml:space="preserve">　模型值替代格數</t>
  </si>
  <si>
    <t xml:space="preserve">t_fbn</t>
  </si>
  <si>
    <t xml:space="preserve">格</t>
  </si>
  <si>
    <r>
      <rPr>
        <sz val="11"/>
        <color theme="1"/>
        <rFont val="Noto Sans CJK SC"/>
        <family val="2"/>
      </rPr>
      <t xml:space="preserve">並列讀法：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資本支出（七家 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依個股模型基準）</t>
    </r>
  </si>
  <si>
    <t xml:space="preserve">t_ai_mc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</si>
  <si>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</si>
  <si>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t xml:space="preserve">t_add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</si>
  <si>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</si>
  <si>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t_nai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</si>
  <si>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替代的格數（七家）</t>
    </r>
  </si>
  <si>
    <t xml:space="preserve">t_naifbn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</si>
  <si>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計的格數</t>
    </r>
  </si>
  <si>
    <t xml:space="preserve">t_nai0n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</si>
  <si>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家營業現金流（不扣買回股利）</t>
    </r>
  </si>
  <si>
    <t xml:space="preserve">t_ocf</t>
  </si>
  <si>
    <t xml:space="preserve">　營業現金流無模型值的家數</t>
  </si>
  <si>
    <t xml:space="preserve">t_ocfmiss</t>
  </si>
  <si>
    <t xml:space="preserve">家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</si>
  <si>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</si>
  <si>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t_ext</t>
  </si>
  <si>
    <t xml:space="preserve">備忘：可削減緩衝（買回＋股利）</t>
  </si>
  <si>
    <t xml:space="preserve">t_bb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</si>
  <si>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家合計）</t>
    </r>
  </si>
  <si>
    <t xml:space="preserve">t_cash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</si>
  <si>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（模型最早餘額）；其餘 </t>
    </r>
    <r>
      <rPr>
        <sz val="11"/>
        <color theme="1"/>
        <rFont val="Calibri"/>
        <family val="2"/>
        <charset val="1"/>
      </rPr>
      <t xml:space="preserve">2025-12-31</t>
    </r>
  </si>
  <si>
    <t xml:space="preserve">備忘：已簽未起租租賃＋表外合資承諾（存量；市場內移轉，不作來源）</t>
  </si>
  <si>
    <t xml:space="preserve">t_comm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</si>
  <si>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年已觀測外部融資（不計入來源）</t>
    </r>
  </si>
  <si>
    <t xml:space="preserve">t_ext26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</si>
  <si>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</t>
    </r>
  </si>
  <si>
    <t xml:space="preserve">t_bbcum</t>
  </si>
  <si>
    <r>
      <rPr>
        <sz val="11"/>
        <color theme="1"/>
        <rFont val="Noto Sans CJK SC"/>
        <family val="2"/>
      </rPr>
      <t xml:space="preserve">營業現金流無模型值格數（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× 2026–2030</t>
    </r>
    <r>
      <rPr>
        <sz val="11"/>
        <color theme="1"/>
        <rFont val="Noto Sans CJK SC"/>
        <family val="2"/>
      </rPr>
      <t xml:space="preserve">；判讀用）</t>
    </r>
  </si>
  <si>
    <t xml:space="preserve">t_ocfmiss2630</t>
  </si>
  <si>
    <r>
      <rPr>
        <sz val="11"/>
        <color theme="1"/>
        <rFont val="Noto Sans CJK SC"/>
        <family val="2"/>
      </rPr>
      <t xml:space="preserve">　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（七家；模型值替代計入組成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</si>
  <si>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t_c0_7</t>
  </si>
  <si>
    <r>
      <rPr>
        <sz val="11"/>
        <color theme="1"/>
        <rFont val="Noto Sans CJK SC"/>
        <family val="2"/>
      </rPr>
      <t xml:space="preserve">　組成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（七家；模型值替代計入組成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</si>
  <si>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t_c1_7</t>
  </si>
  <si>
    <r>
      <rPr>
        <sz val="11"/>
        <color theme="1"/>
        <rFont val="Noto Sans CJK SC"/>
        <family val="2"/>
      </rPr>
      <t xml:space="preserve">　組成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（七家；模型值替代計入組成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</si>
  <si>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t_c2_7</t>
  </si>
  <si>
    <r>
      <rPr>
        <sz val="11"/>
        <color theme="1"/>
        <rFont val="Noto Sans CJK SC"/>
        <family val="2"/>
      </rPr>
      <t xml:space="preserve">　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（其他四家；模型值替代計入組成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</si>
  <si>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t_c0_o</t>
  </si>
  <si>
    <r>
      <rPr>
        <sz val="11"/>
        <color theme="1"/>
        <rFont val="Noto Sans CJK SC"/>
        <family val="2"/>
      </rPr>
      <t xml:space="preserve">　組成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（其他四家；模型值替代計入組成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</si>
  <si>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t_c1_o</t>
  </si>
  <si>
    <r>
      <rPr>
        <sz val="11"/>
        <color theme="1"/>
        <rFont val="Noto Sans CJK SC"/>
        <family val="2"/>
      </rPr>
      <t xml:space="preserve">　組成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（其他四家；模型值替代計入組成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</si>
  <si>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t_c2_o</t>
  </si>
  <si>
    <r>
      <rPr>
        <sz val="11"/>
        <color theme="1"/>
        <rFont val="Noto Sans CJK SC"/>
        <family val="2"/>
      </rPr>
      <t xml:space="preserve">　並列讀法：七家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個股模型；其前＝主讀法）</t>
    </r>
  </si>
  <si>
    <t xml:space="preserve">t_mc7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</si>
  <si>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改用市場平均；模型值替代不變）</t>
    </r>
  </si>
  <si>
    <t xml:space="preserve">t_m1</t>
  </si>
  <si>
    <r>
      <rPr>
        <sz val="11"/>
        <color theme="1"/>
        <rFont val="Noto Sans CJK SC"/>
        <family val="2"/>
      </rPr>
      <t xml:space="preserve">　檢查：組成合計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資本支出（須＝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</si>
  <si>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t_aichk</t>
  </si>
  <si>
    <r>
      <rPr>
        <b val="true"/>
        <sz val="12"/>
        <rFont val="Cambria"/>
        <family val="0"/>
        <charset val="1"/>
      </rPr>
      <t xml:space="preserve">D. 11 </t>
    </r>
    <r>
      <rPr>
        <b val="true"/>
        <sz val="12"/>
        <rFont val="Noto Sans CJK SC"/>
        <family val="2"/>
      </rPr>
      <t xml:space="preserve">家代表玩家（本專案覆蓋，不含中國）</t>
    </r>
    <r>
      <rPr>
        <b val="true"/>
        <sz val="12"/>
        <rFont val="Cambria"/>
        <family val="0"/>
        <charset val="1"/>
      </rPr>
      <t xml:space="preserve">× </t>
    </r>
    <r>
      <rPr>
        <b val="true"/>
        <sz val="12"/>
        <rFont val="Noto Sans CJK SC"/>
        <family val="2"/>
      </rPr>
      <t xml:space="preserve">需求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 × </t>
    </r>
    <r>
      <rPr>
        <b val="true"/>
        <sz val="12"/>
        <rFont val="Noto Sans CJK SC"/>
        <family val="2"/>
      </rPr>
      <t xml:space="preserve">延遲 </t>
    </r>
    <r>
      <rPr>
        <b val="true"/>
        <sz val="12"/>
        <rFont val="Cambria"/>
        <family val="0"/>
        <charset val="1"/>
      </rPr>
      <t xml:space="preserve">D0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D1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D2</t>
    </r>
    <r>
      <rPr>
        <b val="true"/>
        <sz val="12"/>
        <rFont val="Noto Sans CJK SC"/>
        <family val="2"/>
      </rPr>
      <t xml:space="preserve">（互動頁資料源）。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家年新增 </t>
    </r>
    <r>
      <rPr>
        <b val="true"/>
        <sz val="12"/>
        <rFont val="Cambria"/>
        <family val="0"/>
        <charset val="1"/>
      </rPr>
      <t xml:space="preserve">GW </t>
    </r>
    <r>
      <rPr>
        <b val="true"/>
        <sz val="12"/>
        <rFont val="Noto Sans CJK SC"/>
        <family val="2"/>
      </rPr>
      <t xml:space="preserve">依市場年新增比例 </t>
    </r>
    <r>
      <rPr>
        <b val="true"/>
        <sz val="12"/>
        <rFont val="Cambria"/>
        <family val="0"/>
        <charset val="1"/>
      </rPr>
      <t xml:space="preserve">r</t>
    </r>
    <r>
      <rPr>
        <b val="true"/>
        <sz val="12"/>
        <rFont val="Noto Sans CJK SC"/>
        <family val="2"/>
      </rPr>
      <t xml:space="preserve">＝市場（情景）</t>
    </r>
    <r>
      <rPr>
        <b val="true"/>
        <sz val="12"/>
        <rFont val="Cambria"/>
        <family val="0"/>
        <charset val="1"/>
      </rPr>
      <t xml:space="preserve">÷ </t>
    </r>
    <r>
      <rPr>
        <b val="true"/>
        <sz val="12"/>
        <rFont val="Noto Sans CJK SC"/>
        <family val="2"/>
      </rPr>
      <t xml:space="preserve">市場（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D0</t>
    </r>
    <r>
      <rPr>
        <b val="true"/>
        <sz val="12"/>
        <rFont val="Noto Sans CJK SC"/>
        <family val="2"/>
      </rPr>
      <t xml:space="preserve">）縮放 </t>
    </r>
    <r>
      <rPr>
        <b val="true"/>
        <sz val="12"/>
        <rFont val="Cambria"/>
        <family val="0"/>
        <charset val="1"/>
      </rPr>
      <t xml:space="preserve">[Assumed]</t>
    </r>
    <r>
      <rPr>
        <b val="true"/>
        <sz val="12"/>
        <rFont val="Noto Sans CJK SC"/>
        <family val="2"/>
      </rPr>
      <t xml:space="preserve">；營業現金流、非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不變</t>
    </r>
  </si>
  <si>
    <r>
      <rPr>
        <sz val="11"/>
        <color theme="1"/>
        <rFont val="Noto Sans CJK SC"/>
        <family val="2"/>
      </rPr>
      <t xml:space="preserve">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資本支出（參考；不納入收支，只供需求與下游）：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＝市場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− 11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</si>
  <si>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</si>
  <si>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r>
      <rPr>
        <sz val="11"/>
        <color theme="1"/>
        <rFont val="Noto Sans CJK SC"/>
        <family val="2"/>
      </rPr>
      <t xml:space="preserve">　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主路徑，淨；參考）</t>
    </r>
  </si>
  <si>
    <t xml:space="preserve">mAD0_add</t>
  </si>
  <si>
    <r>
      <rPr>
        <sz val="11"/>
        <color theme="1"/>
        <rFont val="Noto Sans CJK SC"/>
        <family val="2"/>
      </rPr>
      <t xml:space="preserve">　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＝市場年新增（本情景）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市場年新增（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≤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1 [Assumed]</t>
    </r>
  </si>
  <si>
    <t xml:space="preserve">mAD0_r</t>
  </si>
  <si>
    <r>
      <rPr>
        <sz val="11"/>
        <color theme="1"/>
        <rFont val="Noto Sans CJK SC"/>
        <family val="2"/>
      </rPr>
      <t xml:space="preserve">　　</t>
    </r>
    <r>
      <rPr>
        <sz val="11"/>
        <color theme="1"/>
        <rFont val="Calibri"/>
        <family val="2"/>
        <charset val="1"/>
      </rPr>
      <t xml:space="preserve">r </t>
    </r>
    <r>
      <rPr>
        <sz val="11"/>
        <color theme="1"/>
        <rFont val="Noto Sans CJK SC"/>
        <family val="2"/>
      </rPr>
      <t xml:space="preserve">保護旗標（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市場年新增 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</si>
  <si>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mAD0_rflag</t>
  </si>
  <si>
    <r>
      <rPr>
        <sz val="11"/>
        <color theme="1"/>
        <rFont val="Noto Sans CJK SC"/>
        <family val="2"/>
      </rPr>
      <t xml:space="preserve">　參考：全市場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資料中心建置成本（不納入收支）</t>
    </r>
  </si>
  <si>
    <t xml:space="preserve">mAD0_mkt</t>
  </si>
  <si>
    <r>
      <rPr>
        <sz val="11"/>
        <color theme="1"/>
        <rFont val="Noto Sans CJK SC"/>
        <family val="2"/>
      </rPr>
      <t xml:space="preserve">　需要②：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資本支出（不隨情景）</t>
    </r>
  </si>
  <si>
    <t xml:space="preserve">mAD0_nai</t>
  </si>
  <si>
    <r>
      <rPr>
        <sz val="11"/>
        <color theme="1"/>
        <rFont val="Noto Sans CJK SC"/>
        <family val="2"/>
      </rPr>
      <t xml:space="preserve">　來源①：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家營業現金流（不扣買回股利；不隨情景）</t>
    </r>
  </si>
  <si>
    <t xml:space="preserve">mAD0_ocf</t>
  </si>
  <si>
    <r>
      <rPr>
        <sz val="11"/>
        <color theme="1"/>
        <rFont val="Noto Sans CJK SC"/>
        <family val="2"/>
      </rPr>
      <t xml:space="preserve">　來源②：已觀測外部融資（只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</si>
  <si>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mAD0_ext</t>
  </si>
  <si>
    <r>
      <rPr>
        <b val="true"/>
        <sz val="11"/>
        <rFont val="Noto Sans CJK SC"/>
        <family val="2"/>
      </rPr>
      <t xml:space="preserve">　【主讀法：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】</t>
    </r>
  </si>
  <si>
    <r>
      <rPr>
        <sz val="11"/>
        <color theme="1"/>
        <rFont val="Noto Sans CJK SC"/>
        <family val="2"/>
      </rPr>
      <t xml:space="preserve">　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資料中心資本支出（含模型值替代；</t>
    </r>
    <r>
      <rPr>
        <sz val="11"/>
        <color theme="1"/>
        <rFont val="Calibri"/>
        <family val="2"/>
        <charset val="1"/>
      </rPr>
      <t xml:space="preserve">× r</t>
    </r>
    <r>
      <rPr>
        <sz val="11"/>
        <color theme="1"/>
        <rFont val="Noto Sans CJK SC"/>
        <family val="2"/>
      </rPr>
      <t xml:space="preserve">）</t>
    </r>
  </si>
  <si>
    <t xml:space="preserve">mAD0_own</t>
  </si>
  <si>
    <t xml:space="preserve">　需要合計（①＋②）</t>
  </si>
  <si>
    <t xml:space="preserve">mAD0_need</t>
  </si>
  <si>
    <t xml:space="preserve">　尚需新融資＝需要 − 來源</t>
  </si>
  <si>
    <t xml:space="preserve">mAD0_short</t>
  </si>
  <si>
    <r>
      <rPr>
        <sz val="11"/>
        <color theme="1"/>
        <rFont val="Noto Sans CJK SC"/>
        <family val="2"/>
      </rPr>
      <t xml:space="preserve">　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</si>
  <si>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t xml:space="preserve">mAD0_cum</t>
  </si>
  <si>
    <t xml:space="preserve">　累計仍未安排＝累計尚需 − 期初現金</t>
  </si>
  <si>
    <t xml:space="preserve">mAD0_cumun</t>
  </si>
  <si>
    <t xml:space="preserve">　備忘：再扣已簽未起租租賃與表外合資承諾（承諾是市場內移轉，不作來源）</t>
  </si>
  <si>
    <t xml:space="preserve">mAD0_cummemo</t>
  </si>
  <si>
    <t xml:space="preserve">　自由現金流＝營業現金流 − 需要</t>
  </si>
  <si>
    <t xml:space="preserve">mAD0_fcf</t>
  </si>
  <si>
    <t xml:space="preserve">mAD0_gr</t>
  </si>
  <si>
    <r>
      <rPr>
        <sz val="11"/>
        <color theme="1"/>
        <rFont val="Noto Sans CJK SC"/>
        <family val="2"/>
      </rPr>
      <t xml:space="preserve">　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</si>
  <si>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mAD0_v</t>
  </si>
  <si>
    <r>
      <rPr>
        <b val="true"/>
        <sz val="11"/>
        <rFont val="Noto Sans CJK SC"/>
        <family val="2"/>
      </rPr>
      <t xml:space="preserve">　【並列讀法：七家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資本支出依個股模型基準（</t>
    </r>
    <r>
      <rPr>
        <b val="true"/>
        <sz val="11"/>
        <rFont val="Cambria"/>
        <family val="0"/>
        <charset val="1"/>
      </rPr>
      <t xml:space="preserve">2027–2030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× r</t>
    </r>
    <r>
      <rPr>
        <b val="true"/>
        <sz val="11"/>
        <rFont val="Noto Sans CJK SC"/>
        <family val="2"/>
      </rPr>
      <t xml:space="preserve">）】</t>
    </r>
  </si>
  <si>
    <t xml:space="preserve">mAD0_own_mc</t>
  </si>
  <si>
    <t xml:space="preserve">mAD0_need_mc</t>
  </si>
  <si>
    <t xml:space="preserve">mAD0_short_mc</t>
  </si>
  <si>
    <t xml:space="preserve">mAD0_cum_mc</t>
  </si>
  <si>
    <t xml:space="preserve">mAD0_cumun_mc</t>
  </si>
  <si>
    <t xml:space="preserve">mAD0_cummemo_mc</t>
  </si>
  <si>
    <t xml:space="preserve">mAD0_fcf_mc</t>
  </si>
  <si>
    <t xml:space="preserve">mAD0_gr_mc</t>
  </si>
  <si>
    <r>
      <rPr>
        <sz val="11"/>
        <color theme="1"/>
        <rFont val="Noto Sans CJK SC"/>
        <family val="2"/>
      </rPr>
      <t xml:space="preserve">　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家）（並列讀法）</t>
    </r>
  </si>
  <si>
    <t xml:space="preserve">mAD0_v_mc</t>
  </si>
  <si>
    <r>
      <rPr>
        <sz val="11"/>
        <color theme="1"/>
        <rFont val="Noto Sans CJK SC"/>
        <family val="2"/>
      </rPr>
      <t xml:space="preserve">　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資料中心建置成本（不含模型值替代）</t>
    </r>
  </si>
  <si>
    <t xml:space="preserve">mAD0_share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</si>
  <si>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</si>
  <si>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mAD1_add</t>
  </si>
  <si>
    <t xml:space="preserve">mAD1_r</t>
  </si>
  <si>
    <t xml:space="preserve">mAD1_rflag</t>
  </si>
  <si>
    <t xml:space="preserve">mAD1_mkt</t>
  </si>
  <si>
    <t xml:space="preserve">mAD1_nai</t>
  </si>
  <si>
    <t xml:space="preserve">mAD1_ocf</t>
  </si>
  <si>
    <t xml:space="preserve">mAD1_ext</t>
  </si>
  <si>
    <t xml:space="preserve">mAD1_own</t>
  </si>
  <si>
    <t xml:space="preserve">mAD1_need</t>
  </si>
  <si>
    <t xml:space="preserve">mAD1_short</t>
  </si>
  <si>
    <t xml:space="preserve">mAD1_cum</t>
  </si>
  <si>
    <t xml:space="preserve">mAD1_cumun</t>
  </si>
  <si>
    <t xml:space="preserve">mAD1_cummemo</t>
  </si>
  <si>
    <t xml:space="preserve">mAD1_fcf</t>
  </si>
  <si>
    <t xml:space="preserve">mAD1_gr</t>
  </si>
  <si>
    <t xml:space="preserve">mAD1_v</t>
  </si>
  <si>
    <t xml:space="preserve">mAD1_own_mc</t>
  </si>
  <si>
    <t xml:space="preserve">mAD1_need_mc</t>
  </si>
  <si>
    <t xml:space="preserve">mAD1_short_mc</t>
  </si>
  <si>
    <t xml:space="preserve">mAD1_cum_mc</t>
  </si>
  <si>
    <t xml:space="preserve">mAD1_cumun_mc</t>
  </si>
  <si>
    <t xml:space="preserve">mAD1_cummemo_mc</t>
  </si>
  <si>
    <t xml:space="preserve">mAD1_fcf_mc</t>
  </si>
  <si>
    <t xml:space="preserve">mAD1_gr_mc</t>
  </si>
  <si>
    <t xml:space="preserve">mAD1_v_mc</t>
  </si>
  <si>
    <t xml:space="preserve">mAD1_share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</si>
  <si>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</si>
  <si>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mAD2_add</t>
  </si>
  <si>
    <t xml:space="preserve">mAD2_r</t>
  </si>
  <si>
    <t xml:space="preserve">mAD2_rflag</t>
  </si>
  <si>
    <t xml:space="preserve">mAD2_mkt</t>
  </si>
  <si>
    <t xml:space="preserve">mAD2_nai</t>
  </si>
  <si>
    <t xml:space="preserve">mAD2_ocf</t>
  </si>
  <si>
    <t xml:space="preserve">mAD2_ext</t>
  </si>
  <si>
    <t xml:space="preserve">mAD2_own</t>
  </si>
  <si>
    <t xml:space="preserve">mAD2_need</t>
  </si>
  <si>
    <t xml:space="preserve">mAD2_short</t>
  </si>
  <si>
    <t xml:space="preserve">mAD2_cum</t>
  </si>
  <si>
    <t xml:space="preserve">mAD2_cumun</t>
  </si>
  <si>
    <t xml:space="preserve">mAD2_cummemo</t>
  </si>
  <si>
    <t xml:space="preserve">mAD2_fcf</t>
  </si>
  <si>
    <t xml:space="preserve">mAD2_gr</t>
  </si>
  <si>
    <t xml:space="preserve">mAD2_v</t>
  </si>
  <si>
    <t xml:space="preserve">mAD2_own_mc</t>
  </si>
  <si>
    <t xml:space="preserve">mAD2_need_mc</t>
  </si>
  <si>
    <t xml:space="preserve">mAD2_short_mc</t>
  </si>
  <si>
    <t xml:space="preserve">mAD2_cum_mc</t>
  </si>
  <si>
    <t xml:space="preserve">mAD2_cumun_mc</t>
  </si>
  <si>
    <t xml:space="preserve">mAD2_cummemo_mc</t>
  </si>
  <si>
    <t xml:space="preserve">mAD2_fcf_mc</t>
  </si>
  <si>
    <t xml:space="preserve">mAD2_gr_mc</t>
  </si>
  <si>
    <t xml:space="preserve">mAD2_v_mc</t>
  </si>
  <si>
    <t xml:space="preserve">mAD2_share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</si>
  <si>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</si>
  <si>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mBD0_add</t>
  </si>
  <si>
    <t xml:space="preserve">mBD0_r</t>
  </si>
  <si>
    <t xml:space="preserve">mBD0_rflag</t>
  </si>
  <si>
    <t xml:space="preserve">mBD0_mkt</t>
  </si>
  <si>
    <t xml:space="preserve">mBD0_nai</t>
  </si>
  <si>
    <t xml:space="preserve">mBD0_ocf</t>
  </si>
  <si>
    <t xml:space="preserve">mBD0_ext</t>
  </si>
  <si>
    <t xml:space="preserve">mBD0_own</t>
  </si>
  <si>
    <t xml:space="preserve">mBD0_need</t>
  </si>
  <si>
    <t xml:space="preserve">mBD0_short</t>
  </si>
  <si>
    <t xml:space="preserve">mBD0_cum</t>
  </si>
  <si>
    <t xml:space="preserve">mBD0_cumun</t>
  </si>
  <si>
    <t xml:space="preserve">mBD0_cummemo</t>
  </si>
  <si>
    <t xml:space="preserve">mBD0_fcf</t>
  </si>
  <si>
    <t xml:space="preserve">mBD0_gr</t>
  </si>
  <si>
    <t xml:space="preserve">mBD0_v</t>
  </si>
  <si>
    <t xml:space="preserve">mBD0_own_mc</t>
  </si>
  <si>
    <t xml:space="preserve">mBD0_need_mc</t>
  </si>
  <si>
    <t xml:space="preserve">mBD0_short_mc</t>
  </si>
  <si>
    <t xml:space="preserve">mBD0_cum_mc</t>
  </si>
  <si>
    <t xml:space="preserve">mBD0_cumun_mc</t>
  </si>
  <si>
    <t xml:space="preserve">mBD0_cummemo_mc</t>
  </si>
  <si>
    <t xml:space="preserve">mBD0_fcf_mc</t>
  </si>
  <si>
    <t xml:space="preserve">mBD0_gr_mc</t>
  </si>
  <si>
    <t xml:space="preserve">mBD0_v_mc</t>
  </si>
  <si>
    <t xml:space="preserve">mBD0_share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</si>
  <si>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</si>
  <si>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mBD1_add</t>
  </si>
  <si>
    <t xml:space="preserve">mBD1_r</t>
  </si>
  <si>
    <t xml:space="preserve">mBD1_rflag</t>
  </si>
  <si>
    <t xml:space="preserve">mBD1_mkt</t>
  </si>
  <si>
    <t xml:space="preserve">mBD1_nai</t>
  </si>
  <si>
    <t xml:space="preserve">mBD1_ocf</t>
  </si>
  <si>
    <t xml:space="preserve">mBD1_ext</t>
  </si>
  <si>
    <t xml:space="preserve">mBD1_own</t>
  </si>
  <si>
    <t xml:space="preserve">mBD1_need</t>
  </si>
  <si>
    <t xml:space="preserve">mBD1_short</t>
  </si>
  <si>
    <t xml:space="preserve">mBD1_cum</t>
  </si>
  <si>
    <t xml:space="preserve">mBD1_cumun</t>
  </si>
  <si>
    <t xml:space="preserve">mBD1_cummemo</t>
  </si>
  <si>
    <t xml:space="preserve">mBD1_fcf</t>
  </si>
  <si>
    <t xml:space="preserve">mBD1_gr</t>
  </si>
  <si>
    <t xml:space="preserve">mBD1_v</t>
  </si>
  <si>
    <t xml:space="preserve">mBD1_own_mc</t>
  </si>
  <si>
    <t xml:space="preserve">mBD1_need_mc</t>
  </si>
  <si>
    <t xml:space="preserve">mBD1_short_mc</t>
  </si>
  <si>
    <t xml:space="preserve">mBD1_cum_mc</t>
  </si>
  <si>
    <t xml:space="preserve">mBD1_cumun_mc</t>
  </si>
  <si>
    <t xml:space="preserve">mBD1_cummemo_mc</t>
  </si>
  <si>
    <t xml:space="preserve">mBD1_fcf_mc</t>
  </si>
  <si>
    <t xml:space="preserve">mBD1_gr_mc</t>
  </si>
  <si>
    <t xml:space="preserve">mBD1_v_mc</t>
  </si>
  <si>
    <t xml:space="preserve">mBD1_share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</si>
  <si>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</si>
  <si>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mBD2_add</t>
  </si>
  <si>
    <t xml:space="preserve">mBD2_r</t>
  </si>
  <si>
    <t xml:space="preserve">mBD2_rflag</t>
  </si>
  <si>
    <t xml:space="preserve">mBD2_mkt</t>
  </si>
  <si>
    <t xml:space="preserve">mBD2_nai</t>
  </si>
  <si>
    <t xml:space="preserve">mBD2_ocf</t>
  </si>
  <si>
    <t xml:space="preserve">mBD2_ext</t>
  </si>
  <si>
    <t xml:space="preserve">mBD2_own</t>
  </si>
  <si>
    <t xml:space="preserve">mBD2_need</t>
  </si>
  <si>
    <t xml:space="preserve">mBD2_short</t>
  </si>
  <si>
    <t xml:space="preserve">mBD2_cum</t>
  </si>
  <si>
    <t xml:space="preserve">mBD2_cumun</t>
  </si>
  <si>
    <t xml:space="preserve">mBD2_cummemo</t>
  </si>
  <si>
    <t xml:space="preserve">mBD2_fcf</t>
  </si>
  <si>
    <t xml:space="preserve">mBD2_gr</t>
  </si>
  <si>
    <t xml:space="preserve">mBD2_v</t>
  </si>
  <si>
    <t xml:space="preserve">mBD2_own_mc</t>
  </si>
  <si>
    <t xml:space="preserve">mBD2_need_mc</t>
  </si>
  <si>
    <t xml:space="preserve">mBD2_short_mc</t>
  </si>
  <si>
    <t xml:space="preserve">mBD2_cum_mc</t>
  </si>
  <si>
    <t xml:space="preserve">mBD2_cumun_mc</t>
  </si>
  <si>
    <t xml:space="preserve">mBD2_cummemo_mc</t>
  </si>
  <si>
    <t xml:space="preserve">mBD2_fcf_mc</t>
  </si>
  <si>
    <t xml:space="preserve">mBD2_gr_mc</t>
  </si>
  <si>
    <t xml:space="preserve">mBD2_v_mc</t>
  </si>
  <si>
    <t xml:space="preserve">mBD2_share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</si>
  <si>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</si>
  <si>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mCD0_add</t>
  </si>
  <si>
    <t xml:space="preserve">mCD0_r</t>
  </si>
  <si>
    <t xml:space="preserve">mCD0_rflag</t>
  </si>
  <si>
    <t xml:space="preserve">mCD0_mkt</t>
  </si>
  <si>
    <t xml:space="preserve">mCD0_nai</t>
  </si>
  <si>
    <t xml:space="preserve">mCD0_ocf</t>
  </si>
  <si>
    <t xml:space="preserve">mCD0_ext</t>
  </si>
  <si>
    <t xml:space="preserve">mCD0_own</t>
  </si>
  <si>
    <t xml:space="preserve">mCD0_need</t>
  </si>
  <si>
    <t xml:space="preserve">mCD0_short</t>
  </si>
  <si>
    <t xml:space="preserve">mCD0_cum</t>
  </si>
  <si>
    <t xml:space="preserve">mCD0_cumun</t>
  </si>
  <si>
    <t xml:space="preserve">mCD0_cummemo</t>
  </si>
  <si>
    <t xml:space="preserve">mCD0_fcf</t>
  </si>
  <si>
    <t xml:space="preserve">mCD0_gr</t>
  </si>
  <si>
    <t xml:space="preserve">mCD0_v</t>
  </si>
  <si>
    <t xml:space="preserve">mCD0_own_mc</t>
  </si>
  <si>
    <t xml:space="preserve">mCD0_need_mc</t>
  </si>
  <si>
    <t xml:space="preserve">mCD0_short_mc</t>
  </si>
  <si>
    <t xml:space="preserve">mCD0_cum_mc</t>
  </si>
  <si>
    <t xml:space="preserve">mCD0_cumun_mc</t>
  </si>
  <si>
    <t xml:space="preserve">mCD0_cummemo_mc</t>
  </si>
  <si>
    <t xml:space="preserve">mCD0_fcf_mc</t>
  </si>
  <si>
    <t xml:space="preserve">mCD0_gr_mc</t>
  </si>
  <si>
    <t xml:space="preserve">mCD0_v_mc</t>
  </si>
  <si>
    <t xml:space="preserve">mCD0_share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</si>
  <si>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</si>
  <si>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mCD1_add</t>
  </si>
  <si>
    <t xml:space="preserve">mCD1_r</t>
  </si>
  <si>
    <t xml:space="preserve">mCD1_rflag</t>
  </si>
  <si>
    <t xml:space="preserve">mCD1_mkt</t>
  </si>
  <si>
    <t xml:space="preserve">mCD1_nai</t>
  </si>
  <si>
    <t xml:space="preserve">mCD1_ocf</t>
  </si>
  <si>
    <t xml:space="preserve">mCD1_ext</t>
  </si>
  <si>
    <t xml:space="preserve">mCD1_own</t>
  </si>
  <si>
    <t xml:space="preserve">mCD1_need</t>
  </si>
  <si>
    <t xml:space="preserve">mCD1_short</t>
  </si>
  <si>
    <t xml:space="preserve">mCD1_cum</t>
  </si>
  <si>
    <t xml:space="preserve">mCD1_cumun</t>
  </si>
  <si>
    <t xml:space="preserve">mCD1_cummemo</t>
  </si>
  <si>
    <t xml:space="preserve">mCD1_fcf</t>
  </si>
  <si>
    <t xml:space="preserve">mCD1_gr</t>
  </si>
  <si>
    <t xml:space="preserve">mCD1_v</t>
  </si>
  <si>
    <t xml:space="preserve">mCD1_own_mc</t>
  </si>
  <si>
    <t xml:space="preserve">mCD1_need_mc</t>
  </si>
  <si>
    <t xml:space="preserve">mCD1_short_mc</t>
  </si>
  <si>
    <t xml:space="preserve">mCD1_cum_mc</t>
  </si>
  <si>
    <t xml:space="preserve">mCD1_cumun_mc</t>
  </si>
  <si>
    <t xml:space="preserve">mCD1_cummemo_mc</t>
  </si>
  <si>
    <t xml:space="preserve">mCD1_fcf_mc</t>
  </si>
  <si>
    <t xml:space="preserve">mCD1_gr_mc</t>
  </si>
  <si>
    <t xml:space="preserve">mCD1_v_mc</t>
  </si>
  <si>
    <t xml:space="preserve">mCD1_share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</si>
  <si>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</si>
  <si>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mCD2_add</t>
  </si>
  <si>
    <t xml:space="preserve">mCD2_r</t>
  </si>
  <si>
    <t xml:space="preserve">mCD2_rflag</t>
  </si>
  <si>
    <t xml:space="preserve">mCD2_mkt</t>
  </si>
  <si>
    <t xml:space="preserve">mCD2_nai</t>
  </si>
  <si>
    <t xml:space="preserve">mCD2_ocf</t>
  </si>
  <si>
    <t xml:space="preserve">mCD2_ext</t>
  </si>
  <si>
    <t xml:space="preserve">mCD2_own</t>
  </si>
  <si>
    <t xml:space="preserve">mCD2_need</t>
  </si>
  <si>
    <t xml:space="preserve">mCD2_short</t>
  </si>
  <si>
    <t xml:space="preserve">mCD2_cum</t>
  </si>
  <si>
    <t xml:space="preserve">mCD2_cumun</t>
  </si>
  <si>
    <t xml:space="preserve">mCD2_cummemo</t>
  </si>
  <si>
    <t xml:space="preserve">mCD2_fcf</t>
  </si>
  <si>
    <t xml:space="preserve">mCD2_gr</t>
  </si>
  <si>
    <t xml:space="preserve">mCD2_v</t>
  </si>
  <si>
    <t xml:space="preserve">mCD2_own_mc</t>
  </si>
  <si>
    <t xml:space="preserve">mCD2_need_mc</t>
  </si>
  <si>
    <t xml:space="preserve">mCD2_short_mc</t>
  </si>
  <si>
    <t xml:space="preserve">mCD2_cum_mc</t>
  </si>
  <si>
    <t xml:space="preserve">mCD2_cumun_mc</t>
  </si>
  <si>
    <t xml:space="preserve">mCD2_cummemo_mc</t>
  </si>
  <si>
    <t xml:space="preserve">mCD2_fcf_mc</t>
  </si>
  <si>
    <t xml:space="preserve">mCD2_gr_mc</t>
  </si>
  <si>
    <t xml:space="preserve">mCD2_v_mc</t>
  </si>
  <si>
    <t xml:space="preserve">mCD2_share</t>
  </si>
  <si>
    <r>
      <rPr>
        <b val="true"/>
        <sz val="12"/>
        <rFont val="Cambria"/>
        <family val="0"/>
        <charset val="1"/>
      </rPr>
      <t xml:space="preserve">F. 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D1 </t>
    </r>
    <r>
      <rPr>
        <b val="true"/>
        <sz val="12"/>
        <rFont val="Noto Sans CJK SC"/>
        <family val="2"/>
      </rPr>
      <t xml:space="preserve">分配：各玩家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資料中心資本支出（</t>
    </r>
    <r>
      <rPr>
        <b val="true"/>
        <sz val="12"/>
        <rFont val="Cambria"/>
        <family val="0"/>
        <charset val="1"/>
      </rPr>
      <t xml:space="preserve">× r(A,D1)</t>
    </r>
    <r>
      <rPr>
        <b val="true"/>
        <sz val="12"/>
        <rFont val="Noto Sans CJK SC"/>
        <family val="2"/>
      </rPr>
      <t xml:space="preserve">）＋非 </t>
    </r>
    <r>
      <rPr>
        <b val="true"/>
        <sz val="12"/>
        <rFont val="Cambria"/>
        <family val="0"/>
        <charset val="1"/>
      </rPr>
      <t xml:space="preserve">AI − </t>
    </r>
    <r>
      <rPr>
        <b val="true"/>
        <sz val="12"/>
        <rFont val="Noto Sans CJK SC"/>
        <family val="2"/>
      </rPr>
      <t xml:space="preserve">營業現金流；</t>
    </r>
    <r>
      <rPr>
        <b val="true"/>
        <sz val="12"/>
        <rFont val="Cambria"/>
        <family val="0"/>
        <charset val="1"/>
      </rPr>
      <t xml:space="preserve">2026–2030 </t>
    </r>
    <r>
      <rPr>
        <b val="true"/>
        <sz val="12"/>
        <rFont val="Noto Sans CJK SC"/>
        <family val="2"/>
      </rPr>
      <t xml:space="preserve">累計（正＝需外部資金）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</si>
  <si>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</si>
  <si>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d_msft_ai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</si>
  <si>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</si>
  <si>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d_msft_gap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</si>
  <si>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</si>
  <si>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d_msft_cum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</si>
  <si>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</si>
  <si>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d_googl_ai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</si>
  <si>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</si>
  <si>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d_googl_gap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</si>
  <si>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</si>
  <si>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d_googl_cum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</si>
  <si>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</si>
  <si>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d_amzn_ai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</si>
  <si>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</si>
  <si>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d_amzn_gap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</si>
  <si>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</si>
  <si>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d_amzn_cum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</si>
  <si>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</si>
  <si>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d_meta_ai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</si>
  <si>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</si>
  <si>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d_meta_gap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</si>
  <si>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</si>
  <si>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d_meta_cum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</si>
  <si>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</si>
  <si>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d_orcl_ai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</si>
  <si>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</si>
  <si>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d_orcl_gap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</si>
  <si>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</si>
  <si>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d_orcl_cum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</si>
  <si>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</si>
  <si>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d_crwv_ai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</si>
  <si>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</si>
  <si>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d_crwv_gap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</si>
  <si>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</si>
  <si>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d_crwv_cum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</si>
  <si>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</si>
  <si>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d_nbis_ai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</si>
  <si>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</si>
  <si>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d_nbis_gap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</si>
  <si>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</si>
  <si>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d_nbis_cum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</si>
  <si>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</si>
  <si>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d_wyfi_ai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</si>
  <si>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</si>
  <si>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d_wyfi_gap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</si>
  <si>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</si>
  <si>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d_wyfi_cum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</si>
  <si>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</si>
  <si>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d_xai_ai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</si>
  <si>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</si>
  <si>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d_xai_gap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</si>
  <si>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</si>
  <si>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d_xai_cum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</si>
  <si>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</si>
  <si>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d_oai_ai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</si>
  <si>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</si>
  <si>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d_oai_gap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</si>
  <si>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</si>
  <si>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d_oai_cum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</si>
  <si>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</si>
  <si>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d_ant_ai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</si>
  <si>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：缺口＝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營業現金流（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</si>
  <si>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d_ant_gap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</si>
  <si>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</si>
  <si>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d_ant_cum</t>
  </si>
  <si>
    <r>
      <rPr>
        <sz val="11"/>
        <color theme="1"/>
        <rFont val="Noto Sans CJK SC"/>
        <family val="2"/>
      </rPr>
      <t xml:space="preserve">　檢查：各玩家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）合計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）（須＝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</si>
  <si>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d_chk</t>
  </si>
  <si>
    <r>
      <rPr>
        <b val="true"/>
        <sz val="12"/>
        <rFont val="Cambria"/>
        <family val="0"/>
        <charset val="1"/>
      </rPr>
      <t xml:space="preserve">E. </t>
    </r>
    <r>
      <rPr>
        <b val="true"/>
        <sz val="12"/>
        <rFont val="Noto Sans CJK SC"/>
        <family val="2"/>
      </rPr>
      <t xml:space="preserve">敏感度 </t>
    </r>
    <r>
      <rPr>
        <b val="true"/>
        <sz val="12"/>
        <rFont val="Cambria"/>
        <family val="0"/>
        <charset val="1"/>
      </rPr>
      <t xml:space="preserve">M1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家每 </t>
    </r>
    <r>
      <rPr>
        <b val="true"/>
        <sz val="12"/>
        <rFont val="Cambria"/>
        <family val="0"/>
        <charset val="1"/>
      </rPr>
      <t xml:space="preserve">GW </t>
    </r>
    <r>
      <rPr>
        <b val="true"/>
        <sz val="12"/>
        <rFont val="Noto Sans CJK SC"/>
        <family val="2"/>
      </rPr>
      <t xml:space="preserve">成本改用市場平均（主讀法用玩家自有每 </t>
    </r>
    <r>
      <rPr>
        <b val="true"/>
        <sz val="12"/>
        <rFont val="Cambria"/>
        <family val="0"/>
        <charset val="1"/>
      </rPr>
      <t xml:space="preserve">GW</t>
    </r>
    <r>
      <rPr>
        <b val="true"/>
        <sz val="12"/>
        <rFont val="Noto Sans CJK SC"/>
        <family val="2"/>
      </rPr>
      <t xml:space="preserve">）；情景縮放同 </t>
    </r>
    <r>
      <rPr>
        <b val="true"/>
        <sz val="12"/>
        <rFont val="Cambria"/>
        <family val="0"/>
        <charset val="1"/>
      </rPr>
      <t xml:space="preserve">D </t>
    </r>
    <r>
      <rPr>
        <b val="true"/>
        <sz val="12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</si>
  <si>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</si>
  <si>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mAD0_own_m1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</si>
  <si>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：尚需新融資（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</si>
  <si>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mAD0_short_m1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</si>
  <si>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：累計仍未安排（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</si>
  <si>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mAD0_cumun_m1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</si>
  <si>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</si>
  <si>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mAD0_fcf_m1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</si>
  <si>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：缺口占資本支出（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</si>
  <si>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mAD0_gr_m1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</si>
  <si>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</si>
  <si>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mAD0_v_m1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</si>
  <si>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</si>
  <si>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mAD1_own_m1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</si>
  <si>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：尚需新融資（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</si>
  <si>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mAD1_short_m1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</si>
  <si>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：累計仍未安排（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</si>
  <si>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mAD1_cumun_m1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</si>
  <si>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</si>
  <si>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mAD1_fcf_m1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</si>
  <si>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：缺口占資本支出（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</si>
  <si>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mAD1_gr_m1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</si>
  <si>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</si>
  <si>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mAD1_v_m1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</si>
  <si>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</si>
  <si>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mAD2_own_m1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</si>
  <si>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：尚需新融資（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</si>
  <si>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mAD2_short_m1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</si>
  <si>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：累計仍未安排（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</si>
  <si>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mAD2_cumun_m1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</si>
  <si>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</si>
  <si>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mAD2_fcf_m1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</si>
  <si>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：缺口占資本支出（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</si>
  <si>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mAD2_gr_m1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</si>
  <si>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</si>
  <si>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mAD2_v_m1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</si>
  <si>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</si>
  <si>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mBD1_own_m1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</si>
  <si>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：尚需新融資（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</si>
  <si>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mBD1_short_m1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</si>
  <si>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：累計仍未安排（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</si>
  <si>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mBD1_cumun_m1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</si>
  <si>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</si>
  <si>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mBD1_fcf_m1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</si>
  <si>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：缺口占資本支出（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</si>
  <si>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mBD1_gr_m1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</si>
  <si>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</si>
  <si>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mBD1_v_m1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</si>
  <si>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</si>
  <si>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mCD2_own_m1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</si>
  <si>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：尚需新融資（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</si>
  <si>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mCD2_short_m1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</si>
  <si>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：累計仍未安排（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</si>
  <si>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mCD2_cumun_m1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</si>
  <si>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</si>
  <si>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mCD2_fcf_m1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</si>
  <si>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：缺口占資本支出（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</si>
  <si>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mCD2_gr_m1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</si>
  <si>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</t>
    </r>
  </si>
  <si>
    <t xml:space="preserve">mCD2_v_m1</t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</si>
  <si>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</si>
  <si>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</si>
  <si>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</si>
  <si>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</si>
  <si>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</si>
  <si>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</si>
  <si>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</si>
  <si>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</si>
  <si>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</si>
  <si>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</si>
  <si>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</si>
  <si>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</si>
  <si>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</si>
  <si>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</si>
  <si>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</si>
  <si>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</si>
  <si>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</si>
  <si>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</si>
  <si>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</si>
  <si>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</si>
  <si>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</si>
  <si>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</si>
  <si>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</si>
  <si>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</si>
  <si>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</si>
  <si>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</si>
  <si>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</si>
  <si>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</si>
  <si>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</si>
  <si>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</si>
  <si>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</si>
  <si>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</si>
  <si>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</si>
  <si>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</si>
  <si>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</si>
  <si>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</si>
  <si>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</si>
  <si>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</si>
  <si>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</si>
  <si>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</si>
  <si>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</si>
  <si>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</si>
  <si>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</si>
  <si>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</si>
  <si>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</si>
  <si>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</si>
  <si>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</si>
  <si>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</si>
  <si>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</si>
  <si>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</si>
  <si>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</si>
  <si>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</si>
  <si>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</si>
  <si>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</si>
  <si>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</si>
  <si>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</si>
  <si>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</si>
  <si>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</si>
  <si>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</si>
  <si>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</si>
  <si>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</si>
  <si>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</si>
  <si>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</si>
  <si>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</si>
  <si>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</si>
  <si>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</si>
  <si>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</si>
  <si>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</si>
  <si>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</si>
  <si>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</si>
  <si>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</si>
  <si>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</si>
  <si>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</si>
  <si>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</si>
  <si>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</si>
  <si>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</si>
  <si>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</si>
  <si>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</si>
  <si>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</si>
  <si>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</si>
  <si>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</si>
  <si>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</si>
  <si>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</si>
  <si>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</si>
  <si>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</si>
  <si>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</si>
  <si>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</si>
  <si>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</si>
  <si>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</si>
  <si>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</si>
  <si>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</si>
  <si>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</si>
  <si>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</si>
  <si>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</si>
  <si>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</si>
  <si>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</si>
  <si>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</si>
  <si>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</si>
  <si>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</si>
  <si>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</si>
  <si>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</si>
  <si>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</si>
  <si>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</si>
  <si>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</si>
  <si>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</si>
  <si>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</si>
  <si>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</si>
  <si>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</si>
  <si>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</si>
  <si>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</si>
  <si>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</si>
  <si>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</si>
  <si>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</si>
  <si>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</si>
  <si>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</si>
  <si>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</si>
  <si>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</si>
  <si>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</si>
  <si>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</si>
  <si>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</si>
  <si>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</si>
  <si>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</si>
  <si>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</si>
  <si>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</si>
  <si>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</si>
  <si>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</si>
  <si>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</si>
  <si>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</si>
  <si>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</si>
  <si>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</si>
  <si>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</si>
  <si>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</si>
  <si>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</si>
  <si>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</si>
  <si>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</si>
  <si>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</si>
  <si>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</si>
  <si>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</si>
  <si>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</si>
  <si>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</si>
  <si>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</si>
  <si>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</si>
  <si>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</si>
  <si>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</si>
  <si>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</si>
  <si>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</si>
  <si>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</si>
  <si>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</si>
  <si>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</si>
  <si>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</si>
  <si>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</si>
  <si>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</si>
  <si>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</si>
  <si>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</si>
  <si>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</si>
  <si>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</si>
  <si>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</si>
  <si>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</si>
  <si>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</si>
  <si>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</si>
  <si>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</si>
  <si>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</si>
  <si>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</si>
  <si>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</si>
  <si>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</si>
  <si>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</si>
  <si>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</si>
  <si>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</si>
  <si>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</si>
  <si>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</si>
  <si>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</si>
  <si>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</si>
  <si>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</si>
  <si>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</si>
  <si>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</si>
  <si>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</si>
  <si>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</si>
  <si>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</si>
  <si>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</si>
  <si>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</si>
  <si>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</si>
  <si>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</si>
  <si>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</si>
  <si>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</si>
  <si>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</si>
  <si>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</si>
  <si>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</si>
  <si>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</si>
  <si>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</si>
  <si>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</si>
  <si>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</si>
  <si>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</si>
  <si>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</si>
  <si>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</si>
  <si>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</si>
  <si>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</si>
  <si>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</si>
  <si>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</si>
  <si>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</si>
  <si>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</si>
  <si>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</si>
  <si>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</si>
  <si>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</si>
  <si>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</si>
  <si>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</si>
  <si>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</si>
  <si>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</si>
  <si>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</si>
  <si>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</si>
  <si>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檔；史上最大公司債；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附註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March 2026 Notes 37.0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Euro Notes €14.5B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9-30 </t>
    </r>
    <r>
      <rPr>
        <sz val="11"/>
        <color rgb="FF808080"/>
        <rFont val="Noto Sans CJK SC"/>
        <family val="2"/>
      </rPr>
      <t xml:space="preserve">帳面 </t>
    </r>
    <r>
      <rPr>
        <sz val="11"/>
        <color rgb="FF808080"/>
        <rFont val="Cambria"/>
        <family val="0"/>
        <charset val="1"/>
      </rPr>
      <t xml:space="preserve">16.427</t>
    </r>
    <r>
      <rPr>
        <sz val="11"/>
        <color rgb="FF808080"/>
        <rFont val="Noto Sans CJK SC"/>
        <family val="2"/>
      </rPr>
      <t xml:space="preserve">）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</si>
  <si>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</si>
  <si>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</si>
  <si>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</si>
  <si>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段第五節更正（</t>
    </r>
    <r>
      <rPr>
        <sz val="11"/>
        <color rgb="FF808080"/>
        <rFont val="Cambria"/>
        <family val="0"/>
        <charset val="1"/>
      </rPr>
      <t xml:space="preserve">10-Q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</si>
  <si>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</si>
  <si>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</si>
  <si>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4.20%–6.25%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浮動 </t>
    </r>
    <r>
      <rPr>
        <sz val="11"/>
        <color rgb="FF808080"/>
        <rFont val="Cambria"/>
        <family val="0"/>
        <charset val="1"/>
      </rPr>
      <t xml:space="preserve">0.75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附註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7 </t>
    </r>
    <r>
      <rPr>
        <sz val="11"/>
        <color rgb="FF808080"/>
        <rFont val="Noto Sans CJK SC"/>
        <family val="2"/>
      </rPr>
      <t xml:space="preserve">月報導稱公司表示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年不再發債（原句待回 </t>
    </r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確認範圍，可能只指美元債），但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顯示其後 </t>
    </r>
    <r>
      <rPr>
        <sz val="11"/>
        <color rgb="FF808080"/>
        <rFont val="Cambria"/>
        <family val="0"/>
        <charset val="1"/>
      </rPr>
      <t xml:space="preserve">9 </t>
    </r>
    <r>
      <rPr>
        <sz val="11"/>
        <color rgb="FF808080"/>
        <rFont val="Noto Sans CJK SC"/>
        <family val="2"/>
      </rPr>
      <t xml:space="preserve">月仍發英鎊債 </t>
    </r>
    <r>
      <rPr>
        <sz val="11"/>
        <color rgb="FF808080"/>
        <rFont val="Cambria"/>
        <family val="0"/>
        <charset val="1"/>
      </rPr>
      <t xml:space="preserve">£4.3B</t>
    </r>
    <r>
      <rPr>
        <sz val="11"/>
        <color rgb="FF808080"/>
        <rFont val="Noto Sans CJK SC"/>
        <family val="2"/>
      </rPr>
      <t xml:space="preserve">（帳面 </t>
    </r>
    <r>
      <rPr>
        <sz val="11"/>
        <color rgb="FF808080"/>
        <rFont val="Cambria"/>
        <family val="0"/>
        <charset val="1"/>
      </rPr>
      <t xml:space="preserve">5.637</t>
    </r>
    <r>
      <rPr>
        <sz val="11"/>
        <color rgb="FF808080"/>
        <rFont val="Noto Sans CJK SC"/>
        <family val="2"/>
      </rPr>
      <t xml:space="preserve">）並動用定期貸款 </t>
    </r>
    <r>
      <rPr>
        <sz val="11"/>
        <color rgb="FF808080"/>
        <rFont val="Cambria"/>
        <family val="0"/>
        <charset val="1"/>
      </rPr>
      <t xml:space="preserve">17.5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MD&amp;A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年將再融資（</t>
    </r>
    <r>
      <rPr>
        <sz val="11"/>
        <color rgb="FF808080"/>
        <rFont val="Cambria"/>
        <family val="0"/>
        <charset val="1"/>
      </rPr>
      <t xml:space="preserve">We expect to undertake additional financing activities in 2026</t>
    </r>
    <r>
      <rPr>
        <sz val="11"/>
        <color rgb="FF808080"/>
        <rFont val="Noto Sans CJK SC"/>
        <family val="2"/>
      </rPr>
      <t xml:space="preserve">）；已含於 </t>
    </r>
    <r>
      <rPr>
        <sz val="11"/>
        <color rgb="FF808080"/>
        <rFont val="Cambria"/>
        <family val="0"/>
        <charset val="1"/>
      </rPr>
      <t xml:space="preserve">F#253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</si>
  <si>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</si>
  <si>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</si>
  <si>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段第五節更正（</t>
    </r>
    <r>
      <rPr>
        <sz val="11"/>
        <color rgb="FF808080"/>
        <rFont val="Cambria"/>
        <family val="0"/>
        <charset val="1"/>
      </rPr>
      <t xml:space="preserve">10-Q</t>
    </r>
    <r>
      <rPr>
        <sz val="11"/>
        <color rgb="FF808080"/>
        <rFont val="Noto Sans CJK SC"/>
        <family val="2"/>
      </rPr>
      <t xml:space="preserve">）：保留 </t>
    </r>
    <r>
      <rPr>
        <sz val="11"/>
        <color rgb="FF808080"/>
        <rFont val="Cambria"/>
        <family val="0"/>
        <charset val="1"/>
      </rPr>
      <t xml:space="preserve">7 </t>
    </r>
    <r>
      <rPr>
        <sz val="11"/>
        <color rgb="FF808080"/>
        <rFont val="Noto Sans CJK SC"/>
        <family val="2"/>
      </rPr>
      <t xml:space="preserve">月報導的歸屬，並註明與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不符</t>
    </r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</si>
  <si>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</si>
  <si>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</si>
  <si>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</si>
  <si>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</si>
  <si>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F#263</t>
    </r>
  </si>
  <si>
    <t xml:space="preserve">F#77</t>
  </si>
  <si>
    <r>
      <rPr>
        <sz val="11"/>
        <color rgb="FF808080"/>
        <rFont val="Noto Sans CJK SC"/>
        <family val="2"/>
      </rPr>
      <t xml:space="preserve">尚未起租租賃（承諾表；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 </t>
    </r>
    <r>
      <rPr>
        <sz val="11"/>
        <color rgb="FF808080"/>
        <rFont val="Cambria"/>
        <family val="0"/>
        <charset val="1"/>
      </rPr>
      <t xml:space="preserve">96.4</t>
    </r>
    <r>
      <rPr>
        <sz val="11"/>
        <color rgb="FF808080"/>
        <rFont val="Noto Sans CJK SC"/>
        <family val="2"/>
      </rPr>
      <t xml:space="preserve">）</t>
    </r>
  </si>
  <si>
    <t xml:space="preserve">Amazon 10-Q 2026Q2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</si>
  <si>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F#258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9-30</t>
    </r>
    <r>
      <rPr>
        <sz val="11"/>
        <color rgb="FF808080"/>
        <rFont val="Noto Sans CJK SC"/>
        <family val="2"/>
      </rPr>
      <t xml:space="preserve">）</t>
    </r>
  </si>
  <si>
    <t xml:space="preserve">F#78</t>
  </si>
  <si>
    <t xml:space="preserve">營業租賃負債現值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</si>
  <si>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F#266</t>
    </r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</si>
  <si>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</si>
  <si>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</si>
  <si>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</si>
  <si>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</si>
  <si>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</si>
  <si>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</si>
  <si>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</si>
  <si>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</si>
  <si>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21.3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including $21.3 billion invested in Q3 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</si>
  <si>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</si>
  <si>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</si>
  <si>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</si>
  <si>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年投入 </t>
    </r>
    <r>
      <rPr>
        <sz val="11"/>
        <color theme="1"/>
        <rFont val="Calibri"/>
        <family val="2"/>
        <charset val="1"/>
      </rPr>
      <t xml:space="preserve">10.0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Series 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Series H 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）；累計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（不屬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，不計）；剩餘額度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</si>
  <si>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</si>
  <si>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）（附帶發現）：原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年可轉債 </t>
    </r>
    <r>
      <rPr>
        <sz val="11"/>
        <color theme="1"/>
        <rFont val="Calibri"/>
        <family val="2"/>
        <charset val="1"/>
      </rPr>
      <t xml:space="preserve">8.0</t>
    </r>
    <r>
      <rPr>
        <sz val="11"/>
        <color theme="1"/>
        <rFont val="Noto Sans CJK SC"/>
        <family val="2"/>
      </rPr>
      <t xml:space="preserve">，不屬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年實際投入 </t>
    </r>
    <r>
      <rPr>
        <sz val="11"/>
        <color theme="1"/>
        <rFont val="Calibri"/>
        <family val="2"/>
        <charset val="1"/>
      </rPr>
      <t xml:space="preserve">10.0 → </t>
    </r>
    <r>
      <rPr>
        <sz val="11"/>
        <color theme="1"/>
        <rFont val="Noto Sans CJK SC"/>
        <family val="2"/>
      </rPr>
      <t xml:space="preserve">值改 </t>
    </r>
    <r>
      <rPr>
        <sz val="11"/>
        <color theme="1"/>
        <rFont val="Calibri"/>
        <family val="2"/>
        <charset val="1"/>
      </rPr>
      <t xml:space="preserve">10.0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</si>
  <si>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</si>
  <si>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</si>
  <si>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</si>
  <si>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</si>
  <si>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</si>
  <si>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</si>
  <si>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</si>
  <si>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</si>
  <si>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</si>
  <si>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</si>
  <si>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</si>
  <si>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</si>
  <si>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</si>
  <si>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</si>
  <si>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</si>
  <si>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</si>
  <si>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</si>
  <si>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</si>
  <si>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</si>
  <si>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</si>
  <si>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</si>
  <si>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</si>
  <si>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</si>
  <si>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</si>
  <si>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</si>
  <si>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</si>
  <si>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</si>
  <si>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</si>
  <si>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</si>
  <si>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</si>
  <si>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</si>
  <si>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</si>
  <si>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</si>
  <si>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</si>
  <si>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</si>
  <si>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</si>
  <si>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</si>
  <si>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</si>
  <si>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</si>
  <si>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2026-05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</si>
  <si>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</si>
  <si>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</si>
  <si>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段第五節：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In May 2026, we issued</t>
    </r>
    <r>
      <rPr>
        <sz val="11"/>
        <color theme="1"/>
        <rFont val="Noto Sans CJK SC"/>
        <family val="2"/>
      </rPr>
      <t xml:space="preserve">』→ 期間改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（同落 </t>
    </r>
    <r>
      <rPr>
        <sz val="11"/>
        <color theme="1"/>
        <rFont val="Calibri"/>
        <family val="2"/>
        <charset val="1"/>
      </rPr>
      <t xml:space="preserve">9M2026 </t>
    </r>
    <r>
      <rPr>
        <sz val="11"/>
        <color theme="1"/>
        <rFont val="Noto Sans CJK SC"/>
        <family val="2"/>
      </rPr>
      <t xml:space="preserve">桶）</t>
    </r>
  </si>
  <si>
    <t xml:space="preserve">F#100</t>
  </si>
  <si>
    <r>
      <rPr>
        <sz val="11"/>
        <color theme="1"/>
        <rFont val="Noto Sans CJK SC"/>
        <family val="2"/>
      </rPr>
      <t xml:space="preserve">面額口徑：債務面額 </t>
    </r>
    <r>
      <rPr>
        <sz val="11"/>
        <color theme="1"/>
        <rFont val="Calibri"/>
        <family val="2"/>
        <charset val="1"/>
      </rPr>
      <t xml:space="preserve">59.0 → 84.0</t>
    </r>
    <r>
      <rPr>
        <sz val="11"/>
        <color theme="1"/>
        <rFont val="Noto Sans CJK SC"/>
        <family val="2"/>
      </rPr>
      <t xml:space="preserve">，增加 </t>
    </r>
    <r>
      <rPr>
        <sz val="11"/>
        <color theme="1"/>
        <rFont val="Calibri"/>
        <family val="2"/>
        <charset val="1"/>
      </rPr>
      <t xml:space="preserve">25.000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月發債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，淨收入 </t>
    </r>
    <r>
      <rPr>
        <sz val="11"/>
        <color theme="1"/>
        <rFont val="Calibri"/>
        <family val="2"/>
        <charset val="1"/>
      </rPr>
      <t xml:space="preserve">24.910</t>
    </r>
    <r>
      <rPr>
        <sz val="11"/>
        <color theme="1"/>
        <rFont val="Noto Sans CJK SC"/>
        <family val="2"/>
      </rPr>
      <t xml:space="preserve">）；帳面 </t>
    </r>
    <r>
      <rPr>
        <sz val="11"/>
        <color theme="1"/>
        <rFont val="Calibri"/>
        <family val="2"/>
        <charset val="1"/>
      </rPr>
      <t xml:space="preserve">58.744 → 83.669</t>
    </r>
    <r>
      <rPr>
        <sz val="11"/>
        <color theme="1"/>
        <rFont val="Noto Sans CJK SC"/>
        <family val="2"/>
      </rPr>
      <t xml:space="preserve">（非流動 </t>
    </r>
    <r>
      <rPr>
        <sz val="11"/>
        <color theme="1"/>
        <rFont val="Calibri"/>
        <family val="2"/>
        <charset val="1"/>
      </rPr>
      <t xml:space="preserve">80.922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，後者列應計費用及其他流動負債），帳面口徑增加 </t>
    </r>
    <r>
      <rPr>
        <sz val="11"/>
        <color theme="1"/>
        <rFont val="Calibri"/>
        <family val="2"/>
        <charset val="1"/>
      </rPr>
      <t xml:space="preserve">24.925</t>
    </r>
    <r>
      <rPr>
        <sz val="11"/>
        <color theme="1"/>
        <rFont val="Noto Sans CJK SC"/>
        <family val="2"/>
      </rPr>
      <t xml:space="preserve">；現金與有價證券 </t>
    </r>
    <r>
      <rPr>
        <sz val="11"/>
        <color theme="1"/>
        <rFont val="Calibri"/>
        <family val="2"/>
        <charset val="1"/>
      </rPr>
      <t xml:space="preserve">81.592 → 82.449 → 9-30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（原寫『淨現金約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』漏計一年內到期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</si>
  <si>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）：原 </t>
    </r>
    <r>
      <rPr>
        <sz val="11"/>
        <color theme="1"/>
        <rFont val="Calibri"/>
        <family val="2"/>
        <charset val="1"/>
      </rPr>
      <t xml:space="preserve">22.178 </t>
    </r>
    <r>
      <rPr>
        <sz val="11"/>
        <color theme="1"/>
        <rFont val="Noto Sans CJK SC"/>
        <family val="2"/>
      </rPr>
      <t xml:space="preserve">只取非流動部分（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2.747 </t>
    </r>
    <r>
      <rPr>
        <sz val="11"/>
        <color theme="1"/>
        <rFont val="Noto Sans CJK SC"/>
        <family val="2"/>
      </rPr>
      <t xml:space="preserve">重分類至流動），值改面額口徑 </t>
    </r>
    <r>
      <rPr>
        <sz val="11"/>
        <color theme="1"/>
        <rFont val="Calibri"/>
        <family val="2"/>
        <charset val="1"/>
      </rPr>
      <t xml:space="preserve">25.000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端決定；與 </t>
    </r>
    <r>
      <rPr>
        <sz val="11"/>
        <color theme="1"/>
        <rFont val="Calibri"/>
        <family val="2"/>
        <charset val="1"/>
      </rPr>
      <t xml:space="preserve">F#263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F#50 </t>
    </r>
    <r>
      <rPr>
        <sz val="11"/>
        <color theme="1"/>
        <rFont val="Noto Sans CJK SC"/>
        <family val="2"/>
      </rPr>
      <t xml:space="preserve">一致）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</si>
  <si>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</si>
  <si>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</si>
  <si>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</si>
  <si>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</si>
  <si>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</si>
  <si>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</si>
  <si>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</si>
  <si>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</si>
  <si>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</si>
  <si>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</si>
  <si>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</si>
  <si>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</si>
  <si>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</si>
  <si>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</si>
  <si>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</si>
  <si>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</si>
  <si>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</si>
  <si>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</si>
  <si>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</si>
  <si>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</si>
  <si>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</si>
  <si>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</si>
  <si>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</si>
  <si>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</si>
  <si>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</si>
  <si>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</si>
  <si>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</si>
  <si>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</si>
  <si>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</si>
  <si>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</si>
  <si>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</si>
  <si>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</si>
  <si>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</si>
  <si>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</si>
  <si>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</si>
  <si>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</si>
  <si>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</si>
  <si>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</si>
  <si>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</si>
  <si>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</si>
  <si>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</si>
  <si>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</si>
  <si>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</si>
  <si>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</si>
  <si>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</si>
  <si>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</si>
  <si>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</si>
  <si>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</si>
  <si>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</si>
  <si>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</si>
  <si>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</si>
  <si>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</si>
  <si>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</si>
  <si>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</si>
  <si>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</si>
  <si>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</si>
  <si>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</si>
  <si>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</si>
  <si>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</si>
  <si>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</si>
  <si>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</si>
  <si>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</si>
  <si>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</si>
  <si>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</si>
  <si>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</si>
  <si>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</si>
  <si>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</si>
  <si>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</si>
  <si>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</si>
  <si>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</si>
  <si>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</si>
  <si>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</si>
  <si>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</si>
  <si>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</si>
  <si>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</si>
  <si>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</si>
  <si>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</si>
  <si>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</si>
  <si>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</si>
  <si>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</si>
  <si>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</si>
  <si>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</si>
  <si>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</si>
  <si>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</si>
  <si>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</si>
  <si>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</si>
  <si>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</si>
  <si>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</si>
  <si>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</si>
  <si>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</si>
  <si>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</si>
  <si>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</si>
  <si>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</si>
  <si>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</si>
  <si>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</si>
  <si>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</si>
  <si>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</si>
  <si>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</si>
  <si>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</si>
  <si>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</si>
  <si>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</si>
  <si>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</si>
  <si>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</si>
  <si>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</si>
  <si>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</si>
  <si>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</si>
  <si>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</si>
  <si>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</si>
  <si>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</si>
  <si>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</si>
  <si>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</si>
  <si>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</si>
  <si>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</si>
  <si>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</si>
  <si>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</si>
  <si>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</si>
  <si>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</si>
  <si>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</si>
  <si>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</si>
  <si>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</si>
  <si>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</si>
  <si>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</si>
  <si>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</si>
  <si>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</si>
  <si>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</si>
  <si>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</si>
  <si>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</si>
  <si>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</si>
  <si>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</si>
  <si>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</si>
  <si>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</si>
  <si>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</si>
  <si>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</si>
  <si>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</si>
  <si>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</si>
  <si>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</si>
  <si>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</si>
  <si>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</si>
  <si>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</si>
  <si>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</si>
  <si>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</si>
  <si>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</si>
  <si>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</si>
  <si>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</si>
  <si>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</si>
  <si>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</si>
  <si>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</si>
  <si>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</si>
  <si>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</si>
  <si>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</si>
  <si>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</si>
  <si>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</si>
  <si>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</si>
  <si>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</si>
  <si>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</si>
  <si>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</si>
  <si>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</si>
  <si>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</si>
  <si>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</si>
  <si>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</si>
  <si>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</si>
  <si>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</si>
  <si>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</si>
  <si>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</si>
  <si>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</si>
  <si>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</si>
  <si>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</si>
  <si>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</si>
  <si>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</si>
  <si>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</si>
  <si>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</si>
  <si>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</si>
  <si>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</si>
  <si>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</si>
  <si>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</si>
  <si>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</si>
  <si>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</si>
  <si>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</si>
  <si>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</si>
  <si>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</si>
  <si>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</si>
  <si>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</si>
  <si>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</si>
  <si>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</si>
  <si>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</si>
  <si>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</si>
  <si>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</si>
  <si>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</si>
  <si>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</si>
  <si>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</si>
  <si>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</si>
  <si>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</si>
  <si>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</si>
  <si>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</si>
  <si>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</si>
  <si>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</si>
  <si>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</si>
  <si>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</si>
  <si>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</si>
  <si>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</si>
  <si>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</si>
  <si>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</si>
  <si>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</si>
  <si>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</si>
  <si>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</si>
  <si>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</si>
  <si>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</si>
  <si>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</si>
  <si>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</si>
  <si>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</si>
  <si>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</si>
  <si>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</si>
  <si>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</si>
  <si>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</si>
  <si>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</si>
  <si>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</si>
  <si>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</si>
  <si>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</si>
  <si>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</si>
  <si>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</si>
  <si>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</si>
  <si>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</si>
  <si>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</si>
  <si>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</si>
  <si>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</si>
  <si>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</si>
  <si>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</si>
  <si>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</si>
  <si>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</si>
  <si>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</si>
  <si>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</si>
  <si>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</si>
  <si>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</si>
  <si>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</si>
  <si>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</si>
  <si>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</si>
  <si>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</si>
  <si>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</si>
  <si>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</si>
  <si>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</si>
  <si>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</si>
  <si>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</si>
  <si>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</si>
  <si>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</si>
  <si>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</si>
  <si>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</si>
  <si>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</si>
  <si>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</si>
  <si>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</si>
  <si>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</si>
  <si>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</si>
  <si>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</si>
  <si>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</si>
  <si>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</si>
  <si>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</si>
  <si>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</si>
  <si>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</si>
  <si>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</si>
  <si>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</si>
  <si>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</si>
  <si>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</si>
  <si>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</si>
  <si>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</si>
  <si>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</si>
  <si>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</si>
  <si>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</si>
  <si>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</si>
  <si>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</si>
  <si>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</si>
  <si>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</si>
  <si>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</si>
  <si>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</si>
  <si>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</si>
  <si>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</si>
  <si>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</si>
  <si>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</si>
  <si>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</si>
  <si>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</si>
  <si>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</si>
  <si>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</si>
  <si>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</si>
  <si>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</si>
  <si>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</si>
  <si>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</si>
  <si>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</si>
  <si>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</si>
  <si>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</si>
  <si>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</si>
  <si>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</si>
  <si>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</si>
  <si>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</si>
  <si>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</si>
  <si>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</si>
  <si>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</si>
  <si>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</si>
  <si>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</si>
  <si>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</si>
  <si>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</si>
  <si>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</si>
  <si>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</si>
  <si>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</si>
  <si>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</si>
  <si>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</si>
  <si>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</si>
  <si>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</si>
  <si>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</si>
  <si>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</si>
  <si>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</si>
  <si>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</si>
  <si>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</si>
  <si>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</si>
  <si>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</si>
  <si>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</si>
  <si>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</si>
  <si>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</si>
  <si>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</si>
  <si>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</si>
  <si>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</si>
  <si>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</si>
  <si>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</si>
  <si>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</si>
  <si>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</si>
  <si>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</si>
  <si>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</si>
  <si>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</si>
  <si>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</si>
  <si>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</si>
  <si>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</si>
  <si>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</si>
  <si>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</si>
  <si>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</si>
  <si>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</si>
  <si>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</si>
  <si>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</si>
  <si>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</si>
  <si>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</si>
  <si>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</si>
  <si>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</si>
  <si>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</si>
  <si>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</si>
  <si>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</si>
  <si>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</si>
  <si>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</si>
  <si>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</si>
  <si>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</si>
  <si>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</si>
  <si>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</si>
  <si>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</si>
  <si>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</si>
  <si>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</si>
  <si>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</si>
  <si>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</si>
  <si>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</si>
  <si>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</si>
  <si>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</si>
  <si>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</si>
  <si>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</si>
  <si>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</si>
  <si>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</si>
  <si>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</si>
  <si>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</si>
  <si>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</si>
  <si>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</si>
  <si>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</si>
  <si>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</si>
  <si>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</si>
  <si>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</si>
  <si>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</si>
  <si>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</si>
  <si>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</si>
  <si>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</si>
  <si>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</si>
  <si>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</si>
  <si>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</si>
  <si>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</si>
  <si>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</si>
  <si>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</si>
  <si>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</si>
  <si>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</si>
  <si>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</si>
  <si>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</si>
  <si>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</si>
  <si>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</si>
  <si>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</si>
  <si>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</si>
  <si>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</si>
  <si>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</si>
  <si>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</si>
  <si>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</si>
  <si>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</si>
  <si>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</si>
  <si>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</si>
  <si>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</si>
  <si>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</si>
  <si>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</si>
  <si>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</si>
  <si>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</si>
  <si>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</si>
  <si>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</si>
  <si>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</si>
  <si>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</si>
  <si>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</si>
  <si>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</si>
  <si>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</si>
  <si>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</si>
  <si>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</si>
  <si>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</si>
  <si>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</si>
  <si>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</si>
  <si>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</si>
  <si>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</si>
  <si>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</si>
  <si>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</si>
  <si>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</si>
  <si>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</si>
  <si>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</si>
  <si>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</si>
  <si>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</si>
  <si>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</si>
  <si>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</si>
  <si>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</si>
  <si>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</si>
  <si>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</si>
  <si>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</si>
  <si>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</si>
  <si>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</si>
  <si>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</si>
  <si>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</si>
  <si>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</si>
  <si>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</si>
  <si>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</si>
  <si>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</si>
  <si>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</si>
  <si>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</si>
  <si>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</si>
  <si>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</si>
  <si>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</si>
  <si>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</si>
  <si>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</si>
  <si>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</si>
  <si>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</si>
  <si>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</si>
  <si>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</si>
  <si>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</si>
  <si>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</si>
  <si>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</si>
  <si>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</si>
  <si>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</si>
  <si>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</si>
  <si>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</si>
  <si>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</si>
  <si>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</si>
  <si>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</si>
  <si>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</si>
  <si>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</si>
  <si>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There were no repurchases of our common stock during the nine months ended September 30, 2025 or 2026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</si>
  <si>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）：補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第二來源，標記改 </t>
    </r>
    <r>
      <rPr>
        <sz val="11"/>
        <color theme="1"/>
        <rFont val="Calibri"/>
        <family val="2"/>
        <charset val="1"/>
      </rPr>
      <t xml:space="preserve">[Verified]</t>
    </r>
  </si>
  <si>
    <t xml:space="preserve">F#253</t>
  </si>
  <si>
    <r>
      <rPr>
        <sz val="11"/>
        <color theme="1"/>
        <rFont val="Noto Sans CJK SC"/>
        <family val="2"/>
      </rPr>
      <t xml:space="preserve">長期借款收入 </t>
    </r>
    <r>
      <rPr>
        <sz val="11"/>
        <color theme="1"/>
        <rFont val="Calibri"/>
        <family val="2"/>
        <charset val="1"/>
      </rPr>
      <t xml:space="preserve">115.1 ≈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97.3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37.0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EUR 14.5≈16.4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CHF 2.8≈3.4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CAD 14.0≈9.8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25.0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GBP 4.3≈5.6</t>
    </r>
    <r>
      <rPr>
        <sz val="11"/>
        <color theme="1"/>
        <rFont val="Noto Sans CJK SC"/>
        <family val="2"/>
      </rPr>
      <t xml:space="preserve">；外幣以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帳面，</t>
    </r>
    <r>
      <rPr>
        <sz val="11"/>
        <color theme="1"/>
        <rFont val="Calibri"/>
        <family val="2"/>
        <charset val="1"/>
      </rPr>
      <t xml:space="preserve">F#259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月動用定期貸款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F#260</t>
    </r>
    <r>
      <rPr>
        <sz val="11"/>
        <color theme="1"/>
        <rFont val="Noto Sans CJK SC"/>
        <family val="2"/>
      </rPr>
      <t xml:space="preserve">）；差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為外幣匯率與折價；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年票據到期）；短期借款收入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  <r>
      <rPr>
        <sz val="11"/>
        <color theme="1"/>
        <rFont val="Noto Sans CJK SC"/>
        <family val="2"/>
      </rPr>
      <t xml:space="preserve">（另一年內到期 </t>
    </r>
    <r>
      <rPr>
        <sz val="11"/>
        <color theme="1"/>
        <rFont val="Calibri"/>
        <family val="2"/>
        <charset val="1"/>
      </rPr>
      <t xml:space="preserve">6.827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</si>
  <si>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detail </t>
    </r>
    <r>
      <rPr>
        <sz val="11"/>
        <color theme="1"/>
        <rFont val="Noto Sans CJK SC"/>
        <family val="2"/>
      </rPr>
      <t xml:space="preserve">改寫（『＝』改『≈』）</t>
    </r>
  </si>
  <si>
    <t xml:space="preserve">F#255</t>
  </si>
  <si>
    <r>
      <rPr>
        <sz val="11"/>
        <color theme="1"/>
        <rFont val="Calibri"/>
        <family val="2"/>
        <charset val="1"/>
      </rPr>
      <t xml:space="preserve">AWS backlog 578</t>
    </r>
    <r>
      <rPr>
        <sz val="11"/>
        <color theme="1"/>
        <rFont val="Noto Sans CJK SC"/>
        <family val="2"/>
      </rPr>
      <t xml:space="preserve">（年增三位數、分散）；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75.9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F#248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77.259 − 1.381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</si>
  <si>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CEO Andy Jassy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Brian Olsavsky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</si>
  <si>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/Transcript_AMZN_3Q26.docx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</si>
  <si>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）：補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第二來源</t>
    </r>
  </si>
  <si>
    <t xml:space="preserve">F#257</t>
  </si>
  <si>
    <t xml:space="preserve">debt_level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</si>
  <si>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債務總額（存量）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帳面 </t>
    </r>
    <r>
      <rPr>
        <sz val="11"/>
        <color theme="1"/>
        <rFont val="Calibri"/>
        <family val="2"/>
        <charset val="1"/>
      </rPr>
      <t xml:space="preserve">83.669</t>
    </r>
    <r>
      <rPr>
        <sz val="11"/>
        <color theme="1"/>
        <rFont val="Noto Sans CJK SC"/>
        <family val="2"/>
      </rPr>
      <t xml:space="preserve">＝非流動 </t>
    </r>
    <r>
      <rPr>
        <sz val="11"/>
        <color theme="1"/>
        <rFont val="Calibri"/>
        <family val="2"/>
        <charset val="1"/>
      </rPr>
      <t xml:space="preserve">80.922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2027-08 </t>
    </r>
    <r>
      <rPr>
        <sz val="11"/>
        <color theme="1"/>
        <rFont val="Noto Sans CJK SC"/>
        <family val="2"/>
      </rPr>
      <t xml:space="preserve">到期 </t>
    </r>
    <r>
      <rPr>
        <sz val="11"/>
        <color theme="1"/>
        <rFont val="Calibri"/>
        <family val="2"/>
        <charset val="1"/>
      </rPr>
      <t xml:space="preserve">2.75</t>
    </r>
    <r>
      <rPr>
        <sz val="11"/>
        <color theme="1"/>
        <rFont val="Noto Sans CJK SC"/>
        <family val="2"/>
      </rPr>
      <t xml:space="preserve">，列應計費用及其他流動負債），見 </t>
    </r>
    <r>
      <rPr>
        <sz val="11"/>
        <color theme="1"/>
        <rFont val="Calibri"/>
        <family val="2"/>
        <charset val="1"/>
      </rPr>
      <t xml:space="preserve">F#272</t>
    </r>
    <r>
      <rPr>
        <sz val="11"/>
        <color theme="1"/>
        <rFont val="Noto Sans CJK SC"/>
        <family val="2"/>
      </rPr>
      <t xml:space="preserve">）；現金與有價證券 </t>
    </r>
    <r>
      <rPr>
        <sz val="11"/>
        <color theme="1"/>
        <rFont val="Calibri"/>
        <family val="2"/>
        <charset val="1"/>
      </rPr>
      <t xml:space="preserve">82.4 →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83.669 − 82.449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F#100 </t>
    </r>
    <r>
      <rPr>
        <sz val="11"/>
        <color theme="1"/>
        <rFont val="Noto Sans CJK SC"/>
        <family val="2"/>
      </rPr>
      <t xml:space="preserve">原『淨現金約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』漏計一年內到期部分，已更正）；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單季含融資租賃本金資本支出 </t>
    </r>
    <r>
      <rPr>
        <sz val="11"/>
        <color theme="1"/>
        <rFont val="Calibri"/>
        <family val="2"/>
        <charset val="1"/>
      </rPr>
      <t xml:space="preserve">34.9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 −2.1</t>
    </r>
    <r>
      <rPr>
        <sz val="11"/>
        <color theme="1"/>
        <rFont val="Noto Sans CJK SC"/>
        <family val="2"/>
      </rPr>
      <t xml:space="preserve">；宣布新設無表決權股（股票股利 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下旬交易），用途含募資、員工薪酬、併購；通話當時稱「目前無具體融資計畫」，其後 </t>
    </r>
    <r>
      <rPr>
        <sz val="11"/>
        <color theme="1"/>
        <rFont val="Calibri"/>
        <family val="2"/>
        <charset val="1"/>
      </rPr>
      <t xml:space="preserve">10-26 FWP </t>
    </r>
    <r>
      <rPr>
        <sz val="11"/>
        <color theme="1"/>
        <rFont val="Noto Sans CJK SC"/>
        <family val="2"/>
      </rPr>
      <t xml:space="preserve">即定價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）；通話日期逐字稿與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都未載；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簽署，附註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期後事項已載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月提交 </t>
    </r>
    <r>
      <rPr>
        <sz val="11"/>
        <color theme="1"/>
        <rFont val="Calibri"/>
        <family val="2"/>
        <charset val="1"/>
      </rPr>
      <t xml:space="preserve">Restated Charter </t>
    </r>
    <r>
      <rPr>
        <sz val="11"/>
        <color theme="1"/>
        <rFont val="Noto Sans CJK SC"/>
        <family val="2"/>
      </rPr>
      <t xml:space="preserve">新設 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並宣告 </t>
    </r>
    <r>
      <rPr>
        <sz val="11"/>
        <color theme="1"/>
        <rFont val="Calibri"/>
        <family val="2"/>
        <charset val="1"/>
      </rPr>
      <t xml:space="preserve">1:1 </t>
    </r>
    <r>
      <rPr>
        <sz val="11"/>
        <color theme="1"/>
        <rFont val="Noto Sans CJK SC"/>
        <family val="2"/>
      </rPr>
      <t xml:space="preserve">股票股利（生效日 </t>
    </r>
    <r>
      <rPr>
        <sz val="11"/>
        <color theme="1"/>
        <rFont val="Calibri"/>
        <family val="2"/>
        <charset val="1"/>
      </rPr>
      <t xml:space="preserve">2027-01-19</t>
    </r>
    <r>
      <rPr>
        <sz val="11"/>
        <color theme="1"/>
        <rFont val="Noto Sans CJK SC"/>
        <family val="2"/>
      </rPr>
      <t xml:space="preserve">），且未提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的遠期出售與特別股 → 新股類別宣布不晚於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，法說推定不晚於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資本支出指引待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</si>
  <si>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Susan Li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下載；逐字稿未載日期）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</si>
  <si>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/Transcript_META_3Q26.docx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</si>
  <si>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detail </t>
    </r>
    <r>
      <rPr>
        <sz val="11"/>
        <color theme="1"/>
        <rFont val="Noto Sans CJK SC"/>
        <family val="2"/>
      </rPr>
      <t xml:space="preserve">三處改寫；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留空</t>
    </r>
  </si>
  <si>
    <t xml:space="preserve">F#258</t>
  </si>
  <si>
    <r>
      <rPr>
        <sz val="11"/>
        <color theme="1"/>
        <rFont val="Noto Sans CJK SC"/>
        <family val="2"/>
      </rPr>
      <t xml:space="preserve">尚未起租租賃（承諾表合計，未折現；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2.590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2027 12.448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114.829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137.214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 → 9M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68.5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27.7</t>
    </r>
    <r>
      <rPr>
        <sz val="11"/>
        <color theme="1"/>
        <rFont val="Noto Sans CJK SC"/>
        <family val="2"/>
      </rPr>
      <t xml:space="preserve">；取代 </t>
    </r>
    <r>
      <rPr>
        <sz val="11"/>
        <color theme="1"/>
        <rFont val="Calibri"/>
        <family val="2"/>
        <charset val="1"/>
      </rPr>
      <t xml:space="preserve">F#77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9M2026 </t>
    </r>
    <r>
      <rPr>
        <sz val="11"/>
        <color theme="1"/>
        <rFont val="Noto Sans CJK SC"/>
        <family val="2"/>
      </rPr>
      <t xml:space="preserve">期末存量</t>
    </r>
  </si>
  <si>
    <r>
      <rPr>
        <sz val="11"/>
        <color theme="1"/>
        <rFont val="Calibri"/>
        <family val="2"/>
        <charset val="1"/>
      </rPr>
      <t xml:space="preserve">Amazon 2026Q3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</si>
  <si>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/10Q_AMZN_3Q26.pdf</t>
    </r>
  </si>
  <si>
    <t xml:space="preserve">F#259</t>
  </si>
  <si>
    <t xml:space="preserve">debt_detail</t>
  </si>
  <si>
    <r>
      <rPr>
        <sz val="11"/>
        <color theme="1"/>
        <rFont val="Noto Sans CJK SC"/>
        <family val="2"/>
      </rPr>
      <t xml:space="preserve">長期借款收入 </t>
    </r>
    <r>
      <rPr>
        <sz val="11"/>
        <color theme="1"/>
        <rFont val="Calibri"/>
        <family val="2"/>
        <charset val="1"/>
      </rPr>
      <t xml:space="preserve">115.1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F#253</t>
    </r>
    <r>
      <rPr>
        <sz val="11"/>
        <color theme="1"/>
        <rFont val="Noto Sans CJK SC"/>
        <family val="2"/>
      </rPr>
      <t xml:space="preserve">）的票據部分（附註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面額，外幣以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帳面）：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37.0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EUR 14.5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16.427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CHF 2.8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3.375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CAD 14.0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9.834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USD 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GBP 4.3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5.637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H1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66.636</t>
    </r>
    <r>
      <rPr>
        <sz val="11"/>
        <color theme="1"/>
        <rFont val="Noto Sans CJK SC"/>
        <family val="2"/>
      </rPr>
      <t xml:space="preserve">（現金流量表 </t>
    </r>
    <r>
      <rPr>
        <sz val="11"/>
        <color theme="1"/>
        <rFont val="Calibri"/>
        <family val="2"/>
        <charset val="1"/>
      </rPr>
      <t xml:space="preserve">H1 66.998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30.637</t>
    </r>
    <r>
      <rPr>
        <sz val="11"/>
        <color theme="1"/>
        <rFont val="Noto Sans CJK SC"/>
        <family val="2"/>
      </rPr>
      <t xml:space="preserve">；明細列，不入加總（已含於 </t>
    </r>
    <r>
      <rPr>
        <sz val="11"/>
        <color theme="1"/>
        <rFont val="Calibri"/>
        <family val="2"/>
        <charset val="1"/>
      </rPr>
      <t xml:space="preserve">F#253</t>
    </r>
    <r>
      <rPr>
        <sz val="11"/>
        <color theme="1"/>
        <rFont val="Noto Sans CJK SC"/>
        <family val="2"/>
      </rPr>
      <t xml:space="preserve">）</t>
    </r>
  </si>
  <si>
    <t xml:space="preserve">F#260</t>
  </si>
  <si>
    <r>
      <rPr>
        <sz val="11"/>
        <color theme="1"/>
        <rFont val="Noto Sans CJK SC"/>
        <family val="2"/>
      </rPr>
      <t xml:space="preserve">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月一次動用；</t>
    </r>
    <r>
      <rPr>
        <sz val="11"/>
        <color theme="1"/>
        <rFont val="Calibri"/>
        <family val="2"/>
        <charset val="1"/>
      </rPr>
      <t xml:space="preserve">2029-09 </t>
    </r>
    <r>
      <rPr>
        <sz val="11"/>
        <color theme="1"/>
        <rFont val="Noto Sans CJK SC"/>
        <family val="2"/>
      </rPr>
      <t xml:space="preserve">到期；</t>
    </r>
    <r>
      <rPr>
        <sz val="11"/>
        <color theme="1"/>
        <rFont val="Calibri"/>
        <family val="2"/>
        <charset val="1"/>
      </rPr>
      <t xml:space="preserve">SOFR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0.625%–0.875%</t>
    </r>
    <r>
      <rPr>
        <sz val="11"/>
        <color theme="1"/>
        <rFont val="Noto Sans CJK SC"/>
        <family val="2"/>
      </rPr>
      <t xml:space="preserve">；無擔保）；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長期借款收入 </t>
    </r>
    <r>
      <rPr>
        <sz val="11"/>
        <color theme="1"/>
        <rFont val="Calibri"/>
        <family val="2"/>
        <charset val="1"/>
      </rPr>
      <t xml:space="preserve">48.102 ≈ 7 </t>
    </r>
    <r>
      <rPr>
        <sz val="11"/>
        <color theme="1"/>
        <rFont val="Noto Sans CJK SC"/>
        <family val="2"/>
      </rPr>
      <t xml:space="preserve">月債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月英鎊債 </t>
    </r>
    <r>
      <rPr>
        <sz val="11"/>
        <color theme="1"/>
        <rFont val="Calibri"/>
        <family val="2"/>
        <charset val="1"/>
      </rPr>
      <t xml:space="preserve">5.637</t>
    </r>
    <r>
      <rPr>
        <sz val="11"/>
        <color theme="1"/>
        <rFont val="Noto Sans CJK SC"/>
        <family val="2"/>
      </rPr>
      <t xml:space="preserve">＋定期貸款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48.137</t>
    </r>
    <r>
      <rPr>
        <sz val="11"/>
        <color theme="1"/>
        <rFont val="Noto Sans CJK SC"/>
        <family val="2"/>
      </rPr>
      <t xml:space="preserve">）；明細列，不入加總（已含於 </t>
    </r>
    <r>
      <rPr>
        <sz val="11"/>
        <color theme="1"/>
        <rFont val="Calibri"/>
        <family val="2"/>
        <charset val="1"/>
      </rPr>
      <t xml:space="preserve">F#253</t>
    </r>
    <r>
      <rPr>
        <sz val="11"/>
        <color theme="1"/>
        <rFont val="Noto Sans CJK SC"/>
        <family val="2"/>
      </rPr>
      <t xml:space="preserve">）</t>
    </r>
  </si>
  <si>
    <t xml:space="preserve">F#261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</si>
  <si>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長期借款帳面（存量）＝長期 </t>
    </r>
    <r>
      <rPr>
        <sz val="11"/>
        <color theme="1"/>
        <rFont val="Calibri"/>
        <family val="2"/>
        <charset val="1"/>
      </rPr>
      <t xml:space="preserve">173.125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6.827</t>
    </r>
    <r>
      <rPr>
        <sz val="11"/>
        <color theme="1"/>
        <rFont val="Noto Sans CJK SC"/>
        <family val="2"/>
      </rPr>
      <t xml:space="preserve">；面額 </t>
    </r>
    <r>
      <rPr>
        <sz val="11"/>
        <color theme="1"/>
        <rFont val="Calibri"/>
        <family val="2"/>
        <charset val="1"/>
      </rPr>
      <t xml:space="preserve">180.887</t>
    </r>
    <r>
      <rPr>
        <sz val="11"/>
        <color theme="1"/>
        <rFont val="Noto Sans CJK SC"/>
        <family val="2"/>
      </rPr>
      <t xml:space="preserve">（票據 </t>
    </r>
    <r>
      <rPr>
        <sz val="11"/>
        <color theme="1"/>
        <rFont val="Calibri"/>
        <family val="2"/>
        <charset val="1"/>
      </rPr>
      <t xml:space="preserve">162.5</t>
    </r>
    <r>
      <rPr>
        <sz val="11"/>
        <color theme="1"/>
        <rFont val="Noto Sans CJK SC"/>
        <family val="2"/>
      </rPr>
      <t xml:space="preserve">＋定期貸款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）；另短期信用額度借款 </t>
    </r>
    <r>
      <rPr>
        <sz val="11"/>
        <color theme="1"/>
        <rFont val="Calibri"/>
        <family val="2"/>
        <charset val="1"/>
      </rPr>
      <t xml:space="preserve">0.380</t>
    </r>
    <r>
      <rPr>
        <sz val="11"/>
        <color theme="1"/>
        <rFont val="Noto Sans CJK SC"/>
        <family val="2"/>
      </rPr>
      <t xml:space="preserve">（列應計費用）、商業本票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、循環額度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；融資義務另列（</t>
    </r>
    <r>
      <rPr>
        <sz val="11"/>
        <color theme="1"/>
        <rFont val="Calibri"/>
        <family val="2"/>
        <charset val="1"/>
      </rPr>
      <t xml:space="preserve">F#265</t>
    </r>
    <r>
      <rPr>
        <sz val="11"/>
        <color theme="1"/>
        <rFont val="Noto Sans CJK SC"/>
        <family val="2"/>
      </rPr>
      <t xml:space="preserve">）</t>
    </r>
  </si>
  <si>
    <t xml:space="preserve">F#262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</si>
  <si>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年底長期借款帳面（存量）＝長期 </t>
    </r>
    <r>
      <rPr>
        <sz val="11"/>
        <color theme="1"/>
        <rFont val="Calibri"/>
        <family val="2"/>
        <charset val="1"/>
      </rPr>
      <t xml:space="preserve">65.648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2.748</t>
    </r>
    <r>
      <rPr>
        <sz val="11"/>
        <color theme="1"/>
        <rFont val="Noto Sans CJK SC"/>
        <family val="2"/>
      </rPr>
      <t xml:space="preserve">；面額 </t>
    </r>
    <r>
      <rPr>
        <sz val="11"/>
        <color theme="1"/>
        <rFont val="Calibri"/>
        <family val="2"/>
        <charset val="1"/>
      </rPr>
      <t xml:space="preserve">68.836</t>
    </r>
    <r>
      <rPr>
        <sz val="11"/>
        <color theme="1"/>
        <rFont val="Noto Sans CJK SC"/>
        <family val="2"/>
      </rPr>
      <t xml:space="preserve">；短期信用額度借款 </t>
    </r>
    <r>
      <rPr>
        <sz val="11"/>
        <color theme="1"/>
        <rFont val="Calibri"/>
        <family val="2"/>
        <charset val="1"/>
      </rPr>
      <t xml:space="preserve">0.455</t>
    </r>
    <r>
      <rPr>
        <sz val="11"/>
        <color theme="1"/>
        <rFont val="Noto Sans CJK SC"/>
        <family val="2"/>
      </rPr>
      <t xml:space="preserve">（期初存量）</t>
    </r>
  </si>
  <si>
    <t xml:space="preserve">F#263</t>
  </si>
  <si>
    <r>
      <rPr>
        <sz val="11"/>
        <color theme="1"/>
        <rFont val="Noto Sans CJK SC"/>
        <family val="2"/>
      </rPr>
      <t xml:space="preserve">長期借款面額 </t>
    </r>
    <r>
      <rPr>
        <sz val="11"/>
        <color theme="1"/>
        <rFont val="Calibri"/>
        <family val="2"/>
        <charset val="1"/>
      </rPr>
      <t xml:space="preserve">68.836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180.887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）；＝收入 </t>
    </r>
    <r>
      <rPr>
        <sz val="11"/>
        <color theme="1"/>
        <rFont val="Calibri"/>
        <family val="2"/>
        <charset val="1"/>
      </rPr>
      <t xml:space="preserve">115.1 − </t>
    </r>
    <r>
      <rPr>
        <sz val="11"/>
        <color theme="1"/>
        <rFont val="Noto Sans CJK SC"/>
        <family val="2"/>
      </rPr>
      <t xml:space="preserve">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年票據到期 </t>
    </r>
    <r>
      <rPr>
        <sz val="11"/>
        <color theme="1"/>
        <rFont val="Calibri"/>
        <family val="2"/>
        <charset val="1"/>
      </rPr>
      <t xml:space="preserve">2.75</t>
    </r>
    <r>
      <rPr>
        <sz val="11"/>
        <color theme="1"/>
        <rFont val="Noto Sans CJK SC"/>
        <family val="2"/>
      </rPr>
      <t xml:space="preserve">）＋匯率等；取代 </t>
    </r>
    <r>
      <rPr>
        <sz val="11"/>
        <color theme="1"/>
        <rFont val="Calibri"/>
        <family val="2"/>
        <charset val="1"/>
      </rPr>
      <t xml:space="preserve">F#76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 64.159</t>
    </r>
    <r>
      <rPr>
        <sz val="11"/>
        <color theme="1"/>
        <rFont val="Noto Sans CJK SC"/>
        <family val="2"/>
      </rPr>
      <t xml:space="preserve">，未採用）</t>
    </r>
  </si>
  <si>
    <t xml:space="preserve">F#264</t>
  </si>
  <si>
    <r>
      <rPr>
        <sz val="11"/>
        <color theme="1"/>
        <rFont val="Noto Sans CJK SC"/>
        <family val="2"/>
      </rPr>
      <t xml:space="preserve">融資租賃負債現值（存量；流動 </t>
    </r>
    <r>
      <rPr>
        <sz val="11"/>
        <color theme="1"/>
        <rFont val="Calibri"/>
        <family val="2"/>
        <charset val="1"/>
      </rPr>
      <t xml:space="preserve">1.866</t>
    </r>
    <r>
      <rPr>
        <sz val="11"/>
        <color theme="1"/>
        <rFont val="Noto Sans CJK SC"/>
        <family val="2"/>
      </rPr>
      <t xml:space="preserve">＋長期 </t>
    </r>
    <r>
      <rPr>
        <sz val="11"/>
        <color theme="1"/>
        <rFont val="Calibri"/>
        <family val="2"/>
        <charset val="1"/>
      </rPr>
      <t xml:space="preserve">12.629</t>
    </r>
    <r>
      <rPr>
        <sz val="11"/>
        <color theme="1"/>
        <rFont val="Noto Sans CJK SC"/>
        <family val="2"/>
      </rPr>
      <t xml:space="preserve">；未折現 </t>
    </r>
    <r>
      <rPr>
        <sz val="11"/>
        <color theme="1"/>
        <rFont val="Calibri"/>
        <family val="2"/>
        <charset val="1"/>
      </rPr>
      <t xml:space="preserve">17.955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12.286</t>
    </r>
  </si>
  <si>
    <t xml:space="preserve">F#265</t>
  </si>
  <si>
    <t xml:space="preserve">fin_obligation</t>
  </si>
  <si>
    <r>
      <rPr>
        <sz val="11"/>
        <color theme="1"/>
        <rFont val="Noto Sans CJK SC"/>
        <family val="2"/>
      </rPr>
      <t xml:space="preserve">融資義務（建置後租用，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；存量，不含利息）＝流動 </t>
    </r>
    <r>
      <rPr>
        <sz val="11"/>
        <color theme="1"/>
        <rFont val="Calibri"/>
        <family val="2"/>
        <charset val="1"/>
      </rPr>
      <t xml:space="preserve">0.426</t>
    </r>
    <r>
      <rPr>
        <sz val="11"/>
        <color theme="1"/>
        <rFont val="Noto Sans CJK SC"/>
        <family val="2"/>
      </rPr>
      <t xml:space="preserve">＋長期約 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0.358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8.158</t>
    </r>
    <r>
      <rPr>
        <sz val="11"/>
        <color theme="1"/>
        <rFont val="Noto Sans CJK SC"/>
        <family val="2"/>
      </rPr>
      <t xml:space="preserve">；含息未來支付 </t>
    </r>
    <r>
      <rPr>
        <sz val="11"/>
        <color theme="1"/>
        <rFont val="Calibri"/>
        <family val="2"/>
        <charset val="1"/>
      </rPr>
      <t xml:space="preserve">11.565</t>
    </r>
    <r>
      <rPr>
        <sz val="11"/>
        <color theme="1"/>
        <rFont val="Noto Sans CJK SC"/>
        <family val="2"/>
      </rPr>
      <t xml:space="preserve">；加權剩餘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年、隱含利率 </t>
    </r>
    <r>
      <rPr>
        <sz val="11"/>
        <color theme="1"/>
        <rFont val="Calibri"/>
        <family val="2"/>
        <charset val="1"/>
      </rPr>
      <t xml:space="preserve">3.4%</t>
    </r>
  </si>
  <si>
    <t xml:space="preserve">F#266</t>
  </si>
  <si>
    <r>
      <rPr>
        <sz val="11"/>
        <color theme="1"/>
        <rFont val="Noto Sans CJK SC"/>
        <family val="2"/>
      </rPr>
      <t xml:space="preserve">營業租賃負債現值（存量；流動 </t>
    </r>
    <r>
      <rPr>
        <sz val="11"/>
        <color theme="1"/>
        <rFont val="Calibri"/>
        <family val="2"/>
        <charset val="1"/>
      </rPr>
      <t xml:space="preserve">14.093</t>
    </r>
    <r>
      <rPr>
        <sz val="11"/>
        <color theme="1"/>
        <rFont val="Noto Sans CJK SC"/>
        <family val="2"/>
      </rPr>
      <t xml:space="preserve">＋長期 </t>
    </r>
    <r>
      <rPr>
        <sz val="11"/>
        <color theme="1"/>
        <rFont val="Calibri"/>
        <family val="2"/>
        <charset val="1"/>
      </rPr>
      <t xml:space="preserve">86.195</t>
    </r>
    <r>
      <rPr>
        <sz val="11"/>
        <color theme="1"/>
        <rFont val="Noto Sans CJK SC"/>
        <family val="2"/>
      </rPr>
      <t xml:space="preserve">；未折現 </t>
    </r>
    <r>
      <rPr>
        <sz val="11"/>
        <color theme="1"/>
        <rFont val="Calibri"/>
        <family val="2"/>
        <charset val="1"/>
      </rPr>
      <t xml:space="preserve">121.492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89.252</t>
    </r>
    <r>
      <rPr>
        <sz val="11"/>
        <color theme="1"/>
        <rFont val="Noto Sans CJK SC"/>
        <family val="2"/>
      </rPr>
      <t xml:space="preserve">；取代 </t>
    </r>
    <r>
      <rPr>
        <sz val="11"/>
        <color theme="1"/>
        <rFont val="Calibri"/>
        <family val="2"/>
        <charset val="1"/>
      </rPr>
      <t xml:space="preserve">F#78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96.32</t>
    </r>
    <r>
      <rPr>
        <sz val="11"/>
        <color theme="1"/>
        <rFont val="Noto Sans CJK SC"/>
        <family val="2"/>
      </rPr>
      <t xml:space="preserve">）</t>
    </r>
  </si>
  <si>
    <t xml:space="preserve">F#267</t>
  </si>
  <si>
    <t xml:space="preserve">supplier_fin_facility</t>
  </si>
  <si>
    <r>
      <rPr>
        <sz val="11"/>
        <color theme="1"/>
        <rFont val="Noto Sans CJK SC"/>
        <family val="2"/>
      </rPr>
      <t xml:space="preserve">供應商融資：技術基礎設施採購用有擔保貸款額度最多約 </t>
    </r>
    <r>
      <rPr>
        <sz val="11"/>
        <color theme="1"/>
        <rFont val="Calibri"/>
        <family val="2"/>
        <charset val="1"/>
      </rPr>
      <t xml:space="preserve">80.0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2027Q1–2028Q3 </t>
    </r>
    <r>
      <rPr>
        <sz val="11"/>
        <color theme="1"/>
        <rFont val="Noto Sans CJK SC"/>
        <family val="2"/>
      </rPr>
      <t xml:space="preserve">依採購訂單動用、浮動利率、每筆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年到期，動用後列長期借款；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未動用（額度，不是當期資金流）；另有技術基礎設施採購最長一年延後付款，列應付帳款，未揭露金額</t>
    </r>
  </si>
  <si>
    <t xml:space="preserve">F#268</t>
  </si>
  <si>
    <t xml:space="preserve">capex_unpaid_change</t>
  </si>
  <si>
    <r>
      <rPr>
        <sz val="11"/>
        <color theme="1"/>
        <rFont val="Noto Sans CJK SC"/>
        <family val="2"/>
      </rPr>
      <t xml:space="preserve">已取得未付款的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增加 </t>
    </r>
    <r>
      <rPr>
        <sz val="11"/>
        <color theme="1"/>
        <rFont val="Calibri"/>
        <family val="2"/>
        <charset val="1"/>
      </rPr>
      <t xml:space="preserve">21.473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0.853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26.779</t>
    </r>
    <r>
      <rPr>
        <sz val="11"/>
        <color theme="1"/>
        <rFont val="Noto Sans CJK SC"/>
        <family val="2"/>
      </rPr>
      <t xml:space="preserve">）；含技術基礎設施延後付款採購（列應付帳款），屬供應商信用；參考用，不入加總</t>
    </r>
  </si>
  <si>
    <t xml:space="preserve">F#269</t>
  </si>
  <si>
    <r>
      <rPr>
        <sz val="11"/>
        <color theme="1"/>
        <rFont val="Noto Sans CJK SC"/>
        <family val="2"/>
      </rPr>
      <t xml:space="preserve">不可取消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採購承諾 </t>
    </r>
    <r>
      <rPr>
        <sz val="11"/>
        <color theme="1"/>
        <rFont val="Calibri"/>
        <family val="2"/>
        <charset val="1"/>
      </rPr>
      <t xml:space="preserve">159.640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13.955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2027 63.900</t>
    </r>
    <r>
      <rPr>
        <sz val="11"/>
        <color theme="1"/>
        <rFont val="Noto Sans CJK SC"/>
        <family val="2"/>
      </rPr>
      <t xml:space="preserve">）；另無條件採購義務（能源、內容、軟體）</t>
    </r>
    <r>
      <rPr>
        <sz val="11"/>
        <color theme="1"/>
        <rFont val="Calibri"/>
        <family val="2"/>
        <charset val="1"/>
      </rPr>
      <t xml:space="preserve">94.759</t>
    </r>
    <r>
      <rPr>
        <sz val="11"/>
        <color theme="1"/>
        <rFont val="Noto Sans CJK SC"/>
        <family val="2"/>
      </rPr>
      <t xml:space="preserve">；承諾合計 </t>
    </r>
    <r>
      <rPr>
        <sz val="11"/>
        <color theme="1"/>
        <rFont val="Calibri"/>
        <family val="2"/>
        <charset val="1"/>
      </rPr>
      <t xml:space="preserve">883.581</t>
    </r>
    <r>
      <rPr>
        <sz val="11"/>
        <color theme="1"/>
        <rFont val="Noto Sans CJK SC"/>
        <family val="2"/>
      </rPr>
      <t xml:space="preserve">（含長債本息 </t>
    </r>
    <r>
      <rPr>
        <sz val="11"/>
        <color theme="1"/>
        <rFont val="Calibri"/>
        <family val="2"/>
        <charset val="1"/>
      </rPr>
      <t xml:space="preserve">294.254</t>
    </r>
    <r>
      <rPr>
        <sz val="11"/>
        <color theme="1"/>
        <rFont val="Noto Sans CJK SC"/>
        <family val="2"/>
      </rPr>
      <t xml:space="preserve">、尚未起租 </t>
    </r>
    <r>
      <rPr>
        <sz val="11"/>
        <color theme="1"/>
        <rFont val="Calibri"/>
        <family val="2"/>
        <charset val="1"/>
      </rPr>
      <t xml:space="preserve">164.922</t>
    </r>
    <r>
      <rPr>
        <sz val="11"/>
        <color theme="1"/>
        <rFont val="Noto Sans CJK SC"/>
        <family val="2"/>
      </rPr>
      <t xml:space="preserve">）；存量，不是融資</t>
    </r>
  </si>
  <si>
    <t xml:space="preserve">F#270</t>
  </si>
  <si>
    <r>
      <rPr>
        <sz val="11"/>
        <color theme="1"/>
        <rFont val="Noto Sans CJK SC"/>
        <family val="2"/>
      </rPr>
      <t xml:space="preserve">現金及約當現金 </t>
    </r>
    <r>
      <rPr>
        <sz val="11"/>
        <color theme="1"/>
        <rFont val="Calibri"/>
        <family val="2"/>
        <charset val="1"/>
      </rPr>
      <t xml:space="preserve">55.783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58.443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114.2</t>
    </r>
    <r>
      <rPr>
        <sz val="11"/>
        <color theme="1"/>
        <rFont val="Noto Sans CJK SC"/>
        <family val="2"/>
      </rPr>
      <t xml:space="preserve">）；其中外幣 </t>
    </r>
    <r>
      <rPr>
        <sz val="11"/>
        <color theme="1"/>
        <rFont val="Calibri"/>
        <family val="2"/>
        <charset val="1"/>
      </rPr>
      <t xml:space="preserve">16.5</t>
    </r>
    <r>
      <rPr>
        <sz val="11"/>
        <color theme="1"/>
        <rFont val="Noto Sans CJK SC"/>
        <family val="2"/>
      </rPr>
      <t xml:space="preserve">；受限現金等 </t>
    </r>
    <r>
      <rPr>
        <sz val="11"/>
        <color theme="1"/>
        <rFont val="Calibri"/>
        <family val="2"/>
        <charset val="1"/>
      </rPr>
      <t xml:space="preserve">2.9 </t>
    </r>
    <r>
      <rPr>
        <sz val="11"/>
        <color theme="1"/>
        <rFont val="Noto Sans CJK SC"/>
        <family val="2"/>
      </rPr>
      <t xml:space="preserve">另計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</si>
  <si>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段第五節更正（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）：值為兩數相加 → </t>
    </r>
    <r>
      <rPr>
        <sz val="11"/>
        <color theme="1"/>
        <rFont val="Calibri"/>
        <family val="2"/>
        <charset val="1"/>
      </rPr>
      <t xml:space="preserve">[Derived]</t>
    </r>
  </si>
  <si>
    <t xml:space="preserve">F#271</t>
  </si>
  <si>
    <r>
      <rPr>
        <sz val="11"/>
        <color theme="1"/>
        <rFont val="Noto Sans CJK SC"/>
        <family val="2"/>
      </rPr>
      <t xml:space="preserve">期初：現金及約當現金 </t>
    </r>
    <r>
      <rPr>
        <sz val="11"/>
        <color theme="1"/>
        <rFont val="Calibri"/>
        <family val="2"/>
        <charset val="1"/>
      </rPr>
      <t xml:space="preserve">86.810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36.219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123.0</t>
    </r>
    <r>
      <rPr>
        <sz val="11"/>
        <color theme="1"/>
        <rFont val="Noto Sans CJK SC"/>
        <family val="2"/>
      </rPr>
      <t xml:space="preserve">）</t>
    </r>
  </si>
  <si>
    <t xml:space="preserve">F#272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</si>
  <si>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債務帳面（存量）＝長期 </t>
    </r>
    <r>
      <rPr>
        <sz val="11"/>
        <color theme="1"/>
        <rFont val="Calibri"/>
        <family val="2"/>
        <charset val="1"/>
      </rPr>
      <t xml:space="preserve">80.922</t>
    </r>
    <r>
      <rPr>
        <sz val="11"/>
        <color theme="1"/>
        <rFont val="Noto Sans CJK SC"/>
        <family val="2"/>
      </rPr>
      <t xml:space="preserve">＋一年內到期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（列應計費用及其他流動負債；</t>
    </r>
    <r>
      <rPr>
        <sz val="11"/>
        <color theme="1"/>
        <rFont val="Calibri"/>
        <family val="2"/>
        <charset val="1"/>
      </rPr>
      <t xml:space="preserve">2027-08 </t>
    </r>
    <r>
      <rPr>
        <sz val="11"/>
        <color theme="1"/>
        <rFont val="Noto Sans CJK SC"/>
        <family val="2"/>
      </rPr>
      <t xml:space="preserve">到期 </t>
    </r>
    <r>
      <rPr>
        <sz val="11"/>
        <color theme="1"/>
        <rFont val="Calibri"/>
        <family val="2"/>
        <charset val="1"/>
      </rPr>
      <t xml:space="preserve">2.75</t>
    </r>
    <r>
      <rPr>
        <sz val="11"/>
        <color theme="1"/>
        <rFont val="Noto Sans CJK SC"/>
        <family val="2"/>
      </rPr>
      <t xml:space="preserve">）；面額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F#257</t>
    </r>
    <r>
      <rPr>
        <sz val="11"/>
        <color theme="1"/>
        <rFont val="Noto Sans CJK SC"/>
        <family val="2"/>
      </rPr>
      <t xml:space="preserve">）即此數；淨負債＝</t>
    </r>
    <r>
      <rPr>
        <sz val="11"/>
        <color theme="1"/>
        <rFont val="Calibri"/>
        <family val="2"/>
        <charset val="1"/>
      </rPr>
      <t xml:space="preserve">83.669 − </t>
    </r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82.449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1.220</t>
    </r>
  </si>
  <si>
    <r>
      <rPr>
        <sz val="11"/>
        <color theme="1"/>
        <rFont val="Calibri"/>
        <family val="2"/>
        <charset val="1"/>
      </rPr>
      <t xml:space="preserve">Meta 2026Q3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</si>
  <si>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/10Q_META_3Q26.pdf</t>
    </r>
  </si>
  <si>
    <t xml:space="preserve">F#273</t>
  </si>
  <si>
    <r>
      <rPr>
        <sz val="11"/>
        <color theme="1"/>
        <rFont val="Noto Sans CJK SC"/>
        <family val="2"/>
      </rPr>
      <t xml:space="preserve">期初債務帳面（存量）＝長期借款 </t>
    </r>
    <r>
      <rPr>
        <sz val="11"/>
        <color theme="1"/>
        <rFont val="Calibri"/>
        <family val="2"/>
        <charset val="1"/>
      </rPr>
      <t xml:space="preserve">58.744</t>
    </r>
    <r>
      <rPr>
        <sz val="11"/>
        <color theme="1"/>
        <rFont val="Noto Sans CJK SC"/>
        <family val="2"/>
      </rPr>
      <t xml:space="preserve">（一年內到期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；面額 </t>
    </r>
    <r>
      <rPr>
        <sz val="11"/>
        <color theme="1"/>
        <rFont val="Calibri"/>
        <family val="2"/>
        <charset val="1"/>
      </rPr>
      <t xml:space="preserve">59.0</t>
    </r>
    <r>
      <rPr>
        <sz val="11"/>
        <color theme="1"/>
        <rFont val="Noto Sans CJK SC"/>
        <family val="2"/>
      </rPr>
      <t xml:space="preserve">）</t>
    </r>
  </si>
  <si>
    <t xml:space="preserve">F#274</t>
  </si>
  <si>
    <r>
      <rPr>
        <sz val="11"/>
        <color theme="1"/>
        <rFont val="Noto Sans CJK SC"/>
        <family val="2"/>
      </rPr>
      <t xml:space="preserve">現金及約當現金 </t>
    </r>
    <r>
      <rPr>
        <sz val="11"/>
        <color theme="1"/>
        <rFont val="Calibri"/>
        <family val="2"/>
        <charset val="1"/>
      </rPr>
      <t xml:space="preserve">11.222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71.227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82.45</t>
    </r>
    <r>
      <rPr>
        <sz val="11"/>
        <color theme="1"/>
        <rFont val="Noto Sans CJK SC"/>
        <family val="2"/>
      </rPr>
      <t xml:space="preserve">）；另受限現金 </t>
    </r>
    <r>
      <rPr>
        <sz val="11"/>
        <color theme="1"/>
        <rFont val="Calibri"/>
        <family val="2"/>
        <charset val="1"/>
      </rPr>
      <t xml:space="preserve">13.132 </t>
    </r>
    <r>
      <rPr>
        <sz val="11"/>
        <color theme="1"/>
        <rFont val="Noto Sans CJK SC"/>
        <family val="2"/>
      </rPr>
      <t xml:space="preserve">不含在內（其中 </t>
    </r>
    <r>
      <rPr>
        <sz val="11"/>
        <color theme="1"/>
        <rFont val="Calibri"/>
        <family val="2"/>
        <charset val="1"/>
      </rPr>
      <t xml:space="preserve">10.80 </t>
    </r>
    <r>
      <rPr>
        <sz val="11"/>
        <color theme="1"/>
        <rFont val="Noto Sans CJK SC"/>
        <family val="2"/>
      </rPr>
      <t xml:space="preserve">貨幣基金因基礎設施採購託管改列受限，預計 </t>
    </r>
    <r>
      <rPr>
        <sz val="11"/>
        <color theme="1"/>
        <rFont val="Calibri"/>
        <family val="2"/>
        <charset val="1"/>
      </rPr>
      <t xml:space="preserve">2028–2030 </t>
    </r>
    <r>
      <rPr>
        <sz val="11"/>
        <color theme="1"/>
        <rFont val="Noto Sans CJK SC"/>
        <family val="2"/>
      </rPr>
      <t xml:space="preserve">釋出）</t>
    </r>
  </si>
  <si>
    <t xml:space="preserve">F#275</t>
  </si>
  <si>
    <r>
      <rPr>
        <sz val="11"/>
        <color theme="1"/>
        <rFont val="Noto Sans CJK SC"/>
        <family val="2"/>
      </rPr>
      <t xml:space="preserve">期初：現金及約當現金 </t>
    </r>
    <r>
      <rPr>
        <sz val="11"/>
        <color theme="1"/>
        <rFont val="Calibri"/>
        <family val="2"/>
        <charset val="1"/>
      </rPr>
      <t xml:space="preserve">35.873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45.719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</si>
  <si>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</si>
  <si>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</si>
  <si>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</si>
  <si>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</si>
  <si>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</si>
  <si>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</si>
  <si>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</si>
  <si>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</si>
  <si>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</si>
  <si>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</si>
  <si>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</si>
  <si>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</si>
  <si>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</si>
  <si>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</si>
  <si>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</si>
  <si>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</si>
  <si>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</si>
  <si>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</si>
  <si>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</si>
  <si>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</si>
  <si>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</si>
  <si>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</si>
  <si>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</si>
  <si>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</si>
  <si>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</si>
  <si>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</si>
  <si>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</si>
  <si>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</si>
  <si>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</si>
  <si>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</si>
  <si>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</si>
  <si>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</si>
  <si>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</si>
  <si>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</si>
  <si>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</si>
  <si>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</si>
  <si>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</si>
  <si>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</si>
  <si>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</si>
  <si>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</si>
  <si>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</si>
  <si>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</si>
  <si>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</si>
  <si>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</si>
  <si>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</si>
  <si>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</si>
  <si>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</si>
  <si>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</si>
  <si>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</si>
  <si>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</si>
  <si>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</si>
  <si>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</si>
  <si>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</si>
  <si>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</si>
  <si>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</si>
  <si>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</si>
  <si>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</si>
  <si>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</si>
  <si>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</si>
  <si>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</si>
  <si>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</si>
  <si>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</si>
  <si>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</si>
  <si>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</si>
  <si>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</si>
  <si>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</si>
  <si>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</si>
  <si>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</si>
  <si>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</si>
  <si>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</si>
  <si>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</si>
  <si>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</si>
  <si>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</si>
  <si>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</si>
  <si>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</si>
  <si>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</si>
  <si>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</si>
  <si>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</si>
  <si>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</si>
  <si>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</si>
  <si>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</si>
  <si>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</si>
  <si>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</si>
  <si>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</si>
  <si>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</si>
  <si>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</si>
  <si>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</si>
  <si>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</si>
  <si>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</si>
  <si>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</si>
  <si>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</si>
  <si>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</si>
  <si>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</si>
  <si>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</si>
  <si>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</si>
  <si>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</si>
  <si>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</si>
  <si>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</si>
  <si>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</si>
  <si>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</si>
  <si>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</si>
  <si>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</si>
  <si>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</si>
  <si>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</si>
  <si>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</si>
  <si>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</si>
  <si>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</si>
  <si>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</si>
  <si>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</si>
  <si>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</si>
  <si>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</si>
  <si>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</si>
  <si>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</si>
  <si>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</si>
  <si>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</si>
  <si>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</si>
  <si>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</si>
  <si>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</si>
  <si>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</si>
  <si>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</si>
  <si>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</si>
  <si>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</si>
  <si>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</si>
  <si>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</si>
  <si>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</si>
  <si>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</si>
  <si>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</si>
  <si>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</si>
  <si>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</si>
  <si>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v0.10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</si>
  <si>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</si>
  <si>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</si>
  <si>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</si>
  <si>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</si>
  <si>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</si>
  <si>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</si>
  <si>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</si>
  <si>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t xml:space="preserve">WIF_Coverage_Power</t>
  </si>
  <si>
    <r>
      <rPr>
        <sz val="11"/>
        <color theme="1"/>
        <rFont val="Noto Sans CJK SC"/>
        <family val="2"/>
      </rPr>
      <t xml:space="preserve">覆蓋率（含電力證據路徑；只作參考，</t>
    </r>
    <r>
      <rPr>
        <sz val="11"/>
        <color theme="1"/>
        <rFont val="Calibri"/>
        <family val="2"/>
        <charset val="1"/>
      </rPr>
      <t xml:space="preserve">Checks </t>
    </r>
    <r>
      <rPr>
        <sz val="11"/>
        <color theme="1"/>
        <rFont val="Noto Sans CJK SC"/>
        <family val="2"/>
      </rPr>
      <t xml:space="preserve">不以此判定）</t>
    </r>
  </si>
  <si>
    <t xml:space="preserve">Deploy!E107:M107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</si>
  <si>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</si>
  <si>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</si>
  <si>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</si>
  <si>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</si>
  <si>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</si>
  <si>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</si>
  <si>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</si>
  <si>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</si>
  <si>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</si>
  <si>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</si>
  <si>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</si>
  <si>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</si>
  <si>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</si>
  <si>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</si>
  <si>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</si>
  <si>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</si>
  <si>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</si>
  <si>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</si>
  <si>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</si>
  <si>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</si>
  <si>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</si>
  <si>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</si>
  <si>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</si>
  <si>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</si>
  <si>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</si>
  <si>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</si>
  <si>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</si>
  <si>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</si>
  <si>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</si>
  <si>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</si>
  <si>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</si>
  <si>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</si>
  <si>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</si>
  <si>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</si>
  <si>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</si>
  <si>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</si>
  <si>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</si>
  <si>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</si>
  <si>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</si>
  <si>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</si>
  <si>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</si>
  <si>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</si>
  <si>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</si>
  <si>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</si>
  <si>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</si>
  <si>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</si>
  <si>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</si>
  <si>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</si>
  <si>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</si>
  <si>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</si>
  <si>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</si>
  <si>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</si>
  <si>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</si>
  <si>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</si>
  <si>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</si>
  <si>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</si>
  <si>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</si>
  <si>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</si>
  <si>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</si>
  <si>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</si>
  <si>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</si>
  <si>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</si>
  <si>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</si>
  <si>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</si>
  <si>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</si>
  <si>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</si>
  <si>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</si>
  <si>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</si>
  <si>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</si>
  <si>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</si>
  <si>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</si>
  <si>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</si>
  <si>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</si>
  <si>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</si>
  <si>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</si>
  <si>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</si>
  <si>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</si>
  <si>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</si>
  <si>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</si>
  <si>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</si>
  <si>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</si>
  <si>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</si>
  <si>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</si>
  <si>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</si>
  <si>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</si>
  <si>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</si>
  <si>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</si>
  <si>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</si>
  <si>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</si>
  <si>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</si>
  <si>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</si>
  <si>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</si>
  <si>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</si>
  <si>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</si>
  <si>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</si>
  <si>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</si>
  <si>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</si>
  <si>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</si>
  <si>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</si>
  <si>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</si>
  <si>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</si>
  <si>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</si>
  <si>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</si>
  <si>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</si>
  <si>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</si>
  <si>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</si>
  <si>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</si>
  <si>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</si>
  <si>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</si>
  <si>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</si>
  <si>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</si>
  <si>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</si>
  <si>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</si>
  <si>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</si>
  <si>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</si>
  <si>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</si>
  <si>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</si>
  <si>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</si>
  <si>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</si>
  <si>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</si>
  <si>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</si>
  <si>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</si>
  <si>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</si>
  <si>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</si>
  <si>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</si>
  <si>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</si>
  <si>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</si>
  <si>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</si>
  <si>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</si>
  <si>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</si>
  <si>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</si>
  <si>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</si>
  <si>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</si>
  <si>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</si>
  <si>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</si>
  <si>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</si>
  <si>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</si>
  <si>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</si>
  <si>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</si>
  <si>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</si>
  <si>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</si>
  <si>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</si>
  <si>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</si>
  <si>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</si>
  <si>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</si>
  <si>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</si>
  <si>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</si>
  <si>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</si>
  <si>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</si>
  <si>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</si>
  <si>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</si>
  <si>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</si>
  <si>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</si>
  <si>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</si>
  <si>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</si>
  <si>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</si>
  <si>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</si>
  <si>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</si>
  <si>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</si>
  <si>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</si>
  <si>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</si>
  <si>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</si>
  <si>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</si>
  <si>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</si>
  <si>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</si>
  <si>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</si>
  <si>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</si>
  <si>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</si>
  <si>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</si>
  <si>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</si>
  <si>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</si>
  <si>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</si>
  <si>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</si>
  <si>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</si>
  <si>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</si>
  <si>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</si>
  <si>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</si>
  <si>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</si>
  <si>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</si>
  <si>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</si>
  <si>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</si>
  <si>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</si>
  <si>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</si>
  <si>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</si>
  <si>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</si>
  <si>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</si>
  <si>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</si>
  <si>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</si>
  <si>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</si>
  <si>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</si>
  <si>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</si>
  <si>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</si>
  <si>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</si>
  <si>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</si>
  <si>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</si>
  <si>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</si>
  <si>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</si>
  <si>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</si>
  <si>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</si>
  <si>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</si>
  <si>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</si>
  <si>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</si>
  <si>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</si>
  <si>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</si>
  <si>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</si>
  <si>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</si>
  <si>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</si>
  <si>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</si>
  <si>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</si>
  <si>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</si>
  <si>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</si>
  <si>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</si>
  <si>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</si>
  <si>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</si>
  <si>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</si>
  <si>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</si>
  <si>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</si>
  <si>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</si>
  <si>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</si>
  <si>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</si>
  <si>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</si>
  <si>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</si>
  <si>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</si>
  <si>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</si>
  <si>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</si>
  <si>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</si>
  <si>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</si>
  <si>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</si>
  <si>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</si>
  <si>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</si>
  <si>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</si>
  <si>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</si>
  <si>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</si>
  <si>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</si>
  <si>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</si>
  <si>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</si>
  <si>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</si>
  <si>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</si>
  <si>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</si>
  <si>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</si>
  <si>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</si>
  <si>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</si>
  <si>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</si>
  <si>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</si>
  <si>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</si>
  <si>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</si>
  <si>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</si>
  <si>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</si>
  <si>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</si>
  <si>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</si>
  <si>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</si>
  <si>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</si>
  <si>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</si>
  <si>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</si>
  <si>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</si>
  <si>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</si>
  <si>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</si>
  <si>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</si>
  <si>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</si>
  <si>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</si>
  <si>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</si>
  <si>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</si>
  <si>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</si>
  <si>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</si>
  <si>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</si>
  <si>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</si>
  <si>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</si>
  <si>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</si>
  <si>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</si>
  <si>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</si>
  <si>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</si>
  <si>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</si>
  <si>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</si>
  <si>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</si>
  <si>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</si>
  <si>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</si>
  <si>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</si>
  <si>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</si>
  <si>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</si>
  <si>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</si>
  <si>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</si>
  <si>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</si>
  <si>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</si>
  <si>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</si>
  <si>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</si>
  <si>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</si>
  <si>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</si>
  <si>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</si>
  <si>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</si>
  <si>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</si>
  <si>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</si>
  <si>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</si>
  <si>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</si>
  <si>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</si>
  <si>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</si>
  <si>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</si>
  <si>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</si>
  <si>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</si>
  <si>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</si>
  <si>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</si>
  <si>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</si>
  <si>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</si>
  <si>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</si>
  <si>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</si>
  <si>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</si>
  <si>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</si>
  <si>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</si>
  <si>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</si>
  <si>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</si>
  <si>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</si>
  <si>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</si>
  <si>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</si>
  <si>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</si>
  <si>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</si>
  <si>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</si>
  <si>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</si>
  <si>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</si>
  <si>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</si>
  <si>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</si>
  <si>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</si>
  <si>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</si>
  <si>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</si>
  <si>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</si>
  <si>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</si>
  <si>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</si>
  <si>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</si>
  <si>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</si>
  <si>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</si>
  <si>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</si>
  <si>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</si>
  <si>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</si>
  <si>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</si>
  <si>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</si>
  <si>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</si>
  <si>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</si>
  <si>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</si>
  <si>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</si>
  <si>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</si>
  <si>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</si>
  <si>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</si>
  <si>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</si>
  <si>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</si>
  <si>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</si>
  <si>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</si>
  <si>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</si>
  <si>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</si>
  <si>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</si>
  <si>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</si>
  <si>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</si>
  <si>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</si>
  <si>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</si>
  <si>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</si>
  <si>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</si>
  <si>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</si>
  <si>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</si>
  <si>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</si>
  <si>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</si>
  <si>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</si>
  <si>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</si>
  <si>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</si>
  <si>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</si>
  <si>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</si>
  <si>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</si>
  <si>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</si>
  <si>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</si>
  <si>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</si>
  <si>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</si>
  <si>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</si>
  <si>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</si>
  <si>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</si>
  <si>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</si>
  <si>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</si>
  <si>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</si>
  <si>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</si>
  <si>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</si>
  <si>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</si>
  <si>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</si>
  <si>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</si>
  <si>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</si>
  <si>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</si>
  <si>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</si>
  <si>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</si>
  <si>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</si>
  <si>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</si>
  <si>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</si>
  <si>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</si>
  <si>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</si>
  <si>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</si>
  <si>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</si>
  <si>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</si>
  <si>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</si>
  <si>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</si>
  <si>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</si>
  <si>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</si>
  <si>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</si>
  <si>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</si>
  <si>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</si>
  <si>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</si>
  <si>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</si>
  <si>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</si>
  <si>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</si>
  <si>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</si>
  <si>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</si>
  <si>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</si>
  <si>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</si>
  <si>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</si>
  <si>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</si>
  <si>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</si>
  <si>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</si>
  <si>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</si>
  <si>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</si>
  <si>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</si>
  <si>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</si>
  <si>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</si>
  <si>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</si>
  <si>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</si>
  <si>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</si>
  <si>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</si>
  <si>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</si>
  <si>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</si>
  <si>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</si>
  <si>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</si>
  <si>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</si>
  <si>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</si>
  <si>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</si>
  <si>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</si>
  <si>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</si>
  <si>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</si>
  <si>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</si>
  <si>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</si>
  <si>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</si>
  <si>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</si>
  <si>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</si>
  <si>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</si>
  <si>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</si>
  <si>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</si>
  <si>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</si>
  <si>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</si>
  <si>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</si>
  <si>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</si>
  <si>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</si>
  <si>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</si>
  <si>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</si>
  <si>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</si>
  <si>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</si>
  <si>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</si>
  <si>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</si>
  <si>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</si>
  <si>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</si>
  <si>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</si>
  <si>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</si>
  <si>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</si>
  <si>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</si>
  <si>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</si>
  <si>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</si>
  <si>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</si>
  <si>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</si>
  <si>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</si>
  <si>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</si>
  <si>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</si>
  <si>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</si>
  <si>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</si>
  <si>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</si>
  <si>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</si>
  <si>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</si>
  <si>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</si>
  <si>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</si>
  <si>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</si>
  <si>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</si>
  <si>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</si>
  <si>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</si>
  <si>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</si>
  <si>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</si>
  <si>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</si>
  <si>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</si>
  <si>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</si>
  <si>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</si>
  <si>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</si>
  <si>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</si>
  <si>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</si>
  <si>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</si>
  <si>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</si>
  <si>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</si>
  <si>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</si>
  <si>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</si>
  <si>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</si>
  <si>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</si>
  <si>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</si>
  <si>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</si>
  <si>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</si>
  <si>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</si>
  <si>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</si>
  <si>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</si>
  <si>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</si>
  <si>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</si>
  <si>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</si>
  <si>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</si>
  <si>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</si>
  <si>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</si>
  <si>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</si>
  <si>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</si>
  <si>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</si>
  <si>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</si>
  <si>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</si>
  <si>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</si>
  <si>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</si>
  <si>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</si>
  <si>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</si>
  <si>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</si>
  <si>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</si>
  <si>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</si>
  <si>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</si>
  <si>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</si>
  <si>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</si>
  <si>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</si>
  <si>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</si>
  <si>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</si>
  <si>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</si>
  <si>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</si>
  <si>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</si>
  <si>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</si>
  <si>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</si>
  <si>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</si>
  <si>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</si>
  <si>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</si>
  <si>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</si>
  <si>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</si>
  <si>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</si>
  <si>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</si>
  <si>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</si>
  <si>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</si>
  <si>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</si>
  <si>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</si>
  <si>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</si>
  <si>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</si>
  <si>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</si>
  <si>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</si>
  <si>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</si>
  <si>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</si>
  <si>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</si>
  <si>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</si>
  <si>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</si>
  <si>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</si>
  <si>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</si>
  <si>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</si>
  <si>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</si>
  <si>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</si>
  <si>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</si>
  <si>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</si>
  <si>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</si>
  <si>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</si>
  <si>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</si>
  <si>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</si>
  <si>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</si>
  <si>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</si>
  <si>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</si>
  <si>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</si>
  <si>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</si>
  <si>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</si>
  <si>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</si>
  <si>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</si>
  <si>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</si>
  <si>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</si>
  <si>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</si>
  <si>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</si>
  <si>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</si>
  <si>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</si>
  <si>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</si>
  <si>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</si>
  <si>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</si>
  <si>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</si>
  <si>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</si>
  <si>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</si>
  <si>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</si>
  <si>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</si>
  <si>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</si>
  <si>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</si>
  <si>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</si>
  <si>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</si>
  <si>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</si>
  <si>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</si>
  <si>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</si>
  <si>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</si>
  <si>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</si>
  <si>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</si>
  <si>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</si>
  <si>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</si>
  <si>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</si>
  <si>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</si>
  <si>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</si>
  <si>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</si>
  <si>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</si>
  <si>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</si>
  <si>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</si>
  <si>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</si>
  <si>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</si>
  <si>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</si>
  <si>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</si>
  <si>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</si>
  <si>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</si>
  <si>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</si>
  <si>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</si>
  <si>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</si>
  <si>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</si>
  <si>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</si>
  <si>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</si>
  <si>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</si>
  <si>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</si>
  <si>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</si>
  <si>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</si>
  <si>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</si>
  <si>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</si>
  <si>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</si>
  <si>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</si>
  <si>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</si>
  <si>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</si>
  <si>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</si>
  <si>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</si>
  <si>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</si>
  <si>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</si>
  <si>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</si>
  <si>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</si>
  <si>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</si>
  <si>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</si>
  <si>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</si>
  <si>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</si>
  <si>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</si>
  <si>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</si>
  <si>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</si>
  <si>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</si>
  <si>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</si>
  <si>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</si>
  <si>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</si>
  <si>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</si>
  <si>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</si>
  <si>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</si>
  <si>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</si>
  <si>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</si>
  <si>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</si>
  <si>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</si>
  <si>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</si>
  <si>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</si>
  <si>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</si>
  <si>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</si>
  <si>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</si>
  <si>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</si>
  <si>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</si>
  <si>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</si>
  <si>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</si>
  <si>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</si>
  <si>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</si>
  <si>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</si>
  <si>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</si>
  <si>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</si>
  <si>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</si>
  <si>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</si>
  <si>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</si>
  <si>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</si>
  <si>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</si>
  <si>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</si>
  <si>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</si>
  <si>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</si>
  <si>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</si>
  <si>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</si>
  <si>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</si>
  <si>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</si>
  <si>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</si>
  <si>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</si>
  <si>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</si>
  <si>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</si>
  <si>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</si>
  <si>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</si>
  <si>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</si>
  <si>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</si>
  <si>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</si>
  <si>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</si>
  <si>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</si>
  <si>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</si>
  <si>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</si>
  <si>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</si>
  <si>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</si>
  <si>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</si>
  <si>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</si>
  <si>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</si>
  <si>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</si>
  <si>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</si>
  <si>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</si>
  <si>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</si>
  <si>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</si>
  <si>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</si>
  <si>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</si>
  <si>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</si>
  <si>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</si>
  <si>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</si>
  <si>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</si>
  <si>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</si>
  <si>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</si>
  <si>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</si>
  <si>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</si>
  <si>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</si>
  <si>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</si>
  <si>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</si>
  <si>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</si>
  <si>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</si>
  <si>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</si>
  <si>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</si>
  <si>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</si>
  <si>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</si>
  <si>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</si>
  <si>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</si>
  <si>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</si>
  <si>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</si>
  <si>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</si>
  <si>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</si>
  <si>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</si>
  <si>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</si>
  <si>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</si>
  <si>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</si>
  <si>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</si>
  <si>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</si>
  <si>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</si>
  <si>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</si>
  <si>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</si>
  <si>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</si>
  <si>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</si>
  <si>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</si>
  <si>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</si>
  <si>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</si>
  <si>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</si>
  <si>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</si>
  <si>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</si>
  <si>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</si>
  <si>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</si>
  <si>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</si>
  <si>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</si>
  <si>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</si>
  <si>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</si>
  <si>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</si>
  <si>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</si>
  <si>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</si>
  <si>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</si>
  <si>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</si>
  <si>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</si>
  <si>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</si>
  <si>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</si>
  <si>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</si>
  <si>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</si>
  <si>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</si>
  <si>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</si>
  <si>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</si>
  <si>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</si>
  <si>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</si>
  <si>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</si>
  <si>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</si>
  <si>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</si>
  <si>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</si>
  <si>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</si>
  <si>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</si>
  <si>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</si>
  <si>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</si>
  <si>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</si>
  <si>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</si>
  <si>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</si>
  <si>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</si>
  <si>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</si>
  <si>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</si>
  <si>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</si>
  <si>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</si>
  <si>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</si>
  <si>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</si>
  <si>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</si>
  <si>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</si>
  <si>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</si>
  <si>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</si>
  <si>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</si>
  <si>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</si>
  <si>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</si>
  <si>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</si>
  <si>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</si>
  <si>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</si>
  <si>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</si>
  <si>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</si>
  <si>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</si>
  <si>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</si>
  <si>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</si>
  <si>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</si>
  <si>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</si>
  <si>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</si>
  <si>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</si>
  <si>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</si>
  <si>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</si>
  <si>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</si>
  <si>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</si>
  <si>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</si>
  <si>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</si>
  <si>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</si>
  <si>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</si>
  <si>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</si>
  <si>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</si>
  <si>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</si>
  <si>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</si>
  <si>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</si>
  <si>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</si>
  <si>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</si>
  <si>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</si>
  <si>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</si>
  <si>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</si>
  <si>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</si>
  <si>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</si>
  <si>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</si>
  <si>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</si>
  <si>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</si>
  <si>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</si>
  <si>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</si>
  <si>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</si>
  <si>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</si>
  <si>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</si>
  <si>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</si>
  <si>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</si>
  <si>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</si>
  <si>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</si>
  <si>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</si>
  <si>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</si>
  <si>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</si>
  <si>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</si>
  <si>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</si>
  <si>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</si>
  <si>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</si>
  <si>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</si>
  <si>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</si>
  <si>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</si>
  <si>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</si>
  <si>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</si>
  <si>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</si>
  <si>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</si>
  <si>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</si>
  <si>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</si>
  <si>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</si>
  <si>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</si>
  <si>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</si>
  <si>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</si>
  <si>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</si>
  <si>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</si>
  <si>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</si>
  <si>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</si>
  <si>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</si>
  <si>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</si>
  <si>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</si>
  <si>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</si>
  <si>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</si>
  <si>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</si>
  <si>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</si>
  <si>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</si>
  <si>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</si>
  <si>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</si>
  <si>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</si>
  <si>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</si>
  <si>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</si>
  <si>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</si>
  <si>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</si>
  <si>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</si>
  <si>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</si>
  <si>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</si>
  <si>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</si>
  <si>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</si>
  <si>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</si>
  <si>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</si>
  <si>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</si>
  <si>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</si>
  <si>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</si>
  <si>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</si>
  <si>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</si>
  <si>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</si>
  <si>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</si>
  <si>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</si>
  <si>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</si>
  <si>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</si>
  <si>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</si>
  <si>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</si>
  <si>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</si>
  <si>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</si>
  <si>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</si>
  <si>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</si>
  <si>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</si>
  <si>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</si>
  <si>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</si>
  <si>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</si>
  <si>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</si>
  <si>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</si>
  <si>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</si>
  <si>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</si>
  <si>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</si>
  <si>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</si>
  <si>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</si>
  <si>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</si>
  <si>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</si>
  <si>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</si>
  <si>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</si>
  <si>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</si>
  <si>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</si>
  <si>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</si>
  <si>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</si>
  <si>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</si>
  <si>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</si>
  <si>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</si>
  <si>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</si>
  <si>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</si>
  <si>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</si>
  <si>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</si>
  <si>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</si>
  <si>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</si>
  <si>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</si>
  <si>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</si>
  <si>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</si>
  <si>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</si>
  <si>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</si>
  <si>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</si>
  <si>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</si>
  <si>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</si>
  <si>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</si>
  <si>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</si>
  <si>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</si>
  <si>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</si>
  <si>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</si>
  <si>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</si>
  <si>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</si>
  <si>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</si>
  <si>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</si>
  <si>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</si>
  <si>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</si>
  <si>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</si>
  <si>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</si>
  <si>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</si>
  <si>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</si>
  <si>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</si>
  <si>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</si>
  <si>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</si>
  <si>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</si>
  <si>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</si>
  <si>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</si>
  <si>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</si>
  <si>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</si>
  <si>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</si>
  <si>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</si>
  <si>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</si>
  <si>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</si>
  <si>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</si>
  <si>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</si>
  <si>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</si>
  <si>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</si>
  <si>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</si>
  <si>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</si>
  <si>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</si>
  <si>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</si>
  <si>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</si>
  <si>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</si>
  <si>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</si>
  <si>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</si>
  <si>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</si>
  <si>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</si>
  <si>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</si>
  <si>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</si>
  <si>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</si>
  <si>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</si>
  <si>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</si>
  <si>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</si>
  <si>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</si>
  <si>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</si>
  <si>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</si>
  <si>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</si>
  <si>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</si>
  <si>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</si>
  <si>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</si>
  <si>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</si>
  <si>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</si>
  <si>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</si>
  <si>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</si>
  <si>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</si>
  <si>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</si>
  <si>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</si>
  <si>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</si>
  <si>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</si>
  <si>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</si>
  <si>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</si>
  <si>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</si>
  <si>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</si>
  <si>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</si>
  <si>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</si>
  <si>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</si>
  <si>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</si>
  <si>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</si>
  <si>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</si>
  <si>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</si>
  <si>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</si>
  <si>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</si>
  <si>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</si>
  <si>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</si>
  <si>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</si>
  <si>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</si>
  <si>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</si>
  <si>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</si>
  <si>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</si>
  <si>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</si>
  <si>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</si>
  <si>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</si>
  <si>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</si>
  <si>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</si>
  <si>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</si>
  <si>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</si>
  <si>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</si>
  <si>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</si>
  <si>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</si>
  <si>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</si>
  <si>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</si>
  <si>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</si>
  <si>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</si>
  <si>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</si>
  <si>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</si>
  <si>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</si>
  <si>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</si>
  <si>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</si>
  <si>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</si>
  <si>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</si>
  <si>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</si>
  <si>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</si>
  <si>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</si>
  <si>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</si>
  <si>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</si>
  <si>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</si>
  <si>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</si>
  <si>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</si>
  <si>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</si>
  <si>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</si>
  <si>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</si>
  <si>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</si>
  <si>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</si>
  <si>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</si>
  <si>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</si>
  <si>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</si>
  <si>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</si>
  <si>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</si>
  <si>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</si>
  <si>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</si>
  <si>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</si>
  <si>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</si>
  <si>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</si>
  <si>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</si>
  <si>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</si>
  <si>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</si>
  <si>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</si>
  <si>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</si>
  <si>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</si>
  <si>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</si>
  <si>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</si>
  <si>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</si>
  <si>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</si>
  <si>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</si>
  <si>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</si>
  <si>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</si>
  <si>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</si>
  <si>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</si>
  <si>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</si>
  <si>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</si>
  <si>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</si>
  <si>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</si>
  <si>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</si>
  <si>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</si>
  <si>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</si>
  <si>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</si>
  <si>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</si>
  <si>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</si>
  <si>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</si>
  <si>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</si>
  <si>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</si>
  <si>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</si>
  <si>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</si>
  <si>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</si>
  <si>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</si>
  <si>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</si>
  <si>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</si>
  <si>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</si>
  <si>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</si>
  <si>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</si>
  <si>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</si>
  <si>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</si>
  <si>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</si>
  <si>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</si>
  <si>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</si>
  <si>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</si>
  <si>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</si>
  <si>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</si>
  <si>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</si>
  <si>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</si>
  <si>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</si>
  <si>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</si>
  <si>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</si>
  <si>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</si>
  <si>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</si>
  <si>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</si>
  <si>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</si>
  <si>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</si>
  <si>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</si>
  <si>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</si>
  <si>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</si>
  <si>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</si>
  <si>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</si>
  <si>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</si>
  <si>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</si>
  <si>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</si>
  <si>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</si>
  <si>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</si>
  <si>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</si>
  <si>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</si>
  <si>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</si>
  <si>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</si>
  <si>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</si>
  <si>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</si>
  <si>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</si>
  <si>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</si>
  <si>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</si>
  <si>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</si>
  <si>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</si>
  <si>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</si>
  <si>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</si>
  <si>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</si>
  <si>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</si>
  <si>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</si>
  <si>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</si>
  <si>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</si>
  <si>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</si>
  <si>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</si>
  <si>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</si>
  <si>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</si>
  <si>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</si>
  <si>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</si>
  <si>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</si>
  <si>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</si>
  <si>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</si>
  <si>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</si>
  <si>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</si>
  <si>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</si>
  <si>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</si>
  <si>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</si>
  <si>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</si>
  <si>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</si>
  <si>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</si>
  <si>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</si>
  <si>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</si>
  <si>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</si>
  <si>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</si>
  <si>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</si>
  <si>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</si>
  <si>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</si>
  <si>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</si>
  <si>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</si>
  <si>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</si>
  <si>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</si>
  <si>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</si>
  <si>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</si>
  <si>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</si>
  <si>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</si>
  <si>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</si>
  <si>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</si>
  <si>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</si>
  <si>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</si>
  <si>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</si>
  <si>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</si>
  <si>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</si>
  <si>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</si>
  <si>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</si>
  <si>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</si>
  <si>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</si>
  <si>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</si>
  <si>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</si>
  <si>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</si>
  <si>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</si>
  <si>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</si>
  <si>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</si>
  <si>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</si>
  <si>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</si>
  <si>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</si>
  <si>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</si>
  <si>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</si>
  <si>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</si>
  <si>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</si>
  <si>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</si>
  <si>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</si>
  <si>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</si>
  <si>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</si>
  <si>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</si>
  <si>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</si>
  <si>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</si>
  <si>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</si>
  <si>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</si>
  <si>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</si>
  <si>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</si>
  <si>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</si>
  <si>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</si>
  <si>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</si>
  <si>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</si>
  <si>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</si>
  <si>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</si>
  <si>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</si>
  <si>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</si>
  <si>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</si>
  <si>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</si>
  <si>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</si>
  <si>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</si>
  <si>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</si>
  <si>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</si>
  <si>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</si>
  <si>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</si>
  <si>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</si>
  <si>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</si>
  <si>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</si>
  <si>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</si>
  <si>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</si>
  <si>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</si>
  <si>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</si>
  <si>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</si>
  <si>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</si>
  <si>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</si>
  <si>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</si>
  <si>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</si>
  <si>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</si>
  <si>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</si>
  <si>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</si>
  <si>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</si>
  <si>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</si>
  <si>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</si>
  <si>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</si>
  <si>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</si>
  <si>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</si>
  <si>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</si>
  <si>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</si>
  <si>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</si>
  <si>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</si>
  <si>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</si>
  <si>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</si>
  <si>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</si>
  <si>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</si>
  <si>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</si>
  <si>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</si>
  <si>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</si>
  <si>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</si>
  <si>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</si>
  <si>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</si>
  <si>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</si>
  <si>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</si>
  <si>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</si>
  <si>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</si>
  <si>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</si>
  <si>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</si>
  <si>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</si>
  <si>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</si>
  <si>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</si>
  <si>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</si>
  <si>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</si>
  <si>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</si>
  <si>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</si>
  <si>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</si>
  <si>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</si>
  <si>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</si>
  <si>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</si>
  <si>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</si>
  <si>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b val="true"/>
        <sz val="11"/>
        <rFont val="Cambria"/>
        <family val="0"/>
        <charset val="1"/>
      </rPr>
      <t xml:space="preserve">G. Gap</t>
    </r>
    <r>
      <rPr>
        <b val="true"/>
        <sz val="11"/>
        <rFont val="Noto Sans CJK SC"/>
        <family val="2"/>
      </rPr>
      <t xml:space="preserve">：資金缺口（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；曆年 </t>
    </r>
    <r>
      <rPr>
        <b val="true"/>
        <sz val="11"/>
        <rFont val="Cambria"/>
        <family val="0"/>
        <charset val="1"/>
      </rPr>
      <t xml:space="preserve">2024–2030 </t>
    </r>
    <r>
      <rPr>
        <b val="true"/>
        <sz val="11"/>
        <rFont val="Noto Sans CJK SC"/>
        <family val="2"/>
      </rPr>
      <t xml:space="preserve">置於 </t>
    </r>
    <r>
      <rPr>
        <b val="true"/>
        <sz val="11"/>
        <rFont val="Cambria"/>
        <family val="0"/>
        <charset val="1"/>
      </rPr>
      <t xml:space="preserve">D–J </t>
    </r>
    <r>
      <rPr>
        <b val="true"/>
        <sz val="11"/>
        <rFont val="Noto Sans CJK SC"/>
        <family val="2"/>
      </rPr>
      <t xml:space="preserve">欄；名稱 </t>
    </r>
    <r>
      <rPr>
        <b val="true"/>
        <sz val="11"/>
        <rFont val="Cambria"/>
        <family val="0"/>
        <charset val="1"/>
      </rPr>
      <t xml:space="preserve">&lt;</t>
    </r>
    <r>
      <rPr>
        <b val="true"/>
        <sz val="11"/>
        <rFont val="Noto Sans CJK SC"/>
        <family val="2"/>
      </rPr>
      <t xml:space="preserve">前綴</t>
    </r>
    <r>
      <rPr>
        <b val="true"/>
        <sz val="11"/>
        <rFont val="Cambria"/>
        <family val="0"/>
        <charset val="1"/>
      </rPr>
      <t xml:space="preserve">&gt;_&lt;yyyy&gt;</t>
    </r>
    <r>
      <rPr>
        <b val="true"/>
        <sz val="11"/>
        <rFont val="Noto Sans CJK SC"/>
        <family val="2"/>
      </rPr>
      <t xml:space="preserve">；營業現金流固定為個股模型基準，不隨需求情景變；覆蓋率 </t>
    </r>
    <r>
      <rPr>
        <b val="true"/>
        <sz val="11"/>
        <rFont val="Cambria"/>
        <family val="0"/>
        <charset val="1"/>
      </rPr>
      <t xml:space="preserve">&lt; 0.35 </t>
    </r>
    <r>
      <rPr>
        <b val="true"/>
        <sz val="11"/>
        <rFont val="Noto Sans CJK SC"/>
        <family val="2"/>
      </rPr>
      <t xml:space="preserve">的年份屬情景）</t>
    </r>
  </si>
  <si>
    <t xml:space="preserve">WIF_Gap_PerGW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</si>
  <si>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＋廠房；市場）</t>
    </r>
  </si>
  <si>
    <t xml:space="preserve">Gap!E10:K10</t>
  </si>
  <si>
    <t xml:space="preserve">WIF_Gap_Item_it_compute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</si>
  <si>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</si>
  <si>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Gap!E12:K12</t>
  </si>
  <si>
    <t xml:space="preserve">WIF_Gap_Item_it_memory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</si>
  <si>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</si>
  <si>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Gap!E13:K13</t>
  </si>
  <si>
    <t xml:space="preserve">WIF_Gap_Item_it_network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</si>
  <si>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</si>
  <si>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Gap!E14:K14</t>
  </si>
  <si>
    <t xml:space="preserve">WIF_Gap_Item_it_foundry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</si>
  <si>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</si>
  <si>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Gap!E15:K15</t>
  </si>
  <si>
    <t xml:space="preserve">WIF_Gap_Item_it_substrate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</si>
  <si>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</si>
  <si>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Gap!E16:K16</t>
  </si>
  <si>
    <t xml:space="preserve">WIF_Gap_Item_it_power_thermal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</si>
  <si>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</si>
  <si>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Gap!E17:K17</t>
  </si>
  <si>
    <t xml:space="preserve">WIF_Gap_Item_it_server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</si>
  <si>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</si>
  <si>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Gap!E18:K18</t>
  </si>
  <si>
    <t xml:space="preserve">WIF_Gap_Item_it_storage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</si>
  <si>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</si>
  <si>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Gap!E19:K19</t>
  </si>
  <si>
    <t xml:space="preserve">WIF_Gap_Item_fac_dist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</si>
  <si>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項目：廠房：配電</t>
    </r>
  </si>
  <si>
    <t xml:space="preserve">Gap!E20:K20</t>
  </si>
  <si>
    <t xml:space="preserve">WIF_Gap_Item_fac_gen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</si>
  <si>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項目：廠房：備援發電機</t>
    </r>
  </si>
  <si>
    <t xml:space="preserve">Gap!E21:K21</t>
  </si>
  <si>
    <t xml:space="preserve">WIF_Gap_Item_fac_ups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</si>
  <si>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</si>
  <si>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Gap!E22:K22</t>
  </si>
  <si>
    <t xml:space="preserve">WIF_Gap_Item_fac_cool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</si>
  <si>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項目：廠房：冷卻</t>
    </r>
  </si>
  <si>
    <t xml:space="preserve">Gap!E23:K23</t>
  </si>
  <si>
    <t xml:space="preserve">WIF_Gap_Item_fac_bldg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</si>
  <si>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項目：廠房：建築</t>
    </r>
  </si>
  <si>
    <t xml:space="preserve">Gap!E24:K24</t>
  </si>
  <si>
    <t xml:space="preserve">WIF_Gap_Item_fac_labor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</si>
  <si>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項目：廠房：施工人工與設計</t>
    </r>
  </si>
  <si>
    <t xml:space="preserve">Gap!E25:K25</t>
  </si>
  <si>
    <t xml:space="preserve">WIF_Gap_Item_fac_prof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</si>
  <si>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項目：廠房：其他專業服務</t>
    </r>
  </si>
  <si>
    <t xml:space="preserve">Gap!E26:K26</t>
  </si>
  <si>
    <t xml:space="preserve">WIF_Gap_Item_fac_net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</si>
  <si>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項目：廠房：網路、消防、安防</t>
    </r>
  </si>
  <si>
    <t xml:space="preserve">Gap!E27:K27</t>
  </si>
  <si>
    <t xml:space="preserve">WIF_Gap_Item_fac_land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</si>
  <si>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項目：廠房：土地</t>
    </r>
  </si>
  <si>
    <t xml:space="preserve">Gap!E28:K28</t>
  </si>
  <si>
    <t xml:space="preserve">WIF_Gap_Item_fac_resid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</si>
  <si>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項目：廠房：其他／未拆</t>
    </r>
  </si>
  <si>
    <t xml:space="preserve">Gap!E29:K29</t>
  </si>
  <si>
    <t xml:space="preserve">WIF_Gap_NonAI</t>
  </si>
  <si>
    <t xml:space="preserve">Gap!E539:K539</t>
  </si>
  <si>
    <t xml:space="preserve">WIF_Gap_OCF</t>
  </si>
  <si>
    <t xml:space="preserve">Gap!E542:K542</t>
  </si>
  <si>
    <t xml:space="preserve">WIF_Gap_ExtObs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</si>
  <si>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</si>
  <si>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Gap!E544:F544</t>
  </si>
  <si>
    <t xml:space="preserve">WIF_Gap_Buyback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</si>
  <si>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家買回＋股利（可削減緩衝）</t>
    </r>
  </si>
  <si>
    <t xml:space="preserve">Gap!E545:K545</t>
  </si>
  <si>
    <t xml:space="preserve">WIF_Gap_OCFMissing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</si>
  <si>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家營業現金流無模型值家數</t>
    </r>
  </si>
  <si>
    <t xml:space="preserve">Gap!E543:K543</t>
  </si>
  <si>
    <t xml:space="preserve">WIF_Gap_OpenCash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</si>
  <si>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家；只進累計）</t>
    </r>
  </si>
  <si>
    <t xml:space="preserve">Gap!G546</t>
  </si>
  <si>
    <t xml:space="preserve">WIF_Gap_NonAIFallbackCells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</si>
  <si>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替代格數</t>
    </r>
  </si>
  <si>
    <t xml:space="preserve">Gap!E540:K540</t>
  </si>
  <si>
    <t xml:space="preserve">WIF_Gap_NonAIZeroCells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</si>
  <si>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計格數</t>
    </r>
  </si>
  <si>
    <t xml:space="preserve">Gap!E541:K541</t>
  </si>
  <si>
    <t xml:space="preserve">WIF_Gap_FallbackCells</t>
  </si>
  <si>
    <r>
      <rPr>
        <sz val="11"/>
        <color theme="1"/>
        <rFont val="Noto Sans CJK SC"/>
        <family val="2"/>
      </rPr>
      <t xml:space="preserve">模型值替代格數（無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</t>
    </r>
  </si>
  <si>
    <t xml:space="preserve">Gap!E536:K536</t>
  </si>
  <si>
    <t xml:space="preserve">WIF_Gap_Fallback</t>
  </si>
  <si>
    <r>
      <rPr>
        <sz val="11"/>
        <color theme="1"/>
        <rFont val="Noto Sans CJK SC"/>
        <family val="2"/>
      </rPr>
      <t xml:space="preserve">模型值替代金額（無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</si>
  <si>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Gap!E535:K535</t>
  </si>
  <si>
    <t xml:space="preserve">WIF_Gap_Committed</t>
  </si>
  <si>
    <t xml:space="preserve">Gap!G547</t>
  </si>
  <si>
    <t xml:space="preserve">WIF_Gap_ExtObs2026Memo</t>
  </si>
  <si>
    <t xml:space="preserve">Gap!G548</t>
  </si>
  <si>
    <t xml:space="preserve">WIF_Gap_BufferCum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</si>
  <si>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累計可削減緩衝（買回＋股利）</t>
    </r>
  </si>
  <si>
    <t xml:space="preserve">Gap!G549</t>
  </si>
  <si>
    <t xml:space="preserve">WIF_Gap_MktAdd_A_D0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</si>
  <si>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</si>
  <si>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Gap!E564:K564</t>
  </si>
  <si>
    <t xml:space="preserve">WIF_Gap_Ratio_A_D0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</si>
  <si>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</si>
  <si>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Gap!E565:K565</t>
  </si>
  <si>
    <t xml:space="preserve">WIF_Gap_Share11_A_D0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</si>
  <si>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</si>
  <si>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Gap!E591:K591</t>
  </si>
  <si>
    <t xml:space="preserve">WIF_Gap_Need_A_D0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</si>
  <si>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</si>
  <si>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Gap!E573:K573</t>
  </si>
  <si>
    <t xml:space="preserve">WIF_Gap_NeedOwn_A_D0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</si>
  <si>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</si>
  <si>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Gap!E572:K572</t>
  </si>
  <si>
    <t xml:space="preserve">WIF_Gap_Short_A_D0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</si>
  <si>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</si>
  <si>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Gap!E574:K574</t>
  </si>
  <si>
    <t xml:space="preserve">WIF_Gap_CumNeed_A_D0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</si>
  <si>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</si>
  <si>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Gap!G575:K575</t>
  </si>
  <si>
    <t xml:space="preserve">WIF_Gap_CumUnarranged_A_D0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</si>
  <si>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</si>
  <si>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Gap!G576:K576</t>
  </si>
  <si>
    <t xml:space="preserve">WIF_Gap_CumUnarranged_MemoInclCommitted_A_D0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</si>
  <si>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</si>
  <si>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Gap!G577:K577</t>
  </si>
  <si>
    <t xml:space="preserve">WIF_Gap_Verdict_A_D0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</si>
  <si>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</si>
  <si>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文字</t>
  </si>
  <si>
    <t xml:space="preserve">Gap!D580</t>
  </si>
  <si>
    <t xml:space="preserve">WIF_Gap_Need_ModelCapex_A_D0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</si>
  <si>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</si>
  <si>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Gap!E583:K583</t>
  </si>
  <si>
    <t xml:space="preserve">WIF_Gap_NeedOwn_ModelCapex_A_D0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</si>
  <si>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</si>
  <si>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Gap!E582:K582</t>
  </si>
  <si>
    <t xml:space="preserve">WIF_Gap_Short_ModelCapex_A_D0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</si>
  <si>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</si>
  <si>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Gap!E584:K584</t>
  </si>
  <si>
    <t xml:space="preserve">WIF_Gap_CumNeed_ModelCapex_A_D0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</si>
  <si>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</si>
  <si>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Gap!G585:K585</t>
  </si>
  <si>
    <t xml:space="preserve">WIF_Gap_CumUnarranged_ModelCapex_A_D0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</si>
  <si>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</si>
  <si>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Gap!G586:K586</t>
  </si>
  <si>
    <t xml:space="preserve">WIF_Gap_CumUnarranged_ModelCapex_MemoInclCommitted_A_D0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</si>
  <si>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</si>
  <si>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Gap!G587:K587</t>
  </si>
  <si>
    <t xml:space="preserve">WIF_Gap_Verdict_ModelCapex_A_D0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</si>
  <si>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</si>
  <si>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Gap!D590</t>
  </si>
  <si>
    <t xml:space="preserve">WIF_Gap_MktAdd_A_D1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</si>
  <si>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</si>
  <si>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Gap!E594:K594</t>
  </si>
  <si>
    <t xml:space="preserve">WIF_Gap_Ratio_A_D1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</si>
  <si>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</si>
  <si>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Gap!E595:K595</t>
  </si>
  <si>
    <t xml:space="preserve">WIF_Gap_Share11_A_D1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</si>
  <si>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</si>
  <si>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Gap!E621:K621</t>
  </si>
  <si>
    <t xml:space="preserve">WIF_Gap_Need_A_D1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</si>
  <si>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</si>
  <si>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Gap!E603:K603</t>
  </si>
  <si>
    <t xml:space="preserve">WIF_Gap_NeedOwn_A_D1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</si>
  <si>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</si>
  <si>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Gap!E602:K602</t>
  </si>
  <si>
    <t xml:space="preserve">WIF_Gap_Short_A_D1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</si>
  <si>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</si>
  <si>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Gap!E604:K604</t>
  </si>
  <si>
    <t xml:space="preserve">WIF_Gap_CumNeed_A_D1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</si>
  <si>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</si>
  <si>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Gap!G605:K605</t>
  </si>
  <si>
    <t xml:space="preserve">WIF_Gap_CumUnarranged_A_D1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</si>
  <si>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</si>
  <si>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Gap!G606:K606</t>
  </si>
  <si>
    <t xml:space="preserve">WIF_Gap_CumUnarranged_MemoInclCommitted_A_D1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</si>
  <si>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</si>
  <si>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Gap!G607:K607</t>
  </si>
  <si>
    <t xml:space="preserve">WIF_Gap_Verdict_A_D1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</si>
  <si>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</si>
  <si>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Gap!D610</t>
  </si>
  <si>
    <t xml:space="preserve">WIF_Gap_Need_ModelCapex_A_D1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</si>
  <si>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</si>
  <si>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Gap!E613:K613</t>
  </si>
  <si>
    <t xml:space="preserve">WIF_Gap_NeedOwn_ModelCapex_A_D1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</si>
  <si>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</si>
  <si>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Gap!E612:K612</t>
  </si>
  <si>
    <t xml:space="preserve">WIF_Gap_Short_ModelCapex_A_D1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</si>
  <si>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</si>
  <si>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Gap!E614:K614</t>
  </si>
  <si>
    <t xml:space="preserve">WIF_Gap_CumNeed_ModelCapex_A_D1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</si>
  <si>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</si>
  <si>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Gap!G615:K615</t>
  </si>
  <si>
    <t xml:space="preserve">WIF_Gap_CumUnarranged_ModelCapex_A_D1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</si>
  <si>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</si>
  <si>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Gap!G616:K616</t>
  </si>
  <si>
    <t xml:space="preserve">WIF_Gap_CumUnarranged_ModelCapex_MemoInclCommitted_A_D1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</si>
  <si>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</si>
  <si>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Gap!G617:K617</t>
  </si>
  <si>
    <t xml:space="preserve">WIF_Gap_Verdict_ModelCapex_A_D1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</si>
  <si>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</si>
  <si>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Gap!D620</t>
  </si>
  <si>
    <t xml:space="preserve">WIF_Gap_MktAdd_A_D2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</si>
  <si>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</si>
  <si>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Gap!E624:K624</t>
  </si>
  <si>
    <t xml:space="preserve">WIF_Gap_Ratio_A_D2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</si>
  <si>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</si>
  <si>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Gap!E625:K625</t>
  </si>
  <si>
    <t xml:space="preserve">WIF_Gap_Share11_A_D2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</si>
  <si>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</si>
  <si>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Gap!E651:K651</t>
  </si>
  <si>
    <t xml:space="preserve">WIF_Gap_Need_A_D2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</si>
  <si>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</si>
  <si>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Gap!E633:K633</t>
  </si>
  <si>
    <t xml:space="preserve">WIF_Gap_NeedOwn_A_D2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</si>
  <si>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</si>
  <si>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Gap!E632:K632</t>
  </si>
  <si>
    <t xml:space="preserve">WIF_Gap_Short_A_D2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</si>
  <si>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</si>
  <si>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Gap!E634:K634</t>
  </si>
  <si>
    <t xml:space="preserve">WIF_Gap_CumNeed_A_D2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</si>
  <si>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</si>
  <si>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Gap!G635:K635</t>
  </si>
  <si>
    <t xml:space="preserve">WIF_Gap_CumUnarranged_A_D2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</si>
  <si>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</si>
  <si>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Gap!G636:K636</t>
  </si>
  <si>
    <t xml:space="preserve">WIF_Gap_CumUnarranged_MemoInclCommitted_A_D2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</si>
  <si>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</si>
  <si>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Gap!G637:K637</t>
  </si>
  <si>
    <t xml:space="preserve">WIF_Gap_Verdict_A_D2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</si>
  <si>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</si>
  <si>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Gap!D640</t>
  </si>
  <si>
    <t xml:space="preserve">WIF_Gap_Need_ModelCapex_A_D2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</si>
  <si>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</si>
  <si>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Gap!E643:K643</t>
  </si>
  <si>
    <t xml:space="preserve">WIF_Gap_NeedOwn_ModelCapex_A_D2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</si>
  <si>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</si>
  <si>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Gap!E642:K642</t>
  </si>
  <si>
    <t xml:space="preserve">WIF_Gap_Short_ModelCapex_A_D2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</si>
  <si>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</si>
  <si>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Gap!E644:K644</t>
  </si>
  <si>
    <t xml:space="preserve">WIF_Gap_CumNeed_ModelCapex_A_D2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</si>
  <si>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</si>
  <si>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Gap!G645:K645</t>
  </si>
  <si>
    <t xml:space="preserve">WIF_Gap_CumUnarranged_ModelCapex_A_D2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</si>
  <si>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</si>
  <si>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Gap!G646:K646</t>
  </si>
  <si>
    <t xml:space="preserve">WIF_Gap_CumUnarranged_ModelCapex_MemoInclCommitted_A_D2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</si>
  <si>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</si>
  <si>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Gap!G647:K647</t>
  </si>
  <si>
    <t xml:space="preserve">WIF_Gap_Verdict_ModelCapex_A_D2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</si>
  <si>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</si>
  <si>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Gap!D650</t>
  </si>
  <si>
    <t xml:space="preserve">WIF_Gap_MktAdd_B_D0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</si>
  <si>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</si>
  <si>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Gap!E654:K654</t>
  </si>
  <si>
    <t xml:space="preserve">WIF_Gap_Ratio_B_D0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</si>
  <si>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</si>
  <si>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Gap!E655:K655</t>
  </si>
  <si>
    <t xml:space="preserve">WIF_Gap_Share11_B_D0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</si>
  <si>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</si>
  <si>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Gap!E681:K681</t>
  </si>
  <si>
    <t xml:space="preserve">WIF_Gap_Need_B_D0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</si>
  <si>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</si>
  <si>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Gap!E663:K663</t>
  </si>
  <si>
    <t xml:space="preserve">WIF_Gap_NeedOwn_B_D0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</si>
  <si>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</si>
  <si>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Gap!E662:K662</t>
  </si>
  <si>
    <t xml:space="preserve">WIF_Gap_Short_B_D0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</si>
  <si>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</si>
  <si>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Gap!E664:K664</t>
  </si>
  <si>
    <t xml:space="preserve">WIF_Gap_CumNeed_B_D0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</si>
  <si>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</si>
  <si>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Gap!G665:K665</t>
  </si>
  <si>
    <t xml:space="preserve">WIF_Gap_CumUnarranged_B_D0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</si>
  <si>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</si>
  <si>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Gap!G666:K666</t>
  </si>
  <si>
    <t xml:space="preserve">WIF_Gap_CumUnarranged_MemoInclCommitted_B_D0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</si>
  <si>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</si>
  <si>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Gap!G667:K667</t>
  </si>
  <si>
    <t xml:space="preserve">WIF_Gap_Verdict_B_D0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</si>
  <si>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</si>
  <si>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Gap!D670</t>
  </si>
  <si>
    <t xml:space="preserve">WIF_Gap_Need_ModelCapex_B_D0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</si>
  <si>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</si>
  <si>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Gap!E673:K673</t>
  </si>
  <si>
    <t xml:space="preserve">WIF_Gap_NeedOwn_ModelCapex_B_D0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</si>
  <si>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</si>
  <si>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Gap!E672:K672</t>
  </si>
  <si>
    <t xml:space="preserve">WIF_Gap_Short_ModelCapex_B_D0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</si>
  <si>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</si>
  <si>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Gap!E674:K674</t>
  </si>
  <si>
    <t xml:space="preserve">WIF_Gap_CumNeed_ModelCapex_B_D0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</si>
  <si>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</si>
  <si>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Gap!G675:K675</t>
  </si>
  <si>
    <t xml:space="preserve">WIF_Gap_CumUnarranged_ModelCapex_B_D0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</si>
  <si>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</si>
  <si>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Gap!G676:K676</t>
  </si>
  <si>
    <t xml:space="preserve">WIF_Gap_CumUnarranged_ModelCapex_MemoInclCommitted_B_D0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</si>
  <si>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</si>
  <si>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Gap!G677:K677</t>
  </si>
  <si>
    <t xml:space="preserve">WIF_Gap_Verdict_ModelCapex_B_D0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</si>
  <si>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</si>
  <si>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Gap!D680</t>
  </si>
  <si>
    <t xml:space="preserve">WIF_Gap_MktAdd_B_D1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</si>
  <si>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</si>
  <si>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Gap!E684:K684</t>
  </si>
  <si>
    <t xml:space="preserve">WIF_Gap_Ratio_B_D1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</si>
  <si>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</si>
  <si>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Gap!E685:K685</t>
  </si>
  <si>
    <t xml:space="preserve">WIF_Gap_Share11_B_D1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</si>
  <si>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</si>
  <si>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Gap!E711:K711</t>
  </si>
  <si>
    <t xml:space="preserve">WIF_Gap_Need_B_D1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</si>
  <si>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</si>
  <si>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Gap!E693:K693</t>
  </si>
  <si>
    <t xml:space="preserve">WIF_Gap_NeedOwn_B_D1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</si>
  <si>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</si>
  <si>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Gap!E692:K692</t>
  </si>
  <si>
    <t xml:space="preserve">WIF_Gap_Short_B_D1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</si>
  <si>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</si>
  <si>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Gap!E694:K694</t>
  </si>
  <si>
    <t xml:space="preserve">WIF_Gap_CumNeed_B_D1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</si>
  <si>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</si>
  <si>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Gap!G695:K695</t>
  </si>
  <si>
    <t xml:space="preserve">WIF_Gap_CumUnarranged_B_D1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</si>
  <si>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</si>
  <si>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Gap!G696:K696</t>
  </si>
  <si>
    <t xml:space="preserve">WIF_Gap_CumUnarranged_MemoInclCommitted_B_D1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</si>
  <si>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</si>
  <si>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Gap!G697:K697</t>
  </si>
  <si>
    <t xml:space="preserve">WIF_Gap_Verdict_B_D1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</si>
  <si>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</si>
  <si>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Gap!D700</t>
  </si>
  <si>
    <t xml:space="preserve">WIF_Gap_Need_ModelCapex_B_D1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</si>
  <si>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</si>
  <si>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Gap!E703:K703</t>
  </si>
  <si>
    <t xml:space="preserve">WIF_Gap_NeedOwn_ModelCapex_B_D1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</si>
  <si>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</si>
  <si>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Gap!E702:K702</t>
  </si>
  <si>
    <t xml:space="preserve">WIF_Gap_Short_ModelCapex_B_D1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</si>
  <si>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</si>
  <si>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Gap!E704:K704</t>
  </si>
  <si>
    <t xml:space="preserve">WIF_Gap_CumNeed_ModelCapex_B_D1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</si>
  <si>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</si>
  <si>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Gap!G705:K705</t>
  </si>
  <si>
    <t xml:space="preserve">WIF_Gap_CumUnarranged_ModelCapex_B_D1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</si>
  <si>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</si>
  <si>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Gap!G706:K706</t>
  </si>
  <si>
    <t xml:space="preserve">WIF_Gap_CumUnarranged_ModelCapex_MemoInclCommitted_B_D1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</si>
  <si>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</si>
  <si>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Gap!G707:K707</t>
  </si>
  <si>
    <t xml:space="preserve">WIF_Gap_Verdict_ModelCapex_B_D1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</si>
  <si>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</si>
  <si>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Gap!D710</t>
  </si>
  <si>
    <t xml:space="preserve">WIF_Gap_MktAdd_B_D2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</si>
  <si>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</si>
  <si>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Gap!E714:K714</t>
  </si>
  <si>
    <t xml:space="preserve">WIF_Gap_Ratio_B_D2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</si>
  <si>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</si>
  <si>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Gap!E715:K715</t>
  </si>
  <si>
    <t xml:space="preserve">WIF_Gap_Share11_B_D2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</si>
  <si>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</si>
  <si>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Gap!E741:K741</t>
  </si>
  <si>
    <t xml:space="preserve">WIF_Gap_Need_B_D2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</si>
  <si>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</si>
  <si>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Gap!E723:K723</t>
  </si>
  <si>
    <t xml:space="preserve">WIF_Gap_NeedOwn_B_D2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</si>
  <si>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</si>
  <si>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Gap!E722:K722</t>
  </si>
  <si>
    <t xml:space="preserve">WIF_Gap_Short_B_D2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</si>
  <si>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</si>
  <si>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Gap!E724:K724</t>
  </si>
  <si>
    <t xml:space="preserve">WIF_Gap_CumNeed_B_D2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</si>
  <si>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</si>
  <si>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Gap!G725:K725</t>
  </si>
  <si>
    <t xml:space="preserve">WIF_Gap_CumUnarranged_B_D2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</si>
  <si>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</si>
  <si>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Gap!G726:K726</t>
  </si>
  <si>
    <t xml:space="preserve">WIF_Gap_CumUnarranged_MemoInclCommitted_B_D2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</si>
  <si>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</si>
  <si>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Gap!G727:K727</t>
  </si>
  <si>
    <t xml:space="preserve">WIF_Gap_Verdict_B_D2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</si>
  <si>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</si>
  <si>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Gap!D730</t>
  </si>
  <si>
    <t xml:space="preserve">WIF_Gap_Need_ModelCapex_B_D2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</si>
  <si>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</si>
  <si>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Gap!E733:K733</t>
  </si>
  <si>
    <t xml:space="preserve">WIF_Gap_NeedOwn_ModelCapex_B_D2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</si>
  <si>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</si>
  <si>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Gap!E732:K732</t>
  </si>
  <si>
    <t xml:space="preserve">WIF_Gap_Short_ModelCapex_B_D2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</si>
  <si>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</si>
  <si>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Gap!E734:K734</t>
  </si>
  <si>
    <t xml:space="preserve">WIF_Gap_CumNeed_ModelCapex_B_D2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</si>
  <si>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</si>
  <si>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Gap!G735:K735</t>
  </si>
  <si>
    <t xml:space="preserve">WIF_Gap_CumUnarranged_ModelCapex_B_D2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</si>
  <si>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</si>
  <si>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Gap!G736:K736</t>
  </si>
  <si>
    <t xml:space="preserve">WIF_Gap_CumUnarranged_ModelCapex_MemoInclCommitted_B_D2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</si>
  <si>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</si>
  <si>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Gap!G737:K737</t>
  </si>
  <si>
    <t xml:space="preserve">WIF_Gap_Verdict_ModelCapex_B_D2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</si>
  <si>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</si>
  <si>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Gap!D740</t>
  </si>
  <si>
    <t xml:space="preserve">WIF_Gap_MktAdd_C_D0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</si>
  <si>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</si>
  <si>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Gap!E744:K744</t>
  </si>
  <si>
    <t xml:space="preserve">WIF_Gap_Ratio_C_D0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</si>
  <si>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</si>
  <si>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Gap!E745:K745</t>
  </si>
  <si>
    <t xml:space="preserve">WIF_Gap_Share11_C_D0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</si>
  <si>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</si>
  <si>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Gap!E771:K771</t>
  </si>
  <si>
    <t xml:space="preserve">WIF_Gap_Need_C_D0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</si>
  <si>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</si>
  <si>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Gap!E753:K753</t>
  </si>
  <si>
    <t xml:space="preserve">WIF_Gap_NeedOwn_C_D0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</si>
  <si>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</si>
  <si>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Gap!E752:K752</t>
  </si>
  <si>
    <t xml:space="preserve">WIF_Gap_Short_C_D0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</si>
  <si>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</si>
  <si>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Gap!E754:K754</t>
  </si>
  <si>
    <t xml:space="preserve">WIF_Gap_CumNeed_C_D0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</si>
  <si>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</si>
  <si>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Gap!G755:K755</t>
  </si>
  <si>
    <t xml:space="preserve">WIF_Gap_CumUnarranged_C_D0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</si>
  <si>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</si>
  <si>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Gap!G756:K756</t>
  </si>
  <si>
    <t xml:space="preserve">WIF_Gap_CumUnarranged_MemoInclCommitted_C_D0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</si>
  <si>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</si>
  <si>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Gap!G757:K757</t>
  </si>
  <si>
    <t xml:space="preserve">WIF_Gap_Verdict_C_D0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</si>
  <si>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</si>
  <si>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Gap!D760</t>
  </si>
  <si>
    <t xml:space="preserve">WIF_Gap_Need_ModelCapex_C_D0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</si>
  <si>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</si>
  <si>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Gap!E763:K763</t>
  </si>
  <si>
    <t xml:space="preserve">WIF_Gap_NeedOwn_ModelCapex_C_D0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</si>
  <si>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</si>
  <si>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Gap!E762:K762</t>
  </si>
  <si>
    <t xml:space="preserve">WIF_Gap_Short_ModelCapex_C_D0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</si>
  <si>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</si>
  <si>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Gap!E764:K764</t>
  </si>
  <si>
    <t xml:space="preserve">WIF_Gap_CumNeed_ModelCapex_C_D0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</si>
  <si>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</si>
  <si>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Gap!G765:K765</t>
  </si>
  <si>
    <t xml:space="preserve">WIF_Gap_CumUnarranged_ModelCapex_C_D0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</si>
  <si>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</si>
  <si>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Gap!G766:K766</t>
  </si>
  <si>
    <t xml:space="preserve">WIF_Gap_CumUnarranged_ModelCapex_MemoInclCommitted_C_D0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</si>
  <si>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</si>
  <si>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Gap!G767:K767</t>
  </si>
  <si>
    <t xml:space="preserve">WIF_Gap_Verdict_ModelCapex_C_D0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</si>
  <si>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</si>
  <si>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Gap!D770</t>
  </si>
  <si>
    <t xml:space="preserve">WIF_Gap_MktAdd_C_D1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</si>
  <si>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</si>
  <si>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Gap!E774:K774</t>
  </si>
  <si>
    <t xml:space="preserve">WIF_Gap_Ratio_C_D1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</si>
  <si>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</si>
  <si>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Gap!E775:K775</t>
  </si>
  <si>
    <t xml:space="preserve">WIF_Gap_Share11_C_D1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</si>
  <si>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</si>
  <si>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Gap!E801:K801</t>
  </si>
  <si>
    <t xml:space="preserve">WIF_Gap_Need_C_D1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</si>
  <si>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</si>
  <si>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Gap!E783:K783</t>
  </si>
  <si>
    <t xml:space="preserve">WIF_Gap_NeedOwn_C_D1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</si>
  <si>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</si>
  <si>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Gap!E782:K782</t>
  </si>
  <si>
    <t xml:space="preserve">WIF_Gap_Short_C_D1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</si>
  <si>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</si>
  <si>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Gap!E784:K784</t>
  </si>
  <si>
    <t xml:space="preserve">WIF_Gap_CumNeed_C_D1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</si>
  <si>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</si>
  <si>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Gap!G785:K785</t>
  </si>
  <si>
    <t xml:space="preserve">WIF_Gap_CumUnarranged_C_D1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</si>
  <si>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</si>
  <si>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Gap!G786:K786</t>
  </si>
  <si>
    <t xml:space="preserve">WIF_Gap_CumUnarranged_MemoInclCommitted_C_D1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</si>
  <si>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</si>
  <si>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Gap!G787:K787</t>
  </si>
  <si>
    <t xml:space="preserve">WIF_Gap_Verdict_C_D1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</si>
  <si>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</si>
  <si>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Gap!D790</t>
  </si>
  <si>
    <t xml:space="preserve">WIF_Gap_Need_ModelCapex_C_D1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</si>
  <si>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</si>
  <si>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Gap!E793:K793</t>
  </si>
  <si>
    <t xml:space="preserve">WIF_Gap_NeedOwn_ModelCapex_C_D1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</si>
  <si>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</si>
  <si>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Gap!E792:K792</t>
  </si>
  <si>
    <t xml:space="preserve">WIF_Gap_Short_ModelCapex_C_D1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</si>
  <si>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</si>
  <si>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Gap!E794:K794</t>
  </si>
  <si>
    <t xml:space="preserve">WIF_Gap_CumNeed_ModelCapex_C_D1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</si>
  <si>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</si>
  <si>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Gap!G795:K795</t>
  </si>
  <si>
    <t xml:space="preserve">WIF_Gap_CumUnarranged_ModelCapex_C_D1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</si>
  <si>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</si>
  <si>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Gap!G796:K796</t>
  </si>
  <si>
    <t xml:space="preserve">WIF_Gap_CumUnarranged_ModelCapex_MemoInclCommitted_C_D1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</si>
  <si>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</si>
  <si>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Gap!G797:K797</t>
  </si>
  <si>
    <t xml:space="preserve">WIF_Gap_Verdict_ModelCapex_C_D1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</si>
  <si>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</si>
  <si>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Gap!D800</t>
  </si>
  <si>
    <t xml:space="preserve">WIF_Gap_MktAdd_C_D2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</si>
  <si>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（參考；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</si>
  <si>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Gap!E804:K804</t>
  </si>
  <si>
    <t xml:space="preserve">WIF_Gap_Ratio_C_D2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</si>
  <si>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縮放；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</si>
  <si>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Gap!E805:K805</t>
  </si>
  <si>
    <t xml:space="preserve">WIF_Gap_Share11_C_D2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</si>
  <si>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推算部分占全市場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資料中心建置成本（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</si>
  <si>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Gap!E831:K831</t>
  </si>
  <si>
    <t xml:space="preserve">WIF_Gap_Need_C_D2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</si>
  <si>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</si>
  <si>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Gap!E813:K813</t>
  </si>
  <si>
    <t xml:space="preserve">WIF_Gap_NeedOwn_C_D2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</si>
  <si>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</si>
  <si>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Gap!E812:K812</t>
  </si>
  <si>
    <t xml:space="preserve">WIF_Gap_Short_C_D2</t>
  </si>
  <si>
    <r>
      <rPr>
        <sz val="11"/>
        <color theme="1"/>
        <rFont val="Noto Sans CJK SC"/>
        <family val="2"/>
      </rPr>
      <t xml:space="preserve">尚需新融資（主讀法；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</si>
  <si>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Gap!E814:K814</t>
  </si>
  <si>
    <t xml:space="preserve">WIF_Gap_CumNeed_C_D2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</si>
  <si>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</si>
  <si>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Gap!G815:K815</t>
  </si>
  <si>
    <t xml:space="preserve">WIF_Gap_CumUnarranged_C_D2</t>
  </si>
  <si>
    <r>
      <rPr>
        <sz val="11"/>
        <color theme="1"/>
        <rFont val="Noto Sans CJK SC"/>
        <family val="2"/>
      </rPr>
      <t xml:space="preserve">累計仍未安排＝累計尚需 − 期初現金（主讀法；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</si>
  <si>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Gap!G816:K816</t>
  </si>
  <si>
    <t xml:space="preserve">WIF_Gap_CumUnarranged_MemoInclCommitted_C_D2</t>
  </si>
  <si>
    <r>
      <rPr>
        <sz val="11"/>
        <color theme="1"/>
        <rFont val="Noto Sans CJK SC"/>
        <family val="2"/>
      </rPr>
      <t xml:space="preserve">備忘：再扣承諾（主讀法；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</si>
  <si>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Gap!G817:K817</t>
  </si>
  <si>
    <t xml:space="preserve">WIF_Gap_Verdict_C_D2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</si>
  <si>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</si>
  <si>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Gap!D820</t>
  </si>
  <si>
    <t xml:space="preserve">WIF_Gap_Need_ModelCapex_C_D2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</si>
  <si>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</si>
  <si>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Gap!E823:K823</t>
  </si>
  <si>
    <t xml:space="preserve">WIF_Gap_NeedOwn_ModelCapex_C_D2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</si>
  <si>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</si>
  <si>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Gap!E822:K822</t>
  </si>
  <si>
    <t xml:space="preserve">WIF_Gap_Short_ModelCapex_C_D2</t>
  </si>
  <si>
    <r>
      <rPr>
        <sz val="11"/>
        <color theme="1"/>
        <rFont val="Noto Sans CJK SC"/>
        <family val="2"/>
      </rPr>
      <t xml:space="preserve">尚需新融資（七家依個股模型資本支出；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</si>
  <si>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Gap!E824:K824</t>
  </si>
  <si>
    <t xml:space="preserve">WIF_Gap_CumNeed_ModelCapex_C_D2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</si>
  <si>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</si>
  <si>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Gap!G825:K825</t>
  </si>
  <si>
    <t xml:space="preserve">WIF_Gap_CumUnarranged_ModelCapex_C_D2</t>
  </si>
  <si>
    <r>
      <rPr>
        <sz val="11"/>
        <color theme="1"/>
        <rFont val="Noto Sans CJK SC"/>
        <family val="2"/>
      </rPr>
      <t xml:space="preserve">累計仍未安排＝累計尚需 − 期初現金（七家依個股模型資本支出；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</si>
  <si>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Gap!G826:K826</t>
  </si>
  <si>
    <t xml:space="preserve">WIF_Gap_CumUnarranged_ModelCapex_MemoInclCommitted_C_D2</t>
  </si>
  <si>
    <r>
      <rPr>
        <sz val="11"/>
        <color theme="1"/>
        <rFont val="Noto Sans CJK SC"/>
        <family val="2"/>
      </rPr>
      <t xml:space="preserve">備忘：再扣承諾（七家依個股模型資本支出；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</si>
  <si>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Gap!G827:K827</t>
  </si>
  <si>
    <t xml:space="preserve">WIF_Gap_Verdict_ModelCapex_C_D2</t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</si>
  <si>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</si>
  <si>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Gap!D830</t>
  </si>
  <si>
    <t xml:space="preserve">WIF_Gap_MktRestMemo</t>
  </si>
  <si>
    <r>
      <rPr>
        <sz val="11"/>
        <color theme="1"/>
        <rFont val="Noto Sans CJK SC"/>
        <family val="2"/>
      </rPr>
      <t xml:space="preserve">參考：市場其餘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；不納入收支，只供需求與下游）</t>
    </r>
  </si>
  <si>
    <t xml:space="preserve">Gap!E562:K562</t>
  </si>
  <si>
    <t xml:space="preserve">WIF_Gap_PlayerCumGap_A_D1_msft</t>
  </si>
  <si>
    <r>
      <rPr>
        <sz val="11"/>
        <color theme="1"/>
        <rFont val="Calibri"/>
        <family val="2"/>
        <charset val="1"/>
      </rPr>
      <t xml:space="preserve">Microsoft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</si>
  <si>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Gap!G837</t>
  </si>
  <si>
    <t xml:space="preserve">WIF_Gap_PlayerCumGap_A_D1_googl</t>
  </si>
  <si>
    <r>
      <rPr>
        <sz val="11"/>
        <color theme="1"/>
        <rFont val="Calibri"/>
        <family val="2"/>
        <charset val="1"/>
      </rPr>
      <t xml:space="preserve">Alphabet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</si>
  <si>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Gap!G840</t>
  </si>
  <si>
    <t xml:space="preserve">WIF_Gap_PlayerCumGap_A_D1_amzn</t>
  </si>
  <si>
    <r>
      <rPr>
        <sz val="11"/>
        <color theme="1"/>
        <rFont val="Calibri"/>
        <family val="2"/>
        <charset val="1"/>
      </rPr>
      <t xml:space="preserve">Amazon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</si>
  <si>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Gap!G843</t>
  </si>
  <si>
    <t xml:space="preserve">WIF_Gap_PlayerCumGap_A_D1_meta</t>
  </si>
  <si>
    <r>
      <rPr>
        <sz val="11"/>
        <color theme="1"/>
        <rFont val="Calibri"/>
        <family val="2"/>
        <charset val="1"/>
      </rPr>
      <t xml:space="preserve">Meta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</si>
  <si>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Gap!G846</t>
  </si>
  <si>
    <t xml:space="preserve">WIF_Gap_PlayerCumGap_A_D1_orcl</t>
  </si>
  <si>
    <r>
      <rPr>
        <sz val="11"/>
        <color theme="1"/>
        <rFont val="Calibri"/>
        <family val="2"/>
        <charset val="1"/>
      </rPr>
      <t xml:space="preserve">Oracle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</si>
  <si>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Gap!G849</t>
  </si>
  <si>
    <t xml:space="preserve">WIF_Gap_PlayerCumGap_A_D1_crwv</t>
  </si>
  <si>
    <r>
      <rPr>
        <sz val="11"/>
        <color theme="1"/>
        <rFont val="Calibri"/>
        <family val="2"/>
        <charset val="1"/>
      </rPr>
      <t xml:space="preserve">CoreWeave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</si>
  <si>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Gap!G852</t>
  </si>
  <si>
    <t xml:space="preserve">WIF_Gap_PlayerCumGap_A_D1_nbis</t>
  </si>
  <si>
    <r>
      <rPr>
        <sz val="11"/>
        <color theme="1"/>
        <rFont val="Calibri"/>
        <family val="2"/>
        <charset val="1"/>
      </rPr>
      <t xml:space="preserve">Nebius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</si>
  <si>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Gap!G855</t>
  </si>
  <si>
    <t xml:space="preserve">WIF_Gap_PlayerCumGap_A_D1_wyfi</t>
  </si>
  <si>
    <r>
      <rPr>
        <sz val="11"/>
        <color theme="1"/>
        <rFont val="Calibri"/>
        <family val="2"/>
        <charset val="1"/>
      </rPr>
      <t xml:space="preserve">WhiteFiber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</si>
  <si>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Gap!G858</t>
  </si>
  <si>
    <t xml:space="preserve">WIF_Gap_PlayerCumGap_A_D1_xai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</si>
  <si>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</si>
  <si>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Gap!G861</t>
  </si>
  <si>
    <t xml:space="preserve">WIF_Gap_PlayerCumGap_A_D1_oai</t>
  </si>
  <si>
    <r>
      <rPr>
        <sz val="11"/>
        <color theme="1"/>
        <rFont val="Calibri"/>
        <family val="2"/>
        <charset val="1"/>
      </rPr>
      <t xml:space="preserve">OpenAI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</si>
  <si>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Gap!G864</t>
  </si>
  <si>
    <t xml:space="preserve">WIF_Gap_PlayerCumGap_A_D1_ant</t>
  </si>
  <si>
    <r>
      <rPr>
        <sz val="11"/>
        <color theme="1"/>
        <rFont val="Calibri"/>
        <family val="2"/>
        <charset val="1"/>
      </rPr>
      <t xml:space="preserve">Anthropic 2026–2030 </t>
    </r>
    <r>
      <rPr>
        <sz val="11"/>
        <color theme="1"/>
        <rFont val="Noto Sans CJK SC"/>
        <family val="2"/>
      </rPr>
      <t xml:space="preserve">累計缺口（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；正＝需外部資金）</t>
    </r>
  </si>
  <si>
    <t xml:space="preserve">Gap!G867</t>
  </si>
  <si>
    <t xml:space="preserve">WIF_Gap_CumUnarranged_M1_A_D0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</si>
  <si>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：累計仍未安排（每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用市場平均；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</si>
  <si>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Gap!G873:K873</t>
  </si>
  <si>
    <t xml:space="preserve">WIF_Gap_Verdict_M1_A_D0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</si>
  <si>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</si>
  <si>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Gap!D876</t>
  </si>
  <si>
    <t xml:space="preserve">WIF_Gap_CumUnarranged_M1_A_D1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</si>
  <si>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：累計仍未安排（每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用市場平均；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</si>
  <si>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Gap!G879:K879</t>
  </si>
  <si>
    <t xml:space="preserve">WIF_Gap_Verdict_M1_A_D1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</si>
  <si>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</si>
  <si>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Gap!D882</t>
  </si>
  <si>
    <t xml:space="preserve">WIF_Gap_CumUnarranged_M1_A_D2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</si>
  <si>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：累計仍未安排（每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用市場平均；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</si>
  <si>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Gap!G885:K885</t>
  </si>
  <si>
    <t xml:space="preserve">WIF_Gap_Verdict_M1_A_D2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</si>
  <si>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</si>
  <si>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Gap!D888</t>
  </si>
  <si>
    <t xml:space="preserve">WIF_Gap_CumUnarranged_M1_B_D1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</si>
  <si>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：累計仍未安排（每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用市場平均；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</si>
  <si>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Gap!G891:K891</t>
  </si>
  <si>
    <t xml:space="preserve">WIF_Gap_Verdict_M1_B_D1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</si>
  <si>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</si>
  <si>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Gap!D894</t>
  </si>
  <si>
    <t xml:space="preserve">WIF_Gap_CumUnarranged_M1_C_D2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</si>
  <si>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：累計仍未安排（每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用市場平均；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</si>
  <si>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Gap!G897:K897</t>
  </si>
  <si>
    <t xml:space="preserve">WIF_Gap_Verdict_M1_C_D2</t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</si>
  <si>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：判讀（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</si>
  <si>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Gap!D900</t>
  </si>
  <si>
    <t xml:space="preserve">WIF_Gap_Player_msft_&lt;yyyy&gt;_OCF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</si>
  <si>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</t>
    </r>
  </si>
  <si>
    <t xml:space="preserve">Gap!E59:K59</t>
  </si>
  <si>
    <t xml:space="preserve">WIF_Gap_Player_msft_&lt;yyyy&gt;_CapexAI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</si>
  <si>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</si>
  <si>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Gap!E61:K61</t>
  </si>
  <si>
    <t xml:space="preserve">WIF_Gap_Player_msft_&lt;yyyy&gt;_CapexNonAI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</si>
  <si>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</si>
  <si>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Gap!E51:K51</t>
  </si>
  <si>
    <t xml:space="preserve">WIF_Gap_Player_msft_&lt;yyyy&gt;_Gap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</si>
  <si>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</si>
  <si>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Gap!E67:K67</t>
  </si>
  <si>
    <t xml:space="preserve">WIF_Gap_Player_msft_&lt;yyyy&gt;_SelfFund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</si>
  <si>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自籌比</t>
    </r>
  </si>
  <si>
    <t xml:space="preserve">Gap!E66:K66</t>
  </si>
  <si>
    <t xml:space="preserve">WIF_Gap_Player_msft_&lt;yyyy&gt;_Buyback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</si>
  <si>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</si>
  <si>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Gap!E64:K64</t>
  </si>
  <si>
    <t xml:space="preserve">WIF_Gap_Player_msft_&lt;yyyy&gt;_CapexAIModel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</si>
  <si>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</si>
  <si>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Gap!E55:K55</t>
  </si>
  <si>
    <t xml:space="preserve">WIF_Gap_Player_msft_&lt;yyyy&gt;_CapexAIGW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</si>
  <si>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</si>
  <si>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Gap!E44:K44</t>
  </si>
  <si>
    <t xml:space="preserve">WIF_Gap_Player_msft_&lt;yyyy&gt;_CapexAIMC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</si>
  <si>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</si>
  <si>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Gap!E62:K62</t>
  </si>
  <si>
    <t xml:space="preserve">WIF_Gap_PlayerCash_msft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</si>
  <si>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</t>
    </r>
  </si>
  <si>
    <t xml:space="preserve">Gap!G77</t>
  </si>
  <si>
    <t xml:space="preserve">WIF_Gap_PlayerCommitted_msft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</si>
  <si>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</si>
  <si>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Gap!G73+Gap!G74</t>
  </si>
  <si>
    <t xml:space="preserve">WIF_Gap_PlayerVerdict_msft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</si>
  <si>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</si>
  <si>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Gap!D520</t>
  </si>
  <si>
    <t xml:space="preserve">WIF_Gap_Player_googl_&lt;yyyy&gt;_OCF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</si>
  <si>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</t>
    </r>
  </si>
  <si>
    <t xml:space="preserve">Gap!E104:K104</t>
  </si>
  <si>
    <t xml:space="preserve">WIF_Gap_Player_googl_&lt;yyyy&gt;_CapexAI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</si>
  <si>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</si>
  <si>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Gap!E106:K106</t>
  </si>
  <si>
    <t xml:space="preserve">WIF_Gap_Player_googl_&lt;yyyy&gt;_CapexNonAI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</si>
  <si>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</si>
  <si>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Gap!E96:K96</t>
  </si>
  <si>
    <t xml:space="preserve">WIF_Gap_Player_googl_&lt;yyyy&gt;_Gap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</si>
  <si>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</si>
  <si>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Gap!E112:K112</t>
  </si>
  <si>
    <t xml:space="preserve">WIF_Gap_Player_googl_&lt;yyyy&gt;_SelfFund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</si>
  <si>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自籌比</t>
    </r>
  </si>
  <si>
    <t xml:space="preserve">Gap!E111:K111</t>
  </si>
  <si>
    <t xml:space="preserve">WIF_Gap_Player_googl_&lt;yyyy&gt;_Buyback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</si>
  <si>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</si>
  <si>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Gap!E109:K109</t>
  </si>
  <si>
    <t xml:space="preserve">WIF_Gap_Player_googl_&lt;yyyy&gt;_CapexAIModel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</si>
  <si>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</si>
  <si>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Gap!E100:K100</t>
  </si>
  <si>
    <t xml:space="preserve">WIF_Gap_Player_googl_&lt;yyyy&gt;_CapexAIGW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</si>
  <si>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</si>
  <si>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Gap!E89:K89</t>
  </si>
  <si>
    <t xml:space="preserve">WIF_Gap_Player_googl_&lt;yyyy&gt;_CapexAIMC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</si>
  <si>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</si>
  <si>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Gap!E107:K107</t>
  </si>
  <si>
    <t xml:space="preserve">WIF_Gap_PlayerCash_googl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</si>
  <si>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</t>
    </r>
  </si>
  <si>
    <t xml:space="preserve">Gap!G122</t>
  </si>
  <si>
    <t xml:space="preserve">WIF_Gap_PlayerCommitted_googl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</si>
  <si>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</si>
  <si>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Gap!G118+Gap!G119</t>
  </si>
  <si>
    <t xml:space="preserve">WIF_Gap_PlayerVerdict_googl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</si>
  <si>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</si>
  <si>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Gap!D521</t>
  </si>
  <si>
    <t xml:space="preserve">WIF_Gap_Player_amzn_&lt;yyyy&gt;_OCF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</si>
  <si>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</t>
    </r>
  </si>
  <si>
    <t xml:space="preserve">Gap!E149:K149</t>
  </si>
  <si>
    <t xml:space="preserve">WIF_Gap_Player_amzn_&lt;yyyy&gt;_CapexAI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</si>
  <si>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</si>
  <si>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Gap!E151:K151</t>
  </si>
  <si>
    <t xml:space="preserve">WIF_Gap_Player_amzn_&lt;yyyy&gt;_CapexNonAI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</si>
  <si>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</si>
  <si>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Gap!E141:K141</t>
  </si>
  <si>
    <t xml:space="preserve">WIF_Gap_Player_amzn_&lt;yyyy&gt;_Gap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</si>
  <si>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</si>
  <si>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Gap!E157:K157</t>
  </si>
  <si>
    <t xml:space="preserve">WIF_Gap_Player_amzn_&lt;yyyy&gt;_SelfFund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</si>
  <si>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自籌比</t>
    </r>
  </si>
  <si>
    <t xml:space="preserve">Gap!E156:K156</t>
  </si>
  <si>
    <t xml:space="preserve">WIF_Gap_Player_amzn_&lt;yyyy&gt;_Buyback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</si>
  <si>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</si>
  <si>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Gap!E154:K154</t>
  </si>
  <si>
    <t xml:space="preserve">WIF_Gap_Player_amzn_&lt;yyyy&gt;_CapexAIModel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</si>
  <si>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</si>
  <si>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Gap!E145:K145</t>
  </si>
  <si>
    <t xml:space="preserve">WIF_Gap_Player_amzn_&lt;yyyy&gt;_CapexAIGW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</si>
  <si>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</si>
  <si>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Gap!E134:K134</t>
  </si>
  <si>
    <t xml:space="preserve">WIF_Gap_Player_amzn_&lt;yyyy&gt;_CapexAIMC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</si>
  <si>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</si>
  <si>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Gap!E152:K152</t>
  </si>
  <si>
    <t xml:space="preserve">WIF_Gap_PlayerCash_amzn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</si>
  <si>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</t>
    </r>
  </si>
  <si>
    <t xml:space="preserve">Gap!G167</t>
  </si>
  <si>
    <t xml:space="preserve">WIF_Gap_PlayerCommitted_amzn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</si>
  <si>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</si>
  <si>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Gap!G163+Gap!G164</t>
  </si>
  <si>
    <t xml:space="preserve">WIF_Gap_PlayerVerdict_amzn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</si>
  <si>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</si>
  <si>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Gap!D522</t>
  </si>
  <si>
    <t xml:space="preserve">WIF_Gap_Player_meta_&lt;yyyy&gt;_OCF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</si>
  <si>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</t>
    </r>
  </si>
  <si>
    <t xml:space="preserve">Gap!E194:K194</t>
  </si>
  <si>
    <t xml:space="preserve">WIF_Gap_Player_meta_&lt;yyyy&gt;_CapexAI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</si>
  <si>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</si>
  <si>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Gap!E196:K196</t>
  </si>
  <si>
    <t xml:space="preserve">WIF_Gap_Player_meta_&lt;yyyy&gt;_CapexNonAI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</si>
  <si>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</si>
  <si>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Gap!E186:K186</t>
  </si>
  <si>
    <t xml:space="preserve">WIF_Gap_Player_meta_&lt;yyyy&gt;_Gap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</si>
  <si>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</si>
  <si>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Gap!E202:K202</t>
  </si>
  <si>
    <t xml:space="preserve">WIF_Gap_Player_meta_&lt;yyyy&gt;_SelfFund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</si>
  <si>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自籌比</t>
    </r>
  </si>
  <si>
    <t xml:space="preserve">Gap!E201:K201</t>
  </si>
  <si>
    <t xml:space="preserve">WIF_Gap_Player_meta_&lt;yyyy&gt;_Buyback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</si>
  <si>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</si>
  <si>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Gap!E199:K199</t>
  </si>
  <si>
    <t xml:space="preserve">WIF_Gap_Player_meta_&lt;yyyy&gt;_CapexAIModel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</si>
  <si>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</si>
  <si>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Gap!E190:K190</t>
  </si>
  <si>
    <t xml:space="preserve">WIF_Gap_Player_meta_&lt;yyyy&gt;_CapexAIGW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</si>
  <si>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</si>
  <si>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Gap!E179:K179</t>
  </si>
  <si>
    <t xml:space="preserve">WIF_Gap_Player_meta_&lt;yyyy&gt;_CapexAIMC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</si>
  <si>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</si>
  <si>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Gap!E197:K197</t>
  </si>
  <si>
    <t xml:space="preserve">WIF_Gap_PlayerCash_meta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</si>
  <si>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</t>
    </r>
  </si>
  <si>
    <t xml:space="preserve">Gap!G212</t>
  </si>
  <si>
    <t xml:space="preserve">WIF_Gap_PlayerCommitted_meta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</si>
  <si>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</si>
  <si>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Gap!G208+Gap!G209</t>
  </si>
  <si>
    <t xml:space="preserve">WIF_Gap_PlayerVerdict_meta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</si>
  <si>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</si>
  <si>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Gap!D523</t>
  </si>
  <si>
    <t xml:space="preserve">WIF_Gap_Player_orcl_&lt;yyyy&gt;_OCF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</si>
  <si>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</t>
    </r>
  </si>
  <si>
    <t xml:space="preserve">Gap!E239:K239</t>
  </si>
  <si>
    <t xml:space="preserve">WIF_Gap_Player_orcl_&lt;yyyy&gt;_CapexAI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</si>
  <si>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</si>
  <si>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Gap!E241:K241</t>
  </si>
  <si>
    <t xml:space="preserve">WIF_Gap_Player_orcl_&lt;yyyy&gt;_CapexNonAI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</si>
  <si>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</si>
  <si>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Gap!E231:K231</t>
  </si>
  <si>
    <t xml:space="preserve">WIF_Gap_Player_orcl_&lt;yyyy&gt;_Gap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</si>
  <si>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</si>
  <si>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Gap!E247:K247</t>
  </si>
  <si>
    <t xml:space="preserve">WIF_Gap_Player_orcl_&lt;yyyy&gt;_SelfFund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</si>
  <si>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自籌比</t>
    </r>
  </si>
  <si>
    <t xml:space="preserve">Gap!E246:K246</t>
  </si>
  <si>
    <t xml:space="preserve">WIF_Gap_Player_orcl_&lt;yyyy&gt;_Buyback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</si>
  <si>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</si>
  <si>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Gap!E244:K244</t>
  </si>
  <si>
    <t xml:space="preserve">WIF_Gap_Player_orcl_&lt;yyyy&gt;_CapexAIModel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</si>
  <si>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</si>
  <si>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Gap!E235:K235</t>
  </si>
  <si>
    <t xml:space="preserve">WIF_Gap_Player_orcl_&lt;yyyy&gt;_CapexAIGW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</si>
  <si>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</si>
  <si>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Gap!E224:K224</t>
  </si>
  <si>
    <t xml:space="preserve">WIF_Gap_Player_orcl_&lt;yyyy&gt;_CapexAIMC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</si>
  <si>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</si>
  <si>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Gap!E242:K242</t>
  </si>
  <si>
    <t xml:space="preserve">WIF_Gap_PlayerCash_orcl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</si>
  <si>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</t>
    </r>
  </si>
  <si>
    <t xml:space="preserve">Gap!G257</t>
  </si>
  <si>
    <t xml:space="preserve">WIF_Gap_PlayerCommitted_orcl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</si>
  <si>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</si>
  <si>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Gap!G253+Gap!G254</t>
  </si>
  <si>
    <t xml:space="preserve">WIF_Gap_PlayerVerdict_orcl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</si>
  <si>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</si>
  <si>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Gap!D524</t>
  </si>
  <si>
    <t xml:space="preserve">WIF_Gap_Player_crwv_&lt;yyyy&gt;_OCF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</si>
  <si>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</t>
    </r>
  </si>
  <si>
    <t xml:space="preserve">Gap!E284:K284</t>
  </si>
  <si>
    <t xml:space="preserve">WIF_Gap_Player_crwv_&lt;yyyy&gt;_CapexAI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</si>
  <si>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</si>
  <si>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Gap!E286:K286</t>
  </si>
  <si>
    <t xml:space="preserve">WIF_Gap_Player_crwv_&lt;yyyy&gt;_CapexNonAI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</si>
  <si>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</si>
  <si>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Gap!E276:K276</t>
  </si>
  <si>
    <t xml:space="preserve">WIF_Gap_Player_crwv_&lt;yyyy&gt;_Gap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</si>
  <si>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</si>
  <si>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Gap!E292:K292</t>
  </si>
  <si>
    <t xml:space="preserve">WIF_Gap_Player_crwv_&lt;yyyy&gt;_SelfFund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</si>
  <si>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自籌比</t>
    </r>
  </si>
  <si>
    <t xml:space="preserve">Gap!E291:K291</t>
  </si>
  <si>
    <t xml:space="preserve">WIF_Gap_Player_crwv_&lt;yyyy&gt;_Buyback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</si>
  <si>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</si>
  <si>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Gap!E289:K289</t>
  </si>
  <si>
    <t xml:space="preserve">WIF_Gap_Player_crwv_&lt;yyyy&gt;_CapexAIModel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</si>
  <si>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</si>
  <si>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Gap!E280:K280</t>
  </si>
  <si>
    <t xml:space="preserve">WIF_Gap_Player_crwv_&lt;yyyy&gt;_CapexAIGW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</si>
  <si>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</si>
  <si>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Gap!E269:K269</t>
  </si>
  <si>
    <t xml:space="preserve">WIF_Gap_Player_crwv_&lt;yyyy&gt;_CapexAIMC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</si>
  <si>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</si>
  <si>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Gap!E287:K287</t>
  </si>
  <si>
    <t xml:space="preserve">WIF_Gap_PlayerCash_crwv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</si>
  <si>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</t>
    </r>
  </si>
  <si>
    <t xml:space="preserve">Gap!G302</t>
  </si>
  <si>
    <t xml:space="preserve">WIF_Gap_PlayerCommitted_crwv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</si>
  <si>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</si>
  <si>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Gap!G298+Gap!G299</t>
  </si>
  <si>
    <t xml:space="preserve">WIF_Gap_PlayerVerdict_crwv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</si>
  <si>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</si>
  <si>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Gap!D525</t>
  </si>
  <si>
    <t xml:space="preserve">WIF_Gap_Player_nbis_&lt;yyyy&gt;_OCF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</si>
  <si>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</t>
    </r>
  </si>
  <si>
    <t xml:space="preserve">Gap!E329:K329</t>
  </si>
  <si>
    <t xml:space="preserve">WIF_Gap_Player_nbis_&lt;yyyy&gt;_CapexAI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</si>
  <si>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</si>
  <si>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Gap!E331:K331</t>
  </si>
  <si>
    <t xml:space="preserve">WIF_Gap_Player_nbis_&lt;yyyy&gt;_CapexNonAI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</si>
  <si>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</si>
  <si>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Gap!E321:K321</t>
  </si>
  <si>
    <t xml:space="preserve">WIF_Gap_Player_nbis_&lt;yyyy&gt;_Gap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</si>
  <si>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</si>
  <si>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Gap!E337:K337</t>
  </si>
  <si>
    <t xml:space="preserve">WIF_Gap_Player_nbis_&lt;yyyy&gt;_SelfFund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</si>
  <si>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自籌比</t>
    </r>
  </si>
  <si>
    <t xml:space="preserve">Gap!E336:K336</t>
  </si>
  <si>
    <t xml:space="preserve">WIF_Gap_Player_nbis_&lt;yyyy&gt;_Buyback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</si>
  <si>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</si>
  <si>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Gap!E334:K334</t>
  </si>
  <si>
    <t xml:space="preserve">WIF_Gap_Player_nbis_&lt;yyyy&gt;_CapexAIModel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</si>
  <si>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</si>
  <si>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Gap!E325:K325</t>
  </si>
  <si>
    <t xml:space="preserve">WIF_Gap_Player_nbis_&lt;yyyy&gt;_CapexAIGW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</si>
  <si>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</si>
  <si>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Gap!E314:K314</t>
  </si>
  <si>
    <t xml:space="preserve">WIF_Gap_Player_nbis_&lt;yyyy&gt;_CapexAIMC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</si>
  <si>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</si>
  <si>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Gap!E332:K332</t>
  </si>
  <si>
    <t xml:space="preserve">WIF_Gap_PlayerCash_nbis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</si>
  <si>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</t>
    </r>
  </si>
  <si>
    <t xml:space="preserve">Gap!G347</t>
  </si>
  <si>
    <t xml:space="preserve">WIF_Gap_PlayerCommitted_nbis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</si>
  <si>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</si>
  <si>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Gap!G343+Gap!G344</t>
  </si>
  <si>
    <t xml:space="preserve">WIF_Gap_PlayerVerdict_nbis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</si>
  <si>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</si>
  <si>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Gap!D526</t>
  </si>
  <si>
    <t xml:space="preserve">WIF_Gap_Player_wyfi_&lt;yyyy&gt;_OCF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</si>
  <si>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</t>
    </r>
  </si>
  <si>
    <t xml:space="preserve">Gap!E373:K373</t>
  </si>
  <si>
    <t xml:space="preserve">WIF_Gap_Player_wyfi_&lt;yyyy&gt;_CapexAI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</si>
  <si>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</si>
  <si>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Gap!E375:K375</t>
  </si>
  <si>
    <t xml:space="preserve">WIF_Gap_Player_wyfi_&lt;yyyy&gt;_CapexNonAI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</si>
  <si>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</si>
  <si>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Gap!E366:K366</t>
  </si>
  <si>
    <t xml:space="preserve">WIF_Gap_Player_wyfi_&lt;yyyy&gt;_Gap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</si>
  <si>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</si>
  <si>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Gap!E381:K381</t>
  </si>
  <si>
    <t xml:space="preserve">WIF_Gap_Player_wyfi_&lt;yyyy&gt;_SelfFund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</si>
  <si>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自籌比</t>
    </r>
  </si>
  <si>
    <t xml:space="preserve">Gap!E380:K380</t>
  </si>
  <si>
    <t xml:space="preserve">WIF_Gap_Player_wyfi_&lt;yyyy&gt;_Buyback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</si>
  <si>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</si>
  <si>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Gap!E378:K378</t>
  </si>
  <si>
    <t xml:space="preserve">WIF_Gap_Player_wyfi_&lt;yyyy&gt;_CapexAIModel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</si>
  <si>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</si>
  <si>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Gap!E370:K370</t>
  </si>
  <si>
    <t xml:space="preserve">WIF_Gap_Player_wyfi_&lt;yyyy&gt;_CapexAIGW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</si>
  <si>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</si>
  <si>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Gap!E359:K359</t>
  </si>
  <si>
    <t xml:space="preserve">WIF_Gap_Player_wyfi_&lt;yyyy&gt;_CapexAIMC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</si>
  <si>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</si>
  <si>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Gap!E376:K376</t>
  </si>
  <si>
    <t xml:space="preserve">WIF_Gap_PlayerCash_wyfi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</si>
  <si>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</t>
    </r>
  </si>
  <si>
    <t xml:space="preserve">Gap!G382</t>
  </si>
  <si>
    <t xml:space="preserve">WIF_Gap_PlayerVerdict_wyfi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</si>
  <si>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</si>
  <si>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Gap!D527</t>
  </si>
  <si>
    <t xml:space="preserve">WIF_Gap_Player_xai_&lt;yyyy&gt;_OCF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</si>
  <si>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</t>
    </r>
  </si>
  <si>
    <t xml:space="preserve">Gap!E407:K407</t>
  </si>
  <si>
    <t xml:space="preserve">WIF_Gap_Player_xai_&lt;yyyy&gt;_CapexAI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</si>
  <si>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</si>
  <si>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Gap!E409:K409</t>
  </si>
  <si>
    <t xml:space="preserve">WIF_Gap_Player_xai_&lt;yyyy&gt;_CapexNonAI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</si>
  <si>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</si>
  <si>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Gap!E400:K400</t>
  </si>
  <si>
    <t xml:space="preserve">WIF_Gap_Player_xai_&lt;yyyy&gt;_Gap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</si>
  <si>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</si>
  <si>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Gap!E415:K415</t>
  </si>
  <si>
    <t xml:space="preserve">WIF_Gap_Player_xai_&lt;yyyy&gt;_SelfFund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</si>
  <si>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自籌比</t>
    </r>
  </si>
  <si>
    <t xml:space="preserve">Gap!E414:K414</t>
  </si>
  <si>
    <t xml:space="preserve">WIF_Gap_Player_xai_&lt;yyyy&gt;_Buyback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</si>
  <si>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</si>
  <si>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Gap!E412:K412</t>
  </si>
  <si>
    <t xml:space="preserve">WIF_Gap_Player_xai_&lt;yyyy&gt;_CapexAIModel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</si>
  <si>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</si>
  <si>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Gap!E404:K404</t>
  </si>
  <si>
    <t xml:space="preserve">WIF_Gap_Player_xai_&lt;yyyy&gt;_CapexAIGW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</si>
  <si>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</si>
  <si>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Gap!E393:K393</t>
  </si>
  <si>
    <t xml:space="preserve">WIF_Gap_Player_xai_&lt;yyyy&gt;_CapexAIMC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</si>
  <si>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</si>
  <si>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Gap!E410:K410</t>
  </si>
  <si>
    <t xml:space="preserve">WIF_Gap_PlayerCash_xai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</si>
  <si>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</t>
    </r>
  </si>
  <si>
    <t xml:space="preserve">Gap!G425</t>
  </si>
  <si>
    <t xml:space="preserve">WIF_Gap_PlayerCommitted_xai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</si>
  <si>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</si>
  <si>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Gap!G421+Gap!G422</t>
  </si>
  <si>
    <t xml:space="preserve">WIF_Gap_PlayerVerdict_xai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</si>
  <si>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</si>
  <si>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Gap!D528</t>
  </si>
  <si>
    <t xml:space="preserve">WIF_Gap_Player_oai_&lt;yyyy&gt;_OCF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</si>
  <si>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</t>
    </r>
  </si>
  <si>
    <t xml:space="preserve">Gap!E452:K452</t>
  </si>
  <si>
    <t xml:space="preserve">WIF_Gap_Player_oai_&lt;yyyy&gt;_CapexAI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</si>
  <si>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</si>
  <si>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Gap!E454:K454</t>
  </si>
  <si>
    <t xml:space="preserve">WIF_Gap_Player_oai_&lt;yyyy&gt;_CapexNonAI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</si>
  <si>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</si>
  <si>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Gap!E445:K445</t>
  </si>
  <si>
    <t xml:space="preserve">WIF_Gap_Player_oai_&lt;yyyy&gt;_Gap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</si>
  <si>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</si>
  <si>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Gap!E460:K460</t>
  </si>
  <si>
    <t xml:space="preserve">WIF_Gap_Player_oai_&lt;yyyy&gt;_SelfFund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</si>
  <si>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自籌比</t>
    </r>
  </si>
  <si>
    <t xml:space="preserve">Gap!E459:K459</t>
  </si>
  <si>
    <t xml:space="preserve">WIF_Gap_Player_oai_&lt;yyyy&gt;_Buyback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</si>
  <si>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</si>
  <si>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Gap!E457:K457</t>
  </si>
  <si>
    <t xml:space="preserve">WIF_Gap_Player_oai_&lt;yyyy&gt;_CapexAIModel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</si>
  <si>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</si>
  <si>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Gap!E449:K449</t>
  </si>
  <si>
    <t xml:space="preserve">WIF_Gap_Player_oai_&lt;yyyy&gt;_CapexAIGW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</si>
  <si>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</si>
  <si>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Gap!E438:K438</t>
  </si>
  <si>
    <t xml:space="preserve">WIF_Gap_Player_oai_&lt;yyyy&gt;_CapexAIMC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</si>
  <si>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</si>
  <si>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Gap!E455:K455</t>
  </si>
  <si>
    <t xml:space="preserve">WIF_Gap_PlayerCash_oai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</si>
  <si>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</t>
    </r>
  </si>
  <si>
    <t xml:space="preserve">Gap!G470</t>
  </si>
  <si>
    <t xml:space="preserve">WIF_Gap_PlayerCommitted_oai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</si>
  <si>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</si>
  <si>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Gap!G466+Gap!G467</t>
  </si>
  <si>
    <t xml:space="preserve">WIF_Gap_PlayerVerdict_oai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</si>
  <si>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</si>
  <si>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Gap!D529</t>
  </si>
  <si>
    <t xml:space="preserve">WIF_Gap_Player_ant_&lt;yyyy&gt;_OCF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</si>
  <si>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</t>
    </r>
  </si>
  <si>
    <t xml:space="preserve">Gap!E496:K496</t>
  </si>
  <si>
    <t xml:space="preserve">WIF_Gap_Player_ant_&lt;yyyy&gt;_CapexAI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</si>
  <si>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</si>
  <si>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Gap!E498:K498</t>
  </si>
  <si>
    <t xml:space="preserve">WIF_Gap_Player_ant_&lt;yyyy&gt;_CapexNonAI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</si>
  <si>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</si>
  <si>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Gap!E489:K489</t>
  </si>
  <si>
    <t xml:space="preserve">WIF_Gap_Player_ant_&lt;yyyy&gt;_Gap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</si>
  <si>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</si>
  <si>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Gap!E504:K504</t>
  </si>
  <si>
    <t xml:space="preserve">WIF_Gap_Player_ant_&lt;yyyy&gt;_SelfFund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</si>
  <si>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自籌比</t>
    </r>
  </si>
  <si>
    <t xml:space="preserve">Gap!E503:K503</t>
  </si>
  <si>
    <t xml:space="preserve">WIF_Gap_Player_ant_&lt;yyyy&gt;_Buyback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</si>
  <si>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</si>
  <si>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Gap!E501:K501</t>
  </si>
  <si>
    <t xml:space="preserve">WIF_Gap_Player_ant_&lt;yyyy&gt;_CapexAIModel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</si>
  <si>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</si>
  <si>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Gap!E493:K493</t>
  </si>
  <si>
    <t xml:space="preserve">WIF_Gap_Player_ant_&lt;yyyy&gt;_CapexAIGW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</si>
  <si>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</si>
  <si>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Gap!E482:K482</t>
  </si>
  <si>
    <t xml:space="preserve">WIF_Gap_Player_ant_&lt;yyyy&gt;_CapexAIMC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</si>
  <si>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</si>
  <si>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Gap!E499:K499</t>
  </si>
  <si>
    <t xml:space="preserve">WIF_Gap_PlayerCash_ant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</si>
  <si>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</t>
    </r>
  </si>
  <si>
    <t xml:space="preserve">Gap!G514</t>
  </si>
  <si>
    <t xml:space="preserve">WIF_Gap_PlayerCommitted_ant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</si>
  <si>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</si>
  <si>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Gap!G510+Gap!G511</t>
  </si>
  <si>
    <t xml:space="preserve">WIF_Gap_PlayerVerdict_ant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</si>
  <si>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</si>
  <si>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Gap!D530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</si>
  <si>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</si>
  <si>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</si>
  <si>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</si>
  <si>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</si>
  <si>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</si>
  <si>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</si>
  <si>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</si>
  <si>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</si>
  <si>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</si>
  <si>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</si>
  <si>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</si>
  <si>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</si>
  <si>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</si>
  <si>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</si>
  <si>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</si>
  <si>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</si>
  <si>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</si>
  <si>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</si>
  <si>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</si>
  <si>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</si>
  <si>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</si>
  <si>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</si>
  <si>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</si>
  <si>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</si>
  <si>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</si>
  <si>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</si>
  <si>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</si>
  <si>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</si>
  <si>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</si>
  <si>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</si>
  <si>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</si>
  <si>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</si>
  <si>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</si>
  <si>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</si>
  <si>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</si>
  <si>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</si>
  <si>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</si>
  <si>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</si>
  <si>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</si>
  <si>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</si>
  <si>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E-Gap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</si>
  <si>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</si>
  <si>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</si>
  <si>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</si>
  <si>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</si>
  <si>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</si>
  <si>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</si>
  <si>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</si>
  <si>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</si>
  <si>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</si>
  <si>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</si>
  <si>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</si>
  <si>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</si>
  <si>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</si>
  <si>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</si>
  <si>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</si>
  <si>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</si>
  <si>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</si>
  <si>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</si>
  <si>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</si>
  <si>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</si>
  <si>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</si>
  <si>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</si>
  <si>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</si>
  <si>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</si>
  <si>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</si>
  <si>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</si>
  <si>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</si>
  <si>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</si>
  <si>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</si>
  <si>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</si>
  <si>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</si>
  <si>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</si>
  <si>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</si>
  <si>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</si>
  <si>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</si>
  <si>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</si>
  <si>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</si>
  <si>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</si>
  <si>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</si>
  <si>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</si>
  <si>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</si>
  <si>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</si>
  <si>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</si>
  <si>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</si>
  <si>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</si>
  <si>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</si>
  <si>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</si>
  <si>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</si>
  <si>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</si>
  <si>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</si>
  <si>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</si>
  <si>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</si>
  <si>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</si>
  <si>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</si>
  <si>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</si>
  <si>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</si>
  <si>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</si>
  <si>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</si>
  <si>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</si>
  <si>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</si>
  <si>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</si>
  <si>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</si>
  <si>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</si>
  <si>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</si>
  <si>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</si>
  <si>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</si>
  <si>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</si>
  <si>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</si>
  <si>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</si>
  <si>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</si>
  <si>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</si>
  <si>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</si>
  <si>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</si>
  <si>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</si>
  <si>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</si>
  <si>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</si>
  <si>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</si>
  <si>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</si>
  <si>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</si>
  <si>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</si>
  <si>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</si>
  <si>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</si>
  <si>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</si>
  <si>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</si>
  <si>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</si>
  <si>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</si>
  <si>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</si>
  <si>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</si>
  <si>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</si>
  <si>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</si>
  <si>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</si>
  <si>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</si>
  <si>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</si>
  <si>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</si>
  <si>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</si>
  <si>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</si>
  <si>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</si>
  <si>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</si>
  <si>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</si>
  <si>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</si>
  <si>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</si>
  <si>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</si>
  <si>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</si>
  <si>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</si>
  <si>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</si>
  <si>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</si>
  <si>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</si>
  <si>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</si>
  <si>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</si>
  <si>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</si>
  <si>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</si>
  <si>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</si>
  <si>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</si>
  <si>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</si>
  <si>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</si>
  <si>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</si>
  <si>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</si>
  <si>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</si>
  <si>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</si>
  <si>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</si>
  <si>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</si>
  <si>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</si>
  <si>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</si>
  <si>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</si>
  <si>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</si>
  <si>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</si>
  <si>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</si>
  <si>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</si>
  <si>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</si>
  <si>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</si>
  <si>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</si>
  <si>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</si>
  <si>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</si>
  <si>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</si>
  <si>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</si>
  <si>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</si>
  <si>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</si>
  <si>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</si>
  <si>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</si>
  <si>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</si>
  <si>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</si>
  <si>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</si>
  <si>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</si>
  <si>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</si>
  <si>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</si>
  <si>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</si>
  <si>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</si>
  <si>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</si>
  <si>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</si>
  <si>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</si>
  <si>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</si>
  <si>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</si>
  <si>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</si>
  <si>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</si>
  <si>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</si>
  <si>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</si>
  <si>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</si>
  <si>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</si>
  <si>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</si>
  <si>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</si>
  <si>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</si>
  <si>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</si>
  <si>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</si>
  <si>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</si>
  <si>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</si>
  <si>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</si>
  <si>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</si>
  <si>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</si>
  <si>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</si>
  <si>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</si>
  <si>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</si>
  <si>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</si>
  <si>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</si>
  <si>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</si>
  <si>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</si>
  <si>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</si>
  <si>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</si>
  <si>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</si>
  <si>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</si>
  <si>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</si>
  <si>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</si>
  <si>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</si>
  <si>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</si>
  <si>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</si>
  <si>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</si>
  <si>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</si>
  <si>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</si>
  <si>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</si>
  <si>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</si>
  <si>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</si>
  <si>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</si>
  <si>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</si>
  <si>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</si>
  <si>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</si>
  <si>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</si>
  <si>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</si>
  <si>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</si>
  <si>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</si>
  <si>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</si>
  <si>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</si>
  <si>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</si>
  <si>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</si>
  <si>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</si>
  <si>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</si>
  <si>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</si>
  <si>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</si>
  <si>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</si>
  <si>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</si>
  <si>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</si>
  <si>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</si>
  <si>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</si>
  <si>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</si>
  <si>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</si>
  <si>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</si>
  <si>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</si>
  <si>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</si>
  <si>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</si>
  <si>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</si>
  <si>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</si>
  <si>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</si>
  <si>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</si>
  <si>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</si>
  <si>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</si>
  <si>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</si>
  <si>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</si>
  <si>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</si>
  <si>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</si>
  <si>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</si>
  <si>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</si>
  <si>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</si>
  <si>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</si>
  <si>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</si>
  <si>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</si>
  <si>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</si>
  <si>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</si>
  <si>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</si>
  <si>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</si>
  <si>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</si>
  <si>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</si>
  <si>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</si>
  <si>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</si>
  <si>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</si>
  <si>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</si>
  <si>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</si>
  <si>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</si>
  <si>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</si>
  <si>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</si>
  <si>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</si>
  <si>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</si>
  <si>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</si>
  <si>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</si>
  <si>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</si>
  <si>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</si>
  <si>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</si>
  <si>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</si>
  <si>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</si>
  <si>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</si>
  <si>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</si>
  <si>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</si>
  <si>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</si>
  <si>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</si>
  <si>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</si>
  <si>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</si>
  <si>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</si>
  <si>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</si>
  <si>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</si>
  <si>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</si>
  <si>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</si>
  <si>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</si>
  <si>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</si>
  <si>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</si>
  <si>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G-K1-2023</t>
  </si>
  <si>
    <r>
      <rPr>
        <sz val="11"/>
        <color theme="1"/>
        <rFont val="Calibri"/>
        <family val="2"/>
        <charset val="1"/>
      </rPr>
      <t xml:space="preserve">2023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</si>
  <si>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r>
      <rPr>
        <sz val="11"/>
        <color theme="1"/>
        <rFont val="Noto Sans CJK SC"/>
        <family val="2"/>
      </rPr>
      <t xml:space="preserve">恆等式（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</si>
  <si>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G-K1-2024</t>
  </si>
  <si>
    <r>
      <rPr>
        <sz val="11"/>
        <color theme="1"/>
        <rFont val="Calibri"/>
        <family val="2"/>
        <charset val="1"/>
      </rPr>
      <t xml:space="preserve">2024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</si>
  <si>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G-K1-2025</t>
  </si>
  <si>
    <r>
      <rPr>
        <sz val="11"/>
        <color theme="1"/>
        <rFont val="Calibri"/>
        <family val="2"/>
        <charset val="1"/>
      </rPr>
      <t xml:space="preserve">2025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</si>
  <si>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G-K1-2026</t>
  </si>
  <si>
    <r>
      <rPr>
        <sz val="11"/>
        <color theme="1"/>
        <rFont val="Calibri"/>
        <family val="2"/>
        <charset val="1"/>
      </rPr>
      <t xml:space="preserve">2026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</si>
  <si>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G-K1-2027</t>
  </si>
  <si>
    <r>
      <rPr>
        <sz val="11"/>
        <color theme="1"/>
        <rFont val="Calibri"/>
        <family val="2"/>
        <charset val="1"/>
      </rPr>
      <t xml:space="preserve">2027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</si>
  <si>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G-K1-2028</t>
  </si>
  <si>
    <r>
      <rPr>
        <sz val="11"/>
        <color theme="1"/>
        <rFont val="Calibri"/>
        <family val="2"/>
        <charset val="1"/>
      </rPr>
      <t xml:space="preserve">2028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</si>
  <si>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G-K1-2029</t>
  </si>
  <si>
    <r>
      <rPr>
        <sz val="11"/>
        <color theme="1"/>
        <rFont val="Calibri"/>
        <family val="2"/>
        <charset val="1"/>
      </rPr>
      <t xml:space="preserve">2029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</si>
  <si>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G-K1-2030</t>
  </si>
  <si>
    <r>
      <rPr>
        <sz val="11"/>
        <color theme="1"/>
        <rFont val="Calibri"/>
        <family val="2"/>
        <charset val="1"/>
      </rPr>
      <t xml:space="preserve">2030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</si>
  <si>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G-K1-2031</t>
  </si>
  <si>
    <r>
      <rPr>
        <sz val="11"/>
        <color theme="1"/>
        <rFont val="Calibri"/>
        <family val="2"/>
        <charset val="1"/>
      </rPr>
      <t xml:space="preserve">2031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</si>
  <si>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G-K1-2032</t>
  </si>
  <si>
    <r>
      <rPr>
        <sz val="11"/>
        <color theme="1"/>
        <rFont val="Calibri"/>
        <family val="2"/>
        <charset val="1"/>
      </rPr>
      <t xml:space="preserve">2032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</si>
  <si>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G-K2</t>
  </si>
  <si>
    <r>
      <rPr>
        <sz val="11"/>
        <color theme="1"/>
        <rFont val="Noto Sans CJK SC"/>
        <family val="2"/>
      </rPr>
      <t xml:space="preserve">同源一致：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成本＝甲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玩家年新增與每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</si>
  <si>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G-K3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</si>
  <si>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：情景比例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需要（</t>
    </r>
    <r>
      <rPr>
        <sz val="11"/>
        <color theme="1"/>
        <rFont val="Calibri"/>
        <family val="2"/>
        <charset val="1"/>
      </rPr>
      <t xml:space="preserve">× r</t>
    </r>
    <r>
      <rPr>
        <sz val="11"/>
        <color theme="1"/>
        <rFont val="Noto Sans CJK SC"/>
        <family val="2"/>
      </rPr>
      <t xml:space="preserve">）＝玩家層加總（未縮放）；組成合計＝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</si>
  <si>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G-K3c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</si>
  <si>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分配：各玩家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合計＝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需要（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</si>
  <si>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G-K3b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</si>
  <si>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並列讀法：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需要＝玩家層並列讀法加總（未縮放）</t>
    </r>
  </si>
  <si>
    <t xml:space="preserve">G-K4</t>
  </si>
  <si>
    <r>
      <rPr>
        <sz val="11"/>
        <color theme="1"/>
        <rFont val="Noto Sans CJK SC"/>
        <family val="2"/>
      </rPr>
      <t xml:space="preserve">每情景、兩讀法：尚需新融資＝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家需要 − 來源；累計仍未安排＝逐年加總 − 期初現金（承諾不作來源）</t>
    </r>
  </si>
  <si>
    <t xml:space="preserve">G-K4b</t>
  </si>
  <si>
    <t xml:space="preserve">承諾（已簽未起租＋表外合資）不進任何尚需、仍未安排、判讀公式（只在備忘列；建置時公式文字檢查）</t>
  </si>
  <si>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</si>
  <si>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G-K5</t>
  </si>
  <si>
    <r>
      <rPr>
        <sz val="11"/>
        <color theme="1"/>
        <rFont val="Noto Sans CJK SC"/>
        <family val="2"/>
      </rPr>
      <t xml:space="preserve">缺口、自籌比、尚需新融資的公式不引用買回＋股利列（建置時公式文字檢查；</t>
    </r>
    <r>
      <rPr>
        <sz val="11"/>
        <color theme="1"/>
        <rFont val="Calibri"/>
        <family val="2"/>
        <charset val="1"/>
      </rPr>
      <t xml:space="preserve">Andy 2026-10-31 04:20</t>
    </r>
    <r>
      <rPr>
        <sz val="11"/>
        <color theme="1"/>
        <rFont val="Noto Sans CJK SC"/>
        <family val="2"/>
      </rPr>
      <t xml:space="preserve">：不扣買回與股利）</t>
    </r>
  </si>
  <si>
    <t xml:space="preserve">G-K6a</t>
  </si>
  <si>
    <r>
      <rPr>
        <sz val="11"/>
        <color theme="1"/>
        <rFont val="Noto Sans CJK SC"/>
        <family val="2"/>
      </rPr>
      <t xml:space="preserve">情景比例 </t>
    </r>
    <r>
      <rPr>
        <sz val="11"/>
        <color theme="1"/>
        <rFont val="Calibri"/>
        <family val="2"/>
        <charset val="1"/>
      </rPr>
      <t xml:space="preserve">r </t>
    </r>
    <r>
      <rPr>
        <sz val="11"/>
        <color theme="1"/>
        <rFont val="Noto Sans CJK SC"/>
        <family val="2"/>
      </rPr>
      <t xml:space="preserve">保護旗標格數（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市場年新增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</si>
  <si>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</si>
  <si>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G-K6b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</si>
  <si>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家營業現金流『無模型值』的公司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</si>
  <si>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t xml:space="preserve">G-K7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</si>
  <si>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七家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占比）超出 </t>
    </r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的家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；只警告）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</si>
  <si>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年新增多為『新納入存量』（不計資本支出），推算值偏低；見報告</t>
    </r>
  </si>
  <si>
    <t xml:space="preserve">G-K9</t>
  </si>
  <si>
    <r>
      <rPr>
        <sz val="11"/>
        <color theme="1"/>
        <rFont val="Noto Sans CJK SC"/>
        <family val="2"/>
      </rPr>
      <t xml:space="preserve">模型值替代格數（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× 2024–2030</t>
    </r>
    <r>
      <rPr>
        <sz val="11"/>
        <color theme="1"/>
        <rFont val="Noto Sans CJK SC"/>
        <family val="2"/>
      </rPr>
      <t xml:space="preserve">：營業現金流有計、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容量由他方擁有，不替代）</t>
    </r>
  </si>
  <si>
    <t xml:space="preserve">G-K10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</si>
  <si>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資本支出以 </t>
    </r>
    <r>
      <rPr>
        <sz val="11"/>
        <color theme="1"/>
        <rFont val="Calibri"/>
        <family val="2"/>
        <charset val="1"/>
      </rPr>
      <t xml:space="preserve">In 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替代的格數（七家 </t>
    </r>
    <r>
      <rPr>
        <sz val="11"/>
        <color theme="1"/>
        <rFont val="Calibri"/>
        <family val="2"/>
        <charset val="1"/>
      </rPr>
      <t xml:space="preserve">× 2024–2030</t>
    </r>
    <r>
      <rPr>
        <sz val="11"/>
        <color theme="1"/>
        <rFont val="Noto Sans CJK SC"/>
        <family val="2"/>
      </rPr>
      <t xml:space="preserve">；模型無拆分）</t>
    </r>
  </si>
  <si>
    <r>
      <rPr>
        <sz val="11"/>
        <color theme="1"/>
        <rFont val="Noto Sans CJK SC"/>
        <family val="2"/>
      </rPr>
      <t xml:space="preserve">另：非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計的格數見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t_nai0n</t>
    </r>
  </si>
  <si>
    <t xml:space="preserve">G-K8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</si>
  <si>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IT </t>
    </r>
    <r>
      <rPr>
        <sz val="11"/>
        <color theme="1"/>
        <rFont val="Noto Sans CJK SC"/>
        <family val="2"/>
      </rPr>
      <t xml:space="preserve">部分（年新增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Spend IT </t>
    </r>
    <r>
      <rPr>
        <sz val="11"/>
        <color theme="1"/>
        <rFont val="Noto Sans CJK SC"/>
        <family val="2"/>
      </rPr>
      <t xml:space="preserve">設備小計（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；同一組儲存格）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</si>
  <si>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</si>
  <si>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</si>
  <si>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</si>
  <si>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</si>
  <si>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</si>
  <si>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</si>
  <si>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</si>
  <si>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</si>
  <si>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</si>
  <si>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</si>
  <si>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</si>
  <si>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</si>
  <si>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</si>
  <si>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</si>
  <si>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</si>
  <si>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</si>
  <si>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</si>
  <si>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</si>
  <si>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</si>
  <si>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</si>
  <si>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</si>
  <si>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</si>
  <si>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</si>
  <si>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</si>
  <si>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</si>
  <si>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</si>
  <si>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</si>
  <si>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</si>
  <si>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</si>
  <si>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</si>
  <si>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</si>
  <si>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</si>
  <si>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</si>
  <si>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</si>
  <si>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</si>
  <si>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</si>
  <si>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</si>
  <si>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</si>
  <si>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</si>
  <si>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</si>
  <si>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</si>
  <si>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</si>
  <si>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</si>
  <si>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</si>
  <si>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</si>
  <si>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</si>
  <si>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</si>
  <si>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</si>
  <si>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</si>
  <si>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</si>
  <si>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</si>
  <si>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</si>
  <si>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</si>
  <si>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</si>
  <si>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</si>
  <si>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</si>
  <si>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</si>
  <si>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</si>
  <si>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</si>
  <si>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</si>
  <si>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</si>
  <si>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</si>
  <si>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</si>
  <si>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</si>
  <si>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</si>
  <si>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</si>
  <si>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</si>
  <si>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</si>
  <si>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</si>
  <si>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</si>
  <si>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</si>
  <si>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</si>
  <si>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</si>
  <si>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</si>
  <si>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</si>
  <si>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</si>
  <si>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</si>
  <si>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</si>
  <si>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</si>
  <si>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</si>
  <si>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</si>
  <si>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</si>
  <si>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</si>
  <si>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</si>
  <si>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</si>
  <si>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</si>
  <si>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</si>
  <si>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</si>
  <si>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</si>
  <si>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</si>
  <si>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</si>
  <si>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</si>
  <si>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</si>
  <si>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</si>
  <si>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</si>
  <si>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</si>
  <si>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</si>
  <si>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</si>
  <si>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</si>
  <si>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</si>
  <si>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</si>
  <si>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</si>
  <si>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</si>
  <si>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</si>
  <si>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</si>
  <si>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</si>
  <si>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</si>
  <si>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</si>
  <si>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</si>
  <si>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</si>
  <si>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</si>
  <si>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</si>
  <si>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</si>
  <si>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</si>
  <si>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</si>
  <si>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</si>
  <si>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</si>
  <si>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</si>
  <si>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</si>
  <si>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</si>
  <si>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</si>
  <si>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</si>
  <si>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</si>
  <si>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</si>
  <si>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</si>
  <si>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</si>
  <si>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</si>
  <si>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</si>
  <si>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</si>
  <si>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</si>
  <si>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</si>
  <si>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</si>
  <si>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</si>
  <si>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</si>
  <si>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</si>
  <si>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</si>
  <si>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</si>
  <si>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</si>
  <si>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</si>
  <si>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</si>
  <si>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t xml:space="preserve">GL01-25</t>
  </si>
  <si>
    <t xml:space="preserve">判斷</t>
  </si>
  <si>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成本口徑</t>
    </r>
  </si>
  <si>
    <r>
      <rPr>
        <sz val="11"/>
        <color theme="1"/>
        <rFont val="Noto Sans CJK SC"/>
        <family val="2"/>
      </rPr>
      <t xml:space="preserve">主口徑＝資本支出（現金；新增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，廠房提前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）；年化持有成本只作對照列——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快照未含持有成本名稱，本版列『待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），不自行估算</t>
    </r>
  </si>
  <si>
    <t xml:space="preserve">2026-10-31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</si>
  <si>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10:22</t>
    </r>
    <r>
      <rPr>
        <sz val="11"/>
        <color theme="1"/>
        <rFont val="Noto Sans CJK SC"/>
        <family val="2"/>
      </rPr>
      <t xml:space="preserve">「每座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要花多少錢」</t>
    </r>
  </si>
  <si>
    <t xml:space="preserve">GL01-26</t>
  </si>
  <si>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</si>
  <si>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計入『需要』但獨立成一層（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資本支出）；來源＝個股模型非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列；模型沒拆或該年沒有（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全期）標無模型值、以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</si>
  <si>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G2</t>
    </r>
  </si>
  <si>
    <t xml:space="preserve">GL01-27</t>
  </si>
  <si>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判讀門檻</t>
    </r>
  </si>
  <si>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年自由現金流 </t>
    </r>
    <r>
      <rPr>
        <sz val="11"/>
        <color theme="1"/>
        <rFont val="Calibri"/>
        <family val="2"/>
        <charset val="1"/>
      </rPr>
      <t xml:space="preserve">&lt; 0</t>
    </r>
    <r>
      <rPr>
        <sz val="11"/>
        <color theme="1"/>
        <rFont val="Noto Sans CJK SC"/>
        <family val="2"/>
      </rPr>
      <t xml:space="preserve">，或缺口占資本支出 </t>
    </r>
    <r>
      <rPr>
        <sz val="11"/>
        <color theme="1"/>
        <rFont val="Calibri"/>
        <family val="2"/>
        <charset val="1"/>
      </rPr>
      <t xml:space="preserve">&gt; 30% </t>
    </r>
    <r>
      <rPr>
        <sz val="11"/>
        <color theme="1"/>
        <rFont val="Noto Sans CJK SC"/>
        <family val="2"/>
      </rPr>
      <t xml:space="preserve">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型；否則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型（標轉正年）；營業現金流有缺＝未定（資料不足）。市場層出兩讀：含市場其餘／只看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</si>
  <si>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Q4</t>
    </r>
    <r>
      <rPr>
        <sz val="11"/>
        <color theme="1"/>
        <rFont val="Noto Sans CJK SC"/>
        <family val="2"/>
      </rPr>
      <t xml:space="preserve">；工作單 </t>
    </r>
    <r>
      <rPr>
        <sz val="11"/>
        <color theme="1"/>
        <rFont val="Calibri"/>
        <family val="2"/>
        <charset val="1"/>
      </rPr>
      <t xml:space="preserve">§1 G3</t>
    </r>
  </si>
  <si>
    <t xml:space="preserve">GL01-28</t>
  </si>
  <si>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前瞻年份已到位資金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</si>
  <si>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已觀測外部融資（總額口徑；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財年按月數換曆年）；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起年度來源只有營業現金流；累計仍未安排＝累計尚需 − 期初現金（</t>
    </r>
    <r>
      <rPr>
        <sz val="11"/>
        <color theme="1"/>
        <rFont val="Calibri"/>
        <family val="2"/>
        <charset val="1"/>
      </rPr>
      <t xml:space="preserve">Funding cash_level 2025-12-31 </t>
    </r>
    <r>
      <rPr>
        <sz val="11"/>
        <color theme="1"/>
        <rFont val="Noto Sans CJK SC"/>
        <family val="2"/>
      </rPr>
      <t xml:space="preserve">優先，否則個股模型；</t>
    </r>
    <r>
      <rPr>
        <sz val="11"/>
        <color theme="1"/>
        <rFont val="Calibri"/>
        <family val="2"/>
        <charset val="1"/>
      </rPr>
      <t xml:space="preserve">Microsoft 2026-06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2026-08 </t>
    </r>
    <r>
      <rPr>
        <sz val="11"/>
        <color theme="1"/>
        <rFont val="Noto Sans CJK SC"/>
        <family val="2"/>
      </rPr>
      <t xml:space="preserve">為模型最早餘額）。已簽未起租租賃與表外合資承諾是市場內移轉（出租方資本支出已在『需要』），不作資金來源，只列備忘（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更正）。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年已觀測融資只列備忘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</si>
  <si>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更正</t>
    </r>
  </si>
  <si>
    <t xml:space="preserve">GL01-29</t>
  </si>
  <si>
    <r>
      <rPr>
        <sz val="11"/>
        <color theme="1"/>
        <rFont val="Calibri"/>
        <family val="2"/>
        <charset val="1"/>
      </rPr>
      <t xml:space="preserve">G5 </t>
    </r>
    <r>
      <rPr>
        <sz val="11"/>
        <color theme="1"/>
        <rFont val="Noto Sans CJK SC"/>
        <family val="2"/>
      </rPr>
      <t xml:space="preserve">營業現金流不隨需求情景</t>
    </r>
  </si>
  <si>
    <r>
      <rPr>
        <sz val="11"/>
        <color theme="1"/>
        <rFont val="Noto Sans CJK SC"/>
        <family val="2"/>
      </rPr>
      <t xml:space="preserve">是；來源固定為個股模型基準情境（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</si>
  <si>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G5</t>
    </r>
  </si>
  <si>
    <t xml:space="preserve">GL01-30</t>
  </si>
  <si>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年份</t>
    </r>
  </si>
  <si>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的年份標『情景』（以公式判斷；工作單寫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起，但 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覆蓋率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0.71</t>
    </r>
    <r>
      <rPr>
        <sz val="11"/>
        <color theme="1"/>
        <rFont val="Noto Sans CJK SC"/>
        <family val="2"/>
      </rPr>
      <t xml:space="preserve">，實際為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）；個股模型沒有的年份標無模型值、不外推；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營業現金流模型沒有時改用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全年觀測（期間標籤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），仍沒有則無模型值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</si>
  <si>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§6</t>
    </r>
  </si>
  <si>
    <t xml:space="preserve">GL01-31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</si>
  <si>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的擁有者</t>
    </r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</si>
  <si>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自建，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營運）依規劃書 </t>
    </r>
    <r>
      <rPr>
        <sz val="11"/>
        <color theme="1"/>
        <rFont val="Calibri"/>
        <family val="2"/>
        <charset val="1"/>
      </rPr>
      <t xml:space="preserve">§3.3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擁有，歸『市場其餘』，不計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營業現金流＝模型自由現金流＋模型自有資本支出（算力現金成本內含）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</si>
  <si>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（表外合資與 </t>
    </r>
    <r>
      <rPr>
        <sz val="11"/>
        <color theme="1"/>
        <rFont val="Calibri"/>
        <family val="2"/>
        <charset val="1"/>
      </rPr>
      <t xml:space="preserve">SPV</t>
    </r>
    <r>
      <rPr>
        <sz val="11"/>
        <color theme="1"/>
        <rFont val="Noto Sans CJK SC"/>
        <family val="2"/>
      </rPr>
      <t xml:space="preserve">）</t>
    </r>
  </si>
  <si>
    <t xml:space="preserve">GL01-32</t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</si>
  <si>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列的模型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</si>
  <si>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：營業現金流＝營運缺口＋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另加回股利）＝營運來源 − 租金 − 利息（− 現金稅）；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自有資本支出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</si>
  <si>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§2e</t>
    </r>
    <r>
      <rPr>
        <sz val="11"/>
        <color theme="1"/>
        <rFont val="Noto Sans CJK SC"/>
        <family val="2"/>
      </rPr>
      <t xml:space="preserve">（逐家人工確認列位）</t>
    </r>
  </si>
  <si>
    <t xml:space="preserve">GL01-34</t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</si>
  <si>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證據時的模型值替代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</si>
  <si>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家中營業現金流有計、但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的年份（本版：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2028–2030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 2028–2030</t>
    </r>
    <r>
      <rPr>
        <sz val="11"/>
        <color theme="1"/>
        <rFont val="Noto Sans CJK SC"/>
        <family val="2"/>
      </rPr>
      <t xml:space="preserve">），改用個股模型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資本支出並計為擁有者需要，市場合計同額加上（不從市場其餘扣）；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容量在市場其餘）、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（容量在其他新雲與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）不替代；</t>
    </r>
    <r>
      <rPr>
        <sz val="11"/>
        <color theme="1"/>
        <rFont val="Calibri"/>
        <family val="2"/>
        <charset val="1"/>
      </rPr>
      <t xml:space="preserve">Checks G-K9 WARN </t>
    </r>
    <r>
      <rPr>
        <sz val="11"/>
        <color theme="1"/>
        <rFont val="Noto Sans CJK SC"/>
        <family val="2"/>
      </rPr>
      <t xml:space="preserve">計格數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</si>
  <si>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決定</t>
    </r>
  </si>
  <si>
    <t xml:space="preserve">GL01-35</t>
  </si>
  <si>
    <t xml:space="preserve">並列讀法：七家依個股模型資本支出</t>
  </si>
  <si>
    <r>
      <rPr>
        <sz val="11"/>
        <color theme="1"/>
        <rFont val="Noto Sans CJK SC"/>
        <family val="2"/>
      </rPr>
      <t xml:space="preserve">主讀法維持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規格）；另列七家 </t>
    </r>
    <r>
      <rPr>
        <sz val="11"/>
        <color theme="1"/>
        <rFont val="Calibri"/>
        <family val="2"/>
        <charset val="1"/>
      </rPr>
      <t xml:space="preserve">2027–2030 AI </t>
    </r>
    <r>
      <rPr>
        <sz val="11"/>
        <color theme="1"/>
        <rFont val="Noto Sans CJK SC"/>
        <family val="2"/>
      </rPr>
      <t xml:space="preserve">資本支出改用個股模型基準情境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資本支出（市場其餘不變），重算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情景尚需、累計與判讀（名稱 </t>
    </r>
    <r>
      <rPr>
        <sz val="11"/>
        <color theme="1"/>
        <rFont val="Calibri"/>
        <family val="2"/>
        <charset val="1"/>
      </rPr>
      <t xml:space="preserve">*_ModelCapex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本版不改（</t>
    </r>
    <r>
      <rPr>
        <sz val="11"/>
        <color theme="1"/>
        <rFont val="Calibri"/>
        <family val="2"/>
        <charset val="1"/>
      </rPr>
      <t xml:space="preserve">v0.1.8 </t>
    </r>
    <r>
      <rPr>
        <sz val="11"/>
        <color theme="1"/>
        <rFont val="Noto Sans CJK SC"/>
        <family val="2"/>
      </rPr>
      <t xml:space="preserve">處理）</t>
    </r>
  </si>
  <si>
    <t xml:space="preserve">GL01-36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</si>
  <si>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資本支出缺值替代</t>
    </r>
  </si>
  <si>
    <r>
      <rPr>
        <sz val="11"/>
        <color theme="1"/>
        <rFont val="Noto Sans CJK SC"/>
        <family val="2"/>
      </rPr>
      <t xml:space="preserve">七家（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玩家）模型無非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拆分的年份，改用 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，財年按月數換曆年）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該家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占比），標『以 </t>
    </r>
    <r>
      <rPr>
        <sz val="11"/>
        <color theme="1"/>
        <rFont val="Calibri"/>
        <family val="2"/>
        <charset val="1"/>
      </rPr>
      <t xml:space="preserve">Y2 × (1−AI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替代（模型無拆分）』；無 </t>
    </r>
    <r>
      <rPr>
        <sz val="11"/>
        <color theme="1"/>
        <rFont val="Calibri"/>
        <family val="2"/>
        <charset val="1"/>
      </rPr>
      <t xml:space="preserve">Y2 </t>
    </r>
    <r>
      <rPr>
        <sz val="11"/>
        <color theme="1"/>
        <rFont val="Noto Sans CJK SC"/>
        <family val="2"/>
      </rPr>
      <t xml:space="preserve">資本支出者仍以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計並列出；</t>
    </r>
    <r>
      <rPr>
        <sz val="11"/>
        <color theme="1"/>
        <rFont val="Calibri"/>
        <family val="2"/>
        <charset val="1"/>
      </rPr>
      <t xml:space="preserve">Checks G-K10 WARN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</si>
  <si>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決定（對稱性）</t>
    </r>
  </si>
  <si>
    <t xml:space="preserve">GL01-37</t>
  </si>
  <si>
    <r>
      <rPr>
        <sz val="11"/>
        <color theme="1"/>
        <rFont val="Noto Sans CJK SC"/>
        <family val="2"/>
      </rPr>
      <t xml:space="preserve">收支範圍：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</t>
    </r>
  </si>
  <si>
    <r>
      <rPr>
        <sz val="11"/>
        <color theme="1"/>
        <rFont val="Noto Sans CJK SC"/>
        <family val="2"/>
      </rPr>
      <t xml:space="preserve">收支（需要、來源、尚需、累計、判讀）只算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家代表玩家（本專案覆蓋，不含中國）；中國與其他廠商的需求保留在全市場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與下游（</t>
    </r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、個股），不納入收支，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頁只留一列參考；智譜移出 </t>
    </r>
    <r>
      <rPr>
        <sz val="11"/>
        <color theme="1"/>
        <rFont val="Calibri"/>
        <family val="2"/>
        <charset val="1"/>
      </rPr>
      <t xml:space="preserve">Gap</t>
    </r>
  </si>
  <si>
    <r>
      <rPr>
        <sz val="11"/>
        <color theme="1"/>
        <rFont val="Calibri"/>
        <family val="2"/>
        <charset val="1"/>
      </rPr>
      <t xml:space="preserve">Andy 12:58</t>
    </r>
    <r>
      <rPr>
        <sz val="11"/>
        <color theme="1"/>
        <rFont val="Noto Sans CJK SC"/>
        <family val="2"/>
      </rPr>
      <t xml:space="preserve">「主要玩家其實就是不要放…中國公司」「就拿我們那十一家當做代表來計算就好了」「還是要保留中國還有其他廠商，因為他們的需求會影響到我們下游」</t>
    </r>
  </si>
  <si>
    <r>
      <rPr>
        <sz val="11"/>
        <color theme="1"/>
        <rFont val="Noto Sans CJK SC"/>
        <family val="2"/>
      </rPr>
      <t xml:space="preserve">已定（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）</t>
    </r>
  </si>
  <si>
    <t xml:space="preserve">GL01-38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</si>
  <si>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家需要量隨情景變動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</si>
  <si>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家各年新增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（含廠房提前年份、模型值替代格）</t>
    </r>
    <r>
      <rPr>
        <sz val="11"/>
        <color theme="1"/>
        <rFont val="Calibri"/>
        <family val="2"/>
        <charset val="1"/>
      </rPr>
      <t xml:space="preserve">× r(s,D,y)</t>
    </r>
    <r>
      <rPr>
        <sz val="11"/>
        <color theme="1"/>
        <rFont val="Noto Sans CJK SC"/>
        <family val="2"/>
      </rPr>
      <t xml:space="preserve">＝市場年新增（情景）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市場年新增（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市場年新增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；營業現金流與非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不變；並列讀法七家模型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資本支出同樣 </t>
    </r>
    <r>
      <rPr>
        <sz val="11"/>
        <color theme="1"/>
        <rFont val="Calibri"/>
        <family val="2"/>
        <charset val="1"/>
      </rPr>
      <t xml:space="preserve">× r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[Assumed]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</si>
  <si>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端預設（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可撤回）</t>
    </r>
  </si>
  <si>
    <t xml:space="preserve">GL01-33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</si>
  <si>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</si>
  <si>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頁同式（市場 </t>
    </r>
    <r>
      <rPr>
        <sz val="11"/>
        <color theme="1"/>
        <rFont val="Calibri"/>
        <family val="2"/>
        <charset val="1"/>
      </rPr>
      <t xml:space="preserve">NonNV × spend_nnv_hold</t>
    </r>
    <r>
      <rPr>
        <sz val="11"/>
        <color theme="1"/>
        <rFont val="Noto Sans CJK SC"/>
        <family val="2"/>
      </rPr>
      <t xml:space="preserve">）；廠房＝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同式套市場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 × spend_nnv_hold</t>
    </r>
    <r>
      <rPr>
        <sz val="11"/>
        <color theme="1"/>
        <rFont val="Noto Sans CJK SC"/>
        <family val="2"/>
      </rPr>
      <t xml:space="preserve">），項目依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拆分比例。玩家：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（七家）或 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同式（其餘）。市場其餘＝市場合計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家（含每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成本差）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</si>
  <si>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§2a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</si>
  <si>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</si>
  <si>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</si>
  <si>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</si>
  <si>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</si>
  <si>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</si>
  <si>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</si>
  <si>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</si>
  <si>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</si>
  <si>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</si>
  <si>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</si>
  <si>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</si>
  <si>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</si>
  <si>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</si>
  <si>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</si>
  <si>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</si>
  <si>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</si>
  <si>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</si>
  <si>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</si>
  <si>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</si>
  <si>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</si>
  <si>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</si>
  <si>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</si>
  <si>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</si>
  <si>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</si>
  <si>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</si>
  <si>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</si>
  <si>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</si>
  <si>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</si>
  <si>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</si>
  <si>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</si>
  <si>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</si>
  <si>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</si>
  <si>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</si>
  <si>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</si>
  <si>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</si>
  <si>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</si>
  <si>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</si>
  <si>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</si>
  <si>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</si>
  <si>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</si>
  <si>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</si>
  <si>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</si>
  <si>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</si>
  <si>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</si>
  <si>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</si>
  <si>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</si>
  <si>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</si>
  <si>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</si>
  <si>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</si>
  <si>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</si>
  <si>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</si>
  <si>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</si>
  <si>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</si>
  <si>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</si>
  <si>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</si>
  <si>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</si>
  <si>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</si>
  <si>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</si>
  <si>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</si>
  <si>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</si>
  <si>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</si>
  <si>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</si>
  <si>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</si>
  <si>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</si>
  <si>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</si>
  <si>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</si>
  <si>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</si>
  <si>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</si>
  <si>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</si>
  <si>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</si>
  <si>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</si>
  <si>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</si>
  <si>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</si>
  <si>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</si>
  <si>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</si>
  <si>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</si>
  <si>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</si>
  <si>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</si>
  <si>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</si>
  <si>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</si>
  <si>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</si>
  <si>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</si>
  <si>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</si>
  <si>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</si>
  <si>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</si>
  <si>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</si>
  <si>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</si>
  <si>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</si>
  <si>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</si>
  <si>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</si>
  <si>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</si>
  <si>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</si>
  <si>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</si>
  <si>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</si>
  <si>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</si>
  <si>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</si>
  <si>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</si>
  <si>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</si>
  <si>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</si>
  <si>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</si>
  <si>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</si>
  <si>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</si>
  <si>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</si>
  <si>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</si>
  <si>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</si>
  <si>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</si>
  <si>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</si>
  <si>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</si>
  <si>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</si>
  <si>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</si>
  <si>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</si>
  <si>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</si>
  <si>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</si>
  <si>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</si>
  <si>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</si>
  <si>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</si>
  <si>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</si>
  <si>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</si>
  <si>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</si>
  <si>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</si>
  <si>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</si>
  <si>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</si>
  <si>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</si>
  <si>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</si>
  <si>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</si>
  <si>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</si>
  <si>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</si>
  <si>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</si>
  <si>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</si>
  <si>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</si>
  <si>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</si>
  <si>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</si>
  <si>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</si>
  <si>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</si>
  <si>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</si>
  <si>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</si>
  <si>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</si>
  <si>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</si>
  <si>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</si>
  <si>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</si>
  <si>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</si>
  <si>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</si>
  <si>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</si>
  <si>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</si>
  <si>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</si>
  <si>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</si>
  <si>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</si>
  <si>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</si>
  <si>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</si>
  <si>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</si>
  <si>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</si>
  <si>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</si>
  <si>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</si>
  <si>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</si>
  <si>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</si>
  <si>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</si>
  <si>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</si>
  <si>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</si>
  <si>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</si>
  <si>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</si>
  <si>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</si>
  <si>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</si>
  <si>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</si>
  <si>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</si>
  <si>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</si>
  <si>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</si>
  <si>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</si>
  <si>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</si>
  <si>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</si>
  <si>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</si>
  <si>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</si>
  <si>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</si>
  <si>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</si>
  <si>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</si>
  <si>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</si>
  <si>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</si>
  <si>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</si>
  <si>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</si>
  <si>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</si>
  <si>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</si>
  <si>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</si>
  <si>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</si>
  <si>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</si>
  <si>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</si>
  <si>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</si>
  <si>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</si>
  <si>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</si>
  <si>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</si>
  <si>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</si>
  <si>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</si>
  <si>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</si>
  <si>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</si>
  <si>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</si>
  <si>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</si>
  <si>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</si>
  <si>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</si>
  <si>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</si>
  <si>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</si>
  <si>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</si>
  <si>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</si>
  <si>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</si>
  <si>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</si>
  <si>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</si>
  <si>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</si>
  <si>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</si>
  <si>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</si>
  <si>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</si>
  <si>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</si>
  <si>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</si>
  <si>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</si>
  <si>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</si>
  <si>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</si>
  <si>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</si>
  <si>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</si>
  <si>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</si>
  <si>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</si>
  <si>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2026-04-30</t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</si>
  <si>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</si>
  <si>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</si>
  <si>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</si>
  <si>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</si>
  <si>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</si>
  <si>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</si>
  <si>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</si>
  <si>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</si>
  <si>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</si>
  <si>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</si>
  <si>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</si>
  <si>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</si>
  <si>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</si>
  <si>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</si>
  <si>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</si>
  <si>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</si>
  <si>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</si>
  <si>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</si>
  <si>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</si>
  <si>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</si>
  <si>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</si>
  <si>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</si>
  <si>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</si>
  <si>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</si>
  <si>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</si>
  <si>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</si>
  <si>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</si>
  <si>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</si>
  <si>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</si>
  <si>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</si>
  <si>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</si>
  <si>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</si>
  <si>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</si>
  <si>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</si>
  <si>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</si>
  <si>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</si>
  <si>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</si>
  <si>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</si>
  <si>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</si>
  <si>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</si>
  <si>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</si>
  <si>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</si>
  <si>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</si>
  <si>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</si>
  <si>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</si>
  <si>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</si>
  <si>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</si>
  <si>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</si>
  <si>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</si>
  <si>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</si>
  <si>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</si>
  <si>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</si>
  <si>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</si>
  <si>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</si>
  <si>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</si>
  <si>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</si>
  <si>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</si>
  <si>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</si>
  <si>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</si>
  <si>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</si>
  <si>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</si>
  <si>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</si>
  <si>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</si>
  <si>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</si>
  <si>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</si>
  <si>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</si>
  <si>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</si>
  <si>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</si>
  <si>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</si>
  <si>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</si>
  <si>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</si>
  <si>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</si>
  <si>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</si>
  <si>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</si>
  <si>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</si>
  <si>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</si>
  <si>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</si>
  <si>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</si>
  <si>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</si>
  <si>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</si>
  <si>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</si>
  <si>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</si>
  <si>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</si>
  <si>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</si>
  <si>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</si>
  <si>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</si>
  <si>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</si>
  <si>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</si>
  <si>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</si>
  <si>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</si>
  <si>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</si>
  <si>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</si>
  <si>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</si>
  <si>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</si>
  <si>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</si>
  <si>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</si>
  <si>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</si>
  <si>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</si>
  <si>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</si>
  <si>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</si>
  <si>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</si>
  <si>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</si>
  <si>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</si>
  <si>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</si>
  <si>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</si>
  <si>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</si>
  <si>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</si>
  <si>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</si>
  <si>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</si>
  <si>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</si>
  <si>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</si>
  <si>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</si>
  <si>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</si>
  <si>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</si>
  <si>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</si>
  <si>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</si>
  <si>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</si>
  <si>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</si>
  <si>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</si>
  <si>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</si>
  <si>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</si>
  <si>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</si>
  <si>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</si>
  <si>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</si>
  <si>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</si>
  <si>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</si>
  <si>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</si>
  <si>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</si>
  <si>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</si>
  <si>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</si>
  <si>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</si>
  <si>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</si>
  <si>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</si>
  <si>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</si>
  <si>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</si>
  <si>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</si>
  <si>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</si>
  <si>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</si>
  <si>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</si>
  <si>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</si>
  <si>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</si>
  <si>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</si>
  <si>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</si>
  <si>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</si>
  <si>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</si>
  <si>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</si>
  <si>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</si>
  <si>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</si>
  <si>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</si>
  <si>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</si>
  <si>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</si>
  <si>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</si>
  <si>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</si>
  <si>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</si>
  <si>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</si>
  <si>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</si>
  <si>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</si>
  <si>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</si>
  <si>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</si>
  <si>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</si>
  <si>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</si>
  <si>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</si>
  <si>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</si>
  <si>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</si>
  <si>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</si>
  <si>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</si>
  <si>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</si>
  <si>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</si>
  <si>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</si>
  <si>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</si>
  <si>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</si>
  <si>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</si>
  <si>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</si>
  <si>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</si>
  <si>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</si>
  <si>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</si>
  <si>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</si>
  <si>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</si>
  <si>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</si>
  <si>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</si>
  <si>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</si>
  <si>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</si>
  <si>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</si>
  <si>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</si>
  <si>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</si>
  <si>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</si>
  <si>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</si>
  <si>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</si>
  <si>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</si>
  <si>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</si>
  <si>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</si>
  <si>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</si>
  <si>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</si>
  <si>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</si>
  <si>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</si>
  <si>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</si>
  <si>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</si>
  <si>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</si>
  <si>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</si>
  <si>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</si>
  <si>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</si>
  <si>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</si>
  <si>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</si>
  <si>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</si>
  <si>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</si>
  <si>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</si>
  <si>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</si>
  <si>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</si>
  <si>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</si>
  <si>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</si>
  <si>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</si>
  <si>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</si>
  <si>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</si>
  <si>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</si>
  <si>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</si>
  <si>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</si>
  <si>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</si>
  <si>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</si>
  <si>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</si>
  <si>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</si>
  <si>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</si>
  <si>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</si>
  <si>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</si>
  <si>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</si>
  <si>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</si>
  <si>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</si>
  <si>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</si>
  <si>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</si>
  <si>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</si>
  <si>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</si>
  <si>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</si>
  <si>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</si>
  <si>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</si>
  <si>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</si>
  <si>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</si>
  <si>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</si>
  <si>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</si>
  <si>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</si>
  <si>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</si>
  <si>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</si>
  <si>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</si>
  <si>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</si>
  <si>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</si>
  <si>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</si>
  <si>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</si>
  <si>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</si>
  <si>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</si>
  <si>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</si>
  <si>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</si>
  <si>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</si>
  <si>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</si>
  <si>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</si>
  <si>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</si>
  <si>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</si>
  <si>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</si>
  <si>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</si>
  <si>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</si>
  <si>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</si>
  <si>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</si>
  <si>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</si>
  <si>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</si>
  <si>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</si>
  <si>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</si>
  <si>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</si>
  <si>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</si>
  <si>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</si>
  <si>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</si>
  <si>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</si>
  <si>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</si>
  <si>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</si>
  <si>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</si>
  <si>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</si>
  <si>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</si>
  <si>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</si>
  <si>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</si>
  <si>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</si>
  <si>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</si>
  <si>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</si>
  <si>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</si>
  <si>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</si>
  <si>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</si>
  <si>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</si>
  <si>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</si>
  <si>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</si>
  <si>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</si>
  <si>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</si>
  <si>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</si>
  <si>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</si>
  <si>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</si>
  <si>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</si>
  <si>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</si>
  <si>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</si>
  <si>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</si>
  <si>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</si>
  <si>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</si>
  <si>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</si>
  <si>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</si>
  <si>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</si>
  <si>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</si>
  <si>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</si>
  <si>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</si>
  <si>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</si>
  <si>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</si>
  <si>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</si>
  <si>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</si>
  <si>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</si>
  <si>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</si>
  <si>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</si>
  <si>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</si>
  <si>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</si>
  <si>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</si>
  <si>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</si>
  <si>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</si>
  <si>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</si>
  <si>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</si>
  <si>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</si>
  <si>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</si>
  <si>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</si>
  <si>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</si>
  <si>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</si>
  <si>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</si>
  <si>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</si>
  <si>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</si>
  <si>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</si>
  <si>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</si>
  <si>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</si>
  <si>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</si>
  <si>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</si>
  <si>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</si>
  <si>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</si>
  <si>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</si>
  <si>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</si>
  <si>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</si>
  <si>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</si>
  <si>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</si>
  <si>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</si>
  <si>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</si>
  <si>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</si>
  <si>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</si>
  <si>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</si>
  <si>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</si>
  <si>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</si>
  <si>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</si>
  <si>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</si>
  <si>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</si>
  <si>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</si>
  <si>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</si>
  <si>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</si>
  <si>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</si>
  <si>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</si>
  <si>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</si>
  <si>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</si>
  <si>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</si>
  <si>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</si>
  <si>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</si>
  <si>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</si>
  <si>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</si>
  <si>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</si>
  <si>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</si>
  <si>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</si>
  <si>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</si>
  <si>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</si>
  <si>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</si>
  <si>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</si>
  <si>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</si>
  <si>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</si>
  <si>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</si>
  <si>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</si>
  <si>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</si>
  <si>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</si>
  <si>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</si>
  <si>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</si>
  <si>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</si>
  <si>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</si>
  <si>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</si>
  <si>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</si>
  <si>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</si>
  <si>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</si>
  <si>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</si>
  <si>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</si>
  <si>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</si>
  <si>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</si>
  <si>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</si>
  <si>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</si>
  <si>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</si>
  <si>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</si>
  <si>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</si>
  <si>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</si>
  <si>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</si>
  <si>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</si>
  <si>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</si>
  <si>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</si>
  <si>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</si>
  <si>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</si>
  <si>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</si>
  <si>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</si>
  <si>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</si>
  <si>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</si>
  <si>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</si>
  <si>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</si>
  <si>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</si>
  <si>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</si>
  <si>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</si>
  <si>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</si>
  <si>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</si>
  <si>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</si>
  <si>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</si>
  <si>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</si>
  <si>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</si>
  <si>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</si>
  <si>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</si>
  <si>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</si>
  <si>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</si>
  <si>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</si>
  <si>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</si>
  <si>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</si>
  <si>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</si>
  <si>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</si>
  <si>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</si>
  <si>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</si>
  <si>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</si>
  <si>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</si>
  <si>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</si>
  <si>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</si>
  <si>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</si>
  <si>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</si>
  <si>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</si>
  <si>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</si>
  <si>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</si>
  <si>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</si>
  <si>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</si>
  <si>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</si>
  <si>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</si>
  <si>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</si>
  <si>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</si>
  <si>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</si>
  <si>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</si>
  <si>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</si>
  <si>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</si>
  <si>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</si>
  <si>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</si>
  <si>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</si>
  <si>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</si>
  <si>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</si>
  <si>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</si>
  <si>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</si>
  <si>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</si>
  <si>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</si>
  <si>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</si>
  <si>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</si>
  <si>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</si>
  <si>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</si>
  <si>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</si>
  <si>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</si>
  <si>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</si>
  <si>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</si>
  <si>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</si>
  <si>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</si>
  <si>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</si>
  <si>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</si>
  <si>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</si>
  <si>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</si>
  <si>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</si>
  <si>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</si>
  <si>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</si>
  <si>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</si>
  <si>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</si>
  <si>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</si>
  <si>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</si>
  <si>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</si>
  <si>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</si>
  <si>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</si>
  <si>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</si>
  <si>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</si>
  <si>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</si>
  <si>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</si>
  <si>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</si>
  <si>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</si>
  <si>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</si>
  <si>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</si>
  <si>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</si>
  <si>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</si>
  <si>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</si>
  <si>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</si>
  <si>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</si>
  <si>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</si>
  <si>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</si>
  <si>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</si>
  <si>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</si>
  <si>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</si>
  <si>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</si>
  <si>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</si>
  <si>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</si>
  <si>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</si>
  <si>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</si>
  <si>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</si>
  <si>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</si>
  <si>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</si>
  <si>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</si>
  <si>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</si>
  <si>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</si>
  <si>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</si>
  <si>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</si>
  <si>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</si>
  <si>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</si>
  <si>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</si>
  <si>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</si>
  <si>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</si>
  <si>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</si>
  <si>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</si>
  <si>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</si>
  <si>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</si>
  <si>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</si>
  <si>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</si>
  <si>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</si>
  <si>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</si>
  <si>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</si>
  <si>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</si>
  <si>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</si>
  <si>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</si>
  <si>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</si>
  <si>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</si>
  <si>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</si>
  <si>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</si>
  <si>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</si>
  <si>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</si>
  <si>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</si>
  <si>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</si>
  <si>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</si>
  <si>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</si>
  <si>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</si>
  <si>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</si>
  <si>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</si>
  <si>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</si>
  <si>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</si>
  <si>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</si>
  <si>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</si>
  <si>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</si>
  <si>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</si>
  <si>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</si>
  <si>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</si>
  <si>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</si>
  <si>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</si>
  <si>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</si>
  <si>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</si>
  <si>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</si>
  <si>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</si>
  <si>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</si>
  <si>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</si>
  <si>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</si>
  <si>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</si>
  <si>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</si>
  <si>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</si>
  <si>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</si>
  <si>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</si>
  <si>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</si>
  <si>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</si>
  <si>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</si>
  <si>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</si>
  <si>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</si>
  <si>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</si>
  <si>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</si>
  <si>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</si>
  <si>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</si>
  <si>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</si>
  <si>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</si>
  <si>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</si>
  <si>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</si>
  <si>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</si>
  <si>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</si>
  <si>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</si>
  <si>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</si>
  <si>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</si>
  <si>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</si>
  <si>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</si>
  <si>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</si>
  <si>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</si>
  <si>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</si>
  <si>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</si>
  <si>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</si>
  <si>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</si>
  <si>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</si>
  <si>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</si>
  <si>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</si>
  <si>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</si>
  <si>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</si>
  <si>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</si>
  <si>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</si>
  <si>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</si>
  <si>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</si>
  <si>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</si>
  <si>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</si>
  <si>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</si>
  <si>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</si>
  <si>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</si>
  <si>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</si>
  <si>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</si>
  <si>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</si>
  <si>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</si>
  <si>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</si>
  <si>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</si>
  <si>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</si>
  <si>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</si>
  <si>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</si>
  <si>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</si>
  <si>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</si>
  <si>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</si>
  <si>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</si>
  <si>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</si>
  <si>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</si>
  <si>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</si>
  <si>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</si>
  <si>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</si>
  <si>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</si>
  <si>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</si>
  <si>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</si>
  <si>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</si>
  <si>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</si>
  <si>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</si>
  <si>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</si>
  <si>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</si>
  <si>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</si>
  <si>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</si>
  <si>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</si>
  <si>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</si>
  <si>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</si>
  <si>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</si>
  <si>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</si>
  <si>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</si>
  <si>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</si>
  <si>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</si>
  <si>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</si>
  <si>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</si>
  <si>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</si>
  <si>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</si>
  <si>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</si>
  <si>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</si>
  <si>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</si>
  <si>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</si>
  <si>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</si>
  <si>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</si>
  <si>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</si>
  <si>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</si>
  <si>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</si>
  <si>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</si>
  <si>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</si>
  <si>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</si>
  <si>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</si>
  <si>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</si>
  <si>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</si>
  <si>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</si>
  <si>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</si>
  <si>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</si>
  <si>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</si>
  <si>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</si>
  <si>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</si>
  <si>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</si>
  <si>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</si>
  <si>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</si>
  <si>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</si>
  <si>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</si>
  <si>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</si>
  <si>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</si>
  <si>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</si>
  <si>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</si>
  <si>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</si>
  <si>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</si>
  <si>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</si>
  <si>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</si>
  <si>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</si>
  <si>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</si>
  <si>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</si>
  <si>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</si>
  <si>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</si>
  <si>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</si>
  <si>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</si>
  <si>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</si>
  <si>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</si>
  <si>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</si>
  <si>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</si>
  <si>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</si>
  <si>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</si>
  <si>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</si>
  <si>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</si>
  <si>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</si>
  <si>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</si>
  <si>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</si>
  <si>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</si>
  <si>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</si>
  <si>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</si>
  <si>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</si>
  <si>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</si>
  <si>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</si>
  <si>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</si>
  <si>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</si>
  <si>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</si>
  <si>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</si>
  <si>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</si>
  <si>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</si>
  <si>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</si>
  <si>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</si>
  <si>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</si>
  <si>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</si>
  <si>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</si>
  <si>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</si>
  <si>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</si>
  <si>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</si>
  <si>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</si>
  <si>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</si>
  <si>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</si>
  <si>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</si>
  <si>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</si>
  <si>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</si>
  <si>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</si>
  <si>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</si>
  <si>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</si>
  <si>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</si>
  <si>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</si>
  <si>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</si>
  <si>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</si>
  <si>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</si>
  <si>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</si>
  <si>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</si>
  <si>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</si>
  <si>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</si>
  <si>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</si>
  <si>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</si>
  <si>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</si>
  <si>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</si>
  <si>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</si>
  <si>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</si>
  <si>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</si>
  <si>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</si>
  <si>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</si>
  <si>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</si>
  <si>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</si>
  <si>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</si>
  <si>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</si>
  <si>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</si>
  <si>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</si>
  <si>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</si>
  <si>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</si>
  <si>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</si>
  <si>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</si>
  <si>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</si>
  <si>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</si>
  <si>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</si>
  <si>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</si>
  <si>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</si>
  <si>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</si>
  <si>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</si>
  <si>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</si>
  <si>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</si>
  <si>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</si>
  <si>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</si>
  <si>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</si>
  <si>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</si>
  <si>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</si>
  <si>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</si>
  <si>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</si>
  <si>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</si>
  <si>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</si>
  <si>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</si>
  <si>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</si>
  <si>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</si>
  <si>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</si>
  <si>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</si>
  <si>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</si>
  <si>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</si>
  <si>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</si>
  <si>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</si>
  <si>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</si>
  <si>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</si>
  <si>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</si>
  <si>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</si>
  <si>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</si>
  <si>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</si>
  <si>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</si>
  <si>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</si>
  <si>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</si>
  <si>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</si>
  <si>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</si>
  <si>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</si>
  <si>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</si>
  <si>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</si>
  <si>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</si>
  <si>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</si>
  <si>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</si>
  <si>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</si>
  <si>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</si>
  <si>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</si>
  <si>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</si>
  <si>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</si>
  <si>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</si>
  <si>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</si>
  <si>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</si>
  <si>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</si>
  <si>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</si>
  <si>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</si>
  <si>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</si>
  <si>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</si>
  <si>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</si>
  <si>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</si>
  <si>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</si>
  <si>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</si>
  <si>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</si>
  <si>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</si>
  <si>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</si>
  <si>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</si>
  <si>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</si>
  <si>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</si>
  <si>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</si>
  <si>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</si>
  <si>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</si>
  <si>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</si>
  <si>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</si>
  <si>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</si>
  <si>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</si>
  <si>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</si>
  <si>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</si>
  <si>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</si>
  <si>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</si>
  <si>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</si>
  <si>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</si>
  <si>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</si>
  <si>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</si>
  <si>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</si>
  <si>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</si>
  <si>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</si>
  <si>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</si>
  <si>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</si>
  <si>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</si>
  <si>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</si>
  <si>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</si>
  <si>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</si>
  <si>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</si>
  <si>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</si>
  <si>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</si>
  <si>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</si>
  <si>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</si>
  <si>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</si>
  <si>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</si>
  <si>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</si>
  <si>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</si>
  <si>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</si>
  <si>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</si>
  <si>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</si>
  <si>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</si>
  <si>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</si>
  <si>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</si>
  <si>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</si>
  <si>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</si>
  <si>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</si>
  <si>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</si>
  <si>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</si>
  <si>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</si>
  <si>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</si>
  <si>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</si>
  <si>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</si>
  <si>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</si>
  <si>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</si>
  <si>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</si>
  <si>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</si>
  <si>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</si>
  <si>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</si>
  <si>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</si>
  <si>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</si>
  <si>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</si>
  <si>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</si>
  <si>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</si>
  <si>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</si>
  <si>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</si>
  <si>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</si>
  <si>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</si>
  <si>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</si>
  <si>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</si>
  <si>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</si>
  <si>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</si>
  <si>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</si>
  <si>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</si>
  <si>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</si>
  <si>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</si>
  <si>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</si>
  <si>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</si>
  <si>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</si>
  <si>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</si>
  <si>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</si>
  <si>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</si>
  <si>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</si>
  <si>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</si>
  <si>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</si>
  <si>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</si>
  <si>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</si>
  <si>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</si>
  <si>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</si>
  <si>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</si>
  <si>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</si>
  <si>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</si>
  <si>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</si>
  <si>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</si>
  <si>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</si>
  <si>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</si>
  <si>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</si>
  <si>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</si>
  <si>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</si>
  <si>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</si>
  <si>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</si>
  <si>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</si>
  <si>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</si>
  <si>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</si>
  <si>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</si>
  <si>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</si>
  <si>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</si>
  <si>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</si>
  <si>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</si>
  <si>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</si>
  <si>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</si>
  <si>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</si>
  <si>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</si>
  <si>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</si>
  <si>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</si>
  <si>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</si>
  <si>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</si>
  <si>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</si>
  <si>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</si>
  <si>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</si>
  <si>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</si>
  <si>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</si>
  <si>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</si>
  <si>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</si>
  <si>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</si>
  <si>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</si>
  <si>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</si>
  <si>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</si>
  <si>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</si>
  <si>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</si>
  <si>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</si>
  <si>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</si>
  <si>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</si>
  <si>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</si>
  <si>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</si>
  <si>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</si>
  <si>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</si>
  <si>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</si>
  <si>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</si>
  <si>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</si>
  <si>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</si>
  <si>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</si>
  <si>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</si>
  <si>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</si>
  <si>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</si>
  <si>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</si>
  <si>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</si>
  <si>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</si>
  <si>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</si>
  <si>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</si>
  <si>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</si>
  <si>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</si>
  <si>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</si>
  <si>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</si>
  <si>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</si>
  <si>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</si>
  <si>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</si>
  <si>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</si>
  <si>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</si>
  <si>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</si>
  <si>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</si>
  <si>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</si>
  <si>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</si>
  <si>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</si>
  <si>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</si>
  <si>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</si>
  <si>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</si>
  <si>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</si>
  <si>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</si>
  <si>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</si>
  <si>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</si>
  <si>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</si>
  <si>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</si>
  <si>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</si>
  <si>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</si>
  <si>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</si>
  <si>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</si>
  <si>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</si>
  <si>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</si>
  <si>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</si>
  <si>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</si>
  <si>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</si>
  <si>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</si>
  <si>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</si>
  <si>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</si>
  <si>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</si>
  <si>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</si>
  <si>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</si>
  <si>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</si>
  <si>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</si>
  <si>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</si>
  <si>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</si>
  <si>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</si>
  <si>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</si>
  <si>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</si>
  <si>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</si>
  <si>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</si>
  <si>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</si>
  <si>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</si>
  <si>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</si>
  <si>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</si>
  <si>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</si>
  <si>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</si>
  <si>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</si>
  <si>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</si>
  <si>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</si>
  <si>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</si>
  <si>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</si>
  <si>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</si>
  <si>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</si>
  <si>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</si>
  <si>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</si>
  <si>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</si>
  <si>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</si>
  <si>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</si>
  <si>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</si>
  <si>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</si>
  <si>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</si>
  <si>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</si>
  <si>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</si>
  <si>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</si>
  <si>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</si>
  <si>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</si>
  <si>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</si>
  <si>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</si>
  <si>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</si>
  <si>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</si>
  <si>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</si>
  <si>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</si>
  <si>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</si>
  <si>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</si>
  <si>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</si>
  <si>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</si>
  <si>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</si>
  <si>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</si>
  <si>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</si>
  <si>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</si>
  <si>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</si>
  <si>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</si>
  <si>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</si>
  <si>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</si>
  <si>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</si>
  <si>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</si>
  <si>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</si>
  <si>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</si>
  <si>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</si>
  <si>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</si>
  <si>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</si>
  <si>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</si>
  <si>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</si>
  <si>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</si>
  <si>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</si>
  <si>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</si>
  <si>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</si>
  <si>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</si>
  <si>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</si>
  <si>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</si>
  <si>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</si>
  <si>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</si>
  <si>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</si>
  <si>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</si>
  <si>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</si>
  <si>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</si>
  <si>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</si>
  <si>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</si>
  <si>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</si>
  <si>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</si>
  <si>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</si>
  <si>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</si>
  <si>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</si>
  <si>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</si>
  <si>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</si>
  <si>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</si>
  <si>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</si>
  <si>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</si>
  <si>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</si>
  <si>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</si>
  <si>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</si>
  <si>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</si>
  <si>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</si>
  <si>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</si>
  <si>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</si>
  <si>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</si>
  <si>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</si>
  <si>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</si>
  <si>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</si>
  <si>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</si>
  <si>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</si>
  <si>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</si>
  <si>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</si>
  <si>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</si>
  <si>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</si>
  <si>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</si>
  <si>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</si>
  <si>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</si>
  <si>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</si>
  <si>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</si>
  <si>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</si>
  <si>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</si>
  <si>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</si>
  <si>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</si>
  <si>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</si>
  <si>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</si>
  <si>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</si>
  <si>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</si>
  <si>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</si>
  <si>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</si>
  <si>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</si>
  <si>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</si>
  <si>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</si>
  <si>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</si>
  <si>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</si>
  <si>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</si>
  <si>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</si>
  <si>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</si>
  <si>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</si>
  <si>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</si>
  <si>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</si>
  <si>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</si>
  <si>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</si>
  <si>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</si>
  <si>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</si>
  <si>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</si>
  <si>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</si>
  <si>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</si>
  <si>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</si>
  <si>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</si>
  <si>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</si>
  <si>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</si>
  <si>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</si>
  <si>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</si>
  <si>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</si>
  <si>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</si>
  <si>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</si>
  <si>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</si>
  <si>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</si>
  <si>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</si>
  <si>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</si>
  <si>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</si>
  <si>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</si>
  <si>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</si>
  <si>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</si>
  <si>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</si>
  <si>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</si>
  <si>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</si>
  <si>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</si>
  <si>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</si>
  <si>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</si>
  <si>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</si>
  <si>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</si>
  <si>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</si>
  <si>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</si>
  <si>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</si>
  <si>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</si>
  <si>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</si>
  <si>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</si>
  <si>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</si>
  <si>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</si>
  <si>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</si>
  <si>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</si>
  <si>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</si>
  <si>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</si>
  <si>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</si>
  <si>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</si>
  <si>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</si>
  <si>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</si>
  <si>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</si>
  <si>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</si>
  <si>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</si>
  <si>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</si>
  <si>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</si>
  <si>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</si>
  <si>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</si>
  <si>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</si>
  <si>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</si>
  <si>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</si>
  <si>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</si>
  <si>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</si>
  <si>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</si>
  <si>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</si>
  <si>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</si>
  <si>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</si>
  <si>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</si>
  <si>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</si>
  <si>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</si>
  <si>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</si>
  <si>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</si>
  <si>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</si>
  <si>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</si>
  <si>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</si>
  <si>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</si>
  <si>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</si>
  <si>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</si>
  <si>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</si>
  <si>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</si>
  <si>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</si>
  <si>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</si>
  <si>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</si>
  <si>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</si>
  <si>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</si>
  <si>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</si>
  <si>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</si>
  <si>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</si>
  <si>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</si>
  <si>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</si>
  <si>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</si>
  <si>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</si>
  <si>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</si>
  <si>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</si>
  <si>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</si>
  <si>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</si>
  <si>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</si>
  <si>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</si>
  <si>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</si>
  <si>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</si>
  <si>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</si>
  <si>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</si>
  <si>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</si>
  <si>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</si>
  <si>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</si>
  <si>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</si>
  <si>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</si>
  <si>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</si>
  <si>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</si>
  <si>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</si>
  <si>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</si>
  <si>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</si>
  <si>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</si>
  <si>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</si>
  <si>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</si>
  <si>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</si>
  <si>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</si>
  <si>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</si>
  <si>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</si>
  <si>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</si>
  <si>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</si>
  <si>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</si>
  <si>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</si>
  <si>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</si>
  <si>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</si>
  <si>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</si>
  <si>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</si>
  <si>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</si>
  <si>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</si>
  <si>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</si>
  <si>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</si>
  <si>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</si>
  <si>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</si>
  <si>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</si>
  <si>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</si>
  <si>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</si>
  <si>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</si>
  <si>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</si>
  <si>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</si>
  <si>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</si>
  <si>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</si>
  <si>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</si>
  <si>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</si>
  <si>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</si>
  <si>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</si>
  <si>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</si>
  <si>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</si>
  <si>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</si>
  <si>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</si>
  <si>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</si>
  <si>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</si>
  <si>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</si>
  <si>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</si>
  <si>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</si>
  <si>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</si>
  <si>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</si>
  <si>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</si>
  <si>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</si>
  <si>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</si>
  <si>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</si>
  <si>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</si>
  <si>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</si>
  <si>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</si>
  <si>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</si>
  <si>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</si>
  <si>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</si>
  <si>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</si>
  <si>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</si>
  <si>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</si>
  <si>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</si>
  <si>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</si>
  <si>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</si>
  <si>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</si>
  <si>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</si>
  <si>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</si>
  <si>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</si>
  <si>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</si>
  <si>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</si>
  <si>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</si>
  <si>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</si>
  <si>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</si>
  <si>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</si>
  <si>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</si>
  <si>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</si>
  <si>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</si>
  <si>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</si>
  <si>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</si>
  <si>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</si>
  <si>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</si>
  <si>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</si>
  <si>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</si>
  <si>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</si>
  <si>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</si>
  <si>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</si>
  <si>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</si>
  <si>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</si>
  <si>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</si>
  <si>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</si>
  <si>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</si>
  <si>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</si>
  <si>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</si>
  <si>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</si>
  <si>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</si>
  <si>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</si>
  <si>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</si>
  <si>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</si>
  <si>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</si>
  <si>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</si>
  <si>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</si>
  <si>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</si>
  <si>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</si>
  <si>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</si>
  <si>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</si>
  <si>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</si>
  <si>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</si>
  <si>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</si>
  <si>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</si>
  <si>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</si>
  <si>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</si>
  <si>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</si>
  <si>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</si>
  <si>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</si>
  <si>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</si>
  <si>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</si>
  <si>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</si>
  <si>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</si>
  <si>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</si>
  <si>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</si>
  <si>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</si>
  <si>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</si>
  <si>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</si>
  <si>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</si>
  <si>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</si>
  <si>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</si>
  <si>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</si>
  <si>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</si>
  <si>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</si>
  <si>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</si>
  <si>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</si>
  <si>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</si>
  <si>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</si>
  <si>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</si>
  <si>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</si>
  <si>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</si>
  <si>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</si>
  <si>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</si>
  <si>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</si>
  <si>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</si>
  <si>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</si>
  <si>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</si>
  <si>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</si>
  <si>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</si>
  <si>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</si>
  <si>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</si>
  <si>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</si>
  <si>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</si>
  <si>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</si>
  <si>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</si>
  <si>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</si>
  <si>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</si>
  <si>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</si>
  <si>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</si>
  <si>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</si>
  <si>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</si>
  <si>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</si>
  <si>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</si>
  <si>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</si>
  <si>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</si>
  <si>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</si>
  <si>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</si>
  <si>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</si>
  <si>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</si>
  <si>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</si>
  <si>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</si>
  <si>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</si>
  <si>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</si>
  <si>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</si>
  <si>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</si>
  <si>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</si>
  <si>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</si>
  <si>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</si>
  <si>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</si>
  <si>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</si>
  <si>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</si>
  <si>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</si>
  <si>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</si>
  <si>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</si>
  <si>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</si>
  <si>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</si>
  <si>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</si>
  <si>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</si>
  <si>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</si>
  <si>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</si>
  <si>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</si>
  <si>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</si>
  <si>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</si>
  <si>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</si>
  <si>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</si>
  <si>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</si>
  <si>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</si>
  <si>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</si>
  <si>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</si>
  <si>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</si>
  <si>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</si>
  <si>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</si>
  <si>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</si>
  <si>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</si>
  <si>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</si>
  <si>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</si>
  <si>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</si>
  <si>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</si>
  <si>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</si>
  <si>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</si>
  <si>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</si>
  <si>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</si>
  <si>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</si>
  <si>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</si>
  <si>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</si>
  <si>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</si>
  <si>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</si>
  <si>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</si>
  <si>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</si>
  <si>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</si>
  <si>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</si>
  <si>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</si>
  <si>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</si>
  <si>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</si>
  <si>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</si>
  <si>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</si>
  <si>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</si>
  <si>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</si>
  <si>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</si>
  <si>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</si>
  <si>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</si>
  <si>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</si>
  <si>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</si>
  <si>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</si>
  <si>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</si>
  <si>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</si>
  <si>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</si>
  <si>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</si>
  <si>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</si>
  <si>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</si>
  <si>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</si>
  <si>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</si>
  <si>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</si>
  <si>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</si>
  <si>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</si>
  <si>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</si>
  <si>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</si>
  <si>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</si>
  <si>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</si>
  <si>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</si>
  <si>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</si>
  <si>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</si>
  <si>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</si>
  <si>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</si>
  <si>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</si>
  <si>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</si>
  <si>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</si>
  <si>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</si>
  <si>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</si>
  <si>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</si>
  <si>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</si>
  <si>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</si>
  <si>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</si>
  <si>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</si>
  <si>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</si>
  <si>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</si>
  <si>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</si>
  <si>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</si>
  <si>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</si>
  <si>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</si>
  <si>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</si>
  <si>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</si>
  <si>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</si>
  <si>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</si>
  <si>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</si>
  <si>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</si>
  <si>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</si>
  <si>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</si>
  <si>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</si>
  <si>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</si>
  <si>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</si>
  <si>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</si>
  <si>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</si>
  <si>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</si>
  <si>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</si>
  <si>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</si>
  <si>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</si>
  <si>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</si>
  <si>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</si>
  <si>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</si>
  <si>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</si>
  <si>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</si>
  <si>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</si>
  <si>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</si>
  <si>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</si>
  <si>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</si>
  <si>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</si>
  <si>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</si>
  <si>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</si>
  <si>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</si>
  <si>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</si>
  <si>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</si>
  <si>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</si>
  <si>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</si>
  <si>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</si>
  <si>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</si>
  <si>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</si>
  <si>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</si>
  <si>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</si>
  <si>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</si>
  <si>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</si>
  <si>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</si>
  <si>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</si>
  <si>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</si>
  <si>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</si>
  <si>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</si>
  <si>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</si>
  <si>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</si>
  <si>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</si>
  <si>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</si>
  <si>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</si>
  <si>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</si>
  <si>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</si>
  <si>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</si>
  <si>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</si>
  <si>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</si>
  <si>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</si>
  <si>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</si>
  <si>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</si>
  <si>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</si>
  <si>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</si>
  <si>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</si>
  <si>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</si>
  <si>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</si>
  <si>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</si>
  <si>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</si>
  <si>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</si>
  <si>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</si>
  <si>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</si>
  <si>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</si>
  <si>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</si>
  <si>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</si>
  <si>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</si>
  <si>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</si>
  <si>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</si>
  <si>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</si>
  <si>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</si>
  <si>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</si>
  <si>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</si>
  <si>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</si>
  <si>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</si>
  <si>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</si>
  <si>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</si>
  <si>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</si>
  <si>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</si>
  <si>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</si>
  <si>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</si>
  <si>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</si>
  <si>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</si>
  <si>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</si>
  <si>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</si>
  <si>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</si>
  <si>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</si>
  <si>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</si>
  <si>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</si>
  <si>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</si>
  <si>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</si>
  <si>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</si>
  <si>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</si>
  <si>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</si>
  <si>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</si>
  <si>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</si>
  <si>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</si>
  <si>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</si>
  <si>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</si>
  <si>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</si>
  <si>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</si>
  <si>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</si>
  <si>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</si>
  <si>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</si>
  <si>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</si>
  <si>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</si>
  <si>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</si>
  <si>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</si>
  <si>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</si>
  <si>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</si>
  <si>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</si>
  <si>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</si>
  <si>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</si>
  <si>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</si>
  <si>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</si>
  <si>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</si>
  <si>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</si>
  <si>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</si>
  <si>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</si>
  <si>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</si>
  <si>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</si>
  <si>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</si>
  <si>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</si>
  <si>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</si>
  <si>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</si>
  <si>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</si>
  <si>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</si>
  <si>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</si>
  <si>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</si>
  <si>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</si>
  <si>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</si>
  <si>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</si>
  <si>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</si>
  <si>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</si>
  <si>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</si>
  <si>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</si>
  <si>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</si>
  <si>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</si>
  <si>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</si>
  <si>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</si>
  <si>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</si>
  <si>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</si>
  <si>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</si>
  <si>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</si>
  <si>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</si>
  <si>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</si>
  <si>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</si>
  <si>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</si>
  <si>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</si>
  <si>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</si>
  <si>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</si>
  <si>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</si>
  <si>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</si>
  <si>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</si>
  <si>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</si>
  <si>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</si>
  <si>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</si>
  <si>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</si>
  <si>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</si>
  <si>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</si>
  <si>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</si>
  <si>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</si>
  <si>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</si>
  <si>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</si>
  <si>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</si>
  <si>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</si>
  <si>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</si>
  <si>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</si>
  <si>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</si>
  <si>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</si>
  <si>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</si>
  <si>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</si>
  <si>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</si>
  <si>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</si>
  <si>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</si>
  <si>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</si>
  <si>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</si>
  <si>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</si>
  <si>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</si>
  <si>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</si>
  <si>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</si>
  <si>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</si>
  <si>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</si>
  <si>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</si>
  <si>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</si>
  <si>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</si>
  <si>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</si>
  <si>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</si>
  <si>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</si>
  <si>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</si>
  <si>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</si>
  <si>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</si>
  <si>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</si>
  <si>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</si>
  <si>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</si>
  <si>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</si>
  <si>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</si>
  <si>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</si>
  <si>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</si>
  <si>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</si>
  <si>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</si>
  <si>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</si>
  <si>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</si>
  <si>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</si>
  <si>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</si>
  <si>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</si>
  <si>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</si>
  <si>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</si>
  <si>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</si>
  <si>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</si>
  <si>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</si>
  <si>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</si>
  <si>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</si>
  <si>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</si>
  <si>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</si>
  <si>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</si>
  <si>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</si>
  <si>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</si>
  <si>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</si>
  <si>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</si>
  <si>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</si>
  <si>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</si>
  <si>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</si>
  <si>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</si>
  <si>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</si>
  <si>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</si>
  <si>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</si>
  <si>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</si>
  <si>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</si>
  <si>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</si>
  <si>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</si>
  <si>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</si>
  <si>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</si>
  <si>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</si>
  <si>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</si>
  <si>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</si>
  <si>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</si>
  <si>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</si>
  <si>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</si>
  <si>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</si>
  <si>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</si>
  <si>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</si>
  <si>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</si>
  <si>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</si>
  <si>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</si>
  <si>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</si>
  <si>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</si>
  <si>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</si>
  <si>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</si>
  <si>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</si>
  <si>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</si>
  <si>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</si>
  <si>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</si>
  <si>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</si>
  <si>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</si>
  <si>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</si>
  <si>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</si>
  <si>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</si>
  <si>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</si>
  <si>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</si>
  <si>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</si>
  <si>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</si>
  <si>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</si>
  <si>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</si>
  <si>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</si>
  <si>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</si>
  <si>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</si>
  <si>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</si>
  <si>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</si>
  <si>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</si>
  <si>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</si>
  <si>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</si>
  <si>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</si>
  <si>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</si>
  <si>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</si>
  <si>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</si>
  <si>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</si>
  <si>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</si>
  <si>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</si>
  <si>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</si>
  <si>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</si>
  <si>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</si>
  <si>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</si>
  <si>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</si>
  <si>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</si>
  <si>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</si>
  <si>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</si>
  <si>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</si>
  <si>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</si>
  <si>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</si>
  <si>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</si>
  <si>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</si>
  <si>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</si>
  <si>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</si>
  <si>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</si>
  <si>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</si>
  <si>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</si>
  <si>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</si>
  <si>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</si>
  <si>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</si>
  <si>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</si>
  <si>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</si>
  <si>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</si>
  <si>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</si>
  <si>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</si>
  <si>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</si>
  <si>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</si>
  <si>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</si>
  <si>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</si>
  <si>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</si>
  <si>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</si>
  <si>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</si>
  <si>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</si>
  <si>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</si>
  <si>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</si>
  <si>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</si>
  <si>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</si>
  <si>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</si>
  <si>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</si>
  <si>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</si>
  <si>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</si>
  <si>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</si>
  <si>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</si>
  <si>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</si>
  <si>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</si>
  <si>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</si>
  <si>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</si>
  <si>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</si>
  <si>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</si>
  <si>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</si>
  <si>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</si>
  <si>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</si>
  <si>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</si>
  <si>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</si>
  <si>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</si>
  <si>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</si>
  <si>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</si>
  <si>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</si>
  <si>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</si>
  <si>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</si>
  <si>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</si>
  <si>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</si>
  <si>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</si>
  <si>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</si>
  <si>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</si>
  <si>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</si>
  <si>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</si>
  <si>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</si>
  <si>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</si>
  <si>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</si>
  <si>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</si>
  <si>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</si>
  <si>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</si>
  <si>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</si>
  <si>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</si>
  <si>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</si>
  <si>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</si>
  <si>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</si>
  <si>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</si>
  <si>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</si>
  <si>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</si>
  <si>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</si>
  <si>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</si>
  <si>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</si>
  <si>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</si>
  <si>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</si>
  <si>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</si>
  <si>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</si>
  <si>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</si>
  <si>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</si>
  <si>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</si>
  <si>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</si>
  <si>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</si>
  <si>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</si>
  <si>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</si>
  <si>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</si>
  <si>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</si>
  <si>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</si>
  <si>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</si>
  <si>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</si>
  <si>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</si>
  <si>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</si>
  <si>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</si>
  <si>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</si>
  <si>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</si>
  <si>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</si>
  <si>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</si>
  <si>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</si>
  <si>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</si>
  <si>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</si>
  <si>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</si>
  <si>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</si>
  <si>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</si>
  <si>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</si>
  <si>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</si>
  <si>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</si>
  <si>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</si>
  <si>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</si>
  <si>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</si>
  <si>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</si>
  <si>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</si>
  <si>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</si>
  <si>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</si>
  <si>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</si>
  <si>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</si>
  <si>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</si>
  <si>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</si>
  <si>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</si>
  <si>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</si>
  <si>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</si>
  <si>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</si>
  <si>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</si>
  <si>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</si>
  <si>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</si>
  <si>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</si>
  <si>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</si>
  <si>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</si>
  <si>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</si>
  <si>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</si>
  <si>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</si>
  <si>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</si>
  <si>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</si>
  <si>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</si>
  <si>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</si>
  <si>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</si>
  <si>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</si>
  <si>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</si>
  <si>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</si>
  <si>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</si>
  <si>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</si>
  <si>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</si>
  <si>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</si>
  <si>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</si>
  <si>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</si>
  <si>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</si>
  <si>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</si>
  <si>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</si>
  <si>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</si>
  <si>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</si>
  <si>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</si>
  <si>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</si>
  <si>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</si>
  <si>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</si>
  <si>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</si>
  <si>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</si>
  <si>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</si>
  <si>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</si>
  <si>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</si>
  <si>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</si>
  <si>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</si>
  <si>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</si>
  <si>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</si>
  <si>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</si>
  <si>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</si>
  <si>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</si>
  <si>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</si>
  <si>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</si>
  <si>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</si>
  <si>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</si>
  <si>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</si>
  <si>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</si>
  <si>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</si>
  <si>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</si>
  <si>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</si>
  <si>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</si>
  <si>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</si>
  <si>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</si>
  <si>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</si>
  <si>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</si>
  <si>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</si>
  <si>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</si>
  <si>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</si>
  <si>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</si>
  <si>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</si>
  <si>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</si>
  <si>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</si>
  <si>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</si>
  <si>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</si>
  <si>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</si>
  <si>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</si>
  <si>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</si>
  <si>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</si>
  <si>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</si>
  <si>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</si>
  <si>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</si>
  <si>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</si>
  <si>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</si>
  <si>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</si>
  <si>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</si>
  <si>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</si>
  <si>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</si>
  <si>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</si>
  <si>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</si>
  <si>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</si>
  <si>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</si>
  <si>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</si>
  <si>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</si>
  <si>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</si>
  <si>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</si>
  <si>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</si>
  <si>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</si>
  <si>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</si>
  <si>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</si>
  <si>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</si>
  <si>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</si>
  <si>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</si>
  <si>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</si>
  <si>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</si>
  <si>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</si>
  <si>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</si>
  <si>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</si>
  <si>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</si>
  <si>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</si>
  <si>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</si>
  <si>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</si>
  <si>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</si>
  <si>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</si>
  <si>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</si>
  <si>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</si>
  <si>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</si>
  <si>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</si>
  <si>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</si>
  <si>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</si>
  <si>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</si>
  <si>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</si>
  <si>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</si>
  <si>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</si>
  <si>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</si>
  <si>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</si>
  <si>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</si>
  <si>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</si>
  <si>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</si>
  <si>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</si>
  <si>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</si>
  <si>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</si>
  <si>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</si>
  <si>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</si>
  <si>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</si>
  <si>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</si>
  <si>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</si>
  <si>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</si>
  <si>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</si>
  <si>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</si>
  <si>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</si>
  <si>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</si>
  <si>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</si>
  <si>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</si>
  <si>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</si>
  <si>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</si>
  <si>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</si>
  <si>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</si>
  <si>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</si>
  <si>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</si>
  <si>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</si>
  <si>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</si>
  <si>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</si>
  <si>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</si>
  <si>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</si>
  <si>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</si>
  <si>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</si>
  <si>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</si>
  <si>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</si>
  <si>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</si>
  <si>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</si>
  <si>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</si>
  <si>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</si>
  <si>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</si>
  <si>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</si>
  <si>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</si>
  <si>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</si>
  <si>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</si>
  <si>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</si>
  <si>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</si>
  <si>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</si>
  <si>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</si>
  <si>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</si>
  <si>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</si>
  <si>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</si>
  <si>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</si>
  <si>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</si>
  <si>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</si>
  <si>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</si>
  <si>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</si>
  <si>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</si>
  <si>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</si>
  <si>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</si>
  <si>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</si>
  <si>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</si>
  <si>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</si>
  <si>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</si>
  <si>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</si>
  <si>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</si>
  <si>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</si>
  <si>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</si>
  <si>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</si>
  <si>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</si>
  <si>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</si>
  <si>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</si>
  <si>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</si>
  <si>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</si>
  <si>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</si>
  <si>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</si>
  <si>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</si>
  <si>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</si>
  <si>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</si>
  <si>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</si>
  <si>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</si>
  <si>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</si>
  <si>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</si>
  <si>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</si>
  <si>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</si>
  <si>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</si>
  <si>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</si>
  <si>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</si>
  <si>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</si>
  <si>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</si>
  <si>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</si>
  <si>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</si>
  <si>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</si>
  <si>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</si>
  <si>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</si>
  <si>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</si>
  <si>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</si>
  <si>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</si>
  <si>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</si>
  <si>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</si>
  <si>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</si>
  <si>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</si>
  <si>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</si>
  <si>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</si>
  <si>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</si>
  <si>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</si>
  <si>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</si>
  <si>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</si>
  <si>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</si>
  <si>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</si>
  <si>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</si>
  <si>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</si>
  <si>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</si>
  <si>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</si>
  <si>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</si>
  <si>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</si>
  <si>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</si>
  <si>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</si>
  <si>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</si>
  <si>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</si>
  <si>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</si>
  <si>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</si>
  <si>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</si>
  <si>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</si>
  <si>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</si>
  <si>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</si>
  <si>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</si>
  <si>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</si>
  <si>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</si>
  <si>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</si>
  <si>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</si>
  <si>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</si>
  <si>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</si>
  <si>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</si>
  <si>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</si>
  <si>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</si>
  <si>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</si>
  <si>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</si>
  <si>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</si>
  <si>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</si>
  <si>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</si>
  <si>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</si>
  <si>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</si>
  <si>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</si>
  <si>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</si>
  <si>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</si>
  <si>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</si>
  <si>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</si>
  <si>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</si>
  <si>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</si>
  <si>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</si>
  <si>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</si>
  <si>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</si>
  <si>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</si>
  <si>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</si>
  <si>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</si>
  <si>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</si>
  <si>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</si>
  <si>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</si>
  <si>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</si>
  <si>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</si>
  <si>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</si>
  <si>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</si>
  <si>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</si>
  <si>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</si>
  <si>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</si>
  <si>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</si>
  <si>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</si>
  <si>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</si>
  <si>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</si>
  <si>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</si>
  <si>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</si>
  <si>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</si>
  <si>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</si>
  <si>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</si>
  <si>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</si>
  <si>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</si>
  <si>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</si>
  <si>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</si>
  <si>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</si>
  <si>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</si>
  <si>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</si>
  <si>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</si>
  <si>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</si>
  <si>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</si>
  <si>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</si>
  <si>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</si>
  <si>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</si>
  <si>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</si>
  <si>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</si>
  <si>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</si>
  <si>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</si>
  <si>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</si>
  <si>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</si>
  <si>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</si>
  <si>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</si>
  <si>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</si>
  <si>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</si>
  <si>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</si>
  <si>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</si>
  <si>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</si>
  <si>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</si>
  <si>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</si>
  <si>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</si>
  <si>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</si>
  <si>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</si>
  <si>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</si>
  <si>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</si>
  <si>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</si>
  <si>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</si>
  <si>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</si>
  <si>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</si>
  <si>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</si>
  <si>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</si>
  <si>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</si>
  <si>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</si>
  <si>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</si>
  <si>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</si>
  <si>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</si>
  <si>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</si>
  <si>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</si>
  <si>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</si>
  <si>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</si>
  <si>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</si>
  <si>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</si>
  <si>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</si>
  <si>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</si>
  <si>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</si>
  <si>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</si>
  <si>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</si>
  <si>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</si>
  <si>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</si>
  <si>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</si>
  <si>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</si>
  <si>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</si>
  <si>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</si>
  <si>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</si>
  <si>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</si>
  <si>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</si>
  <si>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</si>
  <si>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</si>
  <si>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</si>
  <si>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</si>
  <si>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</si>
  <si>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</si>
  <si>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</si>
  <si>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</si>
  <si>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</si>
  <si>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</si>
  <si>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</si>
  <si>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</si>
  <si>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</si>
  <si>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</si>
  <si>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</si>
  <si>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</si>
  <si>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</si>
  <si>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</si>
  <si>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</si>
  <si>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</si>
  <si>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</si>
  <si>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</si>
  <si>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</si>
  <si>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</si>
  <si>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</si>
  <si>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</si>
  <si>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</si>
  <si>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</si>
  <si>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</si>
  <si>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</si>
  <si>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</si>
  <si>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</si>
  <si>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</si>
  <si>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</si>
  <si>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</si>
  <si>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</si>
  <si>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</si>
  <si>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</si>
  <si>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</si>
  <si>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</si>
  <si>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</si>
  <si>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</si>
  <si>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</si>
  <si>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</si>
  <si>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</si>
  <si>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</si>
  <si>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</si>
  <si>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</si>
  <si>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</si>
  <si>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</si>
  <si>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</si>
  <si>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</si>
  <si>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</si>
  <si>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</si>
  <si>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</si>
  <si>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</si>
  <si>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</si>
  <si>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</si>
  <si>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</si>
  <si>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</si>
  <si>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</si>
  <si>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</si>
  <si>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</si>
  <si>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</si>
  <si>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</si>
  <si>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</si>
  <si>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</si>
  <si>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</si>
  <si>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</si>
  <si>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</si>
  <si>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</si>
  <si>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</si>
  <si>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</si>
  <si>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</si>
  <si>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</si>
  <si>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</si>
  <si>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</si>
  <si>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</si>
  <si>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</si>
  <si>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</si>
  <si>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</si>
  <si>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</si>
  <si>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</si>
  <si>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</si>
  <si>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</si>
  <si>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</si>
  <si>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</si>
  <si>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</si>
  <si>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</si>
  <si>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</si>
  <si>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</si>
  <si>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</si>
  <si>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</si>
  <si>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</si>
  <si>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</si>
  <si>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</si>
  <si>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</si>
  <si>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</si>
  <si>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</si>
  <si>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</si>
  <si>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</si>
  <si>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</si>
  <si>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</si>
  <si>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</si>
  <si>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</si>
  <si>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</si>
  <si>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</si>
  <si>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</si>
  <si>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</si>
  <si>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</si>
  <si>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</si>
  <si>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</si>
  <si>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</si>
  <si>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</si>
  <si>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</si>
  <si>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</si>
  <si>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</si>
  <si>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</si>
  <si>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</si>
  <si>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</si>
  <si>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</si>
  <si>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</si>
  <si>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</si>
  <si>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</si>
  <si>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</si>
  <si>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</si>
  <si>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</si>
  <si>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</si>
  <si>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</si>
  <si>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</si>
  <si>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</si>
  <si>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</si>
  <si>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</si>
  <si>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</si>
  <si>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</si>
  <si>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</si>
  <si>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</si>
  <si>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</si>
  <si>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</si>
  <si>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</si>
  <si>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</si>
  <si>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</si>
  <si>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</si>
  <si>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</si>
  <si>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</si>
  <si>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</si>
  <si>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</si>
  <si>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</si>
  <si>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</si>
  <si>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</si>
  <si>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</si>
  <si>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</si>
  <si>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</si>
  <si>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</si>
  <si>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</si>
  <si>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</si>
  <si>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</si>
  <si>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</si>
  <si>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</si>
  <si>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</si>
  <si>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</si>
  <si>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</si>
  <si>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</si>
  <si>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</si>
  <si>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</si>
  <si>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</si>
  <si>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</si>
  <si>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</si>
  <si>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</si>
  <si>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</si>
  <si>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</si>
  <si>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</si>
  <si>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</si>
  <si>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</si>
  <si>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</si>
  <si>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</si>
  <si>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</si>
  <si>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</si>
  <si>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</si>
  <si>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</si>
  <si>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</si>
  <si>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</si>
  <si>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</si>
  <si>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</si>
  <si>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</si>
  <si>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</si>
  <si>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</si>
  <si>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</si>
  <si>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</si>
  <si>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</si>
  <si>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</si>
  <si>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</si>
  <si>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</si>
  <si>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</si>
  <si>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</si>
  <si>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</si>
  <si>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</si>
  <si>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</si>
  <si>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</si>
  <si>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</si>
  <si>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</si>
  <si>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</si>
  <si>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</si>
  <si>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</si>
  <si>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</si>
  <si>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</si>
  <si>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</si>
  <si>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</si>
  <si>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</si>
  <si>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</si>
  <si>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</si>
  <si>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</si>
  <si>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</si>
  <si>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</si>
  <si>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</si>
  <si>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</si>
  <si>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</si>
  <si>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</si>
  <si>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</si>
  <si>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</si>
  <si>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</si>
  <si>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</si>
  <si>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</si>
  <si>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</si>
  <si>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</si>
  <si>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</si>
  <si>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</si>
  <si>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</si>
  <si>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</si>
  <si>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</si>
  <si>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</si>
  <si>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</si>
  <si>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</si>
  <si>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</si>
  <si>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</si>
  <si>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</si>
  <si>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</si>
  <si>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</si>
  <si>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</si>
  <si>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</si>
  <si>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</si>
  <si>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</si>
  <si>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</si>
  <si>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</si>
  <si>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</si>
  <si>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</si>
  <si>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</si>
  <si>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</si>
  <si>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</si>
  <si>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</si>
  <si>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</si>
  <si>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</si>
  <si>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</si>
  <si>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</si>
  <si>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</si>
  <si>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</si>
  <si>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</si>
  <si>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</si>
  <si>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</si>
  <si>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</si>
  <si>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</si>
  <si>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</si>
  <si>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</si>
  <si>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</si>
  <si>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</si>
  <si>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</si>
  <si>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</si>
  <si>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</si>
  <si>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</si>
  <si>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</si>
  <si>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</si>
  <si>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</si>
  <si>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</si>
  <si>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</si>
  <si>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</si>
  <si>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</si>
  <si>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</si>
  <si>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</si>
  <si>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</si>
  <si>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</si>
  <si>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</si>
  <si>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</si>
  <si>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</si>
  <si>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</si>
  <si>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</si>
  <si>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</si>
  <si>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</si>
  <si>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</si>
  <si>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</si>
  <si>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</si>
  <si>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</si>
  <si>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</si>
  <si>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</si>
  <si>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</si>
  <si>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</si>
  <si>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</si>
  <si>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</si>
  <si>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</si>
  <si>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</si>
  <si>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</si>
  <si>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</si>
  <si>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</si>
  <si>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</si>
  <si>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</si>
  <si>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</si>
  <si>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</si>
  <si>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</si>
  <si>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</si>
  <si>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</si>
  <si>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</si>
  <si>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</si>
  <si>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</si>
  <si>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</si>
  <si>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</si>
  <si>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</si>
  <si>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</si>
  <si>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</si>
  <si>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</si>
  <si>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</si>
  <si>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</si>
  <si>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</si>
  <si>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</si>
  <si>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</si>
  <si>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</si>
  <si>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</si>
  <si>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</si>
  <si>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</si>
  <si>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</si>
  <si>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</si>
  <si>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</si>
  <si>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</si>
  <si>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</si>
  <si>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</si>
  <si>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</si>
  <si>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</si>
  <si>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</si>
  <si>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</si>
  <si>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</si>
  <si>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</si>
  <si>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</si>
  <si>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</si>
  <si>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</si>
  <si>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</si>
  <si>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</si>
  <si>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</si>
  <si>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</si>
  <si>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</si>
  <si>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</si>
  <si>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</si>
  <si>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</si>
  <si>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</si>
  <si>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</si>
  <si>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</si>
  <si>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</si>
  <si>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</si>
  <si>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</si>
  <si>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</si>
  <si>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</si>
  <si>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</si>
  <si>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</si>
  <si>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</si>
  <si>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</si>
  <si>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</si>
  <si>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</si>
  <si>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</si>
  <si>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</si>
  <si>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</si>
  <si>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</si>
  <si>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</si>
  <si>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</si>
  <si>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</si>
  <si>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</si>
  <si>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</si>
  <si>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</si>
  <si>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</si>
  <si>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</si>
  <si>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</si>
  <si>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</si>
  <si>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</si>
  <si>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</si>
  <si>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</si>
  <si>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</si>
  <si>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</si>
  <si>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</si>
  <si>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</si>
  <si>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</si>
  <si>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</si>
  <si>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</si>
  <si>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</si>
  <si>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</si>
  <si>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</si>
  <si>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</si>
  <si>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</si>
  <si>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</si>
  <si>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</si>
  <si>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</si>
  <si>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</si>
  <si>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</si>
  <si>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</si>
  <si>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</si>
  <si>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</si>
  <si>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</si>
  <si>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</si>
  <si>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</si>
  <si>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</si>
  <si>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</si>
  <si>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</si>
  <si>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</si>
  <si>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</si>
  <si>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</si>
  <si>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</si>
  <si>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</si>
  <si>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</si>
  <si>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</si>
  <si>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</si>
  <si>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</si>
  <si>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</si>
  <si>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</si>
  <si>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</si>
  <si>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</si>
  <si>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</si>
  <si>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</si>
  <si>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</si>
  <si>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</si>
  <si>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</si>
  <si>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</si>
  <si>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</si>
  <si>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</si>
  <si>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</si>
  <si>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</si>
  <si>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</si>
  <si>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</si>
  <si>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</si>
  <si>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</si>
  <si>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</si>
  <si>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</si>
  <si>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</si>
  <si>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</si>
  <si>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</si>
  <si>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</si>
  <si>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</si>
  <si>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</si>
  <si>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</si>
  <si>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</si>
  <si>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</si>
  <si>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</si>
  <si>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</si>
  <si>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</si>
  <si>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</si>
  <si>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</si>
  <si>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</si>
  <si>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</si>
  <si>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</si>
  <si>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</si>
  <si>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</si>
  <si>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</si>
  <si>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</si>
  <si>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</si>
  <si>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</si>
  <si>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</si>
  <si>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</si>
  <si>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</si>
  <si>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</si>
  <si>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</si>
  <si>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</si>
  <si>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</si>
  <si>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</si>
  <si>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</si>
  <si>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</si>
  <si>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</si>
  <si>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</si>
  <si>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</si>
  <si>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</si>
  <si>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</si>
  <si>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</si>
  <si>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</si>
  <si>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</si>
  <si>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</si>
  <si>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</si>
  <si>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</si>
  <si>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</si>
  <si>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</si>
  <si>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</si>
  <si>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</si>
  <si>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</si>
  <si>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</si>
  <si>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</si>
  <si>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</si>
  <si>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</si>
  <si>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</si>
  <si>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</si>
  <si>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</si>
  <si>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</si>
  <si>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</si>
  <si>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</si>
  <si>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</si>
  <si>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</si>
  <si>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</si>
  <si>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</si>
  <si>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</si>
  <si>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</si>
  <si>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</si>
  <si>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</si>
  <si>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</si>
  <si>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</si>
  <si>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</si>
  <si>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</si>
  <si>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</si>
  <si>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</si>
  <si>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</si>
  <si>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</si>
  <si>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</si>
  <si>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</si>
  <si>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</si>
  <si>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</si>
  <si>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</si>
  <si>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</si>
  <si>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</si>
  <si>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</si>
  <si>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</si>
  <si>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</si>
  <si>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</si>
  <si>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</si>
  <si>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</si>
  <si>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</si>
  <si>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</si>
  <si>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</si>
  <si>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</si>
  <si>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</si>
  <si>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</si>
  <si>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</si>
  <si>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</si>
  <si>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</si>
  <si>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</si>
  <si>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</si>
  <si>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</si>
  <si>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</si>
  <si>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</si>
  <si>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</si>
  <si>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</si>
  <si>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</si>
  <si>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</si>
  <si>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</si>
  <si>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</si>
  <si>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</si>
  <si>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</si>
  <si>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</si>
  <si>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</si>
  <si>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</si>
  <si>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</si>
  <si>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</si>
  <si>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</si>
  <si>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</si>
  <si>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</si>
  <si>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</si>
  <si>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</si>
  <si>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</si>
  <si>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</si>
  <si>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</si>
  <si>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</si>
  <si>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</si>
  <si>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</si>
  <si>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</si>
  <si>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</si>
  <si>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</si>
  <si>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</si>
  <si>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</si>
  <si>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</si>
  <si>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</si>
  <si>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</si>
  <si>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</si>
  <si>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</si>
  <si>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</si>
  <si>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</si>
  <si>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</si>
  <si>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</si>
  <si>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</si>
  <si>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</si>
  <si>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</si>
  <si>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</si>
  <si>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</si>
  <si>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</si>
  <si>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</si>
  <si>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</si>
  <si>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</si>
  <si>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</si>
  <si>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</si>
  <si>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</si>
  <si>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</si>
  <si>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</si>
  <si>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</si>
  <si>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</si>
  <si>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</si>
  <si>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</si>
  <si>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</si>
  <si>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</si>
  <si>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</si>
  <si>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</si>
  <si>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</si>
  <si>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</si>
  <si>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</si>
  <si>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</si>
  <si>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</si>
  <si>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</si>
  <si>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</si>
  <si>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</si>
  <si>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</si>
  <si>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</si>
  <si>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</si>
  <si>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</si>
  <si>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</si>
  <si>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</si>
  <si>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</si>
  <si>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</si>
  <si>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</si>
  <si>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</si>
  <si>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</si>
  <si>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</si>
  <si>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</si>
  <si>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</si>
  <si>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</si>
  <si>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</si>
  <si>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</si>
  <si>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</si>
  <si>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</si>
  <si>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</si>
  <si>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</si>
  <si>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</si>
  <si>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</si>
  <si>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</si>
  <si>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</si>
  <si>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</si>
  <si>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</si>
  <si>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</si>
  <si>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</si>
  <si>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</si>
  <si>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</si>
  <si>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</si>
  <si>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</si>
  <si>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</si>
  <si>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</si>
  <si>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</si>
  <si>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</si>
  <si>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</si>
  <si>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</si>
  <si>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</si>
  <si>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</si>
  <si>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</si>
  <si>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</si>
  <si>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</si>
  <si>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</si>
  <si>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</si>
  <si>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</si>
  <si>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</si>
  <si>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</si>
  <si>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</si>
  <si>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</si>
  <si>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</si>
  <si>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</si>
  <si>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</si>
  <si>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</si>
  <si>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</si>
  <si>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</si>
  <si>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</si>
  <si>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</si>
  <si>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</si>
  <si>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</si>
  <si>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</si>
  <si>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</si>
  <si>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</si>
  <si>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</si>
  <si>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</si>
  <si>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</si>
  <si>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</si>
  <si>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</si>
  <si>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</si>
  <si>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</si>
  <si>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</si>
  <si>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</si>
  <si>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</si>
  <si>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</si>
  <si>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</si>
  <si>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</si>
  <si>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</si>
  <si>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</si>
  <si>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</si>
  <si>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</si>
  <si>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</si>
  <si>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</si>
  <si>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</si>
  <si>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</si>
  <si>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</si>
  <si>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</si>
  <si>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</si>
  <si>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</si>
  <si>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</si>
  <si>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</si>
  <si>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</si>
  <si>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</si>
  <si>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</si>
  <si>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</si>
  <si>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</si>
  <si>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</si>
  <si>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</si>
  <si>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</si>
  <si>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</si>
  <si>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</si>
  <si>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</si>
  <si>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</si>
  <si>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</si>
  <si>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</si>
  <si>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</si>
  <si>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</si>
  <si>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</si>
  <si>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</si>
  <si>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</si>
  <si>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</si>
  <si>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</si>
  <si>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</si>
  <si>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</si>
  <si>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</si>
  <si>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</si>
  <si>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</si>
  <si>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</si>
  <si>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</si>
  <si>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</si>
  <si>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</si>
  <si>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</si>
  <si>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</si>
  <si>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</si>
  <si>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</si>
  <si>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</si>
  <si>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</si>
  <si>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</si>
  <si>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</si>
  <si>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</si>
  <si>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</si>
  <si>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</si>
  <si>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</si>
  <si>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</si>
  <si>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</si>
  <si>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</si>
  <si>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</si>
  <si>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</si>
  <si>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</si>
  <si>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</si>
  <si>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</si>
  <si>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</si>
  <si>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</si>
  <si>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</si>
  <si>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</si>
  <si>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</si>
  <si>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</si>
  <si>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</si>
  <si>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</si>
  <si>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</si>
  <si>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</si>
  <si>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</si>
  <si>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</si>
  <si>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</si>
  <si>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</si>
  <si>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</si>
  <si>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</si>
  <si>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</si>
  <si>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</si>
  <si>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</si>
  <si>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</si>
  <si>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</si>
  <si>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</si>
  <si>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</si>
  <si>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</si>
  <si>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</si>
  <si>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</si>
  <si>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</si>
  <si>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</si>
  <si>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</si>
  <si>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</si>
  <si>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</si>
  <si>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</si>
  <si>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</si>
  <si>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</si>
  <si>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</si>
  <si>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</si>
  <si>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</si>
  <si>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</si>
  <si>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</si>
  <si>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</si>
  <si>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</si>
  <si>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</si>
  <si>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</si>
  <si>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</si>
  <si>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</si>
  <si>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</si>
  <si>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</si>
  <si>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</si>
  <si>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</si>
  <si>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</si>
  <si>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</si>
  <si>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</si>
  <si>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</si>
  <si>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</si>
  <si>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</si>
  <si>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</si>
  <si>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</si>
  <si>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</si>
  <si>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</si>
  <si>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</si>
  <si>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</si>
  <si>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</si>
  <si>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</si>
  <si>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</si>
  <si>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</si>
  <si>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</si>
  <si>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</si>
  <si>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</si>
  <si>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</si>
  <si>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</si>
  <si>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</si>
  <si>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</si>
  <si>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</si>
  <si>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</si>
  <si>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</si>
  <si>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</si>
  <si>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</si>
  <si>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</si>
  <si>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</si>
  <si>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</si>
  <si>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</si>
  <si>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</si>
  <si>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</si>
  <si>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</si>
  <si>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</si>
  <si>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</si>
  <si>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</si>
  <si>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</si>
  <si>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</si>
  <si>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</si>
  <si>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</si>
  <si>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</si>
  <si>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</si>
  <si>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</si>
  <si>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</si>
  <si>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</si>
  <si>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</si>
  <si>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</si>
  <si>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</si>
  <si>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</si>
  <si>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</si>
  <si>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</si>
  <si>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</si>
  <si>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</si>
  <si>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</si>
  <si>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</si>
  <si>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</si>
  <si>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</si>
  <si>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</si>
  <si>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</si>
  <si>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</si>
  <si>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</si>
  <si>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</si>
  <si>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</si>
  <si>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</si>
  <si>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</si>
  <si>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</si>
  <si>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</si>
  <si>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</si>
  <si>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</si>
  <si>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</si>
  <si>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</si>
  <si>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</si>
  <si>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</si>
  <si>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</si>
  <si>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</si>
  <si>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</si>
  <si>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</si>
  <si>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</si>
  <si>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</si>
  <si>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</si>
  <si>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</si>
  <si>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</si>
  <si>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</si>
  <si>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</si>
  <si>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</si>
  <si>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</si>
  <si>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</si>
  <si>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</si>
  <si>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</si>
  <si>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</si>
  <si>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</si>
  <si>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</si>
  <si>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</si>
  <si>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</si>
  <si>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</si>
  <si>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</si>
  <si>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</si>
  <si>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</si>
  <si>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</si>
  <si>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</si>
  <si>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</si>
  <si>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</si>
  <si>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</si>
  <si>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</si>
  <si>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</si>
  <si>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</si>
  <si>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</si>
  <si>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</si>
  <si>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</si>
  <si>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</si>
  <si>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</si>
  <si>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</si>
  <si>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</si>
  <si>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</si>
  <si>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</si>
  <si>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</si>
  <si>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</si>
  <si>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</si>
  <si>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</si>
  <si>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</si>
  <si>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</si>
  <si>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</si>
  <si>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</si>
  <si>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</si>
  <si>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</si>
  <si>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</si>
  <si>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</si>
  <si>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</si>
  <si>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</si>
  <si>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</si>
  <si>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</si>
  <si>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</si>
  <si>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</si>
  <si>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</si>
  <si>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</si>
  <si>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</si>
  <si>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</si>
  <si>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</si>
  <si>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</si>
  <si>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</si>
  <si>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</si>
  <si>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</si>
  <si>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</si>
  <si>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</si>
  <si>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</si>
  <si>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</si>
  <si>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</si>
  <si>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</si>
  <si>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</si>
  <si>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</si>
  <si>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</si>
  <si>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</si>
  <si>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</si>
  <si>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</si>
  <si>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</si>
  <si>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</si>
  <si>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</si>
  <si>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</si>
  <si>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</si>
  <si>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</si>
  <si>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</si>
  <si>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</si>
  <si>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</si>
  <si>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</si>
  <si>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</si>
  <si>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</si>
  <si>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</si>
  <si>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</si>
  <si>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</si>
  <si>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</si>
  <si>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</si>
  <si>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</si>
  <si>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</si>
  <si>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</si>
  <si>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</si>
  <si>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</si>
  <si>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</si>
  <si>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</si>
  <si>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</si>
  <si>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</si>
  <si>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</si>
  <si>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</si>
  <si>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</si>
  <si>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</si>
  <si>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</si>
  <si>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</si>
  <si>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</si>
  <si>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</si>
  <si>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</si>
  <si>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</si>
  <si>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</si>
  <si>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</si>
  <si>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</si>
  <si>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</si>
  <si>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</si>
  <si>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</si>
  <si>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</si>
  <si>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</si>
  <si>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</si>
  <si>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</si>
  <si>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</si>
  <si>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</si>
  <si>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</si>
  <si>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</si>
  <si>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</si>
  <si>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</si>
  <si>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</si>
  <si>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</si>
  <si>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</si>
  <si>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</si>
  <si>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</si>
  <si>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</si>
  <si>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</si>
  <si>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</si>
  <si>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</si>
  <si>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</si>
  <si>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</si>
  <si>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</si>
  <si>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</si>
  <si>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</si>
  <si>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</si>
  <si>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</si>
  <si>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</si>
  <si>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</si>
  <si>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</si>
  <si>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</si>
  <si>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</si>
  <si>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</si>
  <si>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</si>
  <si>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</si>
  <si>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</si>
  <si>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</si>
  <si>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</si>
  <si>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</si>
  <si>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</si>
  <si>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</si>
  <si>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</si>
  <si>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</si>
  <si>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</si>
  <si>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</si>
  <si>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</si>
  <si>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</si>
  <si>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</si>
  <si>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</si>
  <si>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</si>
  <si>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</si>
  <si>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</si>
  <si>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</si>
  <si>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</si>
  <si>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</si>
  <si>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</si>
  <si>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</si>
  <si>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</si>
  <si>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</si>
  <si>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</si>
  <si>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</si>
  <si>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</si>
  <si>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</si>
  <si>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</si>
  <si>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</si>
  <si>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</si>
  <si>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</si>
  <si>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</si>
  <si>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</si>
  <si>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</si>
  <si>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</si>
  <si>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</si>
  <si>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</si>
  <si>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</si>
  <si>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</si>
  <si>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</si>
  <si>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</si>
  <si>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</si>
  <si>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</si>
  <si>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</si>
  <si>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</si>
  <si>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</si>
  <si>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</si>
  <si>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</si>
  <si>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</si>
  <si>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</si>
  <si>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</si>
  <si>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</si>
  <si>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</si>
  <si>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</si>
  <si>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</si>
  <si>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</si>
  <si>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</si>
  <si>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</si>
  <si>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</si>
  <si>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</si>
  <si>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</si>
  <si>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</si>
  <si>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</si>
  <si>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</si>
  <si>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</si>
  <si>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</si>
  <si>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</si>
  <si>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</si>
  <si>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</si>
  <si>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</si>
  <si>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</si>
  <si>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</si>
  <si>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</si>
  <si>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</si>
  <si>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</si>
  <si>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</si>
  <si>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</si>
  <si>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</si>
  <si>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</si>
  <si>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</si>
  <si>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</si>
  <si>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</si>
  <si>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</si>
  <si>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</si>
  <si>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</si>
  <si>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</si>
  <si>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</si>
  <si>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</si>
  <si>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</si>
  <si>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</si>
  <si>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</si>
  <si>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</si>
  <si>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</si>
  <si>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</si>
  <si>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</si>
  <si>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</si>
  <si>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</si>
  <si>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</si>
  <si>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</si>
  <si>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</si>
  <si>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</si>
  <si>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</si>
  <si>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</si>
  <si>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</si>
  <si>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</si>
  <si>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</si>
  <si>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</si>
  <si>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</si>
  <si>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</si>
  <si>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</si>
  <si>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</si>
  <si>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</si>
  <si>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</si>
  <si>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</si>
  <si>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</si>
  <si>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</si>
  <si>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</si>
  <si>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</si>
  <si>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</si>
  <si>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</si>
  <si>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</si>
  <si>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</si>
  <si>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</si>
  <si>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</si>
  <si>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</si>
  <si>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</si>
  <si>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</si>
  <si>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</si>
  <si>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</si>
  <si>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</si>
  <si>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</si>
  <si>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</si>
  <si>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</si>
  <si>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</si>
  <si>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</si>
  <si>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</si>
  <si>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</si>
  <si>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</si>
  <si>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</si>
  <si>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</si>
  <si>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</si>
  <si>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</si>
  <si>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</si>
  <si>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</si>
  <si>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</si>
  <si>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</si>
  <si>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</si>
  <si>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</si>
  <si>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</si>
  <si>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</si>
  <si>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</si>
  <si>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</si>
  <si>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</si>
  <si>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</si>
  <si>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</si>
  <si>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</si>
  <si>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</si>
  <si>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</si>
  <si>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</si>
  <si>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</si>
  <si>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</si>
  <si>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</si>
  <si>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</si>
  <si>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</si>
  <si>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</si>
  <si>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</si>
  <si>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</si>
  <si>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</si>
  <si>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</si>
  <si>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</si>
  <si>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</si>
  <si>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</si>
  <si>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</si>
  <si>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</si>
  <si>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</si>
  <si>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</si>
  <si>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</si>
  <si>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</si>
  <si>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</si>
  <si>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</si>
  <si>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</si>
  <si>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</si>
  <si>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</si>
  <si>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</si>
  <si>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</si>
  <si>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</si>
  <si>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</si>
  <si>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</si>
  <si>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</si>
  <si>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</si>
  <si>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</si>
  <si>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</si>
  <si>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</si>
  <si>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</si>
  <si>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</si>
  <si>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</si>
  <si>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</si>
  <si>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</si>
  <si>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</si>
  <si>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</si>
  <si>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</si>
  <si>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</si>
  <si>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</si>
  <si>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</si>
  <si>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</si>
  <si>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</si>
  <si>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</si>
  <si>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</si>
  <si>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</si>
  <si>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</si>
  <si>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</si>
  <si>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</si>
  <si>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</si>
  <si>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</si>
  <si>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</si>
  <si>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</si>
  <si>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</si>
  <si>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</si>
  <si>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</si>
  <si>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</si>
  <si>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</si>
  <si>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</si>
  <si>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</si>
  <si>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</si>
  <si>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</si>
  <si>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</si>
  <si>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</si>
  <si>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</si>
  <si>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</si>
  <si>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</si>
  <si>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</si>
  <si>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</si>
  <si>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</si>
  <si>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</si>
  <si>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</si>
  <si>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</si>
  <si>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</si>
  <si>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</si>
  <si>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</si>
  <si>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</si>
  <si>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</si>
  <si>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</si>
  <si>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</si>
  <si>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</si>
  <si>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</si>
  <si>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</si>
  <si>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</si>
  <si>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</si>
  <si>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</si>
  <si>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</si>
  <si>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</si>
  <si>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</si>
  <si>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</si>
  <si>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</si>
  <si>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</si>
  <si>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</si>
  <si>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</si>
  <si>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</si>
  <si>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</si>
  <si>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</si>
  <si>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</si>
  <si>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</si>
  <si>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</si>
  <si>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</si>
  <si>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</si>
  <si>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</si>
  <si>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</si>
  <si>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</si>
  <si>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</si>
  <si>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</si>
  <si>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</si>
  <si>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</si>
  <si>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</si>
  <si>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</si>
  <si>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</si>
  <si>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</si>
  <si>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</si>
  <si>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</si>
  <si>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</si>
  <si>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</si>
  <si>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</si>
  <si>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</si>
  <si>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</si>
  <si>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</si>
  <si>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</si>
  <si>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</si>
  <si>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</si>
  <si>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</si>
  <si>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</si>
  <si>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</si>
  <si>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</si>
  <si>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</si>
  <si>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</si>
  <si>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</si>
  <si>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</si>
  <si>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</si>
  <si>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</si>
  <si>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</si>
  <si>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</si>
  <si>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</si>
  <si>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</si>
  <si>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</si>
  <si>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</si>
  <si>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</si>
  <si>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</si>
  <si>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</si>
  <si>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</si>
  <si>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</si>
  <si>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</si>
  <si>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</si>
  <si>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</si>
  <si>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</si>
  <si>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</si>
  <si>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</si>
  <si>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</si>
  <si>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</si>
  <si>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</si>
  <si>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</si>
  <si>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</si>
  <si>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</si>
  <si>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</si>
  <si>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</si>
  <si>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</si>
  <si>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</si>
  <si>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</si>
  <si>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</si>
  <si>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</si>
  <si>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</si>
  <si>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</si>
  <si>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</si>
  <si>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</si>
  <si>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</si>
  <si>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</si>
  <si>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</si>
  <si>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</si>
  <si>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</si>
  <si>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</si>
  <si>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</si>
  <si>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</si>
  <si>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</si>
  <si>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</si>
  <si>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</si>
  <si>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</si>
  <si>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</si>
  <si>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</si>
  <si>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</si>
  <si>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</si>
  <si>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</si>
  <si>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</si>
  <si>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</si>
  <si>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</si>
  <si>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</si>
  <si>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</si>
  <si>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</si>
  <si>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</si>
  <si>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</si>
  <si>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</si>
  <si>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</si>
  <si>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</si>
  <si>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</si>
  <si>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</si>
  <si>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</si>
  <si>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</si>
  <si>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</si>
  <si>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</si>
  <si>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</si>
  <si>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</si>
  <si>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</si>
  <si>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</si>
  <si>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</si>
  <si>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</si>
  <si>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</si>
  <si>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</si>
  <si>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</si>
  <si>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</si>
  <si>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</si>
  <si>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</si>
  <si>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</si>
  <si>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</si>
  <si>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</si>
  <si>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</si>
  <si>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</si>
  <si>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</si>
  <si>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</si>
  <si>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</si>
  <si>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</si>
  <si>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</si>
  <si>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</si>
  <si>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</si>
  <si>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</si>
  <si>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</si>
  <si>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</si>
  <si>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</si>
  <si>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</si>
  <si>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</si>
  <si>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</si>
  <si>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</si>
  <si>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</si>
  <si>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</si>
  <si>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</si>
  <si>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</si>
  <si>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</si>
  <si>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</si>
  <si>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</si>
  <si>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</si>
  <si>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</si>
  <si>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</si>
  <si>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</si>
  <si>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</si>
  <si>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</si>
  <si>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</si>
  <si>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</si>
  <si>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</si>
  <si>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</si>
  <si>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</si>
  <si>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</si>
  <si>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</si>
  <si>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</si>
  <si>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</si>
  <si>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</si>
  <si>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</si>
  <si>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</si>
  <si>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</si>
  <si>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</si>
  <si>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</si>
  <si>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</si>
  <si>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</si>
  <si>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</si>
  <si>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</si>
  <si>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</si>
  <si>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</si>
  <si>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</si>
  <si>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</si>
  <si>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</si>
  <si>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</si>
  <si>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</si>
  <si>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</si>
  <si>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</si>
  <si>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</si>
  <si>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</si>
  <si>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</si>
  <si>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</si>
  <si>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</si>
  <si>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</si>
  <si>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</si>
  <si>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</si>
  <si>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</si>
  <si>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</si>
  <si>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</si>
  <si>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</si>
  <si>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</si>
  <si>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</si>
  <si>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</si>
  <si>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</si>
  <si>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</si>
  <si>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</si>
  <si>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</si>
  <si>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</si>
  <si>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</si>
  <si>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</si>
  <si>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</si>
  <si>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</si>
  <si>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</si>
  <si>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</si>
  <si>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</si>
  <si>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</si>
  <si>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</si>
  <si>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</si>
  <si>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</si>
  <si>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</si>
  <si>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</si>
  <si>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</si>
  <si>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</si>
  <si>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</si>
  <si>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</si>
  <si>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</si>
  <si>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</si>
  <si>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</si>
  <si>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</si>
  <si>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</si>
  <si>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</si>
  <si>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</si>
  <si>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</si>
  <si>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</si>
  <si>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</si>
  <si>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</si>
  <si>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</si>
  <si>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</si>
  <si>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</si>
  <si>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</si>
  <si>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</si>
  <si>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</si>
  <si>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</si>
  <si>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</si>
  <si>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</si>
  <si>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</si>
  <si>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</si>
  <si>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</si>
  <si>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</si>
  <si>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</si>
  <si>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</si>
  <si>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</si>
  <si>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</si>
  <si>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</si>
  <si>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</si>
  <si>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</si>
  <si>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</si>
  <si>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</si>
  <si>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</si>
  <si>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</si>
  <si>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</si>
  <si>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</si>
  <si>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</si>
  <si>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</si>
  <si>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</si>
  <si>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</si>
  <si>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</si>
  <si>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</si>
  <si>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</si>
  <si>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</si>
  <si>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</si>
  <si>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</si>
  <si>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</si>
  <si>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</si>
  <si>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</si>
  <si>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</si>
  <si>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</si>
  <si>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</si>
  <si>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</si>
  <si>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</si>
  <si>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</si>
  <si>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</si>
  <si>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</si>
  <si>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</si>
  <si>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</si>
  <si>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</si>
  <si>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</si>
  <si>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</si>
  <si>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</si>
  <si>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</si>
  <si>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</si>
  <si>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</si>
  <si>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</si>
  <si>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</si>
  <si>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</si>
  <si>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</si>
  <si>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</si>
  <si>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</si>
  <si>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</si>
  <si>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</si>
  <si>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</si>
  <si>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</si>
  <si>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</si>
  <si>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</si>
  <si>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</si>
  <si>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</si>
  <si>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</si>
  <si>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</si>
  <si>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</si>
  <si>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</si>
  <si>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</si>
  <si>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</si>
  <si>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</si>
  <si>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</si>
  <si>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</si>
  <si>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</si>
  <si>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</si>
  <si>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</si>
  <si>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</si>
  <si>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</si>
  <si>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</si>
  <si>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</si>
  <si>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</si>
  <si>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</si>
  <si>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</si>
  <si>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</si>
  <si>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</si>
  <si>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</si>
  <si>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</si>
  <si>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</si>
  <si>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</si>
  <si>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</si>
  <si>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</si>
  <si>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</si>
  <si>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</si>
  <si>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</si>
  <si>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</si>
  <si>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</si>
  <si>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</si>
  <si>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</si>
  <si>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</si>
  <si>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</si>
  <si>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</si>
  <si>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</si>
  <si>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</si>
  <si>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</si>
  <si>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</si>
  <si>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</si>
  <si>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</si>
  <si>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</si>
  <si>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</si>
  <si>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</si>
  <si>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</si>
  <si>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</si>
  <si>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</si>
  <si>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</si>
  <si>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</si>
  <si>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</si>
  <si>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</si>
  <si>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</si>
  <si>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</si>
  <si>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</si>
  <si>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</si>
  <si>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</si>
  <si>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</si>
  <si>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</si>
  <si>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</si>
  <si>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</si>
  <si>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</si>
  <si>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</si>
  <si>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</si>
  <si>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</si>
  <si>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</si>
  <si>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</si>
  <si>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</si>
  <si>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</si>
  <si>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</si>
  <si>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</si>
  <si>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</si>
  <si>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</si>
  <si>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</si>
  <si>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</si>
  <si>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</si>
  <si>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</si>
  <si>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</si>
  <si>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</si>
  <si>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</si>
  <si>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</si>
  <si>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</si>
  <si>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</si>
  <si>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</si>
  <si>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</si>
  <si>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</si>
  <si>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</si>
  <si>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</si>
  <si>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</si>
  <si>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</si>
  <si>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</si>
  <si>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</si>
  <si>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</si>
  <si>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</si>
  <si>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</si>
  <si>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</si>
  <si>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</si>
  <si>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</si>
  <si>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</si>
  <si>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</si>
  <si>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</si>
  <si>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</si>
  <si>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</si>
  <si>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</si>
  <si>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</si>
  <si>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</si>
  <si>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</si>
  <si>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</si>
  <si>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</si>
  <si>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</si>
  <si>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</si>
  <si>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</si>
  <si>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</si>
  <si>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</si>
  <si>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</si>
  <si>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</si>
  <si>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</si>
  <si>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</si>
  <si>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</si>
  <si>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</si>
  <si>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</si>
  <si>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</si>
  <si>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</si>
  <si>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</si>
  <si>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</si>
  <si>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</si>
  <si>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</si>
  <si>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</si>
  <si>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</si>
  <si>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</si>
  <si>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</si>
  <si>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</si>
  <si>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</si>
  <si>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</si>
  <si>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</si>
  <si>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</si>
  <si>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</si>
  <si>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</si>
  <si>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</si>
  <si>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</si>
  <si>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</si>
  <si>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</si>
  <si>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</si>
  <si>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</si>
  <si>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</si>
  <si>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</si>
  <si>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</si>
  <si>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</si>
  <si>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</si>
  <si>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</si>
  <si>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</si>
  <si>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</si>
  <si>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</si>
  <si>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</si>
  <si>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</si>
  <si>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</si>
  <si>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</si>
  <si>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</si>
  <si>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</si>
  <si>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</si>
  <si>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</si>
  <si>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</si>
  <si>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</si>
  <si>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</si>
  <si>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</si>
  <si>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</si>
  <si>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</si>
  <si>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</si>
  <si>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</si>
  <si>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</si>
  <si>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</si>
  <si>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</si>
  <si>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</si>
  <si>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</si>
  <si>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</si>
  <si>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</si>
  <si>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</si>
  <si>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</si>
  <si>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</si>
  <si>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</si>
  <si>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</si>
  <si>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</si>
  <si>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</si>
  <si>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</si>
  <si>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</si>
  <si>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</si>
  <si>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</si>
  <si>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</si>
  <si>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</si>
  <si>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</si>
  <si>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</si>
  <si>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</si>
  <si>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</si>
  <si>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</si>
  <si>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</si>
  <si>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</si>
  <si>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</si>
  <si>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</si>
  <si>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</si>
  <si>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</si>
  <si>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</si>
  <si>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</si>
  <si>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</si>
  <si>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</si>
  <si>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</si>
  <si>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</si>
  <si>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</si>
  <si>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</si>
  <si>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</si>
  <si>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</si>
  <si>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</si>
  <si>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</si>
  <si>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</si>
  <si>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</si>
  <si>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</si>
  <si>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</si>
  <si>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</si>
  <si>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</si>
  <si>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</si>
  <si>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</si>
  <si>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</si>
  <si>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</si>
  <si>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</si>
  <si>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</si>
  <si>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</si>
  <si>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</si>
  <si>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</si>
  <si>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</si>
  <si>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</si>
  <si>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</si>
  <si>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</si>
  <si>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</si>
  <si>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</si>
  <si>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</si>
  <si>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</si>
  <si>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</si>
  <si>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</si>
  <si>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</si>
  <si>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</si>
  <si>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</si>
  <si>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</si>
  <si>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</si>
  <si>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</si>
  <si>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</si>
  <si>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</si>
  <si>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</si>
  <si>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</si>
  <si>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</si>
  <si>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</si>
  <si>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</si>
  <si>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</si>
  <si>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</si>
  <si>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</si>
  <si>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</si>
  <si>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</si>
  <si>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</si>
  <si>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</si>
  <si>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</si>
  <si>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</si>
  <si>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</si>
  <si>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</si>
  <si>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</si>
  <si>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</si>
  <si>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</si>
  <si>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</si>
  <si>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</si>
  <si>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</si>
  <si>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</si>
  <si>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</si>
  <si>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</si>
  <si>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</si>
  <si>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</si>
  <si>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</si>
  <si>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</si>
  <si>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</si>
  <si>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</si>
  <si>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</si>
  <si>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</si>
  <si>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</si>
  <si>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</si>
  <si>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</si>
  <si>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</si>
  <si>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</si>
  <si>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</si>
  <si>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</si>
  <si>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</si>
  <si>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</si>
  <si>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</si>
  <si>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</si>
  <si>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</si>
  <si>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</si>
  <si>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</si>
  <si>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</si>
  <si>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</si>
  <si>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</si>
  <si>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</si>
  <si>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</si>
  <si>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</si>
  <si>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</si>
  <si>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</si>
  <si>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</si>
  <si>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</si>
  <si>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</si>
  <si>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</si>
  <si>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</si>
  <si>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</si>
  <si>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</si>
  <si>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</si>
  <si>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</si>
  <si>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</si>
  <si>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</si>
  <si>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</si>
  <si>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</si>
  <si>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</si>
  <si>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</si>
  <si>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</si>
  <si>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</si>
  <si>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</si>
  <si>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</si>
  <si>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</si>
  <si>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</si>
  <si>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</si>
  <si>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</si>
  <si>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</si>
  <si>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</si>
  <si>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</si>
  <si>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</si>
  <si>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</si>
  <si>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</si>
  <si>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</si>
  <si>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</si>
  <si>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</si>
  <si>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</si>
  <si>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</si>
  <si>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</si>
  <si>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</si>
  <si>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</si>
  <si>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</si>
  <si>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</si>
  <si>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</si>
  <si>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</si>
  <si>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</si>
  <si>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</si>
  <si>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</si>
  <si>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</si>
  <si>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</si>
  <si>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</si>
  <si>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</si>
  <si>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</si>
  <si>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</si>
  <si>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</si>
  <si>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</si>
  <si>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</si>
  <si>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</si>
  <si>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</si>
  <si>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</si>
  <si>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</si>
  <si>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</si>
  <si>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</si>
  <si>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</si>
  <si>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</si>
  <si>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</si>
  <si>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</si>
  <si>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</si>
  <si>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</si>
  <si>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</si>
  <si>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</si>
  <si>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</si>
  <si>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</si>
  <si>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</si>
  <si>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</si>
  <si>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</si>
  <si>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</si>
  <si>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</si>
  <si>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</si>
  <si>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</si>
  <si>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</si>
  <si>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</si>
  <si>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</si>
  <si>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</si>
  <si>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</si>
  <si>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</si>
  <si>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</si>
  <si>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</si>
  <si>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</si>
  <si>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</si>
  <si>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</si>
  <si>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</si>
  <si>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</si>
  <si>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</si>
  <si>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</si>
  <si>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</si>
  <si>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</si>
  <si>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</si>
  <si>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</si>
  <si>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</si>
  <si>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</si>
  <si>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</si>
  <si>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</si>
  <si>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</si>
  <si>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</si>
  <si>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</si>
  <si>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</si>
  <si>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</si>
  <si>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</si>
  <si>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</si>
  <si>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</si>
  <si>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</si>
  <si>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</si>
  <si>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</si>
  <si>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</si>
  <si>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</si>
  <si>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</si>
  <si>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</si>
  <si>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</si>
  <si>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</si>
  <si>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</si>
  <si>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</si>
  <si>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</si>
  <si>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</si>
  <si>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</si>
  <si>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</si>
  <si>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</si>
  <si>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</si>
  <si>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</si>
  <si>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</si>
  <si>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</si>
  <si>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</si>
  <si>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</si>
  <si>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</si>
  <si>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</si>
  <si>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</si>
  <si>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</si>
  <si>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</si>
  <si>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</si>
  <si>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</si>
  <si>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</si>
  <si>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</si>
  <si>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</si>
  <si>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</si>
  <si>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</si>
  <si>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</si>
  <si>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</si>
  <si>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</si>
  <si>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</si>
  <si>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</si>
  <si>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</si>
  <si>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</si>
  <si>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</si>
  <si>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</si>
  <si>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</si>
  <si>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</si>
  <si>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</si>
  <si>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</si>
  <si>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</si>
  <si>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</si>
  <si>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</si>
  <si>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</si>
  <si>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</si>
  <si>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</si>
  <si>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</si>
  <si>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</si>
  <si>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</si>
  <si>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</si>
  <si>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</si>
  <si>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</si>
  <si>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</si>
  <si>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</si>
  <si>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</si>
  <si>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</si>
  <si>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</si>
  <si>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</si>
  <si>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</si>
  <si>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</si>
  <si>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</si>
  <si>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</si>
  <si>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</si>
  <si>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</si>
  <si>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</si>
  <si>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</si>
  <si>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</si>
  <si>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</si>
  <si>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</si>
  <si>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</si>
  <si>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</si>
  <si>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</si>
  <si>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</si>
  <si>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</si>
  <si>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</si>
  <si>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</si>
  <si>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</si>
  <si>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</si>
  <si>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</si>
  <si>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</si>
  <si>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</si>
  <si>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</si>
  <si>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</si>
  <si>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</si>
  <si>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</si>
  <si>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</si>
  <si>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</si>
  <si>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</si>
  <si>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</si>
  <si>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</si>
  <si>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</si>
  <si>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</si>
  <si>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</si>
  <si>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</si>
  <si>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</si>
  <si>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</si>
  <si>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</si>
  <si>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</si>
  <si>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t xml:space="preserve">wattonomics/evidence_raw/J_sites_2027.csv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</si>
  <si>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站點證據（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站點時間線逐頁、公司與電力公司文件、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送件；</t>
    </r>
    <r>
      <rPr>
        <sz val="11"/>
        <color theme="1"/>
        <rFont val="Calibri"/>
        <family val="2"/>
        <charset val="1"/>
      </rPr>
      <t xml:space="preserve">J#n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列）</t>
    </r>
  </si>
  <si>
    <t xml:space="preserve">SRC_GL_211</t>
  </si>
  <si>
    <t xml:space="preserve">wattonomics/evidence_raw/J_review_2027.md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</si>
  <si>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</si>
  <si>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t xml:space="preserve">wattonomics/evidence_raw/K_sites_2028_2032.csv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</si>
  <si>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2028H2–2032 </t>
    </r>
    <r>
      <rPr>
        <sz val="11"/>
        <color theme="1"/>
        <rFont val="Noto Sans CJK SC"/>
        <family val="2"/>
      </rPr>
      <t xml:space="preserve">站點與供電合約候選（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查證；</t>
    </r>
    <r>
      <rPr>
        <sz val="11"/>
        <color theme="1"/>
        <rFont val="Calibri"/>
        <family val="2"/>
        <charset val="1"/>
      </rPr>
      <t xml:space="preserve">K#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prop_key</t>
    </r>
    <r>
      <rPr>
        <sz val="11"/>
        <color theme="1"/>
        <rFont val="Noto Sans CJK SC"/>
        <family val="2"/>
      </rPr>
      <t xml:space="preserve">）</t>
    </r>
  </si>
  <si>
    <t xml:space="preserve">SRC_GL_213</t>
  </si>
  <si>
    <t xml:space="preserve">wattonomics/evidence_raw/K_review_2028_2032.md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</si>
  <si>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</si>
  <si>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</si>
  <si>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052f3a1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</si>
  <si>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</si>
  <si>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64f5ccb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</si>
  <si>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</si>
  <si>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03507b7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</si>
  <si>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</si>
  <si>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4bb7b2f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</si>
  <si>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</si>
  <si>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bc5bc7e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</si>
  <si>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</si>
  <si>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ad7b89d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</si>
  <si>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</si>
  <si>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2ddfeb7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</si>
  <si>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</si>
  <si>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90eebd4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</si>
  <si>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</si>
  <si>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246d492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</si>
  <si>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</si>
  <si>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4c027d8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</si>
  <si>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</si>
  <si>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b918a8e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</si>
  <si>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</si>
  <si>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</si>
  <si>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</si>
  <si>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</si>
  <si>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</si>
  <si>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</si>
  <si>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</si>
  <si>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</si>
  <si>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</si>
  <si>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</si>
  <si>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</si>
  <si>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</si>
  <si>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</si>
  <si>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</si>
  <si>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</si>
  <si>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</si>
  <si>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</si>
  <si>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</si>
  <si>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</si>
  <si>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</si>
  <si>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</si>
  <si>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</si>
  <si>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</si>
  <si>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</si>
  <si>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</si>
  <si>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</si>
  <si>
    <t xml:space="preserve">R6</t>
  </si>
  <si>
    <r>
      <rPr>
        <sz val="11"/>
        <color theme="1"/>
        <rFont val="Noto Sans CJK SC"/>
        <family val="2"/>
      </rPr>
      <t xml:space="preserve">快照加入年化持有成本（</t>
    </r>
    <r>
      <rPr>
        <sz val="11"/>
        <color theme="1"/>
        <rFont val="Calibri"/>
        <family val="2"/>
        <charset val="1"/>
      </rPr>
      <t xml:space="preserve">AL_HoldGen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IF_HoldGen</t>
    </r>
    <r>
      <rPr>
        <sz val="11"/>
        <color theme="1"/>
        <rFont val="Noto Sans CJK SC"/>
        <family val="2"/>
      </rPr>
      <t xml:space="preserve">，世代別）</t>
    </r>
  </si>
  <si>
    <r>
      <rPr>
        <sz val="11"/>
        <color theme="1"/>
        <rFont val="Calibri"/>
        <family val="2"/>
        <charset val="1"/>
      </rPr>
      <t xml:space="preserve">v0.1.7 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對照列需要（年化持有成本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快照未含，本版不列數值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</si>
</sst>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#,##0.0##"/>
    <numFmt numFmtId="170" formatCode="0.000"/>
    <numFmt numFmtId="171" formatCode="0"/>
    <numFmt numFmtId="172" formatCode="0.000000"/>
    <numFmt numFmtId="173" formatCode="0.0"/>
    <numFmt numFmtId="17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48.5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20.1" hidden="false" customHeight="false" outlineLevel="0" collapsed="false">
      <c r="A11" s="4" t="s">
        <v>10</v>
      </c>
    </row>
    <row r="12" customFormat="false" ht="113.4" hidden="false" customHeight="false" outlineLevel="0" collapsed="false">
      <c r="A12" s="4" t="s">
        <v>11</v>
      </c>
    </row>
    <row r="13" customFormat="false" ht="76.1" hidden="false" customHeight="false" outlineLevel="0" collapsed="false">
      <c r="A13" s="4" t="s">
        <v>12</v>
      </c>
    </row>
    <row r="14" customFormat="false" ht="94.75" hidden="false" customHeight="false" outlineLevel="0" collapsed="false">
      <c r="A14" s="4" t="s">
        <v>13</v>
      </c>
    </row>
    <row r="15" customFormat="false" ht="17.15" hidden="false" customHeight="false" outlineLevel="0" collapsed="false">
      <c r="A15" s="2" t="s">
        <v>14</v>
      </c>
    </row>
    <row r="16" customFormat="false" ht="17.15" hidden="false" customHeight="false" outlineLevel="0" collapsed="false">
      <c r="A16" s="3" t="s">
        <v>15</v>
      </c>
    </row>
    <row r="17" customFormat="false" ht="17.15" hidden="false" customHeight="false" outlineLevel="0" collapsed="false">
      <c r="A17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4" customFormat="false" ht="17.1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7" t="s">
        <v>26</v>
      </c>
      <c r="I4" s="7" t="s">
        <v>27</v>
      </c>
      <c r="J4" s="7" t="s">
        <v>28</v>
      </c>
      <c r="K4" s="7" t="s">
        <v>29</v>
      </c>
      <c r="L4" s="7" t="s">
        <v>30</v>
      </c>
      <c r="M4" s="7" t="s">
        <v>31</v>
      </c>
      <c r="N4" s="7" t="s">
        <v>32</v>
      </c>
      <c r="O4" s="7" t="s">
        <v>33</v>
      </c>
      <c r="P4" s="7" t="s">
        <v>34</v>
      </c>
      <c r="Q4" s="7" t="s">
        <v>35</v>
      </c>
      <c r="R4" s="6"/>
      <c r="S4" s="6" t="s">
        <v>36</v>
      </c>
    </row>
    <row r="5" customFormat="false" ht="17.15" hidden="false" customHeight="false" outlineLevel="0" collapsed="false">
      <c r="A5" s="8" t="s">
        <v>37</v>
      </c>
    </row>
    <row r="6" customFormat="false" ht="17.15" hidden="false" customHeight="false" outlineLevel="0" collapsed="false">
      <c r="A6" s="0" t="s">
        <v>38</v>
      </c>
      <c r="B6" s="5" t="s">
        <v>39</v>
      </c>
      <c r="C6" s="0" t="s">
        <v>40</v>
      </c>
      <c r="D6" s="0" t="s">
        <v>41</v>
      </c>
      <c r="E6" s="0" t="s">
        <v>42</v>
      </c>
      <c r="F6" s="0" t="s">
        <v>43</v>
      </c>
      <c r="G6" s="0" t="s">
        <v>44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45</v>
      </c>
      <c r="B7" s="0" t="s">
        <v>46</v>
      </c>
      <c r="C7" s="0" t="s">
        <v>40</v>
      </c>
      <c r="D7" s="0" t="s">
        <v>41</v>
      </c>
      <c r="E7" s="0" t="s">
        <v>47</v>
      </c>
      <c r="F7" s="0" t="s">
        <v>48</v>
      </c>
      <c r="G7" s="5" t="s">
        <v>49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50</v>
      </c>
      <c r="B8" s="5" t="s">
        <v>51</v>
      </c>
      <c r="C8" s="0" t="s">
        <v>40</v>
      </c>
      <c r="D8" s="5" t="s">
        <v>52</v>
      </c>
      <c r="E8" s="0" t="s">
        <v>42</v>
      </c>
      <c r="F8" s="0" t="s">
        <v>53</v>
      </c>
      <c r="G8" s="0" t="s">
        <v>54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55</v>
      </c>
      <c r="B9" s="5" t="s">
        <v>56</v>
      </c>
      <c r="C9" s="0" t="s">
        <v>40</v>
      </c>
      <c r="D9" s="0" t="s">
        <v>57</v>
      </c>
      <c r="E9" s="0" t="s">
        <v>58</v>
      </c>
      <c r="F9" s="0" t="s">
        <v>43</v>
      </c>
      <c r="G9" s="5" t="s">
        <v>59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60</v>
      </c>
      <c r="B10" s="5" t="s">
        <v>61</v>
      </c>
      <c r="C10" s="0" t="s">
        <v>40</v>
      </c>
      <c r="D10" s="5" t="s">
        <v>62</v>
      </c>
      <c r="E10" s="0" t="s">
        <v>58</v>
      </c>
      <c r="F10" s="0" t="s">
        <v>53</v>
      </c>
      <c r="G10" s="5" t="s">
        <v>63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64</v>
      </c>
      <c r="B11" s="5" t="s">
        <v>65</v>
      </c>
      <c r="C11" s="0" t="s">
        <v>40</v>
      </c>
      <c r="D11" s="0" t="s">
        <v>57</v>
      </c>
      <c r="E11" s="0" t="s">
        <v>58</v>
      </c>
      <c r="F11" s="0" t="s">
        <v>53</v>
      </c>
      <c r="G11" s="5" t="s">
        <v>66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67</v>
      </c>
    </row>
    <row r="13" customFormat="false" ht="17.15" hidden="false" customHeight="false" outlineLevel="0" collapsed="false">
      <c r="A13" s="0" t="s">
        <v>68</v>
      </c>
      <c r="B13" s="5" t="s">
        <v>69</v>
      </c>
      <c r="C13" s="0" t="s">
        <v>40</v>
      </c>
      <c r="D13" s="0" t="s">
        <v>57</v>
      </c>
      <c r="E13" s="0" t="s">
        <v>58</v>
      </c>
      <c r="F13" s="0" t="s">
        <v>53</v>
      </c>
      <c r="G13" s="0" t="s">
        <v>70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71</v>
      </c>
      <c r="B14" s="0" t="s">
        <v>72</v>
      </c>
      <c r="C14" s="0" t="s">
        <v>40</v>
      </c>
      <c r="D14" s="0" t="s">
        <v>57</v>
      </c>
      <c r="E14" s="0" t="s">
        <v>42</v>
      </c>
      <c r="F14" s="0" t="s">
        <v>73</v>
      </c>
      <c r="G14" s="0" t="s">
        <v>74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75</v>
      </c>
      <c r="B15" s="5" t="s">
        <v>76</v>
      </c>
      <c r="C15" s="0" t="s">
        <v>40</v>
      </c>
      <c r="D15" s="0" t="s">
        <v>57</v>
      </c>
      <c r="E15" s="0" t="s">
        <v>58</v>
      </c>
      <c r="F15" s="0" t="s">
        <v>53</v>
      </c>
      <c r="G15" s="5" t="s">
        <v>77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78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81</v>
      </c>
      <c r="D17" s="0" t="s">
        <v>82</v>
      </c>
      <c r="E17" s="0" t="s">
        <v>47</v>
      </c>
      <c r="F17" s="0" t="s">
        <v>83</v>
      </c>
      <c r="G17" s="0" t="s">
        <v>84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85</v>
      </c>
      <c r="B18" s="5" t="s">
        <v>86</v>
      </c>
      <c r="C18" s="5" t="s">
        <v>81</v>
      </c>
      <c r="D18" s="0" t="s">
        <v>82</v>
      </c>
      <c r="E18" s="0" t="s">
        <v>47</v>
      </c>
      <c r="F18" s="0" t="s">
        <v>83</v>
      </c>
      <c r="G18" s="0" t="s">
        <v>87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88</v>
      </c>
      <c r="B19" s="5" t="s">
        <v>89</v>
      </c>
      <c r="C19" s="0" t="s">
        <v>40</v>
      </c>
      <c r="D19" s="0" t="s">
        <v>57</v>
      </c>
      <c r="E19" s="0" t="s">
        <v>47</v>
      </c>
      <c r="F19" s="0" t="s">
        <v>83</v>
      </c>
      <c r="G19" s="0" t="s">
        <v>84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90</v>
      </c>
      <c r="B20" s="5" t="s">
        <v>91</v>
      </c>
      <c r="C20" s="0" t="s">
        <v>40</v>
      </c>
      <c r="D20" s="0" t="s">
        <v>57</v>
      </c>
      <c r="E20" s="0" t="s">
        <v>47</v>
      </c>
      <c r="F20" s="0" t="s">
        <v>83</v>
      </c>
      <c r="G20" s="0" t="s">
        <v>92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40</v>
      </c>
      <c r="D22" s="0" t="s">
        <v>57</v>
      </c>
      <c r="E22" s="0" t="s">
        <v>42</v>
      </c>
      <c r="F22" s="0" t="s">
        <v>96</v>
      </c>
      <c r="G22" s="0" t="s">
        <v>97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40</v>
      </c>
      <c r="D23" s="5" t="s">
        <v>62</v>
      </c>
      <c r="E23" s="0" t="s">
        <v>42</v>
      </c>
      <c r="F23" s="0" t="s">
        <v>96</v>
      </c>
      <c r="G23" s="0" t="s">
        <v>100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40</v>
      </c>
      <c r="D24" s="0" t="s">
        <v>57</v>
      </c>
      <c r="E24" s="0" t="s">
        <v>42</v>
      </c>
      <c r="F24" s="0" t="s">
        <v>96</v>
      </c>
      <c r="G24" s="0" t="s">
        <v>103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40</v>
      </c>
      <c r="D25" s="5" t="s">
        <v>62</v>
      </c>
      <c r="E25" s="0" t="s">
        <v>42</v>
      </c>
      <c r="F25" s="0" t="s">
        <v>96</v>
      </c>
      <c r="G25" s="0" t="s">
        <v>106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40</v>
      </c>
      <c r="D26" s="5" t="s">
        <v>52</v>
      </c>
      <c r="E26" s="0" t="s">
        <v>42</v>
      </c>
      <c r="F26" s="0" t="s">
        <v>96</v>
      </c>
      <c r="G26" s="0" t="s">
        <v>109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110</v>
      </c>
      <c r="B27" s="0" t="s">
        <v>111</v>
      </c>
      <c r="C27" s="0" t="s">
        <v>40</v>
      </c>
      <c r="D27" s="5" t="s">
        <v>52</v>
      </c>
      <c r="E27" s="0" t="s">
        <v>42</v>
      </c>
      <c r="F27" s="0" t="s">
        <v>96</v>
      </c>
      <c r="G27" s="5" t="s">
        <v>112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113</v>
      </c>
    </row>
    <row r="29" customFormat="false" ht="17.15" hidden="false" customHeight="false" outlineLevel="0" collapsed="false">
      <c r="A29" s="0" t="s">
        <v>114</v>
      </c>
      <c r="B29" s="0" t="s">
        <v>115</v>
      </c>
      <c r="C29" s="0" t="s">
        <v>116</v>
      </c>
      <c r="D29" s="0" t="s">
        <v>117</v>
      </c>
      <c r="E29" s="0" t="s">
        <v>118</v>
      </c>
      <c r="F29" s="0" t="s">
        <v>119</v>
      </c>
      <c r="G29" s="0" t="s">
        <v>120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40</v>
      </c>
      <c r="D30" s="5" t="s">
        <v>52</v>
      </c>
      <c r="E30" s="0" t="s">
        <v>123</v>
      </c>
      <c r="F30" s="0" t="s">
        <v>119</v>
      </c>
      <c r="G30" s="0" t="s">
        <v>124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125</v>
      </c>
      <c r="B31" s="0" t="s">
        <v>126</v>
      </c>
      <c r="C31" s="5" t="s">
        <v>127</v>
      </c>
      <c r="D31" s="0" t="s">
        <v>117</v>
      </c>
      <c r="E31" s="0" t="s">
        <v>42</v>
      </c>
      <c r="F31" s="0" t="s">
        <v>128</v>
      </c>
      <c r="G31" s="0" t="s">
        <v>129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130</v>
      </c>
      <c r="B32" s="0" t="s">
        <v>131</v>
      </c>
      <c r="C32" s="0" t="s">
        <v>40</v>
      </c>
      <c r="D32" s="5" t="s">
        <v>52</v>
      </c>
      <c r="E32" s="0" t="s">
        <v>123</v>
      </c>
      <c r="F32" s="0" t="s">
        <v>128</v>
      </c>
      <c r="G32" s="0" t="s">
        <v>124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132</v>
      </c>
      <c r="B33" s="0" t="s">
        <v>133</v>
      </c>
      <c r="C33" s="0" t="s">
        <v>116</v>
      </c>
      <c r="D33" s="0" t="s">
        <v>117</v>
      </c>
      <c r="E33" s="0" t="s">
        <v>118</v>
      </c>
      <c r="F33" s="0" t="s">
        <v>73</v>
      </c>
      <c r="G33" s="0" t="s">
        <v>134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135</v>
      </c>
      <c r="B34" s="0" t="s">
        <v>136</v>
      </c>
      <c r="C34" s="0" t="s">
        <v>40</v>
      </c>
      <c r="D34" s="5" t="s">
        <v>52</v>
      </c>
      <c r="E34" s="0" t="s">
        <v>123</v>
      </c>
      <c r="F34" s="0" t="s">
        <v>73</v>
      </c>
      <c r="G34" s="0" t="s">
        <v>124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116</v>
      </c>
      <c r="D35" s="0" t="s">
        <v>117</v>
      </c>
      <c r="E35" s="0" t="s">
        <v>42</v>
      </c>
      <c r="F35" s="0" t="s">
        <v>139</v>
      </c>
      <c r="G35" s="0" t="s">
        <v>140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40</v>
      </c>
      <c r="D36" s="5" t="s">
        <v>52</v>
      </c>
      <c r="E36" s="0" t="s">
        <v>123</v>
      </c>
      <c r="F36" s="0" t="s">
        <v>139</v>
      </c>
      <c r="G36" s="0" t="s">
        <v>143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144</v>
      </c>
      <c r="B37" s="0" t="s">
        <v>145</v>
      </c>
      <c r="C37" s="0" t="s">
        <v>116</v>
      </c>
      <c r="D37" s="0" t="s">
        <v>117</v>
      </c>
      <c r="E37" s="0" t="s">
        <v>146</v>
      </c>
      <c r="F37" s="0" t="s">
        <v>147</v>
      </c>
      <c r="G37" s="0" t="s">
        <v>148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149</v>
      </c>
      <c r="B38" s="0" t="s">
        <v>150</v>
      </c>
      <c r="C38" s="0" t="s">
        <v>40</v>
      </c>
      <c r="D38" s="5" t="s">
        <v>52</v>
      </c>
      <c r="E38" s="0" t="s">
        <v>123</v>
      </c>
      <c r="F38" s="0" t="s">
        <v>147</v>
      </c>
      <c r="G38" s="0" t="s">
        <v>124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151</v>
      </c>
      <c r="B39" s="0" t="s">
        <v>152</v>
      </c>
      <c r="C39" s="5" t="s">
        <v>81</v>
      </c>
      <c r="D39" s="0" t="s">
        <v>117</v>
      </c>
      <c r="E39" s="0" t="s">
        <v>146</v>
      </c>
      <c r="F39" s="0" t="s">
        <v>83</v>
      </c>
      <c r="G39" s="0" t="s">
        <v>153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154</v>
      </c>
      <c r="B40" s="0" t="s">
        <v>155</v>
      </c>
      <c r="C40" s="0" t="s">
        <v>40</v>
      </c>
      <c r="D40" s="5" t="s">
        <v>52</v>
      </c>
      <c r="E40" s="0" t="s">
        <v>123</v>
      </c>
      <c r="F40" s="0" t="s">
        <v>83</v>
      </c>
      <c r="G40" s="0" t="s">
        <v>124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156</v>
      </c>
    </row>
    <row r="42" customFormat="false" ht="17.15" hidden="false" customHeight="false" outlineLevel="0" collapsed="false">
      <c r="A42" s="0" t="s">
        <v>157</v>
      </c>
      <c r="B42" s="0" t="s">
        <v>158</v>
      </c>
      <c r="C42" s="0" t="s">
        <v>116</v>
      </c>
      <c r="D42" s="0" t="s">
        <v>117</v>
      </c>
      <c r="E42" s="0" t="s">
        <v>42</v>
      </c>
      <c r="F42" s="0" t="s">
        <v>48</v>
      </c>
      <c r="G42" s="0" t="s">
        <v>159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116</v>
      </c>
      <c r="D43" s="0" t="s">
        <v>117</v>
      </c>
      <c r="E43" s="0" t="s">
        <v>42</v>
      </c>
      <c r="F43" s="0" t="s">
        <v>48</v>
      </c>
      <c r="G43" s="0" t="s">
        <v>162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81</v>
      </c>
      <c r="D44" s="0" t="s">
        <v>117</v>
      </c>
      <c r="E44" s="0" t="s">
        <v>47</v>
      </c>
      <c r="F44" s="0" t="s">
        <v>48</v>
      </c>
      <c r="G44" s="0" t="s">
        <v>165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166</v>
      </c>
      <c r="B45" s="5" t="s">
        <v>167</v>
      </c>
      <c r="C45" s="0" t="s">
        <v>116</v>
      </c>
      <c r="D45" s="0" t="s">
        <v>117</v>
      </c>
      <c r="E45" s="0" t="s">
        <v>58</v>
      </c>
      <c r="F45" s="0" t="s">
        <v>168</v>
      </c>
      <c r="G45" s="0" t="s">
        <v>169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170</v>
      </c>
      <c r="B46" s="5" t="s">
        <v>171</v>
      </c>
      <c r="C46" s="5" t="s">
        <v>172</v>
      </c>
      <c r="D46" s="0" t="s">
        <v>117</v>
      </c>
      <c r="E46" s="0" t="s">
        <v>58</v>
      </c>
      <c r="F46" s="0" t="s">
        <v>48</v>
      </c>
      <c r="G46" s="0" t="s">
        <v>173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174</v>
      </c>
      <c r="B47" s="5" t="s">
        <v>175</v>
      </c>
      <c r="C47" s="5" t="s">
        <v>172</v>
      </c>
      <c r="D47" s="0" t="s">
        <v>117</v>
      </c>
      <c r="E47" s="0" t="s">
        <v>42</v>
      </c>
      <c r="F47" s="0" t="s">
        <v>83</v>
      </c>
      <c r="G47" s="0" t="s">
        <v>176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177</v>
      </c>
      <c r="B48" s="5" t="s">
        <v>178</v>
      </c>
      <c r="C48" s="0" t="s">
        <v>40</v>
      </c>
      <c r="D48" s="5" t="s">
        <v>179</v>
      </c>
      <c r="E48" s="0" t="s">
        <v>58</v>
      </c>
      <c r="F48" s="0" t="s">
        <v>48</v>
      </c>
      <c r="G48" s="0" t="s">
        <v>180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181</v>
      </c>
      <c r="B49" s="5" t="s">
        <v>182</v>
      </c>
      <c r="C49" s="0" t="s">
        <v>116</v>
      </c>
      <c r="D49" s="0" t="s">
        <v>117</v>
      </c>
      <c r="E49" s="0" t="s">
        <v>58</v>
      </c>
      <c r="F49" s="0" t="s">
        <v>48</v>
      </c>
      <c r="G49" s="0" t="s">
        <v>183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184</v>
      </c>
      <c r="B50" s="5" t="s">
        <v>185</v>
      </c>
      <c r="C50" s="0" t="s">
        <v>116</v>
      </c>
      <c r="D50" s="0" t="s">
        <v>117</v>
      </c>
      <c r="E50" s="0" t="s">
        <v>58</v>
      </c>
      <c r="F50" s="0" t="s">
        <v>48</v>
      </c>
      <c r="G50" s="0" t="s">
        <v>186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187</v>
      </c>
    </row>
    <row r="52" customFormat="false" ht="17.15" hidden="false" customHeight="false" outlineLevel="0" collapsed="false">
      <c r="A52" s="0" t="s">
        <v>188</v>
      </c>
      <c r="B52" s="0" t="s">
        <v>189</v>
      </c>
      <c r="C52" s="5" t="s">
        <v>81</v>
      </c>
      <c r="D52" s="0" t="s">
        <v>82</v>
      </c>
      <c r="E52" s="0" t="s">
        <v>146</v>
      </c>
      <c r="F52" s="0" t="s">
        <v>83</v>
      </c>
      <c r="G52" s="0" t="s">
        <v>190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5" t="s">
        <v>81</v>
      </c>
      <c r="D53" s="0" t="s">
        <v>82</v>
      </c>
      <c r="E53" s="0" t="s">
        <v>146</v>
      </c>
      <c r="F53" s="0" t="s">
        <v>193</v>
      </c>
      <c r="G53" s="0" t="s">
        <v>194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195</v>
      </c>
      <c r="B54" s="0" t="s">
        <v>196</v>
      </c>
      <c r="C54" s="5" t="s">
        <v>81</v>
      </c>
      <c r="D54" s="0" t="s">
        <v>82</v>
      </c>
      <c r="E54" s="0" t="s">
        <v>146</v>
      </c>
      <c r="F54" s="0" t="s">
        <v>197</v>
      </c>
      <c r="G54" s="0" t="s">
        <v>198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5" t="s">
        <v>81</v>
      </c>
      <c r="D55" s="0" t="s">
        <v>82</v>
      </c>
      <c r="E55" s="0" t="s">
        <v>146</v>
      </c>
      <c r="F55" s="0" t="s">
        <v>193</v>
      </c>
      <c r="G55" s="0" t="s">
        <v>201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5" t="s">
        <v>81</v>
      </c>
      <c r="D56" s="0" t="s">
        <v>82</v>
      </c>
      <c r="E56" s="0" t="s">
        <v>146</v>
      </c>
      <c r="F56" s="0" t="s">
        <v>193</v>
      </c>
      <c r="G56" s="0" t="s">
        <v>204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5" t="s">
        <v>81</v>
      </c>
      <c r="D57" s="0" t="s">
        <v>82</v>
      </c>
      <c r="E57" s="0" t="s">
        <v>146</v>
      </c>
      <c r="F57" s="0" t="s">
        <v>193</v>
      </c>
      <c r="G57" s="0" t="s">
        <v>207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5" t="s">
        <v>81</v>
      </c>
      <c r="D58" s="0" t="s">
        <v>82</v>
      </c>
      <c r="E58" s="0" t="s">
        <v>146</v>
      </c>
      <c r="F58" s="0" t="s">
        <v>193</v>
      </c>
      <c r="G58" s="0" t="s">
        <v>210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5" t="s">
        <v>81</v>
      </c>
      <c r="D59" s="0" t="s">
        <v>82</v>
      </c>
      <c r="E59" s="0" t="s">
        <v>146</v>
      </c>
      <c r="F59" s="0" t="s">
        <v>83</v>
      </c>
      <c r="G59" s="0" t="s">
        <v>213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5" t="s">
        <v>81</v>
      </c>
      <c r="D60" s="0" t="s">
        <v>82</v>
      </c>
      <c r="E60" s="0" t="s">
        <v>146</v>
      </c>
      <c r="F60" s="0" t="s">
        <v>193</v>
      </c>
      <c r="G60" s="0" t="s">
        <v>216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40</v>
      </c>
      <c r="D61" s="0" t="s">
        <v>219</v>
      </c>
      <c r="E61" s="0" t="s">
        <v>123</v>
      </c>
      <c r="F61" s="0" t="s">
        <v>119</v>
      </c>
      <c r="G61" s="0" t="s">
        <v>220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40</v>
      </c>
      <c r="D62" s="0" t="s">
        <v>219</v>
      </c>
      <c r="E62" s="0" t="s">
        <v>123</v>
      </c>
      <c r="F62" s="0" t="s">
        <v>128</v>
      </c>
      <c r="G62" s="0" t="s">
        <v>223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224</v>
      </c>
      <c r="B63" s="0" t="s">
        <v>225</v>
      </c>
      <c r="C63" s="0" t="s">
        <v>40</v>
      </c>
      <c r="D63" s="0" t="s">
        <v>219</v>
      </c>
      <c r="E63" s="0" t="s">
        <v>123</v>
      </c>
      <c r="F63" s="0" t="s">
        <v>73</v>
      </c>
      <c r="G63" s="0" t="s">
        <v>226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227</v>
      </c>
    </row>
    <row r="65" customFormat="false" ht="17.15" hidden="false" customHeight="false" outlineLevel="0" collapsed="false">
      <c r="A65" s="0" t="s">
        <v>228</v>
      </c>
      <c r="B65" s="5" t="s">
        <v>229</v>
      </c>
      <c r="C65" s="0" t="s">
        <v>40</v>
      </c>
      <c r="D65" s="0" t="s">
        <v>230</v>
      </c>
      <c r="E65" s="0" t="s">
        <v>42</v>
      </c>
      <c r="F65" s="0" t="s">
        <v>231</v>
      </c>
      <c r="G65" s="0" t="s">
        <v>232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233</v>
      </c>
      <c r="B66" s="5" t="s">
        <v>234</v>
      </c>
      <c r="C66" s="0" t="s">
        <v>40</v>
      </c>
      <c r="D66" s="0" t="s">
        <v>41</v>
      </c>
      <c r="E66" s="0" t="s">
        <v>58</v>
      </c>
      <c r="F66" s="0" t="s">
        <v>235</v>
      </c>
      <c r="G66" s="0" t="s">
        <v>236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237</v>
      </c>
      <c r="B67" s="5" t="s">
        <v>238</v>
      </c>
      <c r="C67" s="0" t="s">
        <v>40</v>
      </c>
      <c r="D67" s="0" t="s">
        <v>239</v>
      </c>
      <c r="E67" s="0" t="s">
        <v>240</v>
      </c>
      <c r="F67" s="0" t="s">
        <v>231</v>
      </c>
      <c r="G67" s="0" t="s">
        <v>241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242</v>
      </c>
      <c r="B68" s="0" t="s">
        <v>243</v>
      </c>
      <c r="C68" s="0" t="s">
        <v>40</v>
      </c>
      <c r="D68" s="0" t="s">
        <v>230</v>
      </c>
      <c r="E68" s="0" t="s">
        <v>42</v>
      </c>
      <c r="F68" s="0" t="s">
        <v>231</v>
      </c>
      <c r="G68" s="5" t="s">
        <v>244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245</v>
      </c>
      <c r="B69" s="5" t="s">
        <v>246</v>
      </c>
      <c r="C69" s="0" t="s">
        <v>40</v>
      </c>
      <c r="D69" s="0" t="s">
        <v>230</v>
      </c>
      <c r="E69" s="0" t="s">
        <v>42</v>
      </c>
      <c r="F69" s="0" t="s">
        <v>231</v>
      </c>
      <c r="G69" s="0" t="s">
        <v>247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248</v>
      </c>
      <c r="B70" s="5" t="s">
        <v>249</v>
      </c>
      <c r="C70" s="0" t="s">
        <v>40</v>
      </c>
      <c r="D70" s="0" t="s">
        <v>230</v>
      </c>
      <c r="E70" s="0" t="s">
        <v>42</v>
      </c>
      <c r="F70" s="0" t="s">
        <v>231</v>
      </c>
      <c r="G70" s="0" t="s">
        <v>250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251</v>
      </c>
      <c r="B71" s="5" t="s">
        <v>252</v>
      </c>
      <c r="C71" s="0" t="s">
        <v>40</v>
      </c>
      <c r="D71" s="0" t="s">
        <v>230</v>
      </c>
      <c r="E71" s="0" t="s">
        <v>42</v>
      </c>
      <c r="F71" s="0" t="s">
        <v>231</v>
      </c>
      <c r="G71" s="0" t="s">
        <v>253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254</v>
      </c>
      <c r="B72" s="5" t="s">
        <v>255</v>
      </c>
      <c r="C72" s="0" t="s">
        <v>40</v>
      </c>
      <c r="D72" s="0" t="s">
        <v>230</v>
      </c>
      <c r="E72" s="0" t="s">
        <v>42</v>
      </c>
      <c r="F72" s="0" t="s">
        <v>231</v>
      </c>
      <c r="G72" s="0" t="s">
        <v>256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257</v>
      </c>
      <c r="B73" s="5" t="s">
        <v>258</v>
      </c>
      <c r="C73" s="0" t="s">
        <v>40</v>
      </c>
      <c r="D73" s="0" t="s">
        <v>230</v>
      </c>
      <c r="E73" s="0" t="s">
        <v>42</v>
      </c>
      <c r="F73" s="0" t="s">
        <v>231</v>
      </c>
      <c r="G73" s="0" t="s">
        <v>259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260</v>
      </c>
      <c r="B74" s="5" t="s">
        <v>261</v>
      </c>
      <c r="C74" s="0" t="s">
        <v>40</v>
      </c>
      <c r="D74" s="0" t="s">
        <v>230</v>
      </c>
      <c r="E74" s="0" t="s">
        <v>42</v>
      </c>
      <c r="F74" s="0" t="s">
        <v>231</v>
      </c>
      <c r="G74" s="0" t="s">
        <v>262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263</v>
      </c>
      <c r="B75" s="5" t="s">
        <v>264</v>
      </c>
      <c r="C75" s="0" t="s">
        <v>40</v>
      </c>
      <c r="D75" s="0" t="s">
        <v>230</v>
      </c>
      <c r="E75" s="0" t="s">
        <v>42</v>
      </c>
      <c r="F75" s="0" t="s">
        <v>231</v>
      </c>
      <c r="G75" s="0" t="s">
        <v>265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266</v>
      </c>
    </row>
    <row r="77" customFormat="false" ht="17.15" hidden="false" customHeight="false" outlineLevel="0" collapsed="false">
      <c r="A77" s="0" t="s">
        <v>267</v>
      </c>
      <c r="B77" s="5" t="s">
        <v>268</v>
      </c>
      <c r="C77" s="0" t="s">
        <v>40</v>
      </c>
      <c r="D77" s="0" t="s">
        <v>41</v>
      </c>
      <c r="E77" s="0" t="s">
        <v>58</v>
      </c>
      <c r="F77" s="0" t="s">
        <v>231</v>
      </c>
      <c r="G77" s="0" t="s">
        <v>269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270</v>
      </c>
      <c r="B78" s="5" t="s">
        <v>271</v>
      </c>
      <c r="C78" s="0" t="s">
        <v>40</v>
      </c>
      <c r="D78" s="0" t="s">
        <v>239</v>
      </c>
      <c r="E78" s="0" t="s">
        <v>47</v>
      </c>
      <c r="F78" s="0" t="s">
        <v>231</v>
      </c>
      <c r="G78" s="0" t="s">
        <v>272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273</v>
      </c>
      <c r="B79" s="5" t="s">
        <v>274</v>
      </c>
      <c r="C79" s="0" t="s">
        <v>40</v>
      </c>
      <c r="D79" s="0" t="s">
        <v>57</v>
      </c>
      <c r="E79" s="0" t="s">
        <v>58</v>
      </c>
      <c r="F79" s="0" t="s">
        <v>53</v>
      </c>
      <c r="G79" s="0" t="s">
        <v>275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276</v>
      </c>
      <c r="B80" s="5" t="s">
        <v>277</v>
      </c>
      <c r="C80" s="0" t="s">
        <v>40</v>
      </c>
      <c r="D80" s="0" t="s">
        <v>278</v>
      </c>
      <c r="E80" s="0" t="s">
        <v>42</v>
      </c>
      <c r="F80" s="0" t="s">
        <v>235</v>
      </c>
      <c r="G80" s="0" t="s">
        <v>279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280</v>
      </c>
      <c r="B81" s="5" t="s">
        <v>281</v>
      </c>
      <c r="C81" s="0" t="s">
        <v>40</v>
      </c>
      <c r="D81" s="0" t="s">
        <v>82</v>
      </c>
      <c r="E81" s="0" t="s">
        <v>47</v>
      </c>
      <c r="F81" s="0" t="s">
        <v>231</v>
      </c>
      <c r="G81" s="0" t="s">
        <v>282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283</v>
      </c>
      <c r="B82" s="5" t="s">
        <v>284</v>
      </c>
      <c r="C82" s="0" t="s">
        <v>40</v>
      </c>
      <c r="D82" s="0" t="s">
        <v>82</v>
      </c>
      <c r="E82" s="0" t="s">
        <v>47</v>
      </c>
      <c r="F82" s="0" t="s">
        <v>231</v>
      </c>
      <c r="G82" s="0" t="s">
        <v>285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286</v>
      </c>
      <c r="B83" s="0" t="s">
        <v>287</v>
      </c>
      <c r="C83" s="0" t="s">
        <v>40</v>
      </c>
      <c r="D83" s="0" t="s">
        <v>41</v>
      </c>
      <c r="E83" s="0" t="s">
        <v>42</v>
      </c>
      <c r="F83" s="0" t="s">
        <v>288</v>
      </c>
      <c r="G83" s="0" t="s">
        <v>289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290</v>
      </c>
    </row>
    <row r="85" customFormat="false" ht="17.15" hidden="false" customHeight="false" outlineLevel="0" collapsed="false">
      <c r="A85" s="0" t="s">
        <v>291</v>
      </c>
      <c r="B85" s="0" t="s">
        <v>292</v>
      </c>
      <c r="C85" s="0" t="s">
        <v>40</v>
      </c>
      <c r="D85" s="0" t="s">
        <v>57</v>
      </c>
      <c r="E85" s="0" t="s">
        <v>42</v>
      </c>
      <c r="F85" s="0" t="s">
        <v>128</v>
      </c>
      <c r="G85" s="0" t="s">
        <v>293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294</v>
      </c>
      <c r="B86" s="0" t="s">
        <v>295</v>
      </c>
      <c r="C86" s="0" t="s">
        <v>40</v>
      </c>
      <c r="D86" s="0" t="s">
        <v>57</v>
      </c>
      <c r="E86" s="0" t="s">
        <v>42</v>
      </c>
      <c r="F86" s="0" t="s">
        <v>73</v>
      </c>
      <c r="G86" s="0" t="s">
        <v>296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297</v>
      </c>
      <c r="B87" s="0" t="s">
        <v>298</v>
      </c>
      <c r="C87" s="0" t="s">
        <v>40</v>
      </c>
      <c r="D87" s="0" t="s">
        <v>57</v>
      </c>
      <c r="E87" s="0" t="s">
        <v>42</v>
      </c>
      <c r="F87" s="0" t="s">
        <v>147</v>
      </c>
      <c r="G87" s="0" t="s">
        <v>299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300</v>
      </c>
      <c r="B88" s="0" t="s">
        <v>301</v>
      </c>
      <c r="C88" s="0" t="s">
        <v>40</v>
      </c>
      <c r="D88" s="0" t="s">
        <v>57</v>
      </c>
      <c r="E88" s="0" t="s">
        <v>42</v>
      </c>
      <c r="F88" s="0" t="s">
        <v>302</v>
      </c>
      <c r="G88" s="0" t="s">
        <v>299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303</v>
      </c>
      <c r="B89" s="0" t="s">
        <v>304</v>
      </c>
      <c r="C89" s="0" t="s">
        <v>40</v>
      </c>
      <c r="D89" s="0" t="s">
        <v>57</v>
      </c>
      <c r="E89" s="0" t="s">
        <v>42</v>
      </c>
      <c r="F89" s="0" t="s">
        <v>305</v>
      </c>
      <c r="G89" s="0" t="s">
        <v>299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306</v>
      </c>
      <c r="B90" s="0" t="s">
        <v>307</v>
      </c>
      <c r="C90" s="0" t="s">
        <v>40</v>
      </c>
      <c r="D90" s="0" t="s">
        <v>57</v>
      </c>
      <c r="E90" s="0" t="s">
        <v>42</v>
      </c>
      <c r="F90" s="0" t="s">
        <v>83</v>
      </c>
      <c r="G90" s="0" t="s">
        <v>308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309</v>
      </c>
    </row>
    <row r="92" customFormat="false" ht="17.15" hidden="false" customHeight="false" outlineLevel="0" collapsed="false">
      <c r="A92" s="0" t="s">
        <v>310</v>
      </c>
      <c r="B92" s="0" t="s">
        <v>311</v>
      </c>
      <c r="C92" s="0" t="s">
        <v>40</v>
      </c>
      <c r="D92" s="5" t="s">
        <v>62</v>
      </c>
      <c r="E92" s="0" t="s">
        <v>123</v>
      </c>
      <c r="F92" s="0" t="s">
        <v>119</v>
      </c>
      <c r="G92" s="0" t="s">
        <v>312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0" t="s">
        <v>40</v>
      </c>
      <c r="D93" s="5" t="s">
        <v>62</v>
      </c>
      <c r="E93" s="0" t="s">
        <v>123</v>
      </c>
      <c r="F93" s="0" t="s">
        <v>128</v>
      </c>
      <c r="G93" s="0" t="s">
        <v>312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315</v>
      </c>
      <c r="B94" s="0" t="s">
        <v>316</v>
      </c>
      <c r="C94" s="0" t="s">
        <v>40</v>
      </c>
      <c r="D94" s="5" t="s">
        <v>62</v>
      </c>
      <c r="E94" s="0" t="s">
        <v>123</v>
      </c>
      <c r="F94" s="0" t="s">
        <v>73</v>
      </c>
      <c r="G94" s="0" t="s">
        <v>312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317</v>
      </c>
      <c r="B95" s="0" t="s">
        <v>318</v>
      </c>
      <c r="C95" s="0" t="s">
        <v>40</v>
      </c>
      <c r="D95" s="5" t="s">
        <v>62</v>
      </c>
      <c r="E95" s="0" t="s">
        <v>123</v>
      </c>
      <c r="F95" s="0" t="s">
        <v>139</v>
      </c>
      <c r="G95" s="0" t="s">
        <v>312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319</v>
      </c>
      <c r="B96" s="0" t="s">
        <v>320</v>
      </c>
      <c r="C96" s="0" t="s">
        <v>40</v>
      </c>
      <c r="D96" s="5" t="s">
        <v>62</v>
      </c>
      <c r="E96" s="0" t="s">
        <v>123</v>
      </c>
      <c r="F96" s="0" t="s">
        <v>147</v>
      </c>
      <c r="G96" s="0" t="s">
        <v>312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40</v>
      </c>
      <c r="D97" s="5" t="s">
        <v>62</v>
      </c>
      <c r="E97" s="0" t="s">
        <v>123</v>
      </c>
      <c r="F97" s="0" t="s">
        <v>302</v>
      </c>
      <c r="G97" s="0" t="s">
        <v>312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323</v>
      </c>
      <c r="B98" s="0" t="s">
        <v>324</v>
      </c>
      <c r="C98" s="0" t="s">
        <v>40</v>
      </c>
      <c r="D98" s="5" t="s">
        <v>62</v>
      </c>
      <c r="E98" s="0" t="s">
        <v>123</v>
      </c>
      <c r="F98" s="0" t="s">
        <v>305</v>
      </c>
      <c r="G98" s="0" t="s">
        <v>312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40</v>
      </c>
      <c r="D99" s="5" t="s">
        <v>62</v>
      </c>
      <c r="E99" s="0" t="s">
        <v>123</v>
      </c>
      <c r="F99" s="0" t="s">
        <v>193</v>
      </c>
      <c r="G99" s="0" t="s">
        <v>327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5" t="s">
        <v>127</v>
      </c>
      <c r="D101" s="0" t="s">
        <v>117</v>
      </c>
      <c r="E101" s="0" t="s">
        <v>47</v>
      </c>
      <c r="F101" s="0" t="s">
        <v>193</v>
      </c>
      <c r="G101" s="0" t="s">
        <v>331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332</v>
      </c>
      <c r="B102" s="0" t="s">
        <v>333</v>
      </c>
      <c r="C102" s="5" t="s">
        <v>127</v>
      </c>
      <c r="D102" s="0" t="s">
        <v>117</v>
      </c>
      <c r="E102" s="0" t="s">
        <v>47</v>
      </c>
      <c r="F102" s="0" t="s">
        <v>193</v>
      </c>
      <c r="G102" s="0" t="s">
        <v>334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335</v>
      </c>
      <c r="B103" s="0" t="s">
        <v>336</v>
      </c>
      <c r="C103" s="5" t="s">
        <v>127</v>
      </c>
      <c r="D103" s="0" t="s">
        <v>117</v>
      </c>
      <c r="E103" s="0" t="s">
        <v>47</v>
      </c>
      <c r="F103" s="0" t="s">
        <v>193</v>
      </c>
      <c r="G103" s="0" t="s">
        <v>337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338</v>
      </c>
      <c r="B104" s="0" t="s">
        <v>339</v>
      </c>
      <c r="C104" s="5" t="s">
        <v>127</v>
      </c>
      <c r="D104" s="0" t="s">
        <v>117</v>
      </c>
      <c r="E104" s="0" t="s">
        <v>47</v>
      </c>
      <c r="F104" s="0" t="s">
        <v>193</v>
      </c>
      <c r="G104" s="0" t="s">
        <v>340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341</v>
      </c>
      <c r="B105" s="0" t="s">
        <v>342</v>
      </c>
      <c r="C105" s="5" t="s">
        <v>127</v>
      </c>
      <c r="D105" s="0" t="s">
        <v>117</v>
      </c>
      <c r="E105" s="0" t="s">
        <v>47</v>
      </c>
      <c r="F105" s="0" t="s">
        <v>193</v>
      </c>
      <c r="G105" s="0" t="s">
        <v>343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344</v>
      </c>
      <c r="B106" s="0" t="s">
        <v>345</v>
      </c>
      <c r="C106" s="5" t="s">
        <v>127</v>
      </c>
      <c r="D106" s="0" t="s">
        <v>117</v>
      </c>
      <c r="E106" s="0" t="s">
        <v>47</v>
      </c>
      <c r="F106" s="0" t="s">
        <v>48</v>
      </c>
      <c r="G106" s="0" t="s">
        <v>346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347</v>
      </c>
    </row>
    <row r="108" customFormat="false" ht="17.15" hidden="false" customHeight="false" outlineLevel="0" collapsed="false">
      <c r="A108" s="0" t="s">
        <v>348</v>
      </c>
      <c r="B108" s="0" t="s">
        <v>349</v>
      </c>
      <c r="C108" s="0" t="s">
        <v>116</v>
      </c>
      <c r="D108" s="0" t="s">
        <v>117</v>
      </c>
      <c r="E108" s="0" t="s">
        <v>42</v>
      </c>
      <c r="F108" s="0" t="s">
        <v>48</v>
      </c>
      <c r="G108" s="5" t="s">
        <v>350</v>
      </c>
      <c r="S108" s="0" t="n">
        <v>2</v>
      </c>
    </row>
    <row r="109" customFormat="false" ht="17.15" hidden="false" customHeight="false" outlineLevel="0" collapsed="false">
      <c r="A109" s="0" t="s">
        <v>351</v>
      </c>
      <c r="B109" s="0" t="s">
        <v>352</v>
      </c>
      <c r="C109" s="0" t="s">
        <v>116</v>
      </c>
      <c r="D109" s="0" t="s">
        <v>117</v>
      </c>
      <c r="E109" s="0" t="s">
        <v>42</v>
      </c>
      <c r="F109" s="0" t="s">
        <v>48</v>
      </c>
      <c r="G109" s="5" t="s">
        <v>350</v>
      </c>
      <c r="S109" s="0" t="n">
        <v>2</v>
      </c>
    </row>
    <row r="110" customFormat="false" ht="17.15" hidden="false" customHeight="false" outlineLevel="0" collapsed="false">
      <c r="A110" s="0" t="s">
        <v>353</v>
      </c>
      <c r="B110" s="0" t="s">
        <v>354</v>
      </c>
      <c r="C110" s="0" t="s">
        <v>116</v>
      </c>
      <c r="D110" s="0" t="s">
        <v>117</v>
      </c>
      <c r="E110" s="0" t="s">
        <v>42</v>
      </c>
      <c r="F110" s="0" t="s">
        <v>48</v>
      </c>
      <c r="G110" s="5" t="s">
        <v>350</v>
      </c>
      <c r="S110" s="0" t="n">
        <v>2</v>
      </c>
    </row>
    <row r="111" customFormat="false" ht="17.15" hidden="false" customHeight="false" outlineLevel="0" collapsed="false">
      <c r="A111" s="0" t="s">
        <v>355</v>
      </c>
      <c r="B111" s="0" t="s">
        <v>356</v>
      </c>
      <c r="C111" s="0" t="s">
        <v>116</v>
      </c>
      <c r="D111" s="0" t="s">
        <v>117</v>
      </c>
      <c r="E111" s="0" t="s">
        <v>42</v>
      </c>
      <c r="F111" s="0" t="s">
        <v>48</v>
      </c>
      <c r="G111" s="5" t="s">
        <v>350</v>
      </c>
      <c r="S111" s="0" t="n">
        <v>2</v>
      </c>
    </row>
    <row r="112" customFormat="false" ht="17.15" hidden="false" customHeight="false" outlineLevel="0" collapsed="false">
      <c r="A112" s="0" t="s">
        <v>357</v>
      </c>
      <c r="B112" s="0" t="s">
        <v>358</v>
      </c>
      <c r="C112" s="0" t="s">
        <v>116</v>
      </c>
      <c r="D112" s="0" t="s">
        <v>117</v>
      </c>
      <c r="E112" s="0" t="s">
        <v>42</v>
      </c>
      <c r="F112" s="0" t="s">
        <v>48</v>
      </c>
      <c r="G112" s="5" t="s">
        <v>350</v>
      </c>
      <c r="S112" s="0" t="n">
        <v>2</v>
      </c>
    </row>
    <row r="113" customFormat="false" ht="17.15" hidden="false" customHeight="false" outlineLevel="0" collapsed="false">
      <c r="A113" s="0" t="s">
        <v>359</v>
      </c>
      <c r="B113" s="0" t="s">
        <v>360</v>
      </c>
      <c r="C113" s="0" t="s">
        <v>116</v>
      </c>
      <c r="D113" s="0" t="s">
        <v>117</v>
      </c>
      <c r="E113" s="0" t="s">
        <v>361</v>
      </c>
      <c r="F113" s="0" t="s">
        <v>193</v>
      </c>
      <c r="G113" s="0" t="s">
        <v>362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363</v>
      </c>
      <c r="B114" s="0" t="s">
        <v>364</v>
      </c>
      <c r="C114" s="5" t="s">
        <v>81</v>
      </c>
      <c r="D114" s="0" t="s">
        <v>117</v>
      </c>
      <c r="E114" s="0" t="s">
        <v>146</v>
      </c>
      <c r="F114" s="0" t="s">
        <v>302</v>
      </c>
      <c r="G114" s="0" t="s">
        <v>365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366</v>
      </c>
      <c r="B115" s="0" t="s">
        <v>367</v>
      </c>
      <c r="C115" s="0" t="s">
        <v>116</v>
      </c>
      <c r="D115" s="0" t="s">
        <v>117</v>
      </c>
      <c r="E115" s="0" t="s">
        <v>42</v>
      </c>
      <c r="F115" s="0" t="s">
        <v>305</v>
      </c>
      <c r="G115" s="0" t="s">
        <v>368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369</v>
      </c>
      <c r="B116" s="0" t="s">
        <v>370</v>
      </c>
      <c r="C116" s="5" t="s">
        <v>81</v>
      </c>
      <c r="D116" s="0" t="s">
        <v>117</v>
      </c>
      <c r="E116" s="0" t="s">
        <v>146</v>
      </c>
      <c r="F116" s="0" t="s">
        <v>83</v>
      </c>
      <c r="G116" s="0" t="s">
        <v>371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372</v>
      </c>
      <c r="B117" s="0" t="s">
        <v>373</v>
      </c>
      <c r="C117" s="0" t="s">
        <v>116</v>
      </c>
      <c r="D117" s="0" t="s">
        <v>117</v>
      </c>
      <c r="E117" s="0" t="s">
        <v>42</v>
      </c>
      <c r="F117" s="0" t="s">
        <v>83</v>
      </c>
      <c r="G117" s="0" t="s">
        <v>374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375</v>
      </c>
      <c r="B118" s="0" t="s">
        <v>376</v>
      </c>
      <c r="C118" s="0" t="s">
        <v>116</v>
      </c>
      <c r="D118" s="0" t="s">
        <v>117</v>
      </c>
      <c r="E118" s="0" t="s">
        <v>42</v>
      </c>
      <c r="F118" s="0" t="s">
        <v>377</v>
      </c>
      <c r="G118" s="0" t="s">
        <v>378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379</v>
      </c>
      <c r="B119" s="5" t="s">
        <v>380</v>
      </c>
      <c r="C119" s="0" t="s">
        <v>116</v>
      </c>
      <c r="D119" s="0" t="s">
        <v>117</v>
      </c>
      <c r="E119" s="0" t="s">
        <v>58</v>
      </c>
      <c r="F119" s="0" t="s">
        <v>168</v>
      </c>
      <c r="G119" s="0" t="s">
        <v>381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382</v>
      </c>
      <c r="B120" s="5" t="s">
        <v>383</v>
      </c>
      <c r="C120" s="5" t="s">
        <v>81</v>
      </c>
      <c r="D120" s="0" t="s">
        <v>117</v>
      </c>
      <c r="E120" s="0" t="s">
        <v>42</v>
      </c>
      <c r="F120" s="0" t="s">
        <v>83</v>
      </c>
      <c r="G120" s="0" t="s">
        <v>384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385</v>
      </c>
      <c r="B121" s="5" t="s">
        <v>386</v>
      </c>
      <c r="C121" s="5" t="s">
        <v>172</v>
      </c>
      <c r="D121" s="0" t="s">
        <v>117</v>
      </c>
      <c r="E121" s="0" t="s">
        <v>387</v>
      </c>
      <c r="F121" s="0" t="s">
        <v>48</v>
      </c>
      <c r="G121" s="0" t="s">
        <v>388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389</v>
      </c>
      <c r="B122" s="5" t="s">
        <v>390</v>
      </c>
      <c r="C122" s="0" t="s">
        <v>116</v>
      </c>
      <c r="D122" s="0" t="s">
        <v>117</v>
      </c>
      <c r="E122" s="0" t="s">
        <v>58</v>
      </c>
      <c r="F122" s="0" t="s">
        <v>48</v>
      </c>
      <c r="G122" s="0" t="s">
        <v>391</v>
      </c>
      <c r="S122" s="0" t="n">
        <v>2</v>
      </c>
    </row>
    <row r="123" customFormat="false" ht="17.15" hidden="false" customHeight="false" outlineLevel="0" collapsed="false">
      <c r="A123" s="8" t="s">
        <v>392</v>
      </c>
    </row>
    <row r="124" customFormat="false" ht="17.15" hidden="false" customHeight="false" outlineLevel="0" collapsed="false">
      <c r="A124" s="0" t="s">
        <v>393</v>
      </c>
      <c r="B124" s="0" t="s">
        <v>394</v>
      </c>
      <c r="C124" s="0" t="s">
        <v>40</v>
      </c>
      <c r="D124" s="0" t="s">
        <v>395</v>
      </c>
      <c r="E124" s="0" t="s">
        <v>146</v>
      </c>
      <c r="F124" s="0" t="s">
        <v>396</v>
      </c>
      <c r="G124" s="0" t="s">
        <v>397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398</v>
      </c>
      <c r="B125" s="0" t="s">
        <v>399</v>
      </c>
      <c r="C125" s="0" t="s">
        <v>40</v>
      </c>
      <c r="D125" s="0" t="s">
        <v>395</v>
      </c>
      <c r="E125" s="0" t="s">
        <v>146</v>
      </c>
      <c r="F125" s="0" t="s">
        <v>400</v>
      </c>
      <c r="G125" s="0" t="s">
        <v>401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402</v>
      </c>
      <c r="B126" s="0" t="s">
        <v>403</v>
      </c>
      <c r="C126" s="0" t="s">
        <v>40</v>
      </c>
      <c r="D126" s="0" t="s">
        <v>395</v>
      </c>
      <c r="E126" s="0" t="s">
        <v>146</v>
      </c>
      <c r="F126" s="0" t="s">
        <v>404</v>
      </c>
      <c r="G126" s="0" t="s">
        <v>405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406</v>
      </c>
      <c r="B127" s="0" t="s">
        <v>407</v>
      </c>
      <c r="C127" s="0" t="s">
        <v>40</v>
      </c>
      <c r="D127" s="0" t="s">
        <v>395</v>
      </c>
      <c r="E127" s="0" t="s">
        <v>146</v>
      </c>
      <c r="F127" s="0" t="s">
        <v>193</v>
      </c>
      <c r="G127" s="0" t="s">
        <v>408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409</v>
      </c>
      <c r="B128" s="0" t="s">
        <v>410</v>
      </c>
      <c r="C128" s="0" t="s">
        <v>40</v>
      </c>
      <c r="D128" s="0" t="s">
        <v>395</v>
      </c>
      <c r="E128" s="0" t="s">
        <v>146</v>
      </c>
      <c r="F128" s="0" t="s">
        <v>411</v>
      </c>
      <c r="G128" s="0" t="s">
        <v>412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413</v>
      </c>
      <c r="B129" s="0" t="s">
        <v>414</v>
      </c>
      <c r="C129" s="0" t="s">
        <v>40</v>
      </c>
      <c r="D129" s="0" t="s">
        <v>395</v>
      </c>
      <c r="E129" s="0" t="s">
        <v>146</v>
      </c>
      <c r="F129" s="0" t="s">
        <v>415</v>
      </c>
      <c r="G129" s="0" t="s">
        <v>416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417</v>
      </c>
      <c r="B130" s="0" t="s">
        <v>418</v>
      </c>
      <c r="C130" s="0" t="s">
        <v>40</v>
      </c>
      <c r="D130" s="0" t="s">
        <v>395</v>
      </c>
      <c r="E130" s="0" t="s">
        <v>146</v>
      </c>
      <c r="F130" s="0" t="s">
        <v>197</v>
      </c>
      <c r="G130" s="0" t="s">
        <v>419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420</v>
      </c>
      <c r="B131" s="12" t="s">
        <v>421</v>
      </c>
      <c r="C131" s="12" t="s">
        <v>40</v>
      </c>
      <c r="D131" s="12" t="s">
        <v>395</v>
      </c>
      <c r="E131" s="13" t="s">
        <v>422</v>
      </c>
      <c r="F131" s="12" t="s">
        <v>423</v>
      </c>
      <c r="G131" s="13" t="s">
        <v>424</v>
      </c>
      <c r="S131" s="0" t="n">
        <v>2</v>
      </c>
    </row>
    <row r="132" customFormat="false" ht="17.15" hidden="false" customHeight="false" outlineLevel="0" collapsed="false">
      <c r="A132" s="12" t="s">
        <v>425</v>
      </c>
      <c r="B132" s="12" t="s">
        <v>426</v>
      </c>
      <c r="C132" s="12" t="s">
        <v>40</v>
      </c>
      <c r="D132" s="12" t="s">
        <v>395</v>
      </c>
      <c r="E132" s="13" t="s">
        <v>422</v>
      </c>
      <c r="F132" s="12" t="s">
        <v>423</v>
      </c>
      <c r="G132" s="13" t="s">
        <v>427</v>
      </c>
      <c r="S132" s="0" t="n">
        <v>2</v>
      </c>
    </row>
    <row r="133" customFormat="false" ht="17.15" hidden="false" customHeight="false" outlineLevel="0" collapsed="false">
      <c r="A133" s="12" t="s">
        <v>428</v>
      </c>
      <c r="B133" s="12" t="s">
        <v>429</v>
      </c>
      <c r="C133" s="12" t="s">
        <v>40</v>
      </c>
      <c r="D133" s="12" t="s">
        <v>395</v>
      </c>
      <c r="E133" s="13" t="s">
        <v>422</v>
      </c>
      <c r="F133" s="12" t="s">
        <v>423</v>
      </c>
      <c r="G133" s="13" t="s">
        <v>427</v>
      </c>
      <c r="S133" s="0" t="n">
        <v>2</v>
      </c>
    </row>
    <row r="134" customFormat="false" ht="17.15" hidden="false" customHeight="false" outlineLevel="0" collapsed="false">
      <c r="A134" s="12" t="s">
        <v>430</v>
      </c>
      <c r="B134" s="12" t="s">
        <v>431</v>
      </c>
      <c r="C134" s="12" t="s">
        <v>40</v>
      </c>
      <c r="D134" s="12" t="s">
        <v>395</v>
      </c>
      <c r="E134" s="13" t="s">
        <v>422</v>
      </c>
      <c r="F134" s="12" t="s">
        <v>423</v>
      </c>
      <c r="G134" s="13" t="s">
        <v>427</v>
      </c>
      <c r="S134" s="0" t="n">
        <v>2</v>
      </c>
    </row>
    <row r="135" customFormat="false" ht="17.15" hidden="false" customHeight="false" outlineLevel="0" collapsed="false">
      <c r="A135" s="12" t="s">
        <v>432</v>
      </c>
      <c r="B135" s="13" t="s">
        <v>433</v>
      </c>
      <c r="C135" s="12" t="s">
        <v>40</v>
      </c>
      <c r="D135" s="12" t="s">
        <v>395</v>
      </c>
      <c r="E135" s="13" t="s">
        <v>422</v>
      </c>
      <c r="F135" s="12" t="s">
        <v>423</v>
      </c>
      <c r="G135" s="13" t="s">
        <v>427</v>
      </c>
      <c r="S135" s="0" t="n">
        <v>2</v>
      </c>
    </row>
    <row r="136" customFormat="false" ht="17.15" hidden="false" customHeight="false" outlineLevel="0" collapsed="false">
      <c r="A136" s="12" t="s">
        <v>434</v>
      </c>
      <c r="B136" s="13" t="s">
        <v>435</v>
      </c>
      <c r="C136" s="12" t="s">
        <v>40</v>
      </c>
      <c r="D136" s="12" t="s">
        <v>395</v>
      </c>
      <c r="E136" s="13" t="s">
        <v>422</v>
      </c>
      <c r="F136" s="12" t="s">
        <v>423</v>
      </c>
      <c r="G136" s="13" t="s">
        <v>427</v>
      </c>
      <c r="S136" s="0" t="n">
        <v>2</v>
      </c>
    </row>
    <row r="137" customFormat="false" ht="17.15" hidden="false" customHeight="false" outlineLevel="0" collapsed="false">
      <c r="A137" s="12" t="s">
        <v>436</v>
      </c>
      <c r="B137" s="13" t="s">
        <v>437</v>
      </c>
      <c r="C137" s="12" t="s">
        <v>40</v>
      </c>
      <c r="D137" s="12" t="s">
        <v>395</v>
      </c>
      <c r="E137" s="13" t="s">
        <v>422</v>
      </c>
      <c r="F137" s="12" t="s">
        <v>423</v>
      </c>
      <c r="G137" s="13" t="s">
        <v>427</v>
      </c>
      <c r="S137" s="0" t="n">
        <v>2</v>
      </c>
    </row>
    <row r="138" customFormat="false" ht="17.15" hidden="false" customHeight="false" outlineLevel="0" collapsed="false">
      <c r="A138" s="12" t="s">
        <v>438</v>
      </c>
      <c r="B138" s="13" t="s">
        <v>439</v>
      </c>
      <c r="C138" s="12" t="s">
        <v>40</v>
      </c>
      <c r="D138" s="12" t="s">
        <v>395</v>
      </c>
      <c r="E138" s="13" t="s">
        <v>422</v>
      </c>
      <c r="F138" s="12" t="s">
        <v>423</v>
      </c>
      <c r="G138" s="13" t="s">
        <v>427</v>
      </c>
      <c r="S138" s="0" t="n">
        <v>2</v>
      </c>
    </row>
    <row r="139" customFormat="false" ht="17.15" hidden="false" customHeight="false" outlineLevel="0" collapsed="false">
      <c r="A139" s="8" t="s">
        <v>440</v>
      </c>
    </row>
    <row r="140" customFormat="false" ht="17.15" hidden="false" customHeight="false" outlineLevel="0" collapsed="false">
      <c r="A140" s="12" t="s">
        <v>441</v>
      </c>
      <c r="B140" s="12" t="s">
        <v>442</v>
      </c>
      <c r="C140" s="12" t="s">
        <v>40</v>
      </c>
      <c r="D140" s="12" t="s">
        <v>395</v>
      </c>
      <c r="E140" s="13" t="s">
        <v>422</v>
      </c>
      <c r="F140" s="12" t="s">
        <v>423</v>
      </c>
      <c r="G140" s="13" t="s">
        <v>443</v>
      </c>
      <c r="S140" s="0" t="n">
        <v>2</v>
      </c>
    </row>
    <row r="141" customFormat="false" ht="17.15" hidden="false" customHeight="false" outlineLevel="0" collapsed="false">
      <c r="A141" s="12" t="s">
        <v>444</v>
      </c>
      <c r="B141" s="12" t="s">
        <v>445</v>
      </c>
      <c r="C141" s="12" t="s">
        <v>40</v>
      </c>
      <c r="D141" s="12" t="s">
        <v>395</v>
      </c>
      <c r="E141" s="13" t="s">
        <v>422</v>
      </c>
      <c r="F141" s="12" t="s">
        <v>423</v>
      </c>
      <c r="G141" s="13" t="s">
        <v>443</v>
      </c>
      <c r="S141" s="0" t="n">
        <v>2</v>
      </c>
    </row>
    <row r="142" customFormat="false" ht="17.15" hidden="false" customHeight="false" outlineLevel="0" collapsed="false">
      <c r="A142" s="12" t="s">
        <v>446</v>
      </c>
      <c r="B142" s="12" t="s">
        <v>447</v>
      </c>
      <c r="C142" s="12" t="s">
        <v>40</v>
      </c>
      <c r="D142" s="12" t="s">
        <v>395</v>
      </c>
      <c r="E142" s="13" t="s">
        <v>422</v>
      </c>
      <c r="F142" s="12" t="s">
        <v>423</v>
      </c>
      <c r="G142" s="13" t="s">
        <v>443</v>
      </c>
      <c r="S142" s="0" t="n">
        <v>2</v>
      </c>
    </row>
    <row r="143" customFormat="false" ht="17.15" hidden="false" customHeight="false" outlineLevel="0" collapsed="false">
      <c r="A143" s="12" t="s">
        <v>448</v>
      </c>
      <c r="B143" s="12" t="s">
        <v>449</v>
      </c>
      <c r="C143" s="12" t="s">
        <v>40</v>
      </c>
      <c r="D143" s="12" t="s">
        <v>395</v>
      </c>
      <c r="E143" s="13" t="s">
        <v>422</v>
      </c>
      <c r="F143" s="12" t="s">
        <v>423</v>
      </c>
      <c r="G143" s="13" t="s">
        <v>443</v>
      </c>
      <c r="S143" s="0" t="n">
        <v>2</v>
      </c>
    </row>
    <row r="144" customFormat="false" ht="17.15" hidden="false" customHeight="false" outlineLevel="0" collapsed="false">
      <c r="A144" s="12" t="s">
        <v>450</v>
      </c>
      <c r="B144" s="12" t="s">
        <v>451</v>
      </c>
      <c r="C144" s="12" t="s">
        <v>40</v>
      </c>
      <c r="D144" s="12" t="s">
        <v>395</v>
      </c>
      <c r="E144" s="13" t="s">
        <v>422</v>
      </c>
      <c r="F144" s="12" t="s">
        <v>423</v>
      </c>
      <c r="G144" s="13" t="s">
        <v>443</v>
      </c>
      <c r="S144" s="0" t="n">
        <v>2</v>
      </c>
    </row>
    <row r="145" customFormat="false" ht="17.15" hidden="false" customHeight="false" outlineLevel="0" collapsed="false">
      <c r="A145" s="12" t="s">
        <v>452</v>
      </c>
      <c r="B145" s="12" t="s">
        <v>453</v>
      </c>
      <c r="C145" s="12" t="s">
        <v>40</v>
      </c>
      <c r="D145" s="12" t="s">
        <v>395</v>
      </c>
      <c r="E145" s="13" t="s">
        <v>422</v>
      </c>
      <c r="F145" s="12" t="s">
        <v>423</v>
      </c>
      <c r="G145" s="13" t="s">
        <v>443</v>
      </c>
      <c r="S145" s="0" t="n">
        <v>2</v>
      </c>
    </row>
    <row r="146" customFormat="false" ht="17.15" hidden="false" customHeight="false" outlineLevel="0" collapsed="false">
      <c r="A146" s="12" t="s">
        <v>454</v>
      </c>
      <c r="B146" s="12" t="s">
        <v>455</v>
      </c>
      <c r="C146" s="12" t="s">
        <v>40</v>
      </c>
      <c r="D146" s="12" t="s">
        <v>395</v>
      </c>
      <c r="E146" s="13" t="s">
        <v>422</v>
      </c>
      <c r="F146" s="12" t="s">
        <v>423</v>
      </c>
      <c r="G146" s="13" t="s">
        <v>443</v>
      </c>
      <c r="S146" s="0" t="n">
        <v>2</v>
      </c>
    </row>
    <row r="147" customFormat="false" ht="17.15" hidden="false" customHeight="false" outlineLevel="0" collapsed="false">
      <c r="A147" s="12" t="s">
        <v>456</v>
      </c>
      <c r="B147" s="12" t="s">
        <v>457</v>
      </c>
      <c r="C147" s="12" t="s">
        <v>40</v>
      </c>
      <c r="D147" s="12" t="s">
        <v>395</v>
      </c>
      <c r="E147" s="13" t="s">
        <v>422</v>
      </c>
      <c r="F147" s="12" t="s">
        <v>423</v>
      </c>
      <c r="G147" s="13" t="s">
        <v>443</v>
      </c>
      <c r="S147" s="0" t="n">
        <v>2</v>
      </c>
    </row>
    <row r="148" customFormat="false" ht="17.15" hidden="false" customHeight="false" outlineLevel="0" collapsed="false">
      <c r="A148" s="12" t="s">
        <v>458</v>
      </c>
      <c r="B148" s="12" t="s">
        <v>459</v>
      </c>
      <c r="C148" s="12" t="s">
        <v>40</v>
      </c>
      <c r="D148" s="12" t="s">
        <v>395</v>
      </c>
      <c r="E148" s="13" t="s">
        <v>422</v>
      </c>
      <c r="F148" s="12" t="s">
        <v>423</v>
      </c>
      <c r="G148" s="13" t="s">
        <v>443</v>
      </c>
      <c r="S148" s="0" t="n">
        <v>2</v>
      </c>
    </row>
    <row r="149" customFormat="false" ht="17.15" hidden="false" customHeight="false" outlineLevel="0" collapsed="false">
      <c r="A149" s="12" t="s">
        <v>460</v>
      </c>
      <c r="B149" s="12" t="s">
        <v>461</v>
      </c>
      <c r="C149" s="12" t="s">
        <v>40</v>
      </c>
      <c r="D149" s="12" t="s">
        <v>395</v>
      </c>
      <c r="E149" s="13" t="s">
        <v>422</v>
      </c>
      <c r="F149" s="12" t="s">
        <v>423</v>
      </c>
      <c r="G149" s="13" t="s">
        <v>443</v>
      </c>
      <c r="S149" s="0" t="n">
        <v>2</v>
      </c>
    </row>
    <row r="150" customFormat="false" ht="17.15" hidden="false" customHeight="false" outlineLevel="0" collapsed="false">
      <c r="A150" s="12" t="s">
        <v>462</v>
      </c>
      <c r="B150" s="12" t="s">
        <v>463</v>
      </c>
      <c r="C150" s="12" t="s">
        <v>40</v>
      </c>
      <c r="D150" s="12" t="s">
        <v>395</v>
      </c>
      <c r="E150" s="13" t="s">
        <v>422</v>
      </c>
      <c r="F150" s="12" t="s">
        <v>423</v>
      </c>
      <c r="G150" s="13" t="s">
        <v>443</v>
      </c>
      <c r="S150" s="0" t="n">
        <v>2</v>
      </c>
    </row>
    <row r="151" customFormat="false" ht="17.15" hidden="false" customHeight="false" outlineLevel="0" collapsed="false">
      <c r="A151" s="12" t="s">
        <v>464</v>
      </c>
      <c r="B151" s="13" t="s">
        <v>465</v>
      </c>
      <c r="C151" s="12" t="s">
        <v>40</v>
      </c>
      <c r="D151" s="12" t="s">
        <v>395</v>
      </c>
      <c r="E151" s="13" t="s">
        <v>422</v>
      </c>
      <c r="F151" s="12" t="s">
        <v>423</v>
      </c>
      <c r="G151" s="13" t="s">
        <v>443</v>
      </c>
      <c r="S151" s="0" t="n">
        <v>2</v>
      </c>
    </row>
    <row r="152" customFormat="false" ht="17.15" hidden="false" customHeight="false" outlineLevel="0" collapsed="false">
      <c r="A152" s="12" t="s">
        <v>466</v>
      </c>
      <c r="B152" s="13" t="s">
        <v>467</v>
      </c>
      <c r="C152" s="12" t="s">
        <v>40</v>
      </c>
      <c r="D152" s="12" t="s">
        <v>395</v>
      </c>
      <c r="E152" s="13" t="s">
        <v>422</v>
      </c>
      <c r="F152" s="12" t="s">
        <v>423</v>
      </c>
      <c r="G152" s="13" t="s">
        <v>443</v>
      </c>
      <c r="S152" s="0" t="n">
        <v>2</v>
      </c>
    </row>
    <row r="153" customFormat="false" ht="17.15" hidden="false" customHeight="false" outlineLevel="0" collapsed="false">
      <c r="A153" s="12" t="s">
        <v>468</v>
      </c>
      <c r="B153" s="13" t="s">
        <v>469</v>
      </c>
      <c r="C153" s="12" t="s">
        <v>40</v>
      </c>
      <c r="D153" s="12" t="s">
        <v>395</v>
      </c>
      <c r="E153" s="13" t="s">
        <v>422</v>
      </c>
      <c r="F153" s="12" t="s">
        <v>423</v>
      </c>
      <c r="G153" s="13" t="s">
        <v>443</v>
      </c>
      <c r="S153" s="0" t="n">
        <v>2</v>
      </c>
    </row>
    <row r="154" customFormat="false" ht="17.15" hidden="false" customHeight="false" outlineLevel="0" collapsed="false">
      <c r="A154" s="12" t="s">
        <v>470</v>
      </c>
      <c r="B154" s="13" t="s">
        <v>471</v>
      </c>
      <c r="C154" s="12" t="s">
        <v>40</v>
      </c>
      <c r="D154" s="12" t="s">
        <v>395</v>
      </c>
      <c r="E154" s="13" t="s">
        <v>422</v>
      </c>
      <c r="F154" s="12" t="s">
        <v>423</v>
      </c>
      <c r="G154" s="13" t="s">
        <v>443</v>
      </c>
      <c r="S154" s="0" t="n">
        <v>2</v>
      </c>
    </row>
    <row r="155" customFormat="false" ht="17.15" hidden="false" customHeight="false" outlineLevel="0" collapsed="false">
      <c r="A155" s="8" t="s">
        <v>472</v>
      </c>
    </row>
    <row r="156" customFormat="false" ht="17.15" hidden="false" customHeight="false" outlineLevel="0" collapsed="false">
      <c r="A156" s="0" t="s">
        <v>473</v>
      </c>
      <c r="B156" s="0" t="s">
        <v>474</v>
      </c>
      <c r="C156" s="5" t="s">
        <v>81</v>
      </c>
      <c r="D156" s="0" t="s">
        <v>82</v>
      </c>
      <c r="E156" s="0" t="s">
        <v>146</v>
      </c>
      <c r="F156" s="0" t="s">
        <v>83</v>
      </c>
      <c r="G156" s="0" t="s">
        <v>475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476</v>
      </c>
      <c r="B157" s="0" t="s">
        <v>477</v>
      </c>
      <c r="C157" s="5" t="s">
        <v>81</v>
      </c>
      <c r="D157" s="0" t="s">
        <v>82</v>
      </c>
      <c r="E157" s="0" t="s">
        <v>146</v>
      </c>
      <c r="F157" s="0" t="s">
        <v>83</v>
      </c>
      <c r="G157" s="0" t="s">
        <v>478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479</v>
      </c>
    </row>
    <row r="159" customFormat="false" ht="17.15" hidden="false" customHeight="false" outlineLevel="0" collapsed="false">
      <c r="A159" s="0" t="s">
        <v>480</v>
      </c>
      <c r="B159" s="0" t="s">
        <v>481</v>
      </c>
      <c r="C159" s="5" t="s">
        <v>172</v>
      </c>
      <c r="D159" s="0" t="s">
        <v>82</v>
      </c>
      <c r="E159" s="0" t="s">
        <v>47</v>
      </c>
      <c r="F159" s="0" t="s">
        <v>83</v>
      </c>
      <c r="G159" s="0" t="s">
        <v>482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483</v>
      </c>
      <c r="B160" s="0" t="s">
        <v>484</v>
      </c>
      <c r="C160" s="5" t="s">
        <v>172</v>
      </c>
      <c r="D160" s="0" t="s">
        <v>82</v>
      </c>
      <c r="E160" s="0" t="s">
        <v>47</v>
      </c>
      <c r="F160" s="0" t="s">
        <v>83</v>
      </c>
      <c r="G160" s="0" t="s">
        <v>485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486</v>
      </c>
    </row>
    <row r="162" customFormat="false" ht="17.15" hidden="false" customHeight="false" outlineLevel="0" collapsed="false">
      <c r="A162" s="0" t="s">
        <v>487</v>
      </c>
      <c r="B162" s="5" t="s">
        <v>488</v>
      </c>
      <c r="C162" s="0" t="s">
        <v>40</v>
      </c>
      <c r="D162" s="0" t="s">
        <v>57</v>
      </c>
      <c r="E162" s="0" t="s">
        <v>489</v>
      </c>
      <c r="F162" s="0" t="s">
        <v>490</v>
      </c>
      <c r="G162" s="0" t="s">
        <v>491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492</v>
      </c>
      <c r="B163" s="5" t="s">
        <v>493</v>
      </c>
      <c r="C163" s="0" t="s">
        <v>40</v>
      </c>
      <c r="D163" s="0" t="s">
        <v>57</v>
      </c>
      <c r="E163" s="0" t="s">
        <v>489</v>
      </c>
      <c r="F163" s="0" t="s">
        <v>490</v>
      </c>
      <c r="G163" s="0" t="s">
        <v>491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494</v>
      </c>
      <c r="B164" s="5" t="s">
        <v>495</v>
      </c>
      <c r="C164" s="0" t="s">
        <v>40</v>
      </c>
      <c r="D164" s="0" t="s">
        <v>57</v>
      </c>
      <c r="E164" s="0" t="s">
        <v>489</v>
      </c>
      <c r="F164" s="0" t="s">
        <v>490</v>
      </c>
      <c r="G164" s="0" t="s">
        <v>491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496</v>
      </c>
      <c r="B165" s="5" t="s">
        <v>497</v>
      </c>
      <c r="C165" s="0" t="s">
        <v>40</v>
      </c>
      <c r="D165" s="0" t="s">
        <v>57</v>
      </c>
      <c r="E165" s="0" t="s">
        <v>489</v>
      </c>
      <c r="F165" s="0" t="s">
        <v>490</v>
      </c>
      <c r="G165" s="0" t="s">
        <v>491</v>
      </c>
      <c r="S165" s="0" t="n">
        <v>2</v>
      </c>
    </row>
    <row r="166" customFormat="false" ht="17.15" hidden="false" customHeight="false" outlineLevel="0" collapsed="false">
      <c r="A166" s="0" t="s">
        <v>498</v>
      </c>
      <c r="B166" s="5" t="s">
        <v>499</v>
      </c>
      <c r="C166" s="0" t="s">
        <v>40</v>
      </c>
      <c r="D166" s="0" t="s">
        <v>57</v>
      </c>
      <c r="E166" s="0" t="s">
        <v>489</v>
      </c>
      <c r="F166" s="0" t="s">
        <v>490</v>
      </c>
      <c r="G166" s="0" t="s">
        <v>491</v>
      </c>
      <c r="S166" s="0" t="n">
        <v>2</v>
      </c>
    </row>
    <row r="167" customFormat="false" ht="17.15" hidden="false" customHeight="false" outlineLevel="0" collapsed="false">
      <c r="A167" s="12" t="s">
        <v>500</v>
      </c>
      <c r="B167" s="13" t="s">
        <v>501</v>
      </c>
      <c r="C167" s="12" t="s">
        <v>40</v>
      </c>
      <c r="D167" s="12" t="s">
        <v>57</v>
      </c>
      <c r="E167" s="13" t="s">
        <v>422</v>
      </c>
      <c r="F167" s="12" t="s">
        <v>423</v>
      </c>
      <c r="G167" s="12" t="s">
        <v>502</v>
      </c>
      <c r="S167" s="0" t="n">
        <v>2</v>
      </c>
    </row>
    <row r="168" customFormat="false" ht="17.15" hidden="false" customHeight="false" outlineLevel="0" collapsed="false">
      <c r="A168" s="8" t="s">
        <v>503</v>
      </c>
    </row>
    <row r="169" customFormat="false" ht="17.15" hidden="false" customHeight="false" outlineLevel="0" collapsed="false">
      <c r="A169" s="0" t="s">
        <v>504</v>
      </c>
      <c r="B169" s="0" t="s">
        <v>505</v>
      </c>
      <c r="C169" s="0" t="s">
        <v>40</v>
      </c>
      <c r="D169" s="0" t="s">
        <v>395</v>
      </c>
      <c r="E169" s="0" t="s">
        <v>506</v>
      </c>
      <c r="F169" s="0" t="s">
        <v>507</v>
      </c>
      <c r="G169" s="0" t="s">
        <v>508</v>
      </c>
      <c r="K169" s="16" t="n">
        <v>182.935</v>
      </c>
      <c r="L169" s="16" t="n">
        <v>219.596057</v>
      </c>
      <c r="M169" s="16" t="n">
        <v>260.705052</v>
      </c>
      <c r="N169" s="16" t="n">
        <v>310.137015</v>
      </c>
      <c r="O169" s="16" t="n">
        <v>355.724839</v>
      </c>
      <c r="P169" s="16" t="n">
        <v>392.810261</v>
      </c>
      <c r="Q169" s="16" t="n">
        <v>422.415737</v>
      </c>
      <c r="S169" s="0" t="n">
        <v>2</v>
      </c>
    </row>
    <row r="170" customFormat="false" ht="17.15" hidden="false" customHeight="false" outlineLevel="0" collapsed="false">
      <c r="A170" s="0" t="s">
        <v>509</v>
      </c>
      <c r="B170" s="0" t="s">
        <v>510</v>
      </c>
      <c r="C170" s="0" t="s">
        <v>40</v>
      </c>
      <c r="D170" s="0" t="s">
        <v>395</v>
      </c>
      <c r="E170" s="0" t="s">
        <v>506</v>
      </c>
      <c r="F170" s="0" t="s">
        <v>507</v>
      </c>
      <c r="G170" s="0" t="s">
        <v>511</v>
      </c>
      <c r="L170" s="16" t="n">
        <v>168.453904</v>
      </c>
      <c r="M170" s="16" t="n">
        <v>191.944476</v>
      </c>
      <c r="N170" s="16" t="n">
        <v>196.806004</v>
      </c>
      <c r="O170" s="16" t="n">
        <v>168.614834</v>
      </c>
      <c r="P170" s="16" t="n">
        <v>128.929931</v>
      </c>
      <c r="Q170" s="16" t="n">
        <v>118.962853</v>
      </c>
      <c r="S170" s="0" t="n">
        <v>2</v>
      </c>
    </row>
    <row r="171" customFormat="false" ht="17.15" hidden="false" customHeight="false" outlineLevel="0" collapsed="false">
      <c r="A171" s="0" t="s">
        <v>512</v>
      </c>
      <c r="B171" s="0" t="s">
        <v>513</v>
      </c>
      <c r="C171" s="0" t="s">
        <v>40</v>
      </c>
      <c r="D171" s="0" t="s">
        <v>395</v>
      </c>
      <c r="E171" s="0" t="s">
        <v>506</v>
      </c>
      <c r="F171" s="0" t="s">
        <v>507</v>
      </c>
      <c r="G171" s="0" t="s">
        <v>514</v>
      </c>
      <c r="K171" s="16" t="n">
        <v>30.184659</v>
      </c>
      <c r="L171" s="16" t="n">
        <v>35.746096</v>
      </c>
      <c r="M171" s="16" t="n">
        <v>41.360407</v>
      </c>
      <c r="N171" s="16" t="n">
        <v>47.060545</v>
      </c>
      <c r="O171" s="16" t="n">
        <v>52.487394</v>
      </c>
      <c r="P171" s="16" t="n">
        <v>57.405715</v>
      </c>
      <c r="Q171" s="16" t="n">
        <v>61.722477</v>
      </c>
      <c r="S171" s="0" t="n">
        <v>2</v>
      </c>
    </row>
    <row r="172" customFormat="false" ht="17.15" hidden="false" customHeight="false" outlineLevel="0" collapsed="false">
      <c r="A172" s="0" t="s">
        <v>515</v>
      </c>
      <c r="B172" s="0" t="s">
        <v>516</v>
      </c>
      <c r="C172" s="0" t="s">
        <v>40</v>
      </c>
      <c r="D172" s="0" t="s">
        <v>395</v>
      </c>
      <c r="E172" s="0" t="s">
        <v>506</v>
      </c>
      <c r="F172" s="0" t="s">
        <v>507</v>
      </c>
      <c r="G172" s="0" t="s">
        <v>517</v>
      </c>
      <c r="K172" s="16" t="n">
        <v>145.3</v>
      </c>
      <c r="L172" s="16" t="n">
        <v>204.2</v>
      </c>
      <c r="M172" s="16" t="n">
        <v>233.304883</v>
      </c>
      <c r="N172" s="16" t="n">
        <v>243.866549</v>
      </c>
      <c r="O172" s="16" t="n">
        <v>221.102227</v>
      </c>
      <c r="P172" s="16" t="n">
        <v>186.335646</v>
      </c>
      <c r="Q172" s="16" t="n">
        <v>180.68533</v>
      </c>
      <c r="S172" s="0" t="n">
        <v>2</v>
      </c>
    </row>
    <row r="173" customFormat="false" ht="17.15" hidden="false" customHeight="false" outlineLevel="0" collapsed="false">
      <c r="A173" s="0" t="s">
        <v>518</v>
      </c>
      <c r="B173" s="0" t="s">
        <v>519</v>
      </c>
      <c r="C173" s="0" t="s">
        <v>40</v>
      </c>
      <c r="D173" s="0" t="s">
        <v>395</v>
      </c>
      <c r="E173" s="0" t="s">
        <v>506</v>
      </c>
      <c r="F173" s="0" t="s">
        <v>507</v>
      </c>
      <c r="G173" s="0" t="s">
        <v>520</v>
      </c>
      <c r="K173" s="16" t="n">
        <v>48.716</v>
      </c>
      <c r="L173" s="16" t="n">
        <v>28.864787</v>
      </c>
      <c r="M173" s="16" t="n">
        <v>31.066535</v>
      </c>
      <c r="N173" s="16" t="n">
        <v>56.024937</v>
      </c>
      <c r="O173" s="16" t="n">
        <v>58.77569</v>
      </c>
      <c r="P173" s="16" t="n">
        <v>61.763963</v>
      </c>
      <c r="Q173" s="16" t="n">
        <v>65.010155</v>
      </c>
      <c r="S173" s="0" t="n">
        <v>2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40</v>
      </c>
      <c r="D174" s="0" t="s">
        <v>395</v>
      </c>
      <c r="E174" s="0" t="s">
        <v>506</v>
      </c>
      <c r="F174" s="0" t="s">
        <v>507</v>
      </c>
      <c r="G174" s="0" t="s">
        <v>523</v>
      </c>
      <c r="I174" s="9" t="n">
        <v>76.843</v>
      </c>
      <c r="S174" s="0" t="n">
        <v>1</v>
      </c>
    </row>
    <row r="175" customFormat="false" ht="17.15" hidden="false" customHeight="false" outlineLevel="0" collapsed="false">
      <c r="A175" s="0" t="s">
        <v>524</v>
      </c>
      <c r="B175" s="0" t="s">
        <v>525</v>
      </c>
      <c r="C175" s="0" t="s">
        <v>40</v>
      </c>
      <c r="D175" s="0" t="s">
        <v>395</v>
      </c>
      <c r="E175" s="0" t="s">
        <v>526</v>
      </c>
      <c r="F175" s="0" t="s">
        <v>527</v>
      </c>
      <c r="G175" s="0" t="s">
        <v>528</v>
      </c>
      <c r="I175" s="16" t="n">
        <v>125.299</v>
      </c>
      <c r="J175" s="16" t="n">
        <v>164.713</v>
      </c>
      <c r="K175" s="16" t="n">
        <v>188.487287</v>
      </c>
      <c r="L175" s="16" t="n">
        <v>243.320278</v>
      </c>
      <c r="M175" s="16" t="n">
        <v>290.394071</v>
      </c>
      <c r="N175" s="16" t="n">
        <v>339.049695</v>
      </c>
      <c r="O175" s="16" t="n">
        <v>376.996472</v>
      </c>
      <c r="P175" s="16" t="n">
        <v>412.010823</v>
      </c>
      <c r="Q175" s="16" t="n">
        <v>449.527821</v>
      </c>
      <c r="S175" s="0" t="n">
        <v>2</v>
      </c>
    </row>
    <row r="176" customFormat="false" ht="17.15" hidden="false" customHeight="false" outlineLevel="0" collapsed="false">
      <c r="A176" s="0" t="s">
        <v>529</v>
      </c>
      <c r="B176" s="0" t="s">
        <v>530</v>
      </c>
      <c r="C176" s="0" t="s">
        <v>40</v>
      </c>
      <c r="D176" s="0" t="s">
        <v>395</v>
      </c>
      <c r="E176" s="0" t="s">
        <v>526</v>
      </c>
      <c r="F176" s="0" t="s">
        <v>527</v>
      </c>
      <c r="G176" s="0" t="s">
        <v>531</v>
      </c>
      <c r="L176" s="16" t="n">
        <v>235.592521</v>
      </c>
      <c r="M176" s="16" t="n">
        <v>248.502461</v>
      </c>
      <c r="N176" s="16" t="n">
        <v>211.479266</v>
      </c>
      <c r="O176" s="16" t="n">
        <v>184.143042</v>
      </c>
      <c r="P176" s="16" t="n">
        <v>168.80411</v>
      </c>
      <c r="Q176" s="16" t="n">
        <v>172.256098</v>
      </c>
      <c r="S176" s="0" t="n">
        <v>2</v>
      </c>
    </row>
    <row r="177" customFormat="false" ht="17.15" hidden="false" customHeight="false" outlineLevel="0" collapsed="false">
      <c r="A177" s="0" t="s">
        <v>532</v>
      </c>
      <c r="B177" s="0" t="s">
        <v>533</v>
      </c>
      <c r="C177" s="0" t="s">
        <v>40</v>
      </c>
      <c r="D177" s="0" t="s">
        <v>395</v>
      </c>
      <c r="E177" s="0" t="s">
        <v>526</v>
      </c>
      <c r="F177" s="0" t="s">
        <v>527</v>
      </c>
      <c r="G177" s="0" t="s">
        <v>534</v>
      </c>
      <c r="L177" s="16" t="n">
        <v>54.772619</v>
      </c>
      <c r="M177" s="16" t="n">
        <v>68.896375</v>
      </c>
      <c r="N177" s="16" t="n">
        <v>81.081606</v>
      </c>
      <c r="O177" s="16" t="n">
        <v>87.526495</v>
      </c>
      <c r="P177" s="16" t="n">
        <v>94.495499</v>
      </c>
      <c r="Q177" s="16" t="n">
        <v>102.031496</v>
      </c>
      <c r="S177" s="0" t="n">
        <v>2</v>
      </c>
    </row>
    <row r="178" customFormat="false" ht="17.15" hidden="false" customHeight="false" outlineLevel="0" collapsed="false">
      <c r="A178" s="0" t="s">
        <v>535</v>
      </c>
      <c r="B178" s="0" t="s">
        <v>536</v>
      </c>
      <c r="C178" s="0" t="s">
        <v>40</v>
      </c>
      <c r="D178" s="0" t="s">
        <v>395</v>
      </c>
      <c r="E178" s="0" t="s">
        <v>526</v>
      </c>
      <c r="F178" s="0" t="s">
        <v>527</v>
      </c>
      <c r="G178" s="0" t="s">
        <v>537</v>
      </c>
      <c r="I178" s="16" t="n">
        <v>52.535</v>
      </c>
      <c r="J178" s="16" t="n">
        <v>91.447</v>
      </c>
      <c r="K178" s="16" t="n">
        <v>200</v>
      </c>
      <c r="L178" s="16" t="n">
        <v>290.36514</v>
      </c>
      <c r="M178" s="16" t="n">
        <v>317.398835</v>
      </c>
      <c r="N178" s="16" t="n">
        <v>292.560872</v>
      </c>
      <c r="O178" s="16" t="n">
        <v>271.669537</v>
      </c>
      <c r="P178" s="16" t="n">
        <v>263.299609</v>
      </c>
      <c r="Q178" s="16" t="n">
        <v>274.287594</v>
      </c>
      <c r="S178" s="0" t="n">
        <v>2</v>
      </c>
    </row>
    <row r="179" customFormat="false" ht="17.15" hidden="false" customHeight="false" outlineLevel="0" collapsed="false">
      <c r="A179" s="0" t="s">
        <v>538</v>
      </c>
      <c r="B179" s="0" t="s">
        <v>539</v>
      </c>
      <c r="C179" s="0" t="s">
        <v>40</v>
      </c>
      <c r="D179" s="0" t="s">
        <v>395</v>
      </c>
      <c r="E179" s="0" t="s">
        <v>526</v>
      </c>
      <c r="F179" s="0" t="s">
        <v>527</v>
      </c>
      <c r="G179" s="0" t="s">
        <v>540</v>
      </c>
      <c r="K179" s="16" t="n">
        <v>11.25568</v>
      </c>
      <c r="L179" s="16" t="n">
        <v>29.697802</v>
      </c>
      <c r="M179" s="16" t="n">
        <v>13.345709</v>
      </c>
      <c r="N179" s="16" t="n">
        <v>30.482343</v>
      </c>
      <c r="O179" s="16" t="n">
        <v>30.678111</v>
      </c>
      <c r="P179" s="16" t="n">
        <v>31.467874</v>
      </c>
      <c r="Q179" s="16" t="n">
        <v>32.307435</v>
      </c>
      <c r="S179" s="0" t="n">
        <v>2</v>
      </c>
    </row>
    <row r="180" customFormat="false" ht="17.15" hidden="false" customHeight="false" outlineLevel="0" collapsed="false">
      <c r="A180" s="0" t="s">
        <v>541</v>
      </c>
      <c r="B180" s="0" t="s">
        <v>542</v>
      </c>
      <c r="C180" s="0" t="s">
        <v>40</v>
      </c>
      <c r="D180" s="0" t="s">
        <v>395</v>
      </c>
      <c r="E180" s="0" t="s">
        <v>526</v>
      </c>
      <c r="F180" s="0" t="s">
        <v>527</v>
      </c>
      <c r="G180" s="0" t="s">
        <v>543</v>
      </c>
      <c r="I180" s="9" t="n">
        <v>120.53</v>
      </c>
      <c r="S180" s="0" t="n">
        <v>1</v>
      </c>
    </row>
    <row r="181" customFormat="false" ht="17.15" hidden="false" customHeight="false" outlineLevel="0" collapsed="false">
      <c r="A181" s="0" t="s">
        <v>544</v>
      </c>
      <c r="B181" s="0" t="s">
        <v>545</v>
      </c>
      <c r="C181" s="0" t="s">
        <v>40</v>
      </c>
      <c r="D181" s="0" t="s">
        <v>395</v>
      </c>
      <c r="E181" s="0" t="s">
        <v>526</v>
      </c>
      <c r="F181" s="0" t="s">
        <v>546</v>
      </c>
      <c r="G181" s="0" t="s">
        <v>547</v>
      </c>
      <c r="I181" s="16" t="n">
        <v>115.877</v>
      </c>
      <c r="J181" s="16" t="n">
        <v>139.514</v>
      </c>
      <c r="K181" s="16" t="n">
        <v>184.680086</v>
      </c>
      <c r="L181" s="16" t="n">
        <v>221.631094</v>
      </c>
      <c r="M181" s="16" t="n">
        <v>269.221281</v>
      </c>
      <c r="N181" s="16" t="n">
        <v>316.265754</v>
      </c>
      <c r="O181" s="16" t="n">
        <v>359.767979</v>
      </c>
      <c r="P181" s="16" t="n">
        <v>398.78021</v>
      </c>
      <c r="Q181" s="16" t="n">
        <v>433.478036</v>
      </c>
      <c r="S181" s="0" t="n">
        <v>2</v>
      </c>
    </row>
    <row r="182" customFormat="false" ht="17.15" hidden="false" customHeight="false" outlineLevel="0" collapsed="false">
      <c r="A182" s="0" t="s">
        <v>548</v>
      </c>
      <c r="B182" s="0" t="s">
        <v>549</v>
      </c>
      <c r="C182" s="0" t="s">
        <v>40</v>
      </c>
      <c r="D182" s="0" t="s">
        <v>395</v>
      </c>
      <c r="E182" s="0" t="s">
        <v>526</v>
      </c>
      <c r="F182" s="0" t="s">
        <v>546</v>
      </c>
      <c r="G182" s="0" t="s">
        <v>550</v>
      </c>
      <c r="I182" s="16" t="n">
        <v>25.278105</v>
      </c>
      <c r="J182" s="16" t="n">
        <v>69.568632</v>
      </c>
      <c r="K182" s="16" t="n">
        <v>151.891668</v>
      </c>
      <c r="L182" s="16" t="n">
        <v>177.245913</v>
      </c>
      <c r="M182" s="16" t="n">
        <v>183.579448</v>
      </c>
      <c r="N182" s="16" t="n">
        <v>187.873277</v>
      </c>
      <c r="O182" s="16" t="n">
        <v>138.407038</v>
      </c>
      <c r="P182" s="16" t="n">
        <v>114.703775</v>
      </c>
      <c r="Q182" s="16" t="n">
        <v>112.986707</v>
      </c>
      <c r="S182" s="0" t="n">
        <v>2</v>
      </c>
    </row>
    <row r="183" customFormat="false" ht="17.15" hidden="false" customHeight="false" outlineLevel="0" collapsed="false">
      <c r="A183" s="0" t="s">
        <v>551</v>
      </c>
      <c r="B183" s="0" t="s">
        <v>552</v>
      </c>
      <c r="C183" s="0" t="s">
        <v>40</v>
      </c>
      <c r="D183" s="0" t="s">
        <v>395</v>
      </c>
      <c r="E183" s="0" t="s">
        <v>526</v>
      </c>
      <c r="F183" s="0" t="s">
        <v>546</v>
      </c>
      <c r="G183" s="0" t="s">
        <v>553</v>
      </c>
      <c r="I183" s="16" t="n">
        <v>52.379895</v>
      </c>
      <c r="J183" s="16" t="n">
        <v>58.751368</v>
      </c>
      <c r="K183" s="16" t="n">
        <v>68.108332</v>
      </c>
      <c r="L183" s="16" t="n">
        <v>75.834173</v>
      </c>
      <c r="M183" s="16" t="n">
        <v>83.39212</v>
      </c>
      <c r="N183" s="16" t="n">
        <v>90.532612</v>
      </c>
      <c r="O183" s="16" t="n">
        <v>96.993847</v>
      </c>
      <c r="P183" s="16" t="n">
        <v>103.937857</v>
      </c>
      <c r="Q183" s="16" t="n">
        <v>111.402067</v>
      </c>
      <c r="S183" s="0" t="n">
        <v>2</v>
      </c>
    </row>
    <row r="184" customFormat="false" ht="17.15" hidden="false" customHeight="false" outlineLevel="0" collapsed="false">
      <c r="A184" s="0" t="s">
        <v>554</v>
      </c>
      <c r="B184" s="0" t="s">
        <v>555</v>
      </c>
      <c r="C184" s="0" t="s">
        <v>40</v>
      </c>
      <c r="D184" s="0" t="s">
        <v>395</v>
      </c>
      <c r="E184" s="0" t="s">
        <v>526</v>
      </c>
      <c r="F184" s="0" t="s">
        <v>546</v>
      </c>
      <c r="G184" s="0" t="s">
        <v>556</v>
      </c>
      <c r="I184" s="16" t="n">
        <v>77.658</v>
      </c>
      <c r="J184" s="16" t="n">
        <v>128.32</v>
      </c>
      <c r="K184" s="16" t="n">
        <v>220</v>
      </c>
      <c r="L184" s="16" t="n">
        <v>253.080086</v>
      </c>
      <c r="M184" s="16" t="n">
        <v>266.971568</v>
      </c>
      <c r="N184" s="16" t="n">
        <v>278.40589</v>
      </c>
      <c r="O184" s="16" t="n">
        <v>235.400884</v>
      </c>
      <c r="P184" s="16" t="n">
        <v>218.641632</v>
      </c>
      <c r="Q184" s="16" t="n">
        <v>224.388774</v>
      </c>
      <c r="S184" s="0" t="n">
        <v>2</v>
      </c>
    </row>
    <row r="185" customFormat="false" ht="17.15" hidden="false" customHeight="false" outlineLevel="0" collapsed="false">
      <c r="A185" s="0" t="s">
        <v>557</v>
      </c>
      <c r="B185" s="0" t="s">
        <v>558</v>
      </c>
      <c r="C185" s="0" t="s">
        <v>40</v>
      </c>
      <c r="D185" s="0" t="s">
        <v>395</v>
      </c>
      <c r="E185" s="0" t="s">
        <v>526</v>
      </c>
      <c r="F185" s="0" t="s">
        <v>546</v>
      </c>
      <c r="G185" s="0" t="s">
        <v>559</v>
      </c>
      <c r="I185" s="16" t="n">
        <v>0</v>
      </c>
      <c r="J185" s="16" t="n">
        <v>0</v>
      </c>
      <c r="K185" s="16" t="n">
        <v>0</v>
      </c>
      <c r="L185" s="16" t="n">
        <v>0</v>
      </c>
      <c r="M185" s="16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S185" s="0" t="n">
        <v>2</v>
      </c>
    </row>
    <row r="186" customFormat="false" ht="17.15" hidden="false" customHeight="false" outlineLevel="0" collapsed="false">
      <c r="A186" s="0" t="s">
        <v>560</v>
      </c>
      <c r="B186" s="0" t="s">
        <v>561</v>
      </c>
      <c r="C186" s="0" t="s">
        <v>40</v>
      </c>
      <c r="D186" s="0" t="s">
        <v>395</v>
      </c>
      <c r="E186" s="0" t="s">
        <v>526</v>
      </c>
      <c r="F186" s="0" t="s">
        <v>546</v>
      </c>
      <c r="G186" s="0" t="s">
        <v>562</v>
      </c>
      <c r="I186" s="9" t="n">
        <v>123.029</v>
      </c>
      <c r="S186" s="0" t="n">
        <v>1</v>
      </c>
    </row>
    <row r="187" customFormat="false" ht="17.15" hidden="false" customHeight="false" outlineLevel="0" collapsed="false">
      <c r="A187" s="0" t="s">
        <v>563</v>
      </c>
      <c r="B187" s="0" t="s">
        <v>564</v>
      </c>
      <c r="C187" s="0" t="s">
        <v>40</v>
      </c>
      <c r="D187" s="0" t="s">
        <v>395</v>
      </c>
      <c r="E187" s="0" t="s">
        <v>526</v>
      </c>
      <c r="F187" s="0" t="s">
        <v>565</v>
      </c>
      <c r="G187" s="0" t="s">
        <v>566</v>
      </c>
      <c r="I187" s="16" t="n">
        <v>91.328</v>
      </c>
      <c r="J187" s="16" t="n">
        <v>115.8</v>
      </c>
      <c r="K187" s="16" t="n">
        <v>136.50051</v>
      </c>
      <c r="L187" s="16" t="n">
        <v>167.454237</v>
      </c>
      <c r="M187" s="16" t="n">
        <v>198.405948</v>
      </c>
      <c r="N187" s="16" t="n">
        <v>225.126641</v>
      </c>
      <c r="O187" s="16" t="n">
        <v>246.375958</v>
      </c>
      <c r="P187" s="16" t="n">
        <v>271.575239</v>
      </c>
      <c r="Q187" s="16" t="n">
        <v>301.272689</v>
      </c>
      <c r="S187" s="0" t="n">
        <v>2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40</v>
      </c>
      <c r="D188" s="0" t="s">
        <v>395</v>
      </c>
      <c r="E188" s="0" t="s">
        <v>526</v>
      </c>
      <c r="F188" s="0" t="s">
        <v>565</v>
      </c>
      <c r="G188" s="0" t="s">
        <v>569</v>
      </c>
      <c r="L188" s="16" t="n">
        <v>193.032551</v>
      </c>
      <c r="M188" s="16" t="n">
        <v>204.334288</v>
      </c>
      <c r="N188" s="16" t="n">
        <v>177.887752</v>
      </c>
      <c r="O188" s="16" t="n">
        <v>147.246055</v>
      </c>
      <c r="P188" s="16" t="n">
        <v>142.558622</v>
      </c>
      <c r="Q188" s="16" t="n">
        <v>145.036649</v>
      </c>
      <c r="S188" s="0" t="n">
        <v>2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40</v>
      </c>
      <c r="D189" s="0" t="s">
        <v>395</v>
      </c>
      <c r="E189" s="0" t="s">
        <v>526</v>
      </c>
      <c r="F189" s="0" t="s">
        <v>565</v>
      </c>
      <c r="G189" s="0" t="s">
        <v>572</v>
      </c>
      <c r="L189" s="16" t="n">
        <v>12.673327</v>
      </c>
      <c r="M189" s="16" t="n">
        <v>14.948975</v>
      </c>
      <c r="N189" s="16" t="n">
        <v>16.91211</v>
      </c>
      <c r="O189" s="16" t="n">
        <v>18.319678</v>
      </c>
      <c r="P189" s="16" t="n">
        <v>19.846625</v>
      </c>
      <c r="Q189" s="16" t="n">
        <v>21.503393</v>
      </c>
      <c r="S189" s="0" t="n">
        <v>2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40</v>
      </c>
      <c r="D190" s="0" t="s">
        <v>395</v>
      </c>
      <c r="E190" s="0" t="s">
        <v>526</v>
      </c>
      <c r="F190" s="0" t="s">
        <v>565</v>
      </c>
      <c r="G190" s="0" t="s">
        <v>575</v>
      </c>
      <c r="I190" s="16" t="n">
        <v>39.225</v>
      </c>
      <c r="J190" s="16" t="n">
        <v>72.215</v>
      </c>
      <c r="K190" s="16" t="n">
        <v>140</v>
      </c>
      <c r="L190" s="16" t="n">
        <v>205.705878</v>
      </c>
      <c r="M190" s="16" t="n">
        <v>219.283263</v>
      </c>
      <c r="N190" s="16" t="n">
        <v>194.799863</v>
      </c>
      <c r="O190" s="16" t="n">
        <v>165.565732</v>
      </c>
      <c r="P190" s="16" t="n">
        <v>162.405246</v>
      </c>
      <c r="Q190" s="16" t="n">
        <v>166.540042</v>
      </c>
      <c r="S190" s="0" t="n">
        <v>2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40</v>
      </c>
      <c r="D191" s="0" t="s">
        <v>395</v>
      </c>
      <c r="E191" s="0" t="s">
        <v>526</v>
      </c>
      <c r="F191" s="0" t="s">
        <v>565</v>
      </c>
      <c r="G191" s="0" t="s">
        <v>578</v>
      </c>
      <c r="K191" s="16" t="n">
        <v>5.423243</v>
      </c>
      <c r="L191" s="16" t="n">
        <v>6.605363</v>
      </c>
      <c r="M191" s="16" t="n">
        <v>7.074236</v>
      </c>
      <c r="N191" s="16" t="n">
        <v>7.27587</v>
      </c>
      <c r="O191" s="16" t="n">
        <v>7.150075</v>
      </c>
      <c r="P191" s="16" t="n">
        <v>7.612685</v>
      </c>
      <c r="Q191" s="16" t="n">
        <v>8.105225</v>
      </c>
      <c r="S191" s="0" t="n">
        <v>2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40</v>
      </c>
      <c r="D192" s="0" t="s">
        <v>395</v>
      </c>
      <c r="E192" s="0" t="s">
        <v>526</v>
      </c>
      <c r="F192" s="0" t="s">
        <v>565</v>
      </c>
      <c r="G192" s="0" t="s">
        <v>581</v>
      </c>
      <c r="I192" s="9" t="n">
        <v>81.592</v>
      </c>
      <c r="S192" s="0" t="n">
        <v>1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40</v>
      </c>
      <c r="D193" s="0" t="s">
        <v>395</v>
      </c>
      <c r="E193" s="0" t="s">
        <v>506</v>
      </c>
      <c r="F193" s="0" t="s">
        <v>584</v>
      </c>
      <c r="G193" s="0" t="s">
        <v>585</v>
      </c>
      <c r="K193" s="16" t="n">
        <v>31.977</v>
      </c>
      <c r="L193" s="16" t="n">
        <v>66.747013</v>
      </c>
      <c r="M193" s="16" t="n">
        <v>72.213744</v>
      </c>
      <c r="N193" s="16" t="n">
        <v>71.832044</v>
      </c>
      <c r="O193" s="16" t="n">
        <v>74.612346</v>
      </c>
      <c r="P193" s="16" t="n">
        <v>79.246131</v>
      </c>
      <c r="Q193" s="16" t="n">
        <v>98.028521</v>
      </c>
      <c r="S193" s="0" t="n">
        <v>2</v>
      </c>
    </row>
    <row r="194" customFormat="false" ht="17.15" hidden="false" customHeight="false" outlineLevel="0" collapsed="false">
      <c r="A194" s="0" t="s">
        <v>586</v>
      </c>
      <c r="B194" s="0" t="s">
        <v>587</v>
      </c>
      <c r="C194" s="0" t="s">
        <v>40</v>
      </c>
      <c r="D194" s="0" t="s">
        <v>395</v>
      </c>
      <c r="E194" s="0" t="s">
        <v>506</v>
      </c>
      <c r="F194" s="0" t="s">
        <v>584</v>
      </c>
      <c r="G194" s="0" t="s">
        <v>588</v>
      </c>
      <c r="L194" s="16" t="n">
        <v>87.530786</v>
      </c>
      <c r="M194" s="16" t="n">
        <v>81.090864</v>
      </c>
      <c r="N194" s="16" t="n">
        <v>32.359466</v>
      </c>
      <c r="O194" s="16" t="n">
        <v>14.035418</v>
      </c>
      <c r="P194" s="16" t="n">
        <v>17.45917</v>
      </c>
      <c r="Q194" s="16" t="n">
        <v>62.874208</v>
      </c>
      <c r="S194" s="0" t="n">
        <v>2</v>
      </c>
    </row>
    <row r="195" customFormat="false" ht="17.15" hidden="false" customHeight="false" outlineLevel="0" collapsed="false">
      <c r="A195" s="0" t="s">
        <v>589</v>
      </c>
      <c r="B195" s="0" t="s">
        <v>590</v>
      </c>
      <c r="C195" s="0" t="s">
        <v>40</v>
      </c>
      <c r="D195" s="0" t="s">
        <v>395</v>
      </c>
      <c r="E195" s="0" t="s">
        <v>506</v>
      </c>
      <c r="F195" s="0" t="s">
        <v>584</v>
      </c>
      <c r="G195" s="0" t="s">
        <v>591</v>
      </c>
      <c r="L195" s="16" t="n">
        <v>4.969214</v>
      </c>
      <c r="M195" s="16" t="n">
        <v>5.306662</v>
      </c>
      <c r="N195" s="16" t="n">
        <v>5.646097</v>
      </c>
      <c r="O195" s="16" t="n">
        <v>5.976247</v>
      </c>
      <c r="P195" s="16" t="n">
        <v>6.285348</v>
      </c>
      <c r="Q195" s="16" t="n">
        <v>6.5618</v>
      </c>
      <c r="S195" s="0" t="n">
        <v>2</v>
      </c>
    </row>
    <row r="196" customFormat="false" ht="17.15" hidden="false" customHeight="false" outlineLevel="0" collapsed="false">
      <c r="A196" s="0" t="s">
        <v>592</v>
      </c>
      <c r="B196" s="0" t="s">
        <v>593</v>
      </c>
      <c r="C196" s="0" t="s">
        <v>40</v>
      </c>
      <c r="D196" s="0" t="s">
        <v>395</v>
      </c>
      <c r="E196" s="0" t="s">
        <v>506</v>
      </c>
      <c r="F196" s="0" t="s">
        <v>584</v>
      </c>
      <c r="G196" s="0" t="s">
        <v>594</v>
      </c>
      <c r="K196" s="16" t="n">
        <v>55.663</v>
      </c>
      <c r="L196" s="16" t="n">
        <v>92.5</v>
      </c>
      <c r="M196" s="16" t="n">
        <v>86.397526</v>
      </c>
      <c r="N196" s="16" t="n">
        <v>38.005563</v>
      </c>
      <c r="O196" s="16" t="n">
        <v>20.011665</v>
      </c>
      <c r="P196" s="16" t="n">
        <v>23.744518</v>
      </c>
      <c r="Q196" s="16" t="n">
        <v>69.436008</v>
      </c>
      <c r="S196" s="0" t="n">
        <v>2</v>
      </c>
    </row>
    <row r="197" customFormat="false" ht="17.15" hidden="false" customHeight="false" outlineLevel="0" collapsed="false">
      <c r="A197" s="0" t="s">
        <v>595</v>
      </c>
      <c r="B197" s="0" t="s">
        <v>596</v>
      </c>
      <c r="C197" s="0" t="s">
        <v>40</v>
      </c>
      <c r="D197" s="0" t="s">
        <v>395</v>
      </c>
      <c r="E197" s="0" t="s">
        <v>506</v>
      </c>
      <c r="F197" s="0" t="s">
        <v>584</v>
      </c>
      <c r="G197" s="0" t="s">
        <v>597</v>
      </c>
      <c r="K197" s="16" t="n">
        <v>5.787</v>
      </c>
      <c r="L197" s="16" t="n">
        <v>6.344604</v>
      </c>
      <c r="M197" s="16" t="n">
        <v>6.372472</v>
      </c>
      <c r="N197" s="16" t="n">
        <v>6.291472</v>
      </c>
      <c r="O197" s="16" t="n">
        <v>6.109948</v>
      </c>
      <c r="P197" s="16" t="n">
        <v>6.109948</v>
      </c>
      <c r="Q197" s="16" t="n">
        <v>6.109948</v>
      </c>
      <c r="S197" s="0" t="n">
        <v>2</v>
      </c>
    </row>
    <row r="198" customFormat="false" ht="17.15" hidden="false" customHeight="false" outlineLevel="0" collapsed="false">
      <c r="A198" s="0" t="s">
        <v>598</v>
      </c>
      <c r="B198" s="0" t="s">
        <v>599</v>
      </c>
      <c r="C198" s="0" t="s">
        <v>40</v>
      </c>
      <c r="D198" s="0" t="s">
        <v>395</v>
      </c>
      <c r="E198" s="0" t="s">
        <v>506</v>
      </c>
      <c r="F198" s="0" t="s">
        <v>584</v>
      </c>
      <c r="G198" s="0" t="s">
        <v>600</v>
      </c>
      <c r="I198" s="9" t="n">
        <v>37.077</v>
      </c>
      <c r="S198" s="0" t="n">
        <v>1</v>
      </c>
    </row>
    <row r="199" customFormat="false" ht="17.15" hidden="false" customHeight="false" outlineLevel="0" collapsed="false">
      <c r="A199" s="0" t="s">
        <v>601</v>
      </c>
      <c r="B199" s="0" t="s">
        <v>602</v>
      </c>
      <c r="C199" s="0" t="s">
        <v>40</v>
      </c>
      <c r="D199" s="0" t="s">
        <v>395</v>
      </c>
      <c r="E199" s="0" t="s">
        <v>603</v>
      </c>
      <c r="F199" s="0" t="s">
        <v>604</v>
      </c>
      <c r="G199" s="0" t="s">
        <v>605</v>
      </c>
      <c r="K199" s="16" t="n">
        <v>6.90582</v>
      </c>
      <c r="L199" s="16" t="n">
        <v>9.363183</v>
      </c>
      <c r="M199" s="16" t="n">
        <v>15.172889</v>
      </c>
      <c r="N199" s="16" t="n">
        <v>19.53623</v>
      </c>
      <c r="O199" s="16" t="n">
        <v>20.930234</v>
      </c>
      <c r="S199" s="0" t="n">
        <v>2</v>
      </c>
    </row>
    <row r="200" customFormat="false" ht="17.15" hidden="false" customHeight="false" outlineLevel="0" collapsed="false">
      <c r="A200" s="0" t="s">
        <v>606</v>
      </c>
      <c r="B200" s="0" t="s">
        <v>607</v>
      </c>
      <c r="C200" s="0" t="s">
        <v>40</v>
      </c>
      <c r="D200" s="0" t="s">
        <v>395</v>
      </c>
      <c r="E200" s="0" t="s">
        <v>603</v>
      </c>
      <c r="F200" s="0" t="s">
        <v>604</v>
      </c>
      <c r="G200" s="0" t="s">
        <v>608</v>
      </c>
      <c r="K200" s="16" t="n">
        <v>32.978</v>
      </c>
      <c r="L200" s="16" t="n">
        <v>39.363041</v>
      </c>
      <c r="M200" s="16" t="n">
        <v>32.512194</v>
      </c>
      <c r="N200" s="16" t="n">
        <v>32.700126</v>
      </c>
      <c r="O200" s="16" t="n">
        <v>37.022557</v>
      </c>
      <c r="S200" s="0" t="n">
        <v>2</v>
      </c>
    </row>
    <row r="201" customFormat="false" ht="17.15" hidden="false" customHeight="false" outlineLevel="0" collapsed="false">
      <c r="A201" s="0" t="s">
        <v>609</v>
      </c>
      <c r="B201" s="0" t="s">
        <v>610</v>
      </c>
      <c r="C201" s="0" t="s">
        <v>40</v>
      </c>
      <c r="D201" s="0" t="s">
        <v>395</v>
      </c>
      <c r="E201" s="0" t="s">
        <v>603</v>
      </c>
      <c r="F201" s="0" t="s">
        <v>604</v>
      </c>
      <c r="G201" s="5" t="s">
        <v>611</v>
      </c>
      <c r="S201" s="0" t="n">
        <v>2</v>
      </c>
    </row>
    <row r="202" customFormat="false" ht="17.15" hidden="false" customHeight="false" outlineLevel="0" collapsed="false">
      <c r="A202" s="0" t="s">
        <v>612</v>
      </c>
      <c r="B202" s="0" t="s">
        <v>613</v>
      </c>
      <c r="C202" s="0" t="s">
        <v>40</v>
      </c>
      <c r="D202" s="0" t="s">
        <v>395</v>
      </c>
      <c r="E202" s="0" t="s">
        <v>603</v>
      </c>
      <c r="F202" s="0" t="s">
        <v>604</v>
      </c>
      <c r="G202" s="0" t="s">
        <v>614</v>
      </c>
      <c r="K202" s="16" t="n">
        <v>32.978</v>
      </c>
      <c r="L202" s="16" t="n">
        <v>39.363041</v>
      </c>
      <c r="M202" s="16" t="n">
        <v>32.512194</v>
      </c>
      <c r="N202" s="16" t="n">
        <v>32.700126</v>
      </c>
      <c r="O202" s="16" t="n">
        <v>37.022557</v>
      </c>
      <c r="S202" s="0" t="n">
        <v>2</v>
      </c>
    </row>
    <row r="203" customFormat="false" ht="17.15" hidden="false" customHeight="false" outlineLevel="0" collapsed="false">
      <c r="A203" s="0" t="s">
        <v>615</v>
      </c>
      <c r="B203" s="0" t="s">
        <v>616</v>
      </c>
      <c r="C203" s="0" t="s">
        <v>40</v>
      </c>
      <c r="D203" s="0" t="s">
        <v>395</v>
      </c>
      <c r="E203" s="0" t="s">
        <v>603</v>
      </c>
      <c r="F203" s="0" t="s">
        <v>604</v>
      </c>
      <c r="G203" s="5" t="s">
        <v>617</v>
      </c>
      <c r="S203" s="0" t="n">
        <v>2</v>
      </c>
    </row>
    <row r="204" customFormat="false" ht="17.15" hidden="false" customHeight="false" outlineLevel="0" collapsed="false">
      <c r="A204" s="0" t="s">
        <v>618</v>
      </c>
      <c r="B204" s="0" t="s">
        <v>619</v>
      </c>
      <c r="C204" s="0" t="s">
        <v>40</v>
      </c>
      <c r="D204" s="0" t="s">
        <v>395</v>
      </c>
      <c r="E204" s="0" t="s">
        <v>603</v>
      </c>
      <c r="F204" s="0" t="s">
        <v>604</v>
      </c>
      <c r="G204" s="0" t="s">
        <v>620</v>
      </c>
      <c r="I204" s="9" t="n">
        <v>3.127</v>
      </c>
      <c r="S204" s="0" t="n">
        <v>1</v>
      </c>
    </row>
    <row r="205" customFormat="false" ht="17.15" hidden="false" customHeight="false" outlineLevel="0" collapsed="false">
      <c r="A205" s="0" t="s">
        <v>621</v>
      </c>
      <c r="B205" s="0" t="s">
        <v>622</v>
      </c>
      <c r="C205" s="0" t="s">
        <v>40</v>
      </c>
      <c r="D205" s="0" t="s">
        <v>395</v>
      </c>
      <c r="E205" s="0" t="s">
        <v>603</v>
      </c>
      <c r="F205" s="0" t="s">
        <v>623</v>
      </c>
      <c r="G205" s="0" t="s">
        <v>624</v>
      </c>
      <c r="K205" s="16" t="n">
        <v>11.180806</v>
      </c>
      <c r="L205" s="16" t="n">
        <v>9.724413</v>
      </c>
      <c r="M205" s="16" t="n">
        <v>10.91293</v>
      </c>
      <c r="N205" s="16" t="n">
        <v>11.913019</v>
      </c>
      <c r="O205" s="16" t="n">
        <v>12.152047</v>
      </c>
      <c r="S205" s="0" t="n">
        <v>2</v>
      </c>
    </row>
    <row r="206" customFormat="false" ht="17.15" hidden="false" customHeight="false" outlineLevel="0" collapsed="false">
      <c r="A206" s="0" t="s">
        <v>625</v>
      </c>
      <c r="B206" s="0" t="s">
        <v>626</v>
      </c>
      <c r="C206" s="0" t="s">
        <v>40</v>
      </c>
      <c r="D206" s="0" t="s">
        <v>395</v>
      </c>
      <c r="E206" s="0" t="s">
        <v>603</v>
      </c>
      <c r="F206" s="0" t="s">
        <v>623</v>
      </c>
      <c r="G206" s="0" t="s">
        <v>627</v>
      </c>
      <c r="K206" s="16" t="n">
        <v>26.04619</v>
      </c>
      <c r="L206" s="16" t="n">
        <v>27.597437</v>
      </c>
      <c r="M206" s="16" t="n">
        <v>29.148684</v>
      </c>
      <c r="N206" s="16" t="n">
        <v>29.148684</v>
      </c>
      <c r="O206" s="16" t="n">
        <v>37.692264</v>
      </c>
      <c r="S206" s="0" t="n">
        <v>2</v>
      </c>
    </row>
    <row r="207" customFormat="false" ht="17.15" hidden="false" customHeight="false" outlineLevel="0" collapsed="false">
      <c r="A207" s="0" t="s">
        <v>628</v>
      </c>
      <c r="B207" s="0" t="s">
        <v>629</v>
      </c>
      <c r="C207" s="0" t="s">
        <v>40</v>
      </c>
      <c r="D207" s="0" t="s">
        <v>395</v>
      </c>
      <c r="E207" s="0" t="s">
        <v>603</v>
      </c>
      <c r="F207" s="0" t="s">
        <v>623</v>
      </c>
      <c r="G207" s="5" t="s">
        <v>630</v>
      </c>
      <c r="S207" s="0" t="n">
        <v>2</v>
      </c>
    </row>
    <row r="208" customFormat="false" ht="17.15" hidden="false" customHeight="false" outlineLevel="0" collapsed="false">
      <c r="A208" s="0" t="s">
        <v>631</v>
      </c>
      <c r="B208" s="0" t="s">
        <v>632</v>
      </c>
      <c r="C208" s="0" t="s">
        <v>40</v>
      </c>
      <c r="D208" s="0" t="s">
        <v>395</v>
      </c>
      <c r="E208" s="0" t="s">
        <v>603</v>
      </c>
      <c r="F208" s="0" t="s">
        <v>623</v>
      </c>
      <c r="G208" s="0" t="s">
        <v>633</v>
      </c>
      <c r="K208" s="16" t="n">
        <v>26.04619</v>
      </c>
      <c r="L208" s="16" t="n">
        <v>27.597437</v>
      </c>
      <c r="M208" s="16" t="n">
        <v>29.148684</v>
      </c>
      <c r="N208" s="16" t="n">
        <v>29.148684</v>
      </c>
      <c r="O208" s="16" t="n">
        <v>37.692264</v>
      </c>
      <c r="S208" s="0" t="n">
        <v>2</v>
      </c>
    </row>
    <row r="209" customFormat="false" ht="17.15" hidden="false" customHeight="false" outlineLevel="0" collapsed="false">
      <c r="A209" s="0" t="s">
        <v>634</v>
      </c>
      <c r="B209" s="0" t="s">
        <v>635</v>
      </c>
      <c r="C209" s="0" t="s">
        <v>40</v>
      </c>
      <c r="D209" s="0" t="s">
        <v>395</v>
      </c>
      <c r="E209" s="0" t="s">
        <v>603</v>
      </c>
      <c r="F209" s="0" t="s">
        <v>623</v>
      </c>
      <c r="G209" s="5" t="s">
        <v>636</v>
      </c>
      <c r="S209" s="0" t="n">
        <v>2</v>
      </c>
    </row>
    <row r="210" customFormat="false" ht="17.15" hidden="false" customHeight="false" outlineLevel="0" collapsed="false">
      <c r="A210" s="0" t="s">
        <v>637</v>
      </c>
      <c r="B210" s="0" t="s">
        <v>638</v>
      </c>
      <c r="C210" s="0" t="s">
        <v>40</v>
      </c>
      <c r="D210" s="0" t="s">
        <v>395</v>
      </c>
      <c r="E210" s="0" t="s">
        <v>603</v>
      </c>
      <c r="F210" s="0" t="s">
        <v>623</v>
      </c>
      <c r="G210" s="0" t="s">
        <v>639</v>
      </c>
      <c r="I210" s="9" t="n">
        <v>3.6781</v>
      </c>
      <c r="S210" s="0" t="n">
        <v>1</v>
      </c>
    </row>
    <row r="211" customFormat="false" ht="17.15" hidden="false" customHeight="false" outlineLevel="0" collapsed="false">
      <c r="A211" s="0" t="s">
        <v>640</v>
      </c>
      <c r="B211" s="0" t="s">
        <v>641</v>
      </c>
      <c r="C211" s="0" t="s">
        <v>40</v>
      </c>
      <c r="D211" s="0" t="s">
        <v>395</v>
      </c>
      <c r="E211" s="0" t="s">
        <v>642</v>
      </c>
      <c r="F211" s="0" t="s">
        <v>643</v>
      </c>
      <c r="G211" s="0" t="s">
        <v>644</v>
      </c>
      <c r="K211" s="16" t="n">
        <v>0.10217</v>
      </c>
      <c r="L211" s="16" t="n">
        <v>0.043523</v>
      </c>
      <c r="M211" s="16" t="n">
        <v>0.01167</v>
      </c>
      <c r="N211" s="16" t="n">
        <v>0.054481</v>
      </c>
      <c r="O211" s="16" t="n">
        <v>0.089807</v>
      </c>
      <c r="S211" s="0" t="n">
        <v>2</v>
      </c>
    </row>
    <row r="212" customFormat="false" ht="17.15" hidden="false" customHeight="false" outlineLevel="0" collapsed="false">
      <c r="A212" s="0" t="s">
        <v>645</v>
      </c>
      <c r="B212" s="0" t="s">
        <v>646</v>
      </c>
      <c r="C212" s="0" t="s">
        <v>40</v>
      </c>
      <c r="D212" s="0" t="s">
        <v>395</v>
      </c>
      <c r="E212" s="0" t="s">
        <v>642</v>
      </c>
      <c r="F212" s="0" t="s">
        <v>643</v>
      </c>
      <c r="G212" s="0" t="s">
        <v>647</v>
      </c>
      <c r="K212" s="16" t="n">
        <v>0.473244</v>
      </c>
      <c r="L212" s="16" t="n">
        <v>0.427141</v>
      </c>
      <c r="M212" s="16" t="n">
        <v>0.052368</v>
      </c>
      <c r="N212" s="16" t="n">
        <v>0.05638</v>
      </c>
      <c r="O212" s="16" t="n">
        <v>0.11197</v>
      </c>
      <c r="S212" s="0" t="n">
        <v>2</v>
      </c>
    </row>
    <row r="213" customFormat="false" ht="17.15" hidden="false" customHeight="false" outlineLevel="0" collapsed="false">
      <c r="A213" s="0" t="s">
        <v>648</v>
      </c>
      <c r="B213" s="0" t="s">
        <v>649</v>
      </c>
      <c r="C213" s="0" t="s">
        <v>40</v>
      </c>
      <c r="D213" s="0" t="s">
        <v>395</v>
      </c>
      <c r="E213" s="0" t="s">
        <v>642</v>
      </c>
      <c r="F213" s="0" t="s">
        <v>643</v>
      </c>
      <c r="G213" s="5" t="s">
        <v>650</v>
      </c>
      <c r="S213" s="0" t="n">
        <v>2</v>
      </c>
    </row>
    <row r="214" customFormat="false" ht="17.15" hidden="false" customHeight="false" outlineLevel="0" collapsed="false">
      <c r="A214" s="0" t="s">
        <v>651</v>
      </c>
      <c r="B214" s="0" t="s">
        <v>652</v>
      </c>
      <c r="C214" s="0" t="s">
        <v>40</v>
      </c>
      <c r="D214" s="0" t="s">
        <v>395</v>
      </c>
      <c r="E214" s="0" t="s">
        <v>642</v>
      </c>
      <c r="F214" s="0" t="s">
        <v>643</v>
      </c>
      <c r="G214" s="0" t="s">
        <v>653</v>
      </c>
      <c r="K214" s="16" t="n">
        <v>0.473244</v>
      </c>
      <c r="L214" s="16" t="n">
        <v>0.427141</v>
      </c>
      <c r="M214" s="16" t="n">
        <v>0.052368</v>
      </c>
      <c r="N214" s="16" t="n">
        <v>0.05638</v>
      </c>
      <c r="O214" s="16" t="n">
        <v>0.11197</v>
      </c>
      <c r="S214" s="0" t="n">
        <v>2</v>
      </c>
    </row>
    <row r="215" customFormat="false" ht="17.15" hidden="false" customHeight="false" outlineLevel="0" collapsed="false">
      <c r="A215" s="0" t="s">
        <v>654</v>
      </c>
      <c r="B215" s="0" t="s">
        <v>655</v>
      </c>
      <c r="C215" s="0" t="s">
        <v>40</v>
      </c>
      <c r="D215" s="0" t="s">
        <v>395</v>
      </c>
      <c r="E215" s="0" t="s">
        <v>642</v>
      </c>
      <c r="F215" s="0" t="s">
        <v>643</v>
      </c>
      <c r="G215" s="0" t="s">
        <v>656</v>
      </c>
      <c r="K215" s="16" t="n">
        <v>0</v>
      </c>
      <c r="L215" s="16" t="n">
        <v>0</v>
      </c>
      <c r="M215" s="16" t="n">
        <v>0</v>
      </c>
      <c r="N215" s="16" t="n">
        <v>0</v>
      </c>
      <c r="O215" s="16" t="n">
        <v>0</v>
      </c>
      <c r="S215" s="0" t="n">
        <v>2</v>
      </c>
    </row>
    <row r="216" customFormat="false" ht="17.15" hidden="false" customHeight="false" outlineLevel="0" collapsed="false">
      <c r="A216" s="0" t="s">
        <v>657</v>
      </c>
      <c r="B216" s="0" t="s">
        <v>658</v>
      </c>
      <c r="C216" s="0" t="s">
        <v>40</v>
      </c>
      <c r="D216" s="0" t="s">
        <v>395</v>
      </c>
      <c r="E216" s="0" t="s">
        <v>642</v>
      </c>
      <c r="F216" s="0" t="s">
        <v>643</v>
      </c>
      <c r="G216" s="0" t="s">
        <v>659</v>
      </c>
      <c r="I216" s="9" t="n">
        <v>0.114441</v>
      </c>
      <c r="S216" s="0" t="n">
        <v>1</v>
      </c>
    </row>
    <row r="217" customFormat="false" ht="17.15" hidden="false" customHeight="false" outlineLevel="0" collapsed="false">
      <c r="A217" s="0" t="s">
        <v>660</v>
      </c>
      <c r="B217" s="0" t="s">
        <v>661</v>
      </c>
      <c r="C217" s="0" t="s">
        <v>40</v>
      </c>
      <c r="D217" s="0" t="s">
        <v>395</v>
      </c>
      <c r="E217" s="0" t="s">
        <v>662</v>
      </c>
      <c r="F217" s="0" t="s">
        <v>663</v>
      </c>
      <c r="G217" s="0" t="s">
        <v>664</v>
      </c>
      <c r="K217" s="16" t="n">
        <v>24.056468</v>
      </c>
      <c r="L217" s="16" t="n">
        <v>68.835673</v>
      </c>
      <c r="M217" s="16" t="n">
        <v>99.959296</v>
      </c>
      <c r="N217" s="16" t="n">
        <v>120.470028</v>
      </c>
      <c r="O217" s="16" t="n">
        <v>129.653278</v>
      </c>
      <c r="P217" s="16" t="n">
        <v>146.935362</v>
      </c>
      <c r="Q217" s="16" t="n">
        <v>159.095572</v>
      </c>
      <c r="S217" s="0" t="n">
        <v>2</v>
      </c>
    </row>
    <row r="218" customFormat="false" ht="17.15" hidden="false" customHeight="false" outlineLevel="0" collapsed="false">
      <c r="A218" s="0" t="s">
        <v>665</v>
      </c>
      <c r="B218" s="0" t="s">
        <v>666</v>
      </c>
      <c r="C218" s="0" t="s">
        <v>40</v>
      </c>
      <c r="D218" s="0" t="s">
        <v>395</v>
      </c>
      <c r="E218" s="0" t="s">
        <v>662</v>
      </c>
      <c r="F218" s="0" t="s">
        <v>663</v>
      </c>
      <c r="G218" s="0" t="s">
        <v>667</v>
      </c>
      <c r="K218" s="16" t="n">
        <v>74.058119</v>
      </c>
      <c r="L218" s="16" t="n">
        <v>136.252477</v>
      </c>
      <c r="M218" s="16" t="n">
        <v>144.12072</v>
      </c>
      <c r="N218" s="16" t="n">
        <v>111.172527</v>
      </c>
      <c r="O218" s="16" t="n">
        <v>90.160889</v>
      </c>
      <c r="P218" s="16" t="n">
        <v>66.690036</v>
      </c>
      <c r="Q218" s="16" t="n">
        <v>86.295421</v>
      </c>
      <c r="S218" s="0" t="n">
        <v>2</v>
      </c>
    </row>
    <row r="219" customFormat="false" ht="17.15" hidden="false" customHeight="false" outlineLevel="0" collapsed="false">
      <c r="A219" s="0" t="s">
        <v>668</v>
      </c>
      <c r="B219" s="0" t="s">
        <v>669</v>
      </c>
      <c r="C219" s="0" t="s">
        <v>40</v>
      </c>
      <c r="D219" s="0" t="s">
        <v>395</v>
      </c>
      <c r="E219" s="0" t="s">
        <v>662</v>
      </c>
      <c r="F219" s="0" t="s">
        <v>663</v>
      </c>
      <c r="G219" s="0" t="s">
        <v>670</v>
      </c>
      <c r="K219" s="16" t="n">
        <v>11.510881</v>
      </c>
      <c r="L219" s="16" t="n">
        <v>14.509095</v>
      </c>
      <c r="M219" s="16" t="n">
        <v>16.71983</v>
      </c>
      <c r="N219" s="16" t="n">
        <v>18.386119</v>
      </c>
      <c r="O219" s="16" t="n">
        <v>19.017069</v>
      </c>
      <c r="P219" s="16" t="n">
        <v>20.845147</v>
      </c>
      <c r="Q219" s="16" t="n">
        <v>22.609799</v>
      </c>
      <c r="S219" s="0" t="n">
        <v>2</v>
      </c>
    </row>
    <row r="220" customFormat="false" ht="17.15" hidden="false" customHeight="false" outlineLevel="0" collapsed="false">
      <c r="A220" s="0" t="s">
        <v>671</v>
      </c>
      <c r="B220" s="0" t="s">
        <v>672</v>
      </c>
      <c r="C220" s="0" t="s">
        <v>40</v>
      </c>
      <c r="D220" s="0" t="s">
        <v>395</v>
      </c>
      <c r="E220" s="0" t="s">
        <v>662</v>
      </c>
      <c r="F220" s="0" t="s">
        <v>663</v>
      </c>
      <c r="G220" s="0" t="s">
        <v>673</v>
      </c>
      <c r="K220" s="16" t="n">
        <v>85.569</v>
      </c>
      <c r="L220" s="16" t="n">
        <v>150.761572</v>
      </c>
      <c r="M220" s="16" t="n">
        <v>160.84055</v>
      </c>
      <c r="N220" s="16" t="n">
        <v>129.558646</v>
      </c>
      <c r="O220" s="16" t="n">
        <v>109.177958</v>
      </c>
      <c r="P220" s="16" t="n">
        <v>87.535184</v>
      </c>
      <c r="Q220" s="16" t="n">
        <v>108.90522</v>
      </c>
      <c r="S220" s="0" t="n">
        <v>2</v>
      </c>
    </row>
    <row r="221" customFormat="false" ht="17.15" hidden="false" customHeight="false" outlineLevel="0" collapsed="false">
      <c r="A221" s="0" t="s">
        <v>674</v>
      </c>
      <c r="B221" s="0" t="s">
        <v>675</v>
      </c>
      <c r="C221" s="0" t="s">
        <v>40</v>
      </c>
      <c r="D221" s="0" t="s">
        <v>395</v>
      </c>
      <c r="E221" s="0" t="s">
        <v>662</v>
      </c>
      <c r="F221" s="0" t="s">
        <v>663</v>
      </c>
      <c r="G221" s="5" t="s">
        <v>676</v>
      </c>
      <c r="S221" s="0" t="n">
        <v>2</v>
      </c>
    </row>
    <row r="222" customFormat="false" ht="17.15" hidden="false" customHeight="false" outlineLevel="0" collapsed="false">
      <c r="A222" s="0" t="s">
        <v>677</v>
      </c>
      <c r="B222" s="0" t="s">
        <v>678</v>
      </c>
      <c r="C222" s="0" t="s">
        <v>40</v>
      </c>
      <c r="D222" s="0" t="s">
        <v>395</v>
      </c>
      <c r="E222" s="0" t="s">
        <v>662</v>
      </c>
      <c r="F222" s="0" t="s">
        <v>663</v>
      </c>
      <c r="G222" s="0" t="s">
        <v>679</v>
      </c>
      <c r="I222" s="9" t="n">
        <v>24.747</v>
      </c>
      <c r="S222" s="0" t="n">
        <v>1</v>
      </c>
    </row>
    <row r="223" customFormat="false" ht="17.15" hidden="false" customHeight="false" outlineLevel="0" collapsed="false">
      <c r="A223" s="0" t="s">
        <v>680</v>
      </c>
      <c r="B223" s="0" t="s">
        <v>681</v>
      </c>
      <c r="C223" s="0" t="s">
        <v>40</v>
      </c>
      <c r="D223" s="0" t="s">
        <v>395</v>
      </c>
      <c r="E223" s="0" t="s">
        <v>682</v>
      </c>
      <c r="F223" s="0" t="s">
        <v>683</v>
      </c>
      <c r="G223" s="0" t="s">
        <v>684</v>
      </c>
      <c r="K223" s="16" t="n">
        <v>-19.41593</v>
      </c>
      <c r="L223" s="16" t="n">
        <v>-86.01732</v>
      </c>
      <c r="M223" s="16" t="n">
        <v>-89.878131</v>
      </c>
      <c r="N223" s="16" t="n">
        <v>-77.624622</v>
      </c>
      <c r="O223" s="16" t="n">
        <v>-61.908809</v>
      </c>
      <c r="S223" s="0" t="n">
        <v>2</v>
      </c>
    </row>
    <row r="224" customFormat="false" ht="17.15" hidden="false" customHeight="false" outlineLevel="0" collapsed="false">
      <c r="A224" s="0" t="s">
        <v>685</v>
      </c>
      <c r="B224" s="0" t="s">
        <v>686</v>
      </c>
      <c r="C224" s="0" t="s">
        <v>40</v>
      </c>
      <c r="D224" s="0" t="s">
        <v>395</v>
      </c>
      <c r="E224" s="0" t="s">
        <v>682</v>
      </c>
      <c r="F224" s="0" t="s">
        <v>683</v>
      </c>
      <c r="G224" s="0" t="s">
        <v>687</v>
      </c>
      <c r="K224" s="16" t="n">
        <v>20</v>
      </c>
      <c r="L224" s="16" t="n">
        <v>30</v>
      </c>
      <c r="M224" s="16" t="n">
        <v>45</v>
      </c>
      <c r="N224" s="16" t="n">
        <v>60</v>
      </c>
      <c r="O224" s="16" t="n">
        <v>70</v>
      </c>
      <c r="S224" s="0" t="n">
        <v>2</v>
      </c>
    </row>
    <row r="225" customFormat="false" ht="17.15" hidden="false" customHeight="false" outlineLevel="0" collapsed="false">
      <c r="A225" s="0" t="s">
        <v>688</v>
      </c>
      <c r="B225" s="0" t="s">
        <v>689</v>
      </c>
      <c r="C225" s="0" t="s">
        <v>40</v>
      </c>
      <c r="D225" s="0" t="s">
        <v>395</v>
      </c>
      <c r="E225" s="0" t="s">
        <v>682</v>
      </c>
      <c r="F225" s="0" t="s">
        <v>683</v>
      </c>
      <c r="G225" s="5" t="s">
        <v>690</v>
      </c>
      <c r="S225" s="0" t="n">
        <v>2</v>
      </c>
    </row>
    <row r="226" customFormat="false" ht="17.15" hidden="false" customHeight="false" outlineLevel="0" collapsed="false">
      <c r="A226" s="0" t="s">
        <v>691</v>
      </c>
      <c r="B226" s="0" t="s">
        <v>692</v>
      </c>
      <c r="C226" s="0" t="s">
        <v>40</v>
      </c>
      <c r="D226" s="0" t="s">
        <v>395</v>
      </c>
      <c r="E226" s="0" t="s">
        <v>682</v>
      </c>
      <c r="F226" s="0" t="s">
        <v>683</v>
      </c>
      <c r="G226" s="0" t="s">
        <v>693</v>
      </c>
      <c r="K226" s="16" t="n">
        <v>20</v>
      </c>
      <c r="L226" s="16" t="n">
        <v>30</v>
      </c>
      <c r="M226" s="16" t="n">
        <v>45</v>
      </c>
      <c r="N226" s="16" t="n">
        <v>60</v>
      </c>
      <c r="O226" s="16" t="n">
        <v>70</v>
      </c>
      <c r="S226" s="0" t="n">
        <v>2</v>
      </c>
    </row>
    <row r="227" customFormat="false" ht="17.15" hidden="false" customHeight="false" outlineLevel="0" collapsed="false">
      <c r="A227" s="0" t="s">
        <v>694</v>
      </c>
      <c r="B227" s="0" t="s">
        <v>695</v>
      </c>
      <c r="C227" s="0" t="s">
        <v>40</v>
      </c>
      <c r="D227" s="0" t="s">
        <v>395</v>
      </c>
      <c r="E227" s="0" t="s">
        <v>682</v>
      </c>
      <c r="F227" s="0" t="s">
        <v>683</v>
      </c>
      <c r="G227" s="5" t="s">
        <v>696</v>
      </c>
      <c r="S227" s="0" t="n">
        <v>2</v>
      </c>
    </row>
    <row r="228" customFormat="false" ht="17.15" hidden="false" customHeight="false" outlineLevel="0" collapsed="false">
      <c r="A228" s="0" t="s">
        <v>697</v>
      </c>
      <c r="B228" s="0" t="s">
        <v>698</v>
      </c>
      <c r="C228" s="0" t="s">
        <v>40</v>
      </c>
      <c r="D228" s="0" t="s">
        <v>395</v>
      </c>
      <c r="E228" s="0" t="s">
        <v>682</v>
      </c>
      <c r="F228" s="0" t="s">
        <v>683</v>
      </c>
      <c r="G228" s="0" t="s">
        <v>699</v>
      </c>
      <c r="I228" s="9" t="n">
        <v>40</v>
      </c>
      <c r="S228" s="0" t="n">
        <v>1</v>
      </c>
    </row>
    <row r="229" customFormat="false" ht="17.15" hidden="false" customHeight="false" outlineLevel="0" collapsed="false">
      <c r="A229" s="0" t="s">
        <v>700</v>
      </c>
      <c r="B229" s="0" t="s">
        <v>701</v>
      </c>
      <c r="C229" s="0" t="s">
        <v>40</v>
      </c>
      <c r="D229" s="0" t="s">
        <v>395</v>
      </c>
      <c r="E229" s="0" t="s">
        <v>702</v>
      </c>
      <c r="F229" s="0" t="s">
        <v>703</v>
      </c>
      <c r="G229" s="0" t="s">
        <v>704</v>
      </c>
      <c r="K229" s="16" t="n">
        <v>14.065522</v>
      </c>
      <c r="L229" s="16" t="n">
        <v>-1.858273</v>
      </c>
      <c r="M229" s="16" t="n">
        <v>1.674789</v>
      </c>
      <c r="N229" s="16" t="n">
        <v>47.554557</v>
      </c>
      <c r="O229" s="16" t="n">
        <v>96.074285</v>
      </c>
      <c r="S229" s="0" t="n">
        <v>2</v>
      </c>
    </row>
    <row r="230" customFormat="false" ht="17.15" hidden="false" customHeight="false" outlineLevel="0" collapsed="false">
      <c r="A230" s="0" t="s">
        <v>705</v>
      </c>
      <c r="B230" s="0" t="s">
        <v>706</v>
      </c>
      <c r="C230" s="0" t="s">
        <v>40</v>
      </c>
      <c r="D230" s="0" t="s">
        <v>395</v>
      </c>
      <c r="E230" s="0" t="s">
        <v>702</v>
      </c>
      <c r="F230" s="0" t="s">
        <v>703</v>
      </c>
      <c r="G230" s="0" t="s">
        <v>707</v>
      </c>
      <c r="K230" s="16" t="n">
        <v>16.666667</v>
      </c>
      <c r="L230" s="16" t="n">
        <v>16.666667</v>
      </c>
      <c r="M230" s="16" t="n">
        <v>16.666667</v>
      </c>
      <c r="N230" s="16" t="n">
        <v>0</v>
      </c>
      <c r="O230" s="16" t="n">
        <v>0</v>
      </c>
      <c r="S230" s="0" t="n">
        <v>2</v>
      </c>
    </row>
    <row r="231" customFormat="false" ht="17.15" hidden="false" customHeight="false" outlineLevel="0" collapsed="false">
      <c r="A231" s="0" t="s">
        <v>708</v>
      </c>
      <c r="B231" s="0" t="s">
        <v>709</v>
      </c>
      <c r="C231" s="0" t="s">
        <v>40</v>
      </c>
      <c r="D231" s="0" t="s">
        <v>395</v>
      </c>
      <c r="E231" s="0" t="s">
        <v>702</v>
      </c>
      <c r="F231" s="0" t="s">
        <v>703</v>
      </c>
      <c r="G231" s="5" t="s">
        <v>710</v>
      </c>
      <c r="S231" s="0" t="n">
        <v>2</v>
      </c>
    </row>
    <row r="232" customFormat="false" ht="17.15" hidden="false" customHeight="false" outlineLevel="0" collapsed="false">
      <c r="A232" s="0" t="s">
        <v>711</v>
      </c>
      <c r="B232" s="0" t="s">
        <v>712</v>
      </c>
      <c r="C232" s="0" t="s">
        <v>40</v>
      </c>
      <c r="D232" s="0" t="s">
        <v>395</v>
      </c>
      <c r="E232" s="0" t="s">
        <v>702</v>
      </c>
      <c r="F232" s="0" t="s">
        <v>703</v>
      </c>
      <c r="G232" s="0" t="s">
        <v>713</v>
      </c>
      <c r="K232" s="16" t="n">
        <v>16.666667</v>
      </c>
      <c r="L232" s="16" t="n">
        <v>16.666667</v>
      </c>
      <c r="M232" s="16" t="n">
        <v>16.666667</v>
      </c>
      <c r="N232" s="16" t="n">
        <v>0</v>
      </c>
      <c r="O232" s="16" t="n">
        <v>0</v>
      </c>
      <c r="S232" s="0" t="n">
        <v>2</v>
      </c>
    </row>
    <row r="233" customFormat="false" ht="17.15" hidden="false" customHeight="false" outlineLevel="0" collapsed="false">
      <c r="A233" s="0" t="s">
        <v>714</v>
      </c>
      <c r="B233" s="0" t="s">
        <v>715</v>
      </c>
      <c r="C233" s="0" t="s">
        <v>40</v>
      </c>
      <c r="D233" s="0" t="s">
        <v>395</v>
      </c>
      <c r="E233" s="0" t="s">
        <v>702</v>
      </c>
      <c r="F233" s="0" t="s">
        <v>703</v>
      </c>
      <c r="G233" s="5" t="s">
        <v>716</v>
      </c>
      <c r="S233" s="0" t="n">
        <v>2</v>
      </c>
    </row>
    <row r="234" customFormat="false" ht="17.15" hidden="false" customHeight="false" outlineLevel="0" collapsed="false">
      <c r="A234" s="0" t="s">
        <v>717</v>
      </c>
      <c r="B234" s="0" t="s">
        <v>718</v>
      </c>
      <c r="C234" s="0" t="s">
        <v>40</v>
      </c>
      <c r="D234" s="0" t="s">
        <v>395</v>
      </c>
      <c r="E234" s="0" t="s">
        <v>702</v>
      </c>
      <c r="F234" s="0" t="s">
        <v>703</v>
      </c>
      <c r="G234" s="0" t="s">
        <v>719</v>
      </c>
      <c r="I234" s="9" t="n">
        <v>20.28</v>
      </c>
      <c r="S234" s="0" t="n">
        <v>1</v>
      </c>
    </row>
    <row r="235" customFormat="false" ht="17.15" hidden="false" customHeight="false" outlineLevel="0" collapsed="false">
      <c r="A235" s="8" t="s">
        <v>720</v>
      </c>
    </row>
    <row r="236" customFormat="false" ht="17.15" hidden="false" customHeight="false" outlineLevel="0" collapsed="false">
      <c r="A236" s="6" t="s">
        <v>19</v>
      </c>
      <c r="B236" s="6" t="s">
        <v>20</v>
      </c>
      <c r="C236" s="6" t="s">
        <v>21</v>
      </c>
      <c r="D236" s="6" t="s">
        <v>22</v>
      </c>
      <c r="E236" s="6" t="s">
        <v>23</v>
      </c>
      <c r="F236" s="6" t="s">
        <v>24</v>
      </c>
      <c r="G236" s="6" t="s">
        <v>25</v>
      </c>
      <c r="H236" s="6" t="s">
        <v>721</v>
      </c>
      <c r="I236" s="6" t="s">
        <v>722</v>
      </c>
      <c r="J236" s="6" t="s">
        <v>723</v>
      </c>
      <c r="K236" s="7" t="s">
        <v>28</v>
      </c>
      <c r="L236" s="7" t="s">
        <v>29</v>
      </c>
      <c r="M236" s="7" t="s">
        <v>30</v>
      </c>
    </row>
    <row r="237" customFormat="false" ht="17.15" hidden="false" customHeight="false" outlineLevel="0" collapsed="false">
      <c r="A237" s="0" t="s">
        <v>724</v>
      </c>
      <c r="B237" s="0" t="s">
        <v>725</v>
      </c>
      <c r="C237" s="0" t="s">
        <v>116</v>
      </c>
      <c r="D237" s="5" t="s">
        <v>726</v>
      </c>
      <c r="E237" s="0" t="s">
        <v>58</v>
      </c>
      <c r="F237" s="0" t="s">
        <v>119</v>
      </c>
      <c r="G237" s="5" t="s">
        <v>727</v>
      </c>
      <c r="H237" s="9" t="s">
        <v>728</v>
      </c>
      <c r="I237" s="9" t="s">
        <v>729</v>
      </c>
      <c r="J237" s="17" t="s">
        <v>726</v>
      </c>
      <c r="K237" s="9" t="n">
        <v>0.4</v>
      </c>
      <c r="L237" s="9" t="n">
        <v>0.4</v>
      </c>
      <c r="M237" s="9" t="n">
        <v>0.4</v>
      </c>
      <c r="S237" s="0" t="n">
        <v>3</v>
      </c>
    </row>
    <row r="238" customFormat="false" ht="17.15" hidden="false" customHeight="false" outlineLevel="0" collapsed="false">
      <c r="A238" s="0" t="s">
        <v>730</v>
      </c>
      <c r="B238" s="0" t="s">
        <v>731</v>
      </c>
      <c r="C238" s="0" t="s">
        <v>116</v>
      </c>
      <c r="D238" s="5" t="s">
        <v>726</v>
      </c>
      <c r="E238" s="0" t="s">
        <v>58</v>
      </c>
      <c r="F238" s="0" t="s">
        <v>128</v>
      </c>
      <c r="G238" s="5" t="s">
        <v>732</v>
      </c>
      <c r="H238" s="9" t="s">
        <v>733</v>
      </c>
      <c r="I238" s="9" t="s">
        <v>729</v>
      </c>
      <c r="J238" s="17" t="s">
        <v>726</v>
      </c>
      <c r="K238" s="9" t="n">
        <v>0.7</v>
      </c>
      <c r="L238" s="9" t="n">
        <v>0.7</v>
      </c>
      <c r="M238" s="9" t="n">
        <v>0.7</v>
      </c>
      <c r="S238" s="0" t="n">
        <v>3</v>
      </c>
    </row>
    <row r="239" customFormat="false" ht="17.15" hidden="false" customHeight="false" outlineLevel="0" collapsed="false">
      <c r="A239" s="0" t="s">
        <v>734</v>
      </c>
      <c r="B239" s="0" t="s">
        <v>735</v>
      </c>
      <c r="C239" s="0" t="s">
        <v>116</v>
      </c>
      <c r="D239" s="0" t="s">
        <v>82</v>
      </c>
      <c r="E239" s="0" t="s">
        <v>146</v>
      </c>
      <c r="F239" s="0" t="s">
        <v>193</v>
      </c>
      <c r="G239" s="0" t="s">
        <v>736</v>
      </c>
      <c r="H239" s="9" t="s">
        <v>733</v>
      </c>
      <c r="I239" s="9" t="s">
        <v>737</v>
      </c>
      <c r="J239" s="9" t="s">
        <v>82</v>
      </c>
      <c r="L239" s="9" t="n">
        <v>1</v>
      </c>
      <c r="M239" s="9" t="n">
        <v>1</v>
      </c>
      <c r="S239" s="0" t="n">
        <v>3</v>
      </c>
    </row>
    <row r="240" customFormat="false" ht="17.15" hidden="false" customHeight="false" outlineLevel="0" collapsed="false">
      <c r="A240" s="0" t="s">
        <v>738</v>
      </c>
      <c r="B240" s="0" t="s">
        <v>739</v>
      </c>
      <c r="C240" s="0" t="s">
        <v>116</v>
      </c>
      <c r="D240" s="5" t="s">
        <v>726</v>
      </c>
      <c r="E240" s="0" t="s">
        <v>58</v>
      </c>
      <c r="F240" s="0" t="s">
        <v>73</v>
      </c>
      <c r="G240" s="5" t="s">
        <v>740</v>
      </c>
      <c r="H240" s="9" t="s">
        <v>741</v>
      </c>
      <c r="I240" s="9" t="s">
        <v>729</v>
      </c>
      <c r="J240" s="17" t="s">
        <v>726</v>
      </c>
      <c r="K240" s="9" t="n">
        <v>0.2</v>
      </c>
      <c r="L240" s="9" t="n">
        <v>0.2</v>
      </c>
      <c r="M240" s="9" t="n">
        <v>0.2</v>
      </c>
      <c r="S240" s="0" t="n">
        <v>3</v>
      </c>
    </row>
    <row r="241" customFormat="false" ht="17.15" hidden="false" customHeight="false" outlineLevel="0" collapsed="false">
      <c r="A241" s="0" t="s">
        <v>742</v>
      </c>
      <c r="B241" s="0" t="s">
        <v>743</v>
      </c>
      <c r="C241" s="0" t="s">
        <v>116</v>
      </c>
      <c r="D241" s="0" t="s">
        <v>82</v>
      </c>
      <c r="E241" s="0" t="s">
        <v>47</v>
      </c>
      <c r="F241" s="0" t="s">
        <v>193</v>
      </c>
      <c r="G241" s="0" t="s">
        <v>744</v>
      </c>
      <c r="H241" s="9" t="s">
        <v>741</v>
      </c>
      <c r="I241" s="9" t="s">
        <v>737</v>
      </c>
      <c r="J241" s="9" t="s">
        <v>82</v>
      </c>
      <c r="K241" s="9" t="n">
        <v>0.626</v>
      </c>
      <c r="L241" s="9" t="n">
        <v>1.037</v>
      </c>
      <c r="M241" s="9" t="n">
        <v>1.037</v>
      </c>
      <c r="S241" s="0" t="n">
        <v>3</v>
      </c>
    </row>
    <row r="242" customFormat="false" ht="17.15" hidden="false" customHeight="false" outlineLevel="0" collapsed="false">
      <c r="A242" s="0" t="s">
        <v>745</v>
      </c>
      <c r="B242" s="0" t="s">
        <v>746</v>
      </c>
      <c r="C242" s="0" t="s">
        <v>116</v>
      </c>
      <c r="D242" s="5" t="s">
        <v>726</v>
      </c>
      <c r="E242" s="0" t="s">
        <v>42</v>
      </c>
      <c r="F242" s="0" t="s">
        <v>53</v>
      </c>
      <c r="G242" s="5" t="s">
        <v>747</v>
      </c>
      <c r="H242" s="9" t="s">
        <v>748</v>
      </c>
      <c r="I242" s="9" t="s">
        <v>748</v>
      </c>
      <c r="J242" s="17" t="s">
        <v>726</v>
      </c>
      <c r="K242" s="9" t="n">
        <v>1</v>
      </c>
      <c r="L242" s="9" t="n">
        <v>1</v>
      </c>
      <c r="M242" s="9" t="n">
        <v>1</v>
      </c>
      <c r="S242" s="0" t="n">
        <v>3</v>
      </c>
    </row>
    <row r="243" customFormat="false" ht="17.15" hidden="false" customHeight="false" outlineLevel="0" collapsed="false">
      <c r="A243" s="0" t="s">
        <v>749</v>
      </c>
      <c r="B243" s="0" t="s">
        <v>750</v>
      </c>
      <c r="C243" s="0" t="s">
        <v>116</v>
      </c>
      <c r="D243" s="0" t="s">
        <v>82</v>
      </c>
      <c r="E243" s="0" t="s">
        <v>146</v>
      </c>
      <c r="F243" s="0" t="s">
        <v>193</v>
      </c>
      <c r="G243" s="0" t="s">
        <v>751</v>
      </c>
      <c r="H243" s="9" t="s">
        <v>752</v>
      </c>
      <c r="I243" s="9" t="s">
        <v>753</v>
      </c>
      <c r="J243" s="9" t="s">
        <v>82</v>
      </c>
      <c r="L243" s="9" t="n">
        <v>0.824</v>
      </c>
      <c r="M243" s="9" t="n">
        <v>0.991</v>
      </c>
      <c r="S243" s="0" t="n">
        <v>3</v>
      </c>
    </row>
    <row r="244" customFormat="false" ht="17.15" hidden="false" customHeight="false" outlineLevel="0" collapsed="false">
      <c r="A244" s="0" t="s">
        <v>754</v>
      </c>
      <c r="B244" s="0" t="s">
        <v>755</v>
      </c>
      <c r="C244" s="0" t="s">
        <v>116</v>
      </c>
      <c r="D244" s="0" t="s">
        <v>82</v>
      </c>
      <c r="E244" s="0" t="s">
        <v>42</v>
      </c>
      <c r="F244" s="0" t="s">
        <v>83</v>
      </c>
      <c r="G244" s="0" t="s">
        <v>756</v>
      </c>
      <c r="H244" s="9" t="s">
        <v>757</v>
      </c>
      <c r="I244" s="9" t="s">
        <v>733</v>
      </c>
      <c r="J244" s="9" t="s">
        <v>82</v>
      </c>
      <c r="L244" s="9" t="n">
        <v>0.19</v>
      </c>
      <c r="M244" s="9" t="n">
        <v>0.19</v>
      </c>
      <c r="S244" s="0" t="n">
        <v>3</v>
      </c>
    </row>
    <row r="245" customFormat="false" ht="17.15" hidden="false" customHeight="false" outlineLevel="0" collapsed="false">
      <c r="A245" s="0" t="s">
        <v>758</v>
      </c>
      <c r="B245" s="0" t="s">
        <v>759</v>
      </c>
      <c r="C245" s="0" t="s">
        <v>116</v>
      </c>
      <c r="D245" s="5" t="s">
        <v>726</v>
      </c>
      <c r="E245" s="0" t="s">
        <v>42</v>
      </c>
      <c r="F245" s="0" t="s">
        <v>83</v>
      </c>
      <c r="G245" s="0" t="s">
        <v>760</v>
      </c>
      <c r="H245" s="9" t="s">
        <v>753</v>
      </c>
      <c r="I245" s="9" t="s">
        <v>753</v>
      </c>
      <c r="J245" s="17" t="s">
        <v>726</v>
      </c>
      <c r="K245" s="9" t="n">
        <v>1</v>
      </c>
      <c r="L245" s="9" t="n">
        <v>1</v>
      </c>
      <c r="M245" s="9" t="n">
        <v>1</v>
      </c>
      <c r="S245" s="0" t="n">
        <v>3</v>
      </c>
    </row>
    <row r="246" customFormat="false" ht="17.15" hidden="false" customHeight="false" outlineLevel="0" collapsed="false">
      <c r="A246" s="0" t="s">
        <v>761</v>
      </c>
      <c r="B246" s="0" t="s">
        <v>762</v>
      </c>
      <c r="C246" s="0" t="s">
        <v>116</v>
      </c>
      <c r="D246" s="5" t="s">
        <v>726</v>
      </c>
      <c r="E246" s="0" t="s">
        <v>42</v>
      </c>
      <c r="F246" s="0" t="s">
        <v>53</v>
      </c>
      <c r="G246" s="5" t="s">
        <v>763</v>
      </c>
      <c r="H246" s="9" t="s">
        <v>737</v>
      </c>
      <c r="I246" s="9" t="s">
        <v>737</v>
      </c>
      <c r="J246" s="17" t="s">
        <v>726</v>
      </c>
      <c r="K246" s="9" t="n">
        <v>1</v>
      </c>
      <c r="L246" s="9" t="n">
        <v>1</v>
      </c>
      <c r="M246" s="9" t="n">
        <v>1</v>
      </c>
      <c r="S246" s="0" t="n">
        <v>3</v>
      </c>
    </row>
    <row r="247" customFormat="false" ht="17.15" hidden="false" customHeight="false" outlineLevel="0" collapsed="false">
      <c r="A247" s="0" t="s">
        <v>764</v>
      </c>
      <c r="B247" s="5" t="s">
        <v>765</v>
      </c>
      <c r="C247" s="0" t="s">
        <v>116</v>
      </c>
      <c r="D247" s="0" t="s">
        <v>82</v>
      </c>
      <c r="E247" s="0" t="s">
        <v>146</v>
      </c>
      <c r="F247" s="0" t="s">
        <v>193</v>
      </c>
      <c r="G247" s="0" t="s">
        <v>766</v>
      </c>
      <c r="H247" s="9" t="s">
        <v>767</v>
      </c>
      <c r="I247" s="9" t="s">
        <v>728</v>
      </c>
      <c r="J247" s="9" t="s">
        <v>82</v>
      </c>
      <c r="L247" s="9" t="n">
        <v>0.2</v>
      </c>
      <c r="M247" s="9" t="n">
        <v>0.2</v>
      </c>
      <c r="S247" s="0" t="n">
        <v>3</v>
      </c>
    </row>
    <row r="248" customFormat="false" ht="17.15" hidden="false" customHeight="false" outlineLevel="0" collapsed="false">
      <c r="A248" s="0" t="s">
        <v>768</v>
      </c>
      <c r="B248" s="5" t="s">
        <v>769</v>
      </c>
      <c r="C248" s="0" t="s">
        <v>116</v>
      </c>
      <c r="D248" s="0" t="s">
        <v>82</v>
      </c>
      <c r="E248" s="0" t="s">
        <v>146</v>
      </c>
      <c r="F248" s="0" t="s">
        <v>193</v>
      </c>
      <c r="G248" s="0" t="s">
        <v>770</v>
      </c>
      <c r="H248" s="9" t="s">
        <v>767</v>
      </c>
      <c r="I248" s="9" t="s">
        <v>737</v>
      </c>
      <c r="J248" s="9" t="s">
        <v>82</v>
      </c>
      <c r="M248" s="9" t="n">
        <v>0.2</v>
      </c>
      <c r="S248" s="0" t="n">
        <v>3</v>
      </c>
    </row>
    <row r="249" customFormat="false" ht="17.15" hidden="false" customHeight="false" outlineLevel="0" collapsed="false">
      <c r="A249" s="0" t="s">
        <v>771</v>
      </c>
      <c r="B249" s="5" t="s">
        <v>772</v>
      </c>
      <c r="C249" s="0" t="s">
        <v>116</v>
      </c>
      <c r="D249" s="5" t="s">
        <v>726</v>
      </c>
      <c r="E249" s="0" t="s">
        <v>42</v>
      </c>
      <c r="F249" s="0" t="s">
        <v>53</v>
      </c>
      <c r="G249" s="5" t="s">
        <v>773</v>
      </c>
      <c r="H249" s="9" t="s">
        <v>774</v>
      </c>
      <c r="I249" s="9" t="s">
        <v>729</v>
      </c>
      <c r="J249" s="17" t="s">
        <v>726</v>
      </c>
      <c r="K249" s="9" t="n">
        <v>1</v>
      </c>
      <c r="L249" s="9" t="n">
        <v>1</v>
      </c>
      <c r="M249" s="9" t="n">
        <v>1</v>
      </c>
      <c r="S249" s="0" t="n">
        <v>3</v>
      </c>
    </row>
    <row r="251" customFormat="false" ht="17.15" hidden="false" customHeight="false" outlineLevel="0" collapsed="false">
      <c r="A251" s="8" t="s">
        <v>775</v>
      </c>
    </row>
    <row r="252" customFormat="false" ht="17.15" hidden="false" customHeight="false" outlineLevel="0" collapsed="false">
      <c r="A252" s="6" t="s">
        <v>19</v>
      </c>
      <c r="B252" s="6" t="s">
        <v>776</v>
      </c>
      <c r="C252" s="6" t="s">
        <v>21</v>
      </c>
      <c r="D252" s="6" t="s">
        <v>22</v>
      </c>
      <c r="E252" s="6" t="s">
        <v>23</v>
      </c>
      <c r="F252" s="6" t="s">
        <v>24</v>
      </c>
      <c r="G252" s="6" t="s">
        <v>25</v>
      </c>
      <c r="H252" s="6" t="s">
        <v>721</v>
      </c>
      <c r="I252" s="6" t="s">
        <v>722</v>
      </c>
      <c r="J252" s="7" t="s">
        <v>117</v>
      </c>
      <c r="K252" s="6" t="s">
        <v>777</v>
      </c>
      <c r="L252" s="6" t="s">
        <v>778</v>
      </c>
      <c r="M252" s="6" t="s">
        <v>779</v>
      </c>
      <c r="N252" s="6" t="s">
        <v>780</v>
      </c>
      <c r="O252" s="6" t="s">
        <v>781</v>
      </c>
    </row>
    <row r="253" customFormat="false" ht="17.15" hidden="false" customHeight="false" outlineLevel="0" collapsed="false">
      <c r="A253" s="0" t="s">
        <v>782</v>
      </c>
      <c r="B253" s="0" t="s">
        <v>783</v>
      </c>
      <c r="C253" s="0" t="s">
        <v>116</v>
      </c>
      <c r="D253" s="0" t="s">
        <v>117</v>
      </c>
      <c r="E253" s="0" t="s">
        <v>47</v>
      </c>
      <c r="F253" s="0" t="s">
        <v>193</v>
      </c>
      <c r="G253" s="0" t="s">
        <v>784</v>
      </c>
      <c r="H253" s="9" t="s">
        <v>728</v>
      </c>
      <c r="J253" s="9" t="n">
        <v>321</v>
      </c>
      <c r="K253" s="9" t="n">
        <v>2025</v>
      </c>
      <c r="L253" s="9" t="n">
        <v>10</v>
      </c>
      <c r="N253" s="9" t="n">
        <v>1</v>
      </c>
      <c r="O253" s="9" t="n">
        <v>0</v>
      </c>
      <c r="S253" s="0" t="n">
        <v>4</v>
      </c>
    </row>
    <row r="254" customFormat="false" ht="17.15" hidden="false" customHeight="false" outlineLevel="0" collapsed="false">
      <c r="A254" s="0" t="s">
        <v>785</v>
      </c>
      <c r="B254" s="0" t="s">
        <v>786</v>
      </c>
      <c r="C254" s="0" t="s">
        <v>116</v>
      </c>
      <c r="D254" s="0" t="s">
        <v>117</v>
      </c>
      <c r="E254" s="0" t="s">
        <v>47</v>
      </c>
      <c r="F254" s="0" t="s">
        <v>193</v>
      </c>
      <c r="G254" s="0" t="s">
        <v>787</v>
      </c>
      <c r="H254" s="9" t="s">
        <v>728</v>
      </c>
      <c r="J254" s="9" t="n">
        <v>369</v>
      </c>
      <c r="K254" s="9" t="n">
        <v>2026</v>
      </c>
      <c r="L254" s="9" t="n">
        <v>4</v>
      </c>
      <c r="N254" s="9" t="n">
        <v>1</v>
      </c>
      <c r="O254" s="9" t="n">
        <v>0</v>
      </c>
      <c r="S254" s="0" t="n">
        <v>4</v>
      </c>
    </row>
    <row r="255" customFormat="false" ht="17.15" hidden="false" customHeight="false" outlineLevel="0" collapsed="false">
      <c r="A255" s="0" t="s">
        <v>788</v>
      </c>
      <c r="B255" s="0" t="s">
        <v>789</v>
      </c>
      <c r="C255" s="0" t="s">
        <v>116</v>
      </c>
      <c r="D255" s="0" t="s">
        <v>117</v>
      </c>
      <c r="E255" s="0" t="s">
        <v>47</v>
      </c>
      <c r="F255" s="0" t="s">
        <v>193</v>
      </c>
      <c r="G255" s="0" t="s">
        <v>790</v>
      </c>
      <c r="H255" s="9" t="s">
        <v>728</v>
      </c>
      <c r="J255" s="9" t="n">
        <v>1526</v>
      </c>
      <c r="K255" s="9" t="n">
        <v>2028</v>
      </c>
      <c r="L255" s="9" t="n">
        <v>5</v>
      </c>
      <c r="N255" s="9" t="n">
        <v>1</v>
      </c>
      <c r="O255" s="9" t="n">
        <v>0</v>
      </c>
      <c r="S255" s="0" t="n">
        <v>4</v>
      </c>
    </row>
    <row r="256" customFormat="false" ht="17.15" hidden="false" customHeight="false" outlineLevel="0" collapsed="false">
      <c r="A256" s="0" t="s">
        <v>791</v>
      </c>
      <c r="B256" s="0" t="s">
        <v>792</v>
      </c>
      <c r="C256" s="0" t="s">
        <v>116</v>
      </c>
      <c r="D256" s="0" t="s">
        <v>117</v>
      </c>
      <c r="E256" s="0" t="s">
        <v>146</v>
      </c>
      <c r="F256" s="0" t="s">
        <v>193</v>
      </c>
      <c r="G256" s="0" t="s">
        <v>793</v>
      </c>
      <c r="H256" s="9" t="s">
        <v>728</v>
      </c>
      <c r="I256" s="9" t="s">
        <v>729</v>
      </c>
      <c r="J256" s="9" t="n">
        <v>336</v>
      </c>
      <c r="K256" s="9" t="n">
        <v>2027</v>
      </c>
      <c r="L256" s="9" t="n">
        <v>6</v>
      </c>
      <c r="N256" s="9" t="n">
        <v>1</v>
      </c>
      <c r="O256" s="9" t="n">
        <v>0</v>
      </c>
      <c r="S256" s="0" t="n">
        <v>4</v>
      </c>
    </row>
    <row r="257" customFormat="false" ht="17.15" hidden="false" customHeight="false" outlineLevel="0" collapsed="false">
      <c r="A257" s="0" t="s">
        <v>794</v>
      </c>
      <c r="B257" s="0" t="s">
        <v>795</v>
      </c>
      <c r="C257" s="0" t="s">
        <v>116</v>
      </c>
      <c r="D257" s="0" t="s">
        <v>117</v>
      </c>
      <c r="E257" s="0" t="s">
        <v>47</v>
      </c>
      <c r="F257" s="0" t="s">
        <v>193</v>
      </c>
      <c r="G257" s="0" t="s">
        <v>796</v>
      </c>
      <c r="H257" s="9" t="s">
        <v>741</v>
      </c>
      <c r="I257" s="9" t="s">
        <v>737</v>
      </c>
      <c r="J257" s="9" t="n">
        <v>127</v>
      </c>
      <c r="K257" s="9" t="n">
        <v>2026</v>
      </c>
      <c r="L257" s="9" t="n">
        <v>10</v>
      </c>
      <c r="N257" s="9" t="n">
        <v>1</v>
      </c>
      <c r="O257" s="9" t="n">
        <v>0</v>
      </c>
      <c r="S257" s="0" t="n">
        <v>4</v>
      </c>
    </row>
    <row r="258" customFormat="false" ht="17.15" hidden="false" customHeight="false" outlineLevel="0" collapsed="false">
      <c r="A258" s="0" t="s">
        <v>797</v>
      </c>
      <c r="B258" s="0" t="s">
        <v>798</v>
      </c>
      <c r="C258" s="0" t="s">
        <v>116</v>
      </c>
      <c r="D258" s="0" t="s">
        <v>117</v>
      </c>
      <c r="E258" s="0" t="s">
        <v>47</v>
      </c>
      <c r="F258" s="0" t="s">
        <v>193</v>
      </c>
      <c r="G258" s="0" t="s">
        <v>799</v>
      </c>
      <c r="H258" s="9" t="s">
        <v>741</v>
      </c>
      <c r="I258" s="9" t="s">
        <v>737</v>
      </c>
      <c r="J258" s="9" t="n">
        <v>888</v>
      </c>
      <c r="K258" s="9" t="n">
        <v>2028</v>
      </c>
      <c r="L258" s="9" t="n">
        <v>6</v>
      </c>
      <c r="N258" s="9" t="n">
        <v>1</v>
      </c>
      <c r="O258" s="9" t="n">
        <v>0</v>
      </c>
      <c r="S258" s="0" t="n">
        <v>4</v>
      </c>
    </row>
    <row r="259" customFormat="false" ht="17.15" hidden="false" customHeight="false" outlineLevel="0" collapsed="false">
      <c r="A259" s="0" t="s">
        <v>800</v>
      </c>
      <c r="B259" s="0" t="s">
        <v>801</v>
      </c>
      <c r="C259" s="0" t="s">
        <v>116</v>
      </c>
      <c r="D259" s="0" t="s">
        <v>117</v>
      </c>
      <c r="E259" s="0" t="s">
        <v>47</v>
      </c>
      <c r="F259" s="0" t="s">
        <v>193</v>
      </c>
      <c r="G259" s="0" t="s">
        <v>802</v>
      </c>
      <c r="H259" s="9" t="s">
        <v>748</v>
      </c>
      <c r="I259" s="9" t="s">
        <v>748</v>
      </c>
      <c r="J259" s="9" t="n">
        <v>471</v>
      </c>
      <c r="K259" s="9" t="n">
        <v>2026</v>
      </c>
      <c r="L259" s="9" t="n">
        <v>8</v>
      </c>
      <c r="N259" s="9" t="n">
        <v>1</v>
      </c>
      <c r="O259" s="9" t="n">
        <v>0</v>
      </c>
      <c r="S259" s="0" t="n">
        <v>4</v>
      </c>
    </row>
    <row r="260" customFormat="false" ht="17.15" hidden="false" customHeight="false" outlineLevel="0" collapsed="false">
      <c r="A260" s="0" t="s">
        <v>803</v>
      </c>
      <c r="B260" s="0" t="s">
        <v>804</v>
      </c>
      <c r="C260" s="0" t="s">
        <v>116</v>
      </c>
      <c r="D260" s="0" t="s">
        <v>117</v>
      </c>
      <c r="E260" s="0" t="s">
        <v>47</v>
      </c>
      <c r="F260" s="0" t="s">
        <v>193</v>
      </c>
      <c r="G260" s="0" t="s">
        <v>805</v>
      </c>
      <c r="H260" s="9" t="s">
        <v>748</v>
      </c>
      <c r="I260" s="9" t="s">
        <v>748</v>
      </c>
      <c r="J260" s="9" t="n">
        <v>205</v>
      </c>
      <c r="K260" s="9" t="n">
        <v>2026</v>
      </c>
      <c r="L260" s="9" t="n">
        <v>11</v>
      </c>
      <c r="N260" s="9" t="n">
        <v>1</v>
      </c>
      <c r="O260" s="9" t="n">
        <v>0</v>
      </c>
      <c r="S260" s="0" t="n">
        <v>4</v>
      </c>
    </row>
    <row r="261" customFormat="false" ht="17.15" hidden="false" customHeight="false" outlineLevel="0" collapsed="false">
      <c r="A261" s="0" t="s">
        <v>806</v>
      </c>
      <c r="B261" s="0" t="s">
        <v>807</v>
      </c>
      <c r="C261" s="0" t="s">
        <v>116</v>
      </c>
      <c r="D261" s="0" t="s">
        <v>117</v>
      </c>
      <c r="E261" s="0" t="s">
        <v>47</v>
      </c>
      <c r="F261" s="0" t="s">
        <v>193</v>
      </c>
      <c r="G261" s="0" t="s">
        <v>808</v>
      </c>
      <c r="H261" s="9" t="s">
        <v>748</v>
      </c>
      <c r="I261" s="9" t="s">
        <v>748</v>
      </c>
      <c r="J261" s="9" t="n">
        <v>192</v>
      </c>
      <c r="K261" s="9" t="n">
        <v>2027</v>
      </c>
      <c r="L261" s="9" t="n">
        <v>7</v>
      </c>
      <c r="N261" s="9" t="n">
        <v>1</v>
      </c>
      <c r="O261" s="9" t="n">
        <v>1</v>
      </c>
      <c r="S261" s="0" t="n">
        <v>4</v>
      </c>
    </row>
    <row r="262" customFormat="false" ht="17.15" hidden="false" customHeight="false" outlineLevel="0" collapsed="false">
      <c r="A262" s="0" t="s">
        <v>809</v>
      </c>
      <c r="B262" s="0" t="s">
        <v>810</v>
      </c>
      <c r="C262" s="0" t="s">
        <v>116</v>
      </c>
      <c r="D262" s="0" t="s">
        <v>117</v>
      </c>
      <c r="E262" s="0" t="s">
        <v>47</v>
      </c>
      <c r="F262" s="0" t="s">
        <v>193</v>
      </c>
      <c r="G262" s="0" t="s">
        <v>811</v>
      </c>
      <c r="H262" s="9" t="s">
        <v>748</v>
      </c>
      <c r="I262" s="9" t="s">
        <v>748</v>
      </c>
      <c r="J262" s="9" t="n">
        <v>154</v>
      </c>
      <c r="K262" s="9" t="n">
        <v>2028</v>
      </c>
      <c r="L262" s="9" t="n">
        <v>7</v>
      </c>
      <c r="N262" s="9" t="n">
        <v>1</v>
      </c>
      <c r="O262" s="9" t="n">
        <v>1</v>
      </c>
      <c r="S262" s="0" t="n">
        <v>4</v>
      </c>
    </row>
    <row r="263" customFormat="false" ht="17.15" hidden="false" customHeight="false" outlineLevel="0" collapsed="false">
      <c r="A263" s="0" t="s">
        <v>812</v>
      </c>
      <c r="B263" s="0" t="s">
        <v>813</v>
      </c>
      <c r="C263" s="0" t="s">
        <v>116</v>
      </c>
      <c r="D263" s="0" t="s">
        <v>117</v>
      </c>
      <c r="E263" s="0" t="s">
        <v>47</v>
      </c>
      <c r="F263" s="0" t="s">
        <v>193</v>
      </c>
      <c r="G263" s="0" t="s">
        <v>814</v>
      </c>
      <c r="H263" s="9" t="s">
        <v>748</v>
      </c>
      <c r="I263" s="9" t="s">
        <v>748</v>
      </c>
      <c r="J263" s="9" t="n">
        <v>1632</v>
      </c>
      <c r="K263" s="9" t="n">
        <v>2028</v>
      </c>
      <c r="L263" s="9" t="n">
        <v>1</v>
      </c>
      <c r="N263" s="9" t="n">
        <v>1</v>
      </c>
      <c r="O263" s="9" t="n">
        <v>1</v>
      </c>
      <c r="S263" s="0" t="n">
        <v>4</v>
      </c>
    </row>
    <row r="264" customFormat="false" ht="17.15" hidden="false" customHeight="false" outlineLevel="0" collapsed="false">
      <c r="A264" s="0" t="s">
        <v>815</v>
      </c>
      <c r="B264" s="0" t="s">
        <v>816</v>
      </c>
      <c r="C264" s="5" t="s">
        <v>81</v>
      </c>
      <c r="D264" s="0" t="s">
        <v>117</v>
      </c>
      <c r="E264" s="0" t="s">
        <v>146</v>
      </c>
      <c r="F264" s="0" t="s">
        <v>193</v>
      </c>
      <c r="G264" s="0" t="s">
        <v>817</v>
      </c>
      <c r="H264" s="9" t="s">
        <v>748</v>
      </c>
      <c r="I264" s="9" t="s">
        <v>748</v>
      </c>
      <c r="J264" s="9" t="n">
        <v>368</v>
      </c>
      <c r="K264" s="9" t="n">
        <v>2029</v>
      </c>
      <c r="L264" s="9" t="n">
        <v>12</v>
      </c>
      <c r="N264" s="9" t="n">
        <v>1</v>
      </c>
      <c r="O264" s="9" t="n">
        <v>0</v>
      </c>
      <c r="S264" s="0" t="n">
        <v>4</v>
      </c>
    </row>
    <row r="265" customFormat="false" ht="17.15" hidden="false" customHeight="false" outlineLevel="0" collapsed="false">
      <c r="A265" s="0" t="s">
        <v>818</v>
      </c>
      <c r="B265" s="0" t="s">
        <v>819</v>
      </c>
      <c r="C265" s="5" t="s">
        <v>81</v>
      </c>
      <c r="D265" s="0" t="s">
        <v>117</v>
      </c>
      <c r="E265" s="0" t="s">
        <v>146</v>
      </c>
      <c r="F265" s="0" t="s">
        <v>193</v>
      </c>
      <c r="G265" s="0" t="s">
        <v>820</v>
      </c>
      <c r="H265" s="9" t="s">
        <v>748</v>
      </c>
      <c r="I265" s="9" t="s">
        <v>748</v>
      </c>
      <c r="J265" s="9" t="n">
        <v>1000</v>
      </c>
      <c r="K265" s="9" t="n">
        <v>2028</v>
      </c>
      <c r="L265" s="9" t="n">
        <v>12</v>
      </c>
      <c r="N265" s="9" t="n">
        <v>1</v>
      </c>
      <c r="O265" s="9" t="n">
        <v>0</v>
      </c>
      <c r="S265" s="0" t="n">
        <v>4</v>
      </c>
    </row>
    <row r="266" customFormat="false" ht="17.15" hidden="false" customHeight="false" outlineLevel="0" collapsed="false">
      <c r="A266" s="0" t="s">
        <v>821</v>
      </c>
      <c r="B266" s="0" t="s">
        <v>822</v>
      </c>
      <c r="C266" s="5" t="s">
        <v>81</v>
      </c>
      <c r="D266" s="0" t="s">
        <v>117</v>
      </c>
      <c r="E266" s="0" t="s">
        <v>146</v>
      </c>
      <c r="F266" s="0" t="s">
        <v>193</v>
      </c>
      <c r="G266" s="0" t="s">
        <v>823</v>
      </c>
      <c r="H266" s="9" t="s">
        <v>752</v>
      </c>
      <c r="I266" s="9" t="s">
        <v>753</v>
      </c>
      <c r="J266" s="9" t="n">
        <v>206</v>
      </c>
      <c r="K266" s="9" t="n">
        <v>2026</v>
      </c>
      <c r="L266" s="9" t="n">
        <v>12</v>
      </c>
      <c r="N266" s="9" t="n">
        <v>1</v>
      </c>
      <c r="O266" s="9" t="n">
        <v>0</v>
      </c>
      <c r="S266" s="0" t="n">
        <v>4</v>
      </c>
    </row>
    <row r="267" customFormat="false" ht="17.15" hidden="false" customHeight="false" outlineLevel="0" collapsed="false">
      <c r="A267" s="0" t="s">
        <v>824</v>
      </c>
      <c r="B267" s="0" t="s">
        <v>825</v>
      </c>
      <c r="C267" s="5" t="s">
        <v>172</v>
      </c>
      <c r="D267" s="0" t="s">
        <v>117</v>
      </c>
      <c r="E267" s="0" t="s">
        <v>42</v>
      </c>
      <c r="F267" s="0" t="s">
        <v>193</v>
      </c>
      <c r="G267" s="0" t="s">
        <v>826</v>
      </c>
      <c r="H267" s="9" t="s">
        <v>752</v>
      </c>
      <c r="I267" s="9" t="s">
        <v>753</v>
      </c>
      <c r="J267" s="9" t="n">
        <v>600</v>
      </c>
      <c r="K267" s="9" t="n">
        <v>2027</v>
      </c>
      <c r="L267" s="9" t="n">
        <v>11</v>
      </c>
      <c r="N267" s="9" t="n">
        <v>1</v>
      </c>
      <c r="O267" s="9" t="n">
        <v>0</v>
      </c>
      <c r="S267" s="0" t="n">
        <v>4</v>
      </c>
    </row>
    <row r="268" customFormat="false" ht="17.15" hidden="false" customHeight="false" outlineLevel="0" collapsed="false">
      <c r="A268" s="0" t="s">
        <v>827</v>
      </c>
      <c r="B268" s="0" t="s">
        <v>828</v>
      </c>
      <c r="C268" s="5" t="s">
        <v>172</v>
      </c>
      <c r="D268" s="0" t="s">
        <v>117</v>
      </c>
      <c r="E268" s="0" t="s">
        <v>47</v>
      </c>
      <c r="F268" s="0" t="s">
        <v>193</v>
      </c>
      <c r="G268" s="0" t="s">
        <v>829</v>
      </c>
      <c r="H268" s="9" t="s">
        <v>752</v>
      </c>
      <c r="I268" s="9" t="s">
        <v>753</v>
      </c>
      <c r="J268" s="9" t="n">
        <v>1400</v>
      </c>
      <c r="K268" s="9" t="n">
        <v>2028</v>
      </c>
      <c r="L268" s="9" t="n">
        <v>11</v>
      </c>
      <c r="N268" s="9" t="n">
        <v>1</v>
      </c>
      <c r="O268" s="9" t="n">
        <v>0</v>
      </c>
      <c r="S268" s="0" t="n">
        <v>4</v>
      </c>
    </row>
    <row r="269" customFormat="false" ht="17.15" hidden="false" customHeight="false" outlineLevel="0" collapsed="false">
      <c r="A269" s="0" t="s">
        <v>830</v>
      </c>
      <c r="B269" s="0" t="s">
        <v>831</v>
      </c>
      <c r="C269" s="5" t="s">
        <v>172</v>
      </c>
      <c r="D269" s="0" t="s">
        <v>117</v>
      </c>
      <c r="E269" s="0" t="s">
        <v>47</v>
      </c>
      <c r="F269" s="0" t="s">
        <v>193</v>
      </c>
      <c r="G269" s="0" t="s">
        <v>832</v>
      </c>
      <c r="H269" s="9" t="s">
        <v>752</v>
      </c>
      <c r="I269" s="9" t="s">
        <v>753</v>
      </c>
      <c r="J269" s="9" t="n">
        <v>2200</v>
      </c>
      <c r="K269" s="9" t="n">
        <v>2028</v>
      </c>
      <c r="L269" s="9" t="n">
        <v>12</v>
      </c>
      <c r="N269" s="9" t="n">
        <v>1</v>
      </c>
      <c r="O269" s="9" t="n">
        <v>0</v>
      </c>
      <c r="S269" s="0" t="n">
        <v>4</v>
      </c>
    </row>
    <row r="270" customFormat="false" ht="17.15" hidden="false" customHeight="false" outlineLevel="0" collapsed="false">
      <c r="A270" s="0" t="s">
        <v>833</v>
      </c>
      <c r="B270" s="0" t="s">
        <v>834</v>
      </c>
      <c r="C270" s="5" t="s">
        <v>172</v>
      </c>
      <c r="D270" s="0" t="s">
        <v>117</v>
      </c>
      <c r="E270" s="0" t="s">
        <v>47</v>
      </c>
      <c r="F270" s="0" t="s">
        <v>193</v>
      </c>
      <c r="G270" s="0" t="s">
        <v>835</v>
      </c>
      <c r="H270" s="9" t="s">
        <v>752</v>
      </c>
      <c r="I270" s="9" t="s">
        <v>753</v>
      </c>
      <c r="J270" s="9" t="n">
        <v>1300</v>
      </c>
      <c r="K270" s="9" t="n">
        <v>2028</v>
      </c>
      <c r="L270" s="9" t="n">
        <v>12</v>
      </c>
      <c r="N270" s="9" t="n">
        <v>1</v>
      </c>
      <c r="O270" s="9" t="n">
        <v>0</v>
      </c>
      <c r="S270" s="0" t="n">
        <v>4</v>
      </c>
    </row>
    <row r="271" customFormat="false" ht="17.15" hidden="false" customHeight="false" outlineLevel="0" collapsed="false">
      <c r="A271" s="0" t="s">
        <v>836</v>
      </c>
      <c r="B271" s="0" t="s">
        <v>837</v>
      </c>
      <c r="C271" s="5" t="s">
        <v>172</v>
      </c>
      <c r="D271" s="0" t="s">
        <v>117</v>
      </c>
      <c r="E271" s="0" t="s">
        <v>47</v>
      </c>
      <c r="F271" s="0" t="s">
        <v>193</v>
      </c>
      <c r="G271" s="0" t="s">
        <v>838</v>
      </c>
      <c r="H271" s="9" t="s">
        <v>752</v>
      </c>
      <c r="I271" s="9" t="s">
        <v>753</v>
      </c>
      <c r="J271" s="9" t="n">
        <v>922</v>
      </c>
      <c r="K271" s="9" t="n">
        <v>2028</v>
      </c>
      <c r="L271" s="9" t="n">
        <v>12</v>
      </c>
      <c r="N271" s="9" t="n">
        <v>1</v>
      </c>
      <c r="O271" s="9" t="n">
        <v>0</v>
      </c>
      <c r="S271" s="0" t="n">
        <v>4</v>
      </c>
    </row>
    <row r="272" customFormat="false" ht="17.15" hidden="false" customHeight="false" outlineLevel="0" collapsed="false">
      <c r="A272" s="0" t="s">
        <v>839</v>
      </c>
      <c r="B272" s="0" t="s">
        <v>840</v>
      </c>
      <c r="C272" s="0" t="s">
        <v>116</v>
      </c>
      <c r="D272" s="0" t="s">
        <v>117</v>
      </c>
      <c r="E272" s="0" t="s">
        <v>146</v>
      </c>
      <c r="F272" s="0" t="s">
        <v>193</v>
      </c>
      <c r="G272" s="0" t="s">
        <v>841</v>
      </c>
      <c r="H272" s="9" t="s">
        <v>842</v>
      </c>
      <c r="J272" s="9" t="n">
        <v>260</v>
      </c>
      <c r="K272" s="9" t="n">
        <v>2027</v>
      </c>
      <c r="L272" s="9" t="n">
        <v>6</v>
      </c>
      <c r="N272" s="9" t="n">
        <v>1</v>
      </c>
      <c r="O272" s="9" t="n">
        <v>0</v>
      </c>
      <c r="S272" s="0" t="n">
        <v>4</v>
      </c>
    </row>
    <row r="273" customFormat="false" ht="17.15" hidden="false" customHeight="false" outlineLevel="0" collapsed="false">
      <c r="A273" s="0" t="s">
        <v>843</v>
      </c>
      <c r="B273" s="0" t="s">
        <v>844</v>
      </c>
      <c r="C273" s="0" t="s">
        <v>116</v>
      </c>
      <c r="D273" s="0" t="s">
        <v>117</v>
      </c>
      <c r="E273" s="0" t="s">
        <v>146</v>
      </c>
      <c r="F273" s="0" t="s">
        <v>193</v>
      </c>
      <c r="G273" s="0" t="s">
        <v>845</v>
      </c>
      <c r="H273" s="9" t="s">
        <v>767</v>
      </c>
      <c r="I273" s="9" t="s">
        <v>728</v>
      </c>
      <c r="J273" s="9" t="n">
        <v>100</v>
      </c>
      <c r="K273" s="9" t="n">
        <v>2026</v>
      </c>
      <c r="L273" s="9" t="n">
        <v>12</v>
      </c>
      <c r="N273" s="9" t="n">
        <v>1</v>
      </c>
      <c r="O273" s="9" t="n">
        <v>0</v>
      </c>
      <c r="S273" s="0" t="n">
        <v>4</v>
      </c>
    </row>
    <row r="274" customFormat="false" ht="17.15" hidden="false" customHeight="false" outlineLevel="0" collapsed="false">
      <c r="A274" s="0" t="s">
        <v>846</v>
      </c>
      <c r="B274" s="0" t="s">
        <v>847</v>
      </c>
      <c r="C274" s="0" t="s">
        <v>116</v>
      </c>
      <c r="D274" s="0" t="s">
        <v>117</v>
      </c>
      <c r="E274" s="0" t="s">
        <v>146</v>
      </c>
      <c r="F274" s="0" t="s">
        <v>193</v>
      </c>
      <c r="G274" s="0" t="s">
        <v>848</v>
      </c>
      <c r="H274" s="9" t="s">
        <v>767</v>
      </c>
      <c r="J274" s="9" t="n">
        <v>500</v>
      </c>
      <c r="K274" s="9" t="n">
        <v>2027</v>
      </c>
      <c r="L274" s="9" t="n">
        <v>12</v>
      </c>
      <c r="N274" s="9" t="n">
        <v>1</v>
      </c>
      <c r="O274" s="9" t="n">
        <v>0</v>
      </c>
      <c r="S274" s="0" t="n">
        <v>4</v>
      </c>
    </row>
    <row r="275" customFormat="false" ht="17.15" hidden="false" customHeight="false" outlineLevel="0" collapsed="false">
      <c r="A275" s="0" t="s">
        <v>849</v>
      </c>
      <c r="B275" s="0" t="s">
        <v>850</v>
      </c>
      <c r="C275" s="0" t="s">
        <v>116</v>
      </c>
      <c r="D275" s="0" t="s">
        <v>117</v>
      </c>
      <c r="E275" s="0" t="s">
        <v>146</v>
      </c>
      <c r="F275" s="0" t="s">
        <v>193</v>
      </c>
      <c r="G275" s="0" t="s">
        <v>851</v>
      </c>
      <c r="H275" s="9" t="s">
        <v>767</v>
      </c>
      <c r="I275" s="9" t="s">
        <v>737</v>
      </c>
      <c r="J275" s="9" t="n">
        <v>200</v>
      </c>
      <c r="K275" s="9" t="n">
        <v>2027</v>
      </c>
      <c r="L275" s="9" t="n">
        <v>9</v>
      </c>
      <c r="N275" s="9" t="n">
        <v>1</v>
      </c>
      <c r="O275" s="9" t="n">
        <v>0</v>
      </c>
      <c r="S275" s="0" t="n">
        <v>4</v>
      </c>
    </row>
    <row r="276" customFormat="false" ht="17.15" hidden="false" customHeight="false" outlineLevel="0" collapsed="false">
      <c r="A276" s="0" t="s">
        <v>852</v>
      </c>
      <c r="B276" s="0" t="s">
        <v>853</v>
      </c>
      <c r="C276" s="0" t="s">
        <v>116</v>
      </c>
      <c r="D276" s="0" t="s">
        <v>117</v>
      </c>
      <c r="E276" s="0" t="s">
        <v>146</v>
      </c>
      <c r="F276" s="0" t="s">
        <v>193</v>
      </c>
      <c r="G276" s="5" t="s">
        <v>112</v>
      </c>
      <c r="H276" s="9" t="s">
        <v>767</v>
      </c>
      <c r="I276" s="9" t="s">
        <v>737</v>
      </c>
      <c r="J276" s="9" t="n">
        <v>201</v>
      </c>
      <c r="K276" s="9" t="n">
        <v>2028</v>
      </c>
      <c r="L276" s="9" t="n">
        <v>2</v>
      </c>
      <c r="N276" s="9" t="n">
        <v>1</v>
      </c>
      <c r="O276" s="9" t="n">
        <v>0</v>
      </c>
      <c r="S276" s="0" t="n">
        <v>4</v>
      </c>
    </row>
    <row r="277" customFormat="false" ht="17.15" hidden="false" customHeight="false" outlineLevel="0" collapsed="false">
      <c r="A277" s="0" t="s">
        <v>854</v>
      </c>
      <c r="B277" s="0" t="s">
        <v>855</v>
      </c>
      <c r="C277" s="0" t="s">
        <v>116</v>
      </c>
      <c r="D277" s="0" t="s">
        <v>117</v>
      </c>
      <c r="E277" s="0" t="s">
        <v>146</v>
      </c>
      <c r="F277" s="0" t="s">
        <v>83</v>
      </c>
      <c r="G277" s="0" t="s">
        <v>856</v>
      </c>
      <c r="H277" s="9" t="s">
        <v>753</v>
      </c>
      <c r="I277" s="9" t="s">
        <v>753</v>
      </c>
      <c r="J277" s="9" t="n">
        <v>800</v>
      </c>
      <c r="K277" s="9" t="n">
        <v>2028</v>
      </c>
      <c r="L277" s="9" t="n">
        <v>12</v>
      </c>
      <c r="N277" s="9" t="n">
        <v>1</v>
      </c>
      <c r="O277" s="9" t="n">
        <v>0</v>
      </c>
      <c r="S277" s="0" t="n">
        <v>4</v>
      </c>
    </row>
    <row r="278" customFormat="false" ht="17.15" hidden="false" customHeight="false" outlineLevel="0" collapsed="false">
      <c r="A278" s="0" t="s">
        <v>857</v>
      </c>
      <c r="B278" s="0" t="s">
        <v>858</v>
      </c>
      <c r="C278" s="0" t="s">
        <v>116</v>
      </c>
      <c r="D278" s="0" t="s">
        <v>117</v>
      </c>
      <c r="E278" s="0" t="s">
        <v>146</v>
      </c>
      <c r="F278" s="0" t="s">
        <v>83</v>
      </c>
      <c r="G278" s="5" t="s">
        <v>859</v>
      </c>
      <c r="H278" s="9" t="s">
        <v>753</v>
      </c>
      <c r="I278" s="9" t="s">
        <v>753</v>
      </c>
      <c r="J278" s="9" t="n">
        <v>1149</v>
      </c>
      <c r="K278" s="9" t="n">
        <v>2029</v>
      </c>
      <c r="L278" s="9" t="n">
        <v>12</v>
      </c>
      <c r="N278" s="9" t="n">
        <v>1</v>
      </c>
      <c r="O278" s="9" t="n">
        <v>0</v>
      </c>
      <c r="S278" s="0" t="n">
        <v>4</v>
      </c>
    </row>
    <row r="279" customFormat="false" ht="17.15" hidden="false" customHeight="false" outlineLevel="0" collapsed="false">
      <c r="A279" s="0" t="s">
        <v>860</v>
      </c>
      <c r="B279" s="0" t="s">
        <v>861</v>
      </c>
      <c r="C279" s="0" t="s">
        <v>116</v>
      </c>
      <c r="D279" s="0" t="s">
        <v>117</v>
      </c>
      <c r="E279" s="0" t="s">
        <v>146</v>
      </c>
      <c r="F279" s="0" t="s">
        <v>83</v>
      </c>
      <c r="G279" s="5" t="s">
        <v>862</v>
      </c>
      <c r="H279" s="9" t="s">
        <v>753</v>
      </c>
      <c r="I279" s="9" t="s">
        <v>753</v>
      </c>
      <c r="J279" s="9" t="n">
        <v>1149</v>
      </c>
      <c r="K279" s="9" t="n">
        <v>2030</v>
      </c>
      <c r="L279" s="9" t="n">
        <v>12</v>
      </c>
      <c r="N279" s="9" t="n">
        <v>1</v>
      </c>
      <c r="O279" s="9" t="n">
        <v>0</v>
      </c>
      <c r="S279" s="0" t="n">
        <v>4</v>
      </c>
    </row>
    <row r="280" customFormat="false" ht="17.15" hidden="false" customHeight="false" outlineLevel="0" collapsed="false">
      <c r="A280" s="0" t="s">
        <v>863</v>
      </c>
      <c r="B280" s="0" t="s">
        <v>864</v>
      </c>
      <c r="C280" s="5" t="s">
        <v>81</v>
      </c>
      <c r="D280" s="0" t="s">
        <v>117</v>
      </c>
      <c r="E280" s="0" t="s">
        <v>146</v>
      </c>
      <c r="F280" s="0" t="s">
        <v>83</v>
      </c>
      <c r="G280" s="0" t="s">
        <v>865</v>
      </c>
      <c r="H280" s="9" t="s">
        <v>866</v>
      </c>
      <c r="J280" s="9" t="n">
        <v>200</v>
      </c>
      <c r="K280" s="9" t="n">
        <v>2026</v>
      </c>
      <c r="L280" s="9" t="n">
        <v>12</v>
      </c>
      <c r="N280" s="9" t="n">
        <v>1</v>
      </c>
      <c r="O280" s="9" t="n">
        <v>0</v>
      </c>
      <c r="S280" s="0" t="n">
        <v>4</v>
      </c>
    </row>
    <row r="281" customFormat="false" ht="17.15" hidden="false" customHeight="false" outlineLevel="0" collapsed="false">
      <c r="A281" s="0" t="s">
        <v>867</v>
      </c>
      <c r="B281" s="0" t="s">
        <v>868</v>
      </c>
      <c r="C281" s="5" t="s">
        <v>81</v>
      </c>
      <c r="D281" s="0" t="s">
        <v>117</v>
      </c>
      <c r="E281" s="0" t="s">
        <v>146</v>
      </c>
      <c r="F281" s="0" t="s">
        <v>83</v>
      </c>
      <c r="G281" s="0" t="s">
        <v>869</v>
      </c>
      <c r="H281" s="9" t="s">
        <v>866</v>
      </c>
      <c r="J281" s="9" t="n">
        <v>1500</v>
      </c>
      <c r="K281" s="9" t="n">
        <v>2027</v>
      </c>
      <c r="L281" s="9" t="n">
        <v>12</v>
      </c>
      <c r="N281" s="9" t="n">
        <v>1</v>
      </c>
      <c r="O281" s="9" t="n">
        <v>0</v>
      </c>
      <c r="S281" s="0" t="n">
        <v>4</v>
      </c>
    </row>
    <row r="282" customFormat="false" ht="17.15" hidden="false" customHeight="false" outlineLevel="0" collapsed="false">
      <c r="A282" s="0" t="s">
        <v>870</v>
      </c>
      <c r="B282" s="0" t="s">
        <v>871</v>
      </c>
      <c r="C282" s="5" t="s">
        <v>172</v>
      </c>
      <c r="D282" s="0" t="s">
        <v>117</v>
      </c>
      <c r="E282" s="0" t="s">
        <v>42</v>
      </c>
      <c r="F282" s="0" t="s">
        <v>193</v>
      </c>
      <c r="G282" s="0" t="s">
        <v>872</v>
      </c>
      <c r="H282" s="9" t="s">
        <v>873</v>
      </c>
      <c r="J282" s="9" t="n">
        <v>70</v>
      </c>
      <c r="K282" s="9" t="n">
        <v>2027</v>
      </c>
      <c r="L282" s="9" t="n">
        <v>12</v>
      </c>
      <c r="N282" s="9" t="n">
        <v>1</v>
      </c>
      <c r="O282" s="9" t="n">
        <v>0</v>
      </c>
      <c r="S282" s="0" t="n">
        <v>4</v>
      </c>
    </row>
    <row r="283" customFormat="false" ht="17.15" hidden="false" customHeight="false" outlineLevel="0" collapsed="false">
      <c r="A283" s="18" t="s">
        <v>874</v>
      </c>
      <c r="B283" s="18" t="s">
        <v>875</v>
      </c>
      <c r="C283" s="19" t="s">
        <v>81</v>
      </c>
      <c r="D283" s="18" t="s">
        <v>117</v>
      </c>
      <c r="E283" s="18" t="s">
        <v>146</v>
      </c>
      <c r="F283" s="18" t="s">
        <v>193</v>
      </c>
      <c r="G283" s="18" t="s">
        <v>876</v>
      </c>
      <c r="H283" s="9" t="s">
        <v>873</v>
      </c>
      <c r="J283" s="9" t="n">
        <v>200</v>
      </c>
      <c r="K283" s="9" t="n">
        <v>2027</v>
      </c>
      <c r="L283" s="9" t="n">
        <v>12</v>
      </c>
      <c r="N283" s="9" t="n">
        <v>0</v>
      </c>
      <c r="O283" s="9" t="n">
        <v>0</v>
      </c>
      <c r="S283" s="0" t="n">
        <v>4</v>
      </c>
    </row>
    <row r="284" customFormat="false" ht="17.15" hidden="false" customHeight="false" outlineLevel="0" collapsed="false">
      <c r="A284" s="0" t="s">
        <v>877</v>
      </c>
      <c r="B284" s="0" t="s">
        <v>878</v>
      </c>
      <c r="C284" s="5" t="s">
        <v>172</v>
      </c>
      <c r="D284" s="0" t="s">
        <v>117</v>
      </c>
      <c r="E284" s="0" t="s">
        <v>146</v>
      </c>
      <c r="F284" s="0" t="s">
        <v>193</v>
      </c>
      <c r="G284" s="0" t="s">
        <v>879</v>
      </c>
      <c r="H284" s="9" t="s">
        <v>873</v>
      </c>
      <c r="J284" s="9" t="n">
        <v>260</v>
      </c>
      <c r="K284" s="9" t="n">
        <v>2027</v>
      </c>
      <c r="L284" s="9" t="n">
        <v>10</v>
      </c>
      <c r="N284" s="9" t="n">
        <v>1</v>
      </c>
      <c r="O284" s="9" t="n">
        <v>0</v>
      </c>
      <c r="S284" s="0" t="n">
        <v>4</v>
      </c>
    </row>
    <row r="285" customFormat="false" ht="17.15" hidden="false" customHeight="false" outlineLevel="0" collapsed="false">
      <c r="A285" s="18" t="s">
        <v>880</v>
      </c>
      <c r="B285" s="18" t="s">
        <v>881</v>
      </c>
      <c r="C285" s="19" t="s">
        <v>81</v>
      </c>
      <c r="D285" s="18" t="s">
        <v>117</v>
      </c>
      <c r="E285" s="18" t="s">
        <v>146</v>
      </c>
      <c r="F285" s="18" t="s">
        <v>193</v>
      </c>
      <c r="G285" s="18" t="s">
        <v>882</v>
      </c>
      <c r="H285" s="9" t="s">
        <v>842</v>
      </c>
      <c r="J285" s="9" t="n">
        <v>100</v>
      </c>
      <c r="K285" s="9" t="n">
        <v>2027</v>
      </c>
      <c r="L285" s="9" t="n">
        <v>12</v>
      </c>
      <c r="N285" s="9" t="n">
        <v>0</v>
      </c>
      <c r="O285" s="9" t="n">
        <v>0</v>
      </c>
      <c r="S285" s="0" t="n">
        <v>4</v>
      </c>
    </row>
    <row r="286" customFormat="false" ht="17.15" hidden="false" customHeight="false" outlineLevel="0" collapsed="false">
      <c r="A286" s="18" t="s">
        <v>883</v>
      </c>
      <c r="B286" s="18" t="s">
        <v>884</v>
      </c>
      <c r="C286" s="18" t="s">
        <v>116</v>
      </c>
      <c r="D286" s="18" t="s">
        <v>117</v>
      </c>
      <c r="E286" s="18" t="s">
        <v>146</v>
      </c>
      <c r="F286" s="18" t="s">
        <v>193</v>
      </c>
      <c r="G286" s="18" t="s">
        <v>885</v>
      </c>
      <c r="H286" s="9" t="s">
        <v>741</v>
      </c>
      <c r="J286" s="9" t="n">
        <v>216</v>
      </c>
      <c r="K286" s="9" t="n">
        <v>2026</v>
      </c>
      <c r="L286" s="9" t="n">
        <v>10</v>
      </c>
      <c r="N286" s="9" t="n">
        <v>0</v>
      </c>
      <c r="O286" s="9" t="n">
        <v>0</v>
      </c>
      <c r="S286" s="0" t="n">
        <v>4</v>
      </c>
    </row>
    <row r="287" customFormat="false" ht="17.15" hidden="false" customHeight="false" outlineLevel="0" collapsed="false">
      <c r="A287" s="18" t="s">
        <v>886</v>
      </c>
      <c r="B287" s="18" t="s">
        <v>887</v>
      </c>
      <c r="C287" s="19" t="s">
        <v>81</v>
      </c>
      <c r="D287" s="18" t="s">
        <v>117</v>
      </c>
      <c r="E287" s="18" t="s">
        <v>146</v>
      </c>
      <c r="F287" s="18" t="s">
        <v>193</v>
      </c>
      <c r="G287" s="18" t="s">
        <v>888</v>
      </c>
      <c r="H287" s="9" t="s">
        <v>733</v>
      </c>
      <c r="J287" s="9" t="n">
        <v>500</v>
      </c>
      <c r="K287" s="9" t="n">
        <v>2027</v>
      </c>
      <c r="L287" s="9" t="n">
        <v>12</v>
      </c>
      <c r="N287" s="9" t="n">
        <v>0</v>
      </c>
      <c r="O287" s="9" t="n">
        <v>0</v>
      </c>
      <c r="S287" s="0" t="n">
        <v>4</v>
      </c>
    </row>
    <row r="288" customFormat="false" ht="17.15" hidden="false" customHeight="false" outlineLevel="0" collapsed="false">
      <c r="A288" s="0" t="s">
        <v>889</v>
      </c>
      <c r="B288" s="0" t="s">
        <v>890</v>
      </c>
      <c r="C288" s="0" t="s">
        <v>116</v>
      </c>
      <c r="D288" s="0" t="s">
        <v>117</v>
      </c>
      <c r="E288" s="0" t="s">
        <v>146</v>
      </c>
      <c r="F288" s="0" t="s">
        <v>83</v>
      </c>
      <c r="G288" s="0" t="s">
        <v>891</v>
      </c>
      <c r="H288" s="9" t="s">
        <v>753</v>
      </c>
      <c r="I288" s="9" t="s">
        <v>753</v>
      </c>
      <c r="J288" s="9" t="n">
        <v>308</v>
      </c>
      <c r="K288" s="9" t="n">
        <v>2027</v>
      </c>
      <c r="L288" s="9" t="n">
        <v>6</v>
      </c>
      <c r="N288" s="9" t="n">
        <v>1</v>
      </c>
      <c r="O288" s="9" t="n">
        <v>0</v>
      </c>
      <c r="S288" s="0" t="n">
        <v>4</v>
      </c>
    </row>
    <row r="289" customFormat="false" ht="17.15" hidden="false" customHeight="false" outlineLevel="0" collapsed="false">
      <c r="A289" s="0" t="s">
        <v>892</v>
      </c>
      <c r="B289" s="0" t="s">
        <v>893</v>
      </c>
      <c r="C289" s="0" t="s">
        <v>116</v>
      </c>
      <c r="D289" s="0" t="s">
        <v>117</v>
      </c>
      <c r="E289" s="0" t="s">
        <v>47</v>
      </c>
      <c r="F289" s="0" t="s">
        <v>83</v>
      </c>
      <c r="G289" s="0" t="s">
        <v>894</v>
      </c>
      <c r="H289" s="9" t="s">
        <v>753</v>
      </c>
      <c r="I289" s="9" t="s">
        <v>753</v>
      </c>
      <c r="J289" s="9" t="n">
        <v>214</v>
      </c>
      <c r="K289" s="9" t="n">
        <v>2027</v>
      </c>
      <c r="L289" s="9" t="n">
        <v>3</v>
      </c>
      <c r="N289" s="9" t="n">
        <v>1</v>
      </c>
      <c r="O289" s="9" t="n">
        <v>0</v>
      </c>
      <c r="S289" s="0" t="n">
        <v>4</v>
      </c>
    </row>
    <row r="290" customFormat="false" ht="17.15" hidden="false" customHeight="false" outlineLevel="0" collapsed="false">
      <c r="A290" s="18" t="s">
        <v>895</v>
      </c>
      <c r="B290" s="18" t="s">
        <v>896</v>
      </c>
      <c r="C290" s="18" t="s">
        <v>116</v>
      </c>
      <c r="D290" s="18" t="s">
        <v>117</v>
      </c>
      <c r="E290" s="18" t="s">
        <v>146</v>
      </c>
      <c r="F290" s="18" t="s">
        <v>83</v>
      </c>
      <c r="G290" s="18" t="s">
        <v>897</v>
      </c>
      <c r="H290" s="9" t="s">
        <v>767</v>
      </c>
      <c r="I290" s="9" t="s">
        <v>753</v>
      </c>
      <c r="J290" s="9" t="n">
        <v>750</v>
      </c>
      <c r="K290" s="9" t="n">
        <v>2028</v>
      </c>
      <c r="L290" s="9" t="n">
        <v>12</v>
      </c>
      <c r="N290" s="9" t="n">
        <v>0</v>
      </c>
      <c r="O290" s="9" t="n">
        <v>0</v>
      </c>
      <c r="S290" s="0" t="n">
        <v>4</v>
      </c>
    </row>
    <row r="291" customFormat="false" ht="17.15" hidden="false" customHeight="false" outlineLevel="0" collapsed="false">
      <c r="A291" s="0" t="s">
        <v>898</v>
      </c>
      <c r="B291" s="0" t="s">
        <v>899</v>
      </c>
      <c r="C291" s="5" t="s">
        <v>81</v>
      </c>
      <c r="D291" s="0" t="s">
        <v>117</v>
      </c>
      <c r="E291" s="0" t="s">
        <v>146</v>
      </c>
      <c r="F291" s="0" t="s">
        <v>83</v>
      </c>
      <c r="G291" s="0" t="s">
        <v>900</v>
      </c>
      <c r="H291" s="9" t="s">
        <v>866</v>
      </c>
      <c r="I291" s="9" t="s">
        <v>753</v>
      </c>
      <c r="J291" s="9" t="n">
        <v>200</v>
      </c>
      <c r="K291" s="9" t="n">
        <v>2026</v>
      </c>
      <c r="L291" s="9" t="n">
        <v>12</v>
      </c>
      <c r="N291" s="9" t="n">
        <v>1</v>
      </c>
      <c r="O291" s="9" t="n">
        <v>0</v>
      </c>
      <c r="S291" s="0" t="n">
        <v>4</v>
      </c>
    </row>
    <row r="292" customFormat="false" ht="17.15" hidden="false" customHeight="false" outlineLevel="0" collapsed="false">
      <c r="A292" s="0" t="s">
        <v>901</v>
      </c>
      <c r="B292" s="0" t="s">
        <v>902</v>
      </c>
      <c r="C292" s="5" t="s">
        <v>81</v>
      </c>
      <c r="D292" s="0" t="s">
        <v>117</v>
      </c>
      <c r="E292" s="0" t="s">
        <v>146</v>
      </c>
      <c r="F292" s="0" t="s">
        <v>83</v>
      </c>
      <c r="G292" s="0" t="s">
        <v>903</v>
      </c>
      <c r="H292" s="9" t="s">
        <v>866</v>
      </c>
      <c r="J292" s="9" t="n">
        <v>96</v>
      </c>
      <c r="K292" s="9" t="n">
        <v>2028</v>
      </c>
      <c r="L292" s="9" t="n">
        <v>3</v>
      </c>
      <c r="N292" s="9" t="n">
        <v>1</v>
      </c>
      <c r="O292" s="9" t="n">
        <v>0</v>
      </c>
      <c r="S292" s="0" t="n">
        <v>4</v>
      </c>
    </row>
    <row r="293" customFormat="false" ht="17.15" hidden="false" customHeight="false" outlineLevel="0" collapsed="false">
      <c r="A293" s="18" t="s">
        <v>904</v>
      </c>
      <c r="B293" s="18" t="s">
        <v>905</v>
      </c>
      <c r="C293" s="19" t="s">
        <v>81</v>
      </c>
      <c r="D293" s="18" t="s">
        <v>117</v>
      </c>
      <c r="E293" s="18" t="s">
        <v>146</v>
      </c>
      <c r="F293" s="18" t="s">
        <v>83</v>
      </c>
      <c r="G293" s="18" t="s">
        <v>906</v>
      </c>
      <c r="H293" s="9" t="s">
        <v>767</v>
      </c>
      <c r="I293" s="9" t="s">
        <v>737</v>
      </c>
      <c r="J293" s="9" t="n">
        <v>500</v>
      </c>
      <c r="K293" s="9" t="n">
        <v>2026</v>
      </c>
      <c r="L293" s="9" t="n">
        <v>12</v>
      </c>
      <c r="N293" s="9" t="n">
        <v>0</v>
      </c>
      <c r="O293" s="9" t="n">
        <v>0</v>
      </c>
      <c r="S293" s="0" t="n">
        <v>4</v>
      </c>
    </row>
    <row r="294" customFormat="false" ht="17.15" hidden="false" customHeight="false" outlineLevel="0" collapsed="false">
      <c r="A294" s="18" t="s">
        <v>907</v>
      </c>
      <c r="B294" s="18" t="s">
        <v>908</v>
      </c>
      <c r="C294" s="19" t="s">
        <v>81</v>
      </c>
      <c r="D294" s="18" t="s">
        <v>117</v>
      </c>
      <c r="E294" s="18" t="s">
        <v>146</v>
      </c>
      <c r="F294" s="18" t="s">
        <v>83</v>
      </c>
      <c r="G294" s="18" t="s">
        <v>909</v>
      </c>
      <c r="H294" s="9" t="s">
        <v>767</v>
      </c>
      <c r="I294" s="9" t="s">
        <v>737</v>
      </c>
      <c r="J294" s="9" t="n">
        <v>245</v>
      </c>
      <c r="K294" s="9" t="n">
        <v>2027</v>
      </c>
      <c r="L294" s="9" t="n">
        <v>6</v>
      </c>
      <c r="N294" s="9" t="n">
        <v>0</v>
      </c>
      <c r="O294" s="9" t="n">
        <v>0</v>
      </c>
      <c r="S294" s="0" t="n">
        <v>4</v>
      </c>
    </row>
    <row r="295" customFormat="false" ht="17.15" hidden="false" customHeight="false" outlineLevel="0" collapsed="false">
      <c r="A295" s="0" t="s">
        <v>910</v>
      </c>
      <c r="B295" s="0" t="s">
        <v>911</v>
      </c>
      <c r="C295" s="0" t="s">
        <v>116</v>
      </c>
      <c r="D295" s="0" t="s">
        <v>117</v>
      </c>
      <c r="E295" s="0" t="s">
        <v>47</v>
      </c>
      <c r="F295" s="0" t="s">
        <v>83</v>
      </c>
      <c r="G295" s="0" t="s">
        <v>912</v>
      </c>
      <c r="H295" s="9" t="s">
        <v>757</v>
      </c>
      <c r="J295" s="9" t="n">
        <v>585</v>
      </c>
      <c r="K295" s="9" t="n">
        <v>2027</v>
      </c>
      <c r="L295" s="9" t="n">
        <v>3</v>
      </c>
      <c r="N295" s="9" t="n">
        <v>1</v>
      </c>
      <c r="O295" s="9" t="n">
        <v>0</v>
      </c>
      <c r="S295" s="0" t="n">
        <v>4</v>
      </c>
    </row>
    <row r="296" customFormat="false" ht="17.15" hidden="false" customHeight="false" outlineLevel="0" collapsed="false">
      <c r="A296" s="0" t="s">
        <v>913</v>
      </c>
      <c r="B296" s="0" t="s">
        <v>914</v>
      </c>
      <c r="C296" s="0" t="s">
        <v>116</v>
      </c>
      <c r="D296" s="0" t="s">
        <v>117</v>
      </c>
      <c r="E296" s="0" t="s">
        <v>47</v>
      </c>
      <c r="F296" s="0" t="s">
        <v>915</v>
      </c>
      <c r="G296" s="0" t="s">
        <v>916</v>
      </c>
      <c r="H296" s="9" t="s">
        <v>728</v>
      </c>
      <c r="J296" s="9" t="n">
        <v>315</v>
      </c>
      <c r="K296" s="9" t="n">
        <v>2026</v>
      </c>
      <c r="L296" s="9" t="n">
        <v>6</v>
      </c>
      <c r="N296" s="9" t="n">
        <v>1</v>
      </c>
      <c r="O296" s="9" t="n">
        <v>0</v>
      </c>
      <c r="S296" s="0" t="n">
        <v>4</v>
      </c>
    </row>
    <row r="297" customFormat="false" ht="17.15" hidden="false" customHeight="false" outlineLevel="0" collapsed="false">
      <c r="A297" s="0" t="s">
        <v>917</v>
      </c>
      <c r="B297" s="0" t="s">
        <v>918</v>
      </c>
      <c r="C297" s="0" t="s">
        <v>116</v>
      </c>
      <c r="D297" s="0" t="s">
        <v>117</v>
      </c>
      <c r="E297" s="0" t="s">
        <v>47</v>
      </c>
      <c r="F297" s="0" t="s">
        <v>915</v>
      </c>
      <c r="G297" s="0" t="s">
        <v>919</v>
      </c>
      <c r="H297" s="9" t="s">
        <v>728</v>
      </c>
      <c r="J297" s="9" t="n">
        <v>368</v>
      </c>
      <c r="K297" s="9" t="n">
        <v>2027</v>
      </c>
      <c r="L297" s="9" t="n">
        <v>2</v>
      </c>
      <c r="N297" s="9" t="n">
        <v>1</v>
      </c>
      <c r="O297" s="9" t="n">
        <v>0</v>
      </c>
      <c r="S297" s="0" t="n">
        <v>4</v>
      </c>
    </row>
    <row r="298" customFormat="false" ht="17.15" hidden="false" customHeight="false" outlineLevel="0" collapsed="false">
      <c r="A298" s="0" t="s">
        <v>920</v>
      </c>
      <c r="B298" s="0" t="s">
        <v>921</v>
      </c>
      <c r="C298" s="0" t="s">
        <v>116</v>
      </c>
      <c r="D298" s="0" t="s">
        <v>117</v>
      </c>
      <c r="E298" s="0" t="s">
        <v>146</v>
      </c>
      <c r="F298" s="0" t="s">
        <v>915</v>
      </c>
      <c r="G298" s="0" t="s">
        <v>922</v>
      </c>
      <c r="H298" s="9" t="s">
        <v>728</v>
      </c>
      <c r="I298" s="9" t="s">
        <v>729</v>
      </c>
      <c r="J298" s="9" t="n">
        <v>336</v>
      </c>
      <c r="K298" s="9" t="n">
        <v>2027</v>
      </c>
      <c r="L298" s="9" t="n">
        <v>12</v>
      </c>
      <c r="N298" s="9" t="n">
        <v>1</v>
      </c>
      <c r="O298" s="9" t="n">
        <v>0</v>
      </c>
      <c r="S298" s="0" t="n">
        <v>4</v>
      </c>
    </row>
    <row r="299" customFormat="false" ht="17.15" hidden="false" customHeight="false" outlineLevel="0" collapsed="false">
      <c r="A299" s="0" t="s">
        <v>923</v>
      </c>
      <c r="B299" s="0" t="s">
        <v>924</v>
      </c>
      <c r="C299" s="0" t="s">
        <v>116</v>
      </c>
      <c r="D299" s="0" t="s">
        <v>117</v>
      </c>
      <c r="E299" s="0" t="s">
        <v>146</v>
      </c>
      <c r="F299" s="0" t="s">
        <v>915</v>
      </c>
      <c r="G299" s="0" t="s">
        <v>925</v>
      </c>
      <c r="H299" s="9" t="s">
        <v>753</v>
      </c>
      <c r="I299" s="9" t="s">
        <v>753</v>
      </c>
      <c r="J299" s="9" t="n">
        <v>1150</v>
      </c>
      <c r="K299" s="9" t="n">
        <v>2031</v>
      </c>
      <c r="L299" s="9" t="n">
        <v>12</v>
      </c>
      <c r="N299" s="9" t="n">
        <v>1</v>
      </c>
      <c r="O299" s="9" t="n">
        <v>0</v>
      </c>
      <c r="S299" s="0" t="n">
        <v>4</v>
      </c>
    </row>
    <row r="300" customFormat="false" ht="17.15" hidden="false" customHeight="false" outlineLevel="0" collapsed="false">
      <c r="A300" s="0" t="s">
        <v>926</v>
      </c>
      <c r="B300" s="0" t="s">
        <v>927</v>
      </c>
      <c r="C300" s="0" t="s">
        <v>116</v>
      </c>
      <c r="D300" s="0" t="s">
        <v>117</v>
      </c>
      <c r="E300" s="0" t="s">
        <v>146</v>
      </c>
      <c r="F300" s="0" t="s">
        <v>915</v>
      </c>
      <c r="G300" s="0" t="s">
        <v>928</v>
      </c>
      <c r="H300" s="9" t="s">
        <v>753</v>
      </c>
      <c r="I300" s="9" t="s">
        <v>753</v>
      </c>
      <c r="J300" s="9" t="n">
        <v>445</v>
      </c>
      <c r="K300" s="9" t="n">
        <v>2028</v>
      </c>
      <c r="L300" s="9" t="n">
        <v>12</v>
      </c>
      <c r="N300" s="9" t="n">
        <v>1</v>
      </c>
      <c r="O300" s="9" t="n">
        <v>0</v>
      </c>
      <c r="S300" s="0" t="n">
        <v>4</v>
      </c>
    </row>
    <row r="301" customFormat="false" ht="17.15" hidden="false" customHeight="false" outlineLevel="0" collapsed="false">
      <c r="A301" s="0" t="s">
        <v>929</v>
      </c>
      <c r="B301" s="0" t="s">
        <v>930</v>
      </c>
      <c r="C301" s="5" t="s">
        <v>81</v>
      </c>
      <c r="D301" s="0" t="s">
        <v>117</v>
      </c>
      <c r="E301" s="0" t="s">
        <v>146</v>
      </c>
      <c r="F301" s="0" t="s">
        <v>83</v>
      </c>
      <c r="G301" s="0" t="s">
        <v>931</v>
      </c>
      <c r="H301" s="9" t="s">
        <v>866</v>
      </c>
      <c r="J301" s="9" t="n">
        <v>200</v>
      </c>
      <c r="K301" s="9" t="n">
        <v>2030</v>
      </c>
      <c r="L301" s="9" t="n">
        <v>12</v>
      </c>
      <c r="N301" s="9" t="n">
        <v>1</v>
      </c>
      <c r="O301" s="9" t="n">
        <v>0</v>
      </c>
      <c r="S301" s="0" t="n">
        <v>4</v>
      </c>
    </row>
    <row r="302" customFormat="false" ht="17.15" hidden="false" customHeight="false" outlineLevel="0" collapsed="false">
      <c r="A302" s="0" t="s">
        <v>932</v>
      </c>
      <c r="B302" s="0" t="s">
        <v>933</v>
      </c>
      <c r="C302" s="0" t="s">
        <v>116</v>
      </c>
      <c r="D302" s="0" t="s">
        <v>117</v>
      </c>
      <c r="E302" s="0" t="s">
        <v>47</v>
      </c>
      <c r="F302" s="0" t="s">
        <v>915</v>
      </c>
      <c r="G302" s="0" t="s">
        <v>934</v>
      </c>
      <c r="H302" s="9" t="s">
        <v>741</v>
      </c>
      <c r="J302" s="9" t="n">
        <v>556</v>
      </c>
      <c r="K302" s="9" t="n">
        <v>2028</v>
      </c>
      <c r="L302" s="9" t="n">
        <v>9</v>
      </c>
      <c r="N302" s="9" t="n">
        <v>1</v>
      </c>
      <c r="O302" s="9" t="n">
        <v>0</v>
      </c>
      <c r="S302" s="0" t="n">
        <v>4</v>
      </c>
    </row>
    <row r="303" customFormat="false" ht="17.15" hidden="false" customHeight="false" outlineLevel="0" collapsed="false">
      <c r="A303" s="0" t="s">
        <v>935</v>
      </c>
      <c r="B303" s="0" t="s">
        <v>936</v>
      </c>
      <c r="C303" s="5" t="s">
        <v>81</v>
      </c>
      <c r="D303" s="0" t="s">
        <v>117</v>
      </c>
      <c r="E303" s="0" t="s">
        <v>146</v>
      </c>
      <c r="F303" s="0" t="s">
        <v>915</v>
      </c>
      <c r="G303" s="0" t="s">
        <v>937</v>
      </c>
      <c r="H303" s="9" t="s">
        <v>741</v>
      </c>
      <c r="J303" s="9" t="n">
        <v>41</v>
      </c>
      <c r="K303" s="9" t="n">
        <v>2027</v>
      </c>
      <c r="L303" s="9" t="n">
        <v>11</v>
      </c>
      <c r="N303" s="9" t="n">
        <v>1</v>
      </c>
      <c r="O303" s="9" t="n">
        <v>0</v>
      </c>
      <c r="S303" s="0" t="n">
        <v>4</v>
      </c>
    </row>
    <row r="304" customFormat="false" ht="17.15" hidden="false" customHeight="false" outlineLevel="0" collapsed="false">
      <c r="A304" s="0" t="s">
        <v>938</v>
      </c>
      <c r="B304" s="0" t="s">
        <v>939</v>
      </c>
      <c r="C304" s="5" t="s">
        <v>81</v>
      </c>
      <c r="D304" s="0" t="s">
        <v>117</v>
      </c>
      <c r="E304" s="0" t="s">
        <v>42</v>
      </c>
      <c r="F304" s="0" t="s">
        <v>915</v>
      </c>
      <c r="G304" s="0" t="s">
        <v>940</v>
      </c>
      <c r="H304" s="9" t="s">
        <v>741</v>
      </c>
      <c r="J304" s="9" t="n">
        <v>62</v>
      </c>
      <c r="K304" s="9" t="n">
        <v>2029</v>
      </c>
      <c r="L304" s="9" t="n">
        <v>2</v>
      </c>
      <c r="N304" s="9" t="n">
        <v>1</v>
      </c>
      <c r="O304" s="9" t="n">
        <v>0</v>
      </c>
      <c r="S304" s="0" t="n">
        <v>4</v>
      </c>
    </row>
    <row r="305" customFormat="false" ht="17.15" hidden="false" customHeight="false" outlineLevel="0" collapsed="false">
      <c r="A305" s="0" t="s">
        <v>941</v>
      </c>
      <c r="B305" s="0" t="s">
        <v>942</v>
      </c>
      <c r="C305" s="0" t="s">
        <v>116</v>
      </c>
      <c r="D305" s="0" t="s">
        <v>117</v>
      </c>
      <c r="E305" s="0" t="s">
        <v>146</v>
      </c>
      <c r="F305" s="0" t="s">
        <v>915</v>
      </c>
      <c r="G305" s="0" t="s">
        <v>943</v>
      </c>
      <c r="H305" s="9" t="s">
        <v>767</v>
      </c>
      <c r="J305" s="9" t="n">
        <v>207</v>
      </c>
      <c r="K305" s="9" t="n">
        <v>2027</v>
      </c>
      <c r="L305" s="9" t="n">
        <v>3</v>
      </c>
      <c r="N305" s="9" t="n">
        <v>1</v>
      </c>
      <c r="O305" s="9" t="n">
        <v>0</v>
      </c>
      <c r="S305" s="0" t="n">
        <v>4</v>
      </c>
    </row>
    <row r="306" customFormat="false" ht="17.15" hidden="false" customHeight="false" outlineLevel="0" collapsed="false">
      <c r="A306" s="0" t="s">
        <v>944</v>
      </c>
      <c r="B306" s="0" t="s">
        <v>945</v>
      </c>
      <c r="C306" s="0" t="s">
        <v>116</v>
      </c>
      <c r="D306" s="0" t="s">
        <v>117</v>
      </c>
      <c r="E306" s="0" t="s">
        <v>146</v>
      </c>
      <c r="F306" s="0" t="s">
        <v>915</v>
      </c>
      <c r="G306" s="0" t="s">
        <v>946</v>
      </c>
      <c r="H306" s="9" t="s">
        <v>767</v>
      </c>
      <c r="J306" s="9" t="n">
        <v>200</v>
      </c>
      <c r="K306" s="9" t="n">
        <v>2027</v>
      </c>
      <c r="L306" s="9" t="n">
        <v>12</v>
      </c>
      <c r="N306" s="9" t="n">
        <v>1</v>
      </c>
      <c r="O306" s="9" t="n">
        <v>0</v>
      </c>
      <c r="S306" s="0" t="n">
        <v>4</v>
      </c>
    </row>
    <row r="307" customFormat="false" ht="17.15" hidden="false" customHeight="false" outlineLevel="0" collapsed="false">
      <c r="A307" s="0" t="s">
        <v>947</v>
      </c>
      <c r="B307" s="0" t="s">
        <v>948</v>
      </c>
      <c r="C307" s="5" t="s">
        <v>81</v>
      </c>
      <c r="D307" s="0" t="s">
        <v>117</v>
      </c>
      <c r="E307" s="0" t="s">
        <v>146</v>
      </c>
      <c r="F307" s="0" t="s">
        <v>915</v>
      </c>
      <c r="G307" s="0" t="s">
        <v>949</v>
      </c>
      <c r="H307" s="9" t="s">
        <v>767</v>
      </c>
      <c r="J307" s="9" t="n">
        <v>1350</v>
      </c>
      <c r="K307" s="9" t="n">
        <v>2028</v>
      </c>
      <c r="L307" s="9" t="n">
        <v>3</v>
      </c>
      <c r="N307" s="9" t="n">
        <v>1</v>
      </c>
      <c r="O307" s="9" t="n">
        <v>0</v>
      </c>
      <c r="S307" s="0" t="n">
        <v>4</v>
      </c>
    </row>
    <row r="308" customFormat="false" ht="17.15" hidden="false" customHeight="false" outlineLevel="0" collapsed="false">
      <c r="A308" s="0" t="s">
        <v>950</v>
      </c>
      <c r="B308" s="0" t="s">
        <v>951</v>
      </c>
      <c r="C308" s="0" t="s">
        <v>116</v>
      </c>
      <c r="D308" s="0" t="s">
        <v>117</v>
      </c>
      <c r="E308" s="0" t="s">
        <v>146</v>
      </c>
      <c r="F308" s="0" t="s">
        <v>915</v>
      </c>
      <c r="G308" s="0" t="s">
        <v>952</v>
      </c>
      <c r="H308" s="9" t="s">
        <v>767</v>
      </c>
      <c r="J308" s="9" t="n">
        <v>352</v>
      </c>
      <c r="K308" s="9" t="n">
        <v>2028</v>
      </c>
      <c r="L308" s="9" t="n">
        <v>3</v>
      </c>
      <c r="N308" s="9" t="n">
        <v>1</v>
      </c>
      <c r="O308" s="9" t="n">
        <v>0</v>
      </c>
      <c r="S308" s="0" t="n">
        <v>4</v>
      </c>
    </row>
    <row r="309" customFormat="false" ht="17.15" hidden="false" customHeight="false" outlineLevel="0" collapsed="false">
      <c r="A309" s="18" t="s">
        <v>953</v>
      </c>
      <c r="B309" s="18" t="s">
        <v>954</v>
      </c>
      <c r="C309" s="19" t="s">
        <v>81</v>
      </c>
      <c r="D309" s="18" t="s">
        <v>117</v>
      </c>
      <c r="E309" s="18" t="s">
        <v>58</v>
      </c>
      <c r="F309" s="18" t="s">
        <v>915</v>
      </c>
      <c r="G309" s="18" t="s">
        <v>955</v>
      </c>
      <c r="H309" s="9" t="s">
        <v>748</v>
      </c>
      <c r="I309" s="9" t="s">
        <v>748</v>
      </c>
      <c r="J309" s="9" t="n">
        <v>3000</v>
      </c>
      <c r="K309" s="9" t="n">
        <v>2032</v>
      </c>
      <c r="L309" s="9" t="n">
        <v>12</v>
      </c>
      <c r="N309" s="9" t="n">
        <v>0</v>
      </c>
      <c r="O309" s="9" t="n">
        <v>0</v>
      </c>
      <c r="S309" s="0" t="n">
        <v>4</v>
      </c>
    </row>
    <row r="310" customFormat="false" ht="17.15" hidden="false" customHeight="false" outlineLevel="0" collapsed="false">
      <c r="A310" s="18" t="s">
        <v>956</v>
      </c>
      <c r="B310" s="18" t="s">
        <v>957</v>
      </c>
      <c r="C310" s="19" t="s">
        <v>172</v>
      </c>
      <c r="D310" s="18" t="s">
        <v>117</v>
      </c>
      <c r="E310" s="18" t="s">
        <v>146</v>
      </c>
      <c r="F310" s="18" t="s">
        <v>915</v>
      </c>
      <c r="G310" s="18" t="s">
        <v>958</v>
      </c>
      <c r="H310" s="9" t="s">
        <v>959</v>
      </c>
      <c r="J310" s="9" t="n">
        <v>50</v>
      </c>
      <c r="K310" s="9" t="n">
        <v>2027</v>
      </c>
      <c r="L310" s="9" t="n">
        <v>3</v>
      </c>
      <c r="N310" s="9" t="n">
        <v>0</v>
      </c>
      <c r="O310" s="9" t="n">
        <v>0</v>
      </c>
      <c r="S310" s="0" t="n">
        <v>4</v>
      </c>
    </row>
    <row r="311" customFormat="false" ht="17.15" hidden="false" customHeight="false" outlineLevel="0" collapsed="false">
      <c r="A311" s="18" t="s">
        <v>960</v>
      </c>
      <c r="B311" s="18" t="s">
        <v>961</v>
      </c>
      <c r="C311" s="19" t="s">
        <v>81</v>
      </c>
      <c r="D311" s="18" t="s">
        <v>117</v>
      </c>
      <c r="E311" s="18" t="s">
        <v>58</v>
      </c>
      <c r="F311" s="18" t="s">
        <v>915</v>
      </c>
      <c r="G311" s="18" t="s">
        <v>962</v>
      </c>
      <c r="H311" s="9" t="s">
        <v>873</v>
      </c>
      <c r="J311" s="9" t="n">
        <v>50</v>
      </c>
      <c r="K311" s="9" t="n">
        <v>2028</v>
      </c>
      <c r="L311" s="9" t="n">
        <v>12</v>
      </c>
      <c r="N311" s="9" t="n">
        <v>0</v>
      </c>
      <c r="O311" s="9" t="n">
        <v>0</v>
      </c>
      <c r="S311" s="0" t="n">
        <v>4</v>
      </c>
    </row>
    <row r="312" customFormat="false" ht="17.15" hidden="false" customHeight="false" outlineLevel="0" collapsed="false">
      <c r="A312" s="18" t="s">
        <v>963</v>
      </c>
      <c r="B312" s="18" t="s">
        <v>964</v>
      </c>
      <c r="C312" s="18" t="s">
        <v>116</v>
      </c>
      <c r="D312" s="18" t="s">
        <v>117</v>
      </c>
      <c r="E312" s="18" t="s">
        <v>47</v>
      </c>
      <c r="F312" s="18" t="s">
        <v>915</v>
      </c>
      <c r="G312" s="18" t="s">
        <v>965</v>
      </c>
      <c r="H312" s="9" t="s">
        <v>866</v>
      </c>
      <c r="J312" s="9" t="n">
        <v>30</v>
      </c>
      <c r="K312" s="9" t="n">
        <v>2026</v>
      </c>
      <c r="L312" s="9" t="n">
        <v>12</v>
      </c>
      <c r="N312" s="9" t="n">
        <v>0</v>
      </c>
      <c r="O312" s="9" t="n">
        <v>0</v>
      </c>
      <c r="S312" s="0" t="n">
        <v>4</v>
      </c>
    </row>
    <row r="313" customFormat="false" ht="17.15" hidden="false" customHeight="false" outlineLevel="0" collapsed="false">
      <c r="A313" s="0" t="s">
        <v>966</v>
      </c>
      <c r="B313" s="0" t="s">
        <v>967</v>
      </c>
      <c r="C313" s="5" t="s">
        <v>81</v>
      </c>
      <c r="D313" s="0" t="s">
        <v>117</v>
      </c>
      <c r="E313" s="0" t="s">
        <v>146</v>
      </c>
      <c r="F313" s="0" t="s">
        <v>968</v>
      </c>
      <c r="G313" s="0" t="s">
        <v>969</v>
      </c>
      <c r="H313" s="9" t="s">
        <v>873</v>
      </c>
      <c r="J313" s="9" t="n">
        <v>58</v>
      </c>
      <c r="K313" s="9" t="n">
        <v>2027</v>
      </c>
      <c r="L313" s="9" t="n">
        <v>3</v>
      </c>
      <c r="N313" s="9" t="n">
        <v>1</v>
      </c>
      <c r="O313" s="9" t="n">
        <v>0</v>
      </c>
      <c r="S313" s="0" t="n">
        <v>4</v>
      </c>
    </row>
    <row r="314" customFormat="false" ht="17.15" hidden="false" customHeight="false" outlineLevel="0" collapsed="false">
      <c r="A314" s="0" t="s">
        <v>970</v>
      </c>
      <c r="B314" s="0" t="s">
        <v>971</v>
      </c>
      <c r="C314" s="5" t="s">
        <v>172</v>
      </c>
      <c r="D314" s="0" t="s">
        <v>117</v>
      </c>
      <c r="E314" s="0" t="s">
        <v>146</v>
      </c>
      <c r="F314" s="0" t="s">
        <v>968</v>
      </c>
      <c r="G314" s="0" t="s">
        <v>972</v>
      </c>
      <c r="H314" s="9" t="s">
        <v>733</v>
      </c>
      <c r="I314" s="9" t="s">
        <v>729</v>
      </c>
      <c r="J314" s="9" t="n">
        <v>150</v>
      </c>
      <c r="K314" s="9" t="n">
        <v>2027</v>
      </c>
      <c r="L314" s="9" t="n">
        <v>12</v>
      </c>
      <c r="N314" s="9" t="n">
        <v>1</v>
      </c>
      <c r="O314" s="9" t="n">
        <v>0</v>
      </c>
      <c r="S314" s="0" t="n">
        <v>4</v>
      </c>
    </row>
    <row r="315" customFormat="false" ht="17.15" hidden="false" customHeight="false" outlineLevel="0" collapsed="false">
      <c r="A315" s="0" t="s">
        <v>973</v>
      </c>
      <c r="B315" s="0" t="s">
        <v>974</v>
      </c>
      <c r="C315" s="0" t="s">
        <v>116</v>
      </c>
      <c r="D315" s="0" t="s">
        <v>117</v>
      </c>
      <c r="E315" s="0" t="s">
        <v>42</v>
      </c>
      <c r="F315" s="0" t="s">
        <v>968</v>
      </c>
      <c r="G315" s="0" t="s">
        <v>975</v>
      </c>
      <c r="H315" s="9" t="s">
        <v>842</v>
      </c>
      <c r="J315" s="9" t="n">
        <v>16</v>
      </c>
      <c r="K315" s="9" t="n">
        <v>2026</v>
      </c>
      <c r="L315" s="9" t="n">
        <v>12</v>
      </c>
      <c r="N315" s="9" t="n">
        <v>1</v>
      </c>
      <c r="O315" s="9" t="n">
        <v>0</v>
      </c>
      <c r="S315" s="0" t="n">
        <v>4</v>
      </c>
    </row>
    <row r="316" customFormat="false" ht="17.15" hidden="false" customHeight="false" outlineLevel="0" collapsed="false">
      <c r="A316" s="0" t="s">
        <v>976</v>
      </c>
      <c r="B316" s="0" t="s">
        <v>977</v>
      </c>
      <c r="C316" s="5" t="s">
        <v>172</v>
      </c>
      <c r="D316" s="0" t="s">
        <v>117</v>
      </c>
      <c r="E316" s="0" t="s">
        <v>42</v>
      </c>
      <c r="F316" s="0" t="s">
        <v>968</v>
      </c>
      <c r="G316" s="0" t="s">
        <v>978</v>
      </c>
      <c r="H316" s="9" t="s">
        <v>748</v>
      </c>
      <c r="I316" s="9" t="s">
        <v>748</v>
      </c>
      <c r="J316" s="9" t="n">
        <v>250</v>
      </c>
      <c r="K316" s="9" t="n">
        <v>2028</v>
      </c>
      <c r="L316" s="9" t="n">
        <v>12</v>
      </c>
      <c r="N316" s="9" t="n">
        <v>1</v>
      </c>
      <c r="O316" s="9" t="n">
        <v>0</v>
      </c>
      <c r="S316" s="0" t="n">
        <v>4</v>
      </c>
    </row>
    <row r="317" customFormat="false" ht="17.15" hidden="false" customHeight="false" outlineLevel="0" collapsed="false">
      <c r="A317" s="0" t="s">
        <v>979</v>
      </c>
      <c r="B317" s="0" t="s">
        <v>980</v>
      </c>
      <c r="C317" s="5" t="s">
        <v>172</v>
      </c>
      <c r="D317" s="0" t="s">
        <v>117</v>
      </c>
      <c r="E317" s="0" t="s">
        <v>42</v>
      </c>
      <c r="F317" s="0" t="s">
        <v>968</v>
      </c>
      <c r="G317" s="0" t="s">
        <v>981</v>
      </c>
      <c r="H317" s="9" t="s">
        <v>748</v>
      </c>
      <c r="I317" s="9" t="s">
        <v>748</v>
      </c>
      <c r="J317" s="9" t="n">
        <v>720</v>
      </c>
      <c r="K317" s="9" t="n">
        <v>2029</v>
      </c>
      <c r="L317" s="9" t="n">
        <v>7</v>
      </c>
      <c r="N317" s="9" t="n">
        <v>1</v>
      </c>
      <c r="O317" s="9" t="n">
        <v>0</v>
      </c>
      <c r="S317" s="0" t="n">
        <v>4</v>
      </c>
    </row>
    <row r="318" customFormat="false" ht="17.15" hidden="false" customHeight="false" outlineLevel="0" collapsed="false">
      <c r="A318" s="18" t="s">
        <v>982</v>
      </c>
      <c r="B318" s="18" t="s">
        <v>983</v>
      </c>
      <c r="C318" s="19" t="s">
        <v>81</v>
      </c>
      <c r="D318" s="18" t="s">
        <v>117</v>
      </c>
      <c r="E318" s="18" t="s">
        <v>146</v>
      </c>
      <c r="F318" s="18" t="s">
        <v>968</v>
      </c>
      <c r="G318" s="18" t="s">
        <v>984</v>
      </c>
      <c r="H318" s="9" t="s">
        <v>842</v>
      </c>
      <c r="J318" s="9" t="n">
        <v>40</v>
      </c>
      <c r="K318" s="9" t="n">
        <v>2027</v>
      </c>
      <c r="L318" s="9" t="n">
        <v>9</v>
      </c>
      <c r="N318" s="9" t="n">
        <v>0</v>
      </c>
      <c r="O318" s="9" t="n">
        <v>0</v>
      </c>
      <c r="S318" s="0" t="n">
        <v>4</v>
      </c>
    </row>
    <row r="319" customFormat="false" ht="17.15" hidden="false" customHeight="false" outlineLevel="0" collapsed="false">
      <c r="A319" s="18" t="s">
        <v>985</v>
      </c>
      <c r="B319" s="18" t="s">
        <v>986</v>
      </c>
      <c r="C319" s="19" t="s">
        <v>81</v>
      </c>
      <c r="D319" s="18" t="s">
        <v>117</v>
      </c>
      <c r="E319" s="18" t="s">
        <v>146</v>
      </c>
      <c r="F319" s="18" t="s">
        <v>968</v>
      </c>
      <c r="G319" s="18" t="s">
        <v>987</v>
      </c>
      <c r="H319" s="9" t="s">
        <v>767</v>
      </c>
      <c r="J319" s="9" t="n">
        <v>15</v>
      </c>
      <c r="K319" s="9" t="n">
        <v>2026</v>
      </c>
      <c r="L319" s="9" t="n">
        <v>10</v>
      </c>
      <c r="N319" s="9" t="n">
        <v>0</v>
      </c>
      <c r="O319" s="9" t="n">
        <v>0</v>
      </c>
      <c r="S319" s="0" t="n">
        <v>4</v>
      </c>
    </row>
    <row r="320" customFormat="false" ht="17.15" hidden="false" customHeight="false" outlineLevel="0" collapsed="false">
      <c r="A320" s="18" t="s">
        <v>988</v>
      </c>
      <c r="B320" s="18" t="s">
        <v>989</v>
      </c>
      <c r="C320" s="19" t="s">
        <v>81</v>
      </c>
      <c r="D320" s="18" t="s">
        <v>117</v>
      </c>
      <c r="E320" s="18" t="s">
        <v>146</v>
      </c>
      <c r="F320" s="18" t="s">
        <v>968</v>
      </c>
      <c r="G320" s="18" t="s">
        <v>990</v>
      </c>
      <c r="H320" s="9" t="s">
        <v>842</v>
      </c>
      <c r="J320" s="9" t="n">
        <v>240</v>
      </c>
      <c r="K320" s="9" t="n">
        <v>2028</v>
      </c>
      <c r="L320" s="9" t="n">
        <v>12</v>
      </c>
      <c r="N320" s="9" t="n">
        <v>0</v>
      </c>
      <c r="O320" s="9" t="n">
        <v>0</v>
      </c>
      <c r="S320" s="0" t="n">
        <v>4</v>
      </c>
    </row>
    <row r="321" customFormat="false" ht="17.15" hidden="false" customHeight="false" outlineLevel="0" collapsed="false">
      <c r="A321" s="18" t="s">
        <v>991</v>
      </c>
      <c r="B321" s="18" t="s">
        <v>992</v>
      </c>
      <c r="C321" s="19" t="s">
        <v>81</v>
      </c>
      <c r="D321" s="18" t="s">
        <v>117</v>
      </c>
      <c r="E321" s="18" t="s">
        <v>146</v>
      </c>
      <c r="F321" s="18" t="s">
        <v>968</v>
      </c>
      <c r="G321" s="18" t="s">
        <v>993</v>
      </c>
      <c r="H321" s="9" t="s">
        <v>959</v>
      </c>
      <c r="I321" s="9" t="s">
        <v>728</v>
      </c>
      <c r="J321" s="9" t="n">
        <v>250</v>
      </c>
      <c r="K321" s="9" t="n">
        <v>2027</v>
      </c>
      <c r="L321" s="9" t="n">
        <v>12</v>
      </c>
      <c r="N321" s="9" t="n">
        <v>0</v>
      </c>
      <c r="O321" s="9" t="n">
        <v>0</v>
      </c>
      <c r="S321" s="0" t="n">
        <v>4</v>
      </c>
    </row>
    <row r="322" customFormat="false" ht="17.15" hidden="false" customHeight="false" outlineLevel="0" collapsed="false">
      <c r="A322" s="18" t="s">
        <v>994</v>
      </c>
      <c r="B322" s="19" t="s">
        <v>995</v>
      </c>
      <c r="C322" s="19" t="s">
        <v>172</v>
      </c>
      <c r="D322" s="18" t="s">
        <v>117</v>
      </c>
      <c r="E322" s="18" t="s">
        <v>146</v>
      </c>
      <c r="F322" s="18" t="s">
        <v>968</v>
      </c>
      <c r="G322" s="18" t="s">
        <v>996</v>
      </c>
      <c r="H322" s="9" t="s">
        <v>866</v>
      </c>
      <c r="J322" s="9" t="n">
        <v>55</v>
      </c>
      <c r="K322" s="9" t="n">
        <v>2028</v>
      </c>
      <c r="L322" s="9" t="n">
        <v>12</v>
      </c>
      <c r="N322" s="9" t="n">
        <v>0</v>
      </c>
      <c r="O322" s="9" t="n">
        <v>0</v>
      </c>
      <c r="S322" s="0" t="n">
        <v>4</v>
      </c>
    </row>
    <row r="323" customFormat="false" ht="17.15" hidden="false" customHeight="false" outlineLevel="0" collapsed="false">
      <c r="A323" s="0" t="s">
        <v>997</v>
      </c>
      <c r="B323" s="0" t="s">
        <v>998</v>
      </c>
      <c r="C323" s="0" t="s">
        <v>116</v>
      </c>
      <c r="D323" s="0" t="s">
        <v>117</v>
      </c>
      <c r="E323" s="0" t="s">
        <v>47</v>
      </c>
      <c r="F323" s="0" t="s">
        <v>999</v>
      </c>
      <c r="G323" s="0" t="s">
        <v>1000</v>
      </c>
      <c r="H323" s="9" t="s">
        <v>733</v>
      </c>
      <c r="I323" s="9" t="s">
        <v>729</v>
      </c>
      <c r="J323" s="9" t="n">
        <v>172</v>
      </c>
      <c r="K323" s="9" t="n">
        <v>2027</v>
      </c>
      <c r="L323" s="9" t="n">
        <v>3</v>
      </c>
      <c r="N323" s="9" t="n">
        <v>1</v>
      </c>
      <c r="O323" s="9" t="n">
        <v>0</v>
      </c>
      <c r="S323" s="0" t="n">
        <v>4</v>
      </c>
    </row>
    <row r="324" customFormat="false" ht="17.15" hidden="false" customHeight="false" outlineLevel="0" collapsed="false">
      <c r="A324" s="0" t="s">
        <v>1001</v>
      </c>
      <c r="B324" s="0" t="s">
        <v>1002</v>
      </c>
      <c r="C324" s="0" t="s">
        <v>116</v>
      </c>
      <c r="D324" s="0" t="s">
        <v>117</v>
      </c>
      <c r="E324" s="0" t="s">
        <v>47</v>
      </c>
      <c r="F324" s="0" t="s">
        <v>999</v>
      </c>
      <c r="G324" s="0" t="s">
        <v>1003</v>
      </c>
      <c r="H324" s="9" t="s">
        <v>733</v>
      </c>
      <c r="I324" s="9" t="s">
        <v>729</v>
      </c>
      <c r="J324" s="9" t="n">
        <v>173</v>
      </c>
      <c r="K324" s="9" t="n">
        <v>2027</v>
      </c>
      <c r="L324" s="9" t="n">
        <v>8</v>
      </c>
      <c r="N324" s="9" t="n">
        <v>1</v>
      </c>
      <c r="O324" s="9" t="n">
        <v>0</v>
      </c>
      <c r="S324" s="0" t="n">
        <v>4</v>
      </c>
    </row>
    <row r="325" customFormat="false" ht="17.15" hidden="false" customHeight="false" outlineLevel="0" collapsed="false">
      <c r="A325" s="0" t="s">
        <v>1004</v>
      </c>
      <c r="B325" s="0" t="s">
        <v>1005</v>
      </c>
      <c r="C325" s="0" t="s">
        <v>116</v>
      </c>
      <c r="D325" s="0" t="s">
        <v>117</v>
      </c>
      <c r="E325" s="0" t="s">
        <v>47</v>
      </c>
      <c r="F325" s="0" t="s">
        <v>999</v>
      </c>
      <c r="G325" s="0" t="s">
        <v>1006</v>
      </c>
      <c r="H325" s="9" t="s">
        <v>733</v>
      </c>
      <c r="I325" s="9" t="s">
        <v>729</v>
      </c>
      <c r="J325" s="9" t="n">
        <v>87</v>
      </c>
      <c r="K325" s="9" t="n">
        <v>2027</v>
      </c>
      <c r="L325" s="9" t="n">
        <v>2</v>
      </c>
      <c r="N325" s="9" t="n">
        <v>1</v>
      </c>
      <c r="O325" s="9" t="n">
        <v>0</v>
      </c>
      <c r="S325" s="0" t="n">
        <v>4</v>
      </c>
    </row>
    <row r="326" customFormat="false" ht="17.15" hidden="false" customHeight="false" outlineLevel="0" collapsed="false">
      <c r="A326" s="0" t="s">
        <v>1007</v>
      </c>
      <c r="B326" s="0" t="s">
        <v>1008</v>
      </c>
      <c r="C326" s="0" t="s">
        <v>116</v>
      </c>
      <c r="D326" s="0" t="s">
        <v>117</v>
      </c>
      <c r="E326" s="0" t="s">
        <v>47</v>
      </c>
      <c r="F326" s="0" t="s">
        <v>999</v>
      </c>
      <c r="G326" s="0" t="s">
        <v>1009</v>
      </c>
      <c r="H326" s="9" t="s">
        <v>733</v>
      </c>
      <c r="I326" s="9" t="s">
        <v>729</v>
      </c>
      <c r="J326" s="9" t="n">
        <v>87</v>
      </c>
      <c r="K326" s="9" t="n">
        <v>2027</v>
      </c>
      <c r="L326" s="9" t="n">
        <v>5</v>
      </c>
      <c r="N326" s="9" t="n">
        <v>1</v>
      </c>
      <c r="O326" s="9" t="n">
        <v>0</v>
      </c>
      <c r="S326" s="0" t="n">
        <v>4</v>
      </c>
    </row>
    <row r="327" customFormat="false" ht="17.15" hidden="false" customHeight="false" outlineLevel="0" collapsed="false">
      <c r="A327" s="0" t="s">
        <v>1010</v>
      </c>
      <c r="B327" s="0" t="s">
        <v>1011</v>
      </c>
      <c r="C327" s="0" t="s">
        <v>116</v>
      </c>
      <c r="D327" s="0" t="s">
        <v>117</v>
      </c>
      <c r="E327" s="0" t="s">
        <v>47</v>
      </c>
      <c r="F327" s="0" t="s">
        <v>999</v>
      </c>
      <c r="G327" s="0" t="s">
        <v>1012</v>
      </c>
      <c r="H327" s="9" t="s">
        <v>733</v>
      </c>
      <c r="I327" s="9" t="s">
        <v>729</v>
      </c>
      <c r="J327" s="9" t="n">
        <v>139</v>
      </c>
      <c r="K327" s="9" t="n">
        <v>2027</v>
      </c>
      <c r="L327" s="9" t="n">
        <v>6</v>
      </c>
      <c r="N327" s="9" t="n">
        <v>1</v>
      </c>
      <c r="O327" s="9" t="n">
        <v>0</v>
      </c>
      <c r="S327" s="0" t="n">
        <v>4</v>
      </c>
    </row>
    <row r="328" customFormat="false" ht="17.15" hidden="false" customHeight="false" outlineLevel="0" collapsed="false">
      <c r="A328" s="0" t="s">
        <v>1013</v>
      </c>
      <c r="B328" s="0" t="s">
        <v>1014</v>
      </c>
      <c r="C328" s="0" t="s">
        <v>116</v>
      </c>
      <c r="D328" s="0" t="s">
        <v>117</v>
      </c>
      <c r="E328" s="0" t="s">
        <v>47</v>
      </c>
      <c r="F328" s="0" t="s">
        <v>999</v>
      </c>
      <c r="G328" s="0" t="s">
        <v>1015</v>
      </c>
      <c r="H328" s="9" t="s">
        <v>733</v>
      </c>
      <c r="I328" s="9" t="s">
        <v>729</v>
      </c>
      <c r="J328" s="9" t="n">
        <v>83</v>
      </c>
      <c r="K328" s="9" t="n">
        <v>2027</v>
      </c>
      <c r="L328" s="9" t="n">
        <v>7</v>
      </c>
      <c r="N328" s="9" t="n">
        <v>1</v>
      </c>
      <c r="O328" s="9" t="n">
        <v>0</v>
      </c>
      <c r="S328" s="0" t="n">
        <v>4</v>
      </c>
    </row>
    <row r="329" customFormat="false" ht="17.15" hidden="false" customHeight="false" outlineLevel="0" collapsed="false">
      <c r="A329" s="0" t="s">
        <v>1016</v>
      </c>
      <c r="B329" s="0" t="s">
        <v>1017</v>
      </c>
      <c r="C329" s="0" t="s">
        <v>116</v>
      </c>
      <c r="D329" s="0" t="s">
        <v>117</v>
      </c>
      <c r="E329" s="0" t="s">
        <v>47</v>
      </c>
      <c r="F329" s="0" t="s">
        <v>999</v>
      </c>
      <c r="G329" s="0" t="s">
        <v>1018</v>
      </c>
      <c r="H329" s="9" t="s">
        <v>733</v>
      </c>
      <c r="I329" s="9" t="s">
        <v>729</v>
      </c>
      <c r="J329" s="9" t="n">
        <v>142</v>
      </c>
      <c r="K329" s="9" t="n">
        <v>2027</v>
      </c>
      <c r="L329" s="9" t="n">
        <v>10</v>
      </c>
      <c r="N329" s="9" t="n">
        <v>1</v>
      </c>
      <c r="O329" s="9" t="n">
        <v>0</v>
      </c>
      <c r="S329" s="0" t="n">
        <v>4</v>
      </c>
    </row>
    <row r="330" customFormat="false" ht="17.15" hidden="false" customHeight="false" outlineLevel="0" collapsed="false">
      <c r="A330" s="0" t="s">
        <v>1019</v>
      </c>
      <c r="B330" s="0" t="s">
        <v>1020</v>
      </c>
      <c r="C330" s="0" t="s">
        <v>116</v>
      </c>
      <c r="D330" s="0" t="s">
        <v>117</v>
      </c>
      <c r="E330" s="0" t="s">
        <v>47</v>
      </c>
      <c r="F330" s="0" t="s">
        <v>999</v>
      </c>
      <c r="G330" s="0" t="s">
        <v>1021</v>
      </c>
      <c r="H330" s="9" t="s">
        <v>733</v>
      </c>
      <c r="I330" s="9" t="s">
        <v>729</v>
      </c>
      <c r="J330" s="9" t="n">
        <v>103</v>
      </c>
      <c r="K330" s="9" t="n">
        <v>2027</v>
      </c>
      <c r="L330" s="9" t="n">
        <v>3</v>
      </c>
      <c r="N330" s="9" t="n">
        <v>1</v>
      </c>
      <c r="O330" s="9" t="n">
        <v>0</v>
      </c>
      <c r="S330" s="0" t="n">
        <v>4</v>
      </c>
    </row>
    <row r="331" customFormat="false" ht="17.15" hidden="false" customHeight="false" outlineLevel="0" collapsed="false">
      <c r="A331" s="0" t="s">
        <v>1022</v>
      </c>
      <c r="B331" s="0" t="s">
        <v>1023</v>
      </c>
      <c r="C331" s="0" t="s">
        <v>116</v>
      </c>
      <c r="D331" s="0" t="s">
        <v>117</v>
      </c>
      <c r="E331" s="0" t="s">
        <v>47</v>
      </c>
      <c r="F331" s="0" t="s">
        <v>999</v>
      </c>
      <c r="G331" s="0" t="s">
        <v>1024</v>
      </c>
      <c r="H331" s="9" t="s">
        <v>733</v>
      </c>
      <c r="I331" s="9" t="s">
        <v>729</v>
      </c>
      <c r="J331" s="9" t="n">
        <v>103</v>
      </c>
      <c r="K331" s="9" t="n">
        <v>2027</v>
      </c>
      <c r="L331" s="9" t="n">
        <v>5</v>
      </c>
      <c r="N331" s="9" t="n">
        <v>1</v>
      </c>
      <c r="O331" s="9" t="n">
        <v>0</v>
      </c>
      <c r="S331" s="0" t="n">
        <v>4</v>
      </c>
    </row>
    <row r="332" customFormat="false" ht="17.15" hidden="false" customHeight="false" outlineLevel="0" collapsed="false">
      <c r="A332" s="0" t="s">
        <v>1025</v>
      </c>
      <c r="B332" s="0" t="s">
        <v>1026</v>
      </c>
      <c r="C332" s="0" t="s">
        <v>116</v>
      </c>
      <c r="D332" s="0" t="s">
        <v>117</v>
      </c>
      <c r="E332" s="0" t="s">
        <v>42</v>
      </c>
      <c r="F332" s="0" t="s">
        <v>999</v>
      </c>
      <c r="G332" s="0" t="s">
        <v>1027</v>
      </c>
      <c r="H332" s="9" t="s">
        <v>733</v>
      </c>
      <c r="I332" s="9" t="s">
        <v>729</v>
      </c>
      <c r="J332" s="9" t="n">
        <v>412</v>
      </c>
      <c r="K332" s="9" t="n">
        <v>2027</v>
      </c>
      <c r="L332" s="9" t="n">
        <v>10</v>
      </c>
      <c r="N332" s="9" t="n">
        <v>1</v>
      </c>
      <c r="O332" s="9" t="n">
        <v>0</v>
      </c>
      <c r="S332" s="0" t="n">
        <v>4</v>
      </c>
    </row>
    <row r="333" customFormat="false" ht="17.15" hidden="false" customHeight="false" outlineLevel="0" collapsed="false">
      <c r="A333" s="0" t="s">
        <v>1028</v>
      </c>
      <c r="B333" s="0" t="s">
        <v>1029</v>
      </c>
      <c r="C333" s="0" t="s">
        <v>116</v>
      </c>
      <c r="D333" s="0" t="s">
        <v>117</v>
      </c>
      <c r="E333" s="0" t="s">
        <v>47</v>
      </c>
      <c r="F333" s="0" t="s">
        <v>999</v>
      </c>
      <c r="G333" s="0" t="s">
        <v>1030</v>
      </c>
      <c r="H333" s="9" t="s">
        <v>741</v>
      </c>
      <c r="J333" s="9" t="n">
        <v>125</v>
      </c>
      <c r="K333" s="9" t="n">
        <v>2027</v>
      </c>
      <c r="L333" s="9" t="n">
        <v>7</v>
      </c>
      <c r="N333" s="9" t="n">
        <v>1</v>
      </c>
      <c r="O333" s="9" t="n">
        <v>0</v>
      </c>
      <c r="S333" s="0" t="n">
        <v>4</v>
      </c>
    </row>
    <row r="334" customFormat="false" ht="17.15" hidden="false" customHeight="false" outlineLevel="0" collapsed="false">
      <c r="A334" s="0" t="s">
        <v>1031</v>
      </c>
      <c r="B334" s="0" t="s">
        <v>1032</v>
      </c>
      <c r="C334" s="0" t="s">
        <v>116</v>
      </c>
      <c r="D334" s="0" t="s">
        <v>117</v>
      </c>
      <c r="E334" s="0" t="s">
        <v>47</v>
      </c>
      <c r="F334" s="0" t="s">
        <v>999</v>
      </c>
      <c r="G334" s="0" t="s">
        <v>1033</v>
      </c>
      <c r="H334" s="9" t="s">
        <v>741</v>
      </c>
      <c r="J334" s="9" t="n">
        <v>56</v>
      </c>
      <c r="K334" s="9" t="n">
        <v>2027</v>
      </c>
      <c r="L334" s="9" t="n">
        <v>2</v>
      </c>
      <c r="N334" s="9" t="n">
        <v>1</v>
      </c>
      <c r="O334" s="9" t="n">
        <v>0</v>
      </c>
      <c r="S334" s="0" t="n">
        <v>4</v>
      </c>
    </row>
    <row r="335" customFormat="false" ht="17.15" hidden="false" customHeight="false" outlineLevel="0" collapsed="false">
      <c r="A335" s="0" t="s">
        <v>1034</v>
      </c>
      <c r="B335" s="0" t="s">
        <v>1035</v>
      </c>
      <c r="C335" s="0" t="s">
        <v>116</v>
      </c>
      <c r="D335" s="0" t="s">
        <v>117</v>
      </c>
      <c r="E335" s="0" t="s">
        <v>47</v>
      </c>
      <c r="F335" s="0" t="s">
        <v>999</v>
      </c>
      <c r="G335" s="0" t="s">
        <v>1036</v>
      </c>
      <c r="H335" s="9" t="s">
        <v>741</v>
      </c>
      <c r="J335" s="9" t="n">
        <v>61</v>
      </c>
      <c r="K335" s="9" t="n">
        <v>2027</v>
      </c>
      <c r="L335" s="9" t="n">
        <v>8</v>
      </c>
      <c r="N335" s="9" t="n">
        <v>1</v>
      </c>
      <c r="O335" s="9" t="n">
        <v>0</v>
      </c>
      <c r="S335" s="0" t="n">
        <v>4</v>
      </c>
    </row>
    <row r="336" customFormat="false" ht="17.15" hidden="false" customHeight="false" outlineLevel="0" collapsed="false">
      <c r="A336" s="0" t="s">
        <v>1037</v>
      </c>
      <c r="B336" s="0" t="s">
        <v>1038</v>
      </c>
      <c r="C336" s="0" t="s">
        <v>116</v>
      </c>
      <c r="D336" s="0" t="s">
        <v>117</v>
      </c>
      <c r="E336" s="0" t="s">
        <v>146</v>
      </c>
      <c r="F336" s="0" t="s">
        <v>999</v>
      </c>
      <c r="G336" s="0" t="s">
        <v>1039</v>
      </c>
      <c r="H336" s="9" t="s">
        <v>741</v>
      </c>
      <c r="J336" s="9" t="n">
        <v>81</v>
      </c>
      <c r="K336" s="9" t="n">
        <v>2027</v>
      </c>
      <c r="L336" s="9" t="n">
        <v>2</v>
      </c>
      <c r="N336" s="9" t="n">
        <v>1</v>
      </c>
      <c r="O336" s="9" t="n">
        <v>0</v>
      </c>
      <c r="S336" s="0" t="n">
        <v>4</v>
      </c>
    </row>
    <row r="337" customFormat="false" ht="17.15" hidden="false" customHeight="false" outlineLevel="0" collapsed="false">
      <c r="A337" s="0" t="s">
        <v>1040</v>
      </c>
      <c r="B337" s="0" t="s">
        <v>1041</v>
      </c>
      <c r="C337" s="0" t="s">
        <v>116</v>
      </c>
      <c r="D337" s="0" t="s">
        <v>117</v>
      </c>
      <c r="E337" s="0" t="s">
        <v>47</v>
      </c>
      <c r="F337" s="0" t="s">
        <v>999</v>
      </c>
      <c r="G337" s="0" t="s">
        <v>1042</v>
      </c>
      <c r="H337" s="9" t="s">
        <v>748</v>
      </c>
      <c r="I337" s="9" t="s">
        <v>748</v>
      </c>
      <c r="J337" s="9" t="n">
        <v>51</v>
      </c>
      <c r="K337" s="9" t="n">
        <v>2027</v>
      </c>
      <c r="L337" s="9" t="n">
        <v>2</v>
      </c>
      <c r="N337" s="9" t="n">
        <v>1</v>
      </c>
      <c r="O337" s="9" t="n">
        <v>0</v>
      </c>
      <c r="S337" s="0" t="n">
        <v>4</v>
      </c>
    </row>
    <row r="338" customFormat="false" ht="17.15" hidden="false" customHeight="false" outlineLevel="0" collapsed="false">
      <c r="A338" s="0" t="s">
        <v>1043</v>
      </c>
      <c r="B338" s="0" t="s">
        <v>1044</v>
      </c>
      <c r="C338" s="0" t="s">
        <v>116</v>
      </c>
      <c r="D338" s="0" t="s">
        <v>117</v>
      </c>
      <c r="E338" s="0" t="s">
        <v>47</v>
      </c>
      <c r="F338" s="0" t="s">
        <v>999</v>
      </c>
      <c r="G338" s="0" t="s">
        <v>1045</v>
      </c>
      <c r="H338" s="9" t="s">
        <v>748</v>
      </c>
      <c r="I338" s="9" t="s">
        <v>748</v>
      </c>
      <c r="J338" s="9" t="n">
        <v>154</v>
      </c>
      <c r="K338" s="9" t="n">
        <v>2027</v>
      </c>
      <c r="L338" s="9" t="n">
        <v>2</v>
      </c>
      <c r="N338" s="9" t="n">
        <v>1</v>
      </c>
      <c r="O338" s="9" t="n">
        <v>0</v>
      </c>
      <c r="S338" s="0" t="n">
        <v>4</v>
      </c>
    </row>
    <row r="339" customFormat="false" ht="17.15" hidden="false" customHeight="false" outlineLevel="0" collapsed="false">
      <c r="A339" s="0" t="s">
        <v>1046</v>
      </c>
      <c r="B339" s="0" t="s">
        <v>1047</v>
      </c>
      <c r="C339" s="0" t="s">
        <v>116</v>
      </c>
      <c r="D339" s="0" t="s">
        <v>117</v>
      </c>
      <c r="E339" s="0" t="s">
        <v>47</v>
      </c>
      <c r="F339" s="0" t="s">
        <v>999</v>
      </c>
      <c r="G339" s="0" t="s">
        <v>1048</v>
      </c>
      <c r="H339" s="9" t="s">
        <v>748</v>
      </c>
      <c r="I339" s="9" t="s">
        <v>748</v>
      </c>
      <c r="J339" s="9" t="n">
        <v>55</v>
      </c>
      <c r="K339" s="9" t="n">
        <v>2027</v>
      </c>
      <c r="L339" s="9" t="n">
        <v>2</v>
      </c>
      <c r="N339" s="9" t="n">
        <v>1</v>
      </c>
      <c r="O339" s="9" t="n">
        <v>0</v>
      </c>
      <c r="S339" s="0" t="n">
        <v>4</v>
      </c>
    </row>
    <row r="340" customFormat="false" ht="17.15" hidden="false" customHeight="false" outlineLevel="0" collapsed="false">
      <c r="A340" s="0" t="s">
        <v>1049</v>
      </c>
      <c r="B340" s="0" t="s">
        <v>1050</v>
      </c>
      <c r="C340" s="0" t="s">
        <v>116</v>
      </c>
      <c r="D340" s="0" t="s">
        <v>117</v>
      </c>
      <c r="E340" s="0" t="s">
        <v>47</v>
      </c>
      <c r="F340" s="0" t="s">
        <v>999</v>
      </c>
      <c r="G340" s="0" t="s">
        <v>1051</v>
      </c>
      <c r="H340" s="9" t="s">
        <v>748</v>
      </c>
      <c r="I340" s="9" t="s">
        <v>748</v>
      </c>
      <c r="J340" s="9" t="n">
        <v>86</v>
      </c>
      <c r="K340" s="9" t="n">
        <v>2027</v>
      </c>
      <c r="L340" s="9" t="n">
        <v>2</v>
      </c>
      <c r="N340" s="9" t="n">
        <v>1</v>
      </c>
      <c r="O340" s="9" t="n">
        <v>0</v>
      </c>
      <c r="S340" s="0" t="n">
        <v>4</v>
      </c>
    </row>
    <row r="341" customFormat="false" ht="17.15" hidden="false" customHeight="false" outlineLevel="0" collapsed="false">
      <c r="A341" s="0" t="s">
        <v>1052</v>
      </c>
      <c r="B341" s="0" t="s">
        <v>1053</v>
      </c>
      <c r="C341" s="0" t="s">
        <v>116</v>
      </c>
      <c r="D341" s="0" t="s">
        <v>117</v>
      </c>
      <c r="E341" s="0" t="s">
        <v>47</v>
      </c>
      <c r="F341" s="0" t="s">
        <v>999</v>
      </c>
      <c r="G341" s="0" t="s">
        <v>1054</v>
      </c>
      <c r="H341" s="9" t="s">
        <v>748</v>
      </c>
      <c r="I341" s="9" t="s">
        <v>748</v>
      </c>
      <c r="J341" s="9" t="n">
        <v>77</v>
      </c>
      <c r="K341" s="9" t="n">
        <v>2027</v>
      </c>
      <c r="L341" s="9" t="n">
        <v>4</v>
      </c>
      <c r="N341" s="9" t="n">
        <v>1</v>
      </c>
      <c r="O341" s="9" t="n">
        <v>0</v>
      </c>
      <c r="S341" s="0" t="n">
        <v>4</v>
      </c>
    </row>
    <row r="342" customFormat="false" ht="17.15" hidden="false" customHeight="false" outlineLevel="0" collapsed="false">
      <c r="A342" s="0" t="s">
        <v>1055</v>
      </c>
      <c r="B342" s="0" t="s">
        <v>1056</v>
      </c>
      <c r="C342" s="5" t="s">
        <v>172</v>
      </c>
      <c r="D342" s="0" t="s">
        <v>117</v>
      </c>
      <c r="E342" s="0" t="s">
        <v>42</v>
      </c>
      <c r="F342" s="0" t="s">
        <v>999</v>
      </c>
      <c r="G342" s="0" t="s">
        <v>1057</v>
      </c>
      <c r="H342" s="9" t="s">
        <v>752</v>
      </c>
      <c r="I342" s="9" t="s">
        <v>753</v>
      </c>
      <c r="J342" s="9" t="n">
        <v>461</v>
      </c>
      <c r="K342" s="9" t="n">
        <v>2027</v>
      </c>
      <c r="L342" s="9" t="n">
        <v>12</v>
      </c>
      <c r="N342" s="9" t="n">
        <v>1</v>
      </c>
      <c r="O342" s="9" t="n">
        <v>0</v>
      </c>
      <c r="S342" s="0" t="n">
        <v>4</v>
      </c>
    </row>
    <row r="343" customFormat="false" ht="17.15" hidden="false" customHeight="false" outlineLevel="0" collapsed="false">
      <c r="A343" s="0" t="s">
        <v>1058</v>
      </c>
      <c r="B343" s="0" t="s">
        <v>1059</v>
      </c>
      <c r="C343" s="0" t="s">
        <v>116</v>
      </c>
      <c r="D343" s="0" t="s">
        <v>117</v>
      </c>
      <c r="E343" s="0" t="s">
        <v>42</v>
      </c>
      <c r="F343" s="0" t="s">
        <v>999</v>
      </c>
      <c r="G343" s="0" t="s">
        <v>1060</v>
      </c>
      <c r="H343" s="9" t="s">
        <v>752</v>
      </c>
      <c r="J343" s="9" t="n">
        <v>60</v>
      </c>
      <c r="K343" s="9" t="n">
        <v>2027</v>
      </c>
      <c r="L343" s="9" t="n">
        <v>1</v>
      </c>
      <c r="N343" s="9" t="n">
        <v>1</v>
      </c>
      <c r="O343" s="9" t="n">
        <v>0</v>
      </c>
      <c r="S343" s="0" t="n">
        <v>4</v>
      </c>
    </row>
    <row r="344" customFormat="false" ht="17.15" hidden="false" customHeight="false" outlineLevel="0" collapsed="false">
      <c r="A344" s="0" t="s">
        <v>1061</v>
      </c>
      <c r="B344" s="0" t="s">
        <v>1062</v>
      </c>
      <c r="C344" s="0" t="s">
        <v>116</v>
      </c>
      <c r="D344" s="0" t="s">
        <v>117</v>
      </c>
      <c r="E344" s="0" t="s">
        <v>42</v>
      </c>
      <c r="F344" s="0" t="s">
        <v>999</v>
      </c>
      <c r="G344" s="0" t="s">
        <v>1063</v>
      </c>
      <c r="H344" s="9" t="s">
        <v>752</v>
      </c>
      <c r="J344" s="9" t="n">
        <v>60</v>
      </c>
      <c r="K344" s="9" t="n">
        <v>2028</v>
      </c>
      <c r="L344" s="9" t="n">
        <v>1</v>
      </c>
      <c r="N344" s="9" t="n">
        <v>1</v>
      </c>
      <c r="O344" s="9" t="n">
        <v>0</v>
      </c>
      <c r="S344" s="0" t="n">
        <v>4</v>
      </c>
    </row>
    <row r="345" customFormat="false" ht="17.15" hidden="false" customHeight="false" outlineLevel="0" collapsed="false">
      <c r="A345" s="0" t="s">
        <v>1064</v>
      </c>
      <c r="B345" s="0" t="s">
        <v>1065</v>
      </c>
      <c r="C345" s="0" t="s">
        <v>116</v>
      </c>
      <c r="D345" s="0" t="s">
        <v>117</v>
      </c>
      <c r="E345" s="0" t="s">
        <v>47</v>
      </c>
      <c r="F345" s="0" t="s">
        <v>999</v>
      </c>
      <c r="G345" s="0" t="s">
        <v>1066</v>
      </c>
      <c r="H345" s="9" t="s">
        <v>873</v>
      </c>
      <c r="J345" s="9" t="n">
        <v>70</v>
      </c>
      <c r="K345" s="9" t="n">
        <v>2027</v>
      </c>
      <c r="L345" s="9" t="n">
        <v>12</v>
      </c>
      <c r="N345" s="9" t="n">
        <v>1</v>
      </c>
      <c r="O345" s="9" t="n">
        <v>0</v>
      </c>
      <c r="S345" s="0" t="n">
        <v>4</v>
      </c>
    </row>
    <row r="346" customFormat="false" ht="17.15" hidden="false" customHeight="false" outlineLevel="0" collapsed="false">
      <c r="A346" s="0" t="s">
        <v>1067</v>
      </c>
      <c r="B346" s="0" t="s">
        <v>1068</v>
      </c>
      <c r="C346" s="0" t="s">
        <v>116</v>
      </c>
      <c r="D346" s="0" t="s">
        <v>117</v>
      </c>
      <c r="E346" s="0" t="s">
        <v>47</v>
      </c>
      <c r="F346" s="0" t="s">
        <v>999</v>
      </c>
      <c r="G346" s="0" t="s">
        <v>1069</v>
      </c>
      <c r="H346" s="9" t="s">
        <v>767</v>
      </c>
      <c r="I346" s="9" t="s">
        <v>728</v>
      </c>
      <c r="J346" s="9" t="n">
        <v>200</v>
      </c>
      <c r="K346" s="9" t="n">
        <v>2027</v>
      </c>
      <c r="L346" s="9" t="n">
        <v>9</v>
      </c>
      <c r="N346" s="9" t="n">
        <v>1</v>
      </c>
      <c r="O346" s="9" t="n">
        <v>0</v>
      </c>
      <c r="S346" s="0" t="n">
        <v>4</v>
      </c>
    </row>
    <row r="347" customFormat="false" ht="17.15" hidden="false" customHeight="false" outlineLevel="0" collapsed="false">
      <c r="A347" s="0" t="s">
        <v>1070</v>
      </c>
      <c r="B347" s="0" t="s">
        <v>1071</v>
      </c>
      <c r="C347" s="0" t="s">
        <v>116</v>
      </c>
      <c r="D347" s="0" t="s">
        <v>117</v>
      </c>
      <c r="E347" s="0" t="s">
        <v>47</v>
      </c>
      <c r="F347" s="0" t="s">
        <v>999</v>
      </c>
      <c r="G347" s="0" t="s">
        <v>1072</v>
      </c>
      <c r="H347" s="9" t="s">
        <v>767</v>
      </c>
      <c r="I347" s="9" t="s">
        <v>737</v>
      </c>
      <c r="J347" s="9" t="n">
        <v>168</v>
      </c>
      <c r="K347" s="9" t="n">
        <v>2027</v>
      </c>
      <c r="L347" s="9" t="n">
        <v>3</v>
      </c>
      <c r="N347" s="9" t="n">
        <v>1</v>
      </c>
      <c r="O347" s="9" t="n">
        <v>0</v>
      </c>
      <c r="S347" s="0" t="n">
        <v>4</v>
      </c>
    </row>
    <row r="348" customFormat="false" ht="17.15" hidden="false" customHeight="false" outlineLevel="0" collapsed="false">
      <c r="A348" s="0" t="s">
        <v>1073</v>
      </c>
      <c r="B348" s="0" t="s">
        <v>1074</v>
      </c>
      <c r="C348" s="5" t="s">
        <v>172</v>
      </c>
      <c r="D348" s="0" t="s">
        <v>117</v>
      </c>
      <c r="E348" s="0" t="s">
        <v>146</v>
      </c>
      <c r="F348" s="0" t="s">
        <v>999</v>
      </c>
      <c r="G348" s="0" t="s">
        <v>1075</v>
      </c>
      <c r="H348" s="9" t="s">
        <v>733</v>
      </c>
      <c r="I348" s="9" t="s">
        <v>729</v>
      </c>
      <c r="J348" s="9" t="n">
        <v>1000</v>
      </c>
      <c r="K348" s="9" t="n">
        <v>2028</v>
      </c>
      <c r="L348" s="9" t="n">
        <v>12</v>
      </c>
      <c r="N348" s="9" t="n">
        <v>1</v>
      </c>
      <c r="O348" s="9" t="n">
        <v>0</v>
      </c>
      <c r="S348" s="0" t="n">
        <v>4</v>
      </c>
    </row>
    <row r="349" customFormat="false" ht="17.15" hidden="false" customHeight="false" outlineLevel="0" collapsed="false">
      <c r="A349" s="0" t="s">
        <v>1076</v>
      </c>
      <c r="B349" s="0" t="s">
        <v>1077</v>
      </c>
      <c r="C349" s="5" t="s">
        <v>81</v>
      </c>
      <c r="D349" s="0" t="s">
        <v>117</v>
      </c>
      <c r="E349" s="0" t="s">
        <v>146</v>
      </c>
      <c r="F349" s="0" t="s">
        <v>999</v>
      </c>
      <c r="G349" s="0" t="s">
        <v>1078</v>
      </c>
      <c r="H349" s="9" t="s">
        <v>741</v>
      </c>
      <c r="J349" s="9" t="n">
        <v>300</v>
      </c>
      <c r="K349" s="9" t="n">
        <v>2028</v>
      </c>
      <c r="L349" s="9" t="n">
        <v>12</v>
      </c>
      <c r="N349" s="9" t="n">
        <v>1</v>
      </c>
      <c r="O349" s="9" t="n">
        <v>0</v>
      </c>
      <c r="S349" s="0" t="n">
        <v>4</v>
      </c>
    </row>
    <row r="350" customFormat="false" ht="17.15" hidden="false" customHeight="false" outlineLevel="0" collapsed="false">
      <c r="A350" s="18" t="s">
        <v>1079</v>
      </c>
      <c r="B350" s="18" t="s">
        <v>1080</v>
      </c>
      <c r="C350" s="19" t="s">
        <v>81</v>
      </c>
      <c r="D350" s="18" t="s">
        <v>117</v>
      </c>
      <c r="E350" s="18" t="s">
        <v>42</v>
      </c>
      <c r="F350" s="18" t="s">
        <v>1081</v>
      </c>
      <c r="G350" s="19" t="s">
        <v>1082</v>
      </c>
      <c r="H350" s="9" t="s">
        <v>733</v>
      </c>
      <c r="I350" s="9" t="s">
        <v>729</v>
      </c>
      <c r="J350" s="9" t="n">
        <v>200</v>
      </c>
      <c r="K350" s="9" t="n">
        <v>2027</v>
      </c>
      <c r="L350" s="9" t="n">
        <v>12</v>
      </c>
      <c r="N350" s="9" t="n">
        <v>0</v>
      </c>
      <c r="O350" s="9" t="n">
        <v>0</v>
      </c>
      <c r="S350" s="0" t="n">
        <v>4</v>
      </c>
    </row>
    <row r="351" customFormat="false" ht="17.15" hidden="false" customHeight="false" outlineLevel="0" collapsed="false">
      <c r="A351" s="18" t="s">
        <v>1083</v>
      </c>
      <c r="B351" s="18" t="s">
        <v>1080</v>
      </c>
      <c r="C351" s="19" t="s">
        <v>81</v>
      </c>
      <c r="D351" s="18" t="s">
        <v>117</v>
      </c>
      <c r="E351" s="18" t="s">
        <v>42</v>
      </c>
      <c r="F351" s="18" t="s">
        <v>1081</v>
      </c>
      <c r="G351" s="19" t="s">
        <v>1082</v>
      </c>
      <c r="H351" s="9" t="s">
        <v>733</v>
      </c>
      <c r="I351" s="9" t="s">
        <v>729</v>
      </c>
      <c r="J351" s="9" t="n">
        <v>200</v>
      </c>
      <c r="K351" s="9" t="n">
        <v>2028</v>
      </c>
      <c r="L351" s="9" t="n">
        <v>12</v>
      </c>
      <c r="N351" s="9" t="n">
        <v>0</v>
      </c>
      <c r="O351" s="9" t="n">
        <v>0</v>
      </c>
      <c r="S351" s="0" t="n">
        <v>4</v>
      </c>
    </row>
    <row r="352" customFormat="false" ht="17.15" hidden="false" customHeight="false" outlineLevel="0" collapsed="false">
      <c r="A352" s="18" t="s">
        <v>1084</v>
      </c>
      <c r="B352" s="18" t="s">
        <v>1080</v>
      </c>
      <c r="C352" s="19" t="s">
        <v>81</v>
      </c>
      <c r="D352" s="18" t="s">
        <v>117</v>
      </c>
      <c r="E352" s="18" t="s">
        <v>42</v>
      </c>
      <c r="F352" s="18" t="s">
        <v>1081</v>
      </c>
      <c r="G352" s="19" t="s">
        <v>1082</v>
      </c>
      <c r="H352" s="9" t="s">
        <v>733</v>
      </c>
      <c r="I352" s="9" t="s">
        <v>729</v>
      </c>
      <c r="J352" s="9" t="n">
        <v>200</v>
      </c>
      <c r="K352" s="9" t="n">
        <v>2029</v>
      </c>
      <c r="L352" s="9" t="n">
        <v>12</v>
      </c>
      <c r="N352" s="9" t="n">
        <v>0</v>
      </c>
      <c r="O352" s="9" t="n">
        <v>0</v>
      </c>
      <c r="S352" s="0" t="n">
        <v>4</v>
      </c>
    </row>
    <row r="353" customFormat="false" ht="17.15" hidden="false" customHeight="false" outlineLevel="0" collapsed="false">
      <c r="A353" s="18" t="s">
        <v>1085</v>
      </c>
      <c r="B353" s="18" t="s">
        <v>1080</v>
      </c>
      <c r="C353" s="19" t="s">
        <v>81</v>
      </c>
      <c r="D353" s="18" t="s">
        <v>117</v>
      </c>
      <c r="E353" s="18" t="s">
        <v>42</v>
      </c>
      <c r="F353" s="18" t="s">
        <v>1081</v>
      </c>
      <c r="G353" s="19" t="s">
        <v>1082</v>
      </c>
      <c r="H353" s="9" t="s">
        <v>733</v>
      </c>
      <c r="I353" s="9" t="s">
        <v>729</v>
      </c>
      <c r="J353" s="9" t="n">
        <v>200</v>
      </c>
      <c r="K353" s="9" t="n">
        <v>2030</v>
      </c>
      <c r="L353" s="9" t="n">
        <v>12</v>
      </c>
      <c r="N353" s="9" t="n">
        <v>0</v>
      </c>
      <c r="O353" s="9" t="n">
        <v>0</v>
      </c>
      <c r="S353" s="0" t="n">
        <v>4</v>
      </c>
    </row>
    <row r="354" customFormat="false" ht="17.15" hidden="false" customHeight="false" outlineLevel="0" collapsed="false">
      <c r="A354" s="18" t="s">
        <v>1086</v>
      </c>
      <c r="B354" s="18" t="s">
        <v>1080</v>
      </c>
      <c r="C354" s="19" t="s">
        <v>81</v>
      </c>
      <c r="D354" s="18" t="s">
        <v>117</v>
      </c>
      <c r="E354" s="18" t="s">
        <v>42</v>
      </c>
      <c r="F354" s="18" t="s">
        <v>1081</v>
      </c>
      <c r="G354" s="19" t="s">
        <v>1082</v>
      </c>
      <c r="H354" s="9" t="s">
        <v>733</v>
      </c>
      <c r="I354" s="9" t="s">
        <v>729</v>
      </c>
      <c r="J354" s="9" t="n">
        <v>200</v>
      </c>
      <c r="K354" s="9" t="n">
        <v>2031</v>
      </c>
      <c r="L354" s="9" t="n">
        <v>12</v>
      </c>
      <c r="N354" s="9" t="n">
        <v>0</v>
      </c>
      <c r="O354" s="9" t="n">
        <v>0</v>
      </c>
      <c r="S354" s="0" t="n">
        <v>4</v>
      </c>
    </row>
    <row r="355" customFormat="false" ht="17.15" hidden="false" customHeight="false" outlineLevel="0" collapsed="false">
      <c r="A355" s="0" t="s">
        <v>1087</v>
      </c>
      <c r="B355" s="0" t="s">
        <v>1088</v>
      </c>
      <c r="C355" s="5" t="s">
        <v>81</v>
      </c>
      <c r="D355" s="0" t="s">
        <v>117</v>
      </c>
      <c r="E355" s="0" t="s">
        <v>58</v>
      </c>
      <c r="F355" s="0" t="s">
        <v>1081</v>
      </c>
      <c r="G355" s="0" t="s">
        <v>1089</v>
      </c>
      <c r="H355" s="9" t="s">
        <v>733</v>
      </c>
      <c r="I355" s="9" t="s">
        <v>733</v>
      </c>
      <c r="J355" s="9" t="n">
        <v>1000</v>
      </c>
      <c r="K355" s="9" t="n">
        <v>2030</v>
      </c>
      <c r="L355" s="9" t="n">
        <v>12</v>
      </c>
      <c r="N355" s="9" t="n">
        <v>1</v>
      </c>
      <c r="O355" s="9" t="n">
        <v>0</v>
      </c>
      <c r="S355" s="0" t="n">
        <v>4</v>
      </c>
    </row>
    <row r="356" customFormat="false" ht="17.15" hidden="false" customHeight="false" outlineLevel="0" collapsed="false">
      <c r="A356" s="0" t="s">
        <v>1090</v>
      </c>
      <c r="B356" s="0" t="s">
        <v>1091</v>
      </c>
      <c r="C356" s="5" t="s">
        <v>172</v>
      </c>
      <c r="D356" s="0" t="s">
        <v>117</v>
      </c>
      <c r="E356" s="0" t="s">
        <v>58</v>
      </c>
      <c r="F356" s="0" t="s">
        <v>1081</v>
      </c>
      <c r="G356" s="5" t="s">
        <v>1092</v>
      </c>
      <c r="H356" s="9" t="s">
        <v>741</v>
      </c>
      <c r="J356" s="9" t="n">
        <v>200</v>
      </c>
      <c r="K356" s="9" t="n">
        <v>2027</v>
      </c>
      <c r="L356" s="9" t="n">
        <v>12</v>
      </c>
      <c r="N356" s="9" t="n">
        <v>2</v>
      </c>
      <c r="O356" s="9" t="n">
        <v>0</v>
      </c>
      <c r="S356" s="0" t="n">
        <v>4</v>
      </c>
    </row>
    <row r="357" customFormat="false" ht="17.15" hidden="false" customHeight="false" outlineLevel="0" collapsed="false">
      <c r="A357" s="0" t="s">
        <v>1093</v>
      </c>
      <c r="B357" s="0" t="s">
        <v>1091</v>
      </c>
      <c r="C357" s="5" t="s">
        <v>172</v>
      </c>
      <c r="D357" s="0" t="s">
        <v>117</v>
      </c>
      <c r="E357" s="0" t="s">
        <v>58</v>
      </c>
      <c r="F357" s="0" t="s">
        <v>1081</v>
      </c>
      <c r="G357" s="5" t="s">
        <v>1092</v>
      </c>
      <c r="H357" s="9" t="s">
        <v>741</v>
      </c>
      <c r="J357" s="9" t="n">
        <v>200</v>
      </c>
      <c r="K357" s="9" t="n">
        <v>2028</v>
      </c>
      <c r="L357" s="9" t="n">
        <v>12</v>
      </c>
      <c r="N357" s="9" t="n">
        <v>2</v>
      </c>
      <c r="O357" s="9" t="n">
        <v>0</v>
      </c>
      <c r="S357" s="0" t="n">
        <v>4</v>
      </c>
    </row>
    <row r="358" customFormat="false" ht="17.15" hidden="false" customHeight="false" outlineLevel="0" collapsed="false">
      <c r="A358" s="0" t="s">
        <v>1094</v>
      </c>
      <c r="B358" s="0" t="s">
        <v>1091</v>
      </c>
      <c r="C358" s="5" t="s">
        <v>172</v>
      </c>
      <c r="D358" s="0" t="s">
        <v>117</v>
      </c>
      <c r="E358" s="0" t="s">
        <v>58</v>
      </c>
      <c r="F358" s="0" t="s">
        <v>1081</v>
      </c>
      <c r="G358" s="5" t="s">
        <v>1092</v>
      </c>
      <c r="H358" s="9" t="s">
        <v>741</v>
      </c>
      <c r="J358" s="9" t="n">
        <v>200</v>
      </c>
      <c r="K358" s="9" t="n">
        <v>2029</v>
      </c>
      <c r="L358" s="9" t="n">
        <v>12</v>
      </c>
      <c r="N358" s="9" t="n">
        <v>2</v>
      </c>
      <c r="O358" s="9" t="n">
        <v>0</v>
      </c>
      <c r="S358" s="0" t="n">
        <v>4</v>
      </c>
    </row>
    <row r="359" customFormat="false" ht="17.15" hidden="false" customHeight="false" outlineLevel="0" collapsed="false">
      <c r="A359" s="0" t="s">
        <v>1095</v>
      </c>
      <c r="B359" s="0" t="s">
        <v>1091</v>
      </c>
      <c r="C359" s="5" t="s">
        <v>172</v>
      </c>
      <c r="D359" s="0" t="s">
        <v>117</v>
      </c>
      <c r="E359" s="0" t="s">
        <v>58</v>
      </c>
      <c r="F359" s="0" t="s">
        <v>1081</v>
      </c>
      <c r="G359" s="5" t="s">
        <v>1092</v>
      </c>
      <c r="H359" s="9" t="s">
        <v>741</v>
      </c>
      <c r="J359" s="9" t="n">
        <v>200</v>
      </c>
      <c r="K359" s="9" t="n">
        <v>2030</v>
      </c>
      <c r="L359" s="9" t="n">
        <v>12</v>
      </c>
      <c r="N359" s="9" t="n">
        <v>2</v>
      </c>
      <c r="O359" s="9" t="n">
        <v>0</v>
      </c>
      <c r="S359" s="0" t="n">
        <v>4</v>
      </c>
    </row>
    <row r="360" customFormat="false" ht="17.15" hidden="false" customHeight="false" outlineLevel="0" collapsed="false">
      <c r="A360" s="0" t="s">
        <v>1096</v>
      </c>
      <c r="B360" s="0" t="s">
        <v>1091</v>
      </c>
      <c r="C360" s="5" t="s">
        <v>172</v>
      </c>
      <c r="D360" s="0" t="s">
        <v>117</v>
      </c>
      <c r="E360" s="0" t="s">
        <v>58</v>
      </c>
      <c r="F360" s="0" t="s">
        <v>1081</v>
      </c>
      <c r="G360" s="5" t="s">
        <v>1092</v>
      </c>
      <c r="H360" s="9" t="s">
        <v>741</v>
      </c>
      <c r="J360" s="9" t="n">
        <v>200</v>
      </c>
      <c r="K360" s="9" t="n">
        <v>2031</v>
      </c>
      <c r="L360" s="9" t="n">
        <v>12</v>
      </c>
      <c r="N360" s="9" t="n">
        <v>2</v>
      </c>
      <c r="O360" s="9" t="n">
        <v>0</v>
      </c>
      <c r="S360" s="0" t="n">
        <v>4</v>
      </c>
    </row>
    <row r="361" customFormat="false" ht="17.15" hidden="false" customHeight="false" outlineLevel="0" collapsed="false">
      <c r="A361" s="0" t="s">
        <v>1097</v>
      </c>
      <c r="B361" s="0" t="s">
        <v>1091</v>
      </c>
      <c r="C361" s="5" t="s">
        <v>172</v>
      </c>
      <c r="D361" s="0" t="s">
        <v>117</v>
      </c>
      <c r="E361" s="0" t="s">
        <v>58</v>
      </c>
      <c r="F361" s="0" t="s">
        <v>1081</v>
      </c>
      <c r="G361" s="5" t="s">
        <v>1092</v>
      </c>
      <c r="H361" s="9" t="s">
        <v>741</v>
      </c>
      <c r="J361" s="9" t="n">
        <v>200</v>
      </c>
      <c r="K361" s="9" t="n">
        <v>2032</v>
      </c>
      <c r="L361" s="9" t="n">
        <v>12</v>
      </c>
      <c r="N361" s="9" t="n">
        <v>2</v>
      </c>
      <c r="O361" s="9" t="n">
        <v>0</v>
      </c>
      <c r="S361" s="0" t="n">
        <v>4</v>
      </c>
    </row>
    <row r="362" customFormat="false" ht="17.15" hidden="false" customHeight="false" outlineLevel="0" collapsed="false">
      <c r="A362" s="0" t="s">
        <v>1098</v>
      </c>
      <c r="B362" s="0" t="s">
        <v>1099</v>
      </c>
      <c r="C362" s="5" t="s">
        <v>81</v>
      </c>
      <c r="D362" s="0" t="s">
        <v>117</v>
      </c>
      <c r="E362" s="0" t="s">
        <v>58</v>
      </c>
      <c r="F362" s="0" t="s">
        <v>1081</v>
      </c>
      <c r="G362" s="0" t="s">
        <v>1100</v>
      </c>
      <c r="H362" s="9" t="s">
        <v>728</v>
      </c>
      <c r="I362" s="9" t="s">
        <v>729</v>
      </c>
      <c r="J362" s="9" t="n">
        <v>2000</v>
      </c>
      <c r="K362" s="9" t="n">
        <v>2032</v>
      </c>
      <c r="L362" s="9" t="n">
        <v>12</v>
      </c>
      <c r="N362" s="9" t="n">
        <v>1</v>
      </c>
      <c r="O362" s="9" t="n">
        <v>0</v>
      </c>
      <c r="S362" s="0" t="n">
        <v>4</v>
      </c>
    </row>
    <row r="363" customFormat="false" ht="17.15" hidden="false" customHeight="false" outlineLevel="0" collapsed="false">
      <c r="A363" s="0" t="s">
        <v>1101</v>
      </c>
      <c r="B363" s="0" t="s">
        <v>1102</v>
      </c>
      <c r="C363" s="5" t="s">
        <v>172</v>
      </c>
      <c r="D363" s="0" t="s">
        <v>117</v>
      </c>
      <c r="E363" s="0" t="s">
        <v>58</v>
      </c>
      <c r="F363" s="0" t="s">
        <v>1081</v>
      </c>
      <c r="G363" s="0" t="s">
        <v>1103</v>
      </c>
      <c r="H363" s="9" t="s">
        <v>728</v>
      </c>
      <c r="I363" s="9" t="s">
        <v>729</v>
      </c>
      <c r="J363" s="9" t="n">
        <v>150</v>
      </c>
      <c r="K363" s="9" t="n">
        <v>2031</v>
      </c>
      <c r="L363" s="9" t="n">
        <v>12</v>
      </c>
      <c r="N363" s="9" t="n">
        <v>1</v>
      </c>
      <c r="O363" s="9" t="n">
        <v>0</v>
      </c>
      <c r="S363" s="0" t="n">
        <v>4</v>
      </c>
    </row>
    <row r="364" customFormat="false" ht="17.15" hidden="false" customHeight="false" outlineLevel="0" collapsed="false">
      <c r="A364" s="0" t="s">
        <v>1104</v>
      </c>
      <c r="B364" s="0" t="s">
        <v>1105</v>
      </c>
      <c r="C364" s="0" t="s">
        <v>116</v>
      </c>
      <c r="D364" s="0" t="s">
        <v>117</v>
      </c>
      <c r="E364" s="0" t="s">
        <v>58</v>
      </c>
      <c r="F364" s="0" t="s">
        <v>1081</v>
      </c>
      <c r="G364" s="0" t="s">
        <v>1106</v>
      </c>
      <c r="H364" s="9" t="s">
        <v>728</v>
      </c>
      <c r="I364" s="9" t="s">
        <v>729</v>
      </c>
      <c r="J364" s="9" t="n">
        <v>144</v>
      </c>
      <c r="K364" s="9" t="n">
        <v>2028</v>
      </c>
      <c r="L364" s="9" t="n">
        <v>3</v>
      </c>
      <c r="N364" s="9" t="n">
        <v>1</v>
      </c>
      <c r="O364" s="9" t="n">
        <v>0</v>
      </c>
      <c r="S364" s="0" t="n">
        <v>4</v>
      </c>
    </row>
    <row r="365" customFormat="false" ht="17.15" hidden="false" customHeight="false" outlineLevel="0" collapsed="false">
      <c r="A365" s="0" t="s">
        <v>1107</v>
      </c>
      <c r="B365" s="0" t="s">
        <v>1105</v>
      </c>
      <c r="C365" s="0" t="s">
        <v>116</v>
      </c>
      <c r="D365" s="0" t="s">
        <v>117</v>
      </c>
      <c r="E365" s="0" t="s">
        <v>58</v>
      </c>
      <c r="F365" s="0" t="s">
        <v>1081</v>
      </c>
      <c r="G365" s="0" t="s">
        <v>1106</v>
      </c>
      <c r="H365" s="9" t="s">
        <v>728</v>
      </c>
      <c r="I365" s="9" t="s">
        <v>729</v>
      </c>
      <c r="J365" s="9" t="n">
        <v>144</v>
      </c>
      <c r="K365" s="9" t="n">
        <v>2029</v>
      </c>
      <c r="L365" s="9" t="n">
        <v>12</v>
      </c>
      <c r="N365" s="9" t="n">
        <v>1</v>
      </c>
      <c r="O365" s="9" t="n">
        <v>0</v>
      </c>
      <c r="S365" s="0" t="n">
        <v>4</v>
      </c>
    </row>
    <row r="366" customFormat="false" ht="17.15" hidden="false" customHeight="false" outlineLevel="0" collapsed="false">
      <c r="A366" s="0" t="s">
        <v>1108</v>
      </c>
      <c r="B366" s="0" t="s">
        <v>1105</v>
      </c>
      <c r="C366" s="0" t="s">
        <v>116</v>
      </c>
      <c r="D366" s="0" t="s">
        <v>117</v>
      </c>
      <c r="E366" s="0" t="s">
        <v>58</v>
      </c>
      <c r="F366" s="0" t="s">
        <v>1081</v>
      </c>
      <c r="G366" s="0" t="s">
        <v>1106</v>
      </c>
      <c r="H366" s="9" t="s">
        <v>728</v>
      </c>
      <c r="I366" s="9" t="s">
        <v>729</v>
      </c>
      <c r="J366" s="9" t="n">
        <v>144</v>
      </c>
      <c r="K366" s="9" t="n">
        <v>2030</v>
      </c>
      <c r="L366" s="9" t="n">
        <v>12</v>
      </c>
      <c r="N366" s="9" t="n">
        <v>1</v>
      </c>
      <c r="O366" s="9" t="n">
        <v>0</v>
      </c>
      <c r="S366" s="0" t="n">
        <v>4</v>
      </c>
    </row>
    <row r="367" customFormat="false" ht="17.15" hidden="false" customHeight="false" outlineLevel="0" collapsed="false">
      <c r="A367" s="0" t="s">
        <v>1109</v>
      </c>
      <c r="B367" s="0" t="s">
        <v>1105</v>
      </c>
      <c r="C367" s="0" t="s">
        <v>116</v>
      </c>
      <c r="D367" s="0" t="s">
        <v>117</v>
      </c>
      <c r="E367" s="0" t="s">
        <v>58</v>
      </c>
      <c r="F367" s="0" t="s">
        <v>1081</v>
      </c>
      <c r="G367" s="0" t="s">
        <v>1106</v>
      </c>
      <c r="H367" s="9" t="s">
        <v>728</v>
      </c>
      <c r="I367" s="9" t="s">
        <v>729</v>
      </c>
      <c r="J367" s="9" t="n">
        <v>144</v>
      </c>
      <c r="K367" s="9" t="n">
        <v>2031</v>
      </c>
      <c r="L367" s="9" t="n">
        <v>12</v>
      </c>
      <c r="N367" s="9" t="n">
        <v>1</v>
      </c>
      <c r="O367" s="9" t="n">
        <v>0</v>
      </c>
      <c r="S367" s="0" t="n">
        <v>4</v>
      </c>
    </row>
    <row r="368" customFormat="false" ht="17.15" hidden="false" customHeight="false" outlineLevel="0" collapsed="false">
      <c r="A368" s="0" t="s">
        <v>1110</v>
      </c>
      <c r="B368" s="0" t="s">
        <v>1105</v>
      </c>
      <c r="C368" s="0" t="s">
        <v>116</v>
      </c>
      <c r="D368" s="0" t="s">
        <v>117</v>
      </c>
      <c r="E368" s="0" t="s">
        <v>58</v>
      </c>
      <c r="F368" s="0" t="s">
        <v>1081</v>
      </c>
      <c r="G368" s="0" t="s">
        <v>1106</v>
      </c>
      <c r="H368" s="9" t="s">
        <v>728</v>
      </c>
      <c r="I368" s="9" t="s">
        <v>729</v>
      </c>
      <c r="J368" s="9" t="n">
        <v>144</v>
      </c>
      <c r="K368" s="9" t="n">
        <v>2032</v>
      </c>
      <c r="L368" s="9" t="n">
        <v>12</v>
      </c>
      <c r="N368" s="9" t="n">
        <v>1</v>
      </c>
      <c r="O368" s="9" t="n">
        <v>0</v>
      </c>
      <c r="S368" s="0" t="n">
        <v>4</v>
      </c>
    </row>
    <row r="369" customFormat="false" ht="17.15" hidden="false" customHeight="false" outlineLevel="0" collapsed="false">
      <c r="A369" s="0" t="s">
        <v>1111</v>
      </c>
      <c r="B369" s="0" t="s">
        <v>1112</v>
      </c>
      <c r="C369" s="5" t="s">
        <v>81</v>
      </c>
      <c r="D369" s="0" t="s">
        <v>117</v>
      </c>
      <c r="E369" s="0" t="s">
        <v>42</v>
      </c>
      <c r="F369" s="0" t="s">
        <v>1081</v>
      </c>
      <c r="G369" s="0" t="s">
        <v>1113</v>
      </c>
      <c r="H369" s="9" t="s">
        <v>728</v>
      </c>
      <c r="I369" s="9" t="s">
        <v>729</v>
      </c>
      <c r="J369" s="9" t="n">
        <v>422</v>
      </c>
      <c r="K369" s="9" t="n">
        <v>2032</v>
      </c>
      <c r="L369" s="9" t="n">
        <v>12</v>
      </c>
      <c r="N369" s="9" t="n">
        <v>1</v>
      </c>
      <c r="O369" s="9" t="n">
        <v>0</v>
      </c>
      <c r="S369" s="0" t="n">
        <v>4</v>
      </c>
    </row>
    <row r="370" customFormat="false" ht="17.15" hidden="false" customHeight="false" outlineLevel="0" collapsed="false">
      <c r="A370" s="0" t="s">
        <v>1114</v>
      </c>
      <c r="B370" s="0" t="s">
        <v>1115</v>
      </c>
      <c r="C370" s="5" t="s">
        <v>172</v>
      </c>
      <c r="D370" s="0" t="s">
        <v>117</v>
      </c>
      <c r="E370" s="0" t="s">
        <v>58</v>
      </c>
      <c r="F370" s="0" t="s">
        <v>1081</v>
      </c>
      <c r="G370" s="5" t="s">
        <v>1116</v>
      </c>
      <c r="H370" s="9" t="s">
        <v>753</v>
      </c>
      <c r="I370" s="9" t="s">
        <v>753</v>
      </c>
      <c r="J370" s="9" t="n">
        <v>550</v>
      </c>
      <c r="K370" s="9" t="n">
        <v>2029</v>
      </c>
      <c r="L370" s="9" t="n">
        <v>12</v>
      </c>
      <c r="N370" s="9" t="n">
        <v>2</v>
      </c>
      <c r="O370" s="9" t="n">
        <v>0</v>
      </c>
      <c r="S370" s="0" t="n">
        <v>4</v>
      </c>
    </row>
    <row r="371" customFormat="false" ht="17.15" hidden="false" customHeight="false" outlineLevel="0" collapsed="false">
      <c r="A371" s="0" t="s">
        <v>1117</v>
      </c>
      <c r="B371" s="0" t="s">
        <v>1115</v>
      </c>
      <c r="C371" s="5" t="s">
        <v>172</v>
      </c>
      <c r="D371" s="0" t="s">
        <v>117</v>
      </c>
      <c r="E371" s="0" t="s">
        <v>58</v>
      </c>
      <c r="F371" s="0" t="s">
        <v>1081</v>
      </c>
      <c r="G371" s="5" t="s">
        <v>1116</v>
      </c>
      <c r="H371" s="9" t="s">
        <v>753</v>
      </c>
      <c r="I371" s="9" t="s">
        <v>753</v>
      </c>
      <c r="J371" s="9" t="n">
        <v>550</v>
      </c>
      <c r="K371" s="9" t="n">
        <v>2030</v>
      </c>
      <c r="L371" s="9" t="n">
        <v>12</v>
      </c>
      <c r="N371" s="9" t="n">
        <v>2</v>
      </c>
      <c r="O371" s="9" t="n">
        <v>0</v>
      </c>
      <c r="S371" s="0" t="n">
        <v>4</v>
      </c>
    </row>
    <row r="372" customFormat="false" ht="17.15" hidden="false" customHeight="false" outlineLevel="0" collapsed="false">
      <c r="A372" s="0" t="s">
        <v>1118</v>
      </c>
      <c r="B372" s="0" t="s">
        <v>1115</v>
      </c>
      <c r="C372" s="5" t="s">
        <v>172</v>
      </c>
      <c r="D372" s="0" t="s">
        <v>117</v>
      </c>
      <c r="E372" s="0" t="s">
        <v>58</v>
      </c>
      <c r="F372" s="0" t="s">
        <v>1081</v>
      </c>
      <c r="G372" s="5" t="s">
        <v>1116</v>
      </c>
      <c r="H372" s="9" t="s">
        <v>753</v>
      </c>
      <c r="I372" s="9" t="s">
        <v>753</v>
      </c>
      <c r="J372" s="9" t="n">
        <v>550</v>
      </c>
      <c r="K372" s="9" t="n">
        <v>2031</v>
      </c>
      <c r="L372" s="9" t="n">
        <v>12</v>
      </c>
      <c r="N372" s="9" t="n">
        <v>2</v>
      </c>
      <c r="O372" s="9" t="n">
        <v>0</v>
      </c>
      <c r="S372" s="0" t="n">
        <v>4</v>
      </c>
    </row>
    <row r="373" customFormat="false" ht="17.15" hidden="false" customHeight="false" outlineLevel="0" collapsed="false">
      <c r="A373" s="0" t="s">
        <v>1119</v>
      </c>
      <c r="B373" s="0" t="s">
        <v>1115</v>
      </c>
      <c r="C373" s="5" t="s">
        <v>172</v>
      </c>
      <c r="D373" s="0" t="s">
        <v>117</v>
      </c>
      <c r="E373" s="0" t="s">
        <v>58</v>
      </c>
      <c r="F373" s="0" t="s">
        <v>1081</v>
      </c>
      <c r="G373" s="5" t="s">
        <v>1116</v>
      </c>
      <c r="H373" s="9" t="s">
        <v>753</v>
      </c>
      <c r="I373" s="9" t="s">
        <v>753</v>
      </c>
      <c r="J373" s="9" t="n">
        <v>550</v>
      </c>
      <c r="K373" s="9" t="n">
        <v>2032</v>
      </c>
      <c r="L373" s="9" t="n">
        <v>12</v>
      </c>
      <c r="N373" s="9" t="n">
        <v>2</v>
      </c>
      <c r="O373" s="9" t="n">
        <v>0</v>
      </c>
      <c r="S373" s="0" t="n">
        <v>4</v>
      </c>
    </row>
    <row r="374" customFormat="false" ht="17.15" hidden="false" customHeight="false" outlineLevel="0" collapsed="false">
      <c r="A374" s="0" t="s">
        <v>1120</v>
      </c>
      <c r="B374" s="0" t="s">
        <v>1121</v>
      </c>
      <c r="C374" s="0" t="s">
        <v>116</v>
      </c>
      <c r="D374" s="0" t="s">
        <v>117</v>
      </c>
      <c r="E374" s="0" t="s">
        <v>42</v>
      </c>
      <c r="F374" s="0" t="s">
        <v>1081</v>
      </c>
      <c r="G374" s="0" t="s">
        <v>1122</v>
      </c>
      <c r="H374" s="9" t="s">
        <v>842</v>
      </c>
      <c r="J374" s="9" t="n">
        <v>132</v>
      </c>
      <c r="K374" s="9" t="n">
        <v>2028</v>
      </c>
      <c r="L374" s="9" t="n">
        <v>12</v>
      </c>
      <c r="N374" s="9" t="n">
        <v>1</v>
      </c>
      <c r="O374" s="9" t="n">
        <v>0</v>
      </c>
      <c r="S374" s="0" t="n">
        <v>4</v>
      </c>
    </row>
    <row r="375" customFormat="false" ht="17.15" hidden="false" customHeight="false" outlineLevel="0" collapsed="false">
      <c r="A375" s="18" t="s">
        <v>1123</v>
      </c>
      <c r="B375" s="18" t="s">
        <v>1124</v>
      </c>
      <c r="C375" s="19" t="s">
        <v>172</v>
      </c>
      <c r="D375" s="18" t="s">
        <v>117</v>
      </c>
      <c r="E375" s="18" t="s">
        <v>42</v>
      </c>
      <c r="F375" s="18" t="s">
        <v>1081</v>
      </c>
      <c r="G375" s="19" t="s">
        <v>1125</v>
      </c>
      <c r="H375" s="9" t="s">
        <v>741</v>
      </c>
      <c r="J375" s="9" t="n">
        <v>343</v>
      </c>
      <c r="K375" s="9" t="n">
        <v>2028</v>
      </c>
      <c r="L375" s="9" t="n">
        <v>12</v>
      </c>
      <c r="N375" s="9" t="n">
        <v>0</v>
      </c>
      <c r="O375" s="9" t="n">
        <v>0</v>
      </c>
      <c r="S375" s="0" t="n">
        <v>4</v>
      </c>
    </row>
    <row r="376" customFormat="false" ht="17.15" hidden="false" customHeight="false" outlineLevel="0" collapsed="false">
      <c r="A376" s="18" t="s">
        <v>1126</v>
      </c>
      <c r="B376" s="18" t="s">
        <v>1124</v>
      </c>
      <c r="C376" s="19" t="s">
        <v>172</v>
      </c>
      <c r="D376" s="18" t="s">
        <v>117</v>
      </c>
      <c r="E376" s="18" t="s">
        <v>42</v>
      </c>
      <c r="F376" s="18" t="s">
        <v>1081</v>
      </c>
      <c r="G376" s="19" t="s">
        <v>1125</v>
      </c>
      <c r="H376" s="9" t="s">
        <v>741</v>
      </c>
      <c r="J376" s="9" t="n">
        <v>343</v>
      </c>
      <c r="K376" s="9" t="n">
        <v>2029</v>
      </c>
      <c r="L376" s="9" t="n">
        <v>12</v>
      </c>
      <c r="N376" s="9" t="n">
        <v>0</v>
      </c>
      <c r="O376" s="9" t="n">
        <v>0</v>
      </c>
      <c r="S376" s="0" t="n">
        <v>4</v>
      </c>
    </row>
    <row r="377" customFormat="false" ht="17.15" hidden="false" customHeight="false" outlineLevel="0" collapsed="false">
      <c r="A377" s="18" t="s">
        <v>1127</v>
      </c>
      <c r="B377" s="18" t="s">
        <v>1124</v>
      </c>
      <c r="C377" s="19" t="s">
        <v>172</v>
      </c>
      <c r="D377" s="18" t="s">
        <v>117</v>
      </c>
      <c r="E377" s="18" t="s">
        <v>42</v>
      </c>
      <c r="F377" s="18" t="s">
        <v>1081</v>
      </c>
      <c r="G377" s="19" t="s">
        <v>1125</v>
      </c>
      <c r="H377" s="9" t="s">
        <v>741</v>
      </c>
      <c r="J377" s="9" t="n">
        <v>343</v>
      </c>
      <c r="K377" s="9" t="n">
        <v>2030</v>
      </c>
      <c r="L377" s="9" t="n">
        <v>12</v>
      </c>
      <c r="N377" s="9" t="n">
        <v>0</v>
      </c>
      <c r="O377" s="9" t="n">
        <v>0</v>
      </c>
      <c r="S377" s="0" t="n">
        <v>4</v>
      </c>
    </row>
    <row r="378" customFormat="false" ht="17.15" hidden="false" customHeight="false" outlineLevel="0" collapsed="false">
      <c r="A378" s="18" t="s">
        <v>1128</v>
      </c>
      <c r="B378" s="18" t="s">
        <v>1124</v>
      </c>
      <c r="C378" s="19" t="s">
        <v>172</v>
      </c>
      <c r="D378" s="18" t="s">
        <v>117</v>
      </c>
      <c r="E378" s="18" t="s">
        <v>42</v>
      </c>
      <c r="F378" s="18" t="s">
        <v>1081</v>
      </c>
      <c r="G378" s="19" t="s">
        <v>1125</v>
      </c>
      <c r="H378" s="9" t="s">
        <v>741</v>
      </c>
      <c r="J378" s="9" t="n">
        <v>343</v>
      </c>
      <c r="K378" s="9" t="n">
        <v>2031</v>
      </c>
      <c r="L378" s="9" t="n">
        <v>12</v>
      </c>
      <c r="N378" s="9" t="n">
        <v>0</v>
      </c>
      <c r="O378" s="9" t="n">
        <v>0</v>
      </c>
      <c r="S378" s="0" t="n">
        <v>4</v>
      </c>
    </row>
    <row r="379" customFormat="false" ht="17.15" hidden="false" customHeight="false" outlineLevel="0" collapsed="false">
      <c r="A379" s="18" t="s">
        <v>1129</v>
      </c>
      <c r="B379" s="18" t="s">
        <v>1124</v>
      </c>
      <c r="C379" s="19" t="s">
        <v>172</v>
      </c>
      <c r="D379" s="18" t="s">
        <v>117</v>
      </c>
      <c r="E379" s="18" t="s">
        <v>42</v>
      </c>
      <c r="F379" s="18" t="s">
        <v>1081</v>
      </c>
      <c r="G379" s="19" t="s">
        <v>1125</v>
      </c>
      <c r="H379" s="9" t="s">
        <v>741</v>
      </c>
      <c r="J379" s="9" t="n">
        <v>343</v>
      </c>
      <c r="K379" s="9" t="n">
        <v>2032</v>
      </c>
      <c r="L379" s="9" t="n">
        <v>12</v>
      </c>
      <c r="N379" s="9" t="n">
        <v>0</v>
      </c>
      <c r="O379" s="9" t="n">
        <v>0</v>
      </c>
      <c r="S379" s="0" t="n">
        <v>4</v>
      </c>
    </row>
    <row r="380" customFormat="false" ht="17.15" hidden="false" customHeight="false" outlineLevel="0" collapsed="false">
      <c r="A380" s="18" t="s">
        <v>1130</v>
      </c>
      <c r="B380" s="18" t="s">
        <v>1131</v>
      </c>
      <c r="C380" s="19" t="s">
        <v>172</v>
      </c>
      <c r="D380" s="18" t="s">
        <v>117</v>
      </c>
      <c r="E380" s="18" t="s">
        <v>42</v>
      </c>
      <c r="F380" s="18" t="s">
        <v>1081</v>
      </c>
      <c r="G380" s="19" t="s">
        <v>1132</v>
      </c>
      <c r="H380" s="9" t="s">
        <v>733</v>
      </c>
      <c r="I380" s="9" t="s">
        <v>729</v>
      </c>
      <c r="J380" s="9" t="n">
        <v>197</v>
      </c>
      <c r="K380" s="9" t="n">
        <v>2028</v>
      </c>
      <c r="L380" s="9" t="n">
        <v>12</v>
      </c>
      <c r="N380" s="9" t="n">
        <v>0</v>
      </c>
      <c r="O380" s="9" t="n">
        <v>0</v>
      </c>
      <c r="S380" s="0" t="n">
        <v>4</v>
      </c>
    </row>
    <row r="381" customFormat="false" ht="17.15" hidden="false" customHeight="false" outlineLevel="0" collapsed="false">
      <c r="A381" s="18" t="s">
        <v>1133</v>
      </c>
      <c r="B381" s="18" t="s">
        <v>1131</v>
      </c>
      <c r="C381" s="19" t="s">
        <v>172</v>
      </c>
      <c r="D381" s="18" t="s">
        <v>117</v>
      </c>
      <c r="E381" s="18" t="s">
        <v>42</v>
      </c>
      <c r="F381" s="18" t="s">
        <v>1081</v>
      </c>
      <c r="G381" s="19" t="s">
        <v>1132</v>
      </c>
      <c r="H381" s="9" t="s">
        <v>733</v>
      </c>
      <c r="I381" s="9" t="s">
        <v>729</v>
      </c>
      <c r="J381" s="9" t="n">
        <v>197</v>
      </c>
      <c r="K381" s="9" t="n">
        <v>2029</v>
      </c>
      <c r="L381" s="9" t="n">
        <v>12</v>
      </c>
      <c r="N381" s="9" t="n">
        <v>0</v>
      </c>
      <c r="O381" s="9" t="n">
        <v>0</v>
      </c>
      <c r="S381" s="0" t="n">
        <v>4</v>
      </c>
    </row>
    <row r="382" customFormat="false" ht="17.15" hidden="false" customHeight="false" outlineLevel="0" collapsed="false">
      <c r="A382" s="18" t="s">
        <v>1134</v>
      </c>
      <c r="B382" s="18" t="s">
        <v>1131</v>
      </c>
      <c r="C382" s="19" t="s">
        <v>172</v>
      </c>
      <c r="D382" s="18" t="s">
        <v>117</v>
      </c>
      <c r="E382" s="18" t="s">
        <v>42</v>
      </c>
      <c r="F382" s="18" t="s">
        <v>1081</v>
      </c>
      <c r="G382" s="19" t="s">
        <v>1132</v>
      </c>
      <c r="H382" s="9" t="s">
        <v>733</v>
      </c>
      <c r="I382" s="9" t="s">
        <v>729</v>
      </c>
      <c r="J382" s="9" t="n">
        <v>196</v>
      </c>
      <c r="K382" s="9" t="n">
        <v>2030</v>
      </c>
      <c r="L382" s="9" t="n">
        <v>12</v>
      </c>
      <c r="N382" s="9" t="n">
        <v>0</v>
      </c>
      <c r="O382" s="9" t="n">
        <v>0</v>
      </c>
      <c r="S382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1135</v>
      </c>
    </row>
    <row r="2" customFormat="false" ht="17.15" hidden="false" customHeight="false" outlineLevel="0" collapsed="false">
      <c r="A2" s="5" t="s">
        <v>1136</v>
      </c>
    </row>
    <row r="4" customFormat="false" ht="17.15" hidden="false" customHeight="false" outlineLevel="0" collapsed="false">
      <c r="A4" s="6" t="s">
        <v>1137</v>
      </c>
      <c r="B4" s="6" t="s">
        <v>1138</v>
      </c>
      <c r="C4" s="6" t="s">
        <v>1139</v>
      </c>
      <c r="D4" s="6" t="s">
        <v>1140</v>
      </c>
      <c r="E4" s="6" t="s">
        <v>1141</v>
      </c>
      <c r="F4" s="6" t="s">
        <v>1142</v>
      </c>
      <c r="G4" s="6" t="s">
        <v>22</v>
      </c>
      <c r="H4" s="7" t="s">
        <v>1143</v>
      </c>
    </row>
    <row r="5" customFormat="false" ht="15" hidden="false" customHeight="false" outlineLevel="0" collapsed="false">
      <c r="A5" s="0" t="s">
        <v>1144</v>
      </c>
      <c r="B5" s="0" t="s">
        <v>1145</v>
      </c>
      <c r="C5" s="0" t="s">
        <v>1146</v>
      </c>
      <c r="D5" s="20" t="n">
        <v>22439</v>
      </c>
      <c r="E5" s="20" t="n">
        <v>22439</v>
      </c>
      <c r="F5" s="20" t="n">
        <v>22439</v>
      </c>
      <c r="G5" s="5" t="s">
        <v>1147</v>
      </c>
      <c r="H5" s="21" t="s">
        <v>1148</v>
      </c>
    </row>
    <row r="6" customFormat="false" ht="15" hidden="false" customHeight="false" outlineLevel="0" collapsed="false">
      <c r="A6" s="0" t="s">
        <v>1144</v>
      </c>
      <c r="B6" s="0" t="s">
        <v>1149</v>
      </c>
      <c r="C6" s="0" t="s">
        <v>1150</v>
      </c>
      <c r="D6" s="20" t="n">
        <v>6969</v>
      </c>
      <c r="E6" s="20" t="n">
        <v>6969</v>
      </c>
      <c r="F6" s="20" t="n">
        <v>6969</v>
      </c>
      <c r="G6" s="5" t="s">
        <v>1147</v>
      </c>
      <c r="H6" s="21" t="s">
        <v>1148</v>
      </c>
    </row>
    <row r="7" customFormat="false" ht="15" hidden="false" customHeight="false" outlineLevel="0" collapsed="false">
      <c r="A7" s="0" t="s">
        <v>1144</v>
      </c>
      <c r="B7" s="0" t="s">
        <v>1151</v>
      </c>
      <c r="C7" s="0" t="s">
        <v>1152</v>
      </c>
      <c r="D7" s="20" t="n">
        <v>6764</v>
      </c>
      <c r="E7" s="20" t="n">
        <v>6764</v>
      </c>
      <c r="F7" s="20" t="n">
        <v>6764</v>
      </c>
      <c r="G7" s="5" t="s">
        <v>1147</v>
      </c>
      <c r="H7" s="21" t="s">
        <v>1148</v>
      </c>
    </row>
    <row r="8" customFormat="false" ht="15" hidden="false" customHeight="false" outlineLevel="0" collapsed="false">
      <c r="A8" s="0" t="s">
        <v>1144</v>
      </c>
      <c r="B8" s="0" t="s">
        <v>1153</v>
      </c>
      <c r="C8" s="0" t="s">
        <v>1154</v>
      </c>
      <c r="D8" s="20" t="n">
        <v>4052</v>
      </c>
      <c r="E8" s="20" t="n">
        <v>4052</v>
      </c>
      <c r="F8" s="20" t="n">
        <v>4052</v>
      </c>
      <c r="G8" s="5" t="s">
        <v>1147</v>
      </c>
      <c r="H8" s="21" t="s">
        <v>1148</v>
      </c>
    </row>
    <row r="9" customFormat="false" ht="17.15" hidden="false" customHeight="false" outlineLevel="0" collapsed="false">
      <c r="A9" s="0" t="s">
        <v>1144</v>
      </c>
      <c r="B9" s="0" t="s">
        <v>1155</v>
      </c>
      <c r="C9" s="0" t="s">
        <v>1156</v>
      </c>
      <c r="D9" s="20" t="n">
        <v>2705</v>
      </c>
      <c r="E9" s="20" t="n">
        <v>2705</v>
      </c>
      <c r="F9" s="20" t="n">
        <v>2705</v>
      </c>
      <c r="G9" s="5" t="s">
        <v>1147</v>
      </c>
      <c r="H9" s="21" t="s">
        <v>1148</v>
      </c>
    </row>
    <row r="10" customFormat="false" ht="15" hidden="false" customHeight="false" outlineLevel="0" collapsed="false">
      <c r="A10" s="0" t="s">
        <v>1157</v>
      </c>
      <c r="B10" s="0" t="s">
        <v>1145</v>
      </c>
      <c r="C10" s="0" t="s">
        <v>1158</v>
      </c>
      <c r="D10" s="20" t="n">
        <v>718048</v>
      </c>
      <c r="E10" s="20" t="n">
        <v>718048</v>
      </c>
      <c r="F10" s="20" t="n">
        <v>718048</v>
      </c>
      <c r="G10" s="5" t="s">
        <v>1159</v>
      </c>
      <c r="H10" s="21" t="s">
        <v>1160</v>
      </c>
    </row>
    <row r="11" customFormat="false" ht="15" hidden="false" customHeight="false" outlineLevel="0" collapsed="false">
      <c r="A11" s="0" t="s">
        <v>1157</v>
      </c>
      <c r="B11" s="0" t="s">
        <v>1149</v>
      </c>
      <c r="C11" s="0" t="s">
        <v>1161</v>
      </c>
      <c r="D11" s="20" t="n">
        <v>501768</v>
      </c>
      <c r="E11" s="20" t="n">
        <v>501768</v>
      </c>
      <c r="F11" s="20" t="n">
        <v>501768</v>
      </c>
      <c r="G11" s="5" t="s">
        <v>1159</v>
      </c>
      <c r="H11" s="21" t="s">
        <v>1160</v>
      </c>
    </row>
    <row r="12" customFormat="false" ht="15" hidden="false" customHeight="false" outlineLevel="0" collapsed="false">
      <c r="A12" s="0" t="s">
        <v>1157</v>
      </c>
      <c r="B12" s="0" t="s">
        <v>1151</v>
      </c>
      <c r="C12" s="0" t="s">
        <v>1162</v>
      </c>
      <c r="D12" s="20" t="n">
        <v>487008</v>
      </c>
      <c r="E12" s="20" t="n">
        <v>487008</v>
      </c>
      <c r="F12" s="20" t="n">
        <v>487008</v>
      </c>
      <c r="G12" s="5" t="s">
        <v>1159</v>
      </c>
      <c r="H12" s="21" t="s">
        <v>1160</v>
      </c>
    </row>
    <row r="13" customFormat="false" ht="15" hidden="false" customHeight="false" outlineLevel="0" collapsed="false">
      <c r="A13" s="0" t="s">
        <v>1157</v>
      </c>
      <c r="B13" s="0" t="s">
        <v>1153</v>
      </c>
      <c r="C13" s="0" t="s">
        <v>1163</v>
      </c>
      <c r="D13" s="20" t="n">
        <v>291744</v>
      </c>
      <c r="E13" s="20" t="n">
        <v>291744</v>
      </c>
      <c r="F13" s="20" t="n">
        <v>291744</v>
      </c>
      <c r="G13" s="5" t="s">
        <v>1159</v>
      </c>
      <c r="H13" s="21" t="s">
        <v>1160</v>
      </c>
    </row>
    <row r="14" customFormat="false" ht="17.15" hidden="false" customHeight="false" outlineLevel="0" collapsed="false">
      <c r="A14" s="0" t="s">
        <v>1157</v>
      </c>
      <c r="B14" s="0" t="s">
        <v>1155</v>
      </c>
      <c r="C14" s="0" t="s">
        <v>1164</v>
      </c>
      <c r="D14" s="20" t="n">
        <v>194760</v>
      </c>
      <c r="E14" s="20" t="n">
        <v>194760</v>
      </c>
      <c r="F14" s="20" t="n">
        <v>194760</v>
      </c>
      <c r="G14" s="5" t="s">
        <v>1159</v>
      </c>
      <c r="H14" s="21" t="s">
        <v>1160</v>
      </c>
    </row>
    <row r="15" customFormat="false" ht="15" hidden="false" customHeight="false" outlineLevel="0" collapsed="false">
      <c r="A15" s="0" t="s">
        <v>1165</v>
      </c>
      <c r="B15" s="0" t="s">
        <v>1145</v>
      </c>
      <c r="C15" s="0" t="s">
        <v>1166</v>
      </c>
      <c r="D15" s="20" t="n">
        <v>21.4202694</v>
      </c>
      <c r="E15" s="20" t="n">
        <v>27.510214</v>
      </c>
      <c r="F15" s="20" t="n">
        <v>34.1207434</v>
      </c>
      <c r="G15" s="21" t="s">
        <v>219</v>
      </c>
      <c r="H15" s="21" t="s">
        <v>1167</v>
      </c>
    </row>
    <row r="16" customFormat="false" ht="15" hidden="false" customHeight="false" outlineLevel="0" collapsed="false">
      <c r="A16" s="0" t="s">
        <v>1165</v>
      </c>
      <c r="B16" s="0" t="s">
        <v>1149</v>
      </c>
      <c r="C16" s="0" t="s">
        <v>1168</v>
      </c>
      <c r="D16" s="20" t="n">
        <v>20.6393904</v>
      </c>
      <c r="E16" s="20" t="n">
        <v>24.015174</v>
      </c>
      <c r="F16" s="20" t="n">
        <v>27.6502044</v>
      </c>
      <c r="G16" s="21" t="s">
        <v>219</v>
      </c>
      <c r="H16" s="21" t="s">
        <v>1167</v>
      </c>
    </row>
    <row r="17" customFormat="false" ht="15" hidden="false" customHeight="false" outlineLevel="0" collapsed="false">
      <c r="A17" s="0" t="s">
        <v>1165</v>
      </c>
      <c r="B17" s="0" t="s">
        <v>1151</v>
      </c>
      <c r="C17" s="0" t="s">
        <v>1169</v>
      </c>
      <c r="D17" s="20" t="n">
        <v>28.5549024</v>
      </c>
      <c r="E17" s="20" t="n">
        <v>32.237224</v>
      </c>
      <c r="F17" s="20" t="n">
        <v>39.2826064</v>
      </c>
      <c r="G17" s="21" t="s">
        <v>219</v>
      </c>
      <c r="H17" s="21" t="s">
        <v>1167</v>
      </c>
    </row>
    <row r="18" customFormat="false" ht="15" hidden="false" customHeight="false" outlineLevel="0" collapsed="false">
      <c r="A18" s="0" t="s">
        <v>1165</v>
      </c>
      <c r="B18" s="0" t="s">
        <v>1153</v>
      </c>
      <c r="C18" s="0" t="s">
        <v>1170</v>
      </c>
      <c r="D18" s="20" t="n">
        <v>31.9970232</v>
      </c>
      <c r="E18" s="20" t="n">
        <v>37.586352</v>
      </c>
      <c r="F18" s="20" t="n">
        <v>42.6375752</v>
      </c>
      <c r="G18" s="21" t="s">
        <v>219</v>
      </c>
      <c r="H18" s="21" t="s">
        <v>1167</v>
      </c>
    </row>
    <row r="19" customFormat="false" ht="17.15" hidden="false" customHeight="false" outlineLevel="0" collapsed="false">
      <c r="A19" s="0" t="s">
        <v>1165</v>
      </c>
      <c r="B19" s="0" t="s">
        <v>1155</v>
      </c>
      <c r="C19" s="0" t="s">
        <v>1171</v>
      </c>
      <c r="D19" s="20" t="n">
        <v>35.845578</v>
      </c>
      <c r="E19" s="20" t="n">
        <v>50.08578</v>
      </c>
      <c r="F19" s="20" t="n">
        <v>65.481558</v>
      </c>
      <c r="G19" s="21" t="s">
        <v>219</v>
      </c>
      <c r="H19" s="21" t="s">
        <v>1167</v>
      </c>
    </row>
    <row r="20" customFormat="false" ht="15" hidden="false" customHeight="false" outlineLevel="0" collapsed="false">
      <c r="A20" s="0" t="s">
        <v>1172</v>
      </c>
      <c r="B20" s="0" t="s">
        <v>1145</v>
      </c>
      <c r="C20" s="0" t="s">
        <v>1173</v>
      </c>
      <c r="D20" s="20" t="n">
        <v>10.212</v>
      </c>
      <c r="E20" s="20" t="n">
        <v>12.67</v>
      </c>
      <c r="F20" s="20" t="n">
        <v>16.186</v>
      </c>
      <c r="G20" s="21" t="s">
        <v>219</v>
      </c>
      <c r="H20" s="21" t="s">
        <v>1174</v>
      </c>
    </row>
    <row r="21" customFormat="false" ht="15" hidden="false" customHeight="false" outlineLevel="0" collapsed="false">
      <c r="A21" s="0" t="s">
        <v>1172</v>
      </c>
      <c r="B21" s="0" t="s">
        <v>1149</v>
      </c>
      <c r="C21" s="0" t="s">
        <v>1175</v>
      </c>
      <c r="D21" s="20" t="n">
        <v>10.212</v>
      </c>
      <c r="E21" s="20" t="n">
        <v>12.67</v>
      </c>
      <c r="F21" s="20" t="n">
        <v>16.186</v>
      </c>
      <c r="G21" s="21" t="s">
        <v>219</v>
      </c>
      <c r="H21" s="21" t="s">
        <v>1174</v>
      </c>
    </row>
    <row r="22" customFormat="false" ht="15" hidden="false" customHeight="false" outlineLevel="0" collapsed="false">
      <c r="A22" s="0" t="s">
        <v>1172</v>
      </c>
      <c r="B22" s="0" t="s">
        <v>1151</v>
      </c>
      <c r="C22" s="0" t="s">
        <v>1176</v>
      </c>
      <c r="D22" s="20" t="n">
        <v>10.212</v>
      </c>
      <c r="E22" s="20" t="n">
        <v>12.67</v>
      </c>
      <c r="F22" s="20" t="n">
        <v>16.186</v>
      </c>
      <c r="G22" s="21" t="s">
        <v>219</v>
      </c>
      <c r="H22" s="21" t="s">
        <v>1174</v>
      </c>
    </row>
    <row r="23" customFormat="false" ht="15" hidden="false" customHeight="false" outlineLevel="0" collapsed="false">
      <c r="A23" s="0" t="s">
        <v>1172</v>
      </c>
      <c r="B23" s="0" t="s">
        <v>1153</v>
      </c>
      <c r="C23" s="0" t="s">
        <v>1177</v>
      </c>
      <c r="D23" s="20" t="n">
        <v>10.212</v>
      </c>
      <c r="E23" s="20" t="n">
        <v>12.67</v>
      </c>
      <c r="F23" s="20" t="n">
        <v>16.186</v>
      </c>
      <c r="G23" s="21" t="s">
        <v>219</v>
      </c>
      <c r="H23" s="21" t="s">
        <v>1174</v>
      </c>
    </row>
    <row r="24" customFormat="false" ht="17.15" hidden="false" customHeight="false" outlineLevel="0" collapsed="false">
      <c r="A24" s="0" t="s">
        <v>1172</v>
      </c>
      <c r="B24" s="0" t="s">
        <v>1155</v>
      </c>
      <c r="C24" s="0" t="s">
        <v>1178</v>
      </c>
      <c r="D24" s="20" t="n">
        <v>10.212</v>
      </c>
      <c r="E24" s="20" t="n">
        <v>12.67</v>
      </c>
      <c r="F24" s="20" t="n">
        <v>16.186</v>
      </c>
      <c r="G24" s="21" t="s">
        <v>219</v>
      </c>
      <c r="H24" s="21" t="s">
        <v>1174</v>
      </c>
    </row>
    <row r="25" customFormat="false" ht="15" hidden="false" customHeight="false" outlineLevel="0" collapsed="false">
      <c r="A25" s="0" t="s">
        <v>1179</v>
      </c>
      <c r="B25" s="0" t="s">
        <v>1145</v>
      </c>
      <c r="C25" s="0" t="s">
        <v>1180</v>
      </c>
      <c r="D25" s="20" t="n">
        <v>31.6322694</v>
      </c>
      <c r="E25" s="20" t="n">
        <v>40.180214</v>
      </c>
      <c r="F25" s="20" t="n">
        <v>50.3067434</v>
      </c>
      <c r="G25" s="21" t="s">
        <v>219</v>
      </c>
      <c r="H25" s="21" t="s">
        <v>1181</v>
      </c>
    </row>
    <row r="26" customFormat="false" ht="15" hidden="false" customHeight="false" outlineLevel="0" collapsed="false">
      <c r="A26" s="0" t="s">
        <v>1179</v>
      </c>
      <c r="B26" s="0" t="s">
        <v>1149</v>
      </c>
      <c r="C26" s="0" t="s">
        <v>1182</v>
      </c>
      <c r="D26" s="20" t="n">
        <v>30.8513904</v>
      </c>
      <c r="E26" s="20" t="n">
        <v>36.685174</v>
      </c>
      <c r="F26" s="20" t="n">
        <v>43.8362044</v>
      </c>
      <c r="G26" s="21" t="s">
        <v>219</v>
      </c>
      <c r="H26" s="21" t="s">
        <v>1181</v>
      </c>
    </row>
    <row r="27" customFormat="false" ht="15" hidden="false" customHeight="false" outlineLevel="0" collapsed="false">
      <c r="A27" s="0" t="s">
        <v>1179</v>
      </c>
      <c r="B27" s="0" t="s">
        <v>1151</v>
      </c>
      <c r="C27" s="0" t="s">
        <v>1183</v>
      </c>
      <c r="D27" s="20" t="n">
        <v>38.7669024</v>
      </c>
      <c r="E27" s="20" t="n">
        <v>44.907224</v>
      </c>
      <c r="F27" s="20" t="n">
        <v>55.4686064</v>
      </c>
      <c r="G27" s="21" t="s">
        <v>219</v>
      </c>
      <c r="H27" s="21" t="s">
        <v>1181</v>
      </c>
    </row>
    <row r="28" customFormat="false" ht="15" hidden="false" customHeight="false" outlineLevel="0" collapsed="false">
      <c r="A28" s="0" t="s">
        <v>1179</v>
      </c>
      <c r="B28" s="0" t="s">
        <v>1153</v>
      </c>
      <c r="C28" s="0" t="s">
        <v>1184</v>
      </c>
      <c r="D28" s="20" t="n">
        <v>42.2090232</v>
      </c>
      <c r="E28" s="20" t="n">
        <v>50.256352</v>
      </c>
      <c r="F28" s="20" t="n">
        <v>58.8235752</v>
      </c>
      <c r="G28" s="21" t="s">
        <v>219</v>
      </c>
      <c r="H28" s="21" t="s">
        <v>1181</v>
      </c>
    </row>
    <row r="29" customFormat="false" ht="17.15" hidden="false" customHeight="false" outlineLevel="0" collapsed="false">
      <c r="A29" s="0" t="s">
        <v>1179</v>
      </c>
      <c r="B29" s="0" t="s">
        <v>1155</v>
      </c>
      <c r="C29" s="0" t="s">
        <v>1185</v>
      </c>
      <c r="D29" s="20" t="n">
        <v>46.057578</v>
      </c>
      <c r="E29" s="20" t="n">
        <v>62.75578</v>
      </c>
      <c r="F29" s="20" t="n">
        <v>81.667558</v>
      </c>
      <c r="G29" s="21" t="s">
        <v>219</v>
      </c>
      <c r="H29" s="21" t="s">
        <v>1181</v>
      </c>
    </row>
    <row r="30" customFormat="false" ht="17.15" hidden="false" customHeight="false" outlineLevel="0" collapsed="false">
      <c r="A30" s="0" t="s">
        <v>1186</v>
      </c>
      <c r="B30" s="0" t="s">
        <v>1145</v>
      </c>
      <c r="C30" s="0" t="s">
        <v>1187</v>
      </c>
      <c r="D30" s="20" t="n">
        <v>0.9</v>
      </c>
      <c r="E30" s="20" t="n">
        <v>1.1</v>
      </c>
      <c r="F30" s="20" t="n">
        <v>1.3</v>
      </c>
      <c r="G30" s="21" t="s">
        <v>1188</v>
      </c>
      <c r="H30" s="21" t="s">
        <v>1189</v>
      </c>
    </row>
    <row r="31" customFormat="false" ht="17.15" hidden="false" customHeight="false" outlineLevel="0" collapsed="false">
      <c r="A31" s="0" t="s">
        <v>1186</v>
      </c>
      <c r="B31" s="0" t="s">
        <v>1149</v>
      </c>
      <c r="C31" s="0" t="s">
        <v>1190</v>
      </c>
      <c r="D31" s="20" t="n">
        <v>2.8</v>
      </c>
      <c r="E31" s="20" t="n">
        <v>3.1</v>
      </c>
      <c r="F31" s="20" t="n">
        <v>3.4</v>
      </c>
      <c r="G31" s="21" t="s">
        <v>1188</v>
      </c>
      <c r="H31" s="21" t="s">
        <v>1189</v>
      </c>
    </row>
    <row r="32" customFormat="false" ht="17.15" hidden="false" customHeight="false" outlineLevel="0" collapsed="false">
      <c r="A32" s="0" t="s">
        <v>1186</v>
      </c>
      <c r="B32" s="0" t="s">
        <v>1151</v>
      </c>
      <c r="C32" s="0" t="s">
        <v>1191</v>
      </c>
      <c r="D32" s="20" t="n">
        <v>4</v>
      </c>
      <c r="E32" s="20" t="n">
        <v>4.3</v>
      </c>
      <c r="F32" s="20" t="n">
        <v>5</v>
      </c>
      <c r="G32" s="21" t="s">
        <v>1188</v>
      </c>
      <c r="H32" s="21" t="s">
        <v>1189</v>
      </c>
    </row>
    <row r="33" customFormat="false" ht="17.15" hidden="false" customHeight="false" outlineLevel="0" collapsed="false">
      <c r="A33" s="0" t="s">
        <v>1186</v>
      </c>
      <c r="B33" s="0" t="s">
        <v>1153</v>
      </c>
      <c r="C33" s="0" t="s">
        <v>1192</v>
      </c>
      <c r="D33" s="20" t="n">
        <v>7.5</v>
      </c>
      <c r="E33" s="20" t="n">
        <v>8.4</v>
      </c>
      <c r="F33" s="20" t="n">
        <v>9.1</v>
      </c>
      <c r="G33" s="21" t="s">
        <v>1188</v>
      </c>
      <c r="H33" s="21" t="s">
        <v>1189</v>
      </c>
    </row>
    <row r="34" customFormat="false" ht="17.15" hidden="false" customHeight="false" outlineLevel="0" collapsed="false">
      <c r="A34" s="0" t="s">
        <v>1186</v>
      </c>
      <c r="B34" s="0" t="s">
        <v>1155</v>
      </c>
      <c r="C34" s="0" t="s">
        <v>1193</v>
      </c>
      <c r="D34" s="20" t="n">
        <v>12.6</v>
      </c>
      <c r="E34" s="20" t="n">
        <v>16.8</v>
      </c>
      <c r="F34" s="20" t="n">
        <v>21</v>
      </c>
      <c r="G34" s="21" t="s">
        <v>1188</v>
      </c>
      <c r="H34" s="21" t="s">
        <v>1189</v>
      </c>
    </row>
    <row r="35" customFormat="false" ht="17.15" hidden="false" customHeight="false" outlineLevel="0" collapsed="false">
      <c r="A35" s="0" t="s">
        <v>1194</v>
      </c>
      <c r="B35" s="0" t="s">
        <v>1145</v>
      </c>
      <c r="C35" s="0" t="s">
        <v>1195</v>
      </c>
      <c r="D35" s="20" t="n">
        <v>0.05</v>
      </c>
      <c r="E35" s="20" t="n">
        <v>0.1</v>
      </c>
      <c r="F35" s="20" t="n">
        <v>0.15</v>
      </c>
      <c r="G35" s="5" t="s">
        <v>1196</v>
      </c>
      <c r="H35" s="21" t="s">
        <v>1197</v>
      </c>
    </row>
    <row r="36" customFormat="false" ht="17.15" hidden="false" customHeight="false" outlineLevel="0" collapsed="false">
      <c r="A36" s="0" t="s">
        <v>1194</v>
      </c>
      <c r="B36" s="0" t="s">
        <v>1149</v>
      </c>
      <c r="C36" s="0" t="s">
        <v>1198</v>
      </c>
      <c r="D36" s="20" t="n">
        <v>0.05</v>
      </c>
      <c r="E36" s="20" t="n">
        <v>0.1</v>
      </c>
      <c r="F36" s="20" t="n">
        <v>0.15</v>
      </c>
      <c r="G36" s="5" t="s">
        <v>1196</v>
      </c>
      <c r="H36" s="21" t="s">
        <v>1197</v>
      </c>
    </row>
    <row r="37" customFormat="false" ht="17.15" hidden="false" customHeight="false" outlineLevel="0" collapsed="false">
      <c r="A37" s="0" t="s">
        <v>1194</v>
      </c>
      <c r="B37" s="0" t="s">
        <v>1151</v>
      </c>
      <c r="C37" s="0" t="s">
        <v>1199</v>
      </c>
      <c r="D37" s="20" t="n">
        <v>0.05</v>
      </c>
      <c r="E37" s="20" t="n">
        <v>0.1</v>
      </c>
      <c r="F37" s="20" t="n">
        <v>0.15</v>
      </c>
      <c r="G37" s="5" t="s">
        <v>1196</v>
      </c>
      <c r="H37" s="21" t="s">
        <v>1197</v>
      </c>
    </row>
    <row r="38" customFormat="false" ht="17.15" hidden="false" customHeight="false" outlineLevel="0" collapsed="false">
      <c r="A38" s="0" t="s">
        <v>1194</v>
      </c>
      <c r="B38" s="0" t="s">
        <v>1153</v>
      </c>
      <c r="C38" s="0" t="s">
        <v>1200</v>
      </c>
      <c r="D38" s="20" t="n">
        <v>0.05</v>
      </c>
      <c r="E38" s="20" t="n">
        <v>0.1</v>
      </c>
      <c r="F38" s="20" t="n">
        <v>0.15</v>
      </c>
      <c r="G38" s="5" t="s">
        <v>1196</v>
      </c>
      <c r="H38" s="21" t="s">
        <v>1197</v>
      </c>
    </row>
    <row r="39" customFormat="false" ht="17.15" hidden="false" customHeight="false" outlineLevel="0" collapsed="false">
      <c r="A39" s="0" t="s">
        <v>1194</v>
      </c>
      <c r="B39" s="0" t="s">
        <v>1155</v>
      </c>
      <c r="C39" s="0" t="s">
        <v>1201</v>
      </c>
      <c r="D39" s="20" t="n">
        <v>0.05</v>
      </c>
      <c r="E39" s="20" t="n">
        <v>0.1</v>
      </c>
      <c r="F39" s="20" t="n">
        <v>0.15</v>
      </c>
      <c r="G39" s="5" t="s">
        <v>1196</v>
      </c>
      <c r="H39" s="21" t="s">
        <v>1197</v>
      </c>
    </row>
    <row r="40" customFormat="false" ht="15" hidden="false" customHeight="false" outlineLevel="0" collapsed="false">
      <c r="A40" s="0" t="s">
        <v>1202</v>
      </c>
      <c r="B40" s="0" t="s">
        <v>1145</v>
      </c>
      <c r="C40" s="0" t="s">
        <v>1203</v>
      </c>
      <c r="D40" s="20" t="n">
        <v>300</v>
      </c>
      <c r="E40" s="20" t="n">
        <v>500</v>
      </c>
      <c r="F40" s="20" t="n">
        <v>800</v>
      </c>
      <c r="G40" s="21" t="s">
        <v>1204</v>
      </c>
      <c r="H40" s="21" t="s">
        <v>1205</v>
      </c>
    </row>
    <row r="41" customFormat="false" ht="15" hidden="false" customHeight="false" outlineLevel="0" collapsed="false">
      <c r="A41" s="0" t="s">
        <v>1202</v>
      </c>
      <c r="B41" s="0" t="s">
        <v>1149</v>
      </c>
      <c r="C41" s="0" t="s">
        <v>1206</v>
      </c>
      <c r="D41" s="20" t="n">
        <v>300</v>
      </c>
      <c r="E41" s="20" t="n">
        <v>500</v>
      </c>
      <c r="F41" s="20" t="n">
        <v>800</v>
      </c>
      <c r="G41" s="21" t="s">
        <v>1204</v>
      </c>
      <c r="H41" s="21" t="s">
        <v>1205</v>
      </c>
    </row>
    <row r="42" customFormat="false" ht="15" hidden="false" customHeight="false" outlineLevel="0" collapsed="false">
      <c r="A42" s="0" t="s">
        <v>1202</v>
      </c>
      <c r="B42" s="0" t="s">
        <v>1151</v>
      </c>
      <c r="C42" s="0" t="s">
        <v>1207</v>
      </c>
      <c r="D42" s="20" t="n">
        <v>300</v>
      </c>
      <c r="E42" s="20" t="n">
        <v>500</v>
      </c>
      <c r="F42" s="20" t="n">
        <v>800</v>
      </c>
      <c r="G42" s="21" t="s">
        <v>1204</v>
      </c>
      <c r="H42" s="21" t="s">
        <v>1205</v>
      </c>
    </row>
    <row r="43" customFormat="false" ht="15" hidden="false" customHeight="false" outlineLevel="0" collapsed="false">
      <c r="A43" s="0" t="s">
        <v>1202</v>
      </c>
      <c r="B43" s="0" t="s">
        <v>1153</v>
      </c>
      <c r="C43" s="0" t="s">
        <v>1208</v>
      </c>
      <c r="D43" s="20" t="n">
        <v>300</v>
      </c>
      <c r="E43" s="20" t="n">
        <v>500</v>
      </c>
      <c r="F43" s="20" t="n">
        <v>800</v>
      </c>
      <c r="G43" s="21" t="s">
        <v>1204</v>
      </c>
      <c r="H43" s="21" t="s">
        <v>1205</v>
      </c>
    </row>
    <row r="44" customFormat="false" ht="17.15" hidden="false" customHeight="false" outlineLevel="0" collapsed="false">
      <c r="A44" s="0" t="s">
        <v>1202</v>
      </c>
      <c r="B44" s="0" t="s">
        <v>1155</v>
      </c>
      <c r="C44" s="0" t="s">
        <v>1209</v>
      </c>
      <c r="D44" s="20" t="n">
        <v>300</v>
      </c>
      <c r="E44" s="20" t="n">
        <v>500</v>
      </c>
      <c r="F44" s="20" t="n">
        <v>800</v>
      </c>
      <c r="G44" s="21" t="s">
        <v>1204</v>
      </c>
      <c r="H44" s="21" t="s">
        <v>1205</v>
      </c>
    </row>
    <row r="45" customFormat="false" ht="17.15" hidden="false" customHeight="false" outlineLevel="0" collapsed="false">
      <c r="A45" s="0" t="s">
        <v>1210</v>
      </c>
      <c r="B45" s="0" t="s">
        <v>1211</v>
      </c>
      <c r="C45" s="0" t="s">
        <v>1212</v>
      </c>
      <c r="D45" s="20" t="n">
        <v>0.7</v>
      </c>
      <c r="E45" s="20" t="n">
        <v>0.8</v>
      </c>
      <c r="F45" s="20" t="n">
        <v>1.15</v>
      </c>
      <c r="G45" s="5" t="s">
        <v>1213</v>
      </c>
      <c r="H45" s="21" t="s">
        <v>1214</v>
      </c>
    </row>
    <row r="46" customFormat="false" ht="17.15" hidden="false" customHeight="false" outlineLevel="0" collapsed="false">
      <c r="A46" s="0" t="s">
        <v>1215</v>
      </c>
      <c r="B46" s="0" t="s">
        <v>1216</v>
      </c>
      <c r="C46" s="0" t="s">
        <v>1217</v>
      </c>
      <c r="D46" s="20" t="n">
        <v>0.6</v>
      </c>
      <c r="E46" s="20" t="n">
        <v>0.8</v>
      </c>
      <c r="F46" s="20" t="n">
        <v>1.1</v>
      </c>
      <c r="G46" s="5" t="s">
        <v>1213</v>
      </c>
      <c r="H46" s="21" t="s">
        <v>1218</v>
      </c>
    </row>
    <row r="47" customFormat="false" ht="17.15" hidden="false" customHeight="false" outlineLevel="0" collapsed="false">
      <c r="A47" s="0" t="s">
        <v>1219</v>
      </c>
      <c r="B47" s="0" t="s">
        <v>1220</v>
      </c>
      <c r="C47" s="0" t="s">
        <v>1221</v>
      </c>
      <c r="D47" s="20" t="n">
        <v>0.3</v>
      </c>
      <c r="E47" s="20" t="n">
        <v>0.5</v>
      </c>
      <c r="F47" s="20" t="n">
        <v>0.8</v>
      </c>
      <c r="G47" s="5" t="s">
        <v>1213</v>
      </c>
      <c r="H47" s="21" t="s">
        <v>1222</v>
      </c>
    </row>
    <row r="48" customFormat="false" ht="17.15" hidden="false" customHeight="false" outlineLevel="0" collapsed="false">
      <c r="A48" s="0" t="s">
        <v>1223</v>
      </c>
      <c r="B48" s="0" t="s">
        <v>1224</v>
      </c>
      <c r="C48" s="0" t="s">
        <v>1225</v>
      </c>
      <c r="D48" s="20" t="n">
        <v>0.2</v>
      </c>
      <c r="E48" s="20" t="n">
        <v>0.4</v>
      </c>
      <c r="F48" s="20" t="n">
        <v>0.8</v>
      </c>
      <c r="G48" s="5" t="s">
        <v>1213</v>
      </c>
      <c r="H48" s="21" t="s">
        <v>1226</v>
      </c>
    </row>
    <row r="49" customFormat="false" ht="17.15" hidden="false" customHeight="false" outlineLevel="0" collapsed="false">
      <c r="A49" s="0" t="s">
        <v>1227</v>
      </c>
      <c r="B49" s="0" t="s">
        <v>1228</v>
      </c>
      <c r="C49" s="0" t="s">
        <v>1229</v>
      </c>
      <c r="D49" s="20" t="n">
        <v>0.4</v>
      </c>
      <c r="E49" s="20" t="n">
        <v>0.6</v>
      </c>
      <c r="F49" s="20" t="n">
        <v>0.9</v>
      </c>
      <c r="G49" s="5" t="s">
        <v>1213</v>
      </c>
      <c r="H49" s="21" t="s">
        <v>1230</v>
      </c>
    </row>
    <row r="50" customFormat="false" ht="17.15" hidden="false" customHeight="false" outlineLevel="0" collapsed="false">
      <c r="A50" s="0" t="s">
        <v>1231</v>
      </c>
      <c r="B50" s="5" t="s">
        <v>1232</v>
      </c>
      <c r="C50" s="0" t="s">
        <v>1233</v>
      </c>
      <c r="D50" s="20" t="n">
        <v>0.05</v>
      </c>
      <c r="E50" s="20" t="n">
        <v>0.08</v>
      </c>
      <c r="F50" s="20" t="n">
        <v>0.15</v>
      </c>
      <c r="G50" s="5" t="s">
        <v>1213</v>
      </c>
      <c r="H50" s="21" t="s">
        <v>1234</v>
      </c>
    </row>
    <row r="51" customFormat="false" ht="17.15" hidden="false" customHeight="false" outlineLevel="0" collapsed="false">
      <c r="A51" s="0" t="s">
        <v>1235</v>
      </c>
      <c r="B51" s="0" t="s">
        <v>1236</v>
      </c>
      <c r="C51" s="0" t="s">
        <v>1237</v>
      </c>
      <c r="D51" s="20" t="n">
        <v>0.25</v>
      </c>
      <c r="E51" s="20" t="n">
        <v>0.55</v>
      </c>
      <c r="F51" s="20" t="n">
        <v>0.75</v>
      </c>
      <c r="G51" s="5" t="s">
        <v>1213</v>
      </c>
      <c r="H51" s="21" t="s">
        <v>1238</v>
      </c>
    </row>
    <row r="52" customFormat="false" ht="17.15" hidden="false" customHeight="false" outlineLevel="0" collapsed="false">
      <c r="A52" s="0" t="s">
        <v>1239</v>
      </c>
      <c r="B52" s="0" t="s">
        <v>1240</v>
      </c>
      <c r="C52" s="0" t="s">
        <v>1241</v>
      </c>
      <c r="D52" s="20" t="n">
        <v>0.67</v>
      </c>
      <c r="E52" s="20" t="n">
        <v>0.85</v>
      </c>
      <c r="F52" s="20" t="n">
        <v>1.12</v>
      </c>
      <c r="G52" s="5" t="s">
        <v>1213</v>
      </c>
      <c r="H52" s="21" t="s">
        <v>1242</v>
      </c>
    </row>
    <row r="53" customFormat="false" ht="17.15" hidden="false" customHeight="false" outlineLevel="0" collapsed="false">
      <c r="A53" s="0" t="s">
        <v>1243</v>
      </c>
      <c r="B53" s="0" t="s">
        <v>1244</v>
      </c>
      <c r="C53" s="0" t="s">
        <v>1245</v>
      </c>
      <c r="D53" s="20" t="n">
        <v>0.65</v>
      </c>
      <c r="E53" s="20" t="n">
        <v>0.7</v>
      </c>
      <c r="F53" s="20" t="n">
        <v>0.9</v>
      </c>
      <c r="G53" s="5" t="s">
        <v>1213</v>
      </c>
      <c r="H53" s="21" t="s">
        <v>1246</v>
      </c>
    </row>
    <row r="54" customFormat="false" ht="17.15" hidden="false" customHeight="false" outlineLevel="0" collapsed="false">
      <c r="A54" s="0" t="s">
        <v>1247</v>
      </c>
      <c r="B54" s="0" t="s">
        <v>1248</v>
      </c>
      <c r="C54" s="0" t="s">
        <v>1249</v>
      </c>
      <c r="D54" s="20" t="n">
        <v>0.45</v>
      </c>
      <c r="E54" s="20" t="n">
        <v>0.61</v>
      </c>
      <c r="F54" s="20" t="n">
        <v>0.7</v>
      </c>
      <c r="G54" s="5" t="s">
        <v>1213</v>
      </c>
      <c r="H54" s="21" t="s">
        <v>1250</v>
      </c>
    </row>
    <row r="55" customFormat="false" ht="17.15" hidden="false" customHeight="false" outlineLevel="0" collapsed="false">
      <c r="A55" s="0" t="s">
        <v>1251</v>
      </c>
      <c r="B55" s="0" t="s">
        <v>1252</v>
      </c>
      <c r="C55" s="0" t="s">
        <v>1253</v>
      </c>
      <c r="D55" s="20" t="n">
        <v>0.8</v>
      </c>
      <c r="E55" s="20" t="n">
        <v>1</v>
      </c>
      <c r="F55" s="20" t="n">
        <v>1.2</v>
      </c>
      <c r="G55" s="5" t="s">
        <v>1213</v>
      </c>
      <c r="H55" s="21" t="s">
        <v>1254</v>
      </c>
    </row>
    <row r="56" customFormat="false" ht="17.15" hidden="false" customHeight="false" outlineLevel="0" collapsed="false">
      <c r="A56" s="0" t="s">
        <v>1255</v>
      </c>
      <c r="B56" s="0" t="s">
        <v>1256</v>
      </c>
      <c r="C56" s="0" t="s">
        <v>1257</v>
      </c>
      <c r="D56" s="20" t="n">
        <v>0.7</v>
      </c>
      <c r="E56" s="20" t="n">
        <v>0.8</v>
      </c>
      <c r="F56" s="20" t="n">
        <v>1</v>
      </c>
      <c r="G56" s="5" t="s">
        <v>1213</v>
      </c>
      <c r="H56" s="21" t="s">
        <v>1258</v>
      </c>
    </row>
    <row r="57" customFormat="false" ht="17.15" hidden="false" customHeight="false" outlineLevel="0" collapsed="false">
      <c r="A57" s="0" t="s">
        <v>1259</v>
      </c>
      <c r="B57" s="5" t="s">
        <v>1260</v>
      </c>
      <c r="C57" s="0" t="s">
        <v>1261</v>
      </c>
      <c r="D57" s="20" t="n">
        <v>0.45</v>
      </c>
      <c r="E57" s="20" t="n">
        <v>0.55</v>
      </c>
      <c r="F57" s="20" t="n">
        <v>0.7</v>
      </c>
      <c r="G57" s="5" t="s">
        <v>1213</v>
      </c>
      <c r="H57" s="21" t="s">
        <v>1262</v>
      </c>
    </row>
    <row r="58" customFormat="false" ht="17.15" hidden="false" customHeight="false" outlineLevel="0" collapsed="false">
      <c r="A58" s="0" t="s">
        <v>1263</v>
      </c>
      <c r="B58" s="0" t="s">
        <v>1264</v>
      </c>
      <c r="C58" s="0" t="s">
        <v>1265</v>
      </c>
      <c r="D58" s="20" t="n">
        <v>0.4</v>
      </c>
      <c r="E58" s="20" t="n">
        <v>0.5</v>
      </c>
      <c r="F58" s="20" t="n">
        <v>0.6</v>
      </c>
      <c r="G58" s="5" t="s">
        <v>1213</v>
      </c>
      <c r="H58" s="21" t="s">
        <v>1266</v>
      </c>
    </row>
    <row r="59" customFormat="false" ht="17.15" hidden="false" customHeight="false" outlineLevel="0" collapsed="false">
      <c r="A59" s="0" t="s">
        <v>1267</v>
      </c>
      <c r="B59" s="0" t="s">
        <v>1145</v>
      </c>
      <c r="C59" s="0" t="s">
        <v>1268</v>
      </c>
      <c r="D59" s="20" t="n">
        <v>1.1</v>
      </c>
      <c r="E59" s="20" t="n">
        <v>1.2</v>
      </c>
      <c r="F59" s="20" t="n">
        <v>1.3</v>
      </c>
      <c r="G59" s="21" t="s">
        <v>82</v>
      </c>
      <c r="H59" s="21" t="s">
        <v>1269</v>
      </c>
    </row>
    <row r="60" customFormat="false" ht="17.15" hidden="false" customHeight="false" outlineLevel="0" collapsed="false">
      <c r="A60" s="0" t="s">
        <v>1267</v>
      </c>
      <c r="B60" s="0" t="s">
        <v>1149</v>
      </c>
      <c r="C60" s="0" t="s">
        <v>1270</v>
      </c>
      <c r="D60" s="20" t="n">
        <v>1.1</v>
      </c>
      <c r="E60" s="20" t="n">
        <v>1.2</v>
      </c>
      <c r="F60" s="20" t="n">
        <v>1.3</v>
      </c>
      <c r="G60" s="21" t="s">
        <v>82</v>
      </c>
      <c r="H60" s="21" t="s">
        <v>1269</v>
      </c>
    </row>
    <row r="61" customFormat="false" ht="17.15" hidden="false" customHeight="false" outlineLevel="0" collapsed="false">
      <c r="A61" s="0" t="s">
        <v>1267</v>
      </c>
      <c r="B61" s="0" t="s">
        <v>1151</v>
      </c>
      <c r="C61" s="0" t="s">
        <v>1271</v>
      </c>
      <c r="D61" s="20" t="n">
        <v>1.1</v>
      </c>
      <c r="E61" s="20" t="n">
        <v>1.2</v>
      </c>
      <c r="F61" s="20" t="n">
        <v>1.3</v>
      </c>
      <c r="G61" s="21" t="s">
        <v>82</v>
      </c>
      <c r="H61" s="21" t="s">
        <v>1269</v>
      </c>
    </row>
    <row r="62" customFormat="false" ht="17.15" hidden="false" customHeight="false" outlineLevel="0" collapsed="false">
      <c r="A62" s="0" t="s">
        <v>1267</v>
      </c>
      <c r="B62" s="0" t="s">
        <v>1153</v>
      </c>
      <c r="C62" s="0" t="s">
        <v>1272</v>
      </c>
      <c r="D62" s="20" t="n">
        <v>1.1</v>
      </c>
      <c r="E62" s="20" t="n">
        <v>1.2</v>
      </c>
      <c r="F62" s="20" t="n">
        <v>1.3</v>
      </c>
      <c r="G62" s="21" t="s">
        <v>82</v>
      </c>
      <c r="H62" s="21" t="s">
        <v>1269</v>
      </c>
    </row>
    <row r="63" customFormat="false" ht="17.15" hidden="false" customHeight="false" outlineLevel="0" collapsed="false">
      <c r="A63" s="0" t="s">
        <v>1267</v>
      </c>
      <c r="B63" s="0" t="s">
        <v>1155</v>
      </c>
      <c r="C63" s="0" t="s">
        <v>1273</v>
      </c>
      <c r="D63" s="20" t="n">
        <v>1.1</v>
      </c>
      <c r="E63" s="20" t="n">
        <v>1.2</v>
      </c>
      <c r="F63" s="20" t="n">
        <v>1.3</v>
      </c>
      <c r="G63" s="21" t="s">
        <v>82</v>
      </c>
      <c r="H63" s="21" t="s">
        <v>1269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1274</v>
      </c>
    </row>
    <row r="3" customFormat="false" ht="17.15" hidden="false" customHeight="false" outlineLevel="0" collapsed="false">
      <c r="A3" s="6" t="s">
        <v>1275</v>
      </c>
      <c r="B3" s="6" t="s">
        <v>1139</v>
      </c>
      <c r="C3" s="6" t="s">
        <v>22</v>
      </c>
      <c r="D3" s="6" t="s">
        <v>1276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</row>
    <row r="4" customFormat="false" ht="17.15" hidden="false" customHeight="false" outlineLevel="0" collapsed="false">
      <c r="A4" s="8" t="s">
        <v>1277</v>
      </c>
    </row>
    <row r="5" customFormat="false" ht="15" hidden="false" customHeight="false" outlineLevel="0" collapsed="false">
      <c r="A5" s="0" t="s">
        <v>1278</v>
      </c>
      <c r="B5" s="0" t="s">
        <v>1279</v>
      </c>
      <c r="C5" s="0" t="s">
        <v>41</v>
      </c>
      <c r="D5" s="20" t="n">
        <v>0.22</v>
      </c>
    </row>
    <row r="6" customFormat="false" ht="15" hidden="false" customHeight="false" outlineLevel="0" collapsed="false">
      <c r="A6" s="0" t="s">
        <v>1280</v>
      </c>
      <c r="B6" s="0" t="s">
        <v>1281</v>
      </c>
      <c r="C6" s="0" t="s">
        <v>41</v>
      </c>
      <c r="D6" s="20" t="n">
        <v>0.15</v>
      </c>
    </row>
    <row r="7" customFormat="false" ht="15" hidden="false" customHeight="false" outlineLevel="0" collapsed="false">
      <c r="A7" s="0" t="s">
        <v>1282</v>
      </c>
      <c r="B7" s="0" t="s">
        <v>1283</v>
      </c>
      <c r="C7" s="0" t="s">
        <v>41</v>
      </c>
      <c r="D7" s="20" t="n">
        <v>0.3</v>
      </c>
    </row>
    <row r="8" customFormat="false" ht="17.15" hidden="false" customHeight="false" outlineLevel="0" collapsed="false">
      <c r="A8" s="0" t="s">
        <v>1284</v>
      </c>
      <c r="B8" s="0" t="s">
        <v>1285</v>
      </c>
      <c r="C8" s="0" t="s">
        <v>1286</v>
      </c>
      <c r="D8" s="20" t="n">
        <v>66.1944444444444</v>
      </c>
    </row>
    <row r="9" customFormat="false" ht="17.15" hidden="false" customHeight="false" outlineLevel="0" collapsed="false">
      <c r="A9" s="0" t="s">
        <v>1287</v>
      </c>
      <c r="B9" s="0" t="s">
        <v>1288</v>
      </c>
      <c r="C9" s="0" t="s">
        <v>1286</v>
      </c>
      <c r="D9" s="20" t="n">
        <v>128.833333333333</v>
      </c>
    </row>
    <row r="10" customFormat="false" ht="17.15" hidden="false" customHeight="false" outlineLevel="0" collapsed="false">
      <c r="A10" s="0" t="s">
        <v>1289</v>
      </c>
      <c r="B10" s="0" t="s">
        <v>1290</v>
      </c>
      <c r="C10" s="0" t="s">
        <v>1286</v>
      </c>
      <c r="D10" s="20" t="n">
        <v>257.166666666667</v>
      </c>
    </row>
    <row r="11" customFormat="false" ht="17.15" hidden="false" customHeight="false" outlineLevel="0" collapsed="false">
      <c r="A11" s="0" t="s">
        <v>1291</v>
      </c>
      <c r="B11" s="0" t="s">
        <v>1292</v>
      </c>
      <c r="C11" s="0" t="s">
        <v>1286</v>
      </c>
      <c r="D11" s="20" t="n">
        <v>38.3125</v>
      </c>
    </row>
    <row r="12" customFormat="false" ht="17.15" hidden="false" customHeight="false" outlineLevel="0" collapsed="false">
      <c r="A12" s="0" t="s">
        <v>1293</v>
      </c>
      <c r="B12" s="0" t="s">
        <v>1294</v>
      </c>
      <c r="C12" s="0" t="s">
        <v>1286</v>
      </c>
      <c r="D12" s="20" t="n">
        <v>40</v>
      </c>
    </row>
    <row r="13" customFormat="false" ht="17.15" hidden="false" customHeight="false" outlineLevel="0" collapsed="false">
      <c r="A13" s="0" t="s">
        <v>1295</v>
      </c>
      <c r="B13" s="0" t="s">
        <v>1296</v>
      </c>
      <c r="C13" s="0" t="s">
        <v>1286</v>
      </c>
      <c r="D13" s="20" t="n">
        <v>100</v>
      </c>
    </row>
    <row r="14" customFormat="false" ht="17.15" hidden="false" customHeight="false" outlineLevel="0" collapsed="false">
      <c r="A14" s="0" t="s">
        <v>1297</v>
      </c>
      <c r="B14" s="0" t="s">
        <v>1298</v>
      </c>
      <c r="C14" s="0" t="s">
        <v>1286</v>
      </c>
      <c r="D14" s="20" t="n">
        <v>25</v>
      </c>
    </row>
    <row r="15" customFormat="false" ht="17.15" hidden="false" customHeight="false" outlineLevel="0" collapsed="false">
      <c r="A15" s="0" t="s">
        <v>1299</v>
      </c>
      <c r="B15" s="0" t="s">
        <v>1300</v>
      </c>
      <c r="C15" s="0" t="s">
        <v>1286</v>
      </c>
      <c r="D15" s="20" t="n">
        <v>20</v>
      </c>
    </row>
    <row r="16" customFormat="false" ht="17.15" hidden="false" customHeight="false" outlineLevel="0" collapsed="false">
      <c r="A16" s="0" t="s">
        <v>1301</v>
      </c>
      <c r="B16" s="0" t="s">
        <v>1302</v>
      </c>
      <c r="C16" s="0" t="s">
        <v>1286</v>
      </c>
      <c r="D16" s="20" t="n">
        <v>20</v>
      </c>
    </row>
    <row r="18" customFormat="false" ht="17.15" hidden="false" customHeight="false" outlineLevel="0" collapsed="false">
      <c r="A18" s="8" t="s">
        <v>1303</v>
      </c>
    </row>
    <row r="19" customFormat="false" ht="15" hidden="false" customHeight="false" outlineLevel="0" collapsed="false">
      <c r="A19" s="0" t="s">
        <v>1304</v>
      </c>
      <c r="C19" s="5" t="s">
        <v>1305</v>
      </c>
      <c r="G19" s="20" t="n">
        <v>5.4</v>
      </c>
      <c r="H19" s="20" t="n">
        <v>2.4</v>
      </c>
      <c r="I19" s="20" t="n">
        <v>0.5</v>
      </c>
      <c r="J19" s="20" t="n">
        <v>0.25</v>
      </c>
    </row>
    <row r="20" customFormat="false" ht="15" hidden="false" customHeight="false" outlineLevel="0" collapsed="false">
      <c r="A20" s="0" t="s">
        <v>1306</v>
      </c>
      <c r="C20" s="5" t="s">
        <v>1305</v>
      </c>
      <c r="G20" s="20" t="n">
        <v>1.7</v>
      </c>
      <c r="H20" s="20" t="n">
        <v>7</v>
      </c>
      <c r="I20" s="20" t="n">
        <v>7</v>
      </c>
      <c r="J20" s="20" t="n">
        <v>8.05</v>
      </c>
    </row>
    <row r="21" customFormat="false" ht="15" hidden="false" customHeight="false" outlineLevel="0" collapsed="false">
      <c r="A21" s="0" t="s">
        <v>1307</v>
      </c>
      <c r="C21" s="5" t="s">
        <v>1305</v>
      </c>
      <c r="G21" s="20" t="n">
        <v>0</v>
      </c>
      <c r="H21" s="20" t="n">
        <v>0.3</v>
      </c>
      <c r="I21" s="20" t="n">
        <v>2</v>
      </c>
      <c r="J21" s="20" t="n">
        <v>2.3</v>
      </c>
    </row>
    <row r="22" customFormat="false" ht="15" hidden="false" customHeight="false" outlineLevel="0" collapsed="false">
      <c r="A22" s="0" t="s">
        <v>1308</v>
      </c>
      <c r="C22" s="5" t="s">
        <v>1305</v>
      </c>
      <c r="G22" s="20" t="n">
        <v>0.5</v>
      </c>
      <c r="H22" s="20" t="n">
        <v>0</v>
      </c>
      <c r="I22" s="20" t="n">
        <v>0</v>
      </c>
      <c r="J22" s="20" t="n">
        <v>0</v>
      </c>
    </row>
    <row r="23" customFormat="false" ht="15" hidden="false" customHeight="false" outlineLevel="0" collapsed="false">
      <c r="A23" s="0" t="s">
        <v>1309</v>
      </c>
      <c r="C23" s="5" t="s">
        <v>1305</v>
      </c>
      <c r="G23" s="20" t="n">
        <v>0.75</v>
      </c>
      <c r="H23" s="20" t="n">
        <v>1.5</v>
      </c>
      <c r="I23" s="20" t="n">
        <v>2</v>
      </c>
      <c r="J23" s="20" t="n">
        <v>2.3</v>
      </c>
    </row>
    <row r="24" customFormat="false" ht="15" hidden="false" customHeight="false" outlineLevel="0" collapsed="false">
      <c r="A24" s="0" t="s">
        <v>1310</v>
      </c>
      <c r="C24" s="5" t="s">
        <v>1305</v>
      </c>
      <c r="G24" s="20" t="n">
        <v>3.85</v>
      </c>
      <c r="H24" s="20" t="n">
        <v>5.5</v>
      </c>
      <c r="I24" s="20" t="n">
        <v>7</v>
      </c>
      <c r="J24" s="20" t="n">
        <v>8.05</v>
      </c>
    </row>
    <row r="25" customFormat="false" ht="15" hidden="false" customHeight="false" outlineLevel="0" collapsed="false">
      <c r="A25" s="0" t="s">
        <v>1311</v>
      </c>
      <c r="C25" s="5" t="s">
        <v>1305</v>
      </c>
      <c r="G25" s="20" t="n">
        <v>2</v>
      </c>
      <c r="H25" s="20" t="n">
        <v>2.5</v>
      </c>
      <c r="I25" s="20" t="n">
        <v>3</v>
      </c>
      <c r="J25" s="20" t="n">
        <v>3.45</v>
      </c>
    </row>
    <row r="26" customFormat="false" ht="15" hidden="false" customHeight="false" outlineLevel="0" collapsed="false">
      <c r="A26" s="0" t="s">
        <v>1312</v>
      </c>
      <c r="C26" s="5" t="s">
        <v>1305</v>
      </c>
      <c r="G26" s="20" t="n">
        <v>1</v>
      </c>
      <c r="H26" s="20" t="n">
        <v>4.5</v>
      </c>
      <c r="I26" s="20" t="n">
        <v>5</v>
      </c>
      <c r="J26" s="20" t="n">
        <v>5.75</v>
      </c>
    </row>
    <row r="27" customFormat="false" ht="15" hidden="false" customHeight="false" outlineLevel="0" collapsed="false">
      <c r="A27" s="0" t="s">
        <v>1313</v>
      </c>
      <c r="C27" s="0" t="s">
        <v>41</v>
      </c>
      <c r="G27" s="20" t="n">
        <v>1</v>
      </c>
      <c r="H27" s="20" t="n">
        <v>1</v>
      </c>
      <c r="I27" s="20" t="n">
        <v>1</v>
      </c>
      <c r="J27" s="20" t="n">
        <v>1</v>
      </c>
    </row>
    <row r="28" customFormat="false" ht="15" hidden="false" customHeight="false" outlineLevel="0" collapsed="false">
      <c r="A28" s="0" t="s">
        <v>1314</v>
      </c>
      <c r="C28" s="0" t="s">
        <v>41</v>
      </c>
      <c r="G28" s="20" t="n">
        <v>1</v>
      </c>
      <c r="H28" s="20" t="n">
        <v>1</v>
      </c>
      <c r="I28" s="20" t="n">
        <v>0.8</v>
      </c>
      <c r="J28" s="20" t="n">
        <v>0.85</v>
      </c>
    </row>
    <row r="29" customFormat="false" ht="15" hidden="false" customHeight="false" outlineLevel="0" collapsed="false">
      <c r="A29" s="0" t="s">
        <v>1315</v>
      </c>
      <c r="C29" s="0" t="s">
        <v>41</v>
      </c>
      <c r="G29" s="20" t="n">
        <v>1</v>
      </c>
      <c r="H29" s="20" t="n">
        <v>1</v>
      </c>
      <c r="I29" s="20" t="n">
        <v>0.6</v>
      </c>
      <c r="J29" s="20" t="n">
        <v>0.6</v>
      </c>
    </row>
    <row r="30" customFormat="false" ht="17.15" hidden="false" customHeight="false" outlineLevel="0" collapsed="false">
      <c r="A30" s="0" t="s">
        <v>1316</v>
      </c>
      <c r="C30" s="0" t="s">
        <v>1317</v>
      </c>
      <c r="G30" s="20" t="n">
        <v>23.3995380420639</v>
      </c>
      <c r="H30" s="20" t="n">
        <v>41.6467658260637</v>
      </c>
      <c r="I30" s="20" t="n">
        <v>52.792138191248</v>
      </c>
      <c r="J30" s="20" t="n">
        <v>60.1385917361115</v>
      </c>
    </row>
    <row r="31" customFormat="false" ht="17.15" hidden="false" customHeight="false" outlineLevel="0" collapsed="false">
      <c r="A31" s="0" t="s">
        <v>1318</v>
      </c>
      <c r="C31" s="0" t="s">
        <v>1317</v>
      </c>
      <c r="G31" s="20" t="n">
        <v>23.3995380420639</v>
      </c>
      <c r="H31" s="20" t="n">
        <v>41.6467658260637</v>
      </c>
      <c r="I31" s="20" t="n">
        <v>42.2337105529984</v>
      </c>
      <c r="J31" s="20" t="n">
        <v>51.1178029756948</v>
      </c>
    </row>
    <row r="32" customFormat="false" ht="17.15" hidden="false" customHeight="false" outlineLevel="0" collapsed="false">
      <c r="A32" s="0" t="s">
        <v>1319</v>
      </c>
      <c r="C32" s="0" t="s">
        <v>1317</v>
      </c>
      <c r="G32" s="20" t="n">
        <v>23.3995380420639</v>
      </c>
      <c r="H32" s="20" t="n">
        <v>41.6467658260637</v>
      </c>
      <c r="I32" s="20" t="n">
        <v>31.6752829147488</v>
      </c>
      <c r="J32" s="20" t="n">
        <v>36.0831550416669</v>
      </c>
    </row>
    <row r="33" customFormat="false" ht="15" hidden="false" customHeight="false" outlineLevel="0" collapsed="false">
      <c r="A33" s="0" t="s">
        <v>1320</v>
      </c>
      <c r="C33" s="0" t="s">
        <v>395</v>
      </c>
      <c r="G33" s="20" t="n">
        <v>781.872916666667</v>
      </c>
      <c r="H33" s="20" t="n">
        <v>1565.35</v>
      </c>
      <c r="I33" s="20" t="n">
        <v>1984.26388888889</v>
      </c>
      <c r="J33" s="20" t="n">
        <v>2260.39027777778</v>
      </c>
    </row>
    <row r="34" customFormat="false" ht="15" hidden="false" customHeight="false" outlineLevel="0" collapsed="false">
      <c r="A34" s="0" t="s">
        <v>1321</v>
      </c>
      <c r="C34" s="0" t="s">
        <v>395</v>
      </c>
      <c r="G34" s="20" t="n">
        <v>781.872916666667</v>
      </c>
      <c r="H34" s="20" t="n">
        <v>1565.35</v>
      </c>
      <c r="I34" s="20" t="n">
        <v>1587.41111111111</v>
      </c>
      <c r="J34" s="20" t="n">
        <v>1921.33173611111</v>
      </c>
    </row>
    <row r="35" customFormat="false" ht="15" hidden="false" customHeight="false" outlineLevel="0" collapsed="false">
      <c r="A35" s="0" t="s">
        <v>1322</v>
      </c>
      <c r="C35" s="0" t="s">
        <v>395</v>
      </c>
      <c r="G35" s="20" t="n">
        <v>781.872916666667</v>
      </c>
      <c r="H35" s="20" t="n">
        <v>1565.35</v>
      </c>
      <c r="I35" s="20" t="n">
        <v>1190.55833333333</v>
      </c>
      <c r="J35" s="20" t="n">
        <v>1356.23416666667</v>
      </c>
    </row>
    <row r="36" customFormat="false" ht="15" hidden="false" customHeight="false" outlineLevel="0" collapsed="false">
      <c r="A36" s="0" t="s">
        <v>1323</v>
      </c>
      <c r="C36" s="0" t="s">
        <v>1324</v>
      </c>
      <c r="G36" s="20" t="n">
        <v>33.41403216</v>
      </c>
      <c r="H36" s="20" t="n">
        <v>37.586352</v>
      </c>
      <c r="I36" s="20" t="n">
        <v>37.586352</v>
      </c>
      <c r="J36" s="20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1325</v>
      </c>
    </row>
    <row r="2" customFormat="false" ht="17.15" hidden="false" customHeight="false" outlineLevel="0" collapsed="false">
      <c r="A2" s="5" t="s">
        <v>1326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1327</v>
      </c>
    </row>
    <row r="5" customFormat="false" ht="17.15" hidden="false" customHeight="false" outlineLevel="0" collapsed="false">
      <c r="A5" s="5" t="s">
        <v>1328</v>
      </c>
      <c r="B5" s="0" t="s">
        <v>487</v>
      </c>
      <c r="C5" s="0" t="s">
        <v>57</v>
      </c>
      <c r="D5" s="23" t="n">
        <f aca="false">IF(In!$H$162&lt;&gt;"",In!$H$162,0)</f>
        <v>1</v>
      </c>
      <c r="E5" s="23" t="n">
        <f aca="false">IF(In!$I$162&lt;&gt;"",In!$I$162,0)</f>
        <v>1</v>
      </c>
      <c r="F5" s="23" t="n">
        <f aca="false">IF(In!$J$162&lt;&gt;"",In!$J$162,0)</f>
        <v>0.1</v>
      </c>
      <c r="G5" s="23" t="n">
        <f aca="false">IF(In!$K$162&lt;&gt;"",In!$K$162,0)</f>
        <v>0</v>
      </c>
      <c r="H5" s="23" t="n">
        <f aca="false">IF(In!$L$162&lt;&gt;"",In!$L$162,0)</f>
        <v>0</v>
      </c>
      <c r="I5" s="23" t="n">
        <f aca="false">IF(In!$M$162&lt;&gt;"",In!$M$162,0)</f>
        <v>0</v>
      </c>
      <c r="J5" s="23" t="n">
        <f aca="false">IF(In!$N$162&lt;&gt;"",In!$N$162,0)</f>
        <v>0</v>
      </c>
      <c r="K5" s="23" t="n">
        <f aca="false">IF(In!$O$162&lt;&gt;"",In!$O$162,J5)</f>
        <v>0</v>
      </c>
      <c r="L5" s="23" t="n">
        <f aca="false">IF(In!$P$162&lt;&gt;"",In!$P$162,J5)</f>
        <v>0</v>
      </c>
      <c r="M5" s="23" t="n">
        <f aca="false">IF(In!$Q$162&lt;&gt;"",In!$Q$162,J5)</f>
        <v>0</v>
      </c>
    </row>
    <row r="6" customFormat="false" ht="17.15" hidden="false" customHeight="false" outlineLevel="0" collapsed="false">
      <c r="A6" s="5" t="s">
        <v>1329</v>
      </c>
      <c r="B6" s="0" t="s">
        <v>492</v>
      </c>
      <c r="C6" s="0" t="s">
        <v>57</v>
      </c>
      <c r="D6" s="23" t="n">
        <f aca="false">IF(In!$H$163&lt;&gt;"",In!$H$163,0)</f>
        <v>0</v>
      </c>
      <c r="E6" s="23" t="n">
        <f aca="false">IF(In!$I$163&lt;&gt;"",In!$I$163,0)</f>
        <v>0</v>
      </c>
      <c r="F6" s="23" t="n">
        <f aca="false">IF(In!$J$163&lt;&gt;"",In!$J$163,0)</f>
        <v>0.7</v>
      </c>
      <c r="G6" s="23" t="n">
        <f aca="false">IF(In!$K$163&lt;&gt;"",In!$K$163,0)</f>
        <v>0</v>
      </c>
      <c r="H6" s="23" t="n">
        <f aca="false">IF(In!$L$163&lt;&gt;"",In!$L$163,0)</f>
        <v>0</v>
      </c>
      <c r="I6" s="23" t="n">
        <f aca="false">IF(In!$M$163&lt;&gt;"",In!$M$163,0)</f>
        <v>0</v>
      </c>
      <c r="J6" s="23" t="n">
        <f aca="false">IF(In!$N$163&lt;&gt;"",In!$N$163,0)</f>
        <v>0</v>
      </c>
      <c r="K6" s="23" t="n">
        <f aca="false">IF(In!$O$163&lt;&gt;"",In!$O$163,J6)</f>
        <v>0</v>
      </c>
      <c r="L6" s="23" t="n">
        <f aca="false">IF(In!$P$163&lt;&gt;"",In!$P$163,J6)</f>
        <v>0</v>
      </c>
      <c r="M6" s="23" t="n">
        <f aca="false">IF(In!$Q$163&lt;&gt;"",In!$Q$163,J6)</f>
        <v>0</v>
      </c>
    </row>
    <row r="7" customFormat="false" ht="17.15" hidden="false" customHeight="false" outlineLevel="0" collapsed="false">
      <c r="A7" s="5" t="s">
        <v>1330</v>
      </c>
      <c r="B7" s="0" t="s">
        <v>494</v>
      </c>
      <c r="C7" s="0" t="s">
        <v>57</v>
      </c>
      <c r="D7" s="23" t="n">
        <f aca="false">IF(In!$H$164&lt;&gt;"",In!$H$164,0)</f>
        <v>0</v>
      </c>
      <c r="E7" s="23" t="n">
        <f aca="false">IF(In!$I$164&lt;&gt;"",In!$I$164,0)</f>
        <v>0</v>
      </c>
      <c r="F7" s="23" t="n">
        <f aca="false">IF(In!$J$164&lt;&gt;"",In!$J$164,0)</f>
        <v>0.2</v>
      </c>
      <c r="G7" s="23" t="n">
        <f aca="false">IF(In!$K$164&lt;&gt;"",In!$K$164,(1-SIL_vr26))</f>
        <v>0.78</v>
      </c>
      <c r="H7" s="23" t="n">
        <f aca="false">IF(In!$L$164&lt;&gt;"",In!$L$164,0)</f>
        <v>0</v>
      </c>
      <c r="I7" s="23" t="n">
        <f aca="false">IF(In!$M$164&lt;&gt;"",In!$M$164,0)</f>
        <v>0</v>
      </c>
      <c r="J7" s="23" t="n">
        <f aca="false">IF(In!$N$164&lt;&gt;"",In!$N$164,0)</f>
        <v>0</v>
      </c>
      <c r="K7" s="23" t="n">
        <f aca="false">IF(In!$O$164&lt;&gt;"",In!$O$164,J7)</f>
        <v>0</v>
      </c>
      <c r="L7" s="23" t="n">
        <f aca="false">IF(In!$P$164&lt;&gt;"",In!$P$164,J7)</f>
        <v>0</v>
      </c>
      <c r="M7" s="23" t="n">
        <f aca="false">IF(In!$Q$164&lt;&gt;"",In!$Q$164,J7)</f>
        <v>0</v>
      </c>
    </row>
    <row r="8" customFormat="false" ht="17.15" hidden="false" customHeight="false" outlineLevel="0" collapsed="false">
      <c r="A8" s="5" t="s">
        <v>1331</v>
      </c>
      <c r="B8" s="0" t="s">
        <v>496</v>
      </c>
      <c r="C8" s="0" t="s">
        <v>57</v>
      </c>
      <c r="D8" s="23" t="n">
        <f aca="false">IF(In!$H$165&lt;&gt;"",In!$H$165,0)</f>
        <v>0</v>
      </c>
      <c r="E8" s="23" t="n">
        <f aca="false">IF(In!$I$165&lt;&gt;"",In!$I$165,0)</f>
        <v>0</v>
      </c>
      <c r="F8" s="23" t="n">
        <f aca="false">IF(In!$J$165&lt;&gt;"",In!$J$165,0)</f>
        <v>0</v>
      </c>
      <c r="G8" s="23" t="n">
        <f aca="false">IF(In!$K$165&lt;&gt;"",In!$K$165,SIL_vr26)</f>
        <v>0.22</v>
      </c>
      <c r="H8" s="23" t="n">
        <f aca="false">IF(In!$L$165&lt;&gt;"",In!$L$165,(1-H$11))</f>
        <v>0.939674252875845</v>
      </c>
      <c r="I8" s="23" t="n">
        <f aca="false">IF(In!$M$165&lt;&gt;"",In!$M$165,(1-I$11))</f>
        <v>0.700284773845187</v>
      </c>
      <c r="J8" s="23" t="n">
        <f aca="false">IF(In!$N$165&lt;&gt;"",In!$N$165,(1-J$11))</f>
        <v>0.700284773845187</v>
      </c>
      <c r="K8" s="23" t="n">
        <f aca="false">IF(In!$O$165&lt;&gt;"",In!$O$165,J8)</f>
        <v>0.700284773845187</v>
      </c>
      <c r="L8" s="23" t="n">
        <f aca="false">IF(In!$P$165&lt;&gt;"",In!$P$165,J8)</f>
        <v>0.700284773845187</v>
      </c>
      <c r="M8" s="23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1332</v>
      </c>
      <c r="B9" s="0" t="s">
        <v>498</v>
      </c>
      <c r="C9" s="0" t="s">
        <v>57</v>
      </c>
      <c r="D9" s="23" t="n">
        <f aca="false">IF(In!$H$166&lt;&gt;"",In!$H$166,0)</f>
        <v>0</v>
      </c>
      <c r="E9" s="23" t="n">
        <f aca="false">IF(In!$I$166&lt;&gt;"",In!$I$166,0)</f>
        <v>0</v>
      </c>
      <c r="F9" s="23" t="n">
        <f aca="false">IF(In!$J$166&lt;&gt;"",In!$J$166,0)</f>
        <v>0</v>
      </c>
      <c r="G9" s="23" t="n">
        <f aca="false">IF(In!$K$166&lt;&gt;"",In!$K$166,0)</f>
        <v>0</v>
      </c>
      <c r="H9" s="23" t="n">
        <f aca="false">IF(In!$L$166&lt;&gt;"",In!$L$166,H$11)</f>
        <v>0.0603257471241551</v>
      </c>
      <c r="I9" s="23" t="n">
        <f aca="false">IF(In!$M$166&lt;&gt;"",In!$M$166,I$11)</f>
        <v>0.299715226154813</v>
      </c>
      <c r="J9" s="23" t="n">
        <f aca="false">IF(In!$N$166&lt;&gt;"",In!$N$166,J$11)</f>
        <v>0.299715226154813</v>
      </c>
      <c r="K9" s="23" t="n">
        <f aca="false">IF(In!$O$166&lt;&gt;"",In!$O$166,J9)</f>
        <v>0.299715226154813</v>
      </c>
      <c r="L9" s="23" t="n">
        <f aca="false">IF(In!$P$166&lt;&gt;"",In!$P$166,J9)</f>
        <v>0.299715226154813</v>
      </c>
      <c r="M9" s="23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1333</v>
      </c>
      <c r="C10" s="0" t="s">
        <v>57</v>
      </c>
      <c r="D10" s="23" t="n">
        <f aca="false">SUM(D5:D9)</f>
        <v>1</v>
      </c>
      <c r="E10" s="23" t="n">
        <f aca="false">SUM(E5:E9)</f>
        <v>1</v>
      </c>
      <c r="F10" s="23" t="n">
        <f aca="false">SUM(F5:F9)</f>
        <v>1</v>
      </c>
      <c r="G10" s="23" t="n">
        <f aca="false">SUM(G5:G9)</f>
        <v>1</v>
      </c>
      <c r="H10" s="23" t="n">
        <f aca="false">SUM(H5:H9)</f>
        <v>1</v>
      </c>
      <c r="I10" s="23" t="n">
        <f aca="false">SUM(I5:I9)</f>
        <v>1</v>
      </c>
      <c r="J10" s="23" t="n">
        <f aca="false">SUM(J5:J9)</f>
        <v>1</v>
      </c>
      <c r="K10" s="23" t="n">
        <f aca="false">SUM(K5:K9)</f>
        <v>1</v>
      </c>
      <c r="L10" s="23" t="n">
        <f aca="false">SUM(L5:L9)</f>
        <v>1</v>
      </c>
      <c r="M10" s="23" t="n">
        <f aca="false">SUM(M5:M9)</f>
        <v>1</v>
      </c>
    </row>
    <row r="11" customFormat="false" ht="17.15" hidden="false" customHeight="false" outlineLevel="0" collapsed="false">
      <c r="A11" s="0" t="s">
        <v>1334</v>
      </c>
      <c r="C11" s="0" t="s">
        <v>57</v>
      </c>
      <c r="H11" s="24" t="n">
        <f aca="false">(SIL_In!$H$21/TK_GPUsPerGW_RU)/(SIL_In!$H$20/TK_GPUsPerGW_VR200+SIL_In!$H$21/TK_GPUsPerGW_RU)</f>
        <v>0.0603257471241551</v>
      </c>
      <c r="I11" s="24" t="n">
        <f aca="false">(SIL_In!$I$21/TK_GPUsPerGW_RU)/(SIL_In!$I$20/TK_GPUsPerGW_VR200+SIL_In!$I$21/TK_GPUsPerGW_RU)</f>
        <v>0.299715226154813</v>
      </c>
      <c r="J11" s="24" t="n">
        <f aca="false">(SIL_In!$J$21/TK_GPUsPerGW_RU)/(SIL_In!$J$20/TK_GPUsPerGW_VR200+SIL_In!$J$21/TK_GPUsPerGW_RU)</f>
        <v>0.299715226154813</v>
      </c>
      <c r="N11" s="5" t="s">
        <v>1335</v>
      </c>
    </row>
    <row r="12" customFormat="false" ht="17.15" hidden="false" customHeight="false" outlineLevel="0" collapsed="false">
      <c r="A12" s="5" t="s">
        <v>1336</v>
      </c>
      <c r="B12" s="0" t="s">
        <v>500</v>
      </c>
      <c r="C12" s="0" t="s">
        <v>57</v>
      </c>
      <c r="D12" s="24" t="n">
        <f aca="false">IF(In!$H$167&lt;&gt;"",In!$H$167,G12)</f>
        <v>0.238210067173108</v>
      </c>
      <c r="E12" s="24" t="n">
        <f aca="false">IF(In!$I$167&lt;&gt;"",In!$I$167,G12)</f>
        <v>0.238210067173108</v>
      </c>
      <c r="F12" s="24" t="n">
        <f aca="false">IF(In!$J$167&lt;&gt;"",In!$J$167,G12)</f>
        <v>0.238210067173108</v>
      </c>
      <c r="G12" s="24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4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4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4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4" t="n">
        <f aca="false">IF(In!$O$167&lt;&gt;"",In!$O$167,J12)</f>
        <v>0.272187509408712</v>
      </c>
      <c r="L12" s="24" t="n">
        <f aca="false">IF(In!$P$167&lt;&gt;"",In!$P$167,J12)</f>
        <v>0.272187509408712</v>
      </c>
      <c r="M12" s="24" t="n">
        <f aca="false">IF(In!$Q$167&lt;&gt;"",In!$Q$167,J12)</f>
        <v>0.272187509408712</v>
      </c>
      <c r="N12" s="21" t="s">
        <v>1337</v>
      </c>
    </row>
    <row r="13" customFormat="false" ht="17.15" hidden="false" customHeight="false" outlineLevel="0" collapsed="false">
      <c r="A13" s="5" t="s">
        <v>1338</v>
      </c>
      <c r="C13" s="0" t="s">
        <v>41</v>
      </c>
      <c r="D13" s="25" t="n">
        <f aca="false">D5*TK_FacilityGW_H100+D6*TK_FacilityGW_GB200+D7*TK_FacilityGW_GB300+D8*TK_FacilityGW_VR200+D9*TK_FacilityGW_RU</f>
        <v>1.2</v>
      </c>
      <c r="E13" s="25" t="n">
        <f aca="false">E5*TK_FacilityGW_H100+E6*TK_FacilityGW_GB200+E7*TK_FacilityGW_GB300+E8*TK_FacilityGW_VR200+E9*TK_FacilityGW_RU</f>
        <v>1.2</v>
      </c>
      <c r="F13" s="25" t="n">
        <f aca="false">F5*TK_FacilityGW_H100+F6*TK_FacilityGW_GB200+F7*TK_FacilityGW_GB300+F8*TK_FacilityGW_VR200+F9*TK_FacilityGW_RU</f>
        <v>1.2</v>
      </c>
      <c r="G13" s="25" t="n">
        <f aca="false">G5*TK_FacilityGW_H100+G6*TK_FacilityGW_GB200+G7*TK_FacilityGW_GB300+G8*TK_FacilityGW_VR200+G9*TK_FacilityGW_RU</f>
        <v>1.2</v>
      </c>
      <c r="H13" s="25" t="n">
        <f aca="false">H5*TK_FacilityGW_H100+H6*TK_FacilityGW_GB200+H7*TK_FacilityGW_GB300+H8*TK_FacilityGW_VR200+H9*TK_FacilityGW_RU</f>
        <v>1.2</v>
      </c>
      <c r="I13" s="25" t="n">
        <f aca="false">I5*TK_FacilityGW_H100+I6*TK_FacilityGW_GB200+I7*TK_FacilityGW_GB300+I8*TK_FacilityGW_VR200+I9*TK_FacilityGW_RU</f>
        <v>1.2</v>
      </c>
      <c r="J13" s="25" t="n">
        <f aca="false">J5*TK_FacilityGW_H100+J6*TK_FacilityGW_GB200+J7*TK_FacilityGW_GB300+J8*TK_FacilityGW_VR200+J9*TK_FacilityGW_RU</f>
        <v>1.2</v>
      </c>
      <c r="K13" s="25" t="n">
        <f aca="false">K5*TK_FacilityGW_H100+K6*TK_FacilityGW_GB200+K7*TK_FacilityGW_GB300+K8*TK_FacilityGW_VR200+K9*TK_FacilityGW_RU</f>
        <v>1.2</v>
      </c>
      <c r="L13" s="25" t="n">
        <f aca="false">L5*TK_FacilityGW_H100+L6*TK_FacilityGW_GB200+L7*TK_FacilityGW_GB300+L8*TK_FacilityGW_VR200+L9*TK_FacilityGW_RU</f>
        <v>1.2</v>
      </c>
      <c r="M13" s="25" t="n">
        <f aca="false">M5*TK_FacilityGW_H100+M6*TK_FacilityGW_GB200+M7*TK_FacilityGW_GB300+M8*TK_FacilityGW_VR200+M9*TK_FacilityGW_RU</f>
        <v>1.2</v>
      </c>
      <c r="N13" s="21" t="s">
        <v>1339</v>
      </c>
    </row>
    <row r="14" customFormat="false" ht="17.15" hidden="false" customHeight="false" outlineLevel="0" collapsed="false">
      <c r="A14" s="5" t="s">
        <v>1340</v>
      </c>
      <c r="B14" s="0" t="s">
        <v>1341</v>
      </c>
      <c r="C14" s="0" t="s">
        <v>41</v>
      </c>
      <c r="D14" s="25" t="n">
        <f aca="false">k_chip2it</f>
        <v>1.85</v>
      </c>
      <c r="E14" s="25" t="n">
        <f aca="false">k_chip2it_lo</f>
        <v>1.65</v>
      </c>
      <c r="F14" s="25" t="n">
        <f aca="false">k_chip2it_hi</f>
        <v>2.08</v>
      </c>
      <c r="N14" s="21" t="s">
        <v>1342</v>
      </c>
    </row>
    <row r="15" customFormat="false" ht="17.15" hidden="false" customHeight="false" outlineLevel="0" collapsed="false">
      <c r="A15" s="5" t="s">
        <v>1343</v>
      </c>
      <c r="B15" s="0" t="s">
        <v>1344</v>
      </c>
      <c r="C15" s="0" t="s">
        <v>41</v>
      </c>
      <c r="D15" s="25" t="n">
        <f aca="false">ovr25_googl/In!$J$102</f>
        <v>1.45604767709603</v>
      </c>
      <c r="E15" s="25" t="n">
        <f aca="false">ovr25_googl_lo/In!$J$102</f>
        <v>1.32060138155221</v>
      </c>
      <c r="F15" s="25" t="n">
        <f aca="false">ovr25_googl_hi/In!$J$102</f>
        <v>1.65921712041176</v>
      </c>
      <c r="N15" s="21" t="s">
        <v>1345</v>
      </c>
    </row>
    <row r="16" customFormat="false" ht="17.15" hidden="false" customHeight="false" outlineLevel="0" collapsed="false">
      <c r="A16" s="5" t="s">
        <v>1346</v>
      </c>
      <c r="B16" s="0" t="s">
        <v>1347</v>
      </c>
      <c r="C16" s="0" t="s">
        <v>41</v>
      </c>
      <c r="D16" s="25" t="n">
        <f aca="false">ovr25_amzn/In!$J$103</f>
        <v>1.31539611360239</v>
      </c>
      <c r="E16" s="25" t="n">
        <f aca="false">ovr25_amzn_lo/In!$J$103</f>
        <v>1.13602391629297</v>
      </c>
      <c r="F16" s="25" t="n">
        <f aca="false">ovr25_amzn_hi/In!$J$103</f>
        <v>1.55455904334828</v>
      </c>
      <c r="N16" s="21" t="s">
        <v>1348</v>
      </c>
    </row>
    <row r="17" customFormat="false" ht="17.15" hidden="false" customHeight="false" outlineLevel="0" collapsed="false">
      <c r="A17" s="5" t="s">
        <v>1349</v>
      </c>
      <c r="B17" s="0" t="s">
        <v>1350</v>
      </c>
      <c r="C17" s="0" t="s">
        <v>41</v>
      </c>
      <c r="D17" s="25" t="n">
        <f aca="false">k_chip2it</f>
        <v>1.85</v>
      </c>
      <c r="E17" s="25" t="n">
        <f aca="false">k_chip2it_lo</f>
        <v>1.65</v>
      </c>
      <c r="F17" s="25" t="n">
        <f aca="false">k_chip2it_hi</f>
        <v>2.08</v>
      </c>
      <c r="N17" s="21" t="s">
        <v>1342</v>
      </c>
    </row>
    <row r="18" customFormat="false" ht="17.15" hidden="false" customHeight="false" outlineLevel="0" collapsed="false">
      <c r="A18" s="5" t="s">
        <v>1351</v>
      </c>
      <c r="B18" s="0" t="s">
        <v>1352</v>
      </c>
      <c r="C18" s="0" t="s">
        <v>41</v>
      </c>
      <c r="D18" s="25" t="n">
        <f aca="false">k_chip2it</f>
        <v>1.85</v>
      </c>
      <c r="E18" s="25" t="n">
        <f aca="false">k_chip2it_lo</f>
        <v>1.65</v>
      </c>
      <c r="F18" s="25" t="n">
        <f aca="false">k_chip2it_hi</f>
        <v>2.08</v>
      </c>
      <c r="N18" s="21" t="s">
        <v>1342</v>
      </c>
    </row>
    <row r="19" customFormat="false" ht="17.15" hidden="false" customHeight="false" outlineLevel="0" collapsed="false">
      <c r="A19" s="5" t="s">
        <v>1353</v>
      </c>
      <c r="B19" s="0" t="s">
        <v>1354</v>
      </c>
      <c r="C19" s="0" t="s">
        <v>41</v>
      </c>
      <c r="D19" s="25" t="n">
        <f aca="false">k_chip2it</f>
        <v>1.85</v>
      </c>
      <c r="E19" s="25" t="n">
        <f aca="false">k_chip2it_lo</f>
        <v>1.65</v>
      </c>
      <c r="F19" s="25" t="n">
        <f aca="false">k_chip2it_hi</f>
        <v>2.08</v>
      </c>
      <c r="N19" s="21" t="s">
        <v>1342</v>
      </c>
    </row>
    <row r="21" customFormat="false" ht="17.15" hidden="false" customHeight="false" outlineLevel="0" collapsed="false">
      <c r="A21" s="8" t="s">
        <v>1355</v>
      </c>
      <c r="B21" s="21" t="s">
        <v>728</v>
      </c>
      <c r="N21" s="21" t="s">
        <v>1356</v>
      </c>
    </row>
    <row r="22" customFormat="false" ht="17.15" hidden="false" customHeight="false" outlineLevel="0" collapsed="false">
      <c r="A22" s="5" t="s">
        <v>1357</v>
      </c>
      <c r="B22" s="0" t="s">
        <v>1358</v>
      </c>
      <c r="C22" s="0" t="s">
        <v>82</v>
      </c>
      <c r="D22" s="25" t="str">
        <f aca="false">IF(In!$H$108="","",IF(In!$C$108="設施",In!$H$108/1000/D$13,In!$H$108/1000))</f>
        <v/>
      </c>
      <c r="E22" s="25" t="str">
        <f aca="false">IF(In!$I$108="","",IF(In!$C$108="設施",In!$I$108/1000/E$13,In!$I$108/1000))</f>
        <v/>
      </c>
      <c r="F22" s="25" t="str">
        <f aca="false">IF(In!$J$108="","",IF(In!$C$108="設施",In!$J$108/1000/F$13,In!$J$108/1000))</f>
        <v/>
      </c>
      <c r="G22" s="25" t="str">
        <f aca="false">IF(In!$K$108="","",IF(In!$C$108="設施",In!$K$108/1000/G$13,In!$K$108/1000))</f>
        <v/>
      </c>
      <c r="H22" s="25" t="str">
        <f aca="false">IF(In!$L$108="","",IF(In!$C$108="設施",In!$L$108/1000/H$13,In!$L$108/1000))</f>
        <v/>
      </c>
      <c r="I22" s="25" t="str">
        <f aca="false">IF(In!$M$108="","",IF(In!$C$108="設施",In!$M$108/1000/I$13,In!$M$108/1000))</f>
        <v/>
      </c>
      <c r="J22" s="25" t="str">
        <f aca="false">IF(In!$N$108="","",IF(In!$C$108="設施",In!$N$108/1000/J$13,In!$N$108/1000))</f>
        <v/>
      </c>
      <c r="K22" s="25" t="str">
        <f aca="false">IF(In!$O$108="","",IF(In!$C$108="設施",In!$O$108/1000/K$13,In!$O$108/1000))</f>
        <v/>
      </c>
      <c r="L22" s="25" t="str">
        <f aca="false">IF(In!$P$108="","",IF(In!$C$108="設施",In!$P$108/1000/L$13,In!$P$108/1000))</f>
        <v/>
      </c>
      <c r="M22" s="25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1359</v>
      </c>
      <c r="B23" s="0" t="s">
        <v>1360</v>
      </c>
      <c r="C23" s="0" t="s">
        <v>82</v>
      </c>
      <c r="D23" s="25" t="str">
        <f aca="false">IF(In!$H$101="","",In!$H$101*Players!$D$14/1000)</f>
        <v/>
      </c>
      <c r="E23" s="25" t="n">
        <f aca="false">IF(In!$I$101="","",In!$I$101*Players!$D$14/1000)</f>
        <v>1.593775</v>
      </c>
      <c r="F23" s="25" t="n">
        <f aca="false">IF(In!$J$101="","",In!$J$101*Players!$D$14/1000)</f>
        <v>3.729045</v>
      </c>
      <c r="G23" s="25" t="str">
        <f aca="false">IF(In!$K$101="","",In!$K$101*Players!$D$14/1000)</f>
        <v/>
      </c>
      <c r="H23" s="25" t="str">
        <f aca="false">IF(In!$L$101="","",In!$L$101*Players!$D$14/1000)</f>
        <v/>
      </c>
      <c r="I23" s="25" t="str">
        <f aca="false">IF(In!$M$101="","",In!$M$101*Players!$D$14/1000)</f>
        <v/>
      </c>
      <c r="J23" s="25" t="str">
        <f aca="false">IF(In!$N$101="","",In!$N$101*Players!$D$14/1000)</f>
        <v/>
      </c>
      <c r="K23" s="25" t="str">
        <f aca="false">IF(In!$O$101="","",In!$O$101*Players!$D$14/1000)</f>
        <v/>
      </c>
      <c r="L23" s="25" t="str">
        <f aca="false">IF(In!$P$101="","",In!$P$101*Players!$D$14/1000)</f>
        <v/>
      </c>
      <c r="M23" s="25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1361</v>
      </c>
      <c r="B24" s="0" t="s">
        <v>1362</v>
      </c>
      <c r="C24" s="0" t="s">
        <v>82</v>
      </c>
      <c r="D24" s="25" t="str">
        <f aca="false">IF(D22&lt;&gt;"",D22,IF(D23&lt;&gt;"",D23,IF(INT(obsd_msft)=2023,obs_msft/1000+SUMIFS(Pipeline!$L$5:$L$134,Pipeline!$C$5:$C$134,"msft",Pipeline!$Q$5:$Q$134,1,Pipeline!$K$5:$K$134,"&gt;"&amp;obsd_msft,Pipeline!$K$5:$K$134,"&lt;="&amp;2024),"")))</f>
        <v/>
      </c>
      <c r="E24" s="25" t="n">
        <f aca="false">IF(E22&lt;&gt;"",E22,IF(E23&lt;&gt;"",E23,IF(INT(obsd_msft)=2024,obs_msft/1000+SUMIFS(Pipeline!$L$5:$L$134,Pipeline!$C$5:$C$134,"msft",Pipeline!$Q$5:$Q$134,1,Pipeline!$K$5:$K$134,"&gt;"&amp;obsd_msft,Pipeline!$K$5:$K$134,"&lt;="&amp;2025),"")))</f>
        <v>1.593775</v>
      </c>
      <c r="F24" s="25" t="n">
        <f aca="false">IF(F22&lt;&gt;"",F22,IF(F23&lt;&gt;"",F23,IF(INT(obsd_msft)=2025,obs_msft/1000+SUMIFS(Pipeline!$L$5:$L$134,Pipeline!$C$5:$C$134,"msft",Pipeline!$Q$5:$Q$134,1,Pipeline!$K$5:$K$134,"&gt;"&amp;obsd_msft,Pipeline!$K$5:$K$134,"&lt;="&amp;2026),"")))</f>
        <v>3.729045</v>
      </c>
      <c r="G24" s="25" t="n">
        <f aca="false">IF(G22&lt;&gt;"",G22,IF(G23&lt;&gt;"",G23,IF(INT(obsd_msft)=2026,obs_msft/1000+SUMIFS(Pipeline!$L$5:$L$134,Pipeline!$C$5:$C$134,"msft",Pipeline!$Q$5:$Q$134,1,Pipeline!$K$5:$K$134,"&gt;"&amp;obsd_msft,Pipeline!$K$5:$K$134,"&lt;="&amp;2027),"")))</f>
        <v>4.5</v>
      </c>
      <c r="H24" s="25" t="str">
        <f aca="false">IF(H22&lt;&gt;"",H22,IF(H23&lt;&gt;"",H23,IF(INT(obsd_msft)=2027,obs_msft/1000+SUMIFS(Pipeline!$L$5:$L$134,Pipeline!$C$5:$C$134,"msft",Pipeline!$Q$5:$Q$134,1,Pipeline!$K$5:$K$134,"&gt;"&amp;obsd_msft,Pipeline!$K$5:$K$134,"&lt;="&amp;2028),"")))</f>
        <v/>
      </c>
      <c r="I24" s="25" t="str">
        <f aca="false">IF(I22&lt;&gt;"",I22,IF(I23&lt;&gt;"",I23,IF(INT(obsd_msft)=2028,obs_msft/1000+SUMIFS(Pipeline!$L$5:$L$134,Pipeline!$C$5:$C$134,"msft",Pipeline!$Q$5:$Q$134,1,Pipeline!$K$5:$K$134,"&gt;"&amp;obsd_msft,Pipeline!$K$5:$K$134,"&lt;="&amp;2029),"")))</f>
        <v/>
      </c>
      <c r="J24" s="25" t="str">
        <f aca="false">IF(J22&lt;&gt;"",J22,IF(J23&lt;&gt;"",J23,IF(INT(obsd_msft)=2029,obs_msft/1000+SUMIFS(Pipeline!$L$5:$L$134,Pipeline!$C$5:$C$134,"msft",Pipeline!$Q$5:$Q$134,1,Pipeline!$K$5:$K$134,"&gt;"&amp;obsd_msft,Pipeline!$K$5:$K$134,"&lt;="&amp;2030),"")))</f>
        <v/>
      </c>
      <c r="K24" s="25" t="str">
        <f aca="false">IF(K22&lt;&gt;"",K22,IF(K23&lt;&gt;"",K23,IF(INT(obsd_msft)=2030,obs_msft/1000+SUMIFS(Pipeline!$L$5:$L$134,Pipeline!$C$5:$C$134,"msft",Pipeline!$Q$5:$Q$134,1,Pipeline!$K$5:$K$134,"&gt;"&amp;obsd_msft,Pipeline!$K$5:$K$134,"&lt;="&amp;2031),"")))</f>
        <v/>
      </c>
      <c r="L24" s="25" t="str">
        <f aca="false">IF(L22&lt;&gt;"",L22,IF(L23&lt;&gt;"",L23,IF(INT(obsd_msft)=2031,obs_msft/1000+SUMIFS(Pipeline!$L$5:$L$134,Pipeline!$C$5:$C$134,"msft",Pipeline!$Q$5:$Q$134,1,Pipeline!$K$5:$K$134,"&gt;"&amp;obsd_msft,Pipeline!$K$5:$K$134,"&lt;="&amp;2032),"")))</f>
        <v/>
      </c>
      <c r="M24" s="25" t="str">
        <f aca="false">IF(M22&lt;&gt;"",M22,IF(M23&lt;&gt;"",M23,IF(INT(obsd_msft)=2032,obs_msft/1000+SUMIFS(Pipeline!$L$5:$L$134,Pipeline!$C$5:$C$134,"msft",Pipeline!$Q$5:$Q$134,1,Pipeline!$K$5:$K$134,"&gt;"&amp;obsd_msft,Pipeline!$K$5:$K$134,"&lt;="&amp;2033),"")))</f>
        <v/>
      </c>
    </row>
    <row r="25" customFormat="false" ht="15" hidden="false" customHeight="false" outlineLevel="0" collapsed="false">
      <c r="A25" s="5" t="s">
        <v>1363</v>
      </c>
      <c r="B25" s="0" t="s">
        <v>1364</v>
      </c>
      <c r="C25" s="0" t="s">
        <v>82</v>
      </c>
      <c r="D25" s="0" t="str">
        <f aca="false">IF(D24&lt;&gt;"",D24,"")</f>
        <v/>
      </c>
      <c r="E25" s="25" t="n">
        <f aca="false">IF(E24&lt;&gt;"",E24,D25)</f>
        <v>1.593775</v>
      </c>
      <c r="F25" s="25" t="n">
        <f aca="false">IF(F24&lt;&gt;"",F24,E25)</f>
        <v>3.729045</v>
      </c>
      <c r="G25" s="25" t="n">
        <f aca="false">IF(G24&lt;&gt;"",G24,F25)</f>
        <v>4.5</v>
      </c>
      <c r="H25" s="25" t="n">
        <f aca="false">IF(H24&lt;&gt;"",H24,G25)</f>
        <v>4.5</v>
      </c>
      <c r="I25" s="25" t="n">
        <f aca="false">IF(I24&lt;&gt;"",I24,H25)</f>
        <v>4.5</v>
      </c>
      <c r="J25" s="25" t="n">
        <f aca="false">IF(J24&lt;&gt;"",J24,I25)</f>
        <v>4.5</v>
      </c>
      <c r="K25" s="25" t="n">
        <f aca="false">IF(K24&lt;&gt;"",K24,J25)</f>
        <v>4.5</v>
      </c>
      <c r="L25" s="25" t="n">
        <f aca="false">IF(L24&lt;&gt;"",L24,K25)</f>
        <v>4.5</v>
      </c>
      <c r="M25" s="25" t="n">
        <f aca="false">IF(M24&lt;&gt;"",M24,L25)</f>
        <v>4.5</v>
      </c>
    </row>
    <row r="26" customFormat="false" ht="15" hidden="false" customHeight="false" outlineLevel="0" collapsed="false">
      <c r="A26" s="5" t="s">
        <v>1365</v>
      </c>
      <c r="B26" s="0" t="s">
        <v>1366</v>
      </c>
      <c r="C26" s="5" t="s">
        <v>52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1367</v>
      </c>
      <c r="B27" s="0" t="s">
        <v>1368</v>
      </c>
      <c r="C27" s="0" t="s">
        <v>82</v>
      </c>
      <c r="D27" s="25" t="n">
        <f aca="false">IF(D24&lt;&gt;"",D24,E27)</f>
        <v>1.593775</v>
      </c>
      <c r="E27" s="25" t="n">
        <f aca="false">IF(E24&lt;&gt;"",E24,F27)</f>
        <v>1.593775</v>
      </c>
      <c r="F27" s="25" t="n">
        <f aca="false">IF(F24&lt;&gt;"",F24,G27)</f>
        <v>3.729045</v>
      </c>
      <c r="G27" s="25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1369</v>
      </c>
      <c r="B28" s="0" t="s">
        <v>1370</v>
      </c>
      <c r="C28" s="5" t="s">
        <v>52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1371</v>
      </c>
      <c r="B29" s="0" t="s">
        <v>1372</v>
      </c>
      <c r="C29" s="0" t="s">
        <v>82</v>
      </c>
      <c r="D29" s="25" t="n">
        <f aca="false">SUMIFS(Pipeline!$L$5:$L$134,Pipeline!$C$5:$C$134,"msft",Pipeline!$Q$5:$Q$134,1,Pipeline!$P$5:$P$134,2023)</f>
        <v>0</v>
      </c>
      <c r="E29" s="25" t="n">
        <f aca="false">SUMIFS(Pipeline!$L$5:$L$134,Pipeline!$C$5:$C$134,"msft",Pipeline!$Q$5:$Q$134,1,Pipeline!$P$5:$P$134,2024)</f>
        <v>0</v>
      </c>
      <c r="F29" s="25" t="n">
        <f aca="false">SUMIFS(Pipeline!$L$5:$L$134,Pipeline!$C$5:$C$134,"msft",Pipeline!$Q$5:$Q$134,1,Pipeline!$P$5:$P$134,2025)</f>
        <v>0.321</v>
      </c>
      <c r="G29" s="25" t="n">
        <f aca="false">SUMIFS(Pipeline!$L$5:$L$134,Pipeline!$C$5:$C$134,"msft",Pipeline!$Q$5:$Q$134,1,Pipeline!$P$5:$P$134,2026)</f>
        <v>0.684</v>
      </c>
      <c r="H29" s="25" t="n">
        <f aca="false">SUMIFS(Pipeline!$L$5:$L$134,Pipeline!$C$5:$C$134,"msft",Pipeline!$Q$5:$Q$134,1,Pipeline!$P$5:$P$134,2027)</f>
        <v>1.04</v>
      </c>
      <c r="I29" s="25" t="n">
        <f aca="false">SUMIFS(Pipeline!$L$5:$L$134,Pipeline!$C$5:$C$134,"msft",Pipeline!$Q$5:$Q$134,1,Pipeline!$P$5:$P$134,2028)</f>
        <v>1.67</v>
      </c>
      <c r="J29" s="25" t="n">
        <f aca="false">SUMIFS(Pipeline!$L$5:$L$134,Pipeline!$C$5:$C$134,"msft",Pipeline!$Q$5:$Q$134,1,Pipeline!$P$5:$P$134,2029)</f>
        <v>0.144</v>
      </c>
      <c r="K29" s="25" t="n">
        <f aca="false">SUMIFS(Pipeline!$L$5:$L$134,Pipeline!$C$5:$C$134,"msft",Pipeline!$Q$5:$Q$134,1,Pipeline!$P$5:$P$134,2030)</f>
        <v>0.144</v>
      </c>
      <c r="L29" s="25" t="n">
        <f aca="false">SUMIFS(Pipeline!$L$5:$L$134,Pipeline!$C$5:$C$134,"msft",Pipeline!$Q$5:$Q$134,1,Pipeline!$P$5:$P$134,2031)</f>
        <v>0.269</v>
      </c>
      <c r="M29" s="25" t="n">
        <f aca="false">SUMIFS(Pipeline!$L$5:$L$134,Pipeline!$C$5:$C$134,"msft",Pipeline!$Q$5:$Q$134,1,Pipeline!$P$5:$P$134,2032)</f>
        <v>2.566</v>
      </c>
    </row>
    <row r="30" customFormat="false" ht="17.15" hidden="false" customHeight="false" outlineLevel="0" collapsed="false">
      <c r="A30" s="5" t="s">
        <v>1373</v>
      </c>
      <c r="B30" s="0" t="s">
        <v>1374</v>
      </c>
      <c r="C30" s="0" t="s">
        <v>82</v>
      </c>
      <c r="D30" s="26" t="str">
        <f aca="false">IF(D24&lt;&gt;"",D24,IF(AND(D25&lt;&gt;"",D27&lt;&gt;""),D25+(D27-D25)*(2023-D26)/(D28-D26),""))</f>
        <v/>
      </c>
      <c r="E30" s="26" t="n">
        <f aca="false">IF(E24&lt;&gt;"",E24,IF(AND(E25&lt;&gt;"",E27&lt;&gt;""),E25+(E27-E25)*(2024-E26)/(E28-E26),IF(D30&lt;&gt;"",D30+E29,"")))</f>
        <v>1.593775</v>
      </c>
      <c r="F30" s="26" t="n">
        <f aca="false">IF(F24&lt;&gt;"",F24,IF(AND(F25&lt;&gt;"",F27&lt;&gt;""),F25+(F27-F25)*(2025-F26)/(F28-F26),IF(E30&lt;&gt;"",E30+F29,"")))</f>
        <v>3.729045</v>
      </c>
      <c r="G30" s="26" t="n">
        <f aca="false">IF(G24&lt;&gt;"",G24,IF(AND(G25&lt;&gt;"",G27&lt;&gt;""),G25+(G27-G25)*(2026-G26)/(G28-G26),IF(F30&lt;&gt;"",F30+G29,"")))</f>
        <v>4.5</v>
      </c>
      <c r="H30" s="26" t="n">
        <f aca="false">IF(H24&lt;&gt;"",H24,IF(AND(H25&lt;&gt;"",H27&lt;&gt;""),H25+(H27-H25)*(2027-H26)/(H28-H26),IF(G30&lt;&gt;"",G30+H29,"")))</f>
        <v>5.54</v>
      </c>
      <c r="I30" s="26" t="n">
        <f aca="false">IF(I24&lt;&gt;"",I24,IF(AND(I25&lt;&gt;"",I27&lt;&gt;""),I25+(I27-I25)*(2028-I26)/(I28-I26),IF(H30&lt;&gt;"",H30+I29,"")))</f>
        <v>7.21</v>
      </c>
      <c r="J30" s="26" t="n">
        <f aca="false">IF(J24&lt;&gt;"",J24,IF(AND(J25&lt;&gt;"",J27&lt;&gt;""),J25+(J27-J25)*(2029-J26)/(J28-J26),IF(I30&lt;&gt;"",I30+J29,"")))</f>
        <v>7.354</v>
      </c>
      <c r="K30" s="26" t="n">
        <f aca="false">IF(K24&lt;&gt;"",K24,IF(AND(K25&lt;&gt;"",K27&lt;&gt;""),K25+(K27-K25)*(2030-K26)/(K28-K26),IF(J30&lt;&gt;"",J30+K29,"")))</f>
        <v>7.498</v>
      </c>
      <c r="L30" s="26" t="n">
        <f aca="false">IF(L24&lt;&gt;"",L24,IF(AND(L25&lt;&gt;"",L27&lt;&gt;""),L25+(L27-L25)*(2031-L26)/(L28-L26),IF(K30&lt;&gt;"",K30+L29,"")))</f>
        <v>7.767</v>
      </c>
      <c r="M30" s="26" t="n">
        <f aca="false">IF(M24&lt;&gt;"",M24,IF(AND(M25&lt;&gt;"",M27&lt;&gt;""),M25+(M27-M25)*(2032-M26)/(M28-M26),IF(L30&lt;&gt;"",L30+M29,"")))</f>
        <v>10.333</v>
      </c>
    </row>
    <row r="31" customFormat="false" ht="15" hidden="false" customHeight="false" outlineLevel="0" collapsed="false">
      <c r="A31" s="5" t="s">
        <v>1375</v>
      </c>
      <c r="B31" s="0" t="s">
        <v>1376</v>
      </c>
      <c r="C31" s="0" t="s">
        <v>40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1377</v>
      </c>
      <c r="B32" s="0" t="s">
        <v>1378</v>
      </c>
      <c r="C32" s="0" t="s">
        <v>82</v>
      </c>
      <c r="D32" s="25" t="str">
        <f aca="false">IF(D30="","",IF(D31=2,D30-(obs_msft-obs_msft_lo)/1000,IF(AND(D31=5,In!$H$101&lt;&gt;""),In!$H$101*Players!$E$14/1000,D30)))</f>
        <v/>
      </c>
      <c r="E32" s="25" t="n">
        <f aca="false">IF(E30="","",IF(E31=2,E30-(obs_msft-obs_msft_lo)/1000,IF(AND(E31=5,In!$I$101&lt;&gt;""),In!$I$101*Players!$E$14/1000,E30)))</f>
        <v>1.421475</v>
      </c>
      <c r="F32" s="25" t="n">
        <f aca="false">IF(F30="","",IF(F31=2,F30-(obs_msft-obs_msft_lo)/1000,MIN(IF(AND(F31=5,In!$J$101&lt;&gt;""),In!$J$101*Players!$E$14/1000,F30),msft_guardian_lo/1000)))</f>
        <v>1</v>
      </c>
      <c r="G32" s="25" t="n">
        <f aca="false">IF(G30="","",IF(G31=2,G30-(obs_msft-obs_msft_lo)/1000,IF(AND(G31=5,In!$K$101&lt;&gt;""),In!$K$101*Players!$E$14/1000,G30)))</f>
        <v>3.5</v>
      </c>
      <c r="H32" s="25" t="n">
        <f aca="false">IF(H30="","",IF(H31=2,H30-(obs_msft-obs_msft_lo)/1000,IF(AND(H31=5,In!$L$101&lt;&gt;""),In!$L$101*Players!$E$14/1000,H30)))</f>
        <v>5.54</v>
      </c>
      <c r="I32" s="25" t="n">
        <f aca="false">IF(I30="","",IF(I31=2,I30-(obs_msft-obs_msft_lo)/1000,IF(AND(I31=5,In!$M$101&lt;&gt;""),In!$M$101*Players!$E$14/1000,I30)))</f>
        <v>7.21</v>
      </c>
      <c r="J32" s="25" t="n">
        <f aca="false">IF(J30="","",IF(J31=2,J30-(obs_msft-obs_msft_lo)/1000,IF(AND(J31=5,In!$N$101&lt;&gt;""),In!$N$101*Players!$E$14/1000,J30)))</f>
        <v>7.354</v>
      </c>
      <c r="K32" s="25" t="n">
        <f aca="false">IF(K30="","",IF(K31=2,K30-(obs_msft-obs_msft_lo)/1000,IF(AND(K31=5,In!$O$101&lt;&gt;""),In!$O$101*Players!$E$14/1000,K30)))</f>
        <v>7.498</v>
      </c>
      <c r="L32" s="25" t="n">
        <f aca="false">IF(L30="","",IF(L31=2,L30-(obs_msft-obs_msft_lo)/1000,IF(AND(L31=5,In!$P$101&lt;&gt;""),In!$P$101*Players!$E$14/1000,L30)))</f>
        <v>7.767</v>
      </c>
      <c r="M32" s="25" t="n">
        <f aca="false">IF(M30="","",IF(M31=2,M30-(obs_msft-obs_msft_lo)/1000,IF(AND(M31=5,In!$Q$101&lt;&gt;""),In!$Q$101*Players!$E$14/1000,M30)))</f>
        <v>10.333</v>
      </c>
    </row>
    <row r="33" customFormat="false" ht="17.15" hidden="false" customHeight="false" outlineLevel="0" collapsed="false">
      <c r="A33" s="5" t="s">
        <v>1379</v>
      </c>
      <c r="B33" s="0" t="s">
        <v>1380</v>
      </c>
      <c r="C33" s="0" t="s">
        <v>82</v>
      </c>
      <c r="D33" s="25" t="str">
        <f aca="false">IF(D30="","",IF(D31=2,D30+(obs_msft_hi-obs_msft)/1000,IF(AND(D31=5,In!$H$101&lt;&gt;""),In!$H$101*Players!$F$14/1000,D30)))</f>
        <v/>
      </c>
      <c r="E33" s="25" t="n">
        <f aca="false">IF(E30="","",IF(E31=2,E30+(obs_msft_hi-obs_msft)/1000,IF(AND(E31=5,In!$I$101&lt;&gt;""),In!$I$101*Players!$F$14/1000,E30)))</f>
        <v>1.79192</v>
      </c>
      <c r="F33" s="25" t="n">
        <f aca="false">IF(F30="","",IF(F31=2,F30+(obs_msft_hi-obs_msft)/1000,IF(AND(F31=5,In!$J$101&lt;&gt;""),In!$J$101*Players!$F$14/1000,F30)))</f>
        <v>4.192656</v>
      </c>
      <c r="G33" s="25" t="n">
        <f aca="false">IF(G30="","",IF(G31=2,G30+(obs_msft_hi-obs_msft)/1000,IF(AND(G31=5,In!$K$101&lt;&gt;""),In!$K$101*Players!$F$14/1000,G30)))</f>
        <v>5.5</v>
      </c>
      <c r="H33" s="25" t="n">
        <f aca="false">IF(H30="","",IF(H31=2,H30+(obs_msft_hi-obs_msft)/1000,IF(AND(H31=5,In!$L$101&lt;&gt;""),In!$L$101*Players!$F$14/1000,H30)))</f>
        <v>5.54</v>
      </c>
      <c r="I33" s="25" t="n">
        <f aca="false">IF(I30="","",IF(I31=2,I30+(obs_msft_hi-obs_msft)/1000,IF(AND(I31=5,In!$M$101&lt;&gt;""),In!$M$101*Players!$F$14/1000,I30)))</f>
        <v>7.21</v>
      </c>
      <c r="J33" s="25" t="n">
        <f aca="false">IF(J30="","",IF(J31=2,J30+(obs_msft_hi-obs_msft)/1000,IF(AND(J31=5,In!$N$101&lt;&gt;""),In!$N$101*Players!$F$14/1000,J30)))</f>
        <v>7.354</v>
      </c>
      <c r="K33" s="25" t="n">
        <f aca="false">IF(K30="","",IF(K31=2,K30+(obs_msft_hi-obs_msft)/1000,IF(AND(K31=5,In!$O$101&lt;&gt;""),In!$O$101*Players!$F$14/1000,K30)))</f>
        <v>7.498</v>
      </c>
      <c r="L33" s="25" t="n">
        <f aca="false">IF(L30="","",IF(L31=2,L30+(obs_msft_hi-obs_msft)/1000,IF(AND(L31=5,In!$P$101&lt;&gt;""),In!$P$101*Players!$F$14/1000,L30)))</f>
        <v>7.767</v>
      </c>
      <c r="M33" s="25" t="n">
        <f aca="false">IF(M30="","",IF(M31=2,M30+(obs_msft_hi-obs_msft)/1000,IF(AND(M31=5,In!$Q$101&lt;&gt;""),In!$Q$101*Players!$F$14/1000,M30)))</f>
        <v>10.333</v>
      </c>
    </row>
    <row r="34" customFormat="false" ht="17.15" hidden="false" customHeight="false" outlineLevel="0" collapsed="false">
      <c r="A34" s="5" t="s">
        <v>1381</v>
      </c>
      <c r="B34" s="0" t="s">
        <v>1382</v>
      </c>
      <c r="C34" s="0" t="s">
        <v>82</v>
      </c>
      <c r="D34" s="25" t="str">
        <f aca="false">IF(D30="","",IF(In!$C$108="未說明",D30/D$13,D30))</f>
        <v/>
      </c>
      <c r="E34" s="25" t="n">
        <f aca="false">IF(E30="","",IF(In!$C$108="未說明",E30/E$13,E30))</f>
        <v>1.593775</v>
      </c>
      <c r="F34" s="25" t="n">
        <f aca="false">IF(F30="","",IF(In!$C$108="未說明",F30/F$13,F30))</f>
        <v>3.729045</v>
      </c>
      <c r="G34" s="25" t="n">
        <f aca="false">IF(G30="","",IF(In!$C$108="未說明",G30/G$13,G30))</f>
        <v>4.5</v>
      </c>
      <c r="H34" s="25" t="n">
        <f aca="false">IF(H30="","",IF(In!$C$108="未說明",H30/H$13,H30))</f>
        <v>5.54</v>
      </c>
      <c r="I34" s="25" t="n">
        <f aca="false">IF(I30="","",IF(In!$C$108="未說明",I30/I$13,I30))</f>
        <v>7.21</v>
      </c>
      <c r="J34" s="25" t="n">
        <f aca="false">IF(J30="","",IF(In!$C$108="未說明",J30/J$13,J30))</f>
        <v>7.354</v>
      </c>
      <c r="K34" s="25" t="n">
        <f aca="false">IF(K30="","",IF(In!$C$108="未說明",K30/K$13,K30))</f>
        <v>7.498</v>
      </c>
      <c r="L34" s="25" t="n">
        <f aca="false">IF(L30="","",IF(In!$C$108="未說明",L30/L$13,L30))</f>
        <v>7.767</v>
      </c>
      <c r="M34" s="25" t="n">
        <f aca="false">IF(M30="","",IF(In!$C$108="未說明",M30/M$13,M30))</f>
        <v>10.333</v>
      </c>
    </row>
    <row r="35" customFormat="false" ht="17.15" hidden="false" customHeight="false" outlineLevel="0" collapsed="false">
      <c r="A35" s="5" t="s">
        <v>1383</v>
      </c>
      <c r="B35" s="0" t="s">
        <v>1384</v>
      </c>
      <c r="C35" s="0" t="s">
        <v>82</v>
      </c>
      <c r="D35" s="0" t="str">
        <f aca="false">""</f>
        <v/>
      </c>
      <c r="E35" s="25" t="str">
        <f aca="false">IF(AND(D30&lt;&gt;"",E30&lt;&gt;""),(D30+E30)/2,"")</f>
        <v/>
      </c>
      <c r="F35" s="25" t="n">
        <f aca="false">IF(AND(E30&lt;&gt;"",F30&lt;&gt;""),(E30+F30)/2,"")</f>
        <v>2.66141</v>
      </c>
      <c r="G35" s="25" t="n">
        <f aca="false">IF(AND(F30&lt;&gt;"",G30&lt;&gt;""),(F30+G30)/2,"")</f>
        <v>4.1145225</v>
      </c>
      <c r="H35" s="25" t="n">
        <f aca="false">IF(AND(G30&lt;&gt;"",H30&lt;&gt;""),(G30+H30)/2,"")</f>
        <v>5.02</v>
      </c>
      <c r="I35" s="25" t="n">
        <f aca="false">IF(AND(H30&lt;&gt;"",I30&lt;&gt;""),(H30+I30)/2,"")</f>
        <v>6.375</v>
      </c>
      <c r="J35" s="25" t="n">
        <f aca="false">IF(AND(I30&lt;&gt;"",J30&lt;&gt;""),(I30+J30)/2,"")</f>
        <v>7.282</v>
      </c>
      <c r="K35" s="25" t="n">
        <f aca="false">IF(AND(J30&lt;&gt;"",K30&lt;&gt;""),(J30+K30)/2,"")</f>
        <v>7.426</v>
      </c>
      <c r="L35" s="25" t="n">
        <f aca="false">IF(AND(K30&lt;&gt;"",L30&lt;&gt;""),(K30+L30)/2,"")</f>
        <v>7.6325</v>
      </c>
      <c r="M35" s="25" t="n">
        <f aca="false">IF(AND(L30&lt;&gt;"",M30&lt;&gt;""),(L30+M30)/2,"")</f>
        <v>9.05</v>
      </c>
    </row>
    <row r="36" customFormat="false" ht="17.15" hidden="false" customHeight="false" outlineLevel="0" collapsed="false">
      <c r="A36" s="5" t="s">
        <v>1385</v>
      </c>
      <c r="B36" s="0" t="s">
        <v>1386</v>
      </c>
      <c r="C36" s="0" t="s">
        <v>82</v>
      </c>
      <c r="D36" s="0" t="n">
        <v>0</v>
      </c>
      <c r="E36" s="25" t="n">
        <f aca="false">IF(AND(D30&lt;&gt;"",E30&lt;&gt;""),E30-D30,0)</f>
        <v>0</v>
      </c>
      <c r="F36" s="25" t="n">
        <f aca="false">IF(AND(E30&lt;&gt;"",F30&lt;&gt;""),F30-E30,0)</f>
        <v>2.13527</v>
      </c>
      <c r="G36" s="25" t="n">
        <f aca="false">IF(AND(F30&lt;&gt;"",G30&lt;&gt;""),G30-F30,0)</f>
        <v>0.770955</v>
      </c>
      <c r="H36" s="25" t="n">
        <f aca="false">IF(AND(G30&lt;&gt;"",H30&lt;&gt;""),H30-G30,0)</f>
        <v>1.04</v>
      </c>
      <c r="I36" s="25" t="n">
        <f aca="false">IF(AND(H30&lt;&gt;"",I30&lt;&gt;""),I30-H30,0)</f>
        <v>1.67</v>
      </c>
      <c r="J36" s="25" t="n">
        <f aca="false">IF(AND(I30&lt;&gt;"",J30&lt;&gt;""),J30-I30,0)</f>
        <v>0.144</v>
      </c>
      <c r="K36" s="25" t="n">
        <f aca="false">IF(AND(J30&lt;&gt;"",K30&lt;&gt;""),K30-J30,0)</f>
        <v>0.144</v>
      </c>
      <c r="L36" s="25" t="n">
        <f aca="false">IF(AND(K30&lt;&gt;"",L30&lt;&gt;""),L30-K30,0)</f>
        <v>0.269</v>
      </c>
      <c r="M36" s="25" t="n">
        <f aca="false">IF(AND(L30&lt;&gt;"",M30&lt;&gt;""),M30-L30,0)</f>
        <v>2.566</v>
      </c>
    </row>
    <row r="37" customFormat="false" ht="17.15" hidden="false" customHeight="false" outlineLevel="0" collapsed="false">
      <c r="A37" s="5" t="s">
        <v>1387</v>
      </c>
      <c r="B37" s="0" t="s">
        <v>1388</v>
      </c>
      <c r="C37" s="0" t="s">
        <v>82</v>
      </c>
      <c r="D37" s="25" t="n">
        <f aca="false">IF(D30&lt;&gt;"",D30,0)</f>
        <v>0</v>
      </c>
      <c r="E37" s="25" t="n">
        <f aca="false">IF(AND(D30="",E30&lt;&gt;""),E30,0)</f>
        <v>1.593775</v>
      </c>
      <c r="F37" s="25" t="n">
        <f aca="false">IF(AND(E30="",F30&lt;&gt;""),F30,0)</f>
        <v>0</v>
      </c>
      <c r="G37" s="25" t="n">
        <f aca="false">IF(AND(F30="",G30&lt;&gt;""),G30,0)</f>
        <v>0</v>
      </c>
      <c r="H37" s="25" t="n">
        <f aca="false">IF(AND(G30="",H30&lt;&gt;""),H30,0)</f>
        <v>0</v>
      </c>
      <c r="I37" s="25" t="n">
        <f aca="false">IF(AND(H30="",I30&lt;&gt;""),I30,0)</f>
        <v>0</v>
      </c>
      <c r="J37" s="25" t="n">
        <f aca="false">IF(AND(I30="",J30&lt;&gt;""),J30,0)</f>
        <v>0</v>
      </c>
      <c r="K37" s="25" t="n">
        <f aca="false">IF(AND(J30="",K30&lt;&gt;""),K30,0)</f>
        <v>0</v>
      </c>
      <c r="L37" s="25" t="n">
        <f aca="false">IF(AND(K30="",L30&lt;&gt;""),L30,0)</f>
        <v>0</v>
      </c>
      <c r="M37" s="25" t="n">
        <f aca="false">IF(AND(L30="",M30&lt;&gt;""),M30,0)</f>
        <v>0</v>
      </c>
    </row>
    <row r="38" customFormat="false" ht="17.15" hidden="false" customHeight="false" outlineLevel="0" collapsed="false">
      <c r="A38" s="5" t="s">
        <v>1389</v>
      </c>
      <c r="B38" s="0" t="s">
        <v>1390</v>
      </c>
      <c r="C38" s="0" t="s">
        <v>57</v>
      </c>
      <c r="D38" s="24" t="n">
        <f aca="false">D$12</f>
        <v>0.238210067173108</v>
      </c>
      <c r="E38" s="24" t="n">
        <f aca="false">E$12</f>
        <v>0.238210067173108</v>
      </c>
      <c r="F38" s="24" t="n">
        <f aca="false">F$12</f>
        <v>0.238210067173108</v>
      </c>
      <c r="G38" s="24" t="n">
        <f aca="false">G$12</f>
        <v>0.238210067173108</v>
      </c>
      <c r="H38" s="24" t="n">
        <f aca="false">H$12</f>
        <v>0.273101862203342</v>
      </c>
      <c r="I38" s="24" t="n">
        <f aca="false">I$12</f>
        <v>0.269621396123668</v>
      </c>
      <c r="J38" s="24" t="n">
        <f aca="false">J$12</f>
        <v>0.272187509408712</v>
      </c>
      <c r="K38" s="24" t="n">
        <f aca="false">K$12</f>
        <v>0.272187509408712</v>
      </c>
      <c r="L38" s="24" t="n">
        <f aca="false">L$12</f>
        <v>0.272187509408712</v>
      </c>
      <c r="M38" s="24" t="n">
        <f aca="false">M$12</f>
        <v>0.272187509408712</v>
      </c>
    </row>
    <row r="40" customFormat="false" ht="17.15" hidden="false" customHeight="false" outlineLevel="0" collapsed="false">
      <c r="A40" s="8" t="s">
        <v>1391</v>
      </c>
      <c r="B40" s="21" t="s">
        <v>733</v>
      </c>
      <c r="N40" s="21" t="s">
        <v>1392</v>
      </c>
    </row>
    <row r="41" customFormat="false" ht="17.15" hidden="false" customHeight="false" outlineLevel="0" collapsed="false">
      <c r="A41" s="5" t="s">
        <v>1357</v>
      </c>
      <c r="B41" s="0" t="s">
        <v>1393</v>
      </c>
      <c r="C41" s="0" t="s">
        <v>82</v>
      </c>
      <c r="D41" s="25" t="str">
        <f aca="false">IF(In!$H$109="","",IF(In!$C$109="設施",In!$H$109/1000/D$13,In!$H$109/1000))</f>
        <v/>
      </c>
      <c r="E41" s="25" t="str">
        <f aca="false">IF(In!$I$109="","",IF(In!$C$109="設施",In!$I$109/1000/E$13,In!$I$109/1000))</f>
        <v/>
      </c>
      <c r="F41" s="25" t="str">
        <f aca="false">IF(In!$J$109="","",IF(In!$C$109="設施",In!$J$109/1000/F$13,In!$J$109/1000))</f>
        <v/>
      </c>
      <c r="G41" s="25" t="str">
        <f aca="false">IF(In!$K$109="","",IF(In!$C$109="設施",In!$K$109/1000/G$13,In!$K$109/1000))</f>
        <v/>
      </c>
      <c r="H41" s="25" t="str">
        <f aca="false">IF(In!$L$109="","",IF(In!$C$109="設施",In!$L$109/1000/H$13,In!$L$109/1000))</f>
        <v/>
      </c>
      <c r="I41" s="25" t="str">
        <f aca="false">IF(In!$M$109="","",IF(In!$C$109="設施",In!$M$109/1000/I$13,In!$M$109/1000))</f>
        <v/>
      </c>
      <c r="J41" s="25" t="str">
        <f aca="false">IF(In!$N$109="","",IF(In!$C$109="設施",In!$N$109/1000/J$13,In!$N$109/1000))</f>
        <v/>
      </c>
      <c r="K41" s="25" t="str">
        <f aca="false">IF(In!$O$109="","",IF(In!$C$109="設施",In!$O$109/1000/K$13,In!$O$109/1000))</f>
        <v/>
      </c>
      <c r="L41" s="25" t="str">
        <f aca="false">IF(In!$P$109="","",IF(In!$C$109="設施",In!$P$109/1000/L$13,In!$P$109/1000))</f>
        <v/>
      </c>
      <c r="M41" s="25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1359</v>
      </c>
      <c r="B42" s="0" t="s">
        <v>1394</v>
      </c>
      <c r="C42" s="0" t="s">
        <v>82</v>
      </c>
      <c r="D42" s="25" t="n">
        <f aca="false">IF(In!$H$102="","",In!$H$102*Players!$D$15/1000)</f>
        <v>0.560578355681972</v>
      </c>
      <c r="E42" s="25" t="n">
        <f aca="false">IF(In!$I$102="","",In!$I$102*Players!$D$15/1000)</f>
        <v>1.89038669917378</v>
      </c>
      <c r="F42" s="25" t="n">
        <f aca="false">IF(In!$J$102="","",In!$J$102*Players!$D$15/1000)</f>
        <v>4.3</v>
      </c>
      <c r="G42" s="25" t="str">
        <f aca="false">IF(In!$K$102="","",In!$K$102*Players!$D$15/1000)</f>
        <v/>
      </c>
      <c r="H42" s="25" t="str">
        <f aca="false">IF(In!$L$102="","",In!$L$102*Players!$D$15/1000)</f>
        <v/>
      </c>
      <c r="I42" s="25" t="str">
        <f aca="false">IF(In!$M$102="","",In!$M$102*Players!$D$15/1000)</f>
        <v/>
      </c>
      <c r="J42" s="25" t="str">
        <f aca="false">IF(In!$N$102="","",In!$N$102*Players!$D$15/1000)</f>
        <v/>
      </c>
      <c r="K42" s="25" t="str">
        <f aca="false">IF(In!$O$102="","",In!$O$102*Players!$D$15/1000)</f>
        <v/>
      </c>
      <c r="L42" s="25" t="str">
        <f aca="false">IF(In!$P$102="","",In!$P$102*Players!$D$15/1000)</f>
        <v/>
      </c>
      <c r="M42" s="25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1361</v>
      </c>
      <c r="B43" s="0" t="s">
        <v>1395</v>
      </c>
      <c r="C43" s="0" t="s">
        <v>82</v>
      </c>
      <c r="D43" s="25" t="n">
        <f aca="false">IF(D41&lt;&gt;"",D41,IF(D42&lt;&gt;"",D42,IF(INT(obsd_googl)=2023,obschip_googl*Players!$D$15/1000+SUMIFS(Pipeline!$L$5:$L$134,Pipeline!$C$5:$C$134,"googl",Pipeline!$Q$5:$Q$134,1,Pipeline!$K$5:$K$134,"&gt;"&amp;obsd_googl,Pipeline!$K$5:$K$134,"&lt;="&amp;2024),"")))</f>
        <v>0.560578355681972</v>
      </c>
      <c r="E43" s="25" t="n">
        <f aca="false">IF(E41&lt;&gt;"",E41,IF(E42&lt;&gt;"",E42,IF(INT(obsd_googl)=2024,obschip_googl*Players!$D$15/1000+SUMIFS(Pipeline!$L$5:$L$134,Pipeline!$C$5:$C$134,"googl",Pipeline!$Q$5:$Q$134,1,Pipeline!$K$5:$K$134,"&gt;"&amp;obsd_googl,Pipeline!$K$5:$K$134,"&lt;="&amp;2025),"")))</f>
        <v>1.89038669917378</v>
      </c>
      <c r="F43" s="25" t="n">
        <f aca="false">IF(F41&lt;&gt;"",F41,IF(F42&lt;&gt;"",F42,IF(INT(obsd_googl)=2025,obschip_googl*Players!$D$15/1000+SUMIFS(Pipeline!$L$5:$L$134,Pipeline!$C$5:$C$134,"googl",Pipeline!$Q$5:$Q$134,1,Pipeline!$K$5:$K$134,"&gt;"&amp;obsd_googl,Pipeline!$K$5:$K$134,"&lt;="&amp;2026),"")))</f>
        <v>4.3</v>
      </c>
      <c r="G43" s="25" t="n">
        <f aca="false">IF(G41&lt;&gt;"",G41,IF(G42&lt;&gt;"",G42,IF(INT(obsd_googl)=2026,obschip_googl*Players!$D$15/1000+SUMIFS(Pipeline!$L$5:$L$134,Pipeline!$C$5:$C$134,"googl",Pipeline!$Q$5:$Q$134,1,Pipeline!$K$5:$K$134,"&gt;"&amp;obsd_googl,Pipeline!$K$5:$K$134,"&lt;="&amp;2027),"")))</f>
        <v>5.59267912772586</v>
      </c>
      <c r="H43" s="25" t="str">
        <f aca="false">IF(H41&lt;&gt;"",H41,IF(H42&lt;&gt;"",H42,IF(INT(obsd_googl)=2027,obschip_googl*Players!$D$15/1000+SUMIFS(Pipeline!$L$5:$L$134,Pipeline!$C$5:$C$134,"googl",Pipeline!$Q$5:$Q$134,1,Pipeline!$K$5:$K$134,"&gt;"&amp;obsd_googl,Pipeline!$K$5:$K$134,"&lt;="&amp;2028),"")))</f>
        <v/>
      </c>
      <c r="I43" s="25" t="str">
        <f aca="false">IF(I41&lt;&gt;"",I41,IF(I42&lt;&gt;"",I42,IF(INT(obsd_googl)=2028,obschip_googl*Players!$D$15/1000+SUMIFS(Pipeline!$L$5:$L$134,Pipeline!$C$5:$C$134,"googl",Pipeline!$Q$5:$Q$134,1,Pipeline!$K$5:$K$134,"&gt;"&amp;obsd_googl,Pipeline!$K$5:$K$134,"&lt;="&amp;2029),"")))</f>
        <v/>
      </c>
      <c r="J43" s="25" t="str">
        <f aca="false">IF(J41&lt;&gt;"",J41,IF(J42&lt;&gt;"",J42,IF(INT(obsd_googl)=2029,obschip_googl*Players!$D$15/1000+SUMIFS(Pipeline!$L$5:$L$134,Pipeline!$C$5:$C$134,"googl",Pipeline!$Q$5:$Q$134,1,Pipeline!$K$5:$K$134,"&gt;"&amp;obsd_googl,Pipeline!$K$5:$K$134,"&lt;="&amp;2030),"")))</f>
        <v/>
      </c>
      <c r="K43" s="25" t="str">
        <f aca="false">IF(K41&lt;&gt;"",K41,IF(K42&lt;&gt;"",K42,IF(INT(obsd_googl)=2030,obschip_googl*Players!$D$15/1000+SUMIFS(Pipeline!$L$5:$L$134,Pipeline!$C$5:$C$134,"googl",Pipeline!$Q$5:$Q$134,1,Pipeline!$K$5:$K$134,"&gt;"&amp;obsd_googl,Pipeline!$K$5:$K$134,"&lt;="&amp;2031),"")))</f>
        <v/>
      </c>
      <c r="L43" s="25" t="str">
        <f aca="false">IF(L41&lt;&gt;"",L41,IF(L42&lt;&gt;"",L42,IF(INT(obsd_googl)=2031,obschip_googl*Players!$D$15/1000+SUMIFS(Pipeline!$L$5:$L$134,Pipeline!$C$5:$C$134,"googl",Pipeline!$Q$5:$Q$134,1,Pipeline!$K$5:$K$134,"&gt;"&amp;obsd_googl,Pipeline!$K$5:$K$134,"&lt;="&amp;2032),"")))</f>
        <v/>
      </c>
      <c r="M43" s="25" t="str">
        <f aca="false">IF(M41&lt;&gt;"",M41,IF(M42&lt;&gt;"",M42,IF(INT(obsd_googl)=2032,obschip_googl*Players!$D$15/1000+SUMIFS(Pipeline!$L$5:$L$134,Pipeline!$C$5:$C$134,"googl",Pipeline!$Q$5:$Q$134,1,Pipeline!$K$5:$K$134,"&gt;"&amp;obsd_googl,Pipeline!$K$5:$K$134,"&lt;="&amp;2033),"")))</f>
        <v/>
      </c>
    </row>
    <row r="44" customFormat="false" ht="15" hidden="false" customHeight="false" outlineLevel="0" collapsed="false">
      <c r="A44" s="5" t="s">
        <v>1363</v>
      </c>
      <c r="B44" s="0" t="s">
        <v>1396</v>
      </c>
      <c r="C44" s="0" t="s">
        <v>82</v>
      </c>
      <c r="D44" s="25" t="n">
        <f aca="false">IF(D43&lt;&gt;"",D43,"")</f>
        <v>0.560578355681972</v>
      </c>
      <c r="E44" s="25" t="n">
        <f aca="false">IF(E43&lt;&gt;"",E43,D44)</f>
        <v>1.89038669917378</v>
      </c>
      <c r="F44" s="25" t="n">
        <f aca="false">IF(F43&lt;&gt;"",F43,E44)</f>
        <v>4.3</v>
      </c>
      <c r="G44" s="25" t="n">
        <f aca="false">IF(G43&lt;&gt;"",G43,F44)</f>
        <v>5.59267912772586</v>
      </c>
      <c r="H44" s="25" t="n">
        <f aca="false">IF(H43&lt;&gt;"",H43,G44)</f>
        <v>5.59267912772586</v>
      </c>
      <c r="I44" s="25" t="n">
        <f aca="false">IF(I43&lt;&gt;"",I43,H44)</f>
        <v>5.59267912772586</v>
      </c>
      <c r="J44" s="25" t="n">
        <f aca="false">IF(J43&lt;&gt;"",J43,I44)</f>
        <v>5.59267912772586</v>
      </c>
      <c r="K44" s="25" t="n">
        <f aca="false">IF(K43&lt;&gt;"",K43,J44)</f>
        <v>5.59267912772586</v>
      </c>
      <c r="L44" s="25" t="n">
        <f aca="false">IF(L43&lt;&gt;"",L43,K44)</f>
        <v>5.59267912772586</v>
      </c>
      <c r="M44" s="25" t="n">
        <f aca="false">IF(M43&lt;&gt;"",M43,L44)</f>
        <v>5.59267912772586</v>
      </c>
    </row>
    <row r="45" customFormat="false" ht="15" hidden="false" customHeight="false" outlineLevel="0" collapsed="false">
      <c r="A45" s="5" t="s">
        <v>1365</v>
      </c>
      <c r="B45" s="0" t="s">
        <v>1397</v>
      </c>
      <c r="C45" s="5" t="s">
        <v>52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1367</v>
      </c>
      <c r="B46" s="0" t="s">
        <v>1398</v>
      </c>
      <c r="C46" s="0" t="s">
        <v>82</v>
      </c>
      <c r="D46" s="25" t="n">
        <f aca="false">IF(D43&lt;&gt;"",D43,E46)</f>
        <v>0.560578355681972</v>
      </c>
      <c r="E46" s="25" t="n">
        <f aca="false">IF(E43&lt;&gt;"",E43,F46)</f>
        <v>1.89038669917378</v>
      </c>
      <c r="F46" s="25" t="n">
        <f aca="false">IF(F43&lt;&gt;"",F43,G46)</f>
        <v>4.3</v>
      </c>
      <c r="G46" s="25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1369</v>
      </c>
      <c r="B47" s="0" t="s">
        <v>1399</v>
      </c>
      <c r="C47" s="5" t="s">
        <v>52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1371</v>
      </c>
      <c r="B48" s="0" t="s">
        <v>1400</v>
      </c>
      <c r="C48" s="0" t="s">
        <v>82</v>
      </c>
      <c r="D48" s="25" t="n">
        <f aca="false">SUMIFS(Pipeline!$L$5:$L$134,Pipeline!$C$5:$C$134,"googl",Pipeline!$Q$5:$Q$134,1,Pipeline!$P$5:$P$134,2023)</f>
        <v>0</v>
      </c>
      <c r="E48" s="25" t="n">
        <f aca="false">SUMIFS(Pipeline!$L$5:$L$134,Pipeline!$C$5:$C$134,"googl",Pipeline!$Q$5:$Q$134,1,Pipeline!$P$5:$P$134,2024)</f>
        <v>0</v>
      </c>
      <c r="F48" s="25" t="n">
        <f aca="false">SUMIFS(Pipeline!$L$5:$L$134,Pipeline!$C$5:$C$134,"googl",Pipeline!$Q$5:$Q$134,1,Pipeline!$P$5:$P$134,2025)</f>
        <v>0</v>
      </c>
      <c r="G48" s="25" t="n">
        <f aca="false">SUMIFS(Pipeline!$L$5:$L$134,Pipeline!$C$5:$C$134,"googl",Pipeline!$Q$5:$Q$134,1,Pipeline!$P$5:$P$134,2026)</f>
        <v>0</v>
      </c>
      <c r="H48" s="25" t="n">
        <f aca="false">SUMIFS(Pipeline!$L$5:$L$134,Pipeline!$C$5:$C$134,"googl",Pipeline!$Q$5:$Q$134,1,Pipeline!$P$5:$P$134,2027)</f>
        <v>1.626</v>
      </c>
      <c r="I48" s="25" t="n">
        <f aca="false">SUMIFS(Pipeline!$L$5:$L$134,Pipeline!$C$5:$C$134,"googl",Pipeline!$Q$5:$Q$134,1,Pipeline!$P$5:$P$134,2028)</f>
        <v>0.833333333333333</v>
      </c>
      <c r="J48" s="25" t="n">
        <f aca="false">SUMIFS(Pipeline!$L$5:$L$134,Pipeline!$C$5:$C$134,"googl",Pipeline!$Q$5:$Q$134,1,Pipeline!$P$5:$P$134,2029)</f>
        <v>0</v>
      </c>
      <c r="K48" s="25" t="n">
        <f aca="false">SUMIFS(Pipeline!$L$5:$L$134,Pipeline!$C$5:$C$134,"googl",Pipeline!$Q$5:$Q$134,1,Pipeline!$P$5:$P$134,2030)</f>
        <v>1</v>
      </c>
      <c r="L48" s="25" t="n">
        <f aca="false">SUMIFS(Pipeline!$L$5:$L$134,Pipeline!$C$5:$C$134,"googl",Pipeline!$Q$5:$Q$134,1,Pipeline!$P$5:$P$134,2031)</f>
        <v>0</v>
      </c>
      <c r="M48" s="25" t="n">
        <f aca="false">SUMIFS(Pipeline!$L$5:$L$134,Pipeline!$C$5:$C$134,"googl",Pipeline!$Q$5:$Q$134,1,Pipeline!$P$5:$P$134,2032)</f>
        <v>0</v>
      </c>
    </row>
    <row r="49" customFormat="false" ht="17.15" hidden="false" customHeight="false" outlineLevel="0" collapsed="false">
      <c r="A49" s="5" t="s">
        <v>1373</v>
      </c>
      <c r="B49" s="0" t="s">
        <v>1401</v>
      </c>
      <c r="C49" s="0" t="s">
        <v>82</v>
      </c>
      <c r="D49" s="26" t="n">
        <f aca="false">IF(D43&lt;&gt;"",D43,IF(AND(D44&lt;&gt;"",D46&lt;&gt;""),D44+(D46-D44)*(2023-D45)/(D47-D45),""))</f>
        <v>0.560578355681972</v>
      </c>
      <c r="E49" s="26" t="n">
        <f aca="false">IF(E43&lt;&gt;"",E43,IF(AND(E44&lt;&gt;"",E46&lt;&gt;""),E44+(E46-E44)*(2024-E45)/(E47-E45),IF(D49&lt;&gt;"",D49+E48,"")))</f>
        <v>1.89038669917378</v>
      </c>
      <c r="F49" s="26" t="n">
        <f aca="false">IF(F43&lt;&gt;"",F43,IF(AND(F44&lt;&gt;"",F46&lt;&gt;""),F44+(F46-F44)*(2025-F45)/(F47-F45),IF(E49&lt;&gt;"",E49+F48,"")))</f>
        <v>4.3</v>
      </c>
      <c r="G49" s="26" t="n">
        <f aca="false">IF(G43&lt;&gt;"",G43,IF(AND(G44&lt;&gt;"",G46&lt;&gt;""),G44+(G46-G44)*(2026-G45)/(G47-G45),IF(F49&lt;&gt;"",F49+G48,"")))</f>
        <v>5.59267912772586</v>
      </c>
      <c r="H49" s="26" t="n">
        <f aca="false">IF(H43&lt;&gt;"",H43,IF(AND(H44&lt;&gt;"",H46&lt;&gt;""),H44+(H46-H44)*(2027-H45)/(H47-H45),IF(G49&lt;&gt;"",G49+H48,"")))</f>
        <v>7.21867912772586</v>
      </c>
      <c r="I49" s="26" t="n">
        <f aca="false">IF(I43&lt;&gt;"",I43,IF(AND(I44&lt;&gt;"",I46&lt;&gt;""),I44+(I46-I44)*(2028-I45)/(I47-I45),IF(H49&lt;&gt;"",H49+I48,"")))</f>
        <v>8.05201246105919</v>
      </c>
      <c r="J49" s="26" t="n">
        <f aca="false">IF(J43&lt;&gt;"",J43,IF(AND(J44&lt;&gt;"",J46&lt;&gt;""),J44+(J46-J44)*(2029-J45)/(J47-J45),IF(I49&lt;&gt;"",I49+J48,"")))</f>
        <v>8.05201246105919</v>
      </c>
      <c r="K49" s="26" t="n">
        <f aca="false">IF(K43&lt;&gt;"",K43,IF(AND(K44&lt;&gt;"",K46&lt;&gt;""),K44+(K46-K44)*(2030-K45)/(K47-K45),IF(J49&lt;&gt;"",J49+K48,"")))</f>
        <v>9.05201246105919</v>
      </c>
      <c r="L49" s="26" t="n">
        <f aca="false">IF(L43&lt;&gt;"",L43,IF(AND(L44&lt;&gt;"",L46&lt;&gt;""),L44+(L46-L44)*(2031-L45)/(L47-L45),IF(K49&lt;&gt;"",K49+L48,"")))</f>
        <v>9.05201246105919</v>
      </c>
      <c r="M49" s="26" t="n">
        <f aca="false">IF(M43&lt;&gt;"",M43,IF(AND(M44&lt;&gt;"",M46&lt;&gt;""),M44+(M46-M44)*(2032-M45)/(M47-M45),IF(L49&lt;&gt;"",L49+M48,"")))</f>
        <v>9.05201246105919</v>
      </c>
    </row>
    <row r="50" customFormat="false" ht="15" hidden="false" customHeight="false" outlineLevel="0" collapsed="false">
      <c r="A50" s="5" t="s">
        <v>1375</v>
      </c>
      <c r="B50" s="0" t="s">
        <v>1402</v>
      </c>
      <c r="C50" s="0" t="s">
        <v>40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1377</v>
      </c>
      <c r="B51" s="0" t="s">
        <v>1403</v>
      </c>
      <c r="C51" s="0" t="s">
        <v>82</v>
      </c>
      <c r="D51" s="25" t="n">
        <f aca="false">IF(D49="","",IF(AND(D50=5,In!$H$102&lt;&gt;""),In!$H$102*Players!$E$15/1000,D49))</f>
        <v>0.508431531897603</v>
      </c>
      <c r="E51" s="25" t="n">
        <f aca="false">IF(E49="","",IF(AND(E50=5,In!$I$102&lt;&gt;""),In!$I$102*Players!$E$15/1000,E49))</f>
        <v>1.71453677366924</v>
      </c>
      <c r="F51" s="25" t="n">
        <f aca="false">IF(F49="","",IF(AND(F50=5,In!$J$102&lt;&gt;""),In!$J$102*Players!$E$15/1000,F49))</f>
        <v>3.9</v>
      </c>
      <c r="G51" s="25" t="n">
        <f aca="false">IF(G49="","",IF(AND(G50=5,In!$K$102&lt;&gt;""),In!$K$102*Players!$E$15/1000,G49))</f>
        <v>5.59267912772586</v>
      </c>
      <c r="H51" s="25" t="n">
        <f aca="false">IF(H49="","",IF(AND(H50=5,In!$L$102&lt;&gt;""),In!$L$102*Players!$E$15/1000,H49))</f>
        <v>7.21867912772586</v>
      </c>
      <c r="I51" s="25" t="n">
        <f aca="false">IF(I49="","",IF(AND(I50=5,In!$M$102&lt;&gt;""),In!$M$102*Players!$E$15/1000,I49))</f>
        <v>8.05201246105919</v>
      </c>
      <c r="J51" s="25" t="n">
        <f aca="false">IF(J49="","",IF(AND(J50=5,In!$N$102&lt;&gt;""),In!$N$102*Players!$E$15/1000,J49))</f>
        <v>8.05201246105919</v>
      </c>
      <c r="K51" s="25" t="n">
        <f aca="false">IF(K49="","",IF(AND(K50=5,In!$O$102&lt;&gt;""),In!$O$102*Players!$E$15/1000,K49))</f>
        <v>9.05201246105919</v>
      </c>
      <c r="L51" s="25" t="n">
        <f aca="false">IF(L49="","",IF(AND(L50=5,In!$P$102&lt;&gt;""),In!$P$102*Players!$E$15/1000,L49))</f>
        <v>9.05201246105919</v>
      </c>
      <c r="M51" s="25" t="n">
        <f aca="false">IF(M49="","",IF(AND(M50=5,In!$Q$102&lt;&gt;""),In!$Q$102*Players!$E$15/1000,M49))</f>
        <v>9.05201246105919</v>
      </c>
    </row>
    <row r="52" customFormat="false" ht="17.15" hidden="false" customHeight="false" outlineLevel="0" collapsed="false">
      <c r="A52" s="5" t="s">
        <v>1379</v>
      </c>
      <c r="B52" s="0" t="s">
        <v>1404</v>
      </c>
      <c r="C52" s="0" t="s">
        <v>82</v>
      </c>
      <c r="D52" s="25" t="n">
        <f aca="false">IF(D49="","",IF(AND(D50=5,In!$H$102&lt;&gt;""),In!$H$102*Players!$F$15/1000,D49))</f>
        <v>0.638798591358527</v>
      </c>
      <c r="E52" s="25" t="n">
        <f aca="false">IF(E49="","",IF(AND(E50=5,In!$I$102&lt;&gt;""),In!$I$102*Players!$F$15/1000,E49))</f>
        <v>2.15416158743058</v>
      </c>
      <c r="F52" s="25" t="n">
        <f aca="false">IF(F49="","",IF(AND(F50=5,In!$J$102&lt;&gt;""),In!$J$102*Players!$F$15/1000,F49))</f>
        <v>4.9</v>
      </c>
      <c r="G52" s="25" t="n">
        <f aca="false">IF(G49="","",IF(AND(G50=5,In!$K$102&lt;&gt;""),In!$K$102*Players!$F$15/1000,G49))</f>
        <v>5.59267912772586</v>
      </c>
      <c r="H52" s="25" t="n">
        <f aca="false">IF(H49="","",IF(AND(H50=5,In!$L$102&lt;&gt;""),In!$L$102*Players!$F$15/1000,H49))</f>
        <v>7.21867912772586</v>
      </c>
      <c r="I52" s="25" t="n">
        <f aca="false">IF(I49="","",IF(AND(I50=5,In!$M$102&lt;&gt;""),In!$M$102*Players!$F$15/1000,I49))</f>
        <v>8.05201246105919</v>
      </c>
      <c r="J52" s="25" t="n">
        <f aca="false">IF(J49="","",IF(AND(J50=5,In!$N$102&lt;&gt;""),In!$N$102*Players!$F$15/1000,J49))</f>
        <v>8.05201246105919</v>
      </c>
      <c r="K52" s="25" t="n">
        <f aca="false">IF(K49="","",IF(AND(K50=5,In!$O$102&lt;&gt;""),In!$O$102*Players!$F$15/1000,K49))</f>
        <v>9.05201246105919</v>
      </c>
      <c r="L52" s="25" t="n">
        <f aca="false">IF(L49="","",IF(AND(L50=5,In!$P$102&lt;&gt;""),In!$P$102*Players!$F$15/1000,L49))</f>
        <v>9.05201246105919</v>
      </c>
      <c r="M52" s="25" t="n">
        <f aca="false">IF(M49="","",IF(AND(M50=5,In!$Q$102&lt;&gt;""),In!$Q$102*Players!$F$15/1000,M49))</f>
        <v>9.05201246105919</v>
      </c>
    </row>
    <row r="53" customFormat="false" ht="17.15" hidden="false" customHeight="false" outlineLevel="0" collapsed="false">
      <c r="A53" s="5" t="s">
        <v>1381</v>
      </c>
      <c r="B53" s="0" t="s">
        <v>1405</v>
      </c>
      <c r="C53" s="0" t="s">
        <v>82</v>
      </c>
      <c r="D53" s="25" t="n">
        <f aca="false">IF(D49="","",IF(In!$C$109="未說明",D49/D$13,D49))</f>
        <v>0.560578355681972</v>
      </c>
      <c r="E53" s="25" t="n">
        <f aca="false">IF(E49="","",IF(In!$C$109="未說明",E49/E$13,E49))</f>
        <v>1.89038669917378</v>
      </c>
      <c r="F53" s="25" t="n">
        <f aca="false">IF(F49="","",IF(In!$C$109="未說明",F49/F$13,F49))</f>
        <v>4.3</v>
      </c>
      <c r="G53" s="25" t="n">
        <f aca="false">IF(G49="","",IF(In!$C$109="未說明",G49/G$13,G49))</f>
        <v>5.59267912772586</v>
      </c>
      <c r="H53" s="25" t="n">
        <f aca="false">IF(H49="","",IF(In!$C$109="未說明",H49/H$13,H49))</f>
        <v>7.21867912772586</v>
      </c>
      <c r="I53" s="25" t="n">
        <f aca="false">IF(I49="","",IF(In!$C$109="未說明",I49/I$13,I49))</f>
        <v>8.05201246105919</v>
      </c>
      <c r="J53" s="25" t="n">
        <f aca="false">IF(J49="","",IF(In!$C$109="未說明",J49/J$13,J49))</f>
        <v>8.05201246105919</v>
      </c>
      <c r="K53" s="25" t="n">
        <f aca="false">IF(K49="","",IF(In!$C$109="未說明",K49/K$13,K49))</f>
        <v>9.05201246105919</v>
      </c>
      <c r="L53" s="25" t="n">
        <f aca="false">IF(L49="","",IF(In!$C$109="未說明",L49/L$13,L49))</f>
        <v>9.05201246105919</v>
      </c>
      <c r="M53" s="25" t="n">
        <f aca="false">IF(M49="","",IF(In!$C$109="未說明",M49/M$13,M49))</f>
        <v>9.05201246105919</v>
      </c>
    </row>
    <row r="54" customFormat="false" ht="17.15" hidden="false" customHeight="false" outlineLevel="0" collapsed="false">
      <c r="A54" s="5" t="s">
        <v>1383</v>
      </c>
      <c r="B54" s="0" t="s">
        <v>1406</v>
      </c>
      <c r="C54" s="0" t="s">
        <v>82</v>
      </c>
      <c r="D54" s="0" t="str">
        <f aca="false">""</f>
        <v/>
      </c>
      <c r="E54" s="25" t="n">
        <f aca="false">IF(AND(D49&lt;&gt;"",E49&lt;&gt;""),(D49+E49)/2,"")</f>
        <v>1.22548252742788</v>
      </c>
      <c r="F54" s="25" t="n">
        <f aca="false">IF(AND(E49&lt;&gt;"",F49&lt;&gt;""),(E49+F49)/2,"")</f>
        <v>3.09519334958689</v>
      </c>
      <c r="G54" s="25" t="n">
        <f aca="false">IF(AND(F49&lt;&gt;"",G49&lt;&gt;""),(F49+G49)/2,"")</f>
        <v>4.94633956386293</v>
      </c>
      <c r="H54" s="25" t="n">
        <f aca="false">IF(AND(G49&lt;&gt;"",H49&lt;&gt;""),(G49+H49)/2,"")</f>
        <v>6.40567912772586</v>
      </c>
      <c r="I54" s="25" t="n">
        <f aca="false">IF(AND(H49&lt;&gt;"",I49&lt;&gt;""),(H49+I49)/2,"")</f>
        <v>7.63534579439252</v>
      </c>
      <c r="J54" s="25" t="n">
        <f aca="false">IF(AND(I49&lt;&gt;"",J49&lt;&gt;""),(I49+J49)/2,"")</f>
        <v>8.05201246105919</v>
      </c>
      <c r="K54" s="25" t="n">
        <f aca="false">IF(AND(J49&lt;&gt;"",K49&lt;&gt;""),(J49+K49)/2,"")</f>
        <v>8.55201246105919</v>
      </c>
      <c r="L54" s="25" t="n">
        <f aca="false">IF(AND(K49&lt;&gt;"",L49&lt;&gt;""),(K49+L49)/2,"")</f>
        <v>9.05201246105919</v>
      </c>
      <c r="M54" s="25" t="n">
        <f aca="false">IF(AND(L49&lt;&gt;"",M49&lt;&gt;""),(L49+M49)/2,"")</f>
        <v>9.05201246105919</v>
      </c>
    </row>
    <row r="55" customFormat="false" ht="17.15" hidden="false" customHeight="false" outlineLevel="0" collapsed="false">
      <c r="A55" s="5" t="s">
        <v>1385</v>
      </c>
      <c r="B55" s="0" t="s">
        <v>1407</v>
      </c>
      <c r="C55" s="0" t="s">
        <v>82</v>
      </c>
      <c r="D55" s="0" t="n">
        <v>0</v>
      </c>
      <c r="E55" s="25" t="n">
        <f aca="false">IF(AND(D49&lt;&gt;"",E49&lt;&gt;""),E49-D49,0)</f>
        <v>1.32980834349181</v>
      </c>
      <c r="F55" s="25" t="n">
        <f aca="false">IF(AND(E49&lt;&gt;"",F49&lt;&gt;""),F49-E49,0)</f>
        <v>2.40961330082622</v>
      </c>
      <c r="G55" s="25" t="n">
        <f aca="false">IF(AND(F49&lt;&gt;"",G49&lt;&gt;""),G49-F49,0)</f>
        <v>1.29267912772586</v>
      </c>
      <c r="H55" s="25" t="n">
        <f aca="false">IF(AND(G49&lt;&gt;"",H49&lt;&gt;""),H49-G49,0)</f>
        <v>1.626</v>
      </c>
      <c r="I55" s="25" t="n">
        <f aca="false">IF(AND(H49&lt;&gt;"",I49&lt;&gt;""),I49-H49,0)</f>
        <v>0.833333333333334</v>
      </c>
      <c r="J55" s="25" t="n">
        <f aca="false">IF(AND(I49&lt;&gt;"",J49&lt;&gt;""),J49-I49,0)</f>
        <v>0</v>
      </c>
      <c r="K55" s="25" t="n">
        <f aca="false">IF(AND(J49&lt;&gt;"",K49&lt;&gt;""),K49-J49,0)</f>
        <v>1</v>
      </c>
      <c r="L55" s="25" t="n">
        <f aca="false">IF(AND(K49&lt;&gt;"",L49&lt;&gt;""),L49-K49,0)</f>
        <v>0</v>
      </c>
      <c r="M55" s="25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1387</v>
      </c>
      <c r="B56" s="0" t="s">
        <v>1408</v>
      </c>
      <c r="C56" s="0" t="s">
        <v>82</v>
      </c>
      <c r="D56" s="25" t="n">
        <f aca="false">IF(D49&lt;&gt;"",D49,0)</f>
        <v>0.560578355681972</v>
      </c>
      <c r="E56" s="25" t="n">
        <f aca="false">IF(AND(D49="",E49&lt;&gt;""),E49,0)</f>
        <v>0</v>
      </c>
      <c r="F56" s="25" t="n">
        <f aca="false">IF(AND(E49="",F49&lt;&gt;""),F49,0)</f>
        <v>0</v>
      </c>
      <c r="G56" s="25" t="n">
        <f aca="false">IF(AND(F49="",G49&lt;&gt;""),G49,0)</f>
        <v>0</v>
      </c>
      <c r="H56" s="25" t="n">
        <f aca="false">IF(AND(G49="",H49&lt;&gt;""),H49,0)</f>
        <v>0</v>
      </c>
      <c r="I56" s="25" t="n">
        <f aca="false">IF(AND(H49="",I49&lt;&gt;""),I49,0)</f>
        <v>0</v>
      </c>
      <c r="J56" s="25" t="n">
        <f aca="false">IF(AND(I49="",J49&lt;&gt;""),J49,0)</f>
        <v>0</v>
      </c>
      <c r="K56" s="25" t="n">
        <f aca="false">IF(AND(J49="",K49&lt;&gt;""),K49,0)</f>
        <v>0</v>
      </c>
      <c r="L56" s="25" t="n">
        <f aca="false">IF(AND(K49="",L49&lt;&gt;""),L49,0)</f>
        <v>0</v>
      </c>
      <c r="M56" s="25" t="n">
        <f aca="false">IF(AND(L49="",M49&lt;&gt;""),M49,0)</f>
        <v>0</v>
      </c>
    </row>
    <row r="57" customFormat="false" ht="17.15" hidden="false" customHeight="false" outlineLevel="0" collapsed="false">
      <c r="A57" s="5" t="s">
        <v>1389</v>
      </c>
      <c r="B57" s="0" t="s">
        <v>1409</v>
      </c>
      <c r="C57" s="0" t="s">
        <v>57</v>
      </c>
      <c r="D57" s="24" t="n">
        <f aca="false">nnv_googl</f>
        <v>0.753</v>
      </c>
      <c r="E57" s="24" t="n">
        <f aca="false">nnv_googl</f>
        <v>0.753</v>
      </c>
      <c r="F57" s="24" t="n">
        <f aca="false">nnv_googl</f>
        <v>0.753</v>
      </c>
      <c r="G57" s="24" t="n">
        <f aca="false">nnv_googl</f>
        <v>0.753</v>
      </c>
      <c r="H57" s="24" t="n">
        <f aca="false">nnv_googl</f>
        <v>0.753</v>
      </c>
      <c r="I57" s="24" t="n">
        <f aca="false">nnv_googl</f>
        <v>0.753</v>
      </c>
      <c r="J57" s="24" t="n">
        <f aca="false">nnv_googl</f>
        <v>0.753</v>
      </c>
      <c r="K57" s="24" t="n">
        <f aca="false">nnv_googl</f>
        <v>0.753</v>
      </c>
      <c r="L57" s="24" t="n">
        <f aca="false">nnv_googl</f>
        <v>0.753</v>
      </c>
      <c r="M57" s="24" t="n">
        <f aca="false">nnv_googl</f>
        <v>0.753</v>
      </c>
    </row>
    <row r="59" customFormat="false" ht="17.15" hidden="false" customHeight="false" outlineLevel="0" collapsed="false">
      <c r="A59" s="8" t="s">
        <v>1410</v>
      </c>
      <c r="B59" s="21" t="s">
        <v>741</v>
      </c>
      <c r="N59" s="21" t="s">
        <v>1411</v>
      </c>
    </row>
    <row r="60" customFormat="false" ht="17.15" hidden="false" customHeight="false" outlineLevel="0" collapsed="false">
      <c r="A60" s="5" t="s">
        <v>1357</v>
      </c>
      <c r="B60" s="0" t="s">
        <v>1412</v>
      </c>
      <c r="C60" s="0" t="s">
        <v>82</v>
      </c>
      <c r="D60" s="25" t="str">
        <f aca="false">IF(In!$H$110="","",IF(In!$C$110="設施",In!$H$110/1000/D$13,In!$H$110/1000))</f>
        <v/>
      </c>
      <c r="E60" s="25" t="str">
        <f aca="false">IF(In!$I$110="","",IF(In!$C$110="設施",In!$I$110/1000/E$13,In!$I$110/1000))</f>
        <v/>
      </c>
      <c r="F60" s="25" t="str">
        <f aca="false">IF(In!$J$110="","",IF(In!$C$110="設施",In!$J$110/1000/F$13,In!$J$110/1000))</f>
        <v/>
      </c>
      <c r="G60" s="25" t="str">
        <f aca="false">IF(In!$K$110="","",IF(In!$C$110="設施",In!$K$110/1000/G$13,In!$K$110/1000))</f>
        <v/>
      </c>
      <c r="H60" s="25" t="str">
        <f aca="false">IF(In!$L$110="","",IF(In!$C$110="設施",In!$L$110/1000/H$13,In!$L$110/1000))</f>
        <v/>
      </c>
      <c r="I60" s="25" t="str">
        <f aca="false">IF(In!$M$110="","",IF(In!$C$110="設施",In!$M$110/1000/I$13,In!$M$110/1000))</f>
        <v/>
      </c>
      <c r="J60" s="25" t="str">
        <f aca="false">IF(In!$N$110="","",IF(In!$C$110="設施",In!$N$110/1000/J$13,In!$N$110/1000))</f>
        <v/>
      </c>
      <c r="K60" s="25" t="str">
        <f aca="false">IF(In!$O$110="","",IF(In!$C$110="設施",In!$O$110/1000/K$13,In!$O$110/1000))</f>
        <v/>
      </c>
      <c r="L60" s="25" t="str">
        <f aca="false">IF(In!$P$110="","",IF(In!$C$110="設施",In!$P$110/1000/L$13,In!$P$110/1000))</f>
        <v/>
      </c>
      <c r="M60" s="25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1359</v>
      </c>
      <c r="B61" s="0" t="s">
        <v>1413</v>
      </c>
      <c r="C61" s="0" t="s">
        <v>82</v>
      </c>
      <c r="D61" s="25" t="str">
        <f aca="false">IF(In!$H$103="","",In!$H$103*Players!$D$16/1000)</f>
        <v/>
      </c>
      <c r="E61" s="25" t="n">
        <f aca="false">IF(In!$I$103="","",In!$I$103*Players!$D$16/1000)</f>
        <v>0.810284005979073</v>
      </c>
      <c r="F61" s="25" t="n">
        <f aca="false">IF(In!$J$103="","",In!$J$103*Players!$D$16/1000)</f>
        <v>2.2</v>
      </c>
      <c r="G61" s="25" t="str">
        <f aca="false">IF(In!$K$103="","",In!$K$103*Players!$D$16/1000)</f>
        <v/>
      </c>
      <c r="H61" s="25" t="str">
        <f aca="false">IF(In!$L$103="","",In!$L$103*Players!$D$16/1000)</f>
        <v/>
      </c>
      <c r="I61" s="25" t="str">
        <f aca="false">IF(In!$M$103="","",In!$M$103*Players!$D$16/1000)</f>
        <v/>
      </c>
      <c r="J61" s="25" t="str">
        <f aca="false">IF(In!$N$103="","",In!$N$103*Players!$D$16/1000)</f>
        <v/>
      </c>
      <c r="K61" s="25" t="str">
        <f aca="false">IF(In!$O$103="","",In!$O$103*Players!$D$16/1000)</f>
        <v/>
      </c>
      <c r="L61" s="25" t="str">
        <f aca="false">IF(In!$P$103="","",In!$P$103*Players!$D$16/1000)</f>
        <v/>
      </c>
      <c r="M61" s="25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1361</v>
      </c>
      <c r="B62" s="0" t="s">
        <v>1414</v>
      </c>
      <c r="C62" s="0" t="s">
        <v>82</v>
      </c>
      <c r="D62" s="25" t="str">
        <f aca="false">IF(D60&lt;&gt;"",D60,IF(D61&lt;&gt;"",D61,IF(INT(obsd_amzn)=2023,obs_amzn/1000+SUMIFS(Pipeline!$L$5:$L$134,Pipeline!$C$5:$C$134,"amzn",Pipeline!$Q$5:$Q$134,1,Pipeline!$K$5:$K$134,"&gt;"&amp;obsd_amzn,Pipeline!$K$5:$K$134,"&lt;="&amp;2024),"")))</f>
        <v/>
      </c>
      <c r="E62" s="25" t="n">
        <f aca="false">IF(E60&lt;&gt;"",E60,IF(E61&lt;&gt;"",E61,IF(INT(obsd_amzn)=2024,obs_amzn/1000+SUMIFS(Pipeline!$L$5:$L$134,Pipeline!$C$5:$C$134,"amzn",Pipeline!$Q$5:$Q$134,1,Pipeline!$K$5:$K$134,"&gt;"&amp;obsd_amzn,Pipeline!$K$5:$K$134,"&lt;="&amp;2025),"")))</f>
        <v>0.810284005979073</v>
      </c>
      <c r="F62" s="25" t="n">
        <f aca="false">IF(F60&lt;&gt;"",F60,IF(F61&lt;&gt;"",F61,IF(INT(obsd_amzn)=2025,obs_amzn/1000+SUMIFS(Pipeline!$L$5:$L$134,Pipeline!$C$5:$C$134,"amzn",Pipeline!$Q$5:$Q$134,1,Pipeline!$K$5:$K$134,"&gt;"&amp;obsd_amzn,Pipeline!$K$5:$K$134,"&lt;="&amp;2026),"")))</f>
        <v>2.2</v>
      </c>
      <c r="G62" s="25" t="n">
        <f aca="false">IF(G60&lt;&gt;"",G60,IF(G61&lt;&gt;"",G61,IF(INT(obsd_amzn)=2026,obs_amzn/1000+SUMIFS(Pipeline!$L$5:$L$134,Pipeline!$C$5:$C$134,"amzn",Pipeline!$Q$5:$Q$134,1,Pipeline!$K$5:$K$134,"&gt;"&amp;obsd_amzn,Pipeline!$K$5:$K$134,"&lt;="&amp;2027),"")))</f>
        <v>2.727</v>
      </c>
      <c r="H62" s="25" t="str">
        <f aca="false">IF(H60&lt;&gt;"",H60,IF(H61&lt;&gt;"",H61,IF(INT(obsd_amzn)=2027,obs_amzn/1000+SUMIFS(Pipeline!$L$5:$L$134,Pipeline!$C$5:$C$134,"amzn",Pipeline!$Q$5:$Q$134,1,Pipeline!$K$5:$K$134,"&gt;"&amp;obsd_amzn,Pipeline!$K$5:$K$134,"&lt;="&amp;2028),"")))</f>
        <v/>
      </c>
      <c r="I62" s="25" t="str">
        <f aca="false">IF(I60&lt;&gt;"",I60,IF(I61&lt;&gt;"",I61,IF(INT(obsd_amzn)=2028,obs_amzn/1000+SUMIFS(Pipeline!$L$5:$L$134,Pipeline!$C$5:$C$134,"amzn",Pipeline!$Q$5:$Q$134,1,Pipeline!$K$5:$K$134,"&gt;"&amp;obsd_amzn,Pipeline!$K$5:$K$134,"&lt;="&amp;2029),"")))</f>
        <v/>
      </c>
      <c r="J62" s="25" t="str">
        <f aca="false">IF(J60&lt;&gt;"",J60,IF(J61&lt;&gt;"",J61,IF(INT(obsd_amzn)=2029,obs_amzn/1000+SUMIFS(Pipeline!$L$5:$L$134,Pipeline!$C$5:$C$134,"amzn",Pipeline!$Q$5:$Q$134,1,Pipeline!$K$5:$K$134,"&gt;"&amp;obsd_amzn,Pipeline!$K$5:$K$134,"&lt;="&amp;2030),"")))</f>
        <v/>
      </c>
      <c r="K62" s="25" t="str">
        <f aca="false">IF(K60&lt;&gt;"",K60,IF(K61&lt;&gt;"",K61,IF(INT(obsd_amzn)=2030,obs_amzn/1000+SUMIFS(Pipeline!$L$5:$L$134,Pipeline!$C$5:$C$134,"amzn",Pipeline!$Q$5:$Q$134,1,Pipeline!$K$5:$K$134,"&gt;"&amp;obsd_amzn,Pipeline!$K$5:$K$134,"&lt;="&amp;2031),"")))</f>
        <v/>
      </c>
      <c r="L62" s="25" t="str">
        <f aca="false">IF(L60&lt;&gt;"",L60,IF(L61&lt;&gt;"",L61,IF(INT(obsd_amzn)=2031,obs_amzn/1000+SUMIFS(Pipeline!$L$5:$L$134,Pipeline!$C$5:$C$134,"amzn",Pipeline!$Q$5:$Q$134,1,Pipeline!$K$5:$K$134,"&gt;"&amp;obsd_amzn,Pipeline!$K$5:$K$134,"&lt;="&amp;2032),"")))</f>
        <v/>
      </c>
      <c r="M62" s="25" t="str">
        <f aca="false">IF(M60&lt;&gt;"",M60,IF(M61&lt;&gt;"",M61,IF(INT(obsd_amzn)=2032,obs_amzn/1000+SUMIFS(Pipeline!$L$5:$L$134,Pipeline!$C$5:$C$134,"amzn",Pipeline!$Q$5:$Q$134,1,Pipeline!$K$5:$K$134,"&gt;"&amp;obsd_amzn,Pipeline!$K$5:$K$134,"&lt;="&amp;2033),"")))</f>
        <v/>
      </c>
    </row>
    <row r="63" customFormat="false" ht="15" hidden="false" customHeight="false" outlineLevel="0" collapsed="false">
      <c r="A63" s="5" t="s">
        <v>1363</v>
      </c>
      <c r="B63" s="0" t="s">
        <v>1415</v>
      </c>
      <c r="C63" s="0" t="s">
        <v>82</v>
      </c>
      <c r="D63" s="0" t="str">
        <f aca="false">IF(D62&lt;&gt;"",D62,"")</f>
        <v/>
      </c>
      <c r="E63" s="25" t="n">
        <f aca="false">IF(E62&lt;&gt;"",E62,D63)</f>
        <v>0.810284005979073</v>
      </c>
      <c r="F63" s="25" t="n">
        <f aca="false">IF(F62&lt;&gt;"",F62,E63)</f>
        <v>2.2</v>
      </c>
      <c r="G63" s="25" t="n">
        <f aca="false">IF(G62&lt;&gt;"",G62,F63)</f>
        <v>2.727</v>
      </c>
      <c r="H63" s="25" t="n">
        <f aca="false">IF(H62&lt;&gt;"",H62,G63)</f>
        <v>2.727</v>
      </c>
      <c r="I63" s="25" t="n">
        <f aca="false">IF(I62&lt;&gt;"",I62,H63)</f>
        <v>2.727</v>
      </c>
      <c r="J63" s="25" t="n">
        <f aca="false">IF(J62&lt;&gt;"",J62,I63)</f>
        <v>2.727</v>
      </c>
      <c r="K63" s="25" t="n">
        <f aca="false">IF(K62&lt;&gt;"",K62,J63)</f>
        <v>2.727</v>
      </c>
      <c r="L63" s="25" t="n">
        <f aca="false">IF(L62&lt;&gt;"",L62,K63)</f>
        <v>2.727</v>
      </c>
      <c r="M63" s="25" t="n">
        <f aca="false">IF(M62&lt;&gt;"",M62,L63)</f>
        <v>2.727</v>
      </c>
    </row>
    <row r="64" customFormat="false" ht="15" hidden="false" customHeight="false" outlineLevel="0" collapsed="false">
      <c r="A64" s="5" t="s">
        <v>1365</v>
      </c>
      <c r="B64" s="0" t="s">
        <v>1416</v>
      </c>
      <c r="C64" s="5" t="s">
        <v>52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1367</v>
      </c>
      <c r="B65" s="0" t="s">
        <v>1417</v>
      </c>
      <c r="C65" s="0" t="s">
        <v>82</v>
      </c>
      <c r="D65" s="25" t="n">
        <f aca="false">IF(D62&lt;&gt;"",D62,E65)</f>
        <v>0.810284005979073</v>
      </c>
      <c r="E65" s="25" t="n">
        <f aca="false">IF(E62&lt;&gt;"",E62,F65)</f>
        <v>0.810284005979073</v>
      </c>
      <c r="F65" s="25" t="n">
        <f aca="false">IF(F62&lt;&gt;"",F62,G65)</f>
        <v>2.2</v>
      </c>
      <c r="G65" s="25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1369</v>
      </c>
      <c r="B66" s="0" t="s">
        <v>1418</v>
      </c>
      <c r="C66" s="5" t="s">
        <v>52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1371</v>
      </c>
      <c r="B67" s="0" t="s">
        <v>1419</v>
      </c>
      <c r="C67" s="0" t="s">
        <v>82</v>
      </c>
      <c r="D67" s="25" t="n">
        <f aca="false">SUMIFS(Pipeline!$L$5:$L$134,Pipeline!$C$5:$C$134,"amzn",Pipeline!$Q$5:$Q$134,1,Pipeline!$P$5:$P$134,2023)</f>
        <v>0</v>
      </c>
      <c r="E67" s="25" t="n">
        <f aca="false">SUMIFS(Pipeline!$L$5:$L$134,Pipeline!$C$5:$C$134,"amzn",Pipeline!$Q$5:$Q$134,1,Pipeline!$P$5:$P$134,2024)</f>
        <v>0</v>
      </c>
      <c r="F67" s="25" t="n">
        <f aca="false">SUMIFS(Pipeline!$L$5:$L$134,Pipeline!$C$5:$C$134,"amzn",Pipeline!$Q$5:$Q$134,1,Pipeline!$P$5:$P$134,2025)</f>
        <v>0</v>
      </c>
      <c r="G67" s="25" t="n">
        <f aca="false">SUMIFS(Pipeline!$L$5:$L$134,Pipeline!$C$5:$C$134,"amzn",Pipeline!$Q$5:$Q$134,1,Pipeline!$P$5:$P$134,2026)</f>
        <v>0.127</v>
      </c>
      <c r="H67" s="25" t="n">
        <f aca="false">SUMIFS(Pipeline!$L$5:$L$134,Pipeline!$C$5:$C$134,"amzn",Pipeline!$Q$5:$Q$134,1,Pipeline!$P$5:$P$134,2027)</f>
        <v>0.364</v>
      </c>
      <c r="I67" s="25" t="n">
        <f aca="false">SUMIFS(Pipeline!$L$5:$L$134,Pipeline!$C$5:$C$134,"amzn",Pipeline!$Q$5:$Q$134,1,Pipeline!$P$5:$P$134,2028)</f>
        <v>1.744</v>
      </c>
      <c r="J67" s="25" t="n">
        <f aca="false">SUMIFS(Pipeline!$L$5:$L$134,Pipeline!$C$5:$C$134,"amzn",Pipeline!$Q$5:$Q$134,1,Pipeline!$P$5:$P$134,2029)</f>
        <v>0.062</v>
      </c>
      <c r="K67" s="25" t="n">
        <f aca="false">SUMIFS(Pipeline!$L$5:$L$134,Pipeline!$C$5:$C$134,"amzn",Pipeline!$Q$5:$Q$134,1,Pipeline!$P$5:$P$134,2030)</f>
        <v>0</v>
      </c>
      <c r="L67" s="25" t="n">
        <f aca="false">SUMIFS(Pipeline!$L$5:$L$134,Pipeline!$C$5:$C$134,"amzn",Pipeline!$Q$5:$Q$134,1,Pipeline!$P$5:$P$134,2031)</f>
        <v>0</v>
      </c>
      <c r="M67" s="25" t="n">
        <f aca="false">SUMIFS(Pipeline!$L$5:$L$134,Pipeline!$C$5:$C$134,"amzn",Pipeline!$Q$5:$Q$134,1,Pipeline!$P$5:$P$134,2032)</f>
        <v>0</v>
      </c>
    </row>
    <row r="68" customFormat="false" ht="17.15" hidden="false" customHeight="false" outlineLevel="0" collapsed="false">
      <c r="A68" s="5" t="s">
        <v>1373</v>
      </c>
      <c r="B68" s="0" t="s">
        <v>1420</v>
      </c>
      <c r="C68" s="0" t="s">
        <v>82</v>
      </c>
      <c r="D68" s="26" t="str">
        <f aca="false">IF(D62&lt;&gt;"",D62,IF(AND(D63&lt;&gt;"",D65&lt;&gt;""),D63+(D65-D63)*(2023-D64)/(D66-D64),""))</f>
        <v/>
      </c>
      <c r="E68" s="26" t="n">
        <f aca="false">IF(E62&lt;&gt;"",E62,IF(AND(E63&lt;&gt;"",E65&lt;&gt;""),E63+(E65-E63)*(2024-E64)/(E66-E64),IF(D68&lt;&gt;"",D68+E67,"")))</f>
        <v>0.810284005979073</v>
      </c>
      <c r="F68" s="26" t="n">
        <f aca="false">IF(F62&lt;&gt;"",F62,IF(AND(F63&lt;&gt;"",F65&lt;&gt;""),F63+(F65-F63)*(2025-F64)/(F66-F64),IF(E68&lt;&gt;"",E68+F67,"")))</f>
        <v>2.2</v>
      </c>
      <c r="G68" s="26" t="n">
        <f aca="false">IF(G62&lt;&gt;"",G62,IF(AND(G63&lt;&gt;"",G65&lt;&gt;""),G63+(G65-G63)*(2026-G64)/(G66-G64),IF(F68&lt;&gt;"",F68+G67,"")))</f>
        <v>2.727</v>
      </c>
      <c r="H68" s="26" t="n">
        <f aca="false">IF(H62&lt;&gt;"",H62,IF(AND(H63&lt;&gt;"",H65&lt;&gt;""),H63+(H65-H63)*(2027-H64)/(H66-H64),IF(G68&lt;&gt;"",G68+H67,"")))</f>
        <v>3.091</v>
      </c>
      <c r="I68" s="26" t="n">
        <f aca="false">IF(I62&lt;&gt;"",I62,IF(AND(I63&lt;&gt;"",I65&lt;&gt;""),I63+(I65-I63)*(2028-I64)/(I66-I64),IF(H68&lt;&gt;"",H68+I67,"")))</f>
        <v>4.835</v>
      </c>
      <c r="J68" s="26" t="n">
        <f aca="false">IF(J62&lt;&gt;"",J62,IF(AND(J63&lt;&gt;"",J65&lt;&gt;""),J63+(J65-J63)*(2029-J64)/(J66-J64),IF(I68&lt;&gt;"",I68+J67,"")))</f>
        <v>4.897</v>
      </c>
      <c r="K68" s="26" t="n">
        <f aca="false">IF(K62&lt;&gt;"",K62,IF(AND(K63&lt;&gt;"",K65&lt;&gt;""),K63+(K65-K63)*(2030-K64)/(K66-K64),IF(J68&lt;&gt;"",J68+K67,"")))</f>
        <v>4.897</v>
      </c>
      <c r="L68" s="26" t="n">
        <f aca="false">IF(L62&lt;&gt;"",L62,IF(AND(L63&lt;&gt;"",L65&lt;&gt;""),L63+(L65-L63)*(2031-L64)/(L66-L64),IF(K68&lt;&gt;"",K68+L67,"")))</f>
        <v>4.897</v>
      </c>
      <c r="M68" s="26" t="n">
        <f aca="false">IF(M62&lt;&gt;"",M62,IF(AND(M63&lt;&gt;"",M65&lt;&gt;""),M63+(M65-M63)*(2032-M64)/(M66-M64),IF(L68&lt;&gt;"",L68+M67,"")))</f>
        <v>4.897</v>
      </c>
    </row>
    <row r="69" customFormat="false" ht="15" hidden="false" customHeight="false" outlineLevel="0" collapsed="false">
      <c r="A69" s="5" t="s">
        <v>1375</v>
      </c>
      <c r="B69" s="0" t="s">
        <v>1421</v>
      </c>
      <c r="C69" s="0" t="s">
        <v>40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1377</v>
      </c>
      <c r="B70" s="0" t="s">
        <v>1422</v>
      </c>
      <c r="C70" s="0" t="s">
        <v>82</v>
      </c>
      <c r="D70" s="25" t="str">
        <f aca="false">IF(D68="","",IF(D69=2,D68-(obs_amzn-obs_amzn_lo)/1000,IF(AND(D69=5,In!$H$103&lt;&gt;""),In!$H$103*Players!$E$16/1000,D68)))</f>
        <v/>
      </c>
      <c r="E70" s="25" t="n">
        <f aca="false">IF(E68="","",IF(E69=2,E68-(obs_amzn-obs_amzn_lo)/1000,IF(AND(E69=5,In!$I$103&lt;&gt;""),In!$I$103*Players!$E$16/1000,E68)))</f>
        <v>0.699790732436472</v>
      </c>
      <c r="F70" s="25" t="n">
        <f aca="false">IF(F68="","",IF(F69=2,F68-(obs_amzn-obs_amzn_lo)/1000,IF(AND(F69=5,In!$J$103&lt;&gt;""),In!$J$103*Players!$E$16/1000,F68)))</f>
        <v>1.9</v>
      </c>
      <c r="G70" s="25" t="n">
        <f aca="false">IF(G68="","",IF(G69=2,G68-(obs_amzn-obs_amzn_lo)/1000,IF(AND(G69=5,In!$K$103&lt;&gt;""),In!$K$103*Players!$E$16/1000,G68)))</f>
        <v>2.127</v>
      </c>
      <c r="H70" s="25" t="n">
        <f aca="false">IF(H68="","",IF(H69=2,H68-(obs_amzn-obs_amzn_lo)/1000,IF(AND(H69=5,In!$L$103&lt;&gt;""),In!$L$103*Players!$E$16/1000,H68)))</f>
        <v>3.091</v>
      </c>
      <c r="I70" s="25" t="n">
        <f aca="false">IF(I68="","",IF(I69=2,I68-(obs_amzn-obs_amzn_lo)/1000,IF(AND(I69=5,In!$M$103&lt;&gt;""),In!$M$103*Players!$E$16/1000,I68)))</f>
        <v>4.835</v>
      </c>
      <c r="J70" s="25" t="n">
        <f aca="false">IF(J68="","",IF(J69=2,J68-(obs_amzn-obs_amzn_lo)/1000,IF(AND(J69=5,In!$N$103&lt;&gt;""),In!$N$103*Players!$E$16/1000,J68)))</f>
        <v>4.897</v>
      </c>
      <c r="K70" s="25" t="n">
        <f aca="false">IF(K68="","",IF(K69=2,K68-(obs_amzn-obs_amzn_lo)/1000,IF(AND(K69=5,In!$O$103&lt;&gt;""),In!$O$103*Players!$E$16/1000,K68)))</f>
        <v>4.897</v>
      </c>
      <c r="L70" s="25" t="n">
        <f aca="false">IF(L68="","",IF(L69=2,L68-(obs_amzn-obs_amzn_lo)/1000,IF(AND(L69=5,In!$P$103&lt;&gt;""),In!$P$103*Players!$E$16/1000,L68)))</f>
        <v>4.897</v>
      </c>
      <c r="M70" s="25" t="n">
        <f aca="false">IF(M68="","",IF(M69=2,M68-(obs_amzn-obs_amzn_lo)/1000,IF(AND(M69=5,In!$Q$103&lt;&gt;""),In!$Q$103*Players!$E$16/1000,M68)))</f>
        <v>4.897</v>
      </c>
    </row>
    <row r="71" customFormat="false" ht="17.15" hidden="false" customHeight="false" outlineLevel="0" collapsed="false">
      <c r="A71" s="5" t="s">
        <v>1379</v>
      </c>
      <c r="B71" s="0" t="s">
        <v>1423</v>
      </c>
      <c r="C71" s="0" t="s">
        <v>82</v>
      </c>
      <c r="D71" s="25" t="str">
        <f aca="false">IF(D68="","",IF(D69=2,D68+(obs_amzn_hi-obs_amzn)/1000,IF(AND(D69=5,In!$H$103&lt;&gt;""),In!$H$103*Players!$F$16/1000,D68)))</f>
        <v/>
      </c>
      <c r="E71" s="25" t="n">
        <f aca="false">IF(E68="","",IF(E69=2,E68+(obs_amzn_hi-obs_amzn)/1000,IF(AND(E69=5,In!$I$103&lt;&gt;""),In!$I$103*Players!$F$16/1000,E68)))</f>
        <v>0.957608370702541</v>
      </c>
      <c r="F71" s="25" t="n">
        <f aca="false">IF(F68="","",IF(F69=2,F68+(obs_amzn_hi-obs_amzn)/1000,IF(AND(F69=5,In!$J$103&lt;&gt;""),In!$J$103*Players!$F$16/1000,F68)))</f>
        <v>2.6</v>
      </c>
      <c r="G71" s="25" t="n">
        <f aca="false">IF(G68="","",IF(G69=2,G68+(obs_amzn_hi-obs_amzn)/1000,IF(AND(G69=5,In!$K$103&lt;&gt;""),In!$K$103*Players!$F$16/1000,G68)))</f>
        <v>3.427</v>
      </c>
      <c r="H71" s="25" t="n">
        <f aca="false">IF(H68="","",IF(H69=2,H68+(obs_amzn_hi-obs_amzn)/1000,IF(AND(H69=5,In!$L$103&lt;&gt;""),In!$L$103*Players!$F$16/1000,H68)))</f>
        <v>3.091</v>
      </c>
      <c r="I71" s="25" t="n">
        <f aca="false">IF(I68="","",IF(I69=2,I68+(obs_amzn_hi-obs_amzn)/1000,IF(AND(I69=5,In!$M$103&lt;&gt;""),In!$M$103*Players!$F$16/1000,I68)))</f>
        <v>4.835</v>
      </c>
      <c r="J71" s="25" t="n">
        <f aca="false">IF(J68="","",IF(J69=2,J68+(obs_amzn_hi-obs_amzn)/1000,IF(AND(J69=5,In!$N$103&lt;&gt;""),In!$N$103*Players!$F$16/1000,J68)))</f>
        <v>4.897</v>
      </c>
      <c r="K71" s="25" t="n">
        <f aca="false">IF(K68="","",IF(K69=2,K68+(obs_amzn_hi-obs_amzn)/1000,IF(AND(K69=5,In!$O$103&lt;&gt;""),In!$O$103*Players!$F$16/1000,K68)))</f>
        <v>4.897</v>
      </c>
      <c r="L71" s="25" t="n">
        <f aca="false">IF(L68="","",IF(L69=2,L68+(obs_amzn_hi-obs_amzn)/1000,IF(AND(L69=5,In!$P$103&lt;&gt;""),In!$P$103*Players!$F$16/1000,L68)))</f>
        <v>4.897</v>
      </c>
      <c r="M71" s="25" t="n">
        <f aca="false">IF(M68="","",IF(M69=2,M68+(obs_amzn_hi-obs_amzn)/1000,IF(AND(M69=5,In!$Q$103&lt;&gt;""),In!$Q$103*Players!$F$16/1000,M68)))</f>
        <v>4.897</v>
      </c>
    </row>
    <row r="72" customFormat="false" ht="17.15" hidden="false" customHeight="false" outlineLevel="0" collapsed="false">
      <c r="A72" s="5" t="s">
        <v>1381</v>
      </c>
      <c r="B72" s="0" t="s">
        <v>1424</v>
      </c>
      <c r="C72" s="0" t="s">
        <v>82</v>
      </c>
      <c r="D72" s="25" t="str">
        <f aca="false">IF(D68="","",IF(In!$C$110="未說明",D68/D$13,D68))</f>
        <v/>
      </c>
      <c r="E72" s="25" t="n">
        <f aca="false">IF(E68="","",IF(In!$C$110="未說明",E68/E$13,E68))</f>
        <v>0.810284005979073</v>
      </c>
      <c r="F72" s="25" t="n">
        <f aca="false">IF(F68="","",IF(In!$C$110="未說明",F68/F$13,F68))</f>
        <v>2.2</v>
      </c>
      <c r="G72" s="25" t="n">
        <f aca="false">IF(G68="","",IF(In!$C$110="未說明",G68/G$13,G68))</f>
        <v>2.727</v>
      </c>
      <c r="H72" s="25" t="n">
        <f aca="false">IF(H68="","",IF(In!$C$110="未說明",H68/H$13,H68))</f>
        <v>3.091</v>
      </c>
      <c r="I72" s="25" t="n">
        <f aca="false">IF(I68="","",IF(In!$C$110="未說明",I68/I$13,I68))</f>
        <v>4.835</v>
      </c>
      <c r="J72" s="25" t="n">
        <f aca="false">IF(J68="","",IF(In!$C$110="未說明",J68/J$13,J68))</f>
        <v>4.897</v>
      </c>
      <c r="K72" s="25" t="n">
        <f aca="false">IF(K68="","",IF(In!$C$110="未說明",K68/K$13,K68))</f>
        <v>4.897</v>
      </c>
      <c r="L72" s="25" t="n">
        <f aca="false">IF(L68="","",IF(In!$C$110="未說明",L68/L$13,L68))</f>
        <v>4.897</v>
      </c>
      <c r="M72" s="25" t="n">
        <f aca="false">IF(M68="","",IF(In!$C$110="未說明",M68/M$13,M68))</f>
        <v>4.897</v>
      </c>
    </row>
    <row r="73" customFormat="false" ht="17.15" hidden="false" customHeight="false" outlineLevel="0" collapsed="false">
      <c r="A73" s="5" t="s">
        <v>1383</v>
      </c>
      <c r="B73" s="0" t="s">
        <v>1425</v>
      </c>
      <c r="C73" s="0" t="s">
        <v>82</v>
      </c>
      <c r="D73" s="0" t="str">
        <f aca="false">""</f>
        <v/>
      </c>
      <c r="E73" s="25" t="str">
        <f aca="false">IF(AND(D68&lt;&gt;"",E68&lt;&gt;""),(D68+E68)/2,"")</f>
        <v/>
      </c>
      <c r="F73" s="25" t="n">
        <f aca="false">IF(AND(E68&lt;&gt;"",F68&lt;&gt;""),(E68+F68)/2,"")</f>
        <v>1.50514200298954</v>
      </c>
      <c r="G73" s="25" t="n">
        <f aca="false">IF(AND(F68&lt;&gt;"",G68&lt;&gt;""),(F68+G68)/2,"")</f>
        <v>2.4635</v>
      </c>
      <c r="H73" s="25" t="n">
        <f aca="false">IF(AND(G68&lt;&gt;"",H68&lt;&gt;""),(G68+H68)/2,"")</f>
        <v>2.909</v>
      </c>
      <c r="I73" s="25" t="n">
        <f aca="false">IF(AND(H68&lt;&gt;"",I68&lt;&gt;""),(H68+I68)/2,"")</f>
        <v>3.963</v>
      </c>
      <c r="J73" s="25" t="n">
        <f aca="false">IF(AND(I68&lt;&gt;"",J68&lt;&gt;""),(I68+J68)/2,"")</f>
        <v>4.866</v>
      </c>
      <c r="K73" s="25" t="n">
        <f aca="false">IF(AND(J68&lt;&gt;"",K68&lt;&gt;""),(J68+K68)/2,"")</f>
        <v>4.897</v>
      </c>
      <c r="L73" s="25" t="n">
        <f aca="false">IF(AND(K68&lt;&gt;"",L68&lt;&gt;""),(K68+L68)/2,"")</f>
        <v>4.897</v>
      </c>
      <c r="M73" s="25" t="n">
        <f aca="false">IF(AND(L68&lt;&gt;"",M68&lt;&gt;""),(L68+M68)/2,"")</f>
        <v>4.897</v>
      </c>
    </row>
    <row r="74" customFormat="false" ht="17.15" hidden="false" customHeight="false" outlineLevel="0" collapsed="false">
      <c r="A74" s="5" t="s">
        <v>1385</v>
      </c>
      <c r="B74" s="0" t="s">
        <v>1426</v>
      </c>
      <c r="C74" s="0" t="s">
        <v>82</v>
      </c>
      <c r="D74" s="0" t="n">
        <v>0</v>
      </c>
      <c r="E74" s="25" t="n">
        <f aca="false">IF(AND(D68&lt;&gt;"",E68&lt;&gt;""),E68-D68,0)</f>
        <v>0</v>
      </c>
      <c r="F74" s="25" t="n">
        <f aca="false">IF(AND(E68&lt;&gt;"",F68&lt;&gt;""),F68-E68,0)</f>
        <v>1.38971599402093</v>
      </c>
      <c r="G74" s="25" t="n">
        <f aca="false">IF(AND(F68&lt;&gt;"",G68&lt;&gt;""),G68-F68,0)</f>
        <v>0.527</v>
      </c>
      <c r="H74" s="25" t="n">
        <f aca="false">IF(AND(G68&lt;&gt;"",H68&lt;&gt;""),H68-G68,0)</f>
        <v>0.364</v>
      </c>
      <c r="I74" s="25" t="n">
        <f aca="false">IF(AND(H68&lt;&gt;"",I68&lt;&gt;""),I68-H68,0)</f>
        <v>1.744</v>
      </c>
      <c r="J74" s="25" t="n">
        <f aca="false">IF(AND(I68&lt;&gt;"",J68&lt;&gt;""),J68-I68,0)</f>
        <v>0.0620000000000003</v>
      </c>
      <c r="K74" s="25" t="n">
        <f aca="false">IF(AND(J68&lt;&gt;"",K68&lt;&gt;""),K68-J68,0)</f>
        <v>0</v>
      </c>
      <c r="L74" s="25" t="n">
        <f aca="false">IF(AND(K68&lt;&gt;"",L68&lt;&gt;""),L68-K68,0)</f>
        <v>0</v>
      </c>
      <c r="M74" s="25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1387</v>
      </c>
      <c r="B75" s="0" t="s">
        <v>1427</v>
      </c>
      <c r="C75" s="0" t="s">
        <v>82</v>
      </c>
      <c r="D75" s="25" t="n">
        <f aca="false">IF(D68&lt;&gt;"",D68,0)</f>
        <v>0</v>
      </c>
      <c r="E75" s="25" t="n">
        <f aca="false">IF(AND(D68="",E68&lt;&gt;""),E68,0)</f>
        <v>0.810284005979073</v>
      </c>
      <c r="F75" s="25" t="n">
        <f aca="false">IF(AND(E68="",F68&lt;&gt;""),F68,0)</f>
        <v>0</v>
      </c>
      <c r="G75" s="25" t="n">
        <f aca="false">IF(AND(F68="",G68&lt;&gt;""),G68,0)</f>
        <v>0</v>
      </c>
      <c r="H75" s="25" t="n">
        <f aca="false">IF(AND(G68="",H68&lt;&gt;""),H68,0)</f>
        <v>0</v>
      </c>
      <c r="I75" s="25" t="n">
        <f aca="false">IF(AND(H68="",I68&lt;&gt;""),I68,0)</f>
        <v>0</v>
      </c>
      <c r="J75" s="25" t="n">
        <f aca="false">IF(AND(I68="",J68&lt;&gt;""),J68,0)</f>
        <v>0</v>
      </c>
      <c r="K75" s="25" t="n">
        <f aca="false">IF(AND(J68="",K68&lt;&gt;""),K68,0)</f>
        <v>0</v>
      </c>
      <c r="L75" s="25" t="n">
        <f aca="false">IF(AND(K68="",L68&lt;&gt;""),L68,0)</f>
        <v>0</v>
      </c>
      <c r="M75" s="25" t="n">
        <f aca="false">IF(AND(L68="",M68&lt;&gt;""),M68,0)</f>
        <v>0</v>
      </c>
    </row>
    <row r="76" customFormat="false" ht="17.15" hidden="false" customHeight="false" outlineLevel="0" collapsed="false">
      <c r="A76" s="5" t="s">
        <v>1389</v>
      </c>
      <c r="B76" s="0" t="s">
        <v>1428</v>
      </c>
      <c r="C76" s="0" t="s">
        <v>57</v>
      </c>
      <c r="D76" s="24" t="n">
        <f aca="false">nnv_amzn</f>
        <v>0.67</v>
      </c>
      <c r="E76" s="24" t="n">
        <f aca="false">nnv_amzn</f>
        <v>0.67</v>
      </c>
      <c r="F76" s="24" t="n">
        <f aca="false">nnv_amzn</f>
        <v>0.67</v>
      </c>
      <c r="G76" s="24" t="n">
        <f aca="false">nnv_amzn</f>
        <v>0.67</v>
      </c>
      <c r="H76" s="24" t="n">
        <f aca="false">nnv_amzn</f>
        <v>0.67</v>
      </c>
      <c r="I76" s="24" t="n">
        <f aca="false">nnv_amzn</f>
        <v>0.67</v>
      </c>
      <c r="J76" s="24" t="n">
        <f aca="false">nnv_amzn</f>
        <v>0.67</v>
      </c>
      <c r="K76" s="24" t="n">
        <f aca="false">nnv_amzn</f>
        <v>0.67</v>
      </c>
      <c r="L76" s="24" t="n">
        <f aca="false">nnv_amzn</f>
        <v>0.67</v>
      </c>
      <c r="M76" s="24" t="n">
        <f aca="false">nnv_amzn</f>
        <v>0.67</v>
      </c>
    </row>
    <row r="78" customFormat="false" ht="17.15" hidden="false" customHeight="false" outlineLevel="0" collapsed="false">
      <c r="A78" s="8" t="s">
        <v>1429</v>
      </c>
      <c r="B78" s="21" t="s">
        <v>748</v>
      </c>
      <c r="N78" s="21" t="s">
        <v>1430</v>
      </c>
    </row>
    <row r="79" customFormat="false" ht="17.15" hidden="false" customHeight="false" outlineLevel="0" collapsed="false">
      <c r="A79" s="5" t="s">
        <v>1357</v>
      </c>
      <c r="B79" s="0" t="s">
        <v>1431</v>
      </c>
      <c r="C79" s="0" t="s">
        <v>82</v>
      </c>
      <c r="D79" s="25" t="str">
        <f aca="false">IF(In!$H$111="","",IF(In!$C$111="設施",In!$H$111/1000/D$13,In!$H$111/1000))</f>
        <v/>
      </c>
      <c r="E79" s="25" t="str">
        <f aca="false">IF(In!$I$111="","",IF(In!$C$111="設施",In!$I$111/1000/E$13,In!$I$111/1000))</f>
        <v/>
      </c>
      <c r="F79" s="25" t="str">
        <f aca="false">IF(In!$J$111="","",IF(In!$C$111="設施",In!$J$111/1000/F$13,In!$J$111/1000))</f>
        <v/>
      </c>
      <c r="G79" s="25" t="str">
        <f aca="false">IF(In!$K$111="","",IF(In!$C$111="設施",In!$K$111/1000/G$13,In!$K$111/1000))</f>
        <v/>
      </c>
      <c r="H79" s="25" t="str">
        <f aca="false">IF(In!$L$111="","",IF(In!$C$111="設施",In!$L$111/1000/H$13,In!$L$111/1000))</f>
        <v/>
      </c>
      <c r="I79" s="25" t="str">
        <f aca="false">IF(In!$M$111="","",IF(In!$C$111="設施",In!$M$111/1000/I$13,In!$M$111/1000))</f>
        <v/>
      </c>
      <c r="J79" s="25" t="str">
        <f aca="false">IF(In!$N$111="","",IF(In!$C$111="設施",In!$N$111/1000/J$13,In!$N$111/1000))</f>
        <v/>
      </c>
      <c r="K79" s="25" t="str">
        <f aca="false">IF(In!$O$111="","",IF(In!$C$111="設施",In!$O$111/1000/K$13,In!$O$111/1000))</f>
        <v/>
      </c>
      <c r="L79" s="25" t="str">
        <f aca="false">IF(In!$P$111="","",IF(In!$C$111="設施",In!$P$111/1000/L$13,In!$P$111/1000))</f>
        <v/>
      </c>
      <c r="M79" s="25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1359</v>
      </c>
      <c r="B80" s="0" t="s">
        <v>1432</v>
      </c>
      <c r="C80" s="0" t="s">
        <v>82</v>
      </c>
      <c r="D80" s="25" t="str">
        <f aca="false">IF(In!$H$104="","",In!$H$104*Players!$D$17/1000)</f>
        <v/>
      </c>
      <c r="E80" s="25" t="n">
        <f aca="false">IF(In!$I$104="","",In!$I$104*Players!$D$17/1000)</f>
        <v>0.968475</v>
      </c>
      <c r="F80" s="25" t="n">
        <f aca="false">IF(In!$J$104="","",In!$J$104*Players!$D$17/1000)</f>
        <v>2.476595</v>
      </c>
      <c r="G80" s="25" t="str">
        <f aca="false">IF(In!$K$104="","",In!$K$104*Players!$D$17/1000)</f>
        <v/>
      </c>
      <c r="H80" s="25" t="str">
        <f aca="false">IF(In!$L$104="","",In!$L$104*Players!$D$17/1000)</f>
        <v/>
      </c>
      <c r="I80" s="25" t="str">
        <f aca="false">IF(In!$M$104="","",In!$M$104*Players!$D$17/1000)</f>
        <v/>
      </c>
      <c r="J80" s="25" t="str">
        <f aca="false">IF(In!$N$104="","",In!$N$104*Players!$D$17/1000)</f>
        <v/>
      </c>
      <c r="K80" s="25" t="str">
        <f aca="false">IF(In!$O$104="","",In!$O$104*Players!$D$17/1000)</f>
        <v/>
      </c>
      <c r="L80" s="25" t="str">
        <f aca="false">IF(In!$P$104="","",In!$P$104*Players!$D$17/1000)</f>
        <v/>
      </c>
      <c r="M80" s="25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1361</v>
      </c>
      <c r="B81" s="0" t="s">
        <v>1433</v>
      </c>
      <c r="C81" s="0" t="s">
        <v>82</v>
      </c>
      <c r="D81" s="0" t="str">
        <f aca="false">IF(D79&lt;&gt;"",D79,IF(D80&lt;&gt;"",D80,""))</f>
        <v/>
      </c>
      <c r="E81" s="25" t="n">
        <f aca="false">IF(E79&lt;&gt;"",E79,IF(E80&lt;&gt;"",E80,""))</f>
        <v>0.968475</v>
      </c>
      <c r="F81" s="25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1363</v>
      </c>
      <c r="B82" s="0" t="s">
        <v>1434</v>
      </c>
      <c r="C82" s="0" t="s">
        <v>82</v>
      </c>
      <c r="D82" s="0" t="str">
        <f aca="false">IF(D81&lt;&gt;"",D81,"")</f>
        <v/>
      </c>
      <c r="E82" s="25" t="n">
        <f aca="false">IF(E81&lt;&gt;"",E81,D82)</f>
        <v>0.968475</v>
      </c>
      <c r="F82" s="25" t="n">
        <f aca="false">IF(F81&lt;&gt;"",F81,E82)</f>
        <v>2.476595</v>
      </c>
      <c r="G82" s="25" t="n">
        <f aca="false">IF(G81&lt;&gt;"",G81,F82)</f>
        <v>2.476595</v>
      </c>
      <c r="H82" s="25" t="n">
        <f aca="false">IF(H81&lt;&gt;"",H81,G82)</f>
        <v>2.476595</v>
      </c>
      <c r="I82" s="25" t="n">
        <f aca="false">IF(I81&lt;&gt;"",I81,H82)</f>
        <v>2.476595</v>
      </c>
      <c r="J82" s="25" t="n">
        <f aca="false">IF(J81&lt;&gt;"",J81,I82)</f>
        <v>2.476595</v>
      </c>
      <c r="K82" s="25" t="n">
        <f aca="false">IF(K81&lt;&gt;"",K81,J82)</f>
        <v>2.476595</v>
      </c>
      <c r="L82" s="25" t="n">
        <f aca="false">IF(L81&lt;&gt;"",L81,K82)</f>
        <v>2.476595</v>
      </c>
      <c r="M82" s="25" t="n">
        <f aca="false">IF(M81&lt;&gt;"",M81,L82)</f>
        <v>2.476595</v>
      </c>
    </row>
    <row r="83" customFormat="false" ht="15" hidden="false" customHeight="false" outlineLevel="0" collapsed="false">
      <c r="A83" s="5" t="s">
        <v>1365</v>
      </c>
      <c r="B83" s="0" t="s">
        <v>1435</v>
      </c>
      <c r="C83" s="5" t="s">
        <v>52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1367</v>
      </c>
      <c r="B84" s="0" t="s">
        <v>1436</v>
      </c>
      <c r="C84" s="0" t="s">
        <v>82</v>
      </c>
      <c r="D84" s="25" t="n">
        <f aca="false">IF(D81&lt;&gt;"",D81,E84)</f>
        <v>0.968475</v>
      </c>
      <c r="E84" s="25" t="n">
        <f aca="false">IF(E81&lt;&gt;"",E81,F84)</f>
        <v>0.968475</v>
      </c>
      <c r="F84" s="25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1369</v>
      </c>
      <c r="B85" s="0" t="s">
        <v>1437</v>
      </c>
      <c r="C85" s="5" t="s">
        <v>52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1371</v>
      </c>
      <c r="B86" s="0" t="s">
        <v>1438</v>
      </c>
      <c r="C86" s="0" t="s">
        <v>82</v>
      </c>
      <c r="D86" s="25" t="n">
        <f aca="false">SUMIFS(Pipeline!$L$5:$L$134,Pipeline!$C$5:$C$134,"meta",Pipeline!$Q$5:$Q$134,1,Pipeline!$P$5:$P$134,2023)</f>
        <v>0</v>
      </c>
      <c r="E86" s="25" t="n">
        <f aca="false">SUMIFS(Pipeline!$L$5:$L$134,Pipeline!$C$5:$C$134,"meta",Pipeline!$Q$5:$Q$134,1,Pipeline!$P$5:$P$134,2024)</f>
        <v>0</v>
      </c>
      <c r="F86" s="25" t="n">
        <f aca="false">SUMIFS(Pipeline!$L$5:$L$134,Pipeline!$C$5:$C$134,"meta",Pipeline!$Q$5:$Q$134,1,Pipeline!$P$5:$P$134,2025)</f>
        <v>0</v>
      </c>
      <c r="G86" s="25" t="n">
        <f aca="false">SUMIFS(Pipeline!$L$5:$L$134,Pipeline!$C$5:$C$134,"meta",Pipeline!$Q$5:$Q$134,1,Pipeline!$P$5:$P$134,2026)</f>
        <v>0.676</v>
      </c>
      <c r="H86" s="25" t="n">
        <f aca="false">SUMIFS(Pipeline!$L$5:$L$134,Pipeline!$C$5:$C$134,"meta",Pipeline!$Q$5:$Q$134,1,Pipeline!$P$5:$P$134,2027)</f>
        <v>0.615</v>
      </c>
      <c r="I86" s="25" t="n">
        <f aca="false">SUMIFS(Pipeline!$L$5:$L$134,Pipeline!$C$5:$C$134,"meta",Pipeline!$Q$5:$Q$134,1,Pipeline!$P$5:$P$134,2028)</f>
        <v>2.99433333333333</v>
      </c>
      <c r="J86" s="25" t="n">
        <f aca="false">SUMIFS(Pipeline!$L$5:$L$134,Pipeline!$C$5:$C$134,"meta",Pipeline!$Q$5:$Q$134,1,Pipeline!$P$5:$P$134,2029)</f>
        <v>0.968</v>
      </c>
      <c r="K86" s="25" t="n">
        <f aca="false">SUMIFS(Pipeline!$L$5:$L$134,Pipeline!$C$5:$C$134,"meta",Pipeline!$Q$5:$Q$134,1,Pipeline!$P$5:$P$134,2030)</f>
        <v>0</v>
      </c>
      <c r="L86" s="25" t="n">
        <f aca="false">SUMIFS(Pipeline!$L$5:$L$134,Pipeline!$C$5:$C$134,"meta",Pipeline!$Q$5:$Q$134,1,Pipeline!$P$5:$P$134,2031)</f>
        <v>0</v>
      </c>
      <c r="M86" s="25" t="n">
        <f aca="false">SUMIFS(Pipeline!$L$5:$L$134,Pipeline!$C$5:$C$134,"meta",Pipeline!$Q$5:$Q$134,1,Pipeline!$P$5:$P$134,2032)</f>
        <v>0</v>
      </c>
    </row>
    <row r="87" customFormat="false" ht="17.15" hidden="false" customHeight="false" outlineLevel="0" collapsed="false">
      <c r="A87" s="5" t="s">
        <v>1373</v>
      </c>
      <c r="B87" s="0" t="s">
        <v>1439</v>
      </c>
      <c r="C87" s="0" t="s">
        <v>82</v>
      </c>
      <c r="D87" s="26" t="str">
        <f aca="false">IF(D81&lt;&gt;"",D81,IF(AND(D82&lt;&gt;"",D84&lt;&gt;""),D82+(D84-D82)*(2023-D83)/(D85-D83),""))</f>
        <v/>
      </c>
      <c r="E87" s="26" t="n">
        <f aca="false">IF(E81&lt;&gt;"",E81,IF(AND(E82&lt;&gt;"",E84&lt;&gt;""),E82+(E84-E82)*(2024-E83)/(E85-E83),IF(D87&lt;&gt;"",D87+E86,"")))</f>
        <v>0.968475</v>
      </c>
      <c r="F87" s="26" t="n">
        <f aca="false">IF(F81&lt;&gt;"",F81,IF(AND(F82&lt;&gt;"",F84&lt;&gt;""),F82+(F84-F82)*(2025-F83)/(F85-F83),IF(E87&lt;&gt;"",E87+F86,"")))</f>
        <v>2.476595</v>
      </c>
      <c r="G87" s="26" t="n">
        <f aca="false">IF(G81&lt;&gt;"",G81,IF(AND(G82&lt;&gt;"",G84&lt;&gt;""),G82+(G84-G82)*(2026-G83)/(G85-G83),IF(F87&lt;&gt;"",F87+G86,"")))</f>
        <v>3.152595</v>
      </c>
      <c r="H87" s="26" t="n">
        <f aca="false">IF(H81&lt;&gt;"",H81,IF(AND(H82&lt;&gt;"",H84&lt;&gt;""),H82+(H84-H82)*(2027-H83)/(H85-H83),IF(G87&lt;&gt;"",G87+H86,"")))</f>
        <v>3.767595</v>
      </c>
      <c r="I87" s="26" t="n">
        <f aca="false">IF(I81&lt;&gt;"",I81,IF(AND(I82&lt;&gt;"",I84&lt;&gt;""),I82+(I84-I82)*(2028-I83)/(I85-I83),IF(H87&lt;&gt;"",H87+I86,"")))</f>
        <v>6.76192833333333</v>
      </c>
      <c r="J87" s="26" t="n">
        <f aca="false">IF(J81&lt;&gt;"",J81,IF(AND(J82&lt;&gt;"",J84&lt;&gt;""),J82+(J84-J82)*(2029-J83)/(J85-J83),IF(I87&lt;&gt;"",I87+J86,"")))</f>
        <v>7.72992833333333</v>
      </c>
      <c r="K87" s="26" t="n">
        <f aca="false">IF(K81&lt;&gt;"",K81,IF(AND(K82&lt;&gt;"",K84&lt;&gt;""),K82+(K84-K82)*(2030-K83)/(K85-K83),IF(J87&lt;&gt;"",J87+K86,"")))</f>
        <v>7.72992833333333</v>
      </c>
      <c r="L87" s="26" t="n">
        <f aca="false">IF(L81&lt;&gt;"",L81,IF(AND(L82&lt;&gt;"",L84&lt;&gt;""),L82+(L84-L82)*(2031-L83)/(L85-L83),IF(K87&lt;&gt;"",K87+L86,"")))</f>
        <v>7.72992833333333</v>
      </c>
      <c r="M87" s="26" t="n">
        <f aca="false">IF(M81&lt;&gt;"",M81,IF(AND(M82&lt;&gt;"",M84&lt;&gt;""),M82+(M84-M82)*(2032-M83)/(M85-M83),IF(L87&lt;&gt;"",L87+M86,"")))</f>
        <v>7.72992833333333</v>
      </c>
    </row>
    <row r="88" customFormat="false" ht="15" hidden="false" customHeight="false" outlineLevel="0" collapsed="false">
      <c r="A88" s="5" t="s">
        <v>1375</v>
      </c>
      <c r="B88" s="0" t="s">
        <v>1440</v>
      </c>
      <c r="C88" s="0" t="s">
        <v>40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1377</v>
      </c>
      <c r="B89" s="0" t="s">
        <v>1441</v>
      </c>
      <c r="C89" s="0" t="s">
        <v>82</v>
      </c>
      <c r="D89" s="25" t="str">
        <f aca="false">IF(D87="","",IF(AND(D88=5,In!$H$104&lt;&gt;""),In!$H$104*Players!$E$17/1000,D87))</f>
        <v/>
      </c>
      <c r="E89" s="25" t="n">
        <f aca="false">IF(E87="","",IF(AND(E88=5,In!$I$104&lt;&gt;""),In!$I$104*Players!$E$17/1000,E87))</f>
        <v>0.863775</v>
      </c>
      <c r="F89" s="25" t="n">
        <f aca="false">IF(F87="","",IF(AND(F88=5,In!$J$104&lt;&gt;""),In!$J$104*Players!$E$17/1000,F87))</f>
        <v>2.208855</v>
      </c>
      <c r="G89" s="25" t="n">
        <f aca="false">IF(G87="","",IF(AND(G88=5,In!$K$104&lt;&gt;""),In!$K$104*Players!$E$17/1000,G87))</f>
        <v>3.152595</v>
      </c>
      <c r="H89" s="25" t="n">
        <f aca="false">IF(H87="","",IF(AND(H88=5,In!$L$104&lt;&gt;""),In!$L$104*Players!$E$17/1000,H87))</f>
        <v>3.767595</v>
      </c>
      <c r="I89" s="25" t="n">
        <f aca="false">IF(I87="","",IF(AND(I88=5,In!$M$104&lt;&gt;""),In!$M$104*Players!$E$17/1000,I87))</f>
        <v>6.76192833333333</v>
      </c>
      <c r="J89" s="25" t="n">
        <f aca="false">IF(J87="","",IF(AND(J88=5,In!$N$104&lt;&gt;""),In!$N$104*Players!$E$17/1000,J87))</f>
        <v>7.72992833333333</v>
      </c>
      <c r="K89" s="25" t="n">
        <f aca="false">IF(K87="","",IF(AND(K88=5,In!$O$104&lt;&gt;""),In!$O$104*Players!$E$17/1000,K87))</f>
        <v>7.72992833333333</v>
      </c>
      <c r="L89" s="25" t="n">
        <f aca="false">IF(L87="","",IF(AND(L88=5,In!$P$104&lt;&gt;""),In!$P$104*Players!$E$17/1000,L87))</f>
        <v>7.72992833333333</v>
      </c>
      <c r="M89" s="25" t="n">
        <f aca="false">IF(M87="","",IF(AND(M88=5,In!$Q$104&lt;&gt;""),In!$Q$104*Players!$E$17/1000,M87))</f>
        <v>7.72992833333333</v>
      </c>
    </row>
    <row r="90" customFormat="false" ht="17.15" hidden="false" customHeight="false" outlineLevel="0" collapsed="false">
      <c r="A90" s="5" t="s">
        <v>1379</v>
      </c>
      <c r="B90" s="0" t="s">
        <v>1442</v>
      </c>
      <c r="C90" s="0" t="s">
        <v>82</v>
      </c>
      <c r="D90" s="25" t="str">
        <f aca="false">IF(D87="","",IF(AND(D88=5,In!$H$104&lt;&gt;""),In!$H$104*Players!$F$17/1000,D87))</f>
        <v/>
      </c>
      <c r="E90" s="25" t="n">
        <f aca="false">IF(E87="","",IF(AND(E88=5,In!$I$104&lt;&gt;""),In!$I$104*Players!$F$17/1000,E87))</f>
        <v>1.08888</v>
      </c>
      <c r="F90" s="25" t="n">
        <f aca="false">IF(F87="","",IF(AND(F88=5,In!$J$104&lt;&gt;""),In!$J$104*Players!$F$17/1000,F87))</f>
        <v>2.784496</v>
      </c>
      <c r="G90" s="25" t="n">
        <f aca="false">IF(G87="","",IF(AND(G88=5,In!$K$104&lt;&gt;""),In!$K$104*Players!$F$17/1000,G87))</f>
        <v>3.152595</v>
      </c>
      <c r="H90" s="25" t="n">
        <f aca="false">IF(H87="","",IF(AND(H88=5,In!$L$104&lt;&gt;""),In!$L$104*Players!$F$17/1000,H87))</f>
        <v>3.767595</v>
      </c>
      <c r="I90" s="25" t="n">
        <f aca="false">IF(I87="","",IF(AND(I88=5,In!$M$104&lt;&gt;""),In!$M$104*Players!$F$17/1000,I87))</f>
        <v>6.76192833333333</v>
      </c>
      <c r="J90" s="25" t="n">
        <f aca="false">IF(J87="","",IF(AND(J88=5,In!$N$104&lt;&gt;""),In!$N$104*Players!$F$17/1000,J87))</f>
        <v>7.72992833333333</v>
      </c>
      <c r="K90" s="25" t="n">
        <f aca="false">IF(K87="","",IF(AND(K88=5,In!$O$104&lt;&gt;""),In!$O$104*Players!$F$17/1000,K87))</f>
        <v>7.72992833333333</v>
      </c>
      <c r="L90" s="25" t="n">
        <f aca="false">IF(L87="","",IF(AND(L88=5,In!$P$104&lt;&gt;""),In!$P$104*Players!$F$17/1000,L87))</f>
        <v>7.72992833333333</v>
      </c>
      <c r="M90" s="25" t="n">
        <f aca="false">IF(M87="","",IF(AND(M88=5,In!$Q$104&lt;&gt;""),In!$Q$104*Players!$F$17/1000,M87))</f>
        <v>7.72992833333333</v>
      </c>
    </row>
    <row r="91" customFormat="false" ht="17.15" hidden="false" customHeight="false" outlineLevel="0" collapsed="false">
      <c r="A91" s="5" t="s">
        <v>1381</v>
      </c>
      <c r="B91" s="0" t="s">
        <v>1443</v>
      </c>
      <c r="C91" s="0" t="s">
        <v>82</v>
      </c>
      <c r="D91" s="25" t="str">
        <f aca="false">IF(D87="","",IF(In!$C$111="未說明",D87/D$13,D87))</f>
        <v/>
      </c>
      <c r="E91" s="25" t="n">
        <f aca="false">IF(E87="","",IF(In!$C$111="未說明",E87/E$13,E87))</f>
        <v>0.968475</v>
      </c>
      <c r="F91" s="25" t="n">
        <f aca="false">IF(F87="","",IF(In!$C$111="未說明",F87/F$13,F87))</f>
        <v>2.476595</v>
      </c>
      <c r="G91" s="25" t="n">
        <f aca="false">IF(G87="","",IF(In!$C$111="未說明",G87/G$13,G87))</f>
        <v>3.152595</v>
      </c>
      <c r="H91" s="25" t="n">
        <f aca="false">IF(H87="","",IF(In!$C$111="未說明",H87/H$13,H87))</f>
        <v>3.767595</v>
      </c>
      <c r="I91" s="25" t="n">
        <f aca="false">IF(I87="","",IF(In!$C$111="未說明",I87/I$13,I87))</f>
        <v>6.76192833333333</v>
      </c>
      <c r="J91" s="25" t="n">
        <f aca="false">IF(J87="","",IF(In!$C$111="未說明",J87/J$13,J87))</f>
        <v>7.72992833333333</v>
      </c>
      <c r="K91" s="25" t="n">
        <f aca="false">IF(K87="","",IF(In!$C$111="未說明",K87/K$13,K87))</f>
        <v>7.72992833333333</v>
      </c>
      <c r="L91" s="25" t="n">
        <f aca="false">IF(L87="","",IF(In!$C$111="未說明",L87/L$13,L87))</f>
        <v>7.72992833333333</v>
      </c>
      <c r="M91" s="25" t="n">
        <f aca="false">IF(M87="","",IF(In!$C$111="未說明",M87/M$13,M87))</f>
        <v>7.72992833333333</v>
      </c>
    </row>
    <row r="92" customFormat="false" ht="17.15" hidden="false" customHeight="false" outlineLevel="0" collapsed="false">
      <c r="A92" s="5" t="s">
        <v>1383</v>
      </c>
      <c r="B92" s="0" t="s">
        <v>1444</v>
      </c>
      <c r="C92" s="0" t="s">
        <v>82</v>
      </c>
      <c r="D92" s="0" t="str">
        <f aca="false">""</f>
        <v/>
      </c>
      <c r="E92" s="25" t="str">
        <f aca="false">IF(AND(D87&lt;&gt;"",E87&lt;&gt;""),(D87+E87)/2,"")</f>
        <v/>
      </c>
      <c r="F92" s="25" t="n">
        <f aca="false">IF(AND(E87&lt;&gt;"",F87&lt;&gt;""),(E87+F87)/2,"")</f>
        <v>1.722535</v>
      </c>
      <c r="G92" s="25" t="n">
        <f aca="false">IF(AND(F87&lt;&gt;"",G87&lt;&gt;""),(F87+G87)/2,"")</f>
        <v>2.814595</v>
      </c>
      <c r="H92" s="25" t="n">
        <f aca="false">IF(AND(G87&lt;&gt;"",H87&lt;&gt;""),(G87+H87)/2,"")</f>
        <v>3.460095</v>
      </c>
      <c r="I92" s="25" t="n">
        <f aca="false">IF(AND(H87&lt;&gt;"",I87&lt;&gt;""),(H87+I87)/2,"")</f>
        <v>5.26476166666667</v>
      </c>
      <c r="J92" s="25" t="n">
        <f aca="false">IF(AND(I87&lt;&gt;"",J87&lt;&gt;""),(I87+J87)/2,"")</f>
        <v>7.24592833333333</v>
      </c>
      <c r="K92" s="25" t="n">
        <f aca="false">IF(AND(J87&lt;&gt;"",K87&lt;&gt;""),(J87+K87)/2,"")</f>
        <v>7.72992833333333</v>
      </c>
      <c r="L92" s="25" t="n">
        <f aca="false">IF(AND(K87&lt;&gt;"",L87&lt;&gt;""),(K87+L87)/2,"")</f>
        <v>7.72992833333333</v>
      </c>
      <c r="M92" s="25" t="n">
        <f aca="false">IF(AND(L87&lt;&gt;"",M87&lt;&gt;""),(L87+M87)/2,"")</f>
        <v>7.72992833333333</v>
      </c>
    </row>
    <row r="93" customFormat="false" ht="17.15" hidden="false" customHeight="false" outlineLevel="0" collapsed="false">
      <c r="A93" s="5" t="s">
        <v>1385</v>
      </c>
      <c r="B93" s="0" t="s">
        <v>1445</v>
      </c>
      <c r="C93" s="0" t="s">
        <v>82</v>
      </c>
      <c r="D93" s="0" t="n">
        <v>0</v>
      </c>
      <c r="E93" s="25" t="n">
        <f aca="false">IF(AND(D87&lt;&gt;"",E87&lt;&gt;""),E87-D87,0)</f>
        <v>0</v>
      </c>
      <c r="F93" s="25" t="n">
        <f aca="false">IF(AND(E87&lt;&gt;"",F87&lt;&gt;""),F87-E87,0)</f>
        <v>1.50812</v>
      </c>
      <c r="G93" s="25" t="n">
        <f aca="false">IF(AND(F87&lt;&gt;"",G87&lt;&gt;""),G87-F87,0)</f>
        <v>0.676</v>
      </c>
      <c r="H93" s="25" t="n">
        <f aca="false">IF(AND(G87&lt;&gt;"",H87&lt;&gt;""),H87-G87,0)</f>
        <v>0.615</v>
      </c>
      <c r="I93" s="25" t="n">
        <f aca="false">IF(AND(H87&lt;&gt;"",I87&lt;&gt;""),I87-H87,0)</f>
        <v>2.99433333333333</v>
      </c>
      <c r="J93" s="25" t="n">
        <f aca="false">IF(AND(I87&lt;&gt;"",J87&lt;&gt;""),J87-I87,0)</f>
        <v>0.968</v>
      </c>
      <c r="K93" s="25" t="n">
        <f aca="false">IF(AND(J87&lt;&gt;"",K87&lt;&gt;""),K87-J87,0)</f>
        <v>0</v>
      </c>
      <c r="L93" s="25" t="n">
        <f aca="false">IF(AND(K87&lt;&gt;"",L87&lt;&gt;""),L87-K87,0)</f>
        <v>0</v>
      </c>
      <c r="M93" s="25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1387</v>
      </c>
      <c r="B94" s="0" t="s">
        <v>1446</v>
      </c>
      <c r="C94" s="0" t="s">
        <v>82</v>
      </c>
      <c r="D94" s="25" t="n">
        <f aca="false">IF(D87&lt;&gt;"",D87,0)</f>
        <v>0</v>
      </c>
      <c r="E94" s="25" t="n">
        <f aca="false">IF(AND(D87="",E87&lt;&gt;""),E87,0)</f>
        <v>0.968475</v>
      </c>
      <c r="F94" s="25" t="n">
        <f aca="false">IF(AND(E87="",F87&lt;&gt;""),F87,0)</f>
        <v>0</v>
      </c>
      <c r="G94" s="25" t="n">
        <f aca="false">IF(AND(F87="",G87&lt;&gt;""),G87,0)</f>
        <v>0</v>
      </c>
      <c r="H94" s="25" t="n">
        <f aca="false">IF(AND(G87="",H87&lt;&gt;""),H87,0)</f>
        <v>0</v>
      </c>
      <c r="I94" s="25" t="n">
        <f aca="false">IF(AND(H87="",I87&lt;&gt;""),I87,0)</f>
        <v>0</v>
      </c>
      <c r="J94" s="25" t="n">
        <f aca="false">IF(AND(I87="",J87&lt;&gt;""),J87,0)</f>
        <v>0</v>
      </c>
      <c r="K94" s="25" t="n">
        <f aca="false">IF(AND(J87="",K87&lt;&gt;""),K87,0)</f>
        <v>0</v>
      </c>
      <c r="L94" s="25" t="n">
        <f aca="false">IF(AND(K87="",L87&lt;&gt;""),L87,0)</f>
        <v>0</v>
      </c>
      <c r="M94" s="25" t="n">
        <f aca="false">IF(AND(L87="",M87&lt;&gt;""),M87,0)</f>
        <v>0</v>
      </c>
    </row>
    <row r="95" customFormat="false" ht="17.15" hidden="false" customHeight="false" outlineLevel="0" collapsed="false">
      <c r="A95" s="5" t="s">
        <v>1389</v>
      </c>
      <c r="B95" s="0" t="s">
        <v>1447</v>
      </c>
      <c r="C95" s="0" t="s">
        <v>57</v>
      </c>
      <c r="D95" s="24" t="n">
        <f aca="false">D$12</f>
        <v>0.238210067173108</v>
      </c>
      <c r="E95" s="24" t="n">
        <f aca="false">E$12</f>
        <v>0.238210067173108</v>
      </c>
      <c r="F95" s="24" t="n">
        <f aca="false">F$12</f>
        <v>0.238210067173108</v>
      </c>
      <c r="G95" s="24" t="n">
        <f aca="false">G$12</f>
        <v>0.238210067173108</v>
      </c>
      <c r="H95" s="24" t="n">
        <f aca="false">H$12</f>
        <v>0.273101862203342</v>
      </c>
      <c r="I95" s="24" t="n">
        <f aca="false">I$12</f>
        <v>0.269621396123668</v>
      </c>
      <c r="J95" s="24" t="n">
        <f aca="false">J$12</f>
        <v>0.272187509408712</v>
      </c>
      <c r="K95" s="24" t="n">
        <f aca="false">K$12</f>
        <v>0.272187509408712</v>
      </c>
      <c r="L95" s="24" t="n">
        <f aca="false">L$12</f>
        <v>0.272187509408712</v>
      </c>
      <c r="M95" s="24" t="n">
        <f aca="false">M$12</f>
        <v>0.272187509408712</v>
      </c>
    </row>
    <row r="97" customFormat="false" ht="17.15" hidden="false" customHeight="false" outlineLevel="0" collapsed="false">
      <c r="A97" s="8" t="s">
        <v>1448</v>
      </c>
      <c r="B97" s="21" t="s">
        <v>752</v>
      </c>
      <c r="N97" s="21" t="s">
        <v>1449</v>
      </c>
    </row>
    <row r="98" customFormat="false" ht="17.15" hidden="false" customHeight="false" outlineLevel="0" collapsed="false">
      <c r="A98" s="5" t="s">
        <v>1357</v>
      </c>
      <c r="B98" s="0" t="s">
        <v>1450</v>
      </c>
      <c r="C98" s="0" t="s">
        <v>82</v>
      </c>
      <c r="D98" s="25" t="str">
        <f aca="false">IF(In!$H$112="","",IF(In!$C$112="設施",In!$H$112/1000/D$13,In!$H$112/1000))</f>
        <v/>
      </c>
      <c r="E98" s="25" t="str">
        <f aca="false">IF(In!$I$112="","",IF(In!$C$112="設施",In!$I$112/1000/E$13,In!$I$112/1000))</f>
        <v/>
      </c>
      <c r="F98" s="25" t="str">
        <f aca="false">IF(In!$J$112="","",IF(In!$C$112="設施",In!$J$112/1000/F$13,In!$J$112/1000))</f>
        <v/>
      </c>
      <c r="G98" s="25" t="str">
        <f aca="false">IF(In!$K$112="","",IF(In!$C$112="設施",In!$K$112/1000/G$13,In!$K$112/1000))</f>
        <v/>
      </c>
      <c r="H98" s="25" t="str">
        <f aca="false">IF(In!$L$112="","",IF(In!$C$112="設施",In!$L$112/1000/H$13,In!$L$112/1000))</f>
        <v/>
      </c>
      <c r="I98" s="25" t="str">
        <f aca="false">IF(In!$M$112="","",IF(In!$C$112="設施",In!$M$112/1000/I$13,In!$M$112/1000))</f>
        <v/>
      </c>
      <c r="J98" s="25" t="str">
        <f aca="false">IF(In!$N$112="","",IF(In!$C$112="設施",In!$N$112/1000/J$13,In!$N$112/1000))</f>
        <v/>
      </c>
      <c r="K98" s="25" t="str">
        <f aca="false">IF(In!$O$112="","",IF(In!$C$112="設施",In!$O$112/1000/K$13,In!$O$112/1000))</f>
        <v/>
      </c>
      <c r="L98" s="25" t="str">
        <f aca="false">IF(In!$P$112="","",IF(In!$C$112="設施",In!$P$112/1000/L$13,In!$P$112/1000))</f>
        <v/>
      </c>
      <c r="M98" s="25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1359</v>
      </c>
      <c r="B99" s="0" t="s">
        <v>1451</v>
      </c>
      <c r="C99" s="0" t="s">
        <v>82</v>
      </c>
      <c r="D99" s="25" t="str">
        <f aca="false">IF(In!$H$105="","",In!$H$105*Players!$D$18/1000)</f>
        <v/>
      </c>
      <c r="E99" s="25" t="n">
        <f aca="false">IF(In!$I$105="","",In!$I$105*Players!$D$18/1000)</f>
        <v>0.386465</v>
      </c>
      <c r="F99" s="25" t="n">
        <f aca="false">IF(In!$J$105="","",In!$J$105*Players!$D$18/1000)</f>
        <v>1.20287</v>
      </c>
      <c r="G99" s="25" t="str">
        <f aca="false">IF(In!$K$105="","",In!$K$105*Players!$D$18/1000)</f>
        <v/>
      </c>
      <c r="H99" s="25" t="str">
        <f aca="false">IF(In!$L$105="","",In!$L$105*Players!$D$18/1000)</f>
        <v/>
      </c>
      <c r="I99" s="25" t="str">
        <f aca="false">IF(In!$M$105="","",In!$M$105*Players!$D$18/1000)</f>
        <v/>
      </c>
      <c r="J99" s="25" t="str">
        <f aca="false">IF(In!$N$105="","",In!$N$105*Players!$D$18/1000)</f>
        <v/>
      </c>
      <c r="K99" s="25" t="str">
        <f aca="false">IF(In!$O$105="","",In!$O$105*Players!$D$18/1000)</f>
        <v/>
      </c>
      <c r="L99" s="25" t="str">
        <f aca="false">IF(In!$P$105="","",In!$P$105*Players!$D$18/1000)</f>
        <v/>
      </c>
      <c r="M99" s="25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1361</v>
      </c>
      <c r="B100" s="0" t="s">
        <v>1452</v>
      </c>
      <c r="C100" s="0" t="s">
        <v>82</v>
      </c>
      <c r="D100" s="25" t="str">
        <f aca="false">IF(D98&lt;&gt;"",D98,IF(D99&lt;&gt;"",D99,IF(INT(obsd_orcl)=2023,obs_orcl/1000+SUMIFS(Pipeline!$L$5:$L$134,Pipeline!$C$5:$C$134,"orcl",Pipeline!$Q$5:$Q$134,1,Pipeline!$K$5:$K$134,"&gt;"&amp;obsd_orcl,Pipeline!$K$5:$K$134,"&lt;="&amp;2024),"")))</f>
        <v/>
      </c>
      <c r="E100" s="25" t="n">
        <f aca="false">IF(E98&lt;&gt;"",E98,IF(E99&lt;&gt;"",E99,IF(INT(obsd_orcl)=2024,obs_orcl/1000+SUMIFS(Pipeline!$L$5:$L$134,Pipeline!$C$5:$C$134,"orcl",Pipeline!$Q$5:$Q$134,1,Pipeline!$K$5:$K$134,"&gt;"&amp;obsd_orcl,Pipeline!$K$5:$K$134,"&lt;="&amp;2025),"")))</f>
        <v>0.386465</v>
      </c>
      <c r="F100" s="25" t="n">
        <f aca="false">IF(F98&lt;&gt;"",F98,IF(F99&lt;&gt;"",F99,IF(INT(obsd_orcl)=2025,obs_orcl/1000+SUMIFS(Pipeline!$L$5:$L$134,Pipeline!$C$5:$C$134,"orcl",Pipeline!$Q$5:$Q$134,1,Pipeline!$K$5:$K$134,"&gt;"&amp;obsd_orcl,Pipeline!$K$5:$K$134,"&lt;="&amp;2026),"")))</f>
        <v>1.20287</v>
      </c>
      <c r="G100" s="25" t="n">
        <f aca="false">IF(G98&lt;&gt;"",G98,IF(G99&lt;&gt;"",G99,IF(INT(obsd_orcl)=2026,obs_orcl/1000+SUMIFS(Pipeline!$L$5:$L$134,Pipeline!$C$5:$C$134,"orcl",Pipeline!$Q$5:$Q$134,1,Pipeline!$K$5:$K$134,"&gt;"&amp;obsd_orcl,Pipeline!$K$5:$K$134,"&lt;="&amp;2027),"")))</f>
        <v>2.749</v>
      </c>
      <c r="H100" s="25" t="str">
        <f aca="false">IF(H98&lt;&gt;"",H98,IF(H99&lt;&gt;"",H99,IF(INT(obsd_orcl)=2027,obs_orcl/1000+SUMIFS(Pipeline!$L$5:$L$134,Pipeline!$C$5:$C$134,"orcl",Pipeline!$Q$5:$Q$134,1,Pipeline!$K$5:$K$134,"&gt;"&amp;obsd_orcl,Pipeline!$K$5:$K$134,"&lt;="&amp;2028),"")))</f>
        <v/>
      </c>
      <c r="I100" s="25" t="str">
        <f aca="false">IF(I98&lt;&gt;"",I98,IF(I99&lt;&gt;"",I99,IF(INT(obsd_orcl)=2028,obs_orcl/1000+SUMIFS(Pipeline!$L$5:$L$134,Pipeline!$C$5:$C$134,"orcl",Pipeline!$Q$5:$Q$134,1,Pipeline!$K$5:$K$134,"&gt;"&amp;obsd_orcl,Pipeline!$K$5:$K$134,"&lt;="&amp;2029),"")))</f>
        <v/>
      </c>
      <c r="J100" s="25" t="str">
        <f aca="false">IF(J98&lt;&gt;"",J98,IF(J99&lt;&gt;"",J99,IF(INT(obsd_orcl)=2029,obs_orcl/1000+SUMIFS(Pipeline!$L$5:$L$134,Pipeline!$C$5:$C$134,"orcl",Pipeline!$Q$5:$Q$134,1,Pipeline!$K$5:$K$134,"&gt;"&amp;obsd_orcl,Pipeline!$K$5:$K$134,"&lt;="&amp;2030),"")))</f>
        <v/>
      </c>
      <c r="K100" s="25" t="str">
        <f aca="false">IF(K98&lt;&gt;"",K98,IF(K99&lt;&gt;"",K99,IF(INT(obsd_orcl)=2030,obs_orcl/1000+SUMIFS(Pipeline!$L$5:$L$134,Pipeline!$C$5:$C$134,"orcl",Pipeline!$Q$5:$Q$134,1,Pipeline!$K$5:$K$134,"&gt;"&amp;obsd_orcl,Pipeline!$K$5:$K$134,"&lt;="&amp;2031),"")))</f>
        <v/>
      </c>
      <c r="L100" s="25" t="str">
        <f aca="false">IF(L98&lt;&gt;"",L98,IF(L99&lt;&gt;"",L99,IF(INT(obsd_orcl)=2031,obs_orcl/1000+SUMIFS(Pipeline!$L$5:$L$134,Pipeline!$C$5:$C$134,"orcl",Pipeline!$Q$5:$Q$134,1,Pipeline!$K$5:$K$134,"&gt;"&amp;obsd_orcl,Pipeline!$K$5:$K$134,"&lt;="&amp;2032),"")))</f>
        <v/>
      </c>
      <c r="M100" s="25" t="str">
        <f aca="false">IF(M98&lt;&gt;"",M98,IF(M99&lt;&gt;"",M99,IF(INT(obsd_orcl)=2032,obs_orcl/1000+SUMIFS(Pipeline!$L$5:$L$134,Pipeline!$C$5:$C$134,"orcl",Pipeline!$Q$5:$Q$134,1,Pipeline!$K$5:$K$134,"&gt;"&amp;obsd_orcl,Pipeline!$K$5:$K$134,"&lt;="&amp;2033),"")))</f>
        <v/>
      </c>
    </row>
    <row r="101" customFormat="false" ht="15" hidden="false" customHeight="false" outlineLevel="0" collapsed="false">
      <c r="A101" s="5" t="s">
        <v>1363</v>
      </c>
      <c r="B101" s="0" t="s">
        <v>1453</v>
      </c>
      <c r="C101" s="0" t="s">
        <v>82</v>
      </c>
      <c r="D101" s="0" t="str">
        <f aca="false">IF(D100&lt;&gt;"",D100,"")</f>
        <v/>
      </c>
      <c r="E101" s="25" t="n">
        <f aca="false">IF(E100&lt;&gt;"",E100,D101)</f>
        <v>0.386465</v>
      </c>
      <c r="F101" s="25" t="n">
        <f aca="false">IF(F100&lt;&gt;"",F100,E101)</f>
        <v>1.20287</v>
      </c>
      <c r="G101" s="25" t="n">
        <f aca="false">IF(G100&lt;&gt;"",G100,F101)</f>
        <v>2.749</v>
      </c>
      <c r="H101" s="25" t="n">
        <f aca="false">IF(H100&lt;&gt;"",H100,G101)</f>
        <v>2.749</v>
      </c>
      <c r="I101" s="25" t="n">
        <f aca="false">IF(I100&lt;&gt;"",I100,H101)</f>
        <v>2.749</v>
      </c>
      <c r="J101" s="25" t="n">
        <f aca="false">IF(J100&lt;&gt;"",J100,I101)</f>
        <v>2.749</v>
      </c>
      <c r="K101" s="25" t="n">
        <f aca="false">IF(K100&lt;&gt;"",K100,J101)</f>
        <v>2.749</v>
      </c>
      <c r="L101" s="25" t="n">
        <f aca="false">IF(L100&lt;&gt;"",L100,K101)</f>
        <v>2.749</v>
      </c>
      <c r="M101" s="25" t="n">
        <f aca="false">IF(M100&lt;&gt;"",M100,L101)</f>
        <v>2.749</v>
      </c>
    </row>
    <row r="102" customFormat="false" ht="15" hidden="false" customHeight="false" outlineLevel="0" collapsed="false">
      <c r="A102" s="5" t="s">
        <v>1365</v>
      </c>
      <c r="B102" s="0" t="s">
        <v>1454</v>
      </c>
      <c r="C102" s="5" t="s">
        <v>52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1367</v>
      </c>
      <c r="B103" s="0" t="s">
        <v>1455</v>
      </c>
      <c r="C103" s="0" t="s">
        <v>82</v>
      </c>
      <c r="D103" s="25" t="n">
        <f aca="false">IF(D100&lt;&gt;"",D100,E103)</f>
        <v>0.386465</v>
      </c>
      <c r="E103" s="25" t="n">
        <f aca="false">IF(E100&lt;&gt;"",E100,F103)</f>
        <v>0.386465</v>
      </c>
      <c r="F103" s="25" t="n">
        <f aca="false">IF(F100&lt;&gt;"",F100,G103)</f>
        <v>1.20287</v>
      </c>
      <c r="G103" s="25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1369</v>
      </c>
      <c r="B104" s="0" t="s">
        <v>1456</v>
      </c>
      <c r="C104" s="5" t="s">
        <v>52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1371</v>
      </c>
      <c r="B105" s="0" t="s">
        <v>1457</v>
      </c>
      <c r="C105" s="0" t="s">
        <v>82</v>
      </c>
      <c r="D105" s="25" t="n">
        <f aca="false">SUMIFS(Pipeline!$L$5:$L$134,Pipeline!$C$5:$C$134,"orcl",Pipeline!$Q$5:$Q$134,1,Pipeline!$P$5:$P$134,2023)</f>
        <v>0</v>
      </c>
      <c r="E105" s="25" t="n">
        <f aca="false">SUMIFS(Pipeline!$L$5:$L$134,Pipeline!$C$5:$C$134,"orcl",Pipeline!$Q$5:$Q$134,1,Pipeline!$P$5:$P$134,2024)</f>
        <v>0</v>
      </c>
      <c r="F105" s="25" t="n">
        <f aca="false">SUMIFS(Pipeline!$L$5:$L$134,Pipeline!$C$5:$C$134,"orcl",Pipeline!$Q$5:$Q$134,1,Pipeline!$P$5:$P$134,2025)</f>
        <v>0</v>
      </c>
      <c r="G105" s="25" t="n">
        <f aca="false">SUMIFS(Pipeline!$L$5:$L$134,Pipeline!$C$5:$C$134,"orcl",Pipeline!$Q$5:$Q$134,1,Pipeline!$P$5:$P$134,2026)</f>
        <v>0.206</v>
      </c>
      <c r="H105" s="25" t="n">
        <f aca="false">SUMIFS(Pipeline!$L$5:$L$134,Pipeline!$C$5:$C$134,"orcl",Pipeline!$Q$5:$Q$134,1,Pipeline!$P$5:$P$134,2027)</f>
        <v>0.944166666666667</v>
      </c>
      <c r="I105" s="25" t="n">
        <f aca="false">SUMIFS(Pipeline!$L$5:$L$134,Pipeline!$C$5:$C$134,"orcl",Pipeline!$Q$5:$Q$134,1,Pipeline!$P$5:$P$134,2028)</f>
        <v>4.91166666666667</v>
      </c>
      <c r="J105" s="25" t="n">
        <f aca="false">SUMIFS(Pipeline!$L$5:$L$134,Pipeline!$C$5:$C$134,"orcl",Pipeline!$Q$5:$Q$134,1,Pipeline!$P$5:$P$134,2029)</f>
        <v>0</v>
      </c>
      <c r="K105" s="25" t="n">
        <f aca="false">SUMIFS(Pipeline!$L$5:$L$134,Pipeline!$C$5:$C$134,"orcl",Pipeline!$Q$5:$Q$134,1,Pipeline!$P$5:$P$134,2030)</f>
        <v>0</v>
      </c>
      <c r="L105" s="25" t="n">
        <f aca="false">SUMIFS(Pipeline!$L$5:$L$134,Pipeline!$C$5:$C$134,"orcl",Pipeline!$Q$5:$Q$134,1,Pipeline!$P$5:$P$134,2031)</f>
        <v>0</v>
      </c>
      <c r="M105" s="25" t="n">
        <f aca="false">SUMIFS(Pipeline!$L$5:$L$134,Pipeline!$C$5:$C$134,"orcl",Pipeline!$Q$5:$Q$134,1,Pipeline!$P$5:$P$134,2032)</f>
        <v>0</v>
      </c>
    </row>
    <row r="106" customFormat="false" ht="17.15" hidden="false" customHeight="false" outlineLevel="0" collapsed="false">
      <c r="A106" s="5" t="s">
        <v>1373</v>
      </c>
      <c r="B106" s="0" t="s">
        <v>1458</v>
      </c>
      <c r="C106" s="0" t="s">
        <v>82</v>
      </c>
      <c r="D106" s="26" t="str">
        <f aca="false">IF(D100&lt;&gt;"",D100,IF(AND(D101&lt;&gt;"",D103&lt;&gt;""),D101+(D103-D101)*(2023-D102)/(D104-D102),""))</f>
        <v/>
      </c>
      <c r="E106" s="26" t="n">
        <f aca="false">IF(E100&lt;&gt;"",E100,IF(AND(E101&lt;&gt;"",E103&lt;&gt;""),E101+(E103-E101)*(2024-E102)/(E104-E102),IF(D106&lt;&gt;"",D106+E105,"")))</f>
        <v>0.386465</v>
      </c>
      <c r="F106" s="26" t="n">
        <f aca="false">IF(F100&lt;&gt;"",F100,IF(AND(F101&lt;&gt;"",F103&lt;&gt;""),F101+(F103-F101)*(2025-F102)/(F104-F102),IF(E106&lt;&gt;"",E106+F105,"")))</f>
        <v>1.20287</v>
      </c>
      <c r="G106" s="26" t="n">
        <f aca="false">IF(G100&lt;&gt;"",G100,IF(AND(G101&lt;&gt;"",G103&lt;&gt;""),G101+(G103-G101)*(2026-G102)/(G104-G102),IF(F106&lt;&gt;"",F106+G105,"")))</f>
        <v>2.749</v>
      </c>
      <c r="H106" s="26" t="n">
        <f aca="false">IF(H100&lt;&gt;"",H100,IF(AND(H101&lt;&gt;"",H103&lt;&gt;""),H101+(H103-H101)*(2027-H102)/(H104-H102),IF(G106&lt;&gt;"",G106+H105,"")))</f>
        <v>3.69316666666667</v>
      </c>
      <c r="I106" s="26" t="n">
        <f aca="false">IF(I100&lt;&gt;"",I100,IF(AND(I101&lt;&gt;"",I103&lt;&gt;""),I101+(I103-I101)*(2028-I102)/(I104-I102),IF(H106&lt;&gt;"",H106+I105,"")))</f>
        <v>8.60483333333333</v>
      </c>
      <c r="J106" s="26" t="n">
        <f aca="false">IF(J100&lt;&gt;"",J100,IF(AND(J101&lt;&gt;"",J103&lt;&gt;""),J101+(J103-J101)*(2029-J102)/(J104-J102),IF(I106&lt;&gt;"",I106+J105,"")))</f>
        <v>8.60483333333333</v>
      </c>
      <c r="K106" s="26" t="n">
        <f aca="false">IF(K100&lt;&gt;"",K100,IF(AND(K101&lt;&gt;"",K103&lt;&gt;""),K101+(K103-K101)*(2030-K102)/(K104-K102),IF(J106&lt;&gt;"",J106+K105,"")))</f>
        <v>8.60483333333333</v>
      </c>
      <c r="L106" s="26" t="n">
        <f aca="false">IF(L100&lt;&gt;"",L100,IF(AND(L101&lt;&gt;"",L103&lt;&gt;""),L101+(L103-L101)*(2031-L102)/(L104-L102),IF(K106&lt;&gt;"",K106+L105,"")))</f>
        <v>8.60483333333333</v>
      </c>
      <c r="M106" s="26" t="n">
        <f aca="false">IF(M100&lt;&gt;"",M100,IF(AND(M101&lt;&gt;"",M103&lt;&gt;""),M101+(M103-M101)*(2032-M102)/(M104-M102),IF(L106&lt;&gt;"",L106+M105,"")))</f>
        <v>8.60483333333333</v>
      </c>
    </row>
    <row r="107" customFormat="false" ht="15" hidden="false" customHeight="false" outlineLevel="0" collapsed="false">
      <c r="A107" s="5" t="s">
        <v>1375</v>
      </c>
      <c r="B107" s="0" t="s">
        <v>1459</v>
      </c>
      <c r="C107" s="0" t="s">
        <v>40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1377</v>
      </c>
      <c r="B108" s="0" t="s">
        <v>1460</v>
      </c>
      <c r="C108" s="0" t="s">
        <v>82</v>
      </c>
      <c r="D108" s="25" t="str">
        <f aca="false">IF(D106="","",IF(AND(D107=5,In!$H$105&lt;&gt;""),In!$H$105*Players!$E$18/1000,D106))</f>
        <v/>
      </c>
      <c r="E108" s="25" t="n">
        <f aca="false">IF(E106="","",IF(AND(E107=5,In!$I$105&lt;&gt;""),In!$I$105*Players!$E$18/1000,E106))</f>
        <v>0.344685</v>
      </c>
      <c r="F108" s="25" t="n">
        <f aca="false">IF(F106="","",IF(AND(F107=5,In!$J$105&lt;&gt;""),In!$J$105*Players!$E$18/1000,F106))</f>
        <v>1.07283</v>
      </c>
      <c r="G108" s="25" t="n">
        <f aca="false">IF(G106="","",IF(AND(G107=5,In!$K$105&lt;&gt;""),In!$K$105*Players!$E$18/1000,G106))</f>
        <v>2.749</v>
      </c>
      <c r="H108" s="25" t="n">
        <f aca="false">IF(H106="","",IF(AND(H107=5,In!$L$105&lt;&gt;""),In!$L$105*Players!$E$18/1000,H106))</f>
        <v>3.69316666666667</v>
      </c>
      <c r="I108" s="25" t="n">
        <f aca="false">IF(I106="","",IF(AND(I107=5,In!$M$105&lt;&gt;""),In!$M$105*Players!$E$18/1000,I106))</f>
        <v>8.60483333333333</v>
      </c>
      <c r="J108" s="25" t="n">
        <f aca="false">IF(J106="","",IF(AND(J107=5,In!$N$105&lt;&gt;""),In!$N$105*Players!$E$18/1000,J106))</f>
        <v>8.60483333333333</v>
      </c>
      <c r="K108" s="25" t="n">
        <f aca="false">IF(K106="","",IF(AND(K107=5,In!$O$105&lt;&gt;""),In!$O$105*Players!$E$18/1000,K106))</f>
        <v>8.60483333333333</v>
      </c>
      <c r="L108" s="25" t="n">
        <f aca="false">IF(L106="","",IF(AND(L107=5,In!$P$105&lt;&gt;""),In!$P$105*Players!$E$18/1000,L106))</f>
        <v>8.60483333333333</v>
      </c>
      <c r="M108" s="25" t="n">
        <f aca="false">IF(M106="","",IF(AND(M107=5,In!$Q$105&lt;&gt;""),In!$Q$105*Players!$E$18/1000,M106))</f>
        <v>8.60483333333333</v>
      </c>
    </row>
    <row r="109" customFormat="false" ht="17.15" hidden="false" customHeight="false" outlineLevel="0" collapsed="false">
      <c r="A109" s="5" t="s">
        <v>1379</v>
      </c>
      <c r="B109" s="0" t="s">
        <v>1461</v>
      </c>
      <c r="C109" s="0" t="s">
        <v>82</v>
      </c>
      <c r="D109" s="25" t="str">
        <f aca="false">IF(D106="","",IF(AND(D107=5,In!$H$105&lt;&gt;""),In!$H$105*Players!$F$18/1000,D106))</f>
        <v/>
      </c>
      <c r="E109" s="25" t="n">
        <f aca="false">IF(E106="","",IF(AND(E107=5,In!$I$105&lt;&gt;""),In!$I$105*Players!$F$18/1000,E106))</f>
        <v>0.434512</v>
      </c>
      <c r="F109" s="25" t="n">
        <f aca="false">IF(F106="","",IF(AND(F107=5,In!$J$105&lt;&gt;""),In!$J$105*Players!$F$18/1000,F106))</f>
        <v>1.352416</v>
      </c>
      <c r="G109" s="25" t="n">
        <f aca="false">IF(G106="","",IF(AND(G107=5,In!$K$105&lt;&gt;""),In!$K$105*Players!$F$18/1000,G106))</f>
        <v>2.749</v>
      </c>
      <c r="H109" s="25" t="n">
        <f aca="false">IF(H106="","",IF(AND(H107=5,In!$L$105&lt;&gt;""),In!$L$105*Players!$F$18/1000,H106))</f>
        <v>3.69316666666667</v>
      </c>
      <c r="I109" s="25" t="n">
        <f aca="false">IF(I106="","",IF(AND(I107=5,In!$M$105&lt;&gt;""),In!$M$105*Players!$F$18/1000,I106))</f>
        <v>8.60483333333333</v>
      </c>
      <c r="J109" s="25" t="n">
        <f aca="false">IF(J106="","",IF(AND(J107=5,In!$N$105&lt;&gt;""),In!$N$105*Players!$F$18/1000,J106))</f>
        <v>8.60483333333333</v>
      </c>
      <c r="K109" s="25" t="n">
        <f aca="false">IF(K106="","",IF(AND(K107=5,In!$O$105&lt;&gt;""),In!$O$105*Players!$F$18/1000,K106))</f>
        <v>8.60483333333333</v>
      </c>
      <c r="L109" s="25" t="n">
        <f aca="false">IF(L106="","",IF(AND(L107=5,In!$P$105&lt;&gt;""),In!$P$105*Players!$F$18/1000,L106))</f>
        <v>8.60483333333333</v>
      </c>
      <c r="M109" s="25" t="n">
        <f aca="false">IF(M106="","",IF(AND(M107=5,In!$Q$105&lt;&gt;""),In!$Q$105*Players!$F$18/1000,M106))</f>
        <v>8.60483333333333</v>
      </c>
    </row>
    <row r="110" customFormat="false" ht="17.15" hidden="false" customHeight="false" outlineLevel="0" collapsed="false">
      <c r="A110" s="5" t="s">
        <v>1381</v>
      </c>
      <c r="B110" s="0" t="s">
        <v>1462</v>
      </c>
      <c r="C110" s="0" t="s">
        <v>82</v>
      </c>
      <c r="D110" s="25" t="str">
        <f aca="false">IF(D106="","",IF(In!$C$112="未說明",D106/D$13,D106))</f>
        <v/>
      </c>
      <c r="E110" s="25" t="n">
        <f aca="false">IF(E106="","",IF(In!$C$112="未說明",E106/E$13,E106))</f>
        <v>0.386465</v>
      </c>
      <c r="F110" s="25" t="n">
        <f aca="false">IF(F106="","",IF(In!$C$112="未說明",F106/F$13,F106))</f>
        <v>1.20287</v>
      </c>
      <c r="G110" s="25" t="n">
        <f aca="false">IF(G106="","",IF(In!$C$112="未說明",G106/G$13,G106))</f>
        <v>2.749</v>
      </c>
      <c r="H110" s="25" t="n">
        <f aca="false">IF(H106="","",IF(In!$C$112="未說明",H106/H$13,H106))</f>
        <v>3.69316666666667</v>
      </c>
      <c r="I110" s="25" t="n">
        <f aca="false">IF(I106="","",IF(In!$C$112="未說明",I106/I$13,I106))</f>
        <v>8.60483333333333</v>
      </c>
      <c r="J110" s="25" t="n">
        <f aca="false">IF(J106="","",IF(In!$C$112="未說明",J106/J$13,J106))</f>
        <v>8.60483333333333</v>
      </c>
      <c r="K110" s="25" t="n">
        <f aca="false">IF(K106="","",IF(In!$C$112="未說明",K106/K$13,K106))</f>
        <v>8.60483333333333</v>
      </c>
      <c r="L110" s="25" t="n">
        <f aca="false">IF(L106="","",IF(In!$C$112="未說明",L106/L$13,L106))</f>
        <v>8.60483333333333</v>
      </c>
      <c r="M110" s="25" t="n">
        <f aca="false">IF(M106="","",IF(In!$C$112="未說明",M106/M$13,M106))</f>
        <v>8.60483333333333</v>
      </c>
    </row>
    <row r="111" customFormat="false" ht="17.15" hidden="false" customHeight="false" outlineLevel="0" collapsed="false">
      <c r="A111" s="5" t="s">
        <v>1383</v>
      </c>
      <c r="B111" s="0" t="s">
        <v>1463</v>
      </c>
      <c r="C111" s="0" t="s">
        <v>82</v>
      </c>
      <c r="D111" s="0" t="str">
        <f aca="false">""</f>
        <v/>
      </c>
      <c r="E111" s="25" t="str">
        <f aca="false">IF(AND(D106&lt;&gt;"",E106&lt;&gt;""),(D106+E106)/2,"")</f>
        <v/>
      </c>
      <c r="F111" s="25" t="n">
        <f aca="false">IF(AND(E106&lt;&gt;"",F106&lt;&gt;""),(E106+F106)/2,"")</f>
        <v>0.7946675</v>
      </c>
      <c r="G111" s="25" t="n">
        <f aca="false">IF(AND(F106&lt;&gt;"",G106&lt;&gt;""),(F106+G106)/2,"")</f>
        <v>1.975935</v>
      </c>
      <c r="H111" s="25" t="n">
        <f aca="false">IF(AND(G106&lt;&gt;"",H106&lt;&gt;""),(G106+H106)/2,"")</f>
        <v>3.22108333333333</v>
      </c>
      <c r="I111" s="25" t="n">
        <f aca="false">IF(AND(H106&lt;&gt;"",I106&lt;&gt;""),(H106+I106)/2,"")</f>
        <v>6.149</v>
      </c>
      <c r="J111" s="25" t="n">
        <f aca="false">IF(AND(I106&lt;&gt;"",J106&lt;&gt;""),(I106+J106)/2,"")</f>
        <v>8.60483333333333</v>
      </c>
      <c r="K111" s="25" t="n">
        <f aca="false">IF(AND(J106&lt;&gt;"",K106&lt;&gt;""),(J106+K106)/2,"")</f>
        <v>8.60483333333333</v>
      </c>
      <c r="L111" s="25" t="n">
        <f aca="false">IF(AND(K106&lt;&gt;"",L106&lt;&gt;""),(K106+L106)/2,"")</f>
        <v>8.60483333333333</v>
      </c>
      <c r="M111" s="25" t="n">
        <f aca="false">IF(AND(L106&lt;&gt;"",M106&lt;&gt;""),(L106+M106)/2,"")</f>
        <v>8.60483333333333</v>
      </c>
    </row>
    <row r="112" customFormat="false" ht="17.15" hidden="false" customHeight="false" outlineLevel="0" collapsed="false">
      <c r="A112" s="5" t="s">
        <v>1385</v>
      </c>
      <c r="B112" s="0" t="s">
        <v>1464</v>
      </c>
      <c r="C112" s="0" t="s">
        <v>82</v>
      </c>
      <c r="D112" s="0" t="n">
        <v>0</v>
      </c>
      <c r="E112" s="25" t="n">
        <f aca="false">IF(AND(D106&lt;&gt;"",E106&lt;&gt;""),E106-D106,0)</f>
        <v>0</v>
      </c>
      <c r="F112" s="25" t="n">
        <f aca="false">IF(AND(E106&lt;&gt;"",F106&lt;&gt;""),F106-E106,0)</f>
        <v>0.816405</v>
      </c>
      <c r="G112" s="25" t="n">
        <f aca="false">IF(AND(F106&lt;&gt;"",G106&lt;&gt;""),G106-F106,0)</f>
        <v>1.54613</v>
      </c>
      <c r="H112" s="25" t="n">
        <f aca="false">IF(AND(G106&lt;&gt;"",H106&lt;&gt;""),H106-G106,0)</f>
        <v>0.944166666666667</v>
      </c>
      <c r="I112" s="25" t="n">
        <f aca="false">IF(AND(H106&lt;&gt;"",I106&lt;&gt;""),I106-H106,0)</f>
        <v>4.91166666666667</v>
      </c>
      <c r="J112" s="25" t="n">
        <f aca="false">IF(AND(I106&lt;&gt;"",J106&lt;&gt;""),J106-I106,0)</f>
        <v>0</v>
      </c>
      <c r="K112" s="25" t="n">
        <f aca="false">IF(AND(J106&lt;&gt;"",K106&lt;&gt;""),K106-J106,0)</f>
        <v>0</v>
      </c>
      <c r="L112" s="25" t="n">
        <f aca="false">IF(AND(K106&lt;&gt;"",L106&lt;&gt;""),L106-K106,0)</f>
        <v>0</v>
      </c>
      <c r="M112" s="25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1387</v>
      </c>
      <c r="B113" s="0" t="s">
        <v>1465</v>
      </c>
      <c r="C113" s="0" t="s">
        <v>82</v>
      </c>
      <c r="D113" s="25" t="n">
        <f aca="false">IF(D106&lt;&gt;"",D106,0)</f>
        <v>0</v>
      </c>
      <c r="E113" s="25" t="n">
        <f aca="false">IF(AND(D106="",E106&lt;&gt;""),E106,0)</f>
        <v>0.386465</v>
      </c>
      <c r="F113" s="25" t="n">
        <f aca="false">IF(AND(E106="",F106&lt;&gt;""),F106,0)</f>
        <v>0</v>
      </c>
      <c r="G113" s="25" t="n">
        <f aca="false">IF(AND(F106="",G106&lt;&gt;""),G106,0)</f>
        <v>0</v>
      </c>
      <c r="H113" s="25" t="n">
        <f aca="false">IF(AND(G106="",H106&lt;&gt;""),H106,0)</f>
        <v>0</v>
      </c>
      <c r="I113" s="25" t="n">
        <f aca="false">IF(AND(H106="",I106&lt;&gt;""),I106,0)</f>
        <v>0</v>
      </c>
      <c r="J113" s="25" t="n">
        <f aca="false">IF(AND(I106="",J106&lt;&gt;""),J106,0)</f>
        <v>0</v>
      </c>
      <c r="K113" s="25" t="n">
        <f aca="false">IF(AND(J106="",K106&lt;&gt;""),K106,0)</f>
        <v>0</v>
      </c>
      <c r="L113" s="25" t="n">
        <f aca="false">IF(AND(K106="",L106&lt;&gt;""),L106,0)</f>
        <v>0</v>
      </c>
      <c r="M113" s="25" t="n">
        <f aca="false">IF(AND(L106="",M106&lt;&gt;""),M106,0)</f>
        <v>0</v>
      </c>
    </row>
    <row r="114" customFormat="false" ht="17.15" hidden="false" customHeight="false" outlineLevel="0" collapsed="false">
      <c r="A114" s="5" t="s">
        <v>1389</v>
      </c>
      <c r="B114" s="0" t="s">
        <v>1466</v>
      </c>
      <c r="C114" s="0" t="s">
        <v>57</v>
      </c>
      <c r="D114" s="24" t="n">
        <f aca="false">D$12</f>
        <v>0.238210067173108</v>
      </c>
      <c r="E114" s="24" t="n">
        <f aca="false">E$12</f>
        <v>0.238210067173108</v>
      </c>
      <c r="F114" s="24" t="n">
        <f aca="false">F$12</f>
        <v>0.238210067173108</v>
      </c>
      <c r="G114" s="24" t="n">
        <f aca="false">G$12</f>
        <v>0.238210067173108</v>
      </c>
      <c r="H114" s="24" t="n">
        <f aca="false">H$12</f>
        <v>0.273101862203342</v>
      </c>
      <c r="I114" s="24" t="n">
        <f aca="false">I$12</f>
        <v>0.269621396123668</v>
      </c>
      <c r="J114" s="24" t="n">
        <f aca="false">J$12</f>
        <v>0.272187509408712</v>
      </c>
      <c r="K114" s="24" t="n">
        <f aca="false">K$12</f>
        <v>0.272187509408712</v>
      </c>
      <c r="L114" s="24" t="n">
        <f aca="false">L$12</f>
        <v>0.272187509408712</v>
      </c>
      <c r="M114" s="24" t="n">
        <f aca="false">M$12</f>
        <v>0.272187509408712</v>
      </c>
    </row>
    <row r="116" customFormat="false" ht="17.15" hidden="false" customHeight="false" outlineLevel="0" collapsed="false">
      <c r="A116" s="8" t="s">
        <v>1467</v>
      </c>
      <c r="B116" s="21" t="s">
        <v>842</v>
      </c>
      <c r="N116" s="21" t="s">
        <v>1468</v>
      </c>
    </row>
    <row r="117" customFormat="false" ht="17.15" hidden="false" customHeight="false" outlineLevel="0" collapsed="false">
      <c r="A117" s="5" t="s">
        <v>1357</v>
      </c>
      <c r="B117" s="0" t="s">
        <v>1469</v>
      </c>
      <c r="C117" s="0" t="s">
        <v>82</v>
      </c>
      <c r="D117" s="25" t="n">
        <f aca="false">IF(In!$H$113="","",IF(In!$C$113="設施",In!$H$113/1000/D$13,In!$H$113/1000))</f>
        <v>0.07</v>
      </c>
      <c r="E117" s="25" t="n">
        <f aca="false">IF(In!$I$113="","",IF(In!$C$113="設施",In!$I$113/1000/E$13,In!$I$113/1000))</f>
        <v>0.36</v>
      </c>
      <c r="F117" s="25" t="n">
        <f aca="false">IF(In!$J$113="","",IF(In!$C$113="設施",In!$J$113/1000/F$13,In!$J$113/1000))</f>
        <v>0.85</v>
      </c>
      <c r="G117" s="25" t="n">
        <f aca="false">IF(In!$K$113="","",IF(In!$C$113="設施",In!$K$113/1000/G$13,In!$K$113/1000))</f>
        <v>1.85</v>
      </c>
      <c r="H117" s="25" t="str">
        <f aca="false">IF(In!$L$113="","",IF(In!$C$113="設施",In!$L$113/1000/H$13,In!$L$113/1000))</f>
        <v/>
      </c>
      <c r="I117" s="25" t="str">
        <f aca="false">IF(In!$M$113="","",IF(In!$C$113="設施",In!$M$113/1000/I$13,In!$M$113/1000))</f>
        <v/>
      </c>
      <c r="J117" s="25" t="str">
        <f aca="false">IF(In!$N$113="","",IF(In!$C$113="設施",In!$N$113/1000/J$13,In!$N$113/1000))</f>
        <v/>
      </c>
      <c r="K117" s="25" t="n">
        <f aca="false">IF(In!$O$113="","",IF(In!$C$113="設施",In!$O$113/1000/K$13,In!$O$113/1000))</f>
        <v>8</v>
      </c>
      <c r="L117" s="25" t="str">
        <f aca="false">IF(In!$P$113="","",IF(In!$C$113="設施",In!$P$113/1000/L$13,In!$P$113/1000))</f>
        <v/>
      </c>
      <c r="M117" s="25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1359</v>
      </c>
      <c r="B118" s="0" t="s">
        <v>1470</v>
      </c>
      <c r="C118" s="0" t="s">
        <v>82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1361</v>
      </c>
      <c r="B119" s="0" t="s">
        <v>1471</v>
      </c>
      <c r="C119" s="0" t="s">
        <v>82</v>
      </c>
      <c r="D119" s="25" t="n">
        <f aca="false">IF(D117&lt;&gt;"",D117,IF(D118&lt;&gt;"",D118,IF(INT(obsd_crwv)=2023,obs_crwv/1000+SUMIFS(Pipeline!$L$5:$L$134,Pipeline!$C$5:$C$134,"crwv",Pipeline!$Q$5:$Q$134,1,Pipeline!$K$5:$K$134,"&gt;"&amp;obsd_crwv,Pipeline!$K$5:$K$134,"&lt;="&amp;2024),"")))</f>
        <v>0.07</v>
      </c>
      <c r="E119" s="25" t="n">
        <f aca="false">IF(E117&lt;&gt;"",E117,IF(E118&lt;&gt;"",E118,IF(INT(obsd_crwv)=2024,obs_crwv/1000+SUMIFS(Pipeline!$L$5:$L$134,Pipeline!$C$5:$C$134,"crwv",Pipeline!$Q$5:$Q$134,1,Pipeline!$K$5:$K$134,"&gt;"&amp;obsd_crwv,Pipeline!$K$5:$K$134,"&lt;="&amp;2025),"")))</f>
        <v>0.36</v>
      </c>
      <c r="F119" s="25" t="n">
        <f aca="false">IF(F117&lt;&gt;"",F117,IF(F118&lt;&gt;"",F118,IF(INT(obsd_crwv)=2025,obs_crwv/1000+SUMIFS(Pipeline!$L$5:$L$134,Pipeline!$C$5:$C$134,"crwv",Pipeline!$Q$5:$Q$134,1,Pipeline!$K$5:$K$134,"&gt;"&amp;obsd_crwv,Pipeline!$K$5:$K$134,"&lt;="&amp;2026),"")))</f>
        <v>0.85</v>
      </c>
      <c r="G119" s="25" t="n">
        <f aca="false">IF(G117&lt;&gt;"",G117,IF(G118&lt;&gt;"",G118,IF(INT(obsd_crwv)=2026,obs_crwv/1000+SUMIFS(Pipeline!$L$5:$L$134,Pipeline!$C$5:$C$134,"crwv",Pipeline!$Q$5:$Q$134,1,Pipeline!$K$5:$K$134,"&gt;"&amp;obsd_crwv,Pipeline!$K$5:$K$134,"&lt;="&amp;2027),"")))</f>
        <v>1.85</v>
      </c>
      <c r="H119" s="25" t="str">
        <f aca="false">IF(H117&lt;&gt;"",H117,IF(H118&lt;&gt;"",H118,IF(INT(obsd_crwv)=2027,obs_crwv/1000+SUMIFS(Pipeline!$L$5:$L$134,Pipeline!$C$5:$C$134,"crwv",Pipeline!$Q$5:$Q$134,1,Pipeline!$K$5:$K$134,"&gt;"&amp;obsd_crwv,Pipeline!$K$5:$K$134,"&lt;="&amp;2028),"")))</f>
        <v/>
      </c>
      <c r="I119" s="25" t="str">
        <f aca="false">IF(I117&lt;&gt;"",I117,IF(I118&lt;&gt;"",I118,IF(INT(obsd_crwv)=2028,obs_crwv/1000+SUMIFS(Pipeline!$L$5:$L$134,Pipeline!$C$5:$C$134,"crwv",Pipeline!$Q$5:$Q$134,1,Pipeline!$K$5:$K$134,"&gt;"&amp;obsd_crwv,Pipeline!$K$5:$K$134,"&lt;="&amp;2029),"")))</f>
        <v/>
      </c>
      <c r="J119" s="25" t="str">
        <f aca="false">IF(J117&lt;&gt;"",J117,IF(J118&lt;&gt;"",J118,IF(INT(obsd_crwv)=2029,obs_crwv/1000+SUMIFS(Pipeline!$L$5:$L$134,Pipeline!$C$5:$C$134,"crwv",Pipeline!$Q$5:$Q$134,1,Pipeline!$K$5:$K$134,"&gt;"&amp;obsd_crwv,Pipeline!$K$5:$K$134,"&lt;="&amp;2030),"")))</f>
        <v/>
      </c>
      <c r="K119" s="25" t="n">
        <f aca="false">IF(K117&lt;&gt;"",K117,IF(K118&lt;&gt;"",K118,IF(INT(obsd_crwv)=2030,obs_crwv/1000+SUMIFS(Pipeline!$L$5:$L$134,Pipeline!$C$5:$C$134,"crwv",Pipeline!$Q$5:$Q$134,1,Pipeline!$K$5:$K$134,"&gt;"&amp;obsd_crwv,Pipeline!$K$5:$K$134,"&lt;="&amp;2031),"")))</f>
        <v>8</v>
      </c>
      <c r="L119" s="25" t="str">
        <f aca="false">IF(L117&lt;&gt;"",L117,IF(L118&lt;&gt;"",L118,IF(INT(obsd_crwv)=2031,obs_crwv/1000+SUMIFS(Pipeline!$L$5:$L$134,Pipeline!$C$5:$C$134,"crwv",Pipeline!$Q$5:$Q$134,1,Pipeline!$K$5:$K$134,"&gt;"&amp;obsd_crwv,Pipeline!$K$5:$K$134,"&lt;="&amp;2032),"")))</f>
        <v/>
      </c>
      <c r="M119" s="25" t="str">
        <f aca="false">IF(M117&lt;&gt;"",M117,IF(M118&lt;&gt;"",M118,IF(INT(obsd_crwv)=2032,obs_crwv/1000+SUMIFS(Pipeline!$L$5:$L$134,Pipeline!$C$5:$C$134,"crwv",Pipeline!$Q$5:$Q$134,1,Pipeline!$K$5:$K$134,"&gt;"&amp;obsd_crwv,Pipeline!$K$5:$K$134,"&lt;="&amp;2033),"")))</f>
        <v/>
      </c>
    </row>
    <row r="120" customFormat="false" ht="15" hidden="false" customHeight="false" outlineLevel="0" collapsed="false">
      <c r="A120" s="5" t="s">
        <v>1363</v>
      </c>
      <c r="B120" s="0" t="s">
        <v>1472</v>
      </c>
      <c r="C120" s="0" t="s">
        <v>82</v>
      </c>
      <c r="D120" s="25" t="n">
        <f aca="false">IF(D119&lt;&gt;"",D119,"")</f>
        <v>0.07</v>
      </c>
      <c r="E120" s="25" t="n">
        <f aca="false">IF(E119&lt;&gt;"",E119,D120)</f>
        <v>0.36</v>
      </c>
      <c r="F120" s="25" t="n">
        <f aca="false">IF(F119&lt;&gt;"",F119,E120)</f>
        <v>0.85</v>
      </c>
      <c r="G120" s="25" t="n">
        <f aca="false">IF(G119&lt;&gt;"",G119,F120)</f>
        <v>1.85</v>
      </c>
      <c r="H120" s="25" t="n">
        <f aca="false">IF(H119&lt;&gt;"",H119,G120)</f>
        <v>1.85</v>
      </c>
      <c r="I120" s="25" t="n">
        <f aca="false">IF(I119&lt;&gt;"",I119,H120)</f>
        <v>1.85</v>
      </c>
      <c r="J120" s="25" t="n">
        <f aca="false">IF(J119&lt;&gt;"",J119,I120)</f>
        <v>1.85</v>
      </c>
      <c r="K120" s="25" t="n">
        <f aca="false">IF(K119&lt;&gt;"",K119,J120)</f>
        <v>8</v>
      </c>
      <c r="L120" s="25" t="n">
        <f aca="false">IF(L119&lt;&gt;"",L119,K120)</f>
        <v>8</v>
      </c>
      <c r="M120" s="25" t="n">
        <f aca="false">IF(M119&lt;&gt;"",M119,L120)</f>
        <v>8</v>
      </c>
    </row>
    <row r="121" customFormat="false" ht="15" hidden="false" customHeight="false" outlineLevel="0" collapsed="false">
      <c r="A121" s="5" t="s">
        <v>1365</v>
      </c>
      <c r="B121" s="0" t="s">
        <v>1473</v>
      </c>
      <c r="C121" s="5" t="s">
        <v>52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1367</v>
      </c>
      <c r="B122" s="0" t="s">
        <v>1474</v>
      </c>
      <c r="C122" s="0" t="s">
        <v>82</v>
      </c>
      <c r="D122" s="25" t="n">
        <f aca="false">IF(D119&lt;&gt;"",D119,E122)</f>
        <v>0.07</v>
      </c>
      <c r="E122" s="25" t="n">
        <f aca="false">IF(E119&lt;&gt;"",E119,F122)</f>
        <v>0.36</v>
      </c>
      <c r="F122" s="25" t="n">
        <f aca="false">IF(F119&lt;&gt;"",F119,G122)</f>
        <v>0.85</v>
      </c>
      <c r="G122" s="25" t="n">
        <f aca="false">IF(G119&lt;&gt;"",G119,H122)</f>
        <v>1.85</v>
      </c>
      <c r="H122" s="25" t="n">
        <f aca="false">IF(H119&lt;&gt;"",H119,I122)</f>
        <v>8</v>
      </c>
      <c r="I122" s="25" t="n">
        <f aca="false">IF(I119&lt;&gt;"",I119,J122)</f>
        <v>8</v>
      </c>
      <c r="J122" s="25" t="n">
        <f aca="false">IF(J119&lt;&gt;"",J119,K122)</f>
        <v>8</v>
      </c>
      <c r="K122" s="25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1369</v>
      </c>
      <c r="B123" s="0" t="s">
        <v>1475</v>
      </c>
      <c r="C123" s="5" t="s">
        <v>52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1371</v>
      </c>
      <c r="B124" s="0" t="s">
        <v>1476</v>
      </c>
      <c r="C124" s="0" t="s">
        <v>82</v>
      </c>
      <c r="D124" s="25" t="n">
        <f aca="false">SUMIFS(Pipeline!$L$5:$L$134,Pipeline!$C$5:$C$134,"crwv",Pipeline!$Q$5:$Q$134,1,Pipeline!$P$5:$P$134,2023)</f>
        <v>0</v>
      </c>
      <c r="E124" s="25" t="n">
        <f aca="false">SUMIFS(Pipeline!$L$5:$L$134,Pipeline!$C$5:$C$134,"crwv",Pipeline!$Q$5:$Q$134,1,Pipeline!$P$5:$P$134,2024)</f>
        <v>0</v>
      </c>
      <c r="F124" s="25" t="n">
        <f aca="false">SUMIFS(Pipeline!$L$5:$L$134,Pipeline!$C$5:$C$134,"crwv",Pipeline!$Q$5:$Q$134,1,Pipeline!$P$5:$P$134,2025)</f>
        <v>0</v>
      </c>
      <c r="G124" s="25" t="n">
        <f aca="false">SUMIFS(Pipeline!$L$5:$L$134,Pipeline!$C$5:$C$134,"crwv",Pipeline!$Q$5:$Q$134,1,Pipeline!$P$5:$P$134,2026)</f>
        <v>0.016</v>
      </c>
      <c r="H124" s="25" t="n">
        <f aca="false">SUMIFS(Pipeline!$L$5:$L$134,Pipeline!$C$5:$C$134,"crwv",Pipeline!$Q$5:$Q$134,1,Pipeline!$P$5:$P$134,2027)</f>
        <v>0.26</v>
      </c>
      <c r="I124" s="25" t="n">
        <f aca="false">SUMIFS(Pipeline!$L$5:$L$134,Pipeline!$C$5:$C$134,"crwv",Pipeline!$Q$5:$Q$134,1,Pipeline!$P$5:$P$134,2028)</f>
        <v>0.132</v>
      </c>
      <c r="J124" s="25" t="n">
        <f aca="false">SUMIFS(Pipeline!$L$5:$L$134,Pipeline!$C$5:$C$134,"crwv",Pipeline!$Q$5:$Q$134,1,Pipeline!$P$5:$P$134,2029)</f>
        <v>0</v>
      </c>
      <c r="K124" s="25" t="n">
        <f aca="false">SUMIFS(Pipeline!$L$5:$L$134,Pipeline!$C$5:$C$134,"crwv",Pipeline!$Q$5:$Q$134,1,Pipeline!$P$5:$P$134,2030)</f>
        <v>0</v>
      </c>
      <c r="L124" s="25" t="n">
        <f aca="false">SUMIFS(Pipeline!$L$5:$L$134,Pipeline!$C$5:$C$134,"crwv",Pipeline!$Q$5:$Q$134,1,Pipeline!$P$5:$P$134,2031)</f>
        <v>0</v>
      </c>
      <c r="M124" s="25" t="n">
        <f aca="false">SUMIFS(Pipeline!$L$5:$L$134,Pipeline!$C$5:$C$134,"crwv",Pipeline!$Q$5:$Q$134,1,Pipeline!$P$5:$P$134,2032)</f>
        <v>0</v>
      </c>
    </row>
    <row r="125" customFormat="false" ht="17.15" hidden="false" customHeight="false" outlineLevel="0" collapsed="false">
      <c r="A125" s="5" t="s">
        <v>1373</v>
      </c>
      <c r="B125" s="0" t="s">
        <v>1477</v>
      </c>
      <c r="C125" s="0" t="s">
        <v>82</v>
      </c>
      <c r="D125" s="26" t="n">
        <f aca="false">IF(D119&lt;&gt;"",D119,IF(AND(D120&lt;&gt;"",D122&lt;&gt;""),D120+(D122-D120)*(2023-D121)/(D123-D121),""))</f>
        <v>0.07</v>
      </c>
      <c r="E125" s="26" t="n">
        <f aca="false">IF(E119&lt;&gt;"",E119,IF(AND(E120&lt;&gt;"",E122&lt;&gt;""),E120+(E122-E120)*(2024-E121)/(E123-E121),IF(D125&lt;&gt;"",D125+E124,"")))</f>
        <v>0.36</v>
      </c>
      <c r="F125" s="26" t="n">
        <f aca="false">IF(F119&lt;&gt;"",F119,IF(AND(F120&lt;&gt;"",F122&lt;&gt;""),F120+(F122-F120)*(2025-F121)/(F123-F121),IF(E125&lt;&gt;"",E125+F124,"")))</f>
        <v>0.85</v>
      </c>
      <c r="G125" s="26" t="n">
        <f aca="false">IF(G119&lt;&gt;"",G119,IF(AND(G120&lt;&gt;"",G122&lt;&gt;""),G120+(G122-G120)*(2026-G121)/(G123-G121),IF(F125&lt;&gt;"",F125+G124,"")))</f>
        <v>1.85</v>
      </c>
      <c r="H125" s="26" t="n">
        <f aca="false">IF(H119&lt;&gt;"",H119,IF(AND(H120&lt;&gt;"",H122&lt;&gt;""),H120+(H122-H120)*(2027-H121)/(H123-H121),IF(G125&lt;&gt;"",G125+H124,"")))</f>
        <v>3.3875</v>
      </c>
      <c r="I125" s="26" t="n">
        <f aca="false">IF(I119&lt;&gt;"",I119,IF(AND(I120&lt;&gt;"",I122&lt;&gt;""),I120+(I122-I120)*(2028-I121)/(I123-I121),IF(H125&lt;&gt;"",H125+I124,"")))</f>
        <v>4.925</v>
      </c>
      <c r="J125" s="26" t="n">
        <f aca="false">IF(J119&lt;&gt;"",J119,IF(AND(J120&lt;&gt;"",J122&lt;&gt;""),J120+(J122-J120)*(2029-J121)/(J123-J121),IF(I125&lt;&gt;"",I125+J124,"")))</f>
        <v>6.4625</v>
      </c>
      <c r="K125" s="26" t="n">
        <f aca="false">IF(K119&lt;&gt;"",K119,IF(AND(K120&lt;&gt;"",K122&lt;&gt;""),K120+(K122-K120)*(2030-K121)/(K123-K121),IF(J125&lt;&gt;"",J125+K124,"")))</f>
        <v>8</v>
      </c>
      <c r="L125" s="26" t="n">
        <f aca="false">IF(L119&lt;&gt;"",L119,IF(AND(L120&lt;&gt;"",L122&lt;&gt;""),L120+(L122-L120)*(2031-L121)/(L123-L121),IF(K125&lt;&gt;"",K125+L124,"")))</f>
        <v>8</v>
      </c>
      <c r="M125" s="26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1375</v>
      </c>
      <c r="B126" s="0" t="s">
        <v>1478</v>
      </c>
      <c r="C126" s="0" t="s">
        <v>40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1377</v>
      </c>
      <c r="B127" s="0" t="s">
        <v>1479</v>
      </c>
      <c r="C127" s="0" t="s">
        <v>82</v>
      </c>
      <c r="D127" s="25" t="n">
        <f aca="false">IF(D125="","",D125)</f>
        <v>0.07</v>
      </c>
      <c r="E127" s="25" t="n">
        <f aca="false">IF(E125="","",E125)</f>
        <v>0.36</v>
      </c>
      <c r="F127" s="25" t="n">
        <f aca="false">IF(F125="","",F125)</f>
        <v>0.85</v>
      </c>
      <c r="G127" s="25" t="n">
        <f aca="false">IF(G125="","",G125)</f>
        <v>1.85</v>
      </c>
      <c r="H127" s="25" t="n">
        <f aca="false">IF(H125="","",H125)</f>
        <v>3.3875</v>
      </c>
      <c r="I127" s="25" t="n">
        <f aca="false">IF(I125="","",I125)</f>
        <v>4.925</v>
      </c>
      <c r="J127" s="25" t="n">
        <f aca="false">IF(J125="","",J125)</f>
        <v>6.4625</v>
      </c>
      <c r="K127" s="25" t="n">
        <f aca="false">IF(K125="","",K125)</f>
        <v>8</v>
      </c>
      <c r="L127" s="25" t="n">
        <f aca="false">IF(L125="","",L125)</f>
        <v>8</v>
      </c>
      <c r="M127" s="25" t="n">
        <f aca="false">IF(M125="","",M125)</f>
        <v>8</v>
      </c>
    </row>
    <row r="128" customFormat="false" ht="17.15" hidden="false" customHeight="false" outlineLevel="0" collapsed="false">
      <c r="A128" s="5" t="s">
        <v>1379</v>
      </c>
      <c r="B128" s="0" t="s">
        <v>1480</v>
      </c>
      <c r="C128" s="0" t="s">
        <v>82</v>
      </c>
      <c r="D128" s="25" t="n">
        <f aca="false">IF(D125="","",D125)</f>
        <v>0.07</v>
      </c>
      <c r="E128" s="25" t="n">
        <f aca="false">IF(E125="","",E125)</f>
        <v>0.36</v>
      </c>
      <c r="F128" s="25" t="n">
        <f aca="false">IF(F125="","",F125)</f>
        <v>0.85</v>
      </c>
      <c r="G128" s="25" t="n">
        <f aca="false">IF(G125="","",G125)</f>
        <v>1.85</v>
      </c>
      <c r="H128" s="25" t="n">
        <f aca="false">IF(H125="","",H125)</f>
        <v>3.3875</v>
      </c>
      <c r="I128" s="25" t="n">
        <f aca="false">IF(I125="","",I125)</f>
        <v>4.925</v>
      </c>
      <c r="J128" s="25" t="n">
        <f aca="false">IF(J125="","",J125)</f>
        <v>6.4625</v>
      </c>
      <c r="K128" s="25" t="n">
        <f aca="false">IF(K125="","",K125)</f>
        <v>8</v>
      </c>
      <c r="L128" s="25" t="n">
        <f aca="false">IF(L125="","",L125)</f>
        <v>8</v>
      </c>
      <c r="M128" s="25" t="n">
        <f aca="false">IF(M125="","",M125)</f>
        <v>8</v>
      </c>
    </row>
    <row r="129" customFormat="false" ht="17.15" hidden="false" customHeight="false" outlineLevel="0" collapsed="false">
      <c r="A129" s="5" t="s">
        <v>1381</v>
      </c>
      <c r="B129" s="0" t="s">
        <v>1481</v>
      </c>
      <c r="C129" s="0" t="s">
        <v>82</v>
      </c>
      <c r="D129" s="25" t="n">
        <f aca="false">IF(D125="","",IF(In!$C$113="未說明",D125/D$13,D125))</f>
        <v>0.07</v>
      </c>
      <c r="E129" s="25" t="n">
        <f aca="false">IF(E125="","",IF(In!$C$113="未說明",E125/E$13,E125))</f>
        <v>0.36</v>
      </c>
      <c r="F129" s="25" t="n">
        <f aca="false">IF(F125="","",IF(In!$C$113="未說明",F125/F$13,F125))</f>
        <v>0.85</v>
      </c>
      <c r="G129" s="25" t="n">
        <f aca="false">IF(G125="","",IF(In!$C$113="未說明",G125/G$13,G125))</f>
        <v>1.85</v>
      </c>
      <c r="H129" s="25" t="n">
        <f aca="false">IF(H125="","",IF(In!$C$113="未說明",H125/H$13,H125))</f>
        <v>3.3875</v>
      </c>
      <c r="I129" s="25" t="n">
        <f aca="false">IF(I125="","",IF(In!$C$113="未說明",I125/I$13,I125))</f>
        <v>4.925</v>
      </c>
      <c r="J129" s="25" t="n">
        <f aca="false">IF(J125="","",IF(In!$C$113="未說明",J125/J$13,J125))</f>
        <v>6.4625</v>
      </c>
      <c r="K129" s="25" t="n">
        <f aca="false">IF(K125="","",IF(In!$C$113="未說明",K125/K$13,K125))</f>
        <v>8</v>
      </c>
      <c r="L129" s="25" t="n">
        <f aca="false">IF(L125="","",IF(In!$C$113="未說明",L125/L$13,L125))</f>
        <v>8</v>
      </c>
      <c r="M129" s="25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1383</v>
      </c>
      <c r="B130" s="0" t="s">
        <v>1482</v>
      </c>
      <c r="C130" s="0" t="s">
        <v>82</v>
      </c>
      <c r="D130" s="0" t="str">
        <f aca="false">""</f>
        <v/>
      </c>
      <c r="E130" s="25" t="n">
        <f aca="false">IF(AND(D125&lt;&gt;"",E125&lt;&gt;""),(D125+E125)/2,"")</f>
        <v>0.215</v>
      </c>
      <c r="F130" s="25" t="n">
        <f aca="false">IF(AND(E125&lt;&gt;"",F125&lt;&gt;""),(E125+F125)/2,"")</f>
        <v>0.605</v>
      </c>
      <c r="G130" s="25" t="n">
        <f aca="false">IF(AND(F125&lt;&gt;"",G125&lt;&gt;""),(F125+G125)/2,"")</f>
        <v>1.35</v>
      </c>
      <c r="H130" s="25" t="n">
        <f aca="false">IF(AND(G125&lt;&gt;"",H125&lt;&gt;""),(G125+H125)/2,"")</f>
        <v>2.61875</v>
      </c>
      <c r="I130" s="25" t="n">
        <f aca="false">IF(AND(H125&lt;&gt;"",I125&lt;&gt;""),(H125+I125)/2,"")</f>
        <v>4.15625</v>
      </c>
      <c r="J130" s="25" t="n">
        <f aca="false">IF(AND(I125&lt;&gt;"",J125&lt;&gt;""),(I125+J125)/2,"")</f>
        <v>5.69375</v>
      </c>
      <c r="K130" s="25" t="n">
        <f aca="false">IF(AND(J125&lt;&gt;"",K125&lt;&gt;""),(J125+K125)/2,"")</f>
        <v>7.23125</v>
      </c>
      <c r="L130" s="25" t="n">
        <f aca="false">IF(AND(K125&lt;&gt;"",L125&lt;&gt;""),(K125+L125)/2,"")</f>
        <v>8</v>
      </c>
      <c r="M130" s="25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1385</v>
      </c>
      <c r="B131" s="0" t="s">
        <v>1483</v>
      </c>
      <c r="C131" s="0" t="s">
        <v>82</v>
      </c>
      <c r="D131" s="0" t="n">
        <v>0</v>
      </c>
      <c r="E131" s="25" t="n">
        <f aca="false">IF(AND(D125&lt;&gt;"",E125&lt;&gt;""),E125-D125,0)</f>
        <v>0.29</v>
      </c>
      <c r="F131" s="25" t="n">
        <f aca="false">IF(AND(E125&lt;&gt;"",F125&lt;&gt;""),F125-E125,0)</f>
        <v>0.49</v>
      </c>
      <c r="G131" s="25" t="n">
        <f aca="false">IF(AND(F125&lt;&gt;"",G125&lt;&gt;""),G125-F125,0)</f>
        <v>1</v>
      </c>
      <c r="H131" s="25" t="n">
        <f aca="false">IF(AND(G125&lt;&gt;"",H125&lt;&gt;""),H125-G125,0)</f>
        <v>1.5375</v>
      </c>
      <c r="I131" s="25" t="n">
        <f aca="false">IF(AND(H125&lt;&gt;"",I125&lt;&gt;""),I125-H125,0)</f>
        <v>1.5375</v>
      </c>
      <c r="J131" s="25" t="n">
        <f aca="false">IF(AND(I125&lt;&gt;"",J125&lt;&gt;""),J125-I125,0)</f>
        <v>1.5375</v>
      </c>
      <c r="K131" s="25" t="n">
        <f aca="false">IF(AND(J125&lt;&gt;"",K125&lt;&gt;""),K125-J125,0)</f>
        <v>1.5375</v>
      </c>
      <c r="L131" s="25" t="n">
        <f aca="false">IF(AND(K125&lt;&gt;"",L125&lt;&gt;""),L125-K125,0)</f>
        <v>0</v>
      </c>
      <c r="M131" s="25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1387</v>
      </c>
      <c r="B132" s="0" t="s">
        <v>1484</v>
      </c>
      <c r="C132" s="0" t="s">
        <v>82</v>
      </c>
      <c r="D132" s="25" t="n">
        <f aca="false">IF(D125&lt;&gt;"",D125,0)</f>
        <v>0.07</v>
      </c>
      <c r="E132" s="25" t="n">
        <f aca="false">IF(AND(D125="",E125&lt;&gt;""),E125,0)</f>
        <v>0</v>
      </c>
      <c r="F132" s="25" t="n">
        <f aca="false">IF(AND(E125="",F125&lt;&gt;""),F125,0)</f>
        <v>0</v>
      </c>
      <c r="G132" s="25" t="n">
        <f aca="false">IF(AND(F125="",G125&lt;&gt;""),G125,0)</f>
        <v>0</v>
      </c>
      <c r="H132" s="25" t="n">
        <f aca="false">IF(AND(G125="",H125&lt;&gt;""),H125,0)</f>
        <v>0</v>
      </c>
      <c r="I132" s="25" t="n">
        <f aca="false">IF(AND(H125="",I125&lt;&gt;""),I125,0)</f>
        <v>0</v>
      </c>
      <c r="J132" s="25" t="n">
        <f aca="false">IF(AND(I125="",J125&lt;&gt;""),J125,0)</f>
        <v>0</v>
      </c>
      <c r="K132" s="25" t="n">
        <f aca="false">IF(AND(J125="",K125&lt;&gt;""),K125,0)</f>
        <v>0</v>
      </c>
      <c r="L132" s="25" t="n">
        <f aca="false">IF(AND(K125="",L125&lt;&gt;""),L125,0)</f>
        <v>0</v>
      </c>
      <c r="M132" s="25" t="n">
        <f aca="false">IF(AND(L125="",M125&lt;&gt;""),M125,0)</f>
        <v>0</v>
      </c>
    </row>
    <row r="133" customFormat="false" ht="17.15" hidden="false" customHeight="false" outlineLevel="0" collapsed="false">
      <c r="A133" s="5" t="s">
        <v>1389</v>
      </c>
      <c r="B133" s="0" t="s">
        <v>1485</v>
      </c>
      <c r="C133" s="0" t="s">
        <v>57</v>
      </c>
      <c r="D133" s="24" t="n">
        <f aca="false">nnv_crwv</f>
        <v>0</v>
      </c>
      <c r="E133" s="24" t="n">
        <f aca="false">nnv_crwv</f>
        <v>0</v>
      </c>
      <c r="F133" s="24" t="n">
        <f aca="false">nnv_crwv</f>
        <v>0</v>
      </c>
      <c r="G133" s="24" t="n">
        <f aca="false">nnv_crwv</f>
        <v>0</v>
      </c>
      <c r="H133" s="24" t="n">
        <f aca="false">nnv_crwv</f>
        <v>0</v>
      </c>
      <c r="I133" s="24" t="n">
        <f aca="false">nnv_crwv</f>
        <v>0</v>
      </c>
      <c r="J133" s="24" t="n">
        <f aca="false">nnv_crwv</f>
        <v>0</v>
      </c>
      <c r="K133" s="24" t="n">
        <f aca="false">nnv_crwv</f>
        <v>0</v>
      </c>
      <c r="L133" s="24" t="n">
        <f aca="false">nnv_crwv</f>
        <v>0</v>
      </c>
      <c r="M133" s="24" t="n">
        <f aca="false">nnv_crwv</f>
        <v>0</v>
      </c>
    </row>
    <row r="135" customFormat="false" ht="17.15" hidden="false" customHeight="false" outlineLevel="0" collapsed="false">
      <c r="A135" s="8" t="s">
        <v>1486</v>
      </c>
      <c r="B135" s="21" t="s">
        <v>873</v>
      </c>
      <c r="N135" s="21" t="s">
        <v>1487</v>
      </c>
    </row>
    <row r="136" customFormat="false" ht="17.15" hidden="false" customHeight="false" outlineLevel="0" collapsed="false">
      <c r="A136" s="5" t="s">
        <v>1357</v>
      </c>
      <c r="B136" s="0" t="s">
        <v>1488</v>
      </c>
      <c r="C136" s="0" t="s">
        <v>82</v>
      </c>
      <c r="D136" s="25" t="str">
        <f aca="false">IF(In!$H$114="","",IF(In!$C$114="設施",In!$H$114/1000/D$13,In!$H$114/1000))</f>
        <v/>
      </c>
      <c r="E136" s="25" t="str">
        <f aca="false">IF(In!$I$114="","",IF(In!$C$114="設施",In!$I$114/1000/E$13,In!$I$114/1000))</f>
        <v/>
      </c>
      <c r="F136" s="25" t="n">
        <f aca="false">IF(In!$J$114="","",IF(In!$C$114="設施",In!$J$114/1000/F$13,In!$J$114/1000))</f>
        <v>0.17</v>
      </c>
      <c r="G136" s="25" t="n">
        <f aca="false">IF(In!$K$114="","",IF(In!$C$114="設施",In!$K$114/1000/G$13,In!$K$114/1000))</f>
        <v>0.9</v>
      </c>
      <c r="H136" s="25" t="str">
        <f aca="false">IF(In!$L$114="","",IF(In!$C$114="設施",In!$L$114/1000/H$13,In!$L$114/1000))</f>
        <v/>
      </c>
      <c r="I136" s="25" t="str">
        <f aca="false">IF(In!$M$114="","",IF(In!$C$114="設施",In!$M$114/1000/I$13,In!$M$114/1000))</f>
        <v/>
      </c>
      <c r="J136" s="25" t="str">
        <f aca="false">IF(In!$N$114="","",IF(In!$C$114="設施",In!$N$114/1000/J$13,In!$N$114/1000))</f>
        <v/>
      </c>
      <c r="K136" s="25" t="str">
        <f aca="false">IF(In!$O$114="","",IF(In!$C$114="設施",In!$O$114/1000/K$13,In!$O$114/1000))</f>
        <v/>
      </c>
      <c r="L136" s="25" t="str">
        <f aca="false">IF(In!$P$114="","",IF(In!$C$114="設施",In!$P$114/1000/L$13,In!$P$114/1000))</f>
        <v/>
      </c>
      <c r="M136" s="25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1359</v>
      </c>
      <c r="B137" s="0" t="s">
        <v>1489</v>
      </c>
      <c r="C137" s="0" t="s">
        <v>82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1361</v>
      </c>
      <c r="B138" s="0" t="s">
        <v>1490</v>
      </c>
      <c r="C138" s="0" t="s">
        <v>82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5" t="n">
        <f aca="false">IF(F136&lt;&gt;"",F136,IF(F137&lt;&gt;"",F137,""))</f>
        <v>0.17</v>
      </c>
      <c r="G138" s="25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1363</v>
      </c>
      <c r="B139" s="0" t="s">
        <v>1491</v>
      </c>
      <c r="C139" s="0" t="s">
        <v>82</v>
      </c>
      <c r="D139" s="0" t="str">
        <f aca="false">IF(D138&lt;&gt;"",D138,"")</f>
        <v/>
      </c>
      <c r="E139" s="0" t="str">
        <f aca="false">IF(E138&lt;&gt;"",E138,D139)</f>
        <v/>
      </c>
      <c r="F139" s="25" t="n">
        <f aca="false">IF(F138&lt;&gt;"",F138,E139)</f>
        <v>0.17</v>
      </c>
      <c r="G139" s="25" t="n">
        <f aca="false">IF(G138&lt;&gt;"",G138,F139)</f>
        <v>0.9</v>
      </c>
      <c r="H139" s="25" t="n">
        <f aca="false">IF(H138&lt;&gt;"",H138,G139)</f>
        <v>0.9</v>
      </c>
      <c r="I139" s="25" t="n">
        <f aca="false">IF(I138&lt;&gt;"",I138,H139)</f>
        <v>0.9</v>
      </c>
      <c r="J139" s="25" t="n">
        <f aca="false">IF(J138&lt;&gt;"",J138,I139)</f>
        <v>0.9</v>
      </c>
      <c r="K139" s="25" t="n">
        <f aca="false">IF(K138&lt;&gt;"",K138,J139)</f>
        <v>0.9</v>
      </c>
      <c r="L139" s="25" t="n">
        <f aca="false">IF(L138&lt;&gt;"",L138,K139)</f>
        <v>0.9</v>
      </c>
      <c r="M139" s="25" t="n">
        <f aca="false">IF(M138&lt;&gt;"",M138,L139)</f>
        <v>0.9</v>
      </c>
    </row>
    <row r="140" customFormat="false" ht="15" hidden="false" customHeight="false" outlineLevel="0" collapsed="false">
      <c r="A140" s="5" t="s">
        <v>1365</v>
      </c>
      <c r="B140" s="0" t="s">
        <v>1492</v>
      </c>
      <c r="C140" s="5" t="s">
        <v>52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1367</v>
      </c>
      <c r="B141" s="0" t="s">
        <v>1493</v>
      </c>
      <c r="C141" s="0" t="s">
        <v>82</v>
      </c>
      <c r="D141" s="25" t="n">
        <f aca="false">IF(D138&lt;&gt;"",D138,E141)</f>
        <v>0.17</v>
      </c>
      <c r="E141" s="25" t="n">
        <f aca="false">IF(E138&lt;&gt;"",E138,F141)</f>
        <v>0.17</v>
      </c>
      <c r="F141" s="25" t="n">
        <f aca="false">IF(F138&lt;&gt;"",F138,G141)</f>
        <v>0.17</v>
      </c>
      <c r="G141" s="25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1369</v>
      </c>
      <c r="B142" s="0" t="s">
        <v>1494</v>
      </c>
      <c r="C142" s="5" t="s">
        <v>52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1371</v>
      </c>
      <c r="B143" s="0" t="s">
        <v>1495</v>
      </c>
      <c r="C143" s="0" t="s">
        <v>82</v>
      </c>
      <c r="D143" s="25" t="n">
        <f aca="false">SUMIFS(Pipeline!$L$5:$L$134,Pipeline!$C$5:$C$134,"nbis",Pipeline!$Q$5:$Q$134,1,Pipeline!$P$5:$P$134,2023)</f>
        <v>0</v>
      </c>
      <c r="E143" s="25" t="n">
        <f aca="false">SUMIFS(Pipeline!$L$5:$L$134,Pipeline!$C$5:$C$134,"nbis",Pipeline!$Q$5:$Q$134,1,Pipeline!$P$5:$P$134,2024)</f>
        <v>0</v>
      </c>
      <c r="F143" s="25" t="n">
        <f aca="false">SUMIFS(Pipeline!$L$5:$L$134,Pipeline!$C$5:$C$134,"nbis",Pipeline!$Q$5:$Q$134,1,Pipeline!$P$5:$P$134,2025)</f>
        <v>0</v>
      </c>
      <c r="G143" s="25" t="n">
        <f aca="false">SUMIFS(Pipeline!$L$5:$L$134,Pipeline!$C$5:$C$134,"nbis",Pipeline!$Q$5:$Q$134,1,Pipeline!$P$5:$P$134,2026)</f>
        <v>0</v>
      </c>
      <c r="H143" s="25" t="n">
        <f aca="false">SUMIFS(Pipeline!$L$5:$L$134,Pipeline!$C$5:$C$134,"nbis",Pipeline!$Q$5:$Q$134,1,Pipeline!$P$5:$P$134,2027)</f>
        <v>0.403</v>
      </c>
      <c r="I143" s="25" t="n">
        <f aca="false">SUMIFS(Pipeline!$L$5:$L$134,Pipeline!$C$5:$C$134,"nbis",Pipeline!$Q$5:$Q$134,1,Pipeline!$P$5:$P$134,2028)</f>
        <v>0</v>
      </c>
      <c r="J143" s="25" t="n">
        <f aca="false">SUMIFS(Pipeline!$L$5:$L$134,Pipeline!$C$5:$C$134,"nbis",Pipeline!$Q$5:$Q$134,1,Pipeline!$P$5:$P$134,2029)</f>
        <v>0</v>
      </c>
      <c r="K143" s="25" t="n">
        <f aca="false">SUMIFS(Pipeline!$L$5:$L$134,Pipeline!$C$5:$C$134,"nbis",Pipeline!$Q$5:$Q$134,1,Pipeline!$P$5:$P$134,2030)</f>
        <v>0</v>
      </c>
      <c r="L143" s="25" t="n">
        <f aca="false">SUMIFS(Pipeline!$L$5:$L$134,Pipeline!$C$5:$C$134,"nbis",Pipeline!$Q$5:$Q$134,1,Pipeline!$P$5:$P$134,2031)</f>
        <v>0</v>
      </c>
      <c r="M143" s="25" t="n">
        <f aca="false">SUMIFS(Pipeline!$L$5:$L$134,Pipeline!$C$5:$C$134,"nbis",Pipeline!$Q$5:$Q$134,1,Pipeline!$P$5:$P$134,2032)</f>
        <v>0</v>
      </c>
    </row>
    <row r="144" customFormat="false" ht="17.15" hidden="false" customHeight="false" outlineLevel="0" collapsed="false">
      <c r="A144" s="5" t="s">
        <v>1373</v>
      </c>
      <c r="B144" s="0" t="s">
        <v>1496</v>
      </c>
      <c r="C144" s="0" t="s">
        <v>82</v>
      </c>
      <c r="D144" s="26" t="str">
        <f aca="false">IF(D138&lt;&gt;"",D138,IF(AND(D139&lt;&gt;"",D141&lt;&gt;""),D139+(D141-D139)*(2023-D140)/(D142-D140),""))</f>
        <v/>
      </c>
      <c r="E144" s="26" t="str">
        <f aca="false">IF(E138&lt;&gt;"",E138,IF(AND(E139&lt;&gt;"",E141&lt;&gt;""),E139+(E141-E139)*(2024-E140)/(E142-E140),IF(D144&lt;&gt;"",D144+E143,"")))</f>
        <v/>
      </c>
      <c r="F144" s="26" t="n">
        <f aca="false">IF(F138&lt;&gt;"",F138,IF(AND(F139&lt;&gt;"",F141&lt;&gt;""),F139+(F141-F139)*(2025-F140)/(F142-F140),IF(E144&lt;&gt;"",E144+F143,"")))</f>
        <v>0.17</v>
      </c>
      <c r="G144" s="26" t="n">
        <f aca="false">IF(G138&lt;&gt;"",G138,IF(AND(G139&lt;&gt;"",G141&lt;&gt;""),G139+(G141-G139)*(2026-G140)/(G142-G140),IF(F144&lt;&gt;"",F144+G143,"")))</f>
        <v>0.9</v>
      </c>
      <c r="H144" s="26" t="n">
        <f aca="false">IF(H138&lt;&gt;"",H138,IF(AND(H139&lt;&gt;"",H141&lt;&gt;""),H139+(H141-H139)*(2027-H140)/(H142-H140),IF(G144&lt;&gt;"",G144+H143,"")))</f>
        <v>1.303</v>
      </c>
      <c r="I144" s="26" t="n">
        <f aca="false">IF(I138&lt;&gt;"",I138,IF(AND(I139&lt;&gt;"",I141&lt;&gt;""),I139+(I141-I139)*(2028-I140)/(I142-I140),IF(H144&lt;&gt;"",H144+I143,"")))</f>
        <v>1.303</v>
      </c>
      <c r="J144" s="26" t="n">
        <f aca="false">IF(J138&lt;&gt;"",J138,IF(AND(J139&lt;&gt;"",J141&lt;&gt;""),J139+(J141-J139)*(2029-J140)/(J142-J140),IF(I144&lt;&gt;"",I144+J143,"")))</f>
        <v>1.303</v>
      </c>
      <c r="K144" s="26" t="n">
        <f aca="false">IF(K138&lt;&gt;"",K138,IF(AND(K139&lt;&gt;"",K141&lt;&gt;""),K139+(K141-K139)*(2030-K140)/(K142-K140),IF(J144&lt;&gt;"",J144+K143,"")))</f>
        <v>1.303</v>
      </c>
      <c r="L144" s="26" t="n">
        <f aca="false">IF(L138&lt;&gt;"",L138,IF(AND(L139&lt;&gt;"",L141&lt;&gt;""),L139+(L141-L139)*(2031-L140)/(L142-L140),IF(K144&lt;&gt;"",K144+L143,"")))</f>
        <v>1.303</v>
      </c>
      <c r="M144" s="26" t="n">
        <f aca="false">IF(M138&lt;&gt;"",M138,IF(AND(M139&lt;&gt;"",M141&lt;&gt;""),M139+(M141-M139)*(2032-M140)/(M142-M140),IF(L144&lt;&gt;"",L144+M143,"")))</f>
        <v>1.303</v>
      </c>
    </row>
    <row r="145" customFormat="false" ht="15" hidden="false" customHeight="false" outlineLevel="0" collapsed="false">
      <c r="A145" s="5" t="s">
        <v>1375</v>
      </c>
      <c r="B145" s="0" t="s">
        <v>1497</v>
      </c>
      <c r="C145" s="0" t="s">
        <v>40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1377</v>
      </c>
      <c r="B146" s="0" t="s">
        <v>1498</v>
      </c>
      <c r="C146" s="0" t="s">
        <v>82</v>
      </c>
      <c r="D146" s="25" t="str">
        <f aca="false">IF(D144="","",D144)</f>
        <v/>
      </c>
      <c r="E146" s="25" t="str">
        <f aca="false">IF(E144="","",E144)</f>
        <v/>
      </c>
      <c r="F146" s="25" t="n">
        <f aca="false">IF(F144="","",F144)</f>
        <v>0.17</v>
      </c>
      <c r="G146" s="25" t="n">
        <f aca="false">IF(G144="","",G144)</f>
        <v>0.9</v>
      </c>
      <c r="H146" s="25" t="n">
        <f aca="false">IF(H144="","",H144)</f>
        <v>1.303</v>
      </c>
      <c r="I146" s="25" t="n">
        <f aca="false">IF(I144="","",I144)</f>
        <v>1.303</v>
      </c>
      <c r="J146" s="25" t="n">
        <f aca="false">IF(J144="","",J144)</f>
        <v>1.303</v>
      </c>
      <c r="K146" s="25" t="n">
        <f aca="false">IF(K144="","",K144)</f>
        <v>1.303</v>
      </c>
      <c r="L146" s="25" t="n">
        <f aca="false">IF(L144="","",L144)</f>
        <v>1.303</v>
      </c>
      <c r="M146" s="25" t="n">
        <f aca="false">IF(M144="","",M144)</f>
        <v>1.303</v>
      </c>
    </row>
    <row r="147" customFormat="false" ht="17.15" hidden="false" customHeight="false" outlineLevel="0" collapsed="false">
      <c r="A147" s="5" t="s">
        <v>1379</v>
      </c>
      <c r="B147" s="0" t="s">
        <v>1499</v>
      </c>
      <c r="C147" s="0" t="s">
        <v>82</v>
      </c>
      <c r="D147" s="25" t="str">
        <f aca="false">IF(D144="","",D144)</f>
        <v/>
      </c>
      <c r="E147" s="25" t="str">
        <f aca="false">IF(E144="","",E144)</f>
        <v/>
      </c>
      <c r="F147" s="25" t="n">
        <f aca="false">IF(F144="","",F144)</f>
        <v>0.17</v>
      </c>
      <c r="G147" s="25" t="n">
        <f aca="false">IF(G144="","",G144)</f>
        <v>0.9</v>
      </c>
      <c r="H147" s="25" t="n">
        <f aca="false">IF(H144="","",H144)</f>
        <v>1.303</v>
      </c>
      <c r="I147" s="25" t="n">
        <f aca="false">IF(I144="","",I144)</f>
        <v>1.303</v>
      </c>
      <c r="J147" s="25" t="n">
        <f aca="false">IF(J144="","",J144)</f>
        <v>1.303</v>
      </c>
      <c r="K147" s="25" t="n">
        <f aca="false">IF(K144="","",K144)</f>
        <v>1.303</v>
      </c>
      <c r="L147" s="25" t="n">
        <f aca="false">IF(L144="","",L144)</f>
        <v>1.303</v>
      </c>
      <c r="M147" s="25" t="n">
        <f aca="false">IF(M144="","",M144)</f>
        <v>1.303</v>
      </c>
    </row>
    <row r="148" customFormat="false" ht="17.15" hidden="false" customHeight="false" outlineLevel="0" collapsed="false">
      <c r="A148" s="5" t="s">
        <v>1381</v>
      </c>
      <c r="B148" s="0" t="s">
        <v>1500</v>
      </c>
      <c r="C148" s="0" t="s">
        <v>82</v>
      </c>
      <c r="D148" s="25" t="str">
        <f aca="false">IF(D144="","",IF(In!$C$114="未說明",D144/D$13,D144))</f>
        <v/>
      </c>
      <c r="E148" s="25" t="str">
        <f aca="false">IF(E144="","",IF(In!$C$114="未說明",E144/E$13,E144))</f>
        <v/>
      </c>
      <c r="F148" s="25" t="n">
        <f aca="false">IF(F144="","",IF(In!$C$114="未說明",F144/F$13,F144))</f>
        <v>0.141666666666667</v>
      </c>
      <c r="G148" s="25" t="n">
        <f aca="false">IF(G144="","",IF(In!$C$114="未說明",G144/G$13,G144))</f>
        <v>0.75</v>
      </c>
      <c r="H148" s="25" t="n">
        <f aca="false">IF(H144="","",IF(In!$C$114="未說明",H144/H$13,H144))</f>
        <v>1.08583333333333</v>
      </c>
      <c r="I148" s="25" t="n">
        <f aca="false">IF(I144="","",IF(In!$C$114="未說明",I144/I$13,I144))</f>
        <v>1.08583333333333</v>
      </c>
      <c r="J148" s="25" t="n">
        <f aca="false">IF(J144="","",IF(In!$C$114="未說明",J144/J$13,J144))</f>
        <v>1.08583333333333</v>
      </c>
      <c r="K148" s="25" t="n">
        <f aca="false">IF(K144="","",IF(In!$C$114="未說明",K144/K$13,K144))</f>
        <v>1.08583333333333</v>
      </c>
      <c r="L148" s="25" t="n">
        <f aca="false">IF(L144="","",IF(In!$C$114="未說明",L144/L$13,L144))</f>
        <v>1.08583333333333</v>
      </c>
      <c r="M148" s="25" t="n">
        <f aca="false">IF(M144="","",IF(In!$C$114="未說明",M144/M$13,M144))</f>
        <v>1.08583333333333</v>
      </c>
    </row>
    <row r="149" customFormat="false" ht="17.15" hidden="false" customHeight="false" outlineLevel="0" collapsed="false">
      <c r="A149" s="5" t="s">
        <v>1383</v>
      </c>
      <c r="B149" s="0" t="s">
        <v>1501</v>
      </c>
      <c r="C149" s="0" t="s">
        <v>82</v>
      </c>
      <c r="D149" s="0" t="str">
        <f aca="false">""</f>
        <v/>
      </c>
      <c r="E149" s="25" t="str">
        <f aca="false">IF(AND(D144&lt;&gt;"",E144&lt;&gt;""),(D144+E144)/2,"")</f>
        <v/>
      </c>
      <c r="F149" s="25" t="str">
        <f aca="false">IF(AND(E144&lt;&gt;"",F144&lt;&gt;""),(E144+F144)/2,"")</f>
        <v/>
      </c>
      <c r="G149" s="25" t="n">
        <f aca="false">IF(AND(F144&lt;&gt;"",G144&lt;&gt;""),(F144+G144)/2,"")</f>
        <v>0.535</v>
      </c>
      <c r="H149" s="25" t="n">
        <f aca="false">IF(AND(G144&lt;&gt;"",H144&lt;&gt;""),(G144+H144)/2,"")</f>
        <v>1.1015</v>
      </c>
      <c r="I149" s="25" t="n">
        <f aca="false">IF(AND(H144&lt;&gt;"",I144&lt;&gt;""),(H144+I144)/2,"")</f>
        <v>1.303</v>
      </c>
      <c r="J149" s="25" t="n">
        <f aca="false">IF(AND(I144&lt;&gt;"",J144&lt;&gt;""),(I144+J144)/2,"")</f>
        <v>1.303</v>
      </c>
      <c r="K149" s="25" t="n">
        <f aca="false">IF(AND(J144&lt;&gt;"",K144&lt;&gt;""),(J144+K144)/2,"")</f>
        <v>1.303</v>
      </c>
      <c r="L149" s="25" t="n">
        <f aca="false">IF(AND(K144&lt;&gt;"",L144&lt;&gt;""),(K144+L144)/2,"")</f>
        <v>1.303</v>
      </c>
      <c r="M149" s="25" t="n">
        <f aca="false">IF(AND(L144&lt;&gt;"",M144&lt;&gt;""),(L144+M144)/2,"")</f>
        <v>1.303</v>
      </c>
    </row>
    <row r="150" customFormat="false" ht="17.15" hidden="false" customHeight="false" outlineLevel="0" collapsed="false">
      <c r="A150" s="5" t="s">
        <v>1385</v>
      </c>
      <c r="B150" s="0" t="s">
        <v>1502</v>
      </c>
      <c r="C150" s="0" t="s">
        <v>82</v>
      </c>
      <c r="D150" s="0" t="n">
        <v>0</v>
      </c>
      <c r="E150" s="25" t="n">
        <f aca="false">IF(AND(D144&lt;&gt;"",E144&lt;&gt;""),E144-D144,0)</f>
        <v>0</v>
      </c>
      <c r="F150" s="25" t="n">
        <f aca="false">IF(AND(E144&lt;&gt;"",F144&lt;&gt;""),F144-E144,0)</f>
        <v>0</v>
      </c>
      <c r="G150" s="25" t="n">
        <f aca="false">IF(AND(F144&lt;&gt;"",G144&lt;&gt;""),G144-F144,0)</f>
        <v>0.73</v>
      </c>
      <c r="H150" s="25" t="n">
        <f aca="false">IF(AND(G144&lt;&gt;"",H144&lt;&gt;""),H144-G144,0)</f>
        <v>0.403</v>
      </c>
      <c r="I150" s="25" t="n">
        <f aca="false">IF(AND(H144&lt;&gt;"",I144&lt;&gt;""),I144-H144,0)</f>
        <v>0</v>
      </c>
      <c r="J150" s="25" t="n">
        <f aca="false">IF(AND(I144&lt;&gt;"",J144&lt;&gt;""),J144-I144,0)</f>
        <v>0</v>
      </c>
      <c r="K150" s="25" t="n">
        <f aca="false">IF(AND(J144&lt;&gt;"",K144&lt;&gt;""),K144-J144,0)</f>
        <v>0</v>
      </c>
      <c r="L150" s="25" t="n">
        <f aca="false">IF(AND(K144&lt;&gt;"",L144&lt;&gt;""),L144-K144,0)</f>
        <v>0</v>
      </c>
      <c r="M150" s="25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1387</v>
      </c>
      <c r="B151" s="0" t="s">
        <v>1503</v>
      </c>
      <c r="C151" s="0" t="s">
        <v>82</v>
      </c>
      <c r="D151" s="25" t="n">
        <f aca="false">IF(D144&lt;&gt;"",D144,0)</f>
        <v>0</v>
      </c>
      <c r="E151" s="25" t="n">
        <f aca="false">IF(AND(D144="",E144&lt;&gt;""),E144,0)</f>
        <v>0</v>
      </c>
      <c r="F151" s="25" t="n">
        <f aca="false">IF(AND(E144="",F144&lt;&gt;""),F144,0)</f>
        <v>0.17</v>
      </c>
      <c r="G151" s="25" t="n">
        <f aca="false">IF(AND(F144="",G144&lt;&gt;""),G144,0)</f>
        <v>0</v>
      </c>
      <c r="H151" s="25" t="n">
        <f aca="false">IF(AND(G144="",H144&lt;&gt;""),H144,0)</f>
        <v>0</v>
      </c>
      <c r="I151" s="25" t="n">
        <f aca="false">IF(AND(H144="",I144&lt;&gt;""),I144,0)</f>
        <v>0</v>
      </c>
      <c r="J151" s="25" t="n">
        <f aca="false">IF(AND(I144="",J144&lt;&gt;""),J144,0)</f>
        <v>0</v>
      </c>
      <c r="K151" s="25" t="n">
        <f aca="false">IF(AND(J144="",K144&lt;&gt;""),K144,0)</f>
        <v>0</v>
      </c>
      <c r="L151" s="25" t="n">
        <f aca="false">IF(AND(K144="",L144&lt;&gt;""),L144,0)</f>
        <v>0</v>
      </c>
      <c r="M151" s="25" t="n">
        <f aca="false">IF(AND(L144="",M144&lt;&gt;""),M144,0)</f>
        <v>0</v>
      </c>
    </row>
    <row r="152" customFormat="false" ht="17.15" hidden="false" customHeight="false" outlineLevel="0" collapsed="false">
      <c r="A152" s="5" t="s">
        <v>1389</v>
      </c>
      <c r="B152" s="0" t="s">
        <v>1504</v>
      </c>
      <c r="C152" s="0" t="s">
        <v>57</v>
      </c>
      <c r="D152" s="24" t="n">
        <f aca="false">nnv_nbis</f>
        <v>0</v>
      </c>
      <c r="E152" s="24" t="n">
        <f aca="false">nnv_nbis</f>
        <v>0</v>
      </c>
      <c r="F152" s="24" t="n">
        <f aca="false">nnv_nbis</f>
        <v>0</v>
      </c>
      <c r="G152" s="24" t="n">
        <f aca="false">nnv_nbis</f>
        <v>0</v>
      </c>
      <c r="H152" s="24" t="n">
        <f aca="false">nnv_nbis</f>
        <v>0</v>
      </c>
      <c r="I152" s="24" t="n">
        <f aca="false">nnv_nbis</f>
        <v>0</v>
      </c>
      <c r="J152" s="24" t="n">
        <f aca="false">nnv_nbis</f>
        <v>0</v>
      </c>
      <c r="K152" s="24" t="n">
        <f aca="false">nnv_nbis</f>
        <v>0</v>
      </c>
      <c r="L152" s="24" t="n">
        <f aca="false">nnv_nbis</f>
        <v>0</v>
      </c>
      <c r="M152" s="24" t="n">
        <f aca="false">nnv_nbis</f>
        <v>0</v>
      </c>
    </row>
    <row r="154" customFormat="false" ht="17.15" hidden="false" customHeight="false" outlineLevel="0" collapsed="false">
      <c r="A154" s="8" t="s">
        <v>1505</v>
      </c>
      <c r="B154" s="21" t="s">
        <v>1506</v>
      </c>
      <c r="N154" s="21" t="s">
        <v>1507</v>
      </c>
    </row>
    <row r="155" customFormat="false" ht="17.15" hidden="false" customHeight="false" outlineLevel="0" collapsed="false">
      <c r="A155" s="5" t="s">
        <v>1357</v>
      </c>
      <c r="B155" s="0" t="s">
        <v>1508</v>
      </c>
      <c r="C155" s="0" t="s">
        <v>82</v>
      </c>
      <c r="D155" s="25" t="str">
        <f aca="false">IF(In!$H$115="","",IF(In!$C$115="設施",In!$H$115/1000/D$13,In!$H$115/1000))</f>
        <v/>
      </c>
      <c r="E155" s="25" t="str">
        <f aca="false">IF(In!$I$115="","",IF(In!$C$115="設施",In!$I$115/1000/E$13,In!$I$115/1000))</f>
        <v/>
      </c>
      <c r="F155" s="25" t="n">
        <f aca="false">IF(In!$J$115="","",IF(In!$C$115="設施",In!$J$115/1000/F$13,In!$J$115/1000))</f>
        <v>0.0055</v>
      </c>
      <c r="G155" s="25" t="n">
        <f aca="false">IF(In!$K$115="","",IF(In!$C$115="設施",In!$K$115/1000/G$13,In!$K$115/1000))</f>
        <v>0.014574</v>
      </c>
      <c r="H155" s="25" t="n">
        <f aca="false">IF(In!$L$115="","",IF(In!$C$115="設施",In!$L$115/1000/H$13,In!$L$115/1000))</f>
        <v>0.016548</v>
      </c>
      <c r="I155" s="25" t="str">
        <f aca="false">IF(In!$M$115="","",IF(In!$C$115="設施",In!$M$115/1000/I$13,In!$M$115/1000))</f>
        <v/>
      </c>
      <c r="J155" s="25" t="str">
        <f aca="false">IF(In!$N$115="","",IF(In!$C$115="設施",In!$N$115/1000/J$13,In!$N$115/1000))</f>
        <v/>
      </c>
      <c r="K155" s="25" t="str">
        <f aca="false">IF(In!$O$115="","",IF(In!$C$115="設施",In!$O$115/1000/K$13,In!$O$115/1000))</f>
        <v/>
      </c>
      <c r="L155" s="25" t="str">
        <f aca="false">IF(In!$P$115="","",IF(In!$C$115="設施",In!$P$115/1000/L$13,In!$P$115/1000))</f>
        <v/>
      </c>
      <c r="M155" s="25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1359</v>
      </c>
      <c r="B156" s="0" t="s">
        <v>1509</v>
      </c>
      <c r="C156" s="0" t="s">
        <v>82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1361</v>
      </c>
      <c r="B157" s="0" t="s">
        <v>1510</v>
      </c>
      <c r="C157" s="0" t="s">
        <v>82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5" t="n">
        <f aca="false">IF(F155&lt;&gt;"",F155,IF(F156&lt;&gt;"",F156,""))</f>
        <v>0.0055</v>
      </c>
      <c r="G157" s="25" t="n">
        <f aca="false">IF(G155&lt;&gt;"",G155,IF(G156&lt;&gt;"",G156,""))</f>
        <v>0.014574</v>
      </c>
      <c r="H157" s="25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1363</v>
      </c>
      <c r="B158" s="0" t="s">
        <v>1511</v>
      </c>
      <c r="C158" s="0" t="s">
        <v>82</v>
      </c>
      <c r="D158" s="0" t="str">
        <f aca="false">IF(D157&lt;&gt;"",D157,"")</f>
        <v/>
      </c>
      <c r="E158" s="0" t="str">
        <f aca="false">IF(E157&lt;&gt;"",E157,D158)</f>
        <v/>
      </c>
      <c r="F158" s="25" t="n">
        <f aca="false">IF(F157&lt;&gt;"",F157,E158)</f>
        <v>0.0055</v>
      </c>
      <c r="G158" s="25" t="n">
        <f aca="false">IF(G157&lt;&gt;"",G157,F158)</f>
        <v>0.014574</v>
      </c>
      <c r="H158" s="25" t="n">
        <f aca="false">IF(H157&lt;&gt;"",H157,G158)</f>
        <v>0.016548</v>
      </c>
      <c r="I158" s="25" t="n">
        <f aca="false">IF(I157&lt;&gt;"",I157,H158)</f>
        <v>0.016548</v>
      </c>
      <c r="J158" s="25" t="n">
        <f aca="false">IF(J157&lt;&gt;"",J157,I158)</f>
        <v>0.016548</v>
      </c>
      <c r="K158" s="25" t="n">
        <f aca="false">IF(K157&lt;&gt;"",K157,J158)</f>
        <v>0.016548</v>
      </c>
      <c r="L158" s="25" t="n">
        <f aca="false">IF(L157&lt;&gt;"",L157,K158)</f>
        <v>0.016548</v>
      </c>
      <c r="M158" s="25" t="n">
        <f aca="false">IF(M157&lt;&gt;"",M157,L158)</f>
        <v>0.016548</v>
      </c>
    </row>
    <row r="159" customFormat="false" ht="15" hidden="false" customHeight="false" outlineLevel="0" collapsed="false">
      <c r="A159" s="5" t="s">
        <v>1365</v>
      </c>
      <c r="B159" s="0" t="s">
        <v>1512</v>
      </c>
      <c r="C159" s="5" t="s">
        <v>52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1367</v>
      </c>
      <c r="B160" s="0" t="s">
        <v>1513</v>
      </c>
      <c r="C160" s="0" t="s">
        <v>82</v>
      </c>
      <c r="D160" s="25" t="n">
        <f aca="false">IF(D157&lt;&gt;"",D157,E160)</f>
        <v>0.0055</v>
      </c>
      <c r="E160" s="25" t="n">
        <f aca="false">IF(E157&lt;&gt;"",E157,F160)</f>
        <v>0.0055</v>
      </c>
      <c r="F160" s="25" t="n">
        <f aca="false">IF(F157&lt;&gt;"",F157,G160)</f>
        <v>0.0055</v>
      </c>
      <c r="G160" s="25" t="n">
        <f aca="false">IF(G157&lt;&gt;"",G157,H160)</f>
        <v>0.014574</v>
      </c>
      <c r="H160" s="25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1369</v>
      </c>
      <c r="B161" s="0" t="s">
        <v>1514</v>
      </c>
      <c r="C161" s="5" t="s">
        <v>52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1371</v>
      </c>
      <c r="B162" s="0" t="s">
        <v>1515</v>
      </c>
      <c r="C162" s="0" t="s">
        <v>82</v>
      </c>
      <c r="D162" s="25" t="n">
        <f aca="false">SUMIFS(Pipeline!$L$5:$L$134,Pipeline!$C$5:$C$134,"wyfi",Pipeline!$Q$5:$Q$134,1,Pipeline!$P$5:$P$134,2023)</f>
        <v>0</v>
      </c>
      <c r="E162" s="25" t="n">
        <f aca="false">SUMIFS(Pipeline!$L$5:$L$134,Pipeline!$C$5:$C$134,"wyfi",Pipeline!$Q$5:$Q$134,1,Pipeline!$P$5:$P$134,2024)</f>
        <v>0</v>
      </c>
      <c r="F162" s="25" t="n">
        <f aca="false">SUMIFS(Pipeline!$L$5:$L$134,Pipeline!$C$5:$C$134,"wyfi",Pipeline!$Q$5:$Q$134,1,Pipeline!$P$5:$P$134,2025)</f>
        <v>0</v>
      </c>
      <c r="G162" s="25" t="n">
        <f aca="false">SUMIFS(Pipeline!$L$5:$L$134,Pipeline!$C$5:$C$134,"wyfi",Pipeline!$Q$5:$Q$134,1,Pipeline!$P$5:$P$134,2026)</f>
        <v>0</v>
      </c>
      <c r="H162" s="25" t="n">
        <f aca="false">SUMIFS(Pipeline!$L$5:$L$134,Pipeline!$C$5:$C$134,"wyfi",Pipeline!$Q$5:$Q$134,1,Pipeline!$P$5:$P$134,2027)</f>
        <v>0</v>
      </c>
      <c r="I162" s="25" t="n">
        <f aca="false">SUMIFS(Pipeline!$L$5:$L$134,Pipeline!$C$5:$C$134,"wyfi",Pipeline!$Q$5:$Q$134,1,Pipeline!$P$5:$P$134,2028)</f>
        <v>0</v>
      </c>
      <c r="J162" s="25" t="n">
        <f aca="false">SUMIFS(Pipeline!$L$5:$L$134,Pipeline!$C$5:$C$134,"wyfi",Pipeline!$Q$5:$Q$134,1,Pipeline!$P$5:$P$134,2029)</f>
        <v>0</v>
      </c>
      <c r="K162" s="25" t="n">
        <f aca="false">SUMIFS(Pipeline!$L$5:$L$134,Pipeline!$C$5:$C$134,"wyfi",Pipeline!$Q$5:$Q$134,1,Pipeline!$P$5:$P$134,2030)</f>
        <v>0</v>
      </c>
      <c r="L162" s="25" t="n">
        <f aca="false">SUMIFS(Pipeline!$L$5:$L$134,Pipeline!$C$5:$C$134,"wyfi",Pipeline!$Q$5:$Q$134,1,Pipeline!$P$5:$P$134,2031)</f>
        <v>0</v>
      </c>
      <c r="M162" s="25" t="n">
        <f aca="false">SUMIFS(Pipeline!$L$5:$L$134,Pipeline!$C$5:$C$134,"wyfi",Pipeline!$Q$5:$Q$134,1,Pipeline!$P$5:$P$134,2032)</f>
        <v>0</v>
      </c>
    </row>
    <row r="163" customFormat="false" ht="17.15" hidden="false" customHeight="false" outlineLevel="0" collapsed="false">
      <c r="A163" s="5" t="s">
        <v>1373</v>
      </c>
      <c r="B163" s="0" t="s">
        <v>1516</v>
      </c>
      <c r="C163" s="0" t="s">
        <v>82</v>
      </c>
      <c r="D163" s="26" t="str">
        <f aca="false">IF(D157&lt;&gt;"",D157,IF(AND(D158&lt;&gt;"",D160&lt;&gt;""),D158+(D160-D158)*(2023-D159)/(D161-D159),""))</f>
        <v/>
      </c>
      <c r="E163" s="26" t="str">
        <f aca="false">IF(E157&lt;&gt;"",E157,IF(AND(E158&lt;&gt;"",E160&lt;&gt;""),E158+(E160-E158)*(2024-E159)/(E161-E159),IF(D163&lt;&gt;"",D163+E162,"")))</f>
        <v/>
      </c>
      <c r="F163" s="26" t="n">
        <f aca="false">IF(F157&lt;&gt;"",F157,IF(AND(F158&lt;&gt;"",F160&lt;&gt;""),F158+(F160-F158)*(2025-F159)/(F161-F159),IF(E163&lt;&gt;"",E163+F162,"")))</f>
        <v>0.0055</v>
      </c>
      <c r="G163" s="26" t="n">
        <f aca="false">IF(G157&lt;&gt;"",G157,IF(AND(G158&lt;&gt;"",G160&lt;&gt;""),G158+(G160-G158)*(2026-G159)/(G161-G159),IF(F163&lt;&gt;"",F163+G162,"")))</f>
        <v>0.014574</v>
      </c>
      <c r="H163" s="26" t="n">
        <f aca="false">IF(H157&lt;&gt;"",H157,IF(AND(H158&lt;&gt;"",H160&lt;&gt;""),H158+(H160-H158)*(2027-H159)/(H161-H159),IF(G163&lt;&gt;"",G163+H162,"")))</f>
        <v>0.016548</v>
      </c>
      <c r="I163" s="26" t="n">
        <f aca="false">IF(I157&lt;&gt;"",I157,IF(AND(I158&lt;&gt;"",I160&lt;&gt;""),I158+(I160-I158)*(2028-I159)/(I161-I159),IF(H163&lt;&gt;"",H163+I162,"")))</f>
        <v>0.016548</v>
      </c>
      <c r="J163" s="26" t="n">
        <f aca="false">IF(J157&lt;&gt;"",J157,IF(AND(J158&lt;&gt;"",J160&lt;&gt;""),J158+(J160-J158)*(2029-J159)/(J161-J159),IF(I163&lt;&gt;"",I163+J162,"")))</f>
        <v>0.016548</v>
      </c>
      <c r="K163" s="26" t="n">
        <f aca="false">IF(K157&lt;&gt;"",K157,IF(AND(K158&lt;&gt;"",K160&lt;&gt;""),K158+(K160-K158)*(2030-K159)/(K161-K159),IF(J163&lt;&gt;"",J163+K162,"")))</f>
        <v>0.016548</v>
      </c>
      <c r="L163" s="26" t="n">
        <f aca="false">IF(L157&lt;&gt;"",L157,IF(AND(L158&lt;&gt;"",L160&lt;&gt;""),L158+(L160-L158)*(2031-L159)/(L161-L159),IF(K163&lt;&gt;"",K163+L162,"")))</f>
        <v>0.016548</v>
      </c>
      <c r="M163" s="26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1375</v>
      </c>
      <c r="B164" s="0" t="s">
        <v>1517</v>
      </c>
      <c r="C164" s="0" t="s">
        <v>40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1377</v>
      </c>
      <c r="B165" s="0" t="s">
        <v>1518</v>
      </c>
      <c r="C165" s="0" t="s">
        <v>82</v>
      </c>
      <c r="D165" s="25" t="str">
        <f aca="false">IF(D163="","",D163)</f>
        <v/>
      </c>
      <c r="E165" s="25" t="str">
        <f aca="false">IF(E163="","",E163)</f>
        <v/>
      </c>
      <c r="F165" s="25" t="n">
        <f aca="false">IF(F163="","",F163)</f>
        <v>0.0055</v>
      </c>
      <c r="G165" s="25" t="n">
        <f aca="false">IF(G163="","",G163)</f>
        <v>0.014574</v>
      </c>
      <c r="H165" s="25" t="n">
        <f aca="false">IF(H163="","",H163)</f>
        <v>0.016548</v>
      </c>
      <c r="I165" s="25" t="n">
        <f aca="false">IF(I163="","",I163)</f>
        <v>0.016548</v>
      </c>
      <c r="J165" s="25" t="n">
        <f aca="false">IF(J163="","",J163)</f>
        <v>0.016548</v>
      </c>
      <c r="K165" s="25" t="n">
        <f aca="false">IF(K163="","",K163)</f>
        <v>0.016548</v>
      </c>
      <c r="L165" s="25" t="n">
        <f aca="false">IF(L163="","",L163)</f>
        <v>0.016548</v>
      </c>
      <c r="M165" s="25" t="n">
        <f aca="false">IF(M163="","",M163)</f>
        <v>0.016548</v>
      </c>
    </row>
    <row r="166" customFormat="false" ht="17.15" hidden="false" customHeight="false" outlineLevel="0" collapsed="false">
      <c r="A166" s="5" t="s">
        <v>1379</v>
      </c>
      <c r="B166" s="0" t="s">
        <v>1519</v>
      </c>
      <c r="C166" s="0" t="s">
        <v>82</v>
      </c>
      <c r="D166" s="25" t="str">
        <f aca="false">IF(D163="","",D163)</f>
        <v/>
      </c>
      <c r="E166" s="25" t="str">
        <f aca="false">IF(E163="","",E163)</f>
        <v/>
      </c>
      <c r="F166" s="25" t="n">
        <f aca="false">IF(F163="","",F163)</f>
        <v>0.0055</v>
      </c>
      <c r="G166" s="25" t="n">
        <f aca="false">IF(G163="","",G163)</f>
        <v>0.014574</v>
      </c>
      <c r="H166" s="25" t="n">
        <f aca="false">IF(H163="","",H163)</f>
        <v>0.016548</v>
      </c>
      <c r="I166" s="25" t="n">
        <f aca="false">IF(I163="","",I163)</f>
        <v>0.016548</v>
      </c>
      <c r="J166" s="25" t="n">
        <f aca="false">IF(J163="","",J163)</f>
        <v>0.016548</v>
      </c>
      <c r="K166" s="25" t="n">
        <f aca="false">IF(K163="","",K163)</f>
        <v>0.016548</v>
      </c>
      <c r="L166" s="25" t="n">
        <f aca="false">IF(L163="","",L163)</f>
        <v>0.016548</v>
      </c>
      <c r="M166" s="25" t="n">
        <f aca="false">IF(M163="","",M163)</f>
        <v>0.016548</v>
      </c>
    </row>
    <row r="167" customFormat="false" ht="17.15" hidden="false" customHeight="false" outlineLevel="0" collapsed="false">
      <c r="A167" s="5" t="s">
        <v>1381</v>
      </c>
      <c r="B167" s="0" t="s">
        <v>1520</v>
      </c>
      <c r="C167" s="0" t="s">
        <v>82</v>
      </c>
      <c r="D167" s="25" t="str">
        <f aca="false">IF(D163="","",IF(In!$C$115="未說明",D163/D$13,D163))</f>
        <v/>
      </c>
      <c r="E167" s="25" t="str">
        <f aca="false">IF(E163="","",IF(In!$C$115="未說明",E163/E$13,E163))</f>
        <v/>
      </c>
      <c r="F167" s="25" t="n">
        <f aca="false">IF(F163="","",IF(In!$C$115="未說明",F163/F$13,F163))</f>
        <v>0.0055</v>
      </c>
      <c r="G167" s="25" t="n">
        <f aca="false">IF(G163="","",IF(In!$C$115="未說明",G163/G$13,G163))</f>
        <v>0.014574</v>
      </c>
      <c r="H167" s="25" t="n">
        <f aca="false">IF(H163="","",IF(In!$C$115="未說明",H163/H$13,H163))</f>
        <v>0.016548</v>
      </c>
      <c r="I167" s="25" t="n">
        <f aca="false">IF(I163="","",IF(In!$C$115="未說明",I163/I$13,I163))</f>
        <v>0.016548</v>
      </c>
      <c r="J167" s="25" t="n">
        <f aca="false">IF(J163="","",IF(In!$C$115="未說明",J163/J$13,J163))</f>
        <v>0.016548</v>
      </c>
      <c r="K167" s="25" t="n">
        <f aca="false">IF(K163="","",IF(In!$C$115="未說明",K163/K$13,K163))</f>
        <v>0.016548</v>
      </c>
      <c r="L167" s="25" t="n">
        <f aca="false">IF(L163="","",IF(In!$C$115="未說明",L163/L$13,L163))</f>
        <v>0.016548</v>
      </c>
      <c r="M167" s="25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1383</v>
      </c>
      <c r="B168" s="0" t="s">
        <v>1521</v>
      </c>
      <c r="C168" s="0" t="s">
        <v>82</v>
      </c>
      <c r="D168" s="0" t="str">
        <f aca="false">""</f>
        <v/>
      </c>
      <c r="E168" s="25" t="str">
        <f aca="false">IF(AND(D163&lt;&gt;"",E163&lt;&gt;""),(D163+E163)/2,"")</f>
        <v/>
      </c>
      <c r="F168" s="25" t="str">
        <f aca="false">IF(AND(E163&lt;&gt;"",F163&lt;&gt;""),(E163+F163)/2,"")</f>
        <v/>
      </c>
      <c r="G168" s="25" t="n">
        <f aca="false">IF(AND(F163&lt;&gt;"",G163&lt;&gt;""),(F163+G163)/2,"")</f>
        <v>0.010037</v>
      </c>
      <c r="H168" s="25" t="n">
        <f aca="false">IF(AND(G163&lt;&gt;"",H163&lt;&gt;""),(G163+H163)/2,"")</f>
        <v>0.015561</v>
      </c>
      <c r="I168" s="25" t="n">
        <f aca="false">IF(AND(H163&lt;&gt;"",I163&lt;&gt;""),(H163+I163)/2,"")</f>
        <v>0.016548</v>
      </c>
      <c r="J168" s="25" t="n">
        <f aca="false">IF(AND(I163&lt;&gt;"",J163&lt;&gt;""),(I163+J163)/2,"")</f>
        <v>0.016548</v>
      </c>
      <c r="K168" s="25" t="n">
        <f aca="false">IF(AND(J163&lt;&gt;"",K163&lt;&gt;""),(J163+K163)/2,"")</f>
        <v>0.016548</v>
      </c>
      <c r="L168" s="25" t="n">
        <f aca="false">IF(AND(K163&lt;&gt;"",L163&lt;&gt;""),(K163+L163)/2,"")</f>
        <v>0.016548</v>
      </c>
      <c r="M168" s="25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1385</v>
      </c>
      <c r="B169" s="0" t="s">
        <v>1522</v>
      </c>
      <c r="C169" s="0" t="s">
        <v>82</v>
      </c>
      <c r="D169" s="0" t="n">
        <v>0</v>
      </c>
      <c r="E169" s="25" t="n">
        <f aca="false">IF(AND(D163&lt;&gt;"",E163&lt;&gt;""),E163-D163,0)</f>
        <v>0</v>
      </c>
      <c r="F169" s="25" t="n">
        <f aca="false">IF(AND(E163&lt;&gt;"",F163&lt;&gt;""),F163-E163,0)</f>
        <v>0</v>
      </c>
      <c r="G169" s="25" t="n">
        <f aca="false">IF(AND(F163&lt;&gt;"",G163&lt;&gt;""),G163-F163,0)</f>
        <v>0.009074</v>
      </c>
      <c r="H169" s="25" t="n">
        <f aca="false">IF(AND(G163&lt;&gt;"",H163&lt;&gt;""),H163-G163,0)</f>
        <v>0.001974</v>
      </c>
      <c r="I169" s="25" t="n">
        <f aca="false">IF(AND(H163&lt;&gt;"",I163&lt;&gt;""),I163-H163,0)</f>
        <v>0</v>
      </c>
      <c r="J169" s="25" t="n">
        <f aca="false">IF(AND(I163&lt;&gt;"",J163&lt;&gt;""),J163-I163,0)</f>
        <v>0</v>
      </c>
      <c r="K169" s="25" t="n">
        <f aca="false">IF(AND(J163&lt;&gt;"",K163&lt;&gt;""),K163-J163,0)</f>
        <v>0</v>
      </c>
      <c r="L169" s="25" t="n">
        <f aca="false">IF(AND(K163&lt;&gt;"",L163&lt;&gt;""),L163-K163,0)</f>
        <v>0</v>
      </c>
      <c r="M169" s="25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1387</v>
      </c>
      <c r="B170" s="0" t="s">
        <v>1523</v>
      </c>
      <c r="C170" s="0" t="s">
        <v>82</v>
      </c>
      <c r="D170" s="25" t="n">
        <f aca="false">IF(D163&lt;&gt;"",D163,0)</f>
        <v>0</v>
      </c>
      <c r="E170" s="25" t="n">
        <f aca="false">IF(AND(D163="",E163&lt;&gt;""),E163,0)</f>
        <v>0</v>
      </c>
      <c r="F170" s="25" t="n">
        <f aca="false">IF(AND(E163="",F163&lt;&gt;""),F163,0)</f>
        <v>0.0055</v>
      </c>
      <c r="G170" s="25" t="n">
        <f aca="false">IF(AND(F163="",G163&lt;&gt;""),G163,0)</f>
        <v>0</v>
      </c>
      <c r="H170" s="25" t="n">
        <f aca="false">IF(AND(G163="",H163&lt;&gt;""),H163,0)</f>
        <v>0</v>
      </c>
      <c r="I170" s="25" t="n">
        <f aca="false">IF(AND(H163="",I163&lt;&gt;""),I163,0)</f>
        <v>0</v>
      </c>
      <c r="J170" s="25" t="n">
        <f aca="false">IF(AND(I163="",J163&lt;&gt;""),J163,0)</f>
        <v>0</v>
      </c>
      <c r="K170" s="25" t="n">
        <f aca="false">IF(AND(J163="",K163&lt;&gt;""),K163,0)</f>
        <v>0</v>
      </c>
      <c r="L170" s="25" t="n">
        <f aca="false">IF(AND(K163="",L163&lt;&gt;""),L163,0)</f>
        <v>0</v>
      </c>
      <c r="M170" s="25" t="n">
        <f aca="false">IF(AND(L163="",M163&lt;&gt;""),M163,0)</f>
        <v>0</v>
      </c>
    </row>
    <row r="171" customFormat="false" ht="17.15" hidden="false" customHeight="false" outlineLevel="0" collapsed="false">
      <c r="A171" s="5" t="s">
        <v>1389</v>
      </c>
      <c r="B171" s="0" t="s">
        <v>1524</v>
      </c>
      <c r="C171" s="0" t="s">
        <v>57</v>
      </c>
      <c r="D171" s="24" t="n">
        <f aca="false">nnv_wyfi</f>
        <v>0</v>
      </c>
      <c r="E171" s="24" t="n">
        <f aca="false">nnv_wyfi</f>
        <v>0</v>
      </c>
      <c r="F171" s="24" t="n">
        <f aca="false">nnv_wyfi</f>
        <v>0</v>
      </c>
      <c r="G171" s="24" t="n">
        <f aca="false">nnv_wyfi</f>
        <v>0</v>
      </c>
      <c r="H171" s="24" t="n">
        <f aca="false">nnv_wyfi</f>
        <v>0</v>
      </c>
      <c r="I171" s="24" t="n">
        <f aca="false">nnv_wyfi</f>
        <v>0</v>
      </c>
      <c r="J171" s="24" t="n">
        <f aca="false">nnv_wyfi</f>
        <v>0</v>
      </c>
      <c r="K171" s="24" t="n">
        <f aca="false">nnv_wyfi</f>
        <v>0</v>
      </c>
      <c r="L171" s="24" t="n">
        <f aca="false">nnv_wyfi</f>
        <v>0</v>
      </c>
      <c r="M171" s="24" t="n">
        <f aca="false">nnv_wyfi</f>
        <v>0</v>
      </c>
    </row>
    <row r="173" customFormat="false" ht="17.15" hidden="false" customHeight="false" outlineLevel="0" collapsed="false">
      <c r="A173" s="8" t="s">
        <v>1525</v>
      </c>
      <c r="B173" s="21" t="s">
        <v>757</v>
      </c>
      <c r="N173" s="21" t="s">
        <v>1526</v>
      </c>
    </row>
    <row r="174" customFormat="false" ht="17.15" hidden="false" customHeight="false" outlineLevel="0" collapsed="false">
      <c r="A174" s="5" t="s">
        <v>1357</v>
      </c>
      <c r="B174" s="0" t="s">
        <v>1527</v>
      </c>
      <c r="C174" s="0" t="s">
        <v>82</v>
      </c>
      <c r="D174" s="25" t="str">
        <f aca="false">IF(In!$H$116="","",IF(In!$C$116="設施",In!$H$116/1000/D$13,In!$H$116/1000))</f>
        <v/>
      </c>
      <c r="E174" s="25" t="str">
        <f aca="false">IF(In!$I$116="","",IF(In!$C$116="設施",In!$I$116/1000/E$13,In!$I$116/1000))</f>
        <v/>
      </c>
      <c r="F174" s="25" t="str">
        <f aca="false">IF(In!$J$116="","",IF(In!$C$116="設施",In!$J$116/1000/F$13,In!$J$116/1000))</f>
        <v/>
      </c>
      <c r="G174" s="25" t="n">
        <f aca="false">IF(In!$K$116="","",IF(In!$C$116="設施",In!$K$116/1000/G$13,In!$K$116/1000))</f>
        <v>2</v>
      </c>
      <c r="H174" s="25" t="str">
        <f aca="false">IF(In!$L$116="","",IF(In!$C$116="設施",In!$L$116/1000/H$13,In!$L$116/1000))</f>
        <v/>
      </c>
      <c r="I174" s="25" t="str">
        <f aca="false">IF(In!$M$116="","",IF(In!$C$116="設施",In!$M$116/1000/I$13,In!$M$116/1000))</f>
        <v/>
      </c>
      <c r="J174" s="25" t="str">
        <f aca="false">IF(In!$N$116="","",IF(In!$C$116="設施",In!$N$116/1000/J$13,In!$N$116/1000))</f>
        <v/>
      </c>
      <c r="K174" s="25" t="str">
        <f aca="false">IF(In!$O$116="","",IF(In!$C$116="設施",In!$O$116/1000/K$13,In!$O$116/1000))</f>
        <v/>
      </c>
      <c r="L174" s="25" t="str">
        <f aca="false">IF(In!$P$116="","",IF(In!$C$116="設施",In!$P$116/1000/L$13,In!$P$116/1000))</f>
        <v/>
      </c>
      <c r="M174" s="25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1359</v>
      </c>
      <c r="B175" s="0" t="s">
        <v>1528</v>
      </c>
      <c r="C175" s="0" t="s">
        <v>82</v>
      </c>
      <c r="D175" s="25" t="str">
        <f aca="false">IF(In!$H$106="","",In!$H$106*Players!$D$19/1000)</f>
        <v/>
      </c>
      <c r="E175" s="25" t="str">
        <f aca="false">IF(In!$I$106="","",In!$I$106*Players!$D$19/1000)</f>
        <v/>
      </c>
      <c r="F175" s="25" t="n">
        <f aca="false">IF(In!$J$106="","",In!$J$106*Players!$D$19/1000)</f>
        <v>0.5698</v>
      </c>
      <c r="G175" s="25" t="str">
        <f aca="false">IF(In!$K$106="","",In!$K$106*Players!$D$19/1000)</f>
        <v/>
      </c>
      <c r="H175" s="25" t="str">
        <f aca="false">IF(In!$L$106="","",In!$L$106*Players!$D$19/1000)</f>
        <v/>
      </c>
      <c r="I175" s="25" t="str">
        <f aca="false">IF(In!$M$106="","",In!$M$106*Players!$D$19/1000)</f>
        <v/>
      </c>
      <c r="J175" s="25" t="str">
        <f aca="false">IF(In!$N$106="","",In!$N$106*Players!$D$19/1000)</f>
        <v/>
      </c>
      <c r="K175" s="25" t="str">
        <f aca="false">IF(In!$O$106="","",In!$O$106*Players!$D$19/1000)</f>
        <v/>
      </c>
      <c r="L175" s="25" t="str">
        <f aca="false">IF(In!$P$106="","",In!$P$106*Players!$D$19/1000)</f>
        <v/>
      </c>
      <c r="M175" s="25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1361</v>
      </c>
      <c r="B176" s="0" t="s">
        <v>1529</v>
      </c>
      <c r="C176" s="0" t="s">
        <v>82</v>
      </c>
      <c r="D176" s="25" t="str">
        <f aca="false">IF(D174&lt;&gt;"",D174,IF(D175&lt;&gt;"",D175,IF(INT(obsd_xai)=2023,obs_xai/1000+SUMIFS(Pipeline!$L$5:$L$134,Pipeline!$C$5:$C$134,"xai",Pipeline!$Q$5:$Q$134,1,Pipeline!$K$5:$K$134,"&gt;"&amp;obsd_xai,Pipeline!$K$5:$K$134,"&lt;="&amp;2024),"")))</f>
        <v/>
      </c>
      <c r="E176" s="25" t="str">
        <f aca="false">IF(E174&lt;&gt;"",E174,IF(E175&lt;&gt;"",E175,IF(INT(obsd_xai)=2024,obs_xai/1000+SUMIFS(Pipeline!$L$5:$L$134,Pipeline!$C$5:$C$134,"xai",Pipeline!$Q$5:$Q$134,1,Pipeline!$K$5:$K$134,"&gt;"&amp;obsd_xai,Pipeline!$K$5:$K$134,"&lt;="&amp;2025),"")))</f>
        <v/>
      </c>
      <c r="F176" s="25" t="n">
        <f aca="false">IF(F174&lt;&gt;"",F174,IF(F175&lt;&gt;"",F175,IF(INT(obsd_xai)=2025,obs_xai/1000+SUMIFS(Pipeline!$L$5:$L$134,Pipeline!$C$5:$C$134,"xai",Pipeline!$Q$5:$Q$134,1,Pipeline!$K$5:$K$134,"&gt;"&amp;obsd_xai,Pipeline!$K$5:$K$134,"&lt;="&amp;2026),"")))</f>
        <v>0.5698</v>
      </c>
      <c r="G176" s="25" t="n">
        <f aca="false">IF(G174&lt;&gt;"",G174,IF(G175&lt;&gt;"",G175,IF(INT(obsd_xai)=2026,obs_xai/1000+SUMIFS(Pipeline!$L$5:$L$134,Pipeline!$C$5:$C$134,"xai",Pipeline!$Q$5:$Q$134,1,Pipeline!$K$5:$K$134,"&gt;"&amp;obsd_xai,Pipeline!$K$5:$K$134,"&lt;="&amp;2027),"")))</f>
        <v>2</v>
      </c>
      <c r="H176" s="25" t="str">
        <f aca="false">IF(H174&lt;&gt;"",H174,IF(H175&lt;&gt;"",H175,IF(INT(obsd_xai)=2027,obs_xai/1000+SUMIFS(Pipeline!$L$5:$L$134,Pipeline!$C$5:$C$134,"xai",Pipeline!$Q$5:$Q$134,1,Pipeline!$K$5:$K$134,"&gt;"&amp;obsd_xai,Pipeline!$K$5:$K$134,"&lt;="&amp;2028),"")))</f>
        <v/>
      </c>
      <c r="I176" s="25" t="str">
        <f aca="false">IF(I174&lt;&gt;"",I174,IF(I175&lt;&gt;"",I175,IF(INT(obsd_xai)=2028,obs_xai/1000+SUMIFS(Pipeline!$L$5:$L$134,Pipeline!$C$5:$C$134,"xai",Pipeline!$Q$5:$Q$134,1,Pipeline!$K$5:$K$134,"&gt;"&amp;obsd_xai,Pipeline!$K$5:$K$134,"&lt;="&amp;2029),"")))</f>
        <v/>
      </c>
      <c r="J176" s="25" t="str">
        <f aca="false">IF(J174&lt;&gt;"",J174,IF(J175&lt;&gt;"",J175,IF(INT(obsd_xai)=2029,obs_xai/1000+SUMIFS(Pipeline!$L$5:$L$134,Pipeline!$C$5:$C$134,"xai",Pipeline!$Q$5:$Q$134,1,Pipeline!$K$5:$K$134,"&gt;"&amp;obsd_xai,Pipeline!$K$5:$K$134,"&lt;="&amp;2030),"")))</f>
        <v/>
      </c>
      <c r="K176" s="25" t="str">
        <f aca="false">IF(K174&lt;&gt;"",K174,IF(K175&lt;&gt;"",K175,IF(INT(obsd_xai)=2030,obs_xai/1000+SUMIFS(Pipeline!$L$5:$L$134,Pipeline!$C$5:$C$134,"xai",Pipeline!$Q$5:$Q$134,1,Pipeline!$K$5:$K$134,"&gt;"&amp;obsd_xai,Pipeline!$K$5:$K$134,"&lt;="&amp;2031),"")))</f>
        <v/>
      </c>
      <c r="L176" s="25" t="str">
        <f aca="false">IF(L174&lt;&gt;"",L174,IF(L175&lt;&gt;"",L175,IF(INT(obsd_xai)=2031,obs_xai/1000+SUMIFS(Pipeline!$L$5:$L$134,Pipeline!$C$5:$C$134,"xai",Pipeline!$Q$5:$Q$134,1,Pipeline!$K$5:$K$134,"&gt;"&amp;obsd_xai,Pipeline!$K$5:$K$134,"&lt;="&amp;2032),"")))</f>
        <v/>
      </c>
      <c r="M176" s="25" t="str">
        <f aca="false">IF(M174&lt;&gt;"",M174,IF(M175&lt;&gt;"",M175,IF(INT(obsd_xai)=2032,obs_xai/1000+SUMIFS(Pipeline!$L$5:$L$134,Pipeline!$C$5:$C$134,"xai",Pipeline!$Q$5:$Q$134,1,Pipeline!$K$5:$K$134,"&gt;"&amp;obsd_xai,Pipeline!$K$5:$K$134,"&lt;="&amp;2033),"")))</f>
        <v/>
      </c>
    </row>
    <row r="177" customFormat="false" ht="15" hidden="false" customHeight="false" outlineLevel="0" collapsed="false">
      <c r="A177" s="5" t="s">
        <v>1363</v>
      </c>
      <c r="B177" s="0" t="s">
        <v>1530</v>
      </c>
      <c r="C177" s="0" t="s">
        <v>82</v>
      </c>
      <c r="D177" s="0" t="str">
        <f aca="false">IF(D176&lt;&gt;"",D176,"")</f>
        <v/>
      </c>
      <c r="E177" s="0" t="str">
        <f aca="false">IF(E176&lt;&gt;"",E176,D177)</f>
        <v/>
      </c>
      <c r="F177" s="25" t="n">
        <f aca="false">IF(F176&lt;&gt;"",F176,E177)</f>
        <v>0.5698</v>
      </c>
      <c r="G177" s="25" t="n">
        <f aca="false">IF(G176&lt;&gt;"",G176,F177)</f>
        <v>2</v>
      </c>
      <c r="H177" s="25" t="n">
        <f aca="false">IF(H176&lt;&gt;"",H176,G177)</f>
        <v>2</v>
      </c>
      <c r="I177" s="25" t="n">
        <f aca="false">IF(I176&lt;&gt;"",I176,H177)</f>
        <v>2</v>
      </c>
      <c r="J177" s="25" t="n">
        <f aca="false">IF(J176&lt;&gt;"",J176,I177)</f>
        <v>2</v>
      </c>
      <c r="K177" s="25" t="n">
        <f aca="false">IF(K176&lt;&gt;"",K176,J177)</f>
        <v>2</v>
      </c>
      <c r="L177" s="25" t="n">
        <f aca="false">IF(L176&lt;&gt;"",L176,K177)</f>
        <v>2</v>
      </c>
      <c r="M177" s="25" t="n">
        <f aca="false">IF(M176&lt;&gt;"",M176,L177)</f>
        <v>2</v>
      </c>
    </row>
    <row r="178" customFormat="false" ht="15" hidden="false" customHeight="false" outlineLevel="0" collapsed="false">
      <c r="A178" s="5" t="s">
        <v>1365</v>
      </c>
      <c r="B178" s="0" t="s">
        <v>1531</v>
      </c>
      <c r="C178" s="5" t="s">
        <v>52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1367</v>
      </c>
      <c r="B179" s="0" t="s">
        <v>1532</v>
      </c>
      <c r="C179" s="0" t="s">
        <v>82</v>
      </c>
      <c r="D179" s="25" t="n">
        <f aca="false">IF(D176&lt;&gt;"",D176,E179)</f>
        <v>0.5698</v>
      </c>
      <c r="E179" s="25" t="n">
        <f aca="false">IF(E176&lt;&gt;"",E176,F179)</f>
        <v>0.5698</v>
      </c>
      <c r="F179" s="25" t="n">
        <f aca="false">IF(F176&lt;&gt;"",F176,G179)</f>
        <v>0.5698</v>
      </c>
      <c r="G179" s="25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1369</v>
      </c>
      <c r="B180" s="0" t="s">
        <v>1533</v>
      </c>
      <c r="C180" s="5" t="s">
        <v>52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1371</v>
      </c>
      <c r="B181" s="0" t="s">
        <v>1534</v>
      </c>
      <c r="C181" s="0" t="s">
        <v>82</v>
      </c>
      <c r="D181" s="25" t="n">
        <f aca="false">SUMIFS(Pipeline!$L$5:$L$134,Pipeline!$C$5:$C$134,"xai",Pipeline!$Q$5:$Q$134,1,Pipeline!$P$5:$P$134,2023)</f>
        <v>0</v>
      </c>
      <c r="E181" s="25" t="n">
        <f aca="false">SUMIFS(Pipeline!$L$5:$L$134,Pipeline!$C$5:$C$134,"xai",Pipeline!$Q$5:$Q$134,1,Pipeline!$P$5:$P$134,2024)</f>
        <v>0</v>
      </c>
      <c r="F181" s="25" t="n">
        <f aca="false">SUMIFS(Pipeline!$L$5:$L$134,Pipeline!$C$5:$C$134,"xai",Pipeline!$Q$5:$Q$134,1,Pipeline!$P$5:$P$134,2025)</f>
        <v>0</v>
      </c>
      <c r="G181" s="25" t="n">
        <f aca="false">SUMIFS(Pipeline!$L$5:$L$134,Pipeline!$C$5:$C$134,"xai",Pipeline!$Q$5:$Q$134,1,Pipeline!$P$5:$P$134,2026)</f>
        <v>0</v>
      </c>
      <c r="H181" s="25" t="n">
        <f aca="false">SUMIFS(Pipeline!$L$5:$L$134,Pipeline!$C$5:$C$134,"xai",Pipeline!$Q$5:$Q$134,1,Pipeline!$P$5:$P$134,2027)</f>
        <v>0.585</v>
      </c>
      <c r="I181" s="25" t="n">
        <f aca="false">SUMIFS(Pipeline!$L$5:$L$134,Pipeline!$C$5:$C$134,"xai",Pipeline!$Q$5:$Q$134,1,Pipeline!$P$5:$P$134,2028)</f>
        <v>0</v>
      </c>
      <c r="J181" s="25" t="n">
        <f aca="false">SUMIFS(Pipeline!$L$5:$L$134,Pipeline!$C$5:$C$134,"xai",Pipeline!$Q$5:$Q$134,1,Pipeline!$P$5:$P$134,2029)</f>
        <v>0</v>
      </c>
      <c r="K181" s="25" t="n">
        <f aca="false">SUMIFS(Pipeline!$L$5:$L$134,Pipeline!$C$5:$C$134,"xai",Pipeline!$Q$5:$Q$134,1,Pipeline!$P$5:$P$134,2030)</f>
        <v>0</v>
      </c>
      <c r="L181" s="25" t="n">
        <f aca="false">SUMIFS(Pipeline!$L$5:$L$134,Pipeline!$C$5:$C$134,"xai",Pipeline!$Q$5:$Q$134,1,Pipeline!$P$5:$P$134,2031)</f>
        <v>0</v>
      </c>
      <c r="M181" s="25" t="n">
        <f aca="false">SUMIFS(Pipeline!$L$5:$L$134,Pipeline!$C$5:$C$134,"xai",Pipeline!$Q$5:$Q$134,1,Pipeline!$P$5:$P$134,2032)</f>
        <v>0</v>
      </c>
    </row>
    <row r="182" customFormat="false" ht="17.15" hidden="false" customHeight="false" outlineLevel="0" collapsed="false">
      <c r="A182" s="5" t="s">
        <v>1373</v>
      </c>
      <c r="B182" s="0" t="s">
        <v>1535</v>
      </c>
      <c r="C182" s="0" t="s">
        <v>82</v>
      </c>
      <c r="D182" s="26" t="str">
        <f aca="false">IF(D176&lt;&gt;"",D176,IF(AND(D177&lt;&gt;"",D179&lt;&gt;""),D177+(D179-D177)*(2023-D178)/(D180-D178),""))</f>
        <v/>
      </c>
      <c r="E182" s="26" t="str">
        <f aca="false">IF(E176&lt;&gt;"",E176,IF(AND(E177&lt;&gt;"",E179&lt;&gt;""),E177+(E179-E177)*(2024-E178)/(E180-E178),IF(D182&lt;&gt;"",D182+E181,"")))</f>
        <v/>
      </c>
      <c r="F182" s="26" t="n">
        <f aca="false">IF(F176&lt;&gt;"",F176,IF(AND(F177&lt;&gt;"",F179&lt;&gt;""),F177+(F179-F177)*(2025-F178)/(F180-F178),IF(E182&lt;&gt;"",E182+F181,"")))</f>
        <v>0.5698</v>
      </c>
      <c r="G182" s="26" t="n">
        <f aca="false">IF(G176&lt;&gt;"",G176,IF(AND(G177&lt;&gt;"",G179&lt;&gt;""),G177+(G179-G177)*(2026-G178)/(G180-G178),IF(F182&lt;&gt;"",F182+G181,"")))</f>
        <v>2</v>
      </c>
      <c r="H182" s="26" t="n">
        <f aca="false">IF(H176&lt;&gt;"",H176,IF(AND(H177&lt;&gt;"",H179&lt;&gt;""),H177+(H179-H177)*(2027-H178)/(H180-H178),IF(G182&lt;&gt;"",G182+H181,"")))</f>
        <v>2.585</v>
      </c>
      <c r="I182" s="26" t="n">
        <f aca="false">IF(I176&lt;&gt;"",I176,IF(AND(I177&lt;&gt;"",I179&lt;&gt;""),I177+(I179-I177)*(2028-I178)/(I180-I178),IF(H182&lt;&gt;"",H182+I181,"")))</f>
        <v>2.585</v>
      </c>
      <c r="J182" s="26" t="n">
        <f aca="false">IF(J176&lt;&gt;"",J176,IF(AND(J177&lt;&gt;"",J179&lt;&gt;""),J177+(J179-J177)*(2029-J178)/(J180-J178),IF(I182&lt;&gt;"",I182+J181,"")))</f>
        <v>2.585</v>
      </c>
      <c r="K182" s="26" t="n">
        <f aca="false">IF(K176&lt;&gt;"",K176,IF(AND(K177&lt;&gt;"",K179&lt;&gt;""),K177+(K179-K177)*(2030-K178)/(K180-K178),IF(J182&lt;&gt;"",J182+K181,"")))</f>
        <v>2.585</v>
      </c>
      <c r="L182" s="26" t="n">
        <f aca="false">IF(L176&lt;&gt;"",L176,IF(AND(L177&lt;&gt;"",L179&lt;&gt;""),L177+(L179-L177)*(2031-L178)/(L180-L178),IF(K182&lt;&gt;"",K182+L181,"")))</f>
        <v>2.585</v>
      </c>
      <c r="M182" s="26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1375</v>
      </c>
      <c r="B183" s="0" t="s">
        <v>1536</v>
      </c>
      <c r="C183" s="0" t="s">
        <v>40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1377</v>
      </c>
      <c r="B184" s="0" t="s">
        <v>1537</v>
      </c>
      <c r="C184" s="0" t="s">
        <v>82</v>
      </c>
      <c r="D184" s="25" t="str">
        <f aca="false">IF(D182="","",IF(AND(D183=5,In!$H$106&lt;&gt;""),In!$H$106*Players!$E$19/1000,D182))</f>
        <v/>
      </c>
      <c r="E184" s="25" t="str">
        <f aca="false">IF(E182="","",IF(AND(E183=5,In!$I$106&lt;&gt;""),In!$I$106*Players!$E$19/1000,E182))</f>
        <v/>
      </c>
      <c r="F184" s="25" t="n">
        <f aca="false">IF(F182="","",IF(AND(F183=5,In!$J$106&lt;&gt;""),In!$J$106*Players!$E$19/1000,F182))</f>
        <v>0.5082</v>
      </c>
      <c r="G184" s="25" t="n">
        <f aca="false">IF(G182="","",IF(AND(G183=5,In!$K$106&lt;&gt;""),In!$K$106*Players!$E$19/1000,G182))</f>
        <v>2</v>
      </c>
      <c r="H184" s="25" t="n">
        <f aca="false">IF(H182="","",IF(AND(H183=5,In!$L$106&lt;&gt;""),In!$L$106*Players!$E$19/1000,H182))</f>
        <v>2.585</v>
      </c>
      <c r="I184" s="25" t="n">
        <f aca="false">IF(I182="","",IF(AND(I183=5,In!$M$106&lt;&gt;""),In!$M$106*Players!$E$19/1000,I182))</f>
        <v>2.585</v>
      </c>
      <c r="J184" s="25" t="n">
        <f aca="false">IF(J182="","",IF(AND(J183=5,In!$N$106&lt;&gt;""),In!$N$106*Players!$E$19/1000,J182))</f>
        <v>2.585</v>
      </c>
      <c r="K184" s="25" t="n">
        <f aca="false">IF(K182="","",IF(AND(K183=5,In!$O$106&lt;&gt;""),In!$O$106*Players!$E$19/1000,K182))</f>
        <v>2.585</v>
      </c>
      <c r="L184" s="25" t="n">
        <f aca="false">IF(L182="","",IF(AND(L183=5,In!$P$106&lt;&gt;""),In!$P$106*Players!$E$19/1000,L182))</f>
        <v>2.585</v>
      </c>
      <c r="M184" s="25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1379</v>
      </c>
      <c r="B185" s="0" t="s">
        <v>1538</v>
      </c>
      <c r="C185" s="0" t="s">
        <v>82</v>
      </c>
      <c r="D185" s="25" t="str">
        <f aca="false">IF(D182="","",IF(AND(D183=5,In!$H$106&lt;&gt;""),In!$H$106*Players!$F$19/1000,D182))</f>
        <v/>
      </c>
      <c r="E185" s="25" t="str">
        <f aca="false">IF(E182="","",IF(AND(E183=5,In!$I$106&lt;&gt;""),In!$I$106*Players!$F$19/1000,E182))</f>
        <v/>
      </c>
      <c r="F185" s="25" t="n">
        <f aca="false">IF(F182="","",IF(AND(F183=5,In!$J$106&lt;&gt;""),In!$J$106*Players!$F$19/1000,F182))</f>
        <v>0.64064</v>
      </c>
      <c r="G185" s="25" t="n">
        <f aca="false">IF(G182="","",IF(AND(G183=5,In!$K$106&lt;&gt;""),In!$K$106*Players!$F$19/1000,G182))</f>
        <v>2</v>
      </c>
      <c r="H185" s="25" t="n">
        <f aca="false">IF(H182="","",IF(AND(H183=5,In!$L$106&lt;&gt;""),In!$L$106*Players!$F$19/1000,H182))</f>
        <v>2.585</v>
      </c>
      <c r="I185" s="25" t="n">
        <f aca="false">IF(I182="","",IF(AND(I183=5,In!$M$106&lt;&gt;""),In!$M$106*Players!$F$19/1000,I182))</f>
        <v>2.585</v>
      </c>
      <c r="J185" s="25" t="n">
        <f aca="false">IF(J182="","",IF(AND(J183=5,In!$N$106&lt;&gt;""),In!$N$106*Players!$F$19/1000,J182))</f>
        <v>2.585</v>
      </c>
      <c r="K185" s="25" t="n">
        <f aca="false">IF(K182="","",IF(AND(K183=5,In!$O$106&lt;&gt;""),In!$O$106*Players!$F$19/1000,K182))</f>
        <v>2.585</v>
      </c>
      <c r="L185" s="25" t="n">
        <f aca="false">IF(L182="","",IF(AND(L183=5,In!$P$106&lt;&gt;""),In!$P$106*Players!$F$19/1000,L182))</f>
        <v>2.585</v>
      </c>
      <c r="M185" s="25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1381</v>
      </c>
      <c r="B186" s="0" t="s">
        <v>1539</v>
      </c>
      <c r="C186" s="0" t="s">
        <v>82</v>
      </c>
      <c r="D186" s="25" t="str">
        <f aca="false">IF(D182="","",IF(In!$C$116="未說明",D182/D$13,D182))</f>
        <v/>
      </c>
      <c r="E186" s="25" t="str">
        <f aca="false">IF(E182="","",IF(In!$C$116="未說明",E182/E$13,E182))</f>
        <v/>
      </c>
      <c r="F186" s="25" t="n">
        <f aca="false">IF(F182="","",IF(In!$C$116="未說明",F182/F$13,F182))</f>
        <v>0.474833333333333</v>
      </c>
      <c r="G186" s="25" t="n">
        <f aca="false">IF(G182="","",IF(In!$C$116="未說明",G182/G$13,G182))</f>
        <v>1.66666666666667</v>
      </c>
      <c r="H186" s="25" t="n">
        <f aca="false">IF(H182="","",IF(In!$C$116="未說明",H182/H$13,H182))</f>
        <v>2.15416666666667</v>
      </c>
      <c r="I186" s="25" t="n">
        <f aca="false">IF(I182="","",IF(In!$C$116="未說明",I182/I$13,I182))</f>
        <v>2.15416666666667</v>
      </c>
      <c r="J186" s="25" t="n">
        <f aca="false">IF(J182="","",IF(In!$C$116="未說明",J182/J$13,J182))</f>
        <v>2.15416666666667</v>
      </c>
      <c r="K186" s="25" t="n">
        <f aca="false">IF(K182="","",IF(In!$C$116="未說明",K182/K$13,K182))</f>
        <v>2.15416666666667</v>
      </c>
      <c r="L186" s="25" t="n">
        <f aca="false">IF(L182="","",IF(In!$C$116="未說明",L182/L$13,L182))</f>
        <v>2.15416666666667</v>
      </c>
      <c r="M186" s="25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1383</v>
      </c>
      <c r="B187" s="0" t="s">
        <v>1540</v>
      </c>
      <c r="C187" s="0" t="s">
        <v>82</v>
      </c>
      <c r="D187" s="0" t="str">
        <f aca="false">""</f>
        <v/>
      </c>
      <c r="E187" s="25" t="str">
        <f aca="false">IF(AND(D182&lt;&gt;"",E182&lt;&gt;""),(D182+E182)/2,"")</f>
        <v/>
      </c>
      <c r="F187" s="25" t="str">
        <f aca="false">IF(AND(E182&lt;&gt;"",F182&lt;&gt;""),(E182+F182)/2,"")</f>
        <v/>
      </c>
      <c r="G187" s="25" t="n">
        <f aca="false">IF(AND(F182&lt;&gt;"",G182&lt;&gt;""),(F182+G182)/2,"")</f>
        <v>1.2849</v>
      </c>
      <c r="H187" s="25" t="n">
        <f aca="false">IF(AND(G182&lt;&gt;"",H182&lt;&gt;""),(G182+H182)/2,"")</f>
        <v>2.2925</v>
      </c>
      <c r="I187" s="25" t="n">
        <f aca="false">IF(AND(H182&lt;&gt;"",I182&lt;&gt;""),(H182+I182)/2,"")</f>
        <v>2.585</v>
      </c>
      <c r="J187" s="25" t="n">
        <f aca="false">IF(AND(I182&lt;&gt;"",J182&lt;&gt;""),(I182+J182)/2,"")</f>
        <v>2.585</v>
      </c>
      <c r="K187" s="25" t="n">
        <f aca="false">IF(AND(J182&lt;&gt;"",K182&lt;&gt;""),(J182+K182)/2,"")</f>
        <v>2.585</v>
      </c>
      <c r="L187" s="25" t="n">
        <f aca="false">IF(AND(K182&lt;&gt;"",L182&lt;&gt;""),(K182+L182)/2,"")</f>
        <v>2.585</v>
      </c>
      <c r="M187" s="25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1385</v>
      </c>
      <c r="B188" s="0" t="s">
        <v>1541</v>
      </c>
      <c r="C188" s="0" t="s">
        <v>82</v>
      </c>
      <c r="D188" s="0" t="n">
        <v>0</v>
      </c>
      <c r="E188" s="25" t="n">
        <f aca="false">IF(AND(D182&lt;&gt;"",E182&lt;&gt;""),E182-D182,0)</f>
        <v>0</v>
      </c>
      <c r="F188" s="25" t="n">
        <f aca="false">IF(AND(E182&lt;&gt;"",F182&lt;&gt;""),F182-E182,0)</f>
        <v>0</v>
      </c>
      <c r="G188" s="25" t="n">
        <f aca="false">IF(AND(F182&lt;&gt;"",G182&lt;&gt;""),G182-F182,0)</f>
        <v>1.4302</v>
      </c>
      <c r="H188" s="25" t="n">
        <f aca="false">IF(AND(G182&lt;&gt;"",H182&lt;&gt;""),H182-G182,0)</f>
        <v>0.585</v>
      </c>
      <c r="I188" s="25" t="n">
        <f aca="false">IF(AND(H182&lt;&gt;"",I182&lt;&gt;""),I182-H182,0)</f>
        <v>0</v>
      </c>
      <c r="J188" s="25" t="n">
        <f aca="false">IF(AND(I182&lt;&gt;"",J182&lt;&gt;""),J182-I182,0)</f>
        <v>0</v>
      </c>
      <c r="K188" s="25" t="n">
        <f aca="false">IF(AND(J182&lt;&gt;"",K182&lt;&gt;""),K182-J182,0)</f>
        <v>0</v>
      </c>
      <c r="L188" s="25" t="n">
        <f aca="false">IF(AND(K182&lt;&gt;"",L182&lt;&gt;""),L182-K182,0)</f>
        <v>0</v>
      </c>
      <c r="M188" s="25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1387</v>
      </c>
      <c r="B189" s="0" t="s">
        <v>1542</v>
      </c>
      <c r="C189" s="0" t="s">
        <v>82</v>
      </c>
      <c r="D189" s="25" t="n">
        <f aca="false">IF(D182&lt;&gt;"",D182,0)</f>
        <v>0</v>
      </c>
      <c r="E189" s="25" t="n">
        <f aca="false">IF(AND(D182="",E182&lt;&gt;""),E182,0)</f>
        <v>0</v>
      </c>
      <c r="F189" s="25" t="n">
        <f aca="false">IF(AND(E182="",F182&lt;&gt;""),F182,0)</f>
        <v>0.5698</v>
      </c>
      <c r="G189" s="25" t="n">
        <f aca="false">IF(AND(F182="",G182&lt;&gt;""),G182,0)</f>
        <v>0</v>
      </c>
      <c r="H189" s="25" t="n">
        <f aca="false">IF(AND(G182="",H182&lt;&gt;""),H182,0)</f>
        <v>0</v>
      </c>
      <c r="I189" s="25" t="n">
        <f aca="false">IF(AND(H182="",I182&lt;&gt;""),I182,0)</f>
        <v>0</v>
      </c>
      <c r="J189" s="25" t="n">
        <f aca="false">IF(AND(I182="",J182&lt;&gt;""),J182,0)</f>
        <v>0</v>
      </c>
      <c r="K189" s="25" t="n">
        <f aca="false">IF(AND(J182="",K182&lt;&gt;""),K182,0)</f>
        <v>0</v>
      </c>
      <c r="L189" s="25" t="n">
        <f aca="false">IF(AND(K182="",L182&lt;&gt;""),L182,0)</f>
        <v>0</v>
      </c>
      <c r="M189" s="25" t="n">
        <f aca="false">IF(AND(L182="",M182&lt;&gt;""),M182,0)</f>
        <v>0</v>
      </c>
    </row>
    <row r="190" customFormat="false" ht="17.15" hidden="false" customHeight="false" outlineLevel="0" collapsed="false">
      <c r="A190" s="5" t="s">
        <v>1389</v>
      </c>
      <c r="B190" s="0" t="s">
        <v>1543</v>
      </c>
      <c r="C190" s="0" t="s">
        <v>57</v>
      </c>
      <c r="D190" s="24" t="n">
        <f aca="false">nnv_xai</f>
        <v>0</v>
      </c>
      <c r="E190" s="24" t="n">
        <f aca="false">nnv_xai</f>
        <v>0</v>
      </c>
      <c r="F190" s="24" t="n">
        <f aca="false">nnv_xai</f>
        <v>0</v>
      </c>
      <c r="G190" s="24" t="n">
        <f aca="false">nnv_xai</f>
        <v>0</v>
      </c>
      <c r="H190" s="24" t="n">
        <f aca="false">nnv_xai</f>
        <v>0</v>
      </c>
      <c r="I190" s="24" t="n">
        <f aca="false">nnv_xai</f>
        <v>0</v>
      </c>
      <c r="J190" s="24" t="n">
        <f aca="false">nnv_xai</f>
        <v>0</v>
      </c>
      <c r="K190" s="24" t="n">
        <f aca="false">nnv_xai</f>
        <v>0</v>
      </c>
      <c r="L190" s="24" t="n">
        <f aca="false">nnv_xai</f>
        <v>0</v>
      </c>
      <c r="M190" s="24" t="n">
        <f aca="false">nnv_xai</f>
        <v>0</v>
      </c>
    </row>
    <row r="192" customFormat="false" ht="17.15" hidden="false" customHeight="false" outlineLevel="0" collapsed="false">
      <c r="A192" s="8" t="s">
        <v>1544</v>
      </c>
      <c r="B192" s="21" t="s">
        <v>753</v>
      </c>
      <c r="N192" s="21" t="s">
        <v>1545</v>
      </c>
    </row>
    <row r="193" customFormat="false" ht="17.15" hidden="false" customHeight="false" outlineLevel="0" collapsed="false">
      <c r="A193" s="5" t="s">
        <v>1357</v>
      </c>
      <c r="B193" s="0" t="s">
        <v>1546</v>
      </c>
      <c r="C193" s="0" t="s">
        <v>82</v>
      </c>
      <c r="D193" s="25" t="str">
        <f aca="false">IF(In!$H$117="","",IF(In!$C$117="設施",In!$H$117/1000/D$13,In!$H$117/1000))</f>
        <v/>
      </c>
      <c r="E193" s="25" t="str">
        <f aca="false">IF(In!$I$117="","",IF(In!$C$117="設施",In!$I$117/1000/E$13,In!$I$117/1000))</f>
        <v/>
      </c>
      <c r="F193" s="25" t="n">
        <f aca="false">IF(In!$J$117="","",IF(In!$C$117="設施",In!$J$117/1000/F$13,In!$J$117/1000))</f>
        <v>0</v>
      </c>
      <c r="G193" s="25" t="str">
        <f aca="false">IF(In!$K$117="","",IF(In!$C$117="設施",In!$K$117/1000/G$13,In!$K$117/1000))</f>
        <v/>
      </c>
      <c r="H193" s="25" t="str">
        <f aca="false">IF(In!$L$117="","",IF(In!$C$117="設施",In!$L$117/1000/H$13,In!$L$117/1000))</f>
        <v/>
      </c>
      <c r="I193" s="25" t="str">
        <f aca="false">IF(In!$M$117="","",IF(In!$C$117="設施",In!$M$117/1000/I$13,In!$M$117/1000))</f>
        <v/>
      </c>
      <c r="J193" s="25" t="str">
        <f aca="false">IF(In!$N$117="","",IF(In!$C$117="設施",In!$N$117/1000/J$13,In!$N$117/1000))</f>
        <v/>
      </c>
      <c r="K193" s="25" t="str">
        <f aca="false">IF(In!$O$117="","",IF(In!$C$117="設施",In!$O$117/1000/K$13,In!$O$117/1000))</f>
        <v/>
      </c>
      <c r="L193" s="25" t="str">
        <f aca="false">IF(In!$P$117="","",IF(In!$C$117="設施",In!$P$117/1000/L$13,In!$P$117/1000))</f>
        <v/>
      </c>
      <c r="M193" s="25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1359</v>
      </c>
      <c r="B194" s="0" t="s">
        <v>1547</v>
      </c>
      <c r="C194" s="0" t="s">
        <v>82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1361</v>
      </c>
      <c r="B195" s="0" t="s">
        <v>1548</v>
      </c>
      <c r="C195" s="0" t="s">
        <v>82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5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1363</v>
      </c>
      <c r="B196" s="0" t="s">
        <v>1549</v>
      </c>
      <c r="C196" s="0" t="s">
        <v>82</v>
      </c>
      <c r="D196" s="0" t="str">
        <f aca="false">IF(D195&lt;&gt;"",D195,"")</f>
        <v/>
      </c>
      <c r="E196" s="0" t="str">
        <f aca="false">IF(E195&lt;&gt;"",E195,D196)</f>
        <v/>
      </c>
      <c r="F196" s="25" t="n">
        <f aca="false">IF(F195&lt;&gt;"",F195,E196)</f>
        <v>0</v>
      </c>
      <c r="G196" s="25" t="n">
        <f aca="false">IF(G195&lt;&gt;"",G195,F196)</f>
        <v>0</v>
      </c>
      <c r="H196" s="25" t="n">
        <f aca="false">IF(H195&lt;&gt;"",H195,G196)</f>
        <v>0</v>
      </c>
      <c r="I196" s="25" t="n">
        <f aca="false">IF(I195&lt;&gt;"",I195,H196)</f>
        <v>0</v>
      </c>
      <c r="J196" s="25" t="n">
        <f aca="false">IF(J195&lt;&gt;"",J195,I196)</f>
        <v>0</v>
      </c>
      <c r="K196" s="25" t="n">
        <f aca="false">IF(K195&lt;&gt;"",K195,J196)</f>
        <v>0</v>
      </c>
      <c r="L196" s="25" t="n">
        <f aca="false">IF(L195&lt;&gt;"",L195,K196)</f>
        <v>0</v>
      </c>
      <c r="M196" s="25" t="n">
        <f aca="false">IF(M195&lt;&gt;"",M195,L196)</f>
        <v>0</v>
      </c>
    </row>
    <row r="197" customFormat="false" ht="15" hidden="false" customHeight="false" outlineLevel="0" collapsed="false">
      <c r="A197" s="5" t="s">
        <v>1365</v>
      </c>
      <c r="B197" s="0" t="s">
        <v>1550</v>
      </c>
      <c r="C197" s="5" t="s">
        <v>52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1367</v>
      </c>
      <c r="B198" s="0" t="s">
        <v>1551</v>
      </c>
      <c r="C198" s="0" t="s">
        <v>82</v>
      </c>
      <c r="D198" s="25" t="n">
        <f aca="false">IF(D195&lt;&gt;"",D195,E198)</f>
        <v>0</v>
      </c>
      <c r="E198" s="25" t="n">
        <f aca="false">IF(E195&lt;&gt;"",E195,F198)</f>
        <v>0</v>
      </c>
      <c r="F198" s="25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1369</v>
      </c>
      <c r="B199" s="0" t="s">
        <v>1552</v>
      </c>
      <c r="C199" s="5" t="s">
        <v>52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1371</v>
      </c>
      <c r="B200" s="0" t="s">
        <v>1553</v>
      </c>
      <c r="C200" s="0" t="s">
        <v>82</v>
      </c>
      <c r="D200" s="25" t="n">
        <f aca="false">SUMIFS(Pipeline!$L$5:$L$134,Pipeline!$C$5:$C$134,"oai",Pipeline!$Q$5:$Q$134,1,Pipeline!$P$5:$P$134,2023)</f>
        <v>0</v>
      </c>
      <c r="E200" s="25" t="n">
        <f aca="false">SUMIFS(Pipeline!$L$5:$L$134,Pipeline!$C$5:$C$134,"oai",Pipeline!$Q$5:$Q$134,1,Pipeline!$P$5:$P$134,2024)</f>
        <v>0</v>
      </c>
      <c r="F200" s="25" t="n">
        <f aca="false">SUMIFS(Pipeline!$L$5:$L$134,Pipeline!$C$5:$C$134,"oai",Pipeline!$Q$5:$Q$134,1,Pipeline!$P$5:$P$134,2025)</f>
        <v>0</v>
      </c>
      <c r="G200" s="25" t="n">
        <f aca="false">SUMIFS(Pipeline!$L$5:$L$134,Pipeline!$C$5:$C$134,"oai",Pipeline!$Q$5:$Q$134,1,Pipeline!$P$5:$P$134,2026)</f>
        <v>0</v>
      </c>
      <c r="H200" s="25" t="n">
        <f aca="false">SUMIFS(Pipeline!$L$5:$L$134,Pipeline!$C$5:$C$134,"oai",Pipeline!$Q$5:$Q$134,1,Pipeline!$P$5:$P$134,2027)</f>
        <v>0.522</v>
      </c>
      <c r="I200" s="25" t="n">
        <f aca="false">SUMIFS(Pipeline!$L$5:$L$134,Pipeline!$C$5:$C$134,"oai",Pipeline!$Q$5:$Q$134,1,Pipeline!$P$5:$P$134,2028)</f>
        <v>1.245</v>
      </c>
      <c r="J200" s="25" t="n">
        <f aca="false">SUMIFS(Pipeline!$L$5:$L$134,Pipeline!$C$5:$C$134,"oai",Pipeline!$Q$5:$Q$134,1,Pipeline!$P$5:$P$134,2029)</f>
        <v>1.149</v>
      </c>
      <c r="K200" s="25" t="n">
        <f aca="false">SUMIFS(Pipeline!$L$5:$L$134,Pipeline!$C$5:$C$134,"oai",Pipeline!$Q$5:$Q$134,1,Pipeline!$P$5:$P$134,2030)</f>
        <v>1.149</v>
      </c>
      <c r="L200" s="25" t="n">
        <f aca="false">SUMIFS(Pipeline!$L$5:$L$134,Pipeline!$C$5:$C$134,"oai",Pipeline!$Q$5:$Q$134,1,Pipeline!$P$5:$P$134,2031)</f>
        <v>1.15</v>
      </c>
      <c r="M200" s="25" t="n">
        <f aca="false">SUMIFS(Pipeline!$L$5:$L$134,Pipeline!$C$5:$C$134,"oai",Pipeline!$Q$5:$Q$134,1,Pipeline!$P$5:$P$134,2032)</f>
        <v>0</v>
      </c>
    </row>
    <row r="201" customFormat="false" ht="17.15" hidden="false" customHeight="false" outlineLevel="0" collapsed="false">
      <c r="A201" s="5" t="s">
        <v>1373</v>
      </c>
      <c r="B201" s="0" t="s">
        <v>1554</v>
      </c>
      <c r="C201" s="0" t="s">
        <v>82</v>
      </c>
      <c r="D201" s="26" t="str">
        <f aca="false">IF(D195&lt;&gt;"",D195,IF(AND(D196&lt;&gt;"",D198&lt;&gt;""),D196+(D198-D196)*(2023-D197)/(D199-D197),""))</f>
        <v/>
      </c>
      <c r="E201" s="26" t="str">
        <f aca="false">IF(E195&lt;&gt;"",E195,IF(AND(E196&lt;&gt;"",E198&lt;&gt;""),E196+(E198-E196)*(2024-E197)/(E199-E197),IF(D201&lt;&gt;"",D201+E200,"")))</f>
        <v/>
      </c>
      <c r="F201" s="26" t="n">
        <f aca="false">IF(F195&lt;&gt;"",F195,IF(AND(F196&lt;&gt;"",F198&lt;&gt;""),F196+(F198-F196)*(2025-F197)/(F199-F197),IF(E201&lt;&gt;"",E201+F200,"")))</f>
        <v>0</v>
      </c>
      <c r="G201" s="26" t="n">
        <f aca="false">IF(G195&lt;&gt;"",G195,IF(AND(G196&lt;&gt;"",G198&lt;&gt;""),G196+(G198-G196)*(2026-G197)/(G199-G197),IF(F201&lt;&gt;"",F201+G200,"")))</f>
        <v>0</v>
      </c>
      <c r="H201" s="26" t="n">
        <f aca="false">IF(H195&lt;&gt;"",H195,IF(AND(H196&lt;&gt;"",H198&lt;&gt;""),H196+(H198-H196)*(2027-H197)/(H199-H197),IF(G201&lt;&gt;"",G201+H200,"")))</f>
        <v>0.522</v>
      </c>
      <c r="I201" s="26" t="n">
        <f aca="false">IF(I195&lt;&gt;"",I195,IF(AND(I196&lt;&gt;"",I198&lt;&gt;""),I196+(I198-I196)*(2028-I197)/(I199-I197),IF(H201&lt;&gt;"",H201+I200,"")))</f>
        <v>1.767</v>
      </c>
      <c r="J201" s="26" t="n">
        <f aca="false">IF(J195&lt;&gt;"",J195,IF(AND(J196&lt;&gt;"",J198&lt;&gt;""),J196+(J198-J196)*(2029-J197)/(J199-J197),IF(I201&lt;&gt;"",I201+J200,"")))</f>
        <v>2.916</v>
      </c>
      <c r="K201" s="26" t="n">
        <f aca="false">IF(K195&lt;&gt;"",K195,IF(AND(K196&lt;&gt;"",K198&lt;&gt;""),K196+(K198-K196)*(2030-K197)/(K199-K197),IF(J201&lt;&gt;"",J201+K200,"")))</f>
        <v>4.065</v>
      </c>
      <c r="L201" s="26" t="n">
        <f aca="false">IF(L195&lt;&gt;"",L195,IF(AND(L196&lt;&gt;"",L198&lt;&gt;""),L196+(L198-L196)*(2031-L197)/(L199-L197),IF(K201&lt;&gt;"",K201+L200,"")))</f>
        <v>5.215</v>
      </c>
      <c r="M201" s="26" t="n">
        <f aca="false">IF(M195&lt;&gt;"",M195,IF(AND(M196&lt;&gt;"",M198&lt;&gt;""),M196+(M198-M196)*(2032-M197)/(M199-M197),IF(L201&lt;&gt;"",L201+M200,"")))</f>
        <v>5.215</v>
      </c>
    </row>
    <row r="202" customFormat="false" ht="15" hidden="false" customHeight="false" outlineLevel="0" collapsed="false">
      <c r="A202" s="5" t="s">
        <v>1375</v>
      </c>
      <c r="B202" s="0" t="s">
        <v>1555</v>
      </c>
      <c r="C202" s="0" t="s">
        <v>40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1377</v>
      </c>
      <c r="B203" s="0" t="s">
        <v>1556</v>
      </c>
      <c r="C203" s="0" t="s">
        <v>82</v>
      </c>
      <c r="D203" s="25" t="str">
        <f aca="false">IF(D201="","",D201)</f>
        <v/>
      </c>
      <c r="E203" s="25" t="str">
        <f aca="false">IF(E201="","",E201)</f>
        <v/>
      </c>
      <c r="F203" s="25" t="n">
        <f aca="false">IF(F201="","",F201)</f>
        <v>0</v>
      </c>
      <c r="G203" s="25" t="n">
        <f aca="false">IF(G201="","",G201)</f>
        <v>0</v>
      </c>
      <c r="H203" s="25" t="n">
        <f aca="false">IF(H201="","",H201)</f>
        <v>0.522</v>
      </c>
      <c r="I203" s="25" t="n">
        <f aca="false">IF(I201="","",I201)</f>
        <v>1.767</v>
      </c>
      <c r="J203" s="25" t="n">
        <f aca="false">IF(J201="","",J201)</f>
        <v>2.916</v>
      </c>
      <c r="K203" s="25" t="n">
        <f aca="false">IF(K201="","",K201)</f>
        <v>4.065</v>
      </c>
      <c r="L203" s="25" t="n">
        <f aca="false">IF(L201="","",L201)</f>
        <v>5.215</v>
      </c>
      <c r="M203" s="25" t="n">
        <f aca="false">IF(M201="","",M201)</f>
        <v>5.215</v>
      </c>
    </row>
    <row r="204" customFormat="false" ht="17.15" hidden="false" customHeight="false" outlineLevel="0" collapsed="false">
      <c r="A204" s="5" t="s">
        <v>1379</v>
      </c>
      <c r="B204" s="0" t="s">
        <v>1557</v>
      </c>
      <c r="C204" s="0" t="s">
        <v>82</v>
      </c>
      <c r="D204" s="25" t="str">
        <f aca="false">IF(D201="","",D201)</f>
        <v/>
      </c>
      <c r="E204" s="25" t="str">
        <f aca="false">IF(E201="","",E201)</f>
        <v/>
      </c>
      <c r="F204" s="25" t="n">
        <f aca="false">IF(F201="","",F201)</f>
        <v>0</v>
      </c>
      <c r="G204" s="25" t="n">
        <f aca="false">IF(G201="","",G201)</f>
        <v>0</v>
      </c>
      <c r="H204" s="25" t="n">
        <f aca="false">IF(H201="","",H201)</f>
        <v>0.522</v>
      </c>
      <c r="I204" s="25" t="n">
        <f aca="false">IF(I201="","",I201)</f>
        <v>1.767</v>
      </c>
      <c r="J204" s="25" t="n">
        <f aca="false">IF(J201="","",J201)</f>
        <v>2.916</v>
      </c>
      <c r="K204" s="25" t="n">
        <f aca="false">IF(K201="","",K201)</f>
        <v>4.065</v>
      </c>
      <c r="L204" s="25" t="n">
        <f aca="false">IF(L201="","",L201)</f>
        <v>5.215</v>
      </c>
      <c r="M204" s="25" t="n">
        <f aca="false">IF(M201="","",M201)</f>
        <v>5.215</v>
      </c>
    </row>
    <row r="205" customFormat="false" ht="17.15" hidden="false" customHeight="false" outlineLevel="0" collapsed="false">
      <c r="A205" s="5" t="s">
        <v>1381</v>
      </c>
      <c r="B205" s="0" t="s">
        <v>1558</v>
      </c>
      <c r="C205" s="0" t="s">
        <v>82</v>
      </c>
      <c r="D205" s="25" t="str">
        <f aca="false">IF(D201="","",IF(In!$C$117="未說明",D201/D$13,D201))</f>
        <v/>
      </c>
      <c r="E205" s="25" t="str">
        <f aca="false">IF(E201="","",IF(In!$C$117="未說明",E201/E$13,E201))</f>
        <v/>
      </c>
      <c r="F205" s="25" t="n">
        <f aca="false">IF(F201="","",IF(In!$C$117="未說明",F201/F$13,F201))</f>
        <v>0</v>
      </c>
      <c r="G205" s="25" t="n">
        <f aca="false">IF(G201="","",IF(In!$C$117="未說明",G201/G$13,G201))</f>
        <v>0</v>
      </c>
      <c r="H205" s="25" t="n">
        <f aca="false">IF(H201="","",IF(In!$C$117="未說明",H201/H$13,H201))</f>
        <v>0.522</v>
      </c>
      <c r="I205" s="25" t="n">
        <f aca="false">IF(I201="","",IF(In!$C$117="未說明",I201/I$13,I201))</f>
        <v>1.767</v>
      </c>
      <c r="J205" s="25" t="n">
        <f aca="false">IF(J201="","",IF(In!$C$117="未說明",J201/J$13,J201))</f>
        <v>2.916</v>
      </c>
      <c r="K205" s="25" t="n">
        <f aca="false">IF(K201="","",IF(In!$C$117="未說明",K201/K$13,K201))</f>
        <v>4.065</v>
      </c>
      <c r="L205" s="25" t="n">
        <f aca="false">IF(L201="","",IF(In!$C$117="未說明",L201/L$13,L201))</f>
        <v>5.215</v>
      </c>
      <c r="M205" s="25" t="n">
        <f aca="false">IF(M201="","",IF(In!$C$117="未說明",M201/M$13,M201))</f>
        <v>5.215</v>
      </c>
    </row>
    <row r="206" customFormat="false" ht="17.15" hidden="false" customHeight="false" outlineLevel="0" collapsed="false">
      <c r="A206" s="5" t="s">
        <v>1383</v>
      </c>
      <c r="B206" s="0" t="s">
        <v>1559</v>
      </c>
      <c r="C206" s="0" t="s">
        <v>82</v>
      </c>
      <c r="D206" s="0" t="str">
        <f aca="false">""</f>
        <v/>
      </c>
      <c r="E206" s="25" t="str">
        <f aca="false">IF(AND(D201&lt;&gt;"",E201&lt;&gt;""),(D201+E201)/2,"")</f>
        <v/>
      </c>
      <c r="F206" s="25" t="str">
        <f aca="false">IF(AND(E201&lt;&gt;"",F201&lt;&gt;""),(E201+F201)/2,"")</f>
        <v/>
      </c>
      <c r="G206" s="25" t="n">
        <f aca="false">IF(AND(F201&lt;&gt;"",G201&lt;&gt;""),(F201+G201)/2,"")</f>
        <v>0</v>
      </c>
      <c r="H206" s="25" t="n">
        <f aca="false">IF(AND(G201&lt;&gt;"",H201&lt;&gt;""),(G201+H201)/2,"")</f>
        <v>0.261</v>
      </c>
      <c r="I206" s="25" t="n">
        <f aca="false">IF(AND(H201&lt;&gt;"",I201&lt;&gt;""),(H201+I201)/2,"")</f>
        <v>1.1445</v>
      </c>
      <c r="J206" s="25" t="n">
        <f aca="false">IF(AND(I201&lt;&gt;"",J201&lt;&gt;""),(I201+J201)/2,"")</f>
        <v>2.3415</v>
      </c>
      <c r="K206" s="25" t="n">
        <f aca="false">IF(AND(J201&lt;&gt;"",K201&lt;&gt;""),(J201+K201)/2,"")</f>
        <v>3.4905</v>
      </c>
      <c r="L206" s="25" t="n">
        <f aca="false">IF(AND(K201&lt;&gt;"",L201&lt;&gt;""),(K201+L201)/2,"")</f>
        <v>4.64</v>
      </c>
      <c r="M206" s="25" t="n">
        <f aca="false">IF(AND(L201&lt;&gt;"",M201&lt;&gt;""),(L201+M201)/2,"")</f>
        <v>5.215</v>
      </c>
    </row>
    <row r="207" customFormat="false" ht="17.15" hidden="false" customHeight="false" outlineLevel="0" collapsed="false">
      <c r="A207" s="5" t="s">
        <v>1385</v>
      </c>
      <c r="B207" s="0" t="s">
        <v>1560</v>
      </c>
      <c r="C207" s="0" t="s">
        <v>82</v>
      </c>
      <c r="D207" s="0" t="n">
        <v>0</v>
      </c>
      <c r="E207" s="25" t="n">
        <f aca="false">IF(AND(D201&lt;&gt;"",E201&lt;&gt;""),E201-D201,0)</f>
        <v>0</v>
      </c>
      <c r="F207" s="25" t="n">
        <f aca="false">IF(AND(E201&lt;&gt;"",F201&lt;&gt;""),F201-E201,0)</f>
        <v>0</v>
      </c>
      <c r="G207" s="25" t="n">
        <f aca="false">IF(AND(F201&lt;&gt;"",G201&lt;&gt;""),G201-F201,0)</f>
        <v>0</v>
      </c>
      <c r="H207" s="25" t="n">
        <f aca="false">IF(AND(G201&lt;&gt;"",H201&lt;&gt;""),H201-G201,0)</f>
        <v>0.522</v>
      </c>
      <c r="I207" s="25" t="n">
        <f aca="false">IF(AND(H201&lt;&gt;"",I201&lt;&gt;""),I201-H201,0)</f>
        <v>1.245</v>
      </c>
      <c r="J207" s="25" t="n">
        <f aca="false">IF(AND(I201&lt;&gt;"",J201&lt;&gt;""),J201-I201,0)</f>
        <v>1.149</v>
      </c>
      <c r="K207" s="25" t="n">
        <f aca="false">IF(AND(J201&lt;&gt;"",K201&lt;&gt;""),K201-J201,0)</f>
        <v>1.149</v>
      </c>
      <c r="L207" s="25" t="n">
        <f aca="false">IF(AND(K201&lt;&gt;"",L201&lt;&gt;""),L201-K201,0)</f>
        <v>1.15</v>
      </c>
      <c r="M207" s="25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1387</v>
      </c>
      <c r="B208" s="0" t="s">
        <v>1561</v>
      </c>
      <c r="C208" s="0" t="s">
        <v>82</v>
      </c>
      <c r="D208" s="25" t="n">
        <f aca="false">IF(D201&lt;&gt;"",D201,0)</f>
        <v>0</v>
      </c>
      <c r="E208" s="25" t="n">
        <f aca="false">IF(AND(D201="",E201&lt;&gt;""),E201,0)</f>
        <v>0</v>
      </c>
      <c r="F208" s="25" t="n">
        <f aca="false">IF(AND(E201="",F201&lt;&gt;""),F201,0)</f>
        <v>0</v>
      </c>
      <c r="G208" s="25" t="n">
        <f aca="false">IF(AND(F201="",G201&lt;&gt;""),G201,0)</f>
        <v>0</v>
      </c>
      <c r="H208" s="25" t="n">
        <f aca="false">IF(AND(G201="",H201&lt;&gt;""),H201,0)</f>
        <v>0</v>
      </c>
      <c r="I208" s="25" t="n">
        <f aca="false">IF(AND(H201="",I201&lt;&gt;""),I201,0)</f>
        <v>0</v>
      </c>
      <c r="J208" s="25" t="n">
        <f aca="false">IF(AND(I201="",J201&lt;&gt;""),J201,0)</f>
        <v>0</v>
      </c>
      <c r="K208" s="25" t="n">
        <f aca="false">IF(AND(J201="",K201&lt;&gt;""),K201,0)</f>
        <v>0</v>
      </c>
      <c r="L208" s="25" t="n">
        <f aca="false">IF(AND(K201="",L201&lt;&gt;""),L201,0)</f>
        <v>0</v>
      </c>
      <c r="M208" s="25" t="n">
        <f aca="false">IF(AND(L201="",M201&lt;&gt;""),M201,0)</f>
        <v>0</v>
      </c>
    </row>
    <row r="209" customFormat="false" ht="17.15" hidden="false" customHeight="false" outlineLevel="0" collapsed="false">
      <c r="A209" s="5" t="s">
        <v>1389</v>
      </c>
      <c r="B209" s="0" t="s">
        <v>1562</v>
      </c>
      <c r="C209" s="0" t="s">
        <v>57</v>
      </c>
      <c r="D209" s="24" t="n">
        <f aca="false">D$12</f>
        <v>0.238210067173108</v>
      </c>
      <c r="E209" s="24" t="n">
        <f aca="false">E$12</f>
        <v>0.238210067173108</v>
      </c>
      <c r="F209" s="24" t="n">
        <f aca="false">F$12</f>
        <v>0.238210067173108</v>
      </c>
      <c r="G209" s="24" t="n">
        <f aca="false">G$12</f>
        <v>0.238210067173108</v>
      </c>
      <c r="H209" s="24" t="n">
        <f aca="false">H$12</f>
        <v>0.273101862203342</v>
      </c>
      <c r="I209" s="24" t="n">
        <f aca="false">I$12</f>
        <v>0.269621396123668</v>
      </c>
      <c r="J209" s="24" t="n">
        <f aca="false">J$12</f>
        <v>0.272187509408712</v>
      </c>
      <c r="K209" s="24" t="n">
        <f aca="false">K$12</f>
        <v>0.272187509408712</v>
      </c>
      <c r="L209" s="24" t="n">
        <f aca="false">L$12</f>
        <v>0.272187509408712</v>
      </c>
      <c r="M209" s="24" t="n">
        <f aca="false">M$12</f>
        <v>0.272187509408712</v>
      </c>
    </row>
    <row r="211" customFormat="false" ht="17.15" hidden="false" customHeight="false" outlineLevel="0" collapsed="false">
      <c r="A211" s="8" t="s">
        <v>1563</v>
      </c>
      <c r="B211" s="21" t="s">
        <v>737</v>
      </c>
      <c r="N211" s="21" t="s">
        <v>1564</v>
      </c>
    </row>
    <row r="212" customFormat="false" ht="17.15" hidden="false" customHeight="false" outlineLevel="0" collapsed="false">
      <c r="A212" s="5" t="s">
        <v>1357</v>
      </c>
      <c r="B212" s="0" t="s">
        <v>1565</v>
      </c>
      <c r="C212" s="0" t="s">
        <v>82</v>
      </c>
      <c r="D212" s="25" t="str">
        <f aca="false">IF(In!$H$118="","",IF(In!$C$118="設施",In!$H$118/1000/D$13,In!$H$118/1000))</f>
        <v/>
      </c>
      <c r="E212" s="25" t="str">
        <f aca="false">IF(In!$I$118="","",IF(In!$C$118="設施",In!$I$118/1000/E$13,In!$I$118/1000))</f>
        <v/>
      </c>
      <c r="F212" s="25" t="n">
        <f aca="false">IF(In!$J$118="","",IF(In!$C$118="設施",In!$J$118/1000/F$13,In!$J$118/1000))</f>
        <v>0</v>
      </c>
      <c r="G212" s="25" t="str">
        <f aca="false">IF(In!$K$118="","",IF(In!$C$118="設施",In!$K$118/1000/G$13,In!$K$118/1000))</f>
        <v/>
      </c>
      <c r="H212" s="25" t="str">
        <f aca="false">IF(In!$L$118="","",IF(In!$C$118="設施",In!$L$118/1000/H$13,In!$L$118/1000))</f>
        <v/>
      </c>
      <c r="I212" s="25" t="str">
        <f aca="false">IF(In!$M$118="","",IF(In!$C$118="設施",In!$M$118/1000/I$13,In!$M$118/1000))</f>
        <v/>
      </c>
      <c r="J212" s="25" t="str">
        <f aca="false">IF(In!$N$118="","",IF(In!$C$118="設施",In!$N$118/1000/J$13,In!$N$118/1000))</f>
        <v/>
      </c>
      <c r="K212" s="25" t="str">
        <f aca="false">IF(In!$O$118="","",IF(In!$C$118="設施",In!$O$118/1000/K$13,In!$O$118/1000))</f>
        <v/>
      </c>
      <c r="L212" s="25" t="str">
        <f aca="false">IF(In!$P$118="","",IF(In!$C$118="設施",In!$P$118/1000/L$13,In!$P$118/1000))</f>
        <v/>
      </c>
      <c r="M212" s="25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1359</v>
      </c>
      <c r="B213" s="0" t="s">
        <v>1566</v>
      </c>
      <c r="C213" s="0" t="s">
        <v>82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1361</v>
      </c>
      <c r="B214" s="0" t="s">
        <v>1567</v>
      </c>
      <c r="C214" s="0" t="s">
        <v>82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5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1363</v>
      </c>
      <c r="B215" s="0" t="s">
        <v>1568</v>
      </c>
      <c r="C215" s="0" t="s">
        <v>82</v>
      </c>
      <c r="D215" s="0" t="str">
        <f aca="false">IF(D214&lt;&gt;"",D214,"")</f>
        <v/>
      </c>
      <c r="E215" s="0" t="str">
        <f aca="false">IF(E214&lt;&gt;"",E214,D215)</f>
        <v/>
      </c>
      <c r="F215" s="25" t="n">
        <f aca="false">IF(F214&lt;&gt;"",F214,E215)</f>
        <v>0</v>
      </c>
      <c r="G215" s="25" t="n">
        <f aca="false">IF(G214&lt;&gt;"",G214,F215)</f>
        <v>0</v>
      </c>
      <c r="H215" s="25" t="n">
        <f aca="false">IF(H214&lt;&gt;"",H214,G215)</f>
        <v>0</v>
      </c>
      <c r="I215" s="25" t="n">
        <f aca="false">IF(I214&lt;&gt;"",I214,H215)</f>
        <v>0</v>
      </c>
      <c r="J215" s="25" t="n">
        <f aca="false">IF(J214&lt;&gt;"",J214,I215)</f>
        <v>0</v>
      </c>
      <c r="K215" s="25" t="n">
        <f aca="false">IF(K214&lt;&gt;"",K214,J215)</f>
        <v>0</v>
      </c>
      <c r="L215" s="25" t="n">
        <f aca="false">IF(L214&lt;&gt;"",L214,K215)</f>
        <v>0</v>
      </c>
      <c r="M215" s="25" t="n">
        <f aca="false">IF(M214&lt;&gt;"",M214,L215)</f>
        <v>0</v>
      </c>
    </row>
    <row r="216" customFormat="false" ht="15" hidden="false" customHeight="false" outlineLevel="0" collapsed="false">
      <c r="A216" s="5" t="s">
        <v>1365</v>
      </c>
      <c r="B216" s="0" t="s">
        <v>1569</v>
      </c>
      <c r="C216" s="5" t="s">
        <v>52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1367</v>
      </c>
      <c r="B217" s="0" t="s">
        <v>1570</v>
      </c>
      <c r="C217" s="0" t="s">
        <v>82</v>
      </c>
      <c r="D217" s="25" t="n">
        <f aca="false">IF(D214&lt;&gt;"",D214,E217)</f>
        <v>0</v>
      </c>
      <c r="E217" s="25" t="n">
        <f aca="false">IF(E214&lt;&gt;"",E214,F217)</f>
        <v>0</v>
      </c>
      <c r="F217" s="25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1369</v>
      </c>
      <c r="B218" s="0" t="s">
        <v>1571</v>
      </c>
      <c r="C218" s="5" t="s">
        <v>52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1371</v>
      </c>
      <c r="B219" s="0" t="s">
        <v>1572</v>
      </c>
      <c r="C219" s="0" t="s">
        <v>82</v>
      </c>
      <c r="D219" s="25" t="n">
        <f aca="false">SUMIFS(Pipeline!$L$5:$L$134,Pipeline!$C$5:$C$134,"ant",Pipeline!$Q$5:$Q$134,1,Pipeline!$P$5:$P$134,2023)</f>
        <v>0</v>
      </c>
      <c r="E219" s="25" t="n">
        <f aca="false">SUMIFS(Pipeline!$L$5:$L$134,Pipeline!$C$5:$C$134,"ant",Pipeline!$Q$5:$Q$134,1,Pipeline!$P$5:$P$134,2024)</f>
        <v>0</v>
      </c>
      <c r="F219" s="25" t="n">
        <f aca="false">SUMIFS(Pipeline!$L$5:$L$134,Pipeline!$C$5:$C$134,"ant",Pipeline!$Q$5:$Q$134,1,Pipeline!$P$5:$P$134,2025)</f>
        <v>0</v>
      </c>
      <c r="G219" s="25" t="n">
        <f aca="false">SUMIFS(Pipeline!$L$5:$L$134,Pipeline!$C$5:$C$134,"ant",Pipeline!$Q$5:$Q$134,1,Pipeline!$P$5:$P$134,2026)</f>
        <v>0</v>
      </c>
      <c r="H219" s="25" t="n">
        <f aca="false">SUMIFS(Pipeline!$L$5:$L$134,Pipeline!$C$5:$C$134,"ant",Pipeline!$Q$5:$Q$134,1,Pipeline!$P$5:$P$134,2027)</f>
        <v>0</v>
      </c>
      <c r="I219" s="25" t="n">
        <f aca="false">SUMIFS(Pipeline!$L$5:$L$134,Pipeline!$C$5:$C$134,"ant",Pipeline!$Q$5:$Q$134,1,Pipeline!$P$5:$P$134,2028)</f>
        <v>0</v>
      </c>
      <c r="J219" s="25" t="n">
        <f aca="false">SUMIFS(Pipeline!$L$5:$L$134,Pipeline!$C$5:$C$134,"ant",Pipeline!$Q$5:$Q$134,1,Pipeline!$P$5:$P$134,2029)</f>
        <v>0</v>
      </c>
      <c r="K219" s="25" t="n">
        <f aca="false">SUMIFS(Pipeline!$L$5:$L$134,Pipeline!$C$5:$C$134,"ant",Pipeline!$Q$5:$Q$134,1,Pipeline!$P$5:$P$134,2030)</f>
        <v>0</v>
      </c>
      <c r="L219" s="25" t="n">
        <f aca="false">SUMIFS(Pipeline!$L$5:$L$134,Pipeline!$C$5:$C$134,"ant",Pipeline!$Q$5:$Q$134,1,Pipeline!$P$5:$P$134,2031)</f>
        <v>0</v>
      </c>
      <c r="M219" s="25" t="n">
        <f aca="false">SUMIFS(Pipeline!$L$5:$L$134,Pipeline!$C$5:$C$134,"ant",Pipeline!$Q$5:$Q$134,1,Pipeline!$P$5:$P$134,2032)</f>
        <v>0</v>
      </c>
    </row>
    <row r="220" customFormat="false" ht="17.15" hidden="false" customHeight="false" outlineLevel="0" collapsed="false">
      <c r="A220" s="5" t="s">
        <v>1373</v>
      </c>
      <c r="B220" s="0" t="s">
        <v>1573</v>
      </c>
      <c r="C220" s="0" t="s">
        <v>82</v>
      </c>
      <c r="D220" s="26" t="str">
        <f aca="false">IF(D214&lt;&gt;"",D214,IF(AND(D215&lt;&gt;"",D217&lt;&gt;""),D215+(D217-D215)*(2023-D216)/(D218-D216),""))</f>
        <v/>
      </c>
      <c r="E220" s="26" t="str">
        <f aca="false">IF(E214&lt;&gt;"",E214,IF(AND(E215&lt;&gt;"",E217&lt;&gt;""),E215+(E217-E215)*(2024-E216)/(E218-E216),IF(D220&lt;&gt;"",D220+E219,"")))</f>
        <v/>
      </c>
      <c r="F220" s="26" t="n">
        <f aca="false">IF(F214&lt;&gt;"",F214,IF(AND(F215&lt;&gt;"",F217&lt;&gt;""),F215+(F217-F215)*(2025-F216)/(F218-F216),IF(E220&lt;&gt;"",E220+F219,"")))</f>
        <v>0</v>
      </c>
      <c r="G220" s="26" t="n">
        <f aca="false">IF(G214&lt;&gt;"",G214,IF(AND(G215&lt;&gt;"",G217&lt;&gt;""),G215+(G217-G215)*(2026-G216)/(G218-G216),IF(F220&lt;&gt;"",F220+G219,"")))</f>
        <v>0</v>
      </c>
      <c r="H220" s="26" t="n">
        <f aca="false">IF(H214&lt;&gt;"",H214,IF(AND(H215&lt;&gt;"",H217&lt;&gt;""),H215+(H217-H215)*(2027-H216)/(H218-H216),IF(G220&lt;&gt;"",G220+H219,"")))</f>
        <v>0</v>
      </c>
      <c r="I220" s="26" t="n">
        <f aca="false">IF(I214&lt;&gt;"",I214,IF(AND(I215&lt;&gt;"",I217&lt;&gt;""),I215+(I217-I215)*(2028-I216)/(I218-I216),IF(H220&lt;&gt;"",H220+I219,"")))</f>
        <v>0</v>
      </c>
      <c r="J220" s="26" t="n">
        <f aca="false">IF(J214&lt;&gt;"",J214,IF(AND(J215&lt;&gt;"",J217&lt;&gt;""),J215+(J217-J215)*(2029-J216)/(J218-J216),IF(I220&lt;&gt;"",I220+J219,"")))</f>
        <v>0</v>
      </c>
      <c r="K220" s="26" t="n">
        <f aca="false">IF(K214&lt;&gt;"",K214,IF(AND(K215&lt;&gt;"",K217&lt;&gt;""),K215+(K217-K215)*(2030-K216)/(K218-K216),IF(J220&lt;&gt;"",J220+K219,"")))</f>
        <v>0</v>
      </c>
      <c r="L220" s="26" t="n">
        <f aca="false">IF(L214&lt;&gt;"",L214,IF(AND(L215&lt;&gt;"",L217&lt;&gt;""),L215+(L217-L215)*(2031-L216)/(L218-L216),IF(K220&lt;&gt;"",K220+L219,"")))</f>
        <v>0</v>
      </c>
      <c r="M220" s="26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1375</v>
      </c>
      <c r="B221" s="0" t="s">
        <v>1574</v>
      </c>
      <c r="C221" s="0" t="s">
        <v>40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1377</v>
      </c>
      <c r="B222" s="0" t="s">
        <v>1575</v>
      </c>
      <c r="C222" s="0" t="s">
        <v>82</v>
      </c>
      <c r="D222" s="25" t="str">
        <f aca="false">IF(D220="","",D220)</f>
        <v/>
      </c>
      <c r="E222" s="25" t="str">
        <f aca="false">IF(E220="","",E220)</f>
        <v/>
      </c>
      <c r="F222" s="25" t="n">
        <f aca="false">IF(F220="","",F220)</f>
        <v>0</v>
      </c>
      <c r="G222" s="25" t="n">
        <f aca="false">IF(G220="","",G220)</f>
        <v>0</v>
      </c>
      <c r="H222" s="25" t="n">
        <f aca="false">IF(H220="","",H220)</f>
        <v>0</v>
      </c>
      <c r="I222" s="25" t="n">
        <f aca="false">IF(I220="","",I220)</f>
        <v>0</v>
      </c>
      <c r="J222" s="25" t="n">
        <f aca="false">IF(J220="","",J220)</f>
        <v>0</v>
      </c>
      <c r="K222" s="25" t="n">
        <f aca="false">IF(K220="","",K220)</f>
        <v>0</v>
      </c>
      <c r="L222" s="25" t="n">
        <f aca="false">IF(L220="","",L220)</f>
        <v>0</v>
      </c>
      <c r="M222" s="25" t="n">
        <f aca="false">IF(M220="","",M220)</f>
        <v>0</v>
      </c>
    </row>
    <row r="223" customFormat="false" ht="17.15" hidden="false" customHeight="false" outlineLevel="0" collapsed="false">
      <c r="A223" s="5" t="s">
        <v>1379</v>
      </c>
      <c r="B223" s="0" t="s">
        <v>1576</v>
      </c>
      <c r="C223" s="0" t="s">
        <v>82</v>
      </c>
      <c r="D223" s="25" t="str">
        <f aca="false">IF(D220="","",D220)</f>
        <v/>
      </c>
      <c r="E223" s="25" t="str">
        <f aca="false">IF(E220="","",E220)</f>
        <v/>
      </c>
      <c r="F223" s="25" t="n">
        <f aca="false">IF(F220="","",F220)</f>
        <v>0</v>
      </c>
      <c r="G223" s="25" t="n">
        <f aca="false">IF(G220="","",G220)</f>
        <v>0</v>
      </c>
      <c r="H223" s="25" t="n">
        <f aca="false">IF(H220="","",H220)</f>
        <v>0</v>
      </c>
      <c r="I223" s="25" t="n">
        <f aca="false">IF(I220="","",I220)</f>
        <v>0</v>
      </c>
      <c r="J223" s="25" t="n">
        <f aca="false">IF(J220="","",J220)</f>
        <v>0</v>
      </c>
      <c r="K223" s="25" t="n">
        <f aca="false">IF(K220="","",K220)</f>
        <v>0</v>
      </c>
      <c r="L223" s="25" t="n">
        <f aca="false">IF(L220="","",L220)</f>
        <v>0</v>
      </c>
      <c r="M223" s="25" t="n">
        <f aca="false">IF(M220="","",M220)</f>
        <v>0</v>
      </c>
    </row>
    <row r="224" customFormat="false" ht="17.15" hidden="false" customHeight="false" outlineLevel="0" collapsed="false">
      <c r="A224" s="5" t="s">
        <v>1381</v>
      </c>
      <c r="B224" s="0" t="s">
        <v>1577</v>
      </c>
      <c r="C224" s="0" t="s">
        <v>82</v>
      </c>
      <c r="D224" s="25" t="str">
        <f aca="false">IF(D220="","",IF(In!$C$118="未說明",D220/D$13,D220))</f>
        <v/>
      </c>
      <c r="E224" s="25" t="str">
        <f aca="false">IF(E220="","",IF(In!$C$118="未說明",E220/E$13,E220))</f>
        <v/>
      </c>
      <c r="F224" s="25" t="n">
        <f aca="false">IF(F220="","",IF(In!$C$118="未說明",F220/F$13,F220))</f>
        <v>0</v>
      </c>
      <c r="G224" s="25" t="n">
        <f aca="false">IF(G220="","",IF(In!$C$118="未說明",G220/G$13,G220))</f>
        <v>0</v>
      </c>
      <c r="H224" s="25" t="n">
        <f aca="false">IF(H220="","",IF(In!$C$118="未說明",H220/H$13,H220))</f>
        <v>0</v>
      </c>
      <c r="I224" s="25" t="n">
        <f aca="false">IF(I220="","",IF(In!$C$118="未說明",I220/I$13,I220))</f>
        <v>0</v>
      </c>
      <c r="J224" s="25" t="n">
        <f aca="false">IF(J220="","",IF(In!$C$118="未說明",J220/J$13,J220))</f>
        <v>0</v>
      </c>
      <c r="K224" s="25" t="n">
        <f aca="false">IF(K220="","",IF(In!$C$118="未說明",K220/K$13,K220))</f>
        <v>0</v>
      </c>
      <c r="L224" s="25" t="n">
        <f aca="false">IF(L220="","",IF(In!$C$118="未說明",L220/L$13,L220))</f>
        <v>0</v>
      </c>
      <c r="M224" s="25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1383</v>
      </c>
      <c r="B225" s="0" t="s">
        <v>1578</v>
      </c>
      <c r="C225" s="0" t="s">
        <v>82</v>
      </c>
      <c r="D225" s="0" t="str">
        <f aca="false">""</f>
        <v/>
      </c>
      <c r="E225" s="25" t="str">
        <f aca="false">IF(AND(D220&lt;&gt;"",E220&lt;&gt;""),(D220+E220)/2,"")</f>
        <v/>
      </c>
      <c r="F225" s="25" t="str">
        <f aca="false">IF(AND(E220&lt;&gt;"",F220&lt;&gt;""),(E220+F220)/2,"")</f>
        <v/>
      </c>
      <c r="G225" s="25" t="n">
        <f aca="false">IF(AND(F220&lt;&gt;"",G220&lt;&gt;""),(F220+G220)/2,"")</f>
        <v>0</v>
      </c>
      <c r="H225" s="25" t="n">
        <f aca="false">IF(AND(G220&lt;&gt;"",H220&lt;&gt;""),(G220+H220)/2,"")</f>
        <v>0</v>
      </c>
      <c r="I225" s="25" t="n">
        <f aca="false">IF(AND(H220&lt;&gt;"",I220&lt;&gt;""),(H220+I220)/2,"")</f>
        <v>0</v>
      </c>
      <c r="J225" s="25" t="n">
        <f aca="false">IF(AND(I220&lt;&gt;"",J220&lt;&gt;""),(I220+J220)/2,"")</f>
        <v>0</v>
      </c>
      <c r="K225" s="25" t="n">
        <f aca="false">IF(AND(J220&lt;&gt;"",K220&lt;&gt;""),(J220+K220)/2,"")</f>
        <v>0</v>
      </c>
      <c r="L225" s="25" t="n">
        <f aca="false">IF(AND(K220&lt;&gt;"",L220&lt;&gt;""),(K220+L220)/2,"")</f>
        <v>0</v>
      </c>
      <c r="M225" s="25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1385</v>
      </c>
      <c r="B226" s="0" t="s">
        <v>1579</v>
      </c>
      <c r="C226" s="0" t="s">
        <v>82</v>
      </c>
      <c r="D226" s="0" t="n">
        <v>0</v>
      </c>
      <c r="E226" s="25" t="n">
        <f aca="false">IF(AND(D220&lt;&gt;"",E220&lt;&gt;""),E220-D220,0)</f>
        <v>0</v>
      </c>
      <c r="F226" s="25" t="n">
        <f aca="false">IF(AND(E220&lt;&gt;"",F220&lt;&gt;""),F220-E220,0)</f>
        <v>0</v>
      </c>
      <c r="G226" s="25" t="n">
        <f aca="false">IF(AND(F220&lt;&gt;"",G220&lt;&gt;""),G220-F220,0)</f>
        <v>0</v>
      </c>
      <c r="H226" s="25" t="n">
        <f aca="false">IF(AND(G220&lt;&gt;"",H220&lt;&gt;""),H220-G220,0)</f>
        <v>0</v>
      </c>
      <c r="I226" s="25" t="n">
        <f aca="false">IF(AND(H220&lt;&gt;"",I220&lt;&gt;""),I220-H220,0)</f>
        <v>0</v>
      </c>
      <c r="J226" s="25" t="n">
        <f aca="false">IF(AND(I220&lt;&gt;"",J220&lt;&gt;""),J220-I220,0)</f>
        <v>0</v>
      </c>
      <c r="K226" s="25" t="n">
        <f aca="false">IF(AND(J220&lt;&gt;"",K220&lt;&gt;""),K220-J220,0)</f>
        <v>0</v>
      </c>
      <c r="L226" s="25" t="n">
        <f aca="false">IF(AND(K220&lt;&gt;"",L220&lt;&gt;""),L220-K220,0)</f>
        <v>0</v>
      </c>
      <c r="M226" s="25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1387</v>
      </c>
      <c r="B227" s="0" t="s">
        <v>1580</v>
      </c>
      <c r="C227" s="0" t="s">
        <v>82</v>
      </c>
      <c r="D227" s="25" t="n">
        <f aca="false">IF(D220&lt;&gt;"",D220,0)</f>
        <v>0</v>
      </c>
      <c r="E227" s="25" t="n">
        <f aca="false">IF(AND(D220="",E220&lt;&gt;""),E220,0)</f>
        <v>0</v>
      </c>
      <c r="F227" s="25" t="n">
        <f aca="false">IF(AND(E220="",F220&lt;&gt;""),F220,0)</f>
        <v>0</v>
      </c>
      <c r="G227" s="25" t="n">
        <f aca="false">IF(AND(F220="",G220&lt;&gt;""),G220,0)</f>
        <v>0</v>
      </c>
      <c r="H227" s="25" t="n">
        <f aca="false">IF(AND(G220="",H220&lt;&gt;""),H220,0)</f>
        <v>0</v>
      </c>
      <c r="I227" s="25" t="n">
        <f aca="false">IF(AND(H220="",I220&lt;&gt;""),I220,0)</f>
        <v>0</v>
      </c>
      <c r="J227" s="25" t="n">
        <f aca="false">IF(AND(I220="",J220&lt;&gt;""),J220,0)</f>
        <v>0</v>
      </c>
      <c r="K227" s="25" t="n">
        <f aca="false">IF(AND(J220="",K220&lt;&gt;""),K220,0)</f>
        <v>0</v>
      </c>
      <c r="L227" s="25" t="n">
        <f aca="false">IF(AND(K220="",L220&lt;&gt;""),L220,0)</f>
        <v>0</v>
      </c>
      <c r="M227" s="25" t="n">
        <f aca="false">IF(AND(L220="",M220&lt;&gt;""),M220,0)</f>
        <v>0</v>
      </c>
    </row>
    <row r="228" customFormat="false" ht="17.15" hidden="false" customHeight="false" outlineLevel="0" collapsed="false">
      <c r="A228" s="5" t="s">
        <v>1389</v>
      </c>
      <c r="B228" s="0" t="s">
        <v>1581</v>
      </c>
      <c r="C228" s="0" t="s">
        <v>57</v>
      </c>
      <c r="D228" s="24" t="n">
        <f aca="false">D$12</f>
        <v>0.238210067173108</v>
      </c>
      <c r="E228" s="24" t="n">
        <f aca="false">E$12</f>
        <v>0.238210067173108</v>
      </c>
      <c r="F228" s="24" t="n">
        <f aca="false">F$12</f>
        <v>0.238210067173108</v>
      </c>
      <c r="G228" s="24" t="n">
        <f aca="false">G$12</f>
        <v>0.238210067173108</v>
      </c>
      <c r="H228" s="24" t="n">
        <f aca="false">H$12</f>
        <v>0.273101862203342</v>
      </c>
      <c r="I228" s="24" t="n">
        <f aca="false">I$12</f>
        <v>0.269621396123668</v>
      </c>
      <c r="J228" s="24" t="n">
        <f aca="false">J$12</f>
        <v>0.272187509408712</v>
      </c>
      <c r="K228" s="24" t="n">
        <f aca="false">K$12</f>
        <v>0.272187509408712</v>
      </c>
      <c r="L228" s="24" t="n">
        <f aca="false">L$12</f>
        <v>0.272187509408712</v>
      </c>
      <c r="M228" s="24" t="n">
        <f aca="false">M$12</f>
        <v>0.272187509408712</v>
      </c>
    </row>
    <row r="230" customFormat="false" ht="17.15" hidden="false" customHeight="false" outlineLevel="0" collapsed="false">
      <c r="A230" s="22" t="s">
        <v>1582</v>
      </c>
      <c r="B230" s="21" t="s">
        <v>767</v>
      </c>
      <c r="N230" s="21" t="s">
        <v>1583</v>
      </c>
    </row>
    <row r="231" customFormat="false" ht="17.15" hidden="false" customHeight="false" outlineLevel="0" collapsed="false">
      <c r="A231" s="5" t="s">
        <v>1357</v>
      </c>
      <c r="B231" s="0" t="s">
        <v>1584</v>
      </c>
      <c r="C231" s="0" t="s">
        <v>82</v>
      </c>
      <c r="D231" s="25" t="str">
        <f aca="false">IF(In!$H$119="","",IF(In!$C$119="設施",In!$H$119/1000/D$13,In!$H$119/1000))</f>
        <v/>
      </c>
      <c r="E231" s="25" t="n">
        <f aca="false">IF(In!$I$119="","",IF(In!$C$119="設施",In!$I$119/1000/E$13,In!$I$119/1000))</f>
        <v>0.2</v>
      </c>
      <c r="F231" s="25" t="n">
        <f aca="false">IF(In!$J$119="","",IF(In!$C$119="設施",In!$J$119/1000/F$13,In!$J$119/1000))</f>
        <v>0.5</v>
      </c>
      <c r="G231" s="25" t="n">
        <f aca="false">IF(In!$K$119="","",IF(In!$C$119="設施",In!$K$119/1000/G$13,In!$K$119/1000))</f>
        <v>1.3</v>
      </c>
      <c r="H231" s="25" t="str">
        <f aca="false">IF(In!$L$119="","",IF(In!$C$119="設施",In!$L$119/1000/H$13,In!$L$119/1000))</f>
        <v/>
      </c>
      <c r="I231" s="25" t="str">
        <f aca="false">IF(In!$M$119="","",IF(In!$C$119="設施",In!$M$119/1000/I$13,In!$M$119/1000))</f>
        <v/>
      </c>
      <c r="J231" s="25" t="str">
        <f aca="false">IF(In!$N$119="","",IF(In!$C$119="設施",In!$N$119/1000/J$13,In!$N$119/1000))</f>
        <v/>
      </c>
      <c r="K231" s="25" t="str">
        <f aca="false">IF(In!$O$119="","",IF(In!$C$119="設施",In!$O$119/1000/K$13,In!$O$119/1000))</f>
        <v/>
      </c>
      <c r="L231" s="25" t="str">
        <f aca="false">IF(In!$P$119="","",IF(In!$C$119="設施",In!$P$119/1000/L$13,In!$P$119/1000))</f>
        <v/>
      </c>
      <c r="M231" s="25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1359</v>
      </c>
      <c r="B232" s="0" t="s">
        <v>1585</v>
      </c>
      <c r="C232" s="0" t="s">
        <v>82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1361</v>
      </c>
      <c r="B233" s="0" t="s">
        <v>1586</v>
      </c>
      <c r="C233" s="0" t="s">
        <v>82</v>
      </c>
      <c r="D233" s="0" t="str">
        <f aca="false">IF(D231&lt;&gt;"",D231,IF(D232&lt;&gt;"",D232,""))</f>
        <v/>
      </c>
      <c r="E233" s="25" t="n">
        <f aca="false">IF(E231&lt;&gt;"",E231,IF(E232&lt;&gt;"",E232,""))</f>
        <v>0.2</v>
      </c>
      <c r="F233" s="25" t="n">
        <f aca="false">IF(F231&lt;&gt;"",F231,IF(F232&lt;&gt;"",F232,""))</f>
        <v>0.5</v>
      </c>
      <c r="G233" s="25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1363</v>
      </c>
      <c r="B234" s="0" t="s">
        <v>1587</v>
      </c>
      <c r="C234" s="0" t="s">
        <v>82</v>
      </c>
      <c r="D234" s="0" t="str">
        <f aca="false">IF(D233&lt;&gt;"",D233,"")</f>
        <v/>
      </c>
      <c r="E234" s="25" t="n">
        <f aca="false">IF(E233&lt;&gt;"",E233,D234)</f>
        <v>0.2</v>
      </c>
      <c r="F234" s="25" t="n">
        <f aca="false">IF(F233&lt;&gt;"",F233,E234)</f>
        <v>0.5</v>
      </c>
      <c r="G234" s="25" t="n">
        <f aca="false">IF(G233&lt;&gt;"",G233,F234)</f>
        <v>1.3</v>
      </c>
      <c r="H234" s="25" t="n">
        <f aca="false">IF(H233&lt;&gt;"",H233,G234)</f>
        <v>1.3</v>
      </c>
      <c r="I234" s="25" t="n">
        <f aca="false">IF(I233&lt;&gt;"",I233,H234)</f>
        <v>1.3</v>
      </c>
      <c r="J234" s="25" t="n">
        <f aca="false">IF(J233&lt;&gt;"",J233,I234)</f>
        <v>1.3</v>
      </c>
      <c r="K234" s="25" t="n">
        <f aca="false">IF(K233&lt;&gt;"",K233,J234)</f>
        <v>1.3</v>
      </c>
      <c r="L234" s="25" t="n">
        <f aca="false">IF(L233&lt;&gt;"",L233,K234)</f>
        <v>1.3</v>
      </c>
      <c r="M234" s="25" t="n">
        <f aca="false">IF(M233&lt;&gt;"",M233,L234)</f>
        <v>1.3</v>
      </c>
    </row>
    <row r="235" customFormat="false" ht="15" hidden="false" customHeight="false" outlineLevel="0" collapsed="false">
      <c r="A235" s="5" t="s">
        <v>1365</v>
      </c>
      <c r="B235" s="0" t="s">
        <v>1588</v>
      </c>
      <c r="C235" s="5" t="s">
        <v>52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1367</v>
      </c>
      <c r="B236" s="0" t="s">
        <v>1589</v>
      </c>
      <c r="C236" s="0" t="s">
        <v>82</v>
      </c>
      <c r="D236" s="25" t="n">
        <f aca="false">IF(D233&lt;&gt;"",D233,E236)</f>
        <v>0.2</v>
      </c>
      <c r="E236" s="25" t="n">
        <f aca="false">IF(E233&lt;&gt;"",E233,F236)</f>
        <v>0.2</v>
      </c>
      <c r="F236" s="25" t="n">
        <f aca="false">IF(F233&lt;&gt;"",F233,G236)</f>
        <v>0.5</v>
      </c>
      <c r="G236" s="25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1369</v>
      </c>
      <c r="B237" s="0" t="s">
        <v>1590</v>
      </c>
      <c r="C237" s="5" t="s">
        <v>52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1371</v>
      </c>
      <c r="B238" s="0" t="s">
        <v>1591</v>
      </c>
      <c r="C238" s="0" t="s">
        <v>82</v>
      </c>
      <c r="D238" s="25" t="n">
        <f aca="false">SUMIFS(Pipeline!$L$5:$L$134,Pipeline!$C$5:$C$134,"neo",Pipeline!$Q$5:$Q$134,1,Pipeline!$P$5:$P$134,2023)</f>
        <v>0</v>
      </c>
      <c r="E238" s="25" t="n">
        <f aca="false">SUMIFS(Pipeline!$L$5:$L$134,Pipeline!$C$5:$C$134,"neo",Pipeline!$Q$5:$Q$134,1,Pipeline!$P$5:$P$134,2024)</f>
        <v>0</v>
      </c>
      <c r="F238" s="25" t="n">
        <f aca="false">SUMIFS(Pipeline!$L$5:$L$134,Pipeline!$C$5:$C$134,"neo",Pipeline!$Q$5:$Q$134,1,Pipeline!$P$5:$P$134,2025)</f>
        <v>0</v>
      </c>
      <c r="G238" s="25" t="n">
        <f aca="false">SUMIFS(Pipeline!$L$5:$L$134,Pipeline!$C$5:$C$134,"neo",Pipeline!$Q$5:$Q$134,1,Pipeline!$P$5:$P$134,2026)</f>
        <v>0.1</v>
      </c>
      <c r="H238" s="25" t="n">
        <f aca="false">SUMIFS(Pipeline!$L$5:$L$134,Pipeline!$C$5:$C$134,"neo",Pipeline!$Q$5:$Q$134,1,Pipeline!$P$5:$P$134,2027)</f>
        <v>1.475</v>
      </c>
      <c r="I238" s="25" t="n">
        <f aca="false">SUMIFS(Pipeline!$L$5:$L$134,Pipeline!$C$5:$C$134,"neo",Pipeline!$Q$5:$Q$134,1,Pipeline!$P$5:$P$134,2028)</f>
        <v>1.903</v>
      </c>
      <c r="J238" s="25" t="n">
        <f aca="false">SUMIFS(Pipeline!$L$5:$L$134,Pipeline!$C$5:$C$134,"neo",Pipeline!$Q$5:$Q$134,1,Pipeline!$P$5:$P$134,2029)</f>
        <v>0</v>
      </c>
      <c r="K238" s="25" t="n">
        <f aca="false">SUMIFS(Pipeline!$L$5:$L$134,Pipeline!$C$5:$C$134,"neo",Pipeline!$Q$5:$Q$134,1,Pipeline!$P$5:$P$134,2030)</f>
        <v>0</v>
      </c>
      <c r="L238" s="25" t="n">
        <f aca="false">SUMIFS(Pipeline!$L$5:$L$134,Pipeline!$C$5:$C$134,"neo",Pipeline!$Q$5:$Q$134,1,Pipeline!$P$5:$P$134,2031)</f>
        <v>0</v>
      </c>
      <c r="M238" s="25" t="n">
        <f aca="false">SUMIFS(Pipeline!$L$5:$L$134,Pipeline!$C$5:$C$134,"neo",Pipeline!$Q$5:$Q$134,1,Pipeline!$P$5:$P$134,2032)</f>
        <v>0</v>
      </c>
    </row>
    <row r="239" customFormat="false" ht="17.15" hidden="false" customHeight="false" outlineLevel="0" collapsed="false">
      <c r="A239" s="5" t="s">
        <v>1373</v>
      </c>
      <c r="B239" s="0" t="s">
        <v>1592</v>
      </c>
      <c r="C239" s="0" t="s">
        <v>82</v>
      </c>
      <c r="D239" s="26" t="str">
        <f aca="false">IF(D233&lt;&gt;"",D233,IF(AND(D234&lt;&gt;"",D236&lt;&gt;""),D234+(D236-D234)*(2023-D235)/(D237-D235),""))</f>
        <v/>
      </c>
      <c r="E239" s="26" t="n">
        <f aca="false">IF(E233&lt;&gt;"",E233,IF(AND(E234&lt;&gt;"",E236&lt;&gt;""),E234+(E236-E234)*(2024-E235)/(E237-E235),IF(D239&lt;&gt;"",D239+E238,"")))</f>
        <v>0.2</v>
      </c>
      <c r="F239" s="26" t="n">
        <f aca="false">IF(F233&lt;&gt;"",F233,IF(AND(F234&lt;&gt;"",F236&lt;&gt;""),F234+(F236-F234)*(2025-F235)/(F237-F235),IF(E239&lt;&gt;"",E239+F238,"")))</f>
        <v>0.5</v>
      </c>
      <c r="G239" s="26" t="n">
        <f aca="false">IF(G233&lt;&gt;"",G233,IF(AND(G234&lt;&gt;"",G236&lt;&gt;""),G234+(G236-G234)*(2026-G235)/(G237-G235),IF(F239&lt;&gt;"",F239+G238,"")))</f>
        <v>1.3</v>
      </c>
      <c r="H239" s="26" t="n">
        <f aca="false">IF(H233&lt;&gt;"",H233,IF(AND(H234&lt;&gt;"",H236&lt;&gt;""),H234+(H236-H234)*(2027-H235)/(H237-H235),IF(G239&lt;&gt;"",G239+H238,"")))</f>
        <v>2.775</v>
      </c>
      <c r="I239" s="26" t="n">
        <f aca="false">IF(I233&lt;&gt;"",I233,IF(AND(I234&lt;&gt;"",I236&lt;&gt;""),I234+(I236-I234)*(2028-I235)/(I237-I235),IF(H239&lt;&gt;"",H239+I238,"")))</f>
        <v>4.678</v>
      </c>
      <c r="J239" s="26" t="n">
        <f aca="false">IF(J233&lt;&gt;"",J233,IF(AND(J234&lt;&gt;"",J236&lt;&gt;""),J234+(J236-J234)*(2029-J235)/(J237-J235),IF(I239&lt;&gt;"",I239+J238,"")))</f>
        <v>4.678</v>
      </c>
      <c r="K239" s="26" t="n">
        <f aca="false">IF(K233&lt;&gt;"",K233,IF(AND(K234&lt;&gt;"",K236&lt;&gt;""),K234+(K236-K234)*(2030-K235)/(K237-K235),IF(J239&lt;&gt;"",J239+K238,"")))</f>
        <v>4.678</v>
      </c>
      <c r="L239" s="26" t="n">
        <f aca="false">IF(L233&lt;&gt;"",L233,IF(AND(L234&lt;&gt;"",L236&lt;&gt;""),L234+(L236-L234)*(2031-L235)/(L237-L235),IF(K239&lt;&gt;"",K239+L238,"")))</f>
        <v>4.678</v>
      </c>
      <c r="M239" s="26" t="n">
        <f aca="false">IF(M233&lt;&gt;"",M233,IF(AND(M234&lt;&gt;"",M236&lt;&gt;""),M234+(M236-M234)*(2032-M235)/(M237-M235),IF(L239&lt;&gt;"",L239+M238,"")))</f>
        <v>4.678</v>
      </c>
    </row>
    <row r="240" customFormat="false" ht="15" hidden="false" customHeight="false" outlineLevel="0" collapsed="false">
      <c r="A240" s="5" t="s">
        <v>1375</v>
      </c>
      <c r="B240" s="0" t="s">
        <v>1593</v>
      </c>
      <c r="C240" s="0" t="s">
        <v>40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1377</v>
      </c>
      <c r="B241" s="0" t="s">
        <v>1594</v>
      </c>
      <c r="C241" s="0" t="s">
        <v>82</v>
      </c>
      <c r="D241" s="25" t="str">
        <f aca="false">IF(D239="","",D239)</f>
        <v/>
      </c>
      <c r="E241" s="25" t="n">
        <f aca="false">IF(E239="","",E239)</f>
        <v>0.2</v>
      </c>
      <c r="F241" s="25" t="n">
        <f aca="false">IF(F239="","",rng25_neo_lo/1000)</f>
        <v>0.3</v>
      </c>
      <c r="G241" s="25" t="n">
        <f aca="false">IF(G239="","",G239)</f>
        <v>1.3</v>
      </c>
      <c r="H241" s="25" t="n">
        <f aca="false">IF(H239="","",H239)</f>
        <v>2.775</v>
      </c>
      <c r="I241" s="25" t="n">
        <f aca="false">IF(I239="","",I239)</f>
        <v>4.678</v>
      </c>
      <c r="J241" s="25" t="n">
        <f aca="false">IF(J239="","",J239)</f>
        <v>4.678</v>
      </c>
      <c r="K241" s="25" t="n">
        <f aca="false">IF(K239="","",K239)</f>
        <v>4.678</v>
      </c>
      <c r="L241" s="25" t="n">
        <f aca="false">IF(L239="","",L239)</f>
        <v>4.678</v>
      </c>
      <c r="M241" s="25" t="n">
        <f aca="false">IF(M239="","",M239)</f>
        <v>4.678</v>
      </c>
    </row>
    <row r="242" customFormat="false" ht="17.15" hidden="false" customHeight="false" outlineLevel="0" collapsed="false">
      <c r="A242" s="5" t="s">
        <v>1379</v>
      </c>
      <c r="B242" s="0" t="s">
        <v>1595</v>
      </c>
      <c r="C242" s="0" t="s">
        <v>82</v>
      </c>
      <c r="D242" s="25" t="str">
        <f aca="false">IF(D239="","",D239)</f>
        <v/>
      </c>
      <c r="E242" s="25" t="n">
        <f aca="false">IF(E239="","",E239)</f>
        <v>0.2</v>
      </c>
      <c r="F242" s="25" t="n">
        <f aca="false">IF(F239="","",rng25_neo_hi/1000)</f>
        <v>0.8</v>
      </c>
      <c r="G242" s="25" t="n">
        <f aca="false">IF(G239="","",G239)</f>
        <v>1.3</v>
      </c>
      <c r="H242" s="25" t="n">
        <f aca="false">IF(H239="","",H239)</f>
        <v>2.775</v>
      </c>
      <c r="I242" s="25" t="n">
        <f aca="false">IF(I239="","",I239)</f>
        <v>4.678</v>
      </c>
      <c r="J242" s="25" t="n">
        <f aca="false">IF(J239="","",J239)</f>
        <v>4.678</v>
      </c>
      <c r="K242" s="25" t="n">
        <f aca="false">IF(K239="","",K239)</f>
        <v>4.678</v>
      </c>
      <c r="L242" s="25" t="n">
        <f aca="false">IF(L239="","",L239)</f>
        <v>4.678</v>
      </c>
      <c r="M242" s="25" t="n">
        <f aca="false">IF(M239="","",M239)</f>
        <v>4.678</v>
      </c>
    </row>
    <row r="243" customFormat="false" ht="17.15" hidden="false" customHeight="false" outlineLevel="0" collapsed="false">
      <c r="A243" s="5" t="s">
        <v>1381</v>
      </c>
      <c r="B243" s="0" t="s">
        <v>1596</v>
      </c>
      <c r="C243" s="0" t="s">
        <v>82</v>
      </c>
      <c r="D243" s="25" t="str">
        <f aca="false">IF(D239="","",IF(In!$C$119="未說明",D239/D$13,D239))</f>
        <v/>
      </c>
      <c r="E243" s="25" t="n">
        <f aca="false">IF(E239="","",IF(In!$C$119="未說明",E239/E$13,E239))</f>
        <v>0.2</v>
      </c>
      <c r="F243" s="25" t="n">
        <f aca="false">IF(F239="","",IF(In!$C$119="未說明",F239/F$13,F239))</f>
        <v>0.5</v>
      </c>
      <c r="G243" s="25" t="n">
        <f aca="false">IF(G239="","",IF(In!$C$119="未說明",G239/G$13,G239))</f>
        <v>1.3</v>
      </c>
      <c r="H243" s="25" t="n">
        <f aca="false">IF(H239="","",IF(In!$C$119="未說明",H239/H$13,H239))</f>
        <v>2.775</v>
      </c>
      <c r="I243" s="25" t="n">
        <f aca="false">IF(I239="","",IF(In!$C$119="未說明",I239/I$13,I239))</f>
        <v>4.678</v>
      </c>
      <c r="J243" s="25" t="n">
        <f aca="false">IF(J239="","",IF(In!$C$119="未說明",J239/J$13,J239))</f>
        <v>4.678</v>
      </c>
      <c r="K243" s="25" t="n">
        <f aca="false">IF(K239="","",IF(In!$C$119="未說明",K239/K$13,K239))</f>
        <v>4.678</v>
      </c>
      <c r="L243" s="25" t="n">
        <f aca="false">IF(L239="","",IF(In!$C$119="未說明",L239/L$13,L239))</f>
        <v>4.678</v>
      </c>
      <c r="M243" s="25" t="n">
        <f aca="false">IF(M239="","",IF(In!$C$119="未說明",M239/M$13,M239))</f>
        <v>4.678</v>
      </c>
    </row>
    <row r="244" customFormat="false" ht="17.15" hidden="false" customHeight="false" outlineLevel="0" collapsed="false">
      <c r="A244" s="5" t="s">
        <v>1383</v>
      </c>
      <c r="B244" s="0" t="s">
        <v>1597</v>
      </c>
      <c r="C244" s="0" t="s">
        <v>82</v>
      </c>
      <c r="D244" s="0" t="str">
        <f aca="false">""</f>
        <v/>
      </c>
      <c r="E244" s="25" t="str">
        <f aca="false">IF(AND(D239&lt;&gt;"",E239&lt;&gt;""),(D239+E239)/2,"")</f>
        <v/>
      </c>
      <c r="F244" s="25" t="n">
        <f aca="false">IF(AND(E239&lt;&gt;"",F239&lt;&gt;""),(E239+F239)/2,"")</f>
        <v>0.35</v>
      </c>
      <c r="G244" s="25" t="n">
        <f aca="false">IF(AND(F239&lt;&gt;"",G239&lt;&gt;""),(F239+G239)/2,"")</f>
        <v>0.9</v>
      </c>
      <c r="H244" s="25" t="n">
        <f aca="false">IF(AND(G239&lt;&gt;"",H239&lt;&gt;""),(G239+H239)/2,"")</f>
        <v>2.0375</v>
      </c>
      <c r="I244" s="25" t="n">
        <f aca="false">IF(AND(H239&lt;&gt;"",I239&lt;&gt;""),(H239+I239)/2,"")</f>
        <v>3.7265</v>
      </c>
      <c r="J244" s="25" t="n">
        <f aca="false">IF(AND(I239&lt;&gt;"",J239&lt;&gt;""),(I239+J239)/2,"")</f>
        <v>4.678</v>
      </c>
      <c r="K244" s="25" t="n">
        <f aca="false">IF(AND(J239&lt;&gt;"",K239&lt;&gt;""),(J239+K239)/2,"")</f>
        <v>4.678</v>
      </c>
      <c r="L244" s="25" t="n">
        <f aca="false">IF(AND(K239&lt;&gt;"",L239&lt;&gt;""),(K239+L239)/2,"")</f>
        <v>4.678</v>
      </c>
      <c r="M244" s="25" t="n">
        <f aca="false">IF(AND(L239&lt;&gt;"",M239&lt;&gt;""),(L239+M239)/2,"")</f>
        <v>4.678</v>
      </c>
    </row>
    <row r="245" customFormat="false" ht="17.15" hidden="false" customHeight="false" outlineLevel="0" collapsed="false">
      <c r="A245" s="5" t="s">
        <v>1385</v>
      </c>
      <c r="B245" s="0" t="s">
        <v>1598</v>
      </c>
      <c r="C245" s="0" t="s">
        <v>82</v>
      </c>
      <c r="D245" s="0" t="n">
        <v>0</v>
      </c>
      <c r="E245" s="25" t="n">
        <f aca="false">IF(AND(D239&lt;&gt;"",E239&lt;&gt;""),E239-D239,0)</f>
        <v>0</v>
      </c>
      <c r="F245" s="25" t="n">
        <f aca="false">IF(AND(E239&lt;&gt;"",F239&lt;&gt;""),F239-E239,0)</f>
        <v>0.3</v>
      </c>
      <c r="G245" s="25" t="n">
        <f aca="false">IF(AND(F239&lt;&gt;"",G239&lt;&gt;""),G239-F239,0)</f>
        <v>0.8</v>
      </c>
      <c r="H245" s="25" t="n">
        <f aca="false">IF(AND(G239&lt;&gt;"",H239&lt;&gt;""),H239-G239,0)</f>
        <v>1.475</v>
      </c>
      <c r="I245" s="25" t="n">
        <f aca="false">IF(AND(H239&lt;&gt;"",I239&lt;&gt;""),I239-H239,0)</f>
        <v>1.903</v>
      </c>
      <c r="J245" s="25" t="n">
        <f aca="false">IF(AND(I239&lt;&gt;"",J239&lt;&gt;""),J239-I239,0)</f>
        <v>0</v>
      </c>
      <c r="K245" s="25" t="n">
        <f aca="false">IF(AND(J239&lt;&gt;"",K239&lt;&gt;""),K239-J239,0)</f>
        <v>0</v>
      </c>
      <c r="L245" s="25" t="n">
        <f aca="false">IF(AND(K239&lt;&gt;"",L239&lt;&gt;""),L239-K239,0)</f>
        <v>0</v>
      </c>
      <c r="M245" s="25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1387</v>
      </c>
      <c r="B246" s="0" t="s">
        <v>1599</v>
      </c>
      <c r="C246" s="0" t="s">
        <v>82</v>
      </c>
      <c r="D246" s="25" t="n">
        <f aca="false">IF(D239&lt;&gt;"",D239,0)</f>
        <v>0</v>
      </c>
      <c r="E246" s="25" t="n">
        <f aca="false">IF(AND(D239="",E239&lt;&gt;""),E239,0)</f>
        <v>0.2</v>
      </c>
      <c r="F246" s="25" t="n">
        <f aca="false">IF(AND(E239="",F239&lt;&gt;""),F239,0)</f>
        <v>0</v>
      </c>
      <c r="G246" s="25" t="n">
        <f aca="false">IF(AND(F239="",G239&lt;&gt;""),G239,0)</f>
        <v>0</v>
      </c>
      <c r="H246" s="25" t="n">
        <f aca="false">IF(AND(G239="",H239&lt;&gt;""),H239,0)</f>
        <v>0</v>
      </c>
      <c r="I246" s="25" t="n">
        <f aca="false">IF(AND(H239="",I239&lt;&gt;""),I239,0)</f>
        <v>0</v>
      </c>
      <c r="J246" s="25" t="n">
        <f aca="false">IF(AND(I239="",J239&lt;&gt;""),J239,0)</f>
        <v>0</v>
      </c>
      <c r="K246" s="25" t="n">
        <f aca="false">IF(AND(J239="",K239&lt;&gt;""),K239,0)</f>
        <v>0</v>
      </c>
      <c r="L246" s="25" t="n">
        <f aca="false">IF(AND(K239="",L239&lt;&gt;""),L239,0)</f>
        <v>0</v>
      </c>
      <c r="M246" s="25" t="n">
        <f aca="false">IF(AND(L239="",M239&lt;&gt;""),M239,0)</f>
        <v>0</v>
      </c>
    </row>
    <row r="247" customFormat="false" ht="17.15" hidden="false" customHeight="false" outlineLevel="0" collapsed="false">
      <c r="A247" s="5" t="s">
        <v>1389</v>
      </c>
      <c r="B247" s="0" t="s">
        <v>1600</v>
      </c>
      <c r="C247" s="0" t="s">
        <v>57</v>
      </c>
      <c r="D247" s="24" t="n">
        <f aca="false">D$12</f>
        <v>0.238210067173108</v>
      </c>
      <c r="E247" s="24" t="n">
        <f aca="false">E$12</f>
        <v>0.238210067173108</v>
      </c>
      <c r="F247" s="24" t="n">
        <f aca="false">F$12</f>
        <v>0.238210067173108</v>
      </c>
      <c r="G247" s="24" t="n">
        <f aca="false">G$12</f>
        <v>0.238210067173108</v>
      </c>
      <c r="H247" s="24" t="n">
        <f aca="false">H$12</f>
        <v>0.273101862203342</v>
      </c>
      <c r="I247" s="24" t="n">
        <f aca="false">I$12</f>
        <v>0.269621396123668</v>
      </c>
      <c r="J247" s="24" t="n">
        <f aca="false">J$12</f>
        <v>0.272187509408712</v>
      </c>
      <c r="K247" s="24" t="n">
        <f aca="false">K$12</f>
        <v>0.272187509408712</v>
      </c>
      <c r="L247" s="24" t="n">
        <f aca="false">L$12</f>
        <v>0.272187509408712</v>
      </c>
      <c r="M247" s="24" t="n">
        <f aca="false">M$12</f>
        <v>0.272187509408712</v>
      </c>
    </row>
    <row r="249" customFormat="false" ht="17.15" hidden="false" customHeight="false" outlineLevel="0" collapsed="false">
      <c r="A249" s="22" t="s">
        <v>1601</v>
      </c>
      <c r="B249" s="21" t="s">
        <v>866</v>
      </c>
      <c r="N249" s="21" t="s">
        <v>1602</v>
      </c>
    </row>
    <row r="250" customFormat="false" ht="17.15" hidden="false" customHeight="false" outlineLevel="0" collapsed="false">
      <c r="A250" s="5" t="s">
        <v>1357</v>
      </c>
      <c r="B250" s="0" t="s">
        <v>1603</v>
      </c>
      <c r="C250" s="0" t="s">
        <v>82</v>
      </c>
      <c r="D250" s="25" t="str">
        <f aca="false">IF(In!$H$120="","",IF(In!$C$120="設施",In!$H$120/1000/D$13,In!$H$120/1000))</f>
        <v/>
      </c>
      <c r="E250" s="25" t="str">
        <f aca="false">IF(In!$I$120="","",IF(In!$C$120="設施",In!$I$120/1000/E$13,In!$I$120/1000))</f>
        <v/>
      </c>
      <c r="F250" s="25" t="n">
        <f aca="false">IF(In!$J$120="","",IF(In!$C$120="設施",In!$J$120/1000/F$13,In!$J$120/1000))</f>
        <v>0</v>
      </c>
      <c r="G250" s="25" t="str">
        <f aca="false">IF(In!$K$120="","",IF(In!$C$120="設施",In!$K$120/1000/G$13,In!$K$120/1000))</f>
        <v/>
      </c>
      <c r="H250" s="25" t="str">
        <f aca="false">IF(In!$L$120="","",IF(In!$C$120="設施",In!$L$120/1000/H$13,In!$L$120/1000))</f>
        <v/>
      </c>
      <c r="I250" s="25" t="str">
        <f aca="false">IF(In!$M$120="","",IF(In!$C$120="設施",In!$M$120/1000/I$13,In!$M$120/1000))</f>
        <v/>
      </c>
      <c r="J250" s="25" t="str">
        <f aca="false">IF(In!$N$120="","",IF(In!$C$120="設施",In!$N$120/1000/J$13,In!$N$120/1000))</f>
        <v/>
      </c>
      <c r="K250" s="25" t="str">
        <f aca="false">IF(In!$O$120="","",IF(In!$C$120="設施",In!$O$120/1000/K$13,In!$O$120/1000))</f>
        <v/>
      </c>
      <c r="L250" s="25" t="str">
        <f aca="false">IF(In!$P$120="","",IF(In!$C$120="設施",In!$P$120/1000/L$13,In!$P$120/1000))</f>
        <v/>
      </c>
      <c r="M250" s="25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1359</v>
      </c>
      <c r="B251" s="0" t="s">
        <v>1604</v>
      </c>
      <c r="C251" s="0" t="s">
        <v>82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1361</v>
      </c>
      <c r="B252" s="0" t="s">
        <v>1605</v>
      </c>
      <c r="C252" s="0" t="s">
        <v>82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5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1363</v>
      </c>
      <c r="B253" s="0" t="s">
        <v>1606</v>
      </c>
      <c r="C253" s="0" t="s">
        <v>82</v>
      </c>
      <c r="D253" s="0" t="str">
        <f aca="false">IF(D252&lt;&gt;"",D252,"")</f>
        <v/>
      </c>
      <c r="E253" s="0" t="str">
        <f aca="false">IF(E252&lt;&gt;"",E252,D253)</f>
        <v/>
      </c>
      <c r="F253" s="25" t="n">
        <f aca="false">IF(F252&lt;&gt;"",F252,E253)</f>
        <v>0</v>
      </c>
      <c r="G253" s="25" t="n">
        <f aca="false">IF(G252&lt;&gt;"",G252,F253)</f>
        <v>0</v>
      </c>
      <c r="H253" s="25" t="n">
        <f aca="false">IF(H252&lt;&gt;"",H252,G253)</f>
        <v>0</v>
      </c>
      <c r="I253" s="25" t="n">
        <f aca="false">IF(I252&lt;&gt;"",I252,H253)</f>
        <v>0</v>
      </c>
      <c r="J253" s="25" t="n">
        <f aca="false">IF(J252&lt;&gt;"",J252,I253)</f>
        <v>0</v>
      </c>
      <c r="K253" s="25" t="n">
        <f aca="false">IF(K252&lt;&gt;"",K252,J253)</f>
        <v>0</v>
      </c>
      <c r="L253" s="25" t="n">
        <f aca="false">IF(L252&lt;&gt;"",L252,K253)</f>
        <v>0</v>
      </c>
      <c r="M253" s="25" t="n">
        <f aca="false">IF(M252&lt;&gt;"",M252,L253)</f>
        <v>0</v>
      </c>
    </row>
    <row r="254" customFormat="false" ht="15" hidden="false" customHeight="false" outlineLevel="0" collapsed="false">
      <c r="A254" s="5" t="s">
        <v>1365</v>
      </c>
      <c r="B254" s="0" t="s">
        <v>1607</v>
      </c>
      <c r="C254" s="5" t="s">
        <v>52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1367</v>
      </c>
      <c r="B255" s="0" t="s">
        <v>1608</v>
      </c>
      <c r="C255" s="0" t="s">
        <v>82</v>
      </c>
      <c r="D255" s="25" t="n">
        <f aca="false">IF(D252&lt;&gt;"",D252,E255)</f>
        <v>0</v>
      </c>
      <c r="E255" s="25" t="n">
        <f aca="false">IF(E252&lt;&gt;"",E252,F255)</f>
        <v>0</v>
      </c>
      <c r="F255" s="25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1369</v>
      </c>
      <c r="B256" s="0" t="s">
        <v>1609</v>
      </c>
      <c r="C256" s="5" t="s">
        <v>52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1371</v>
      </c>
      <c r="B257" s="0" t="s">
        <v>1610</v>
      </c>
      <c r="C257" s="0" t="s">
        <v>82</v>
      </c>
      <c r="D257" s="25" t="n">
        <f aca="false">SUMIFS(Pipeline!$L$5:$L$134,Pipeline!$C$5:$C$134,"sov",Pipeline!$Q$5:$Q$134,1,Pipeline!$P$5:$P$134,2023)</f>
        <v>0</v>
      </c>
      <c r="E257" s="25" t="n">
        <f aca="false">SUMIFS(Pipeline!$L$5:$L$134,Pipeline!$C$5:$C$134,"sov",Pipeline!$Q$5:$Q$134,1,Pipeline!$P$5:$P$134,2024)</f>
        <v>0</v>
      </c>
      <c r="F257" s="25" t="n">
        <f aca="false">SUMIFS(Pipeline!$L$5:$L$134,Pipeline!$C$5:$C$134,"sov",Pipeline!$Q$5:$Q$134,1,Pipeline!$P$5:$P$134,2025)</f>
        <v>0</v>
      </c>
      <c r="G257" s="25" t="n">
        <f aca="false">SUMIFS(Pipeline!$L$5:$L$134,Pipeline!$C$5:$C$134,"sov",Pipeline!$Q$5:$Q$134,1,Pipeline!$P$5:$P$134,2026)</f>
        <v>0.4</v>
      </c>
      <c r="H257" s="25" t="n">
        <f aca="false">SUMIFS(Pipeline!$L$5:$L$134,Pipeline!$C$5:$C$134,"sov",Pipeline!$Q$5:$Q$134,1,Pipeline!$P$5:$P$134,2027)</f>
        <v>1.5</v>
      </c>
      <c r="I257" s="25" t="n">
        <f aca="false">SUMIFS(Pipeline!$L$5:$L$134,Pipeline!$C$5:$C$134,"sov",Pipeline!$Q$5:$Q$134,1,Pipeline!$P$5:$P$134,2028)</f>
        <v>0.096</v>
      </c>
      <c r="J257" s="25" t="n">
        <f aca="false">SUMIFS(Pipeline!$L$5:$L$134,Pipeline!$C$5:$C$134,"sov",Pipeline!$Q$5:$Q$134,1,Pipeline!$P$5:$P$134,2029)</f>
        <v>0</v>
      </c>
      <c r="K257" s="25" t="n">
        <f aca="false">SUMIFS(Pipeline!$L$5:$L$134,Pipeline!$C$5:$C$134,"sov",Pipeline!$Q$5:$Q$134,1,Pipeline!$P$5:$P$134,2030)</f>
        <v>0.2</v>
      </c>
      <c r="L257" s="25" t="n">
        <f aca="false">SUMIFS(Pipeline!$L$5:$L$134,Pipeline!$C$5:$C$134,"sov",Pipeline!$Q$5:$Q$134,1,Pipeline!$P$5:$P$134,2031)</f>
        <v>0</v>
      </c>
      <c r="M257" s="25" t="n">
        <f aca="false">SUMIFS(Pipeline!$L$5:$L$134,Pipeline!$C$5:$C$134,"sov",Pipeline!$Q$5:$Q$134,1,Pipeline!$P$5:$P$134,2032)</f>
        <v>0</v>
      </c>
    </row>
    <row r="258" customFormat="false" ht="17.15" hidden="false" customHeight="false" outlineLevel="0" collapsed="false">
      <c r="A258" s="5" t="s">
        <v>1373</v>
      </c>
      <c r="B258" s="0" t="s">
        <v>1611</v>
      </c>
      <c r="C258" s="0" t="s">
        <v>82</v>
      </c>
      <c r="D258" s="26" t="str">
        <f aca="false">IF(D252&lt;&gt;"",D252,IF(AND(D253&lt;&gt;"",D255&lt;&gt;""),D253+(D255-D253)*(2023-D254)/(D256-D254),""))</f>
        <v/>
      </c>
      <c r="E258" s="26" t="str">
        <f aca="false">IF(E252&lt;&gt;"",E252,IF(AND(E253&lt;&gt;"",E255&lt;&gt;""),E253+(E255-E253)*(2024-E254)/(E256-E254),IF(D258&lt;&gt;"",D258+E257,"")))</f>
        <v/>
      </c>
      <c r="F258" s="26" t="n">
        <f aca="false">IF(F252&lt;&gt;"",F252,IF(AND(F253&lt;&gt;"",F255&lt;&gt;""),F253+(F255-F253)*(2025-F254)/(F256-F254),IF(E258&lt;&gt;"",E258+F257,"")))</f>
        <v>0</v>
      </c>
      <c r="G258" s="26" t="n">
        <f aca="false">IF(G252&lt;&gt;"",G252,IF(AND(G253&lt;&gt;"",G255&lt;&gt;""),G253+(G255-G253)*(2026-G254)/(G256-G254),IF(F258&lt;&gt;"",F258+G257,"")))</f>
        <v>0.4</v>
      </c>
      <c r="H258" s="26" t="n">
        <f aca="false">IF(H252&lt;&gt;"",H252,IF(AND(H253&lt;&gt;"",H255&lt;&gt;""),H253+(H255-H253)*(2027-H254)/(H256-H254),IF(G258&lt;&gt;"",G258+H257,"")))</f>
        <v>1.9</v>
      </c>
      <c r="I258" s="26" t="n">
        <f aca="false">IF(I252&lt;&gt;"",I252,IF(AND(I253&lt;&gt;"",I255&lt;&gt;""),I253+(I255-I253)*(2028-I254)/(I256-I254),IF(H258&lt;&gt;"",H258+I257,"")))</f>
        <v>1.996</v>
      </c>
      <c r="J258" s="26" t="n">
        <f aca="false">IF(J252&lt;&gt;"",J252,IF(AND(J253&lt;&gt;"",J255&lt;&gt;""),J253+(J255-J253)*(2029-J254)/(J256-J254),IF(I258&lt;&gt;"",I258+J257,"")))</f>
        <v>1.996</v>
      </c>
      <c r="K258" s="26" t="n">
        <f aca="false">IF(K252&lt;&gt;"",K252,IF(AND(K253&lt;&gt;"",K255&lt;&gt;""),K253+(K255-K253)*(2030-K254)/(K256-K254),IF(J258&lt;&gt;"",J258+K257,"")))</f>
        <v>2.196</v>
      </c>
      <c r="L258" s="26" t="n">
        <f aca="false">IF(L252&lt;&gt;"",L252,IF(AND(L253&lt;&gt;"",L255&lt;&gt;""),L253+(L255-L253)*(2031-L254)/(L256-L254),IF(K258&lt;&gt;"",K258+L257,"")))</f>
        <v>2.196</v>
      </c>
      <c r="M258" s="26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1375</v>
      </c>
      <c r="B259" s="0" t="s">
        <v>1612</v>
      </c>
      <c r="C259" s="0" t="s">
        <v>40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1377</v>
      </c>
      <c r="B260" s="0" t="s">
        <v>1613</v>
      </c>
      <c r="C260" s="0" t="s">
        <v>82</v>
      </c>
      <c r="D260" s="25" t="str">
        <f aca="false">IF(D258="","",D258)</f>
        <v/>
      </c>
      <c r="E260" s="25" t="str">
        <f aca="false">IF(E258="","",E258)</f>
        <v/>
      </c>
      <c r="F260" s="25" t="n">
        <f aca="false">IF(F258="","",F258)</f>
        <v>0</v>
      </c>
      <c r="G260" s="25" t="n">
        <f aca="false">IF(G258="","",G258)</f>
        <v>0.4</v>
      </c>
      <c r="H260" s="25" t="n">
        <f aca="false">IF(H258="","",H258)</f>
        <v>1.9</v>
      </c>
      <c r="I260" s="25" t="n">
        <f aca="false">IF(I258="","",I258)</f>
        <v>1.996</v>
      </c>
      <c r="J260" s="25" t="n">
        <f aca="false">IF(J258="","",J258)</f>
        <v>1.996</v>
      </c>
      <c r="K260" s="25" t="n">
        <f aca="false">IF(K258="","",K258)</f>
        <v>2.196</v>
      </c>
      <c r="L260" s="25" t="n">
        <f aca="false">IF(L258="","",L258)</f>
        <v>2.196</v>
      </c>
      <c r="M260" s="25" t="n">
        <f aca="false">IF(M258="","",M258)</f>
        <v>2.196</v>
      </c>
    </row>
    <row r="261" customFormat="false" ht="17.15" hidden="false" customHeight="false" outlineLevel="0" collapsed="false">
      <c r="A261" s="5" t="s">
        <v>1379</v>
      </c>
      <c r="B261" s="0" t="s">
        <v>1614</v>
      </c>
      <c r="C261" s="0" t="s">
        <v>82</v>
      </c>
      <c r="D261" s="25" t="str">
        <f aca="false">IF(D258="","",D258)</f>
        <v/>
      </c>
      <c r="E261" s="25" t="str">
        <f aca="false">IF(E258="","",E258)</f>
        <v/>
      </c>
      <c r="F261" s="25" t="n">
        <f aca="false">IF(F258="","",F258)</f>
        <v>0</v>
      </c>
      <c r="G261" s="25" t="n">
        <f aca="false">IF(G258="","",G258)</f>
        <v>0.4</v>
      </c>
      <c r="H261" s="25" t="n">
        <f aca="false">IF(H258="","",H258)</f>
        <v>1.9</v>
      </c>
      <c r="I261" s="25" t="n">
        <f aca="false">IF(I258="","",I258)</f>
        <v>1.996</v>
      </c>
      <c r="J261" s="25" t="n">
        <f aca="false">IF(J258="","",J258)</f>
        <v>1.996</v>
      </c>
      <c r="K261" s="25" t="n">
        <f aca="false">IF(K258="","",K258)</f>
        <v>2.196</v>
      </c>
      <c r="L261" s="25" t="n">
        <f aca="false">IF(L258="","",L258)</f>
        <v>2.196</v>
      </c>
      <c r="M261" s="25" t="n">
        <f aca="false">IF(M258="","",M258)</f>
        <v>2.196</v>
      </c>
    </row>
    <row r="262" customFormat="false" ht="17.15" hidden="false" customHeight="false" outlineLevel="0" collapsed="false">
      <c r="A262" s="5" t="s">
        <v>1381</v>
      </c>
      <c r="B262" s="0" t="s">
        <v>1615</v>
      </c>
      <c r="C262" s="0" t="s">
        <v>82</v>
      </c>
      <c r="D262" s="25" t="str">
        <f aca="false">IF(D258="","",IF(In!$C$120="未說明",D258/D$13,D258))</f>
        <v/>
      </c>
      <c r="E262" s="25" t="str">
        <f aca="false">IF(E258="","",IF(In!$C$120="未說明",E258/E$13,E258))</f>
        <v/>
      </c>
      <c r="F262" s="25" t="n">
        <f aca="false">IF(F258="","",IF(In!$C$120="未說明",F258/F$13,F258))</f>
        <v>0</v>
      </c>
      <c r="G262" s="25" t="n">
        <f aca="false">IF(G258="","",IF(In!$C$120="未說明",G258/G$13,G258))</f>
        <v>0.333333333333333</v>
      </c>
      <c r="H262" s="25" t="n">
        <f aca="false">IF(H258="","",IF(In!$C$120="未說明",H258/H$13,H258))</f>
        <v>1.58333333333333</v>
      </c>
      <c r="I262" s="25" t="n">
        <f aca="false">IF(I258="","",IF(In!$C$120="未說明",I258/I$13,I258))</f>
        <v>1.66333333333333</v>
      </c>
      <c r="J262" s="25" t="n">
        <f aca="false">IF(J258="","",IF(In!$C$120="未說明",J258/J$13,J258))</f>
        <v>1.66333333333333</v>
      </c>
      <c r="K262" s="25" t="n">
        <f aca="false">IF(K258="","",IF(In!$C$120="未說明",K258/K$13,K258))</f>
        <v>1.83</v>
      </c>
      <c r="L262" s="25" t="n">
        <f aca="false">IF(L258="","",IF(In!$C$120="未說明",L258/L$13,L258))</f>
        <v>1.83</v>
      </c>
      <c r="M262" s="25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1383</v>
      </c>
      <c r="B263" s="0" t="s">
        <v>1616</v>
      </c>
      <c r="C263" s="0" t="s">
        <v>82</v>
      </c>
      <c r="D263" s="0" t="str">
        <f aca="false">""</f>
        <v/>
      </c>
      <c r="E263" s="25" t="str">
        <f aca="false">IF(AND(D258&lt;&gt;"",E258&lt;&gt;""),(D258+E258)/2,"")</f>
        <v/>
      </c>
      <c r="F263" s="25" t="str">
        <f aca="false">IF(AND(E258&lt;&gt;"",F258&lt;&gt;""),(E258+F258)/2,"")</f>
        <v/>
      </c>
      <c r="G263" s="25" t="n">
        <f aca="false">IF(AND(F258&lt;&gt;"",G258&lt;&gt;""),(F258+G258)/2,"")</f>
        <v>0.2</v>
      </c>
      <c r="H263" s="25" t="n">
        <f aca="false">IF(AND(G258&lt;&gt;"",H258&lt;&gt;""),(G258+H258)/2,"")</f>
        <v>1.15</v>
      </c>
      <c r="I263" s="25" t="n">
        <f aca="false">IF(AND(H258&lt;&gt;"",I258&lt;&gt;""),(H258+I258)/2,"")</f>
        <v>1.948</v>
      </c>
      <c r="J263" s="25" t="n">
        <f aca="false">IF(AND(I258&lt;&gt;"",J258&lt;&gt;""),(I258+J258)/2,"")</f>
        <v>1.996</v>
      </c>
      <c r="K263" s="25" t="n">
        <f aca="false">IF(AND(J258&lt;&gt;"",K258&lt;&gt;""),(J258+K258)/2,"")</f>
        <v>2.096</v>
      </c>
      <c r="L263" s="25" t="n">
        <f aca="false">IF(AND(K258&lt;&gt;"",L258&lt;&gt;""),(K258+L258)/2,"")</f>
        <v>2.196</v>
      </c>
      <c r="M263" s="25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1385</v>
      </c>
      <c r="B264" s="0" t="s">
        <v>1617</v>
      </c>
      <c r="C264" s="0" t="s">
        <v>82</v>
      </c>
      <c r="D264" s="0" t="n">
        <v>0</v>
      </c>
      <c r="E264" s="25" t="n">
        <f aca="false">IF(AND(D258&lt;&gt;"",E258&lt;&gt;""),E258-D258,0)</f>
        <v>0</v>
      </c>
      <c r="F264" s="25" t="n">
        <f aca="false">IF(AND(E258&lt;&gt;"",F258&lt;&gt;""),F258-E258,0)</f>
        <v>0</v>
      </c>
      <c r="G264" s="25" t="n">
        <f aca="false">IF(AND(F258&lt;&gt;"",G258&lt;&gt;""),G258-F258,0)</f>
        <v>0.4</v>
      </c>
      <c r="H264" s="25" t="n">
        <f aca="false">IF(AND(G258&lt;&gt;"",H258&lt;&gt;""),H258-G258,0)</f>
        <v>1.5</v>
      </c>
      <c r="I264" s="25" t="n">
        <f aca="false">IF(AND(H258&lt;&gt;"",I258&lt;&gt;""),I258-H258,0)</f>
        <v>0.0960000000000001</v>
      </c>
      <c r="J264" s="25" t="n">
        <f aca="false">IF(AND(I258&lt;&gt;"",J258&lt;&gt;""),J258-I258,0)</f>
        <v>0</v>
      </c>
      <c r="K264" s="25" t="n">
        <f aca="false">IF(AND(J258&lt;&gt;"",K258&lt;&gt;""),K258-J258,0)</f>
        <v>0.2</v>
      </c>
      <c r="L264" s="25" t="n">
        <f aca="false">IF(AND(K258&lt;&gt;"",L258&lt;&gt;""),L258-K258,0)</f>
        <v>0</v>
      </c>
      <c r="M264" s="25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1387</v>
      </c>
      <c r="B265" s="0" t="s">
        <v>1618</v>
      </c>
      <c r="C265" s="0" t="s">
        <v>82</v>
      </c>
      <c r="D265" s="25" t="n">
        <f aca="false">IF(D258&lt;&gt;"",D258,0)</f>
        <v>0</v>
      </c>
      <c r="E265" s="25" t="n">
        <f aca="false">IF(AND(D258="",E258&lt;&gt;""),E258,0)</f>
        <v>0</v>
      </c>
      <c r="F265" s="25" t="n">
        <f aca="false">IF(AND(E258="",F258&lt;&gt;""),F258,0)</f>
        <v>0</v>
      </c>
      <c r="G265" s="25" t="n">
        <f aca="false">IF(AND(F258="",G258&lt;&gt;""),G258,0)</f>
        <v>0</v>
      </c>
      <c r="H265" s="25" t="n">
        <f aca="false">IF(AND(G258="",H258&lt;&gt;""),H258,0)</f>
        <v>0</v>
      </c>
      <c r="I265" s="25" t="n">
        <f aca="false">IF(AND(H258="",I258&lt;&gt;""),I258,0)</f>
        <v>0</v>
      </c>
      <c r="J265" s="25" t="n">
        <f aca="false">IF(AND(I258="",J258&lt;&gt;""),J258,0)</f>
        <v>0</v>
      </c>
      <c r="K265" s="25" t="n">
        <f aca="false">IF(AND(J258="",K258&lt;&gt;""),K258,0)</f>
        <v>0</v>
      </c>
      <c r="L265" s="25" t="n">
        <f aca="false">IF(AND(K258="",L258&lt;&gt;""),L258,0)</f>
        <v>0</v>
      </c>
      <c r="M265" s="25" t="n">
        <f aca="false">IF(AND(L258="",M258&lt;&gt;""),M258,0)</f>
        <v>0</v>
      </c>
    </row>
    <row r="266" customFormat="false" ht="17.15" hidden="false" customHeight="false" outlineLevel="0" collapsed="false">
      <c r="A266" s="5" t="s">
        <v>1389</v>
      </c>
      <c r="B266" s="0" t="s">
        <v>1619</v>
      </c>
      <c r="C266" s="0" t="s">
        <v>57</v>
      </c>
      <c r="D266" s="24" t="n">
        <f aca="false">D$12</f>
        <v>0.238210067173108</v>
      </c>
      <c r="E266" s="24" t="n">
        <f aca="false">E$12</f>
        <v>0.238210067173108</v>
      </c>
      <c r="F266" s="24" t="n">
        <f aca="false">F$12</f>
        <v>0.238210067173108</v>
      </c>
      <c r="G266" s="24" t="n">
        <f aca="false">G$12</f>
        <v>0.238210067173108</v>
      </c>
      <c r="H266" s="24" t="n">
        <f aca="false">H$12</f>
        <v>0.273101862203342</v>
      </c>
      <c r="I266" s="24" t="n">
        <f aca="false">I$12</f>
        <v>0.269621396123668</v>
      </c>
      <c r="J266" s="24" t="n">
        <f aca="false">J$12</f>
        <v>0.272187509408712</v>
      </c>
      <c r="K266" s="24" t="n">
        <f aca="false">K$12</f>
        <v>0.272187509408712</v>
      </c>
      <c r="L266" s="24" t="n">
        <f aca="false">L$12</f>
        <v>0.272187509408712</v>
      </c>
      <c r="M266" s="24" t="n">
        <f aca="false">M$12</f>
        <v>0.272187509408712</v>
      </c>
    </row>
    <row r="268" customFormat="false" ht="17.15" hidden="false" customHeight="false" outlineLevel="0" collapsed="false">
      <c r="A268" s="22" t="s">
        <v>1620</v>
      </c>
      <c r="B268" s="21" t="s">
        <v>774</v>
      </c>
      <c r="N268" s="21" t="s">
        <v>1621</v>
      </c>
    </row>
    <row r="269" customFormat="false" ht="17.15" hidden="false" customHeight="false" outlineLevel="0" collapsed="false">
      <c r="A269" s="5" t="s">
        <v>1357</v>
      </c>
      <c r="B269" s="0" t="s">
        <v>1622</v>
      </c>
      <c r="C269" s="0" t="s">
        <v>82</v>
      </c>
      <c r="D269" s="25" t="str">
        <f aca="false">IF(In!$H$121="","",IF(In!$C$121="設施",In!$H$121/1000/D$13,In!$H$121/1000))</f>
        <v/>
      </c>
      <c r="E269" s="25" t="str">
        <f aca="false">IF(In!$I$121="","",IF(In!$C$121="設施",In!$I$121/1000/E$13,In!$I$121/1000))</f>
        <v/>
      </c>
      <c r="F269" s="25" t="n">
        <f aca="false">IF(In!$J$121="","",IF(In!$C$121="設施",In!$J$121/1000/F$13,In!$J$121/1000))</f>
        <v>8.33333333333333</v>
      </c>
      <c r="G269" s="25" t="n">
        <f aca="false">IF(In!$K$121="","",IF(In!$C$121="設施",In!$K$121/1000/G$13,In!$K$121/1000))</f>
        <v>11.6666666666667</v>
      </c>
      <c r="H269" s="25" t="str">
        <f aca="false">IF(In!$L$121="","",IF(In!$C$121="設施",In!$L$121/1000/H$13,In!$L$121/1000))</f>
        <v/>
      </c>
      <c r="I269" s="25" t="str">
        <f aca="false">IF(In!$M$121="","",IF(In!$C$121="設施",In!$M$121/1000/I$13,In!$M$121/1000))</f>
        <v/>
      </c>
      <c r="J269" s="25" t="str">
        <f aca="false">IF(In!$N$121="","",IF(In!$C$121="設施",In!$N$121/1000/J$13,In!$N$121/1000))</f>
        <v/>
      </c>
      <c r="K269" s="25" t="str">
        <f aca="false">IF(In!$O$121="","",IF(In!$C$121="設施",In!$O$121/1000/K$13,In!$O$121/1000))</f>
        <v/>
      </c>
      <c r="L269" s="25" t="str">
        <f aca="false">IF(In!$P$121="","",IF(In!$C$121="設施",In!$P$121/1000/L$13,In!$P$121/1000))</f>
        <v/>
      </c>
      <c r="M269" s="25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1359</v>
      </c>
      <c r="B270" s="0" t="s">
        <v>1623</v>
      </c>
      <c r="C270" s="0" t="s">
        <v>82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1361</v>
      </c>
      <c r="B271" s="0" t="s">
        <v>1624</v>
      </c>
      <c r="C271" s="0" t="s">
        <v>82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5" t="n">
        <f aca="false">IF(F269&lt;&gt;"",F269,IF(F270&lt;&gt;"",F270,""))</f>
        <v>8.33333333333333</v>
      </c>
      <c r="G271" s="25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1363</v>
      </c>
      <c r="B272" s="0" t="s">
        <v>1625</v>
      </c>
      <c r="C272" s="0" t="s">
        <v>82</v>
      </c>
      <c r="D272" s="0" t="str">
        <f aca="false">IF(D271&lt;&gt;"",D271,"")</f>
        <v/>
      </c>
      <c r="E272" s="0" t="str">
        <f aca="false">IF(E271&lt;&gt;"",E271,D272)</f>
        <v/>
      </c>
      <c r="F272" s="25" t="n">
        <f aca="false">IF(F271&lt;&gt;"",F271,E272)</f>
        <v>8.33333333333333</v>
      </c>
      <c r="G272" s="25" t="n">
        <f aca="false">IF(G271&lt;&gt;"",G271,F272)</f>
        <v>11.6666666666667</v>
      </c>
      <c r="H272" s="25" t="n">
        <f aca="false">IF(H271&lt;&gt;"",H271,G272)</f>
        <v>11.6666666666667</v>
      </c>
      <c r="I272" s="25" t="n">
        <f aca="false">IF(I271&lt;&gt;"",I271,H272)</f>
        <v>11.6666666666667</v>
      </c>
      <c r="J272" s="25" t="n">
        <f aca="false">IF(J271&lt;&gt;"",J271,I272)</f>
        <v>11.6666666666667</v>
      </c>
      <c r="K272" s="25" t="n">
        <f aca="false">IF(K271&lt;&gt;"",K271,J272)</f>
        <v>11.6666666666667</v>
      </c>
      <c r="L272" s="25" t="n">
        <f aca="false">IF(L271&lt;&gt;"",L271,K272)</f>
        <v>11.6666666666667</v>
      </c>
      <c r="M272" s="25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1365</v>
      </c>
      <c r="B273" s="0" t="s">
        <v>1626</v>
      </c>
      <c r="C273" s="5" t="s">
        <v>52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1367</v>
      </c>
      <c r="B274" s="0" t="s">
        <v>1627</v>
      </c>
      <c r="C274" s="0" t="s">
        <v>82</v>
      </c>
      <c r="D274" s="25" t="n">
        <f aca="false">IF(D271&lt;&gt;"",D271,E274)</f>
        <v>8.33333333333333</v>
      </c>
      <c r="E274" s="25" t="n">
        <f aca="false">IF(E271&lt;&gt;"",E271,F274)</f>
        <v>8.33333333333333</v>
      </c>
      <c r="F274" s="25" t="n">
        <f aca="false">IF(F271&lt;&gt;"",F271,G274)</f>
        <v>8.33333333333333</v>
      </c>
      <c r="G274" s="25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1369</v>
      </c>
      <c r="B275" s="0" t="s">
        <v>1628</v>
      </c>
      <c r="C275" s="5" t="s">
        <v>52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1371</v>
      </c>
      <c r="B276" s="0" t="s">
        <v>1629</v>
      </c>
      <c r="C276" s="0" t="s">
        <v>82</v>
      </c>
      <c r="D276" s="25" t="n">
        <f aca="false">SUMIFS(Pipeline!$L$5:$L$134,Pipeline!$C$5:$C$134,"cn",Pipeline!$Q$5:$Q$134,1,Pipeline!$P$5:$P$134,2023)</f>
        <v>0</v>
      </c>
      <c r="E276" s="25" t="n">
        <f aca="false">SUMIFS(Pipeline!$L$5:$L$134,Pipeline!$C$5:$C$134,"cn",Pipeline!$Q$5:$Q$134,1,Pipeline!$P$5:$P$134,2024)</f>
        <v>0</v>
      </c>
      <c r="F276" s="25" t="n">
        <f aca="false">SUMIFS(Pipeline!$L$5:$L$134,Pipeline!$C$5:$C$134,"cn",Pipeline!$Q$5:$Q$134,1,Pipeline!$P$5:$P$134,2025)</f>
        <v>0</v>
      </c>
      <c r="G276" s="25" t="n">
        <f aca="false">SUMIFS(Pipeline!$L$5:$L$134,Pipeline!$C$5:$C$134,"cn",Pipeline!$Q$5:$Q$134,1,Pipeline!$P$5:$P$134,2026)</f>
        <v>0</v>
      </c>
      <c r="H276" s="25" t="n">
        <f aca="false">SUMIFS(Pipeline!$L$5:$L$134,Pipeline!$C$5:$C$134,"cn",Pipeline!$Q$5:$Q$134,1,Pipeline!$P$5:$P$134,2027)</f>
        <v>0</v>
      </c>
      <c r="I276" s="25" t="n">
        <f aca="false">SUMIFS(Pipeline!$L$5:$L$134,Pipeline!$C$5:$C$134,"cn",Pipeline!$Q$5:$Q$134,1,Pipeline!$P$5:$P$134,2028)</f>
        <v>0</v>
      </c>
      <c r="J276" s="25" t="n">
        <f aca="false">SUMIFS(Pipeline!$L$5:$L$134,Pipeline!$C$5:$C$134,"cn",Pipeline!$Q$5:$Q$134,1,Pipeline!$P$5:$P$134,2029)</f>
        <v>0</v>
      </c>
      <c r="K276" s="25" t="n">
        <f aca="false">SUMIFS(Pipeline!$L$5:$L$134,Pipeline!$C$5:$C$134,"cn",Pipeline!$Q$5:$Q$134,1,Pipeline!$P$5:$P$134,2030)</f>
        <v>0</v>
      </c>
      <c r="L276" s="25" t="n">
        <f aca="false">SUMIFS(Pipeline!$L$5:$L$134,Pipeline!$C$5:$C$134,"cn",Pipeline!$Q$5:$Q$134,1,Pipeline!$P$5:$P$134,2031)</f>
        <v>0</v>
      </c>
      <c r="M276" s="25" t="n">
        <f aca="false">SUMIFS(Pipeline!$L$5:$L$134,Pipeline!$C$5:$C$134,"cn",Pipeline!$Q$5:$Q$134,1,Pipeline!$P$5:$P$134,2032)</f>
        <v>0</v>
      </c>
    </row>
    <row r="277" customFormat="false" ht="17.15" hidden="false" customHeight="false" outlineLevel="0" collapsed="false">
      <c r="A277" s="5" t="s">
        <v>1373</v>
      </c>
      <c r="B277" s="0" t="s">
        <v>1630</v>
      </c>
      <c r="C277" s="0" t="s">
        <v>82</v>
      </c>
      <c r="D277" s="26" t="str">
        <f aca="false">IF(D271&lt;&gt;"",D271,IF(AND(D272&lt;&gt;"",D274&lt;&gt;""),D272+(D274-D272)*(2023-D273)/(D275-D273),""))</f>
        <v/>
      </c>
      <c r="E277" s="26" t="str">
        <f aca="false">IF(E271&lt;&gt;"",E271,IF(AND(E272&lt;&gt;"",E274&lt;&gt;""),E272+(E274-E272)*(2024-E273)/(E275-E273),IF(D277&lt;&gt;"",D277+E276,"")))</f>
        <v/>
      </c>
      <c r="F277" s="26" t="n">
        <f aca="false">IF(F271&lt;&gt;"",F271,IF(AND(F272&lt;&gt;"",F274&lt;&gt;""),F272+(F274-F272)*(2025-F273)/(F275-F273),IF(E277&lt;&gt;"",E277+F276,"")))</f>
        <v>8.33333333333333</v>
      </c>
      <c r="G277" s="26" t="n">
        <f aca="false">IF(G271&lt;&gt;"",G271,IF(AND(G272&lt;&gt;"",G274&lt;&gt;""),G272+(G274-G272)*(2026-G273)/(G275-G273),IF(F277&lt;&gt;"",F277+G276,"")))</f>
        <v>11.6666666666667</v>
      </c>
      <c r="H277" s="26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6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6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6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6" t="n">
        <f aca="false">IF(L271&lt;&gt;"",L271,IF(AND(L272&lt;&gt;"",L274&lt;&gt;""),L272+(L274-L272)*(2031-L273)/(L275-L273),IF(K277&lt;&gt;"",K277*(1+g_lt),"")))</f>
        <v>23.6923076923077</v>
      </c>
      <c r="M277" s="26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1375</v>
      </c>
      <c r="B278" s="0" t="s">
        <v>1631</v>
      </c>
      <c r="C278" s="0" t="s">
        <v>40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1377</v>
      </c>
      <c r="B279" s="0" t="s">
        <v>1632</v>
      </c>
      <c r="C279" s="0" t="s">
        <v>82</v>
      </c>
      <c r="D279" s="25" t="str">
        <f aca="false">IF(D277="","",D277)</f>
        <v/>
      </c>
      <c r="E279" s="25" t="str">
        <f aca="false">IF(E277="","",E277)</f>
        <v/>
      </c>
      <c r="F279" s="25" t="n">
        <f aca="false">IF(F277="","",rng25_cn_lo/1000/F$13)</f>
        <v>6.66666666666667</v>
      </c>
      <c r="G279" s="25" t="n">
        <f aca="false">IF(G277="","",rng26_cn_lo/1000/G$13)</f>
        <v>10</v>
      </c>
      <c r="H279" s="25" t="n">
        <f aca="false">IF(H277="","",H277)</f>
        <v>13.6561711245072</v>
      </c>
      <c r="I279" s="25" t="n">
        <f aca="false">IF(I277="","",I277)</f>
        <v>15.9373851854162</v>
      </c>
      <c r="J279" s="25" t="n">
        <f aca="false">IF(J277="","",J277)</f>
        <v>18.5499065164136</v>
      </c>
      <c r="K279" s="25" t="n">
        <f aca="false">IF(K277="","",K277)</f>
        <v>21.5384615384615</v>
      </c>
      <c r="L279" s="25" t="n">
        <f aca="false">IF(L277="","",L277)</f>
        <v>23.6923076923077</v>
      </c>
      <c r="M279" s="25" t="n">
        <f aca="false">IF(M277="","",M277)</f>
        <v>26.0615384615385</v>
      </c>
    </row>
    <row r="280" customFormat="false" ht="17.15" hidden="false" customHeight="false" outlineLevel="0" collapsed="false">
      <c r="A280" s="5" t="s">
        <v>1379</v>
      </c>
      <c r="B280" s="0" t="s">
        <v>1633</v>
      </c>
      <c r="C280" s="0" t="s">
        <v>82</v>
      </c>
      <c r="D280" s="25" t="str">
        <f aca="false">IF(D277="","",D277)</f>
        <v/>
      </c>
      <c r="E280" s="25" t="str">
        <f aca="false">IF(E277="","",E277)</f>
        <v/>
      </c>
      <c r="F280" s="25" t="n">
        <f aca="false">IF(F277="","",rng25_cn_hi/1000/F$13)</f>
        <v>10</v>
      </c>
      <c r="G280" s="25" t="n">
        <f aca="false">IF(G277="","",rng26_cn_hi/1000/G$13)</f>
        <v>13.3333333333333</v>
      </c>
      <c r="H280" s="25" t="n">
        <f aca="false">IF(H277="","",H277)</f>
        <v>13.6561711245072</v>
      </c>
      <c r="I280" s="25" t="n">
        <f aca="false">IF(I277="","",I277)</f>
        <v>15.9373851854162</v>
      </c>
      <c r="J280" s="25" t="n">
        <f aca="false">IF(J277="","",J277)</f>
        <v>18.5499065164136</v>
      </c>
      <c r="K280" s="25" t="n">
        <f aca="false">IF(K277="","",K277)</f>
        <v>21.5384615384615</v>
      </c>
      <c r="L280" s="25" t="n">
        <f aca="false">IF(L277="","",L277)</f>
        <v>23.6923076923077</v>
      </c>
      <c r="M280" s="25" t="n">
        <f aca="false">IF(M277="","",M277)</f>
        <v>26.0615384615385</v>
      </c>
    </row>
    <row r="281" customFormat="false" ht="17.15" hidden="false" customHeight="false" outlineLevel="0" collapsed="false">
      <c r="A281" s="5" t="s">
        <v>1381</v>
      </c>
      <c r="B281" s="0" t="s">
        <v>1634</v>
      </c>
      <c r="C281" s="0" t="s">
        <v>82</v>
      </c>
      <c r="D281" s="25" t="str">
        <f aca="false">IF(D277="","",IF(In!$C$121="未說明",D277/D$13,D277))</f>
        <v/>
      </c>
      <c r="E281" s="25" t="str">
        <f aca="false">IF(E277="","",IF(In!$C$121="未說明",E277/E$13,E277))</f>
        <v/>
      </c>
      <c r="F281" s="25" t="n">
        <f aca="false">IF(F277="","",IF(In!$C$121="未說明",F277/F$13,F277))</f>
        <v>8.33333333333333</v>
      </c>
      <c r="G281" s="25" t="n">
        <f aca="false">IF(G277="","",IF(In!$C$121="未說明",G277/G$13,G277))</f>
        <v>11.6666666666667</v>
      </c>
      <c r="H281" s="25" t="n">
        <f aca="false">IF(H277="","",IF(In!$C$121="未說明",H277/H$13,H277))</f>
        <v>13.6561711245072</v>
      </c>
      <c r="I281" s="25" t="n">
        <f aca="false">IF(I277="","",IF(In!$C$121="未說明",I277/I$13,I277))</f>
        <v>15.9373851854162</v>
      </c>
      <c r="J281" s="25" t="n">
        <f aca="false">IF(J277="","",IF(In!$C$121="未說明",J277/J$13,J277))</f>
        <v>18.5499065164136</v>
      </c>
      <c r="K281" s="25" t="n">
        <f aca="false">IF(K277="","",IF(In!$C$121="未說明",K277/K$13,K277))</f>
        <v>21.5384615384615</v>
      </c>
      <c r="L281" s="25" t="n">
        <f aca="false">IF(L277="","",IF(In!$C$121="未說明",L277/L$13,L277))</f>
        <v>23.6923076923077</v>
      </c>
      <c r="M281" s="25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1383</v>
      </c>
      <c r="B282" s="0" t="s">
        <v>1635</v>
      </c>
      <c r="C282" s="0" t="s">
        <v>82</v>
      </c>
      <c r="D282" s="0" t="str">
        <f aca="false">""</f>
        <v/>
      </c>
      <c r="E282" s="25" t="str">
        <f aca="false">IF(AND(D277&lt;&gt;"",E277&lt;&gt;""),(D277+E277)/2,"")</f>
        <v/>
      </c>
      <c r="F282" s="25" t="str">
        <f aca="false">IF(AND(E277&lt;&gt;"",F277&lt;&gt;""),(E277+F277)/2,"")</f>
        <v/>
      </c>
      <c r="G282" s="25" t="n">
        <f aca="false">IF(AND(F277&lt;&gt;"",G277&lt;&gt;""),(F277+G277)/2,"")</f>
        <v>10</v>
      </c>
      <c r="H282" s="25" t="n">
        <f aca="false">IF(AND(G277&lt;&gt;"",H277&lt;&gt;""),(G277+H277)/2,"")</f>
        <v>12.6614188955869</v>
      </c>
      <c r="I282" s="25" t="n">
        <f aca="false">IF(AND(H277&lt;&gt;"",I277&lt;&gt;""),(H277+I277)/2,"")</f>
        <v>14.7967781549617</v>
      </c>
      <c r="J282" s="25" t="n">
        <f aca="false">IF(AND(I277&lt;&gt;"",J277&lt;&gt;""),(I277+J277)/2,"")</f>
        <v>17.2436458509149</v>
      </c>
      <c r="K282" s="25" t="n">
        <f aca="false">IF(AND(J277&lt;&gt;"",K277&lt;&gt;""),(J277+K277)/2,"")</f>
        <v>20.0441840274376</v>
      </c>
      <c r="L282" s="25" t="n">
        <f aca="false">IF(AND(K277&lt;&gt;"",L277&lt;&gt;""),(K277+L277)/2,"")</f>
        <v>22.6153846153846</v>
      </c>
      <c r="M282" s="25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1385</v>
      </c>
      <c r="B283" s="0" t="s">
        <v>1636</v>
      </c>
      <c r="C283" s="0" t="s">
        <v>82</v>
      </c>
      <c r="D283" s="0" t="n">
        <v>0</v>
      </c>
      <c r="E283" s="25" t="n">
        <f aca="false">IF(AND(D277&lt;&gt;"",E277&lt;&gt;""),E277-D277,0)</f>
        <v>0</v>
      </c>
      <c r="F283" s="25" t="n">
        <f aca="false">IF(AND(E277&lt;&gt;"",F277&lt;&gt;""),F277-E277,0)</f>
        <v>0</v>
      </c>
      <c r="G283" s="25" t="n">
        <f aca="false">IF(AND(F277&lt;&gt;"",G277&lt;&gt;""),G277-F277,0)</f>
        <v>3.33333333333333</v>
      </c>
      <c r="H283" s="25" t="n">
        <f aca="false">IF(AND(G277&lt;&gt;"",H277&lt;&gt;""),H277-G277,0)</f>
        <v>1.9895044578405</v>
      </c>
      <c r="I283" s="25" t="n">
        <f aca="false">IF(AND(H277&lt;&gt;"",I277&lt;&gt;""),I277-H277,0)</f>
        <v>2.28121406090902</v>
      </c>
      <c r="J283" s="25" t="n">
        <f aca="false">IF(AND(I277&lt;&gt;"",J277&lt;&gt;""),J277-I277,0)</f>
        <v>2.61252133099745</v>
      </c>
      <c r="K283" s="25" t="n">
        <f aca="false">IF(AND(J277&lt;&gt;"",K277&lt;&gt;""),K277-J277,0)</f>
        <v>2.9885550220479</v>
      </c>
      <c r="L283" s="25" t="n">
        <f aca="false">IF(AND(K277&lt;&gt;"",L277&lt;&gt;""),L277-K277,0)</f>
        <v>2.15384615384616</v>
      </c>
      <c r="M283" s="25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1387</v>
      </c>
      <c r="B284" s="0" t="s">
        <v>1637</v>
      </c>
      <c r="C284" s="0" t="s">
        <v>82</v>
      </c>
      <c r="D284" s="25" t="n">
        <f aca="false">IF(D277&lt;&gt;"",D277,0)</f>
        <v>0</v>
      </c>
      <c r="E284" s="25" t="n">
        <f aca="false">IF(AND(D277="",E277&lt;&gt;""),E277,0)</f>
        <v>0</v>
      </c>
      <c r="F284" s="25" t="n">
        <f aca="false">IF(AND(E277="",F277&lt;&gt;""),F277,0)</f>
        <v>8.33333333333333</v>
      </c>
      <c r="G284" s="25" t="n">
        <f aca="false">IF(AND(F277="",G277&lt;&gt;""),G277,0)</f>
        <v>0</v>
      </c>
      <c r="H284" s="25" t="n">
        <f aca="false">IF(AND(G277="",H277&lt;&gt;""),H277,0)</f>
        <v>0</v>
      </c>
      <c r="I284" s="25" t="n">
        <f aca="false">IF(AND(H277="",I277&lt;&gt;""),I277,0)</f>
        <v>0</v>
      </c>
      <c r="J284" s="25" t="n">
        <f aca="false">IF(AND(I277="",J277&lt;&gt;""),J277,0)</f>
        <v>0</v>
      </c>
      <c r="K284" s="25" t="n">
        <f aca="false">IF(AND(J277="",K277&lt;&gt;""),K277,0)</f>
        <v>0</v>
      </c>
      <c r="L284" s="25" t="n">
        <f aca="false">IF(AND(K277="",L277&lt;&gt;""),L277,0)</f>
        <v>0</v>
      </c>
      <c r="M284" s="25" t="n">
        <f aca="false">IF(AND(L277="",M277&lt;&gt;""),M277,0)</f>
        <v>0</v>
      </c>
    </row>
    <row r="285" customFormat="false" ht="17.15" hidden="false" customHeight="false" outlineLevel="0" collapsed="false">
      <c r="A285" s="5" t="s">
        <v>1389</v>
      </c>
      <c r="B285" s="0" t="s">
        <v>1638</v>
      </c>
      <c r="C285" s="0" t="s">
        <v>57</v>
      </c>
      <c r="D285" s="24" t="n">
        <f aca="false">D$12</f>
        <v>0.238210067173108</v>
      </c>
      <c r="E285" s="24" t="n">
        <f aca="false">E$12</f>
        <v>0.238210067173108</v>
      </c>
      <c r="F285" s="24" t="n">
        <f aca="false">F$12</f>
        <v>0.238210067173108</v>
      </c>
      <c r="G285" s="24" t="n">
        <f aca="false">G$12</f>
        <v>0.238210067173108</v>
      </c>
      <c r="H285" s="24" t="n">
        <f aca="false">H$12</f>
        <v>0.273101862203342</v>
      </c>
      <c r="I285" s="24" t="n">
        <f aca="false">I$12</f>
        <v>0.269621396123668</v>
      </c>
      <c r="J285" s="24" t="n">
        <f aca="false">J$12</f>
        <v>0.272187509408712</v>
      </c>
      <c r="K285" s="24" t="n">
        <f aca="false">K$12</f>
        <v>0.272187509408712</v>
      </c>
      <c r="L285" s="24" t="n">
        <f aca="false">L$12</f>
        <v>0.272187509408712</v>
      </c>
      <c r="M285" s="24" t="n">
        <f aca="false">M$12</f>
        <v>0.272187509408712</v>
      </c>
    </row>
    <row r="287" customFormat="false" ht="17.15" hidden="false" customHeight="false" outlineLevel="0" collapsed="false">
      <c r="A287" s="22" t="s">
        <v>1639</v>
      </c>
      <c r="B287" s="21" t="s">
        <v>959</v>
      </c>
      <c r="N287" s="21" t="s">
        <v>1640</v>
      </c>
    </row>
    <row r="288" customFormat="false" ht="17.15" hidden="false" customHeight="false" outlineLevel="0" collapsed="false">
      <c r="A288" s="5" t="s">
        <v>1357</v>
      </c>
      <c r="B288" s="0" t="s">
        <v>1641</v>
      </c>
      <c r="C288" s="0" t="s">
        <v>82</v>
      </c>
      <c r="D288" s="25" t="str">
        <f aca="false">IF(In!$H$122="","",IF(In!$C$122="設施",In!$H$122/1000/D$13,In!$H$122/1000))</f>
        <v/>
      </c>
      <c r="E288" s="25" t="str">
        <f aca="false">IF(In!$I$122="","",IF(In!$C$122="設施",In!$I$122/1000/E$13,In!$I$122/1000))</f>
        <v/>
      </c>
      <c r="F288" s="25" t="n">
        <f aca="false">IF(In!$J$122&lt;&gt;"",In!$J$122/1000,IF(other_incl_china=1,oth_excn,oth_full)/1000)</f>
        <v>1</v>
      </c>
      <c r="G288" s="25" t="str">
        <f aca="false">IF(In!$K$122="","",IF(In!$C$122="設施",In!$K$122/1000/G$13,In!$K$122/1000))</f>
        <v/>
      </c>
      <c r="H288" s="25" t="str">
        <f aca="false">IF(In!$L$122="","",IF(In!$C$122="設施",In!$L$122/1000/H$13,In!$L$122/1000))</f>
        <v/>
      </c>
      <c r="I288" s="25" t="str">
        <f aca="false">IF(In!$M$122="","",IF(In!$C$122="設施",In!$M$122/1000/I$13,In!$M$122/1000))</f>
        <v/>
      </c>
      <c r="J288" s="25" t="str">
        <f aca="false">IF(In!$N$122="","",IF(In!$C$122="設施",In!$N$122/1000/J$13,In!$N$122/1000))</f>
        <v/>
      </c>
      <c r="K288" s="25" t="str">
        <f aca="false">IF(In!$O$122="","",IF(In!$C$122="設施",In!$O$122/1000/K$13,In!$O$122/1000))</f>
        <v/>
      </c>
      <c r="L288" s="25" t="str">
        <f aca="false">IF(In!$P$122="","",IF(In!$C$122="設施",In!$P$122/1000/L$13,In!$P$122/1000))</f>
        <v/>
      </c>
      <c r="M288" s="25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1359</v>
      </c>
      <c r="B289" s="0" t="s">
        <v>1642</v>
      </c>
      <c r="C289" s="0" t="s">
        <v>82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1361</v>
      </c>
      <c r="B290" s="0" t="s">
        <v>1643</v>
      </c>
      <c r="C290" s="0" t="s">
        <v>82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5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1363</v>
      </c>
      <c r="B291" s="0" t="s">
        <v>1644</v>
      </c>
      <c r="C291" s="0" t="s">
        <v>82</v>
      </c>
      <c r="D291" s="0" t="str">
        <f aca="false">IF(D290&lt;&gt;"",D290,"")</f>
        <v/>
      </c>
      <c r="E291" s="0" t="str">
        <f aca="false">IF(E290&lt;&gt;"",E290,D291)</f>
        <v/>
      </c>
      <c r="F291" s="25" t="n">
        <f aca="false">IF(F290&lt;&gt;"",F290,E291)</f>
        <v>1</v>
      </c>
      <c r="G291" s="25" t="n">
        <f aca="false">IF(G290&lt;&gt;"",G290,F291)</f>
        <v>1</v>
      </c>
      <c r="H291" s="25" t="n">
        <f aca="false">IF(H290&lt;&gt;"",H290,G291)</f>
        <v>1</v>
      </c>
      <c r="I291" s="25" t="n">
        <f aca="false">IF(I290&lt;&gt;"",I290,H291)</f>
        <v>1</v>
      </c>
      <c r="J291" s="25" t="n">
        <f aca="false">IF(J290&lt;&gt;"",J290,I291)</f>
        <v>1</v>
      </c>
      <c r="K291" s="25" t="n">
        <f aca="false">IF(K290&lt;&gt;"",K290,J291)</f>
        <v>1</v>
      </c>
      <c r="L291" s="25" t="n">
        <f aca="false">IF(L290&lt;&gt;"",L290,K291)</f>
        <v>1</v>
      </c>
      <c r="M291" s="25" t="n">
        <f aca="false">IF(M290&lt;&gt;"",M290,L291)</f>
        <v>1</v>
      </c>
    </row>
    <row r="292" customFormat="false" ht="15" hidden="false" customHeight="false" outlineLevel="0" collapsed="false">
      <c r="A292" s="5" t="s">
        <v>1365</v>
      </c>
      <c r="B292" s="0" t="s">
        <v>1645</v>
      </c>
      <c r="C292" s="5" t="s">
        <v>52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1367</v>
      </c>
      <c r="B293" s="0" t="s">
        <v>1646</v>
      </c>
      <c r="C293" s="0" t="s">
        <v>82</v>
      </c>
      <c r="D293" s="25" t="n">
        <f aca="false">IF(D290&lt;&gt;"",D290,E293)</f>
        <v>1</v>
      </c>
      <c r="E293" s="25" t="n">
        <f aca="false">IF(E290&lt;&gt;"",E290,F293)</f>
        <v>1</v>
      </c>
      <c r="F293" s="25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1369</v>
      </c>
      <c r="B294" s="0" t="s">
        <v>1647</v>
      </c>
      <c r="C294" s="5" t="s">
        <v>52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1371</v>
      </c>
      <c r="B295" s="0" t="s">
        <v>1648</v>
      </c>
      <c r="C295" s="0" t="s">
        <v>82</v>
      </c>
      <c r="D295" s="25" t="n">
        <f aca="false">SUMIFS(Pipeline!$L$5:$L$134,Pipeline!$C$5:$C$134,"oth",Pipeline!$Q$5:$Q$134,1,Pipeline!$P$5:$P$134,2023)</f>
        <v>0</v>
      </c>
      <c r="E295" s="25" t="n">
        <f aca="false">SUMIFS(Pipeline!$L$5:$L$134,Pipeline!$C$5:$C$134,"oth",Pipeline!$Q$5:$Q$134,1,Pipeline!$P$5:$P$134,2024)</f>
        <v>0</v>
      </c>
      <c r="F295" s="25" t="n">
        <f aca="false">SUMIFS(Pipeline!$L$5:$L$134,Pipeline!$C$5:$C$134,"oth",Pipeline!$Q$5:$Q$134,1,Pipeline!$P$5:$P$134,2025)</f>
        <v>0</v>
      </c>
      <c r="G295" s="25" t="n">
        <f aca="false">SUMIFS(Pipeline!$L$5:$L$134,Pipeline!$C$5:$C$134,"oth",Pipeline!$Q$5:$Q$134,1,Pipeline!$P$5:$P$134,2026)</f>
        <v>0</v>
      </c>
      <c r="H295" s="25" t="n">
        <f aca="false">SUMIFS(Pipeline!$L$5:$L$134,Pipeline!$C$5:$C$134,"oth",Pipeline!$Q$5:$Q$134,1,Pipeline!$P$5:$P$134,2027)</f>
        <v>0</v>
      </c>
      <c r="I295" s="25" t="n">
        <f aca="false">SUMIFS(Pipeline!$L$5:$L$134,Pipeline!$C$5:$C$134,"oth",Pipeline!$Q$5:$Q$134,1,Pipeline!$P$5:$P$134,2028)</f>
        <v>0</v>
      </c>
      <c r="J295" s="25" t="n">
        <f aca="false">SUMIFS(Pipeline!$L$5:$L$134,Pipeline!$C$5:$C$134,"oth",Pipeline!$Q$5:$Q$134,1,Pipeline!$P$5:$P$134,2029)</f>
        <v>0</v>
      </c>
      <c r="K295" s="25" t="n">
        <f aca="false">SUMIFS(Pipeline!$L$5:$L$134,Pipeline!$C$5:$C$134,"oth",Pipeline!$Q$5:$Q$134,1,Pipeline!$P$5:$P$134,2030)</f>
        <v>0</v>
      </c>
      <c r="L295" s="25" t="n">
        <f aca="false">SUMIFS(Pipeline!$L$5:$L$134,Pipeline!$C$5:$C$134,"oth",Pipeline!$Q$5:$Q$134,1,Pipeline!$P$5:$P$134,2031)</f>
        <v>0</v>
      </c>
      <c r="M295" s="25" t="n">
        <f aca="false">SUMIFS(Pipeline!$L$5:$L$134,Pipeline!$C$5:$C$134,"oth",Pipeline!$Q$5:$Q$134,1,Pipeline!$P$5:$P$134,2032)</f>
        <v>0</v>
      </c>
    </row>
    <row r="296" customFormat="false" ht="17.15" hidden="false" customHeight="false" outlineLevel="0" collapsed="false">
      <c r="A296" s="5" t="s">
        <v>1373</v>
      </c>
      <c r="B296" s="0" t="s">
        <v>1649</v>
      </c>
      <c r="C296" s="0" t="s">
        <v>82</v>
      </c>
      <c r="D296" s="26" t="str">
        <f aca="false">IF(D290&lt;&gt;"",D290,IF(AND(D291&lt;&gt;"",D293&lt;&gt;""),D291+(D293-D291)*(2023-D292)/(D294-D292),""))</f>
        <v/>
      </c>
      <c r="E296" s="26" t="str">
        <f aca="false">IF(E290&lt;&gt;"",E290,IF(AND(E291&lt;&gt;"",E293&lt;&gt;""),E291+(E293-E291)*(2024-E292)/(E294-E292),IF(D296&lt;&gt;"",D296+E295,"")))</f>
        <v/>
      </c>
      <c r="F296" s="26" t="n">
        <f aca="false">IF(F290&lt;&gt;"",F290,IF(AND(F291&lt;&gt;"",F293&lt;&gt;""),F291+(F293-F291)*(2025-F292)/(F294-F292),IF(E296&lt;&gt;"",E296+F295,"")))</f>
        <v>1</v>
      </c>
      <c r="G296" s="26" t="n">
        <f aca="false">IF(G290&lt;&gt;"",G290,IF(AND(G291&lt;&gt;"",G293&lt;&gt;""),G291+(G293-G291)*(2026-G292)/(G294-G292),IF(F296&lt;&gt;"",F296+G295,"")))</f>
        <v>1</v>
      </c>
      <c r="H296" s="26" t="n">
        <f aca="false">IF(H290&lt;&gt;"",H290,IF(AND(H291&lt;&gt;"",H293&lt;&gt;""),H291+(H293-H291)*(2027-H292)/(H294-H292),IF(G296&lt;&gt;"",G296+H295,"")))</f>
        <v>1</v>
      </c>
      <c r="I296" s="26" t="n">
        <f aca="false">IF(I290&lt;&gt;"",I290,IF(AND(I291&lt;&gt;"",I293&lt;&gt;""),I291+(I293-I291)*(2028-I292)/(I294-I292),IF(H296&lt;&gt;"",H296+I295,"")))</f>
        <v>1</v>
      </c>
      <c r="J296" s="26" t="n">
        <f aca="false">IF(J290&lt;&gt;"",J290,IF(AND(J291&lt;&gt;"",J293&lt;&gt;""),J291+(J293-J291)*(2029-J292)/(J294-J292),IF(I296&lt;&gt;"",I296+J295,"")))</f>
        <v>1</v>
      </c>
      <c r="K296" s="26" t="n">
        <f aca="false">IF(K290&lt;&gt;"",K290,IF(AND(K291&lt;&gt;"",K293&lt;&gt;""),K291+(K293-K291)*(2030-K292)/(K294-K292),IF(J296&lt;&gt;"",J296+K295,"")))</f>
        <v>1</v>
      </c>
      <c r="L296" s="26" t="n">
        <f aca="false">IF(L290&lt;&gt;"",L290,IF(AND(L291&lt;&gt;"",L293&lt;&gt;""),L291+(L293-L291)*(2031-L292)/(L294-L292),IF(K296&lt;&gt;"",K296+L295,"")))</f>
        <v>1</v>
      </c>
      <c r="M296" s="26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1375</v>
      </c>
      <c r="B297" s="0" t="s">
        <v>1650</v>
      </c>
      <c r="C297" s="0" t="s">
        <v>40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1377</v>
      </c>
      <c r="B298" s="0" t="s">
        <v>1651</v>
      </c>
      <c r="C298" s="0" t="s">
        <v>82</v>
      </c>
      <c r="D298" s="25" t="str">
        <f aca="false">IF(D296="","",D296)</f>
        <v/>
      </c>
      <c r="E298" s="25" t="str">
        <f aca="false">IF(E296="","",E296)</f>
        <v/>
      </c>
      <c r="F298" s="25" t="n">
        <f aca="false">IF(F296="","",IF(other_incl_china=1,oth_excn_lo,oth_full_lo)/1000)</f>
        <v>0.5</v>
      </c>
      <c r="G298" s="25" t="n">
        <f aca="false">IF(G296="","",G296)</f>
        <v>1</v>
      </c>
      <c r="H298" s="25" t="n">
        <f aca="false">IF(H296="","",H296)</f>
        <v>1</v>
      </c>
      <c r="I298" s="25" t="n">
        <f aca="false">IF(I296="","",I296)</f>
        <v>1</v>
      </c>
      <c r="J298" s="25" t="n">
        <f aca="false">IF(J296="","",J296)</f>
        <v>1</v>
      </c>
      <c r="K298" s="25" t="n">
        <f aca="false">IF(K296="","",K296)</f>
        <v>1</v>
      </c>
      <c r="L298" s="25" t="n">
        <f aca="false">IF(L296="","",L296)</f>
        <v>1</v>
      </c>
      <c r="M298" s="25" t="n">
        <f aca="false">IF(M296="","",M296)</f>
        <v>1</v>
      </c>
    </row>
    <row r="299" customFormat="false" ht="17.15" hidden="false" customHeight="false" outlineLevel="0" collapsed="false">
      <c r="A299" s="5" t="s">
        <v>1379</v>
      </c>
      <c r="B299" s="0" t="s">
        <v>1652</v>
      </c>
      <c r="C299" s="0" t="s">
        <v>82</v>
      </c>
      <c r="D299" s="25" t="str">
        <f aca="false">IF(D296="","",D296)</f>
        <v/>
      </c>
      <c r="E299" s="25" t="str">
        <f aca="false">IF(E296="","",E296)</f>
        <v/>
      </c>
      <c r="F299" s="25" t="n">
        <f aca="false">IF(F296="","",IF(other_incl_china=1,oth_excn_hi,oth_full_hi)/1000)</f>
        <v>2</v>
      </c>
      <c r="G299" s="25" t="n">
        <f aca="false">IF(G296="","",G296)</f>
        <v>1</v>
      </c>
      <c r="H299" s="25" t="n">
        <f aca="false">IF(H296="","",H296)</f>
        <v>1</v>
      </c>
      <c r="I299" s="25" t="n">
        <f aca="false">IF(I296="","",I296)</f>
        <v>1</v>
      </c>
      <c r="J299" s="25" t="n">
        <f aca="false">IF(J296="","",J296)</f>
        <v>1</v>
      </c>
      <c r="K299" s="25" t="n">
        <f aca="false">IF(K296="","",K296)</f>
        <v>1</v>
      </c>
      <c r="L299" s="25" t="n">
        <f aca="false">IF(L296="","",L296)</f>
        <v>1</v>
      </c>
      <c r="M299" s="25" t="n">
        <f aca="false">IF(M296="","",M296)</f>
        <v>1</v>
      </c>
    </row>
    <row r="300" customFormat="false" ht="17.15" hidden="false" customHeight="false" outlineLevel="0" collapsed="false">
      <c r="A300" s="5" t="s">
        <v>1381</v>
      </c>
      <c r="B300" s="0" t="s">
        <v>1653</v>
      </c>
      <c r="C300" s="0" t="s">
        <v>82</v>
      </c>
      <c r="D300" s="25" t="str">
        <f aca="false">IF(D296="","",IF(In!$C$122="未說明",D296/D$13,D296))</f>
        <v/>
      </c>
      <c r="E300" s="25" t="str">
        <f aca="false">IF(E296="","",IF(In!$C$122="未說明",E296/E$13,E296))</f>
        <v/>
      </c>
      <c r="F300" s="25" t="n">
        <f aca="false">IF(F296="","",IF(In!$C$122="未說明",F296/F$13,F296))</f>
        <v>1</v>
      </c>
      <c r="G300" s="25" t="n">
        <f aca="false">IF(G296="","",IF(In!$C$122="未說明",G296/G$13,G296))</f>
        <v>1</v>
      </c>
      <c r="H300" s="25" t="n">
        <f aca="false">IF(H296="","",IF(In!$C$122="未說明",H296/H$13,H296))</f>
        <v>1</v>
      </c>
      <c r="I300" s="25" t="n">
        <f aca="false">IF(I296="","",IF(In!$C$122="未說明",I296/I$13,I296))</f>
        <v>1</v>
      </c>
      <c r="J300" s="25" t="n">
        <f aca="false">IF(J296="","",IF(In!$C$122="未說明",J296/J$13,J296))</f>
        <v>1</v>
      </c>
      <c r="K300" s="25" t="n">
        <f aca="false">IF(K296="","",IF(In!$C$122="未說明",K296/K$13,K296))</f>
        <v>1</v>
      </c>
      <c r="L300" s="25" t="n">
        <f aca="false">IF(L296="","",IF(In!$C$122="未說明",L296/L$13,L296))</f>
        <v>1</v>
      </c>
      <c r="M300" s="25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1383</v>
      </c>
      <c r="B301" s="0" t="s">
        <v>1654</v>
      </c>
      <c r="C301" s="0" t="s">
        <v>82</v>
      </c>
      <c r="D301" s="0" t="str">
        <f aca="false">""</f>
        <v/>
      </c>
      <c r="E301" s="25" t="str">
        <f aca="false">IF(AND(D296&lt;&gt;"",E296&lt;&gt;""),(D296+E296)/2,"")</f>
        <v/>
      </c>
      <c r="F301" s="25" t="str">
        <f aca="false">IF(AND(E296&lt;&gt;"",F296&lt;&gt;""),(E296+F296)/2,"")</f>
        <v/>
      </c>
      <c r="G301" s="25" t="n">
        <f aca="false">IF(AND(F296&lt;&gt;"",G296&lt;&gt;""),(F296+G296)/2,"")</f>
        <v>1</v>
      </c>
      <c r="H301" s="25" t="n">
        <f aca="false">IF(AND(G296&lt;&gt;"",H296&lt;&gt;""),(G296+H296)/2,"")</f>
        <v>1</v>
      </c>
      <c r="I301" s="25" t="n">
        <f aca="false">IF(AND(H296&lt;&gt;"",I296&lt;&gt;""),(H296+I296)/2,"")</f>
        <v>1</v>
      </c>
      <c r="J301" s="25" t="n">
        <f aca="false">IF(AND(I296&lt;&gt;"",J296&lt;&gt;""),(I296+J296)/2,"")</f>
        <v>1</v>
      </c>
      <c r="K301" s="25" t="n">
        <f aca="false">IF(AND(J296&lt;&gt;"",K296&lt;&gt;""),(J296+K296)/2,"")</f>
        <v>1</v>
      </c>
      <c r="L301" s="25" t="n">
        <f aca="false">IF(AND(K296&lt;&gt;"",L296&lt;&gt;""),(K296+L296)/2,"")</f>
        <v>1</v>
      </c>
      <c r="M301" s="25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1385</v>
      </c>
      <c r="B302" s="0" t="s">
        <v>1655</v>
      </c>
      <c r="C302" s="0" t="s">
        <v>82</v>
      </c>
      <c r="D302" s="0" t="n">
        <v>0</v>
      </c>
      <c r="E302" s="25" t="n">
        <f aca="false">IF(AND(D296&lt;&gt;"",E296&lt;&gt;""),E296-D296,0)</f>
        <v>0</v>
      </c>
      <c r="F302" s="25" t="n">
        <f aca="false">IF(AND(E296&lt;&gt;"",F296&lt;&gt;""),F296-E296,0)</f>
        <v>0</v>
      </c>
      <c r="G302" s="25" t="n">
        <f aca="false">IF(AND(F296&lt;&gt;"",G296&lt;&gt;""),G296-F296,0)</f>
        <v>0</v>
      </c>
      <c r="H302" s="25" t="n">
        <f aca="false">IF(AND(G296&lt;&gt;"",H296&lt;&gt;""),H296-G296,0)</f>
        <v>0</v>
      </c>
      <c r="I302" s="25" t="n">
        <f aca="false">IF(AND(H296&lt;&gt;"",I296&lt;&gt;""),I296-H296,0)</f>
        <v>0</v>
      </c>
      <c r="J302" s="25" t="n">
        <f aca="false">IF(AND(I296&lt;&gt;"",J296&lt;&gt;""),J296-I296,0)</f>
        <v>0</v>
      </c>
      <c r="K302" s="25" t="n">
        <f aca="false">IF(AND(J296&lt;&gt;"",K296&lt;&gt;""),K296-J296,0)</f>
        <v>0</v>
      </c>
      <c r="L302" s="25" t="n">
        <f aca="false">IF(AND(K296&lt;&gt;"",L296&lt;&gt;""),L296-K296,0)</f>
        <v>0</v>
      </c>
      <c r="M302" s="25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1387</v>
      </c>
      <c r="B303" s="0" t="s">
        <v>1656</v>
      </c>
      <c r="C303" s="0" t="s">
        <v>82</v>
      </c>
      <c r="D303" s="25" t="n">
        <f aca="false">IF(D296&lt;&gt;"",D296,0)</f>
        <v>0</v>
      </c>
      <c r="E303" s="25" t="n">
        <f aca="false">IF(AND(D296="",E296&lt;&gt;""),E296,0)</f>
        <v>0</v>
      </c>
      <c r="F303" s="25" t="n">
        <f aca="false">IF(AND(E296="",F296&lt;&gt;""),F296,0)</f>
        <v>1</v>
      </c>
      <c r="G303" s="25" t="n">
        <f aca="false">IF(AND(F296="",G296&lt;&gt;""),G296,0)</f>
        <v>0</v>
      </c>
      <c r="H303" s="25" t="n">
        <f aca="false">IF(AND(G296="",H296&lt;&gt;""),H296,0)</f>
        <v>0</v>
      </c>
      <c r="I303" s="25" t="n">
        <f aca="false">IF(AND(H296="",I296&lt;&gt;""),I296,0)</f>
        <v>0</v>
      </c>
      <c r="J303" s="25" t="n">
        <f aca="false">IF(AND(I296="",J296&lt;&gt;""),J296,0)</f>
        <v>0</v>
      </c>
      <c r="K303" s="25" t="n">
        <f aca="false">IF(AND(J296="",K296&lt;&gt;""),K296,0)</f>
        <v>0</v>
      </c>
      <c r="L303" s="25" t="n">
        <f aca="false">IF(AND(K296="",L296&lt;&gt;""),L296,0)</f>
        <v>0</v>
      </c>
      <c r="M303" s="25" t="n">
        <f aca="false">IF(AND(L296="",M296&lt;&gt;""),M296,0)</f>
        <v>0</v>
      </c>
    </row>
    <row r="304" customFormat="false" ht="17.15" hidden="false" customHeight="false" outlineLevel="0" collapsed="false">
      <c r="A304" s="5" t="s">
        <v>1389</v>
      </c>
      <c r="B304" s="0" t="s">
        <v>1657</v>
      </c>
      <c r="C304" s="0" t="s">
        <v>57</v>
      </c>
      <c r="D304" s="24" t="n">
        <f aca="false">D$12</f>
        <v>0.238210067173108</v>
      </c>
      <c r="E304" s="24" t="n">
        <f aca="false">E$12</f>
        <v>0.238210067173108</v>
      </c>
      <c r="F304" s="24" t="n">
        <f aca="false">F$12</f>
        <v>0.238210067173108</v>
      </c>
      <c r="G304" s="24" t="n">
        <f aca="false">G$12</f>
        <v>0.238210067173108</v>
      </c>
      <c r="H304" s="24" t="n">
        <f aca="false">H$12</f>
        <v>0.273101862203342</v>
      </c>
      <c r="I304" s="24" t="n">
        <f aca="false">I$12</f>
        <v>0.269621396123668</v>
      </c>
      <c r="J304" s="24" t="n">
        <f aca="false">J$12</f>
        <v>0.272187509408712</v>
      </c>
      <c r="K304" s="24" t="n">
        <f aca="false">K$12</f>
        <v>0.272187509408712</v>
      </c>
      <c r="L304" s="24" t="n">
        <f aca="false">L$12</f>
        <v>0.272187509408712</v>
      </c>
      <c r="M304" s="24" t="n">
        <f aca="false">M$12</f>
        <v>0.272187509408712</v>
      </c>
    </row>
    <row r="306" customFormat="false" ht="17.15" hidden="false" customHeight="false" outlineLevel="0" collapsed="false">
      <c r="A306" s="22" t="s">
        <v>1658</v>
      </c>
    </row>
    <row r="307" customFormat="false" ht="17.15" hidden="false" customHeight="false" outlineLevel="0" collapsed="false">
      <c r="A307" s="5" t="s">
        <v>1659</v>
      </c>
      <c r="B307" s="0" t="s">
        <v>1660</v>
      </c>
      <c r="D307" s="26" t="n">
        <f aca="false">SUM(D30,D49,D68,D87,D106,D125,D144,D163,D182,D201,D220,D239,D258,D277,D296)</f>
        <v>0.630578355681972</v>
      </c>
      <c r="E307" s="26" t="n">
        <f aca="false">SUM(E30,E49,E68,E87,E106,E125,E144,E163,E182,E201,E220,E239,E258,E277,E296)</f>
        <v>6.20938570515285</v>
      </c>
      <c r="F307" s="26" t="n">
        <f aca="false">SUM(F30,F49,F68,F87,F106,F125,F144,F163,F182,F201,F220,F239,F258,F277,F296)</f>
        <v>25.3371433333333</v>
      </c>
      <c r="G307" s="26" t="n">
        <f aca="false">SUM(G30,G49,G68,G87,G106,G125,G144,G163,G182,G201,G220,G239,G258,G277,G296)</f>
        <v>37.8525147943925</v>
      </c>
      <c r="H307" s="26" t="n">
        <f aca="false">SUM(H30,H49,H68,H87,H106,H125,H144,H163,H182,H201,H220,H239,H258,H277,H296)</f>
        <v>50.4556599188997</v>
      </c>
      <c r="I307" s="26" t="n">
        <f aca="false">SUM(I30,I49,I68,I87,I106,I125,I144,I163,I182,I201,I220,I239,I258,I277,I296)</f>
        <v>69.6717073131421</v>
      </c>
      <c r="J307" s="26" t="n">
        <f aca="false">SUM(J30,J49,J68,J87,J106,J125,J144,J163,J182,J201,J220,J239,J258,J277,J296)</f>
        <v>76.1447286441395</v>
      </c>
      <c r="K307" s="26" t="n">
        <f aca="false">SUM(K30,K49,K68,K87,K106,K125,K144,K163,K182,K201,K220,K239,K258,K277,K296)</f>
        <v>83.1637836661874</v>
      </c>
      <c r="L307" s="26" t="n">
        <f aca="false">SUM(L30,L49,L68,L87,L106,L125,L144,L163,L182,L201,L220,L239,L258,L277,L296)</f>
        <v>86.7366298200336</v>
      </c>
      <c r="M307" s="26" t="n">
        <f aca="false">SUM(M30,M49,M68,M87,M106,M125,M144,M163,M182,M201,M220,M239,M258,M277,M296)</f>
        <v>91.6718605892643</v>
      </c>
    </row>
    <row r="308" customFormat="false" ht="17.15" hidden="false" customHeight="false" outlineLevel="0" collapsed="false">
      <c r="A308" s="5" t="s">
        <v>1661</v>
      </c>
      <c r="B308" s="0" t="s">
        <v>1662</v>
      </c>
      <c r="D308" s="25" t="n">
        <f aca="false">SUM(D32,D51,D70,D89,D108,D127,D146,D165,D184,D203,D222,D241,D260,D279,D298)</f>
        <v>0.578431531897603</v>
      </c>
      <c r="E308" s="25" t="n">
        <f aca="false">SUM(E32,E51,E70,E89,E108,E127,E146,E165,E184,E203,E222,E241,E260,E279,E298)</f>
        <v>5.60426250610571</v>
      </c>
      <c r="F308" s="25" t="n">
        <f aca="false">SUM(F32,F51,F70,F89,F108,F127,F146,F165,F184,F203,F222,F241,F260,F279,F298)</f>
        <v>19.0820516666667</v>
      </c>
      <c r="G308" s="25" t="n">
        <f aca="false">SUM(G32,G51,G70,G89,G108,G127,G146,G165,G184,G203,G222,G241,G260,G279,G298)</f>
        <v>34.5858481277259</v>
      </c>
      <c r="H308" s="25" t="n">
        <f aca="false">SUM(H32,H51,H70,H89,H108,H127,H146,H165,H184,H203,H222,H241,H260,H279,H298)</f>
        <v>50.4556599188997</v>
      </c>
      <c r="I308" s="25" t="n">
        <f aca="false">SUM(I32,I51,I70,I89,I108,I127,I146,I165,I184,I203,I222,I241,I260,I279,I298)</f>
        <v>69.6717073131421</v>
      </c>
      <c r="J308" s="25" t="n">
        <f aca="false">SUM(J32,J51,J70,J89,J108,J127,J146,J165,J184,J203,J222,J241,J260,J279,J298)</f>
        <v>76.1447286441395</v>
      </c>
      <c r="K308" s="25" t="n">
        <f aca="false">SUM(K32,K51,K70,K89,K108,K127,K146,K165,K184,K203,K222,K241,K260,K279,K298)</f>
        <v>83.1637836661874</v>
      </c>
      <c r="L308" s="25" t="n">
        <f aca="false">SUM(L32,L51,L70,L89,L108,L127,L146,L165,L184,L203,L222,L241,L260,L279,L298)</f>
        <v>86.7366298200336</v>
      </c>
      <c r="M308" s="25" t="n">
        <f aca="false">SUM(M32,M51,M70,M89,M108,M127,M146,M165,M184,M203,M222,M241,M260,M279,M298)</f>
        <v>91.6718605892643</v>
      </c>
    </row>
    <row r="309" customFormat="false" ht="17.15" hidden="false" customHeight="false" outlineLevel="0" collapsed="false">
      <c r="A309" s="5" t="s">
        <v>1663</v>
      </c>
      <c r="B309" s="0" t="s">
        <v>1664</v>
      </c>
      <c r="D309" s="25" t="n">
        <f aca="false">SUM(D33,D52,D71,D90,D109,D128,D147,D166,D185,D204,D223,D242,D261,D280,D299)</f>
        <v>0.708798591358526</v>
      </c>
      <c r="E309" s="25" t="n">
        <f aca="false">SUM(E33,E52,E71,E90,E109,E128,E147,E166,E185,E204,E223,E242,E261,E280,E299)</f>
        <v>6.98708195813313</v>
      </c>
      <c r="F309" s="25" t="n">
        <f aca="false">SUM(F33,F52,F71,F90,F109,F128,F147,F166,F185,F204,F223,F242,F261,F280,F299)</f>
        <v>30.295708</v>
      </c>
      <c r="G309" s="25" t="n">
        <f aca="false">SUM(G33,G52,G71,G90,G109,G128,G147,G166,G185,G204,G223,G242,G261,G280,G299)</f>
        <v>41.2191814610592</v>
      </c>
      <c r="H309" s="25" t="n">
        <f aca="false">SUM(H33,H52,H71,H90,H109,H128,H147,H166,H185,H204,H223,H242,H261,H280,H299)</f>
        <v>50.4556599188997</v>
      </c>
      <c r="I309" s="25" t="n">
        <f aca="false">SUM(I33,I52,I71,I90,I109,I128,I147,I166,I185,I204,I223,I242,I261,I280,I299)</f>
        <v>69.6717073131421</v>
      </c>
      <c r="J309" s="25" t="n">
        <f aca="false">SUM(J33,J52,J71,J90,J109,J128,J147,J166,J185,J204,J223,J242,J261,J280,J299)</f>
        <v>76.1447286441395</v>
      </c>
      <c r="K309" s="25" t="n">
        <f aca="false">SUM(K33,K52,K71,K90,K109,K128,K147,K166,K185,K204,K223,K242,K261,K280,K299)</f>
        <v>83.1637836661874</v>
      </c>
      <c r="L309" s="25" t="n">
        <f aca="false">SUM(L33,L52,L71,L90,L109,L128,L147,L166,L185,L204,L223,L242,L261,L280,L299)</f>
        <v>86.7366298200336</v>
      </c>
      <c r="M309" s="25" t="n">
        <f aca="false">SUM(M33,M52,M71,M90,M109,M128,M147,M166,M185,M204,M223,M242,M261,M280,M299)</f>
        <v>91.6718605892643</v>
      </c>
    </row>
    <row r="310" customFormat="false" ht="17.15" hidden="false" customHeight="false" outlineLevel="0" collapsed="false">
      <c r="A310" s="5" t="s">
        <v>1665</v>
      </c>
      <c r="B310" s="0" t="s">
        <v>1666</v>
      </c>
      <c r="D310" s="25" t="n">
        <f aca="false">SUM(D34,D53,D72,D91,D110,D129,D148,D167,D186,D205,D224,D243,D262,D281,D300)</f>
        <v>0.630578355681972</v>
      </c>
      <c r="E310" s="25" t="n">
        <f aca="false">SUM(E34,E53,E72,E91,E110,E129,E148,E167,E186,E205,E224,E243,E262,E281,E300)</f>
        <v>6.20938570515285</v>
      </c>
      <c r="F310" s="25" t="n">
        <f aca="false">SUM(F34,F53,F72,F91,F110,F129,F148,F167,F186,F205,F224,F243,F262,F281,F300)</f>
        <v>25.2138433333333</v>
      </c>
      <c r="G310" s="25" t="n">
        <f aca="false">SUM(G34,G53,G72,G91,G110,G129,G148,G167,G186,G205,G224,G243,G262,G281,G300)</f>
        <v>37.3025147943925</v>
      </c>
      <c r="H310" s="25" t="n">
        <f aca="false">SUM(H34,H53,H72,H91,H110,H129,H148,H167,H186,H205,H224,H243,H262,H281,H300)</f>
        <v>49.490993252233</v>
      </c>
      <c r="I310" s="25" t="n">
        <f aca="false">SUM(I34,I53,I72,I91,I110,I129,I148,I167,I186,I205,I224,I243,I262,I281,I300)</f>
        <v>68.6910406464754</v>
      </c>
      <c r="J310" s="25" t="n">
        <f aca="false">SUM(J34,J53,J72,J91,J110,J129,J148,J167,J186,J205,J224,J243,J262,J281,J300)</f>
        <v>75.1640619774728</v>
      </c>
      <c r="K310" s="25" t="n">
        <f aca="false">SUM(K34,K53,K72,K91,K110,K129,K148,K167,K186,K205,K224,K243,K262,K281,K300)</f>
        <v>82.1497836661874</v>
      </c>
      <c r="L310" s="25" t="n">
        <f aca="false">SUM(L34,L53,L72,L91,L110,L129,L148,L167,L186,L205,L224,L243,L262,L281,L300)</f>
        <v>85.7226298200336</v>
      </c>
      <c r="M310" s="25" t="n">
        <f aca="false">SUM(M34,M53,M72,M91,M110,M129,M148,M167,M186,M205,M224,M243,M262,M281,M300)</f>
        <v>90.6578605892643</v>
      </c>
    </row>
    <row r="311" customFormat="false" ht="17.15" hidden="false" customHeight="false" outlineLevel="0" collapsed="false">
      <c r="A311" s="5" t="s">
        <v>1667</v>
      </c>
      <c r="B311" s="0" t="s">
        <v>1668</v>
      </c>
      <c r="D311" s="25" t="n">
        <f aca="false">D307*D$13</f>
        <v>0.756694026818367</v>
      </c>
      <c r="E311" s="25" t="n">
        <f aca="false">E307*E$13</f>
        <v>7.45126284618342</v>
      </c>
      <c r="F311" s="25" t="n">
        <f aca="false">F307*F$13</f>
        <v>30.404572</v>
      </c>
      <c r="G311" s="25" t="n">
        <f aca="false">G307*G$13</f>
        <v>45.423017753271</v>
      </c>
      <c r="H311" s="25" t="n">
        <f aca="false">H307*H$13</f>
        <v>60.5467919026796</v>
      </c>
      <c r="I311" s="25" t="n">
        <f aca="false">I307*I$13</f>
        <v>83.6060487757705</v>
      </c>
      <c r="J311" s="25" t="n">
        <f aca="false">J307*J$13</f>
        <v>91.3736743729674</v>
      </c>
      <c r="K311" s="25" t="n">
        <f aca="false">K307*K$13</f>
        <v>99.7965403994249</v>
      </c>
      <c r="L311" s="25" t="n">
        <f aca="false">L307*L$13</f>
        <v>104.08395578404</v>
      </c>
      <c r="M311" s="25" t="n">
        <f aca="false">M307*M$13</f>
        <v>110.006232707117</v>
      </c>
    </row>
    <row r="312" customFormat="false" ht="17.15" hidden="false" customHeight="false" outlineLevel="0" collapsed="false">
      <c r="A312" s="5" t="s">
        <v>1669</v>
      </c>
      <c r="B312" s="0" t="s">
        <v>1670</v>
      </c>
      <c r="D312" s="25" t="str">
        <f aca="false">""</f>
        <v/>
      </c>
      <c r="E312" s="25" t="n">
        <f aca="false">(D307+E307)/2</f>
        <v>3.41998203041741</v>
      </c>
      <c r="F312" s="25" t="n">
        <f aca="false">(E307+F307)/2</f>
        <v>15.7732645192431</v>
      </c>
      <c r="G312" s="25" t="n">
        <f aca="false">(F307+G307)/2</f>
        <v>31.5948290638629</v>
      </c>
      <c r="H312" s="25" t="n">
        <f aca="false">(G307+H307)/2</f>
        <v>44.1540873566461</v>
      </c>
      <c r="I312" s="25" t="n">
        <f aca="false">(H307+I307)/2</f>
        <v>60.0636836160209</v>
      </c>
      <c r="J312" s="25" t="n">
        <f aca="false">(I307+J307)/2</f>
        <v>72.9082179786408</v>
      </c>
      <c r="K312" s="25" t="n">
        <f aca="false">(J307+K307)/2</f>
        <v>79.6542561551635</v>
      </c>
      <c r="L312" s="25" t="n">
        <f aca="false">(K307+L307)/2</f>
        <v>84.9502067431105</v>
      </c>
      <c r="M312" s="25" t="n">
        <f aca="false">(L307+M307)/2</f>
        <v>89.2042452046489</v>
      </c>
    </row>
    <row r="313" customFormat="false" ht="17.15" hidden="false" customHeight="false" outlineLevel="0" collapsed="false">
      <c r="A313" s="5" t="s">
        <v>1671</v>
      </c>
      <c r="B313" s="0" t="s">
        <v>1672</v>
      </c>
      <c r="D313" s="25" t="n">
        <f aca="false">SUM(D36,D55,D74,D93,D112,D131,D150,D169,D188,D207,D226,D245,D264,D283,D302)</f>
        <v>0</v>
      </c>
      <c r="E313" s="25" t="n">
        <f aca="false">SUM(E36,E55,E74,E93,E112,E131,E150,E169,E188,E207,E226,E245,E264,E283,E302)</f>
        <v>1.61980834349181</v>
      </c>
      <c r="F313" s="25" t="n">
        <f aca="false">SUM(F36,F55,F74,F93,F112,F131,F150,F169,F188,F207,F226,F245,F264,F283,F302)</f>
        <v>9.04912429484715</v>
      </c>
      <c r="G313" s="25" t="n">
        <f aca="false">SUM(G36,G55,G74,G93,G112,G131,G150,G169,G188,G207,G226,G245,G264,G283,G302)</f>
        <v>12.5153714610592</v>
      </c>
      <c r="H313" s="25" t="n">
        <f aca="false">SUM(H36,H55,H74,H93,H112,H131,H150,H169,H188,H207,H226,H245,H264,H283,H302)</f>
        <v>12.6031451245072</v>
      </c>
      <c r="I313" s="25" t="n">
        <f aca="false">SUM(I36,I55,I74,I93,I112,I131,I150,I169,I188,I207,I226,I245,I264,I283,I302)</f>
        <v>19.2160473942424</v>
      </c>
      <c r="J313" s="25" t="n">
        <f aca="false">SUM(J36,J55,J74,J93,J112,J131,J150,J169,J188,J207,J226,J245,J264,J283,J302)</f>
        <v>6.47302133099745</v>
      </c>
      <c r="K313" s="25" t="n">
        <f aca="false">SUM(K36,K55,K74,K93,K112,K131,K150,K169,K188,K207,K226,K245,K264,K283,K302)</f>
        <v>7.0190550220479</v>
      </c>
      <c r="L313" s="25" t="n">
        <f aca="false">SUM(L36,L55,L74,L93,L112,L131,L150,L169,L188,L207,L226,L245,L264,L283,L302)</f>
        <v>3.57284615384616</v>
      </c>
      <c r="M313" s="25" t="n">
        <f aca="false">SUM(M36,M55,M74,M93,M112,M131,M150,M169,M188,M207,M226,M245,M264,M283,M302)</f>
        <v>4.93523076923077</v>
      </c>
    </row>
    <row r="314" customFormat="false" ht="17.15" hidden="false" customHeight="false" outlineLevel="0" collapsed="false">
      <c r="A314" s="5" t="s">
        <v>1673</v>
      </c>
      <c r="B314" s="0" t="s">
        <v>1674</v>
      </c>
      <c r="D314" s="25" t="n">
        <f aca="false">SUM(D37,D56,D75,D94,D113,D132,D151,D170,D189,D208,D227,D246,D265,D284,D303)</f>
        <v>0.630578355681972</v>
      </c>
      <c r="E314" s="25" t="n">
        <f aca="false">SUM(E37,E56,E75,E94,E113,E132,E151,E170,E189,E208,E227,E246,E265,E284,E303)</f>
        <v>3.95899900597907</v>
      </c>
      <c r="F314" s="25" t="n">
        <f aca="false">SUM(F37,F56,F75,F94,F113,F132,F151,F170,F189,F208,F227,F246,F265,F284,F303)</f>
        <v>10.0786333333333</v>
      </c>
      <c r="G314" s="25" t="n">
        <f aca="false">SUM(G37,G56,G75,G94,G113,G132,G151,G170,G189,G208,G227,G246,G265,G284,G303)</f>
        <v>0</v>
      </c>
      <c r="H314" s="25" t="n">
        <f aca="false">SUM(H37,H56,H75,H94,H113,H132,H151,H170,H189,H208,H227,H246,H265,H284,H303)</f>
        <v>0</v>
      </c>
      <c r="I314" s="25" t="n">
        <f aca="false">SUM(I37,I56,I75,I94,I113,I132,I151,I170,I189,I208,I227,I246,I265,I284,I303)</f>
        <v>0</v>
      </c>
      <c r="J314" s="25" t="n">
        <f aca="false">SUM(J37,J56,J75,J94,J113,J132,J151,J170,J189,J208,J227,J246,J265,J284,J303)</f>
        <v>0</v>
      </c>
      <c r="K314" s="25" t="n">
        <f aca="false">SUM(K37,K56,K75,K94,K113,K132,K151,K170,K189,K208,K227,K246,K265,K284,K303)</f>
        <v>0</v>
      </c>
      <c r="L314" s="25" t="n">
        <f aca="false">SUM(L37,L56,L75,L94,L113,L132,L151,L170,L189,L208,L227,L246,L265,L284,L303)</f>
        <v>0</v>
      </c>
      <c r="M314" s="25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1675</v>
      </c>
      <c r="B315" s="0" t="s">
        <v>1676</v>
      </c>
      <c r="D315" s="25" t="n">
        <f aca="false">D307-N(D277)</f>
        <v>0.630578355681972</v>
      </c>
      <c r="E315" s="25" t="n">
        <f aca="false">E307-N(E277)</f>
        <v>6.20938570515285</v>
      </c>
      <c r="F315" s="25" t="n">
        <f aca="false">F307-N(F277)</f>
        <v>17.00381</v>
      </c>
      <c r="G315" s="25" t="n">
        <f aca="false">G307-N(G277)</f>
        <v>26.1858481277259</v>
      </c>
      <c r="H315" s="25" t="n">
        <f aca="false">H307-N(H277)</f>
        <v>36.7994887943925</v>
      </c>
      <c r="I315" s="25" t="n">
        <f aca="false">I307-N(I277)</f>
        <v>53.7343221277259</v>
      </c>
      <c r="J315" s="25" t="n">
        <f aca="false">J307-N(J277)</f>
        <v>57.5948221277259</v>
      </c>
      <c r="K315" s="25" t="n">
        <f aca="false">K307-N(K277)</f>
        <v>61.6253221277259</v>
      </c>
      <c r="L315" s="25" t="n">
        <f aca="false">L307-N(L277)</f>
        <v>63.0443221277259</v>
      </c>
      <c r="M315" s="25" t="n">
        <f aca="false">M307-N(M277)</f>
        <v>65.6103221277259</v>
      </c>
    </row>
    <row r="316" customFormat="false" ht="15" hidden="false" customHeight="false" outlineLevel="0" collapsed="false">
      <c r="A316" s="5" t="s">
        <v>1677</v>
      </c>
      <c r="B316" s="0" t="s">
        <v>1678</v>
      </c>
      <c r="D316" s="27" t="n">
        <f aca="false">COUNT(D30,D49,D68,D87,D106,D125,D144,D163,D182,D201,D220,D239,D258,D277,D296)</f>
        <v>2</v>
      </c>
      <c r="E316" s="27" t="n">
        <f aca="false">COUNT(E30,E49,E68,E87,E106,E125,E144,E163,E182,E201,E220,E239,E258,E277,E296)</f>
        <v>7</v>
      </c>
      <c r="F316" s="27" t="n">
        <f aca="false">COUNT(F30,F49,F68,F87,F106,F125,F144,F163,F182,F201,F220,F239,F258,F277,F296)</f>
        <v>15</v>
      </c>
      <c r="G316" s="27" t="n">
        <f aca="false">COUNT(G30,G49,G68,G87,G106,G125,G144,G163,G182,G201,G220,G239,G258,G277,G296)</f>
        <v>15</v>
      </c>
      <c r="H316" s="27" t="n">
        <f aca="false">COUNT(H30,H49,H68,H87,H106,H125,H144,H163,H182,H201,H220,H239,H258,H277,H296)</f>
        <v>15</v>
      </c>
      <c r="I316" s="27" t="n">
        <f aca="false">COUNT(I30,I49,I68,I87,I106,I125,I144,I163,I182,I201,I220,I239,I258,I277,I296)</f>
        <v>15</v>
      </c>
      <c r="J316" s="27" t="n">
        <f aca="false">COUNT(J30,J49,J68,J87,J106,J125,J144,J163,J182,J201,J220,J239,J258,J277,J296)</f>
        <v>15</v>
      </c>
      <c r="K316" s="27" t="n">
        <f aca="false">COUNT(K30,K49,K68,K87,K106,K125,K144,K163,K182,K201,K220,K239,K258,K277,K296)</f>
        <v>15</v>
      </c>
      <c r="L316" s="27" t="n">
        <f aca="false">COUNT(L30,L49,L68,L87,L106,L125,L144,L163,L182,L201,L220,L239,L258,L277,L296)</f>
        <v>15</v>
      </c>
      <c r="M316" s="27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1679</v>
      </c>
    </row>
    <row r="3" customFormat="false" ht="17.15" hidden="false" customHeight="false" outlineLevel="0" collapsed="false">
      <c r="A3" s="8" t="s">
        <v>1680</v>
      </c>
    </row>
    <row r="4" customFormat="false" ht="17.15" hidden="false" customHeight="false" outlineLevel="0" collapsed="false">
      <c r="A4" s="6" t="s">
        <v>721</v>
      </c>
      <c r="B4" s="6" t="s">
        <v>19</v>
      </c>
      <c r="C4" s="6" t="s">
        <v>1681</v>
      </c>
      <c r="D4" s="7" t="s">
        <v>1682</v>
      </c>
      <c r="E4" s="7" t="s">
        <v>1683</v>
      </c>
      <c r="F4" s="7" t="s">
        <v>1684</v>
      </c>
      <c r="G4" s="7" t="s">
        <v>1429</v>
      </c>
      <c r="H4" s="7" t="s">
        <v>1685</v>
      </c>
      <c r="I4" s="7" t="s">
        <v>1686</v>
      </c>
      <c r="J4" s="6" t="s">
        <v>1687</v>
      </c>
      <c r="K4" s="6" t="s">
        <v>1688</v>
      </c>
      <c r="L4" s="6" t="s">
        <v>1689</v>
      </c>
      <c r="M4" s="7" t="s">
        <v>1690</v>
      </c>
      <c r="N4" s="6" t="s">
        <v>1691</v>
      </c>
    </row>
    <row r="5" customFormat="false" ht="17.15" hidden="false" customHeight="false" outlineLevel="0" collapsed="false">
      <c r="A5" s="0" t="s">
        <v>1692</v>
      </c>
      <c r="B5" s="0" t="s">
        <v>728</v>
      </c>
      <c r="C5" s="25" t="n">
        <f aca="false">SUMPRODUCT((In!$H$237:$H$249="msft")*(In!$I$237:$I$249="self")*((In!$J$237:$J$249="比")*$M5+(In!$J$237:$J$249&lt;&gt;"比"))*In!K$237:K$249)</f>
        <v>1.491618</v>
      </c>
      <c r="D5" s="25" t="n">
        <f aca="false">SUMPRODUCT((In!$H$237:$H$249="msft")*(In!$I$237:$I$249="oai")*((In!$J$237:$J$249="比")*$M5+(In!$J$237:$J$249&lt;&gt;"比"))*In!K$237:K$249)</f>
        <v>0</v>
      </c>
      <c r="E5" s="25" t="n">
        <f aca="false">SUMPRODUCT((In!$H$237:$H$249="msft")*(In!$I$237:$I$249="ant")*((In!$J$237:$J$249="比")*$M5+(In!$J$237:$J$249&lt;&gt;"比"))*In!K$237:K$249)</f>
        <v>0</v>
      </c>
      <c r="F5" s="25" t="n">
        <f aca="false">SUMPRODUCT((In!$H$237:$H$249="msft")*(In!$I$237:$I$249="xai")*((In!$J$237:$J$249="比")*$M5+(In!$J$237:$J$249&lt;&gt;"比"))*In!K$237:K$249)</f>
        <v>0</v>
      </c>
      <c r="G5" s="25" t="n">
        <f aca="false">SUMPRODUCT((In!$H$237:$H$249="msft")*(In!$I$237:$I$249="meta")*((In!$J$237:$J$249="比")*$M5+(In!$J$237:$J$249&lt;&gt;"比"))*In!K$237:K$249)</f>
        <v>0</v>
      </c>
      <c r="H5" s="25" t="n">
        <f aca="false">SUMPRODUCT((In!$H$237:$H$249="msft")*(In!$I$237:$I$249="googl")*((In!$J$237:$J$249="比")*$M5+(In!$J$237:$J$249&lt;&gt;"比"))*In!K$237:K$249)</f>
        <v>0</v>
      </c>
      <c r="I5" s="25" t="n">
        <f aca="false">SUMPRODUCT((In!$H$237:$H$249="msft")*(In!$I$237:$I$249="msft")*((In!$J$237:$J$249="比")*$M5+(In!$J$237:$J$249&lt;&gt;"比"))*In!K$237:K$249)</f>
        <v>0</v>
      </c>
      <c r="J5" s="25" t="n">
        <f aca="false">SUMPRODUCT((In!$H$237:$H$249="msft")*(In!$I$237:$I$249="oth")*((In!$J$237:$J$249="比")*$M5+(In!$J$237:$J$249&lt;&gt;"比"))*In!K$237:K$249)</f>
        <v>0</v>
      </c>
      <c r="K5" s="25" t="n">
        <f aca="false">$M5-SUM(C5:J5)</f>
        <v>2.237427</v>
      </c>
      <c r="L5" s="25" t="n">
        <f aca="false">SUM(C5:K5)</f>
        <v>3.729045</v>
      </c>
      <c r="M5" s="28" t="n">
        <f aca="false">N(Players!F30)</f>
        <v>3.729045</v>
      </c>
      <c r="N5" s="29" t="n">
        <f aca="false">L5-M5</f>
        <v>0</v>
      </c>
    </row>
    <row r="6" customFormat="false" ht="17.15" hidden="false" customHeight="false" outlineLevel="0" collapsed="false">
      <c r="A6" s="0" t="s">
        <v>1693</v>
      </c>
      <c r="B6" s="0" t="s">
        <v>733</v>
      </c>
      <c r="C6" s="25" t="n">
        <f aca="false">SUMPRODUCT((In!$H$237:$H$249="googl")*(In!$I$237:$I$249="self")*((In!$J$237:$J$249="比")*$M6+(In!$J$237:$J$249&lt;&gt;"比"))*In!K$237:K$249)</f>
        <v>3.01</v>
      </c>
      <c r="D6" s="25" t="n">
        <f aca="false">SUMPRODUCT((In!$H$237:$H$249="googl")*(In!$I$237:$I$249="oai")*((In!$J$237:$J$249="比")*$M6+(In!$J$237:$J$249&lt;&gt;"比"))*In!K$237:K$249)</f>
        <v>0</v>
      </c>
      <c r="E6" s="25" t="n">
        <f aca="false">SUMPRODUCT((In!$H$237:$H$249="googl")*(In!$I$237:$I$249="ant")*((In!$J$237:$J$249="比")*$M6+(In!$J$237:$J$249&lt;&gt;"比"))*In!K$237:K$249)</f>
        <v>0</v>
      </c>
      <c r="F6" s="25" t="n">
        <f aca="false">SUMPRODUCT((In!$H$237:$H$249="googl")*(In!$I$237:$I$249="xai")*((In!$J$237:$J$249="比")*$M6+(In!$J$237:$J$249&lt;&gt;"比"))*In!K$237:K$249)</f>
        <v>0</v>
      </c>
      <c r="G6" s="25" t="n">
        <f aca="false">SUMPRODUCT((In!$H$237:$H$249="googl")*(In!$I$237:$I$249="meta")*((In!$J$237:$J$249="比")*$M6+(In!$J$237:$J$249&lt;&gt;"比"))*In!K$237:K$249)</f>
        <v>0</v>
      </c>
      <c r="H6" s="25" t="n">
        <f aca="false">SUMPRODUCT((In!$H$237:$H$249="googl")*(In!$I$237:$I$249="googl")*((In!$J$237:$J$249="比")*$M6+(In!$J$237:$J$249&lt;&gt;"比"))*In!K$237:K$249)</f>
        <v>0</v>
      </c>
      <c r="I6" s="25" t="n">
        <f aca="false">SUMPRODUCT((In!$H$237:$H$249="googl")*(In!$I$237:$I$249="msft")*((In!$J$237:$J$249="比")*$M6+(In!$J$237:$J$249&lt;&gt;"比"))*In!K$237:K$249)</f>
        <v>0</v>
      </c>
      <c r="J6" s="25" t="n">
        <f aca="false">SUMPRODUCT((In!$H$237:$H$249="googl")*(In!$I$237:$I$249="oth")*((In!$J$237:$J$249="比")*$M6+(In!$J$237:$J$249&lt;&gt;"比"))*In!K$237:K$249)</f>
        <v>0</v>
      </c>
      <c r="K6" s="25" t="n">
        <f aca="false">$M6-SUM(C6:J6)</f>
        <v>1.29</v>
      </c>
      <c r="L6" s="25" t="n">
        <f aca="false">SUM(C6:K6)</f>
        <v>4.3</v>
      </c>
      <c r="M6" s="28" t="n">
        <f aca="false">N(Players!F49)</f>
        <v>4.3</v>
      </c>
      <c r="N6" s="29" t="n">
        <f aca="false">L6-M6</f>
        <v>0</v>
      </c>
    </row>
    <row r="7" customFormat="false" ht="17.15" hidden="false" customHeight="false" outlineLevel="0" collapsed="false">
      <c r="A7" s="0" t="s">
        <v>1694</v>
      </c>
      <c r="B7" s="0" t="s">
        <v>741</v>
      </c>
      <c r="C7" s="25" t="n">
        <f aca="false">SUMPRODUCT((In!$H$237:$H$249="amzn")*(In!$I$237:$I$249="self")*((In!$J$237:$J$249="比")*$M7+(In!$J$237:$J$249&lt;&gt;"比"))*In!K$237:K$249)</f>
        <v>0.44</v>
      </c>
      <c r="D7" s="25" t="n">
        <f aca="false">SUMPRODUCT((In!$H$237:$H$249="amzn")*(In!$I$237:$I$249="oai")*((In!$J$237:$J$249="比")*$M7+(In!$J$237:$J$249&lt;&gt;"比"))*In!K$237:K$249)</f>
        <v>0</v>
      </c>
      <c r="E7" s="25" t="n">
        <f aca="false">SUMPRODUCT((In!$H$237:$H$249="amzn")*(In!$I$237:$I$249="ant")*((In!$J$237:$J$249="比")*$M7+(In!$J$237:$J$249&lt;&gt;"比"))*In!K$237:K$249)</f>
        <v>0.626</v>
      </c>
      <c r="F7" s="25" t="n">
        <f aca="false">SUMPRODUCT((In!$H$237:$H$249="amzn")*(In!$I$237:$I$249="xai")*((In!$J$237:$J$249="比")*$M7+(In!$J$237:$J$249&lt;&gt;"比"))*In!K$237:K$249)</f>
        <v>0</v>
      </c>
      <c r="G7" s="25" t="n">
        <f aca="false">SUMPRODUCT((In!$H$237:$H$249="amzn")*(In!$I$237:$I$249="meta")*((In!$J$237:$J$249="比")*$M7+(In!$J$237:$J$249&lt;&gt;"比"))*In!K$237:K$249)</f>
        <v>0</v>
      </c>
      <c r="H7" s="25" t="n">
        <f aca="false">SUMPRODUCT((In!$H$237:$H$249="amzn")*(In!$I$237:$I$249="googl")*((In!$J$237:$J$249="比")*$M7+(In!$J$237:$J$249&lt;&gt;"比"))*In!K$237:K$249)</f>
        <v>0</v>
      </c>
      <c r="I7" s="25" t="n">
        <f aca="false">SUMPRODUCT((In!$H$237:$H$249="amzn")*(In!$I$237:$I$249="msft")*((In!$J$237:$J$249="比")*$M7+(In!$J$237:$J$249&lt;&gt;"比"))*In!K$237:K$249)</f>
        <v>0</v>
      </c>
      <c r="J7" s="25" t="n">
        <f aca="false">SUMPRODUCT((In!$H$237:$H$249="amzn")*(In!$I$237:$I$249="oth")*((In!$J$237:$J$249="比")*$M7+(In!$J$237:$J$249&lt;&gt;"比"))*In!K$237:K$249)</f>
        <v>0</v>
      </c>
      <c r="K7" s="25" t="n">
        <f aca="false">$M7-SUM(C7:J7)</f>
        <v>1.134</v>
      </c>
      <c r="L7" s="25" t="n">
        <f aca="false">SUM(C7:K7)</f>
        <v>2.2</v>
      </c>
      <c r="M7" s="28" t="n">
        <f aca="false">N(Players!F68)</f>
        <v>2.2</v>
      </c>
      <c r="N7" s="29" t="n">
        <f aca="false">L7-M7</f>
        <v>0</v>
      </c>
    </row>
    <row r="8" customFormat="false" ht="15" hidden="false" customHeight="false" outlineLevel="0" collapsed="false">
      <c r="A8" s="0" t="s">
        <v>1429</v>
      </c>
      <c r="B8" s="0" t="s">
        <v>748</v>
      </c>
      <c r="C8" s="25" t="n">
        <f aca="false">SUMPRODUCT((In!$H$237:$H$249="meta")*(In!$I$237:$I$249="self")*((In!$J$237:$J$249="比")*$M8+(In!$J$237:$J$249&lt;&gt;"比"))*In!K$237:K$249)</f>
        <v>0</v>
      </c>
      <c r="D8" s="25" t="n">
        <f aca="false">SUMPRODUCT((In!$H$237:$H$249="meta")*(In!$I$237:$I$249="oai")*((In!$J$237:$J$249="比")*$M8+(In!$J$237:$J$249&lt;&gt;"比"))*In!K$237:K$249)</f>
        <v>0</v>
      </c>
      <c r="E8" s="25" t="n">
        <f aca="false">SUMPRODUCT((In!$H$237:$H$249="meta")*(In!$I$237:$I$249="ant")*((In!$J$237:$J$249="比")*$M8+(In!$J$237:$J$249&lt;&gt;"比"))*In!K$237:K$249)</f>
        <v>0</v>
      </c>
      <c r="F8" s="25" t="n">
        <f aca="false">SUMPRODUCT((In!$H$237:$H$249="meta")*(In!$I$237:$I$249="xai")*((In!$J$237:$J$249="比")*$M8+(In!$J$237:$J$249&lt;&gt;"比"))*In!K$237:K$249)</f>
        <v>0</v>
      </c>
      <c r="G8" s="25" t="n">
        <f aca="false">SUMPRODUCT((In!$H$237:$H$249="meta")*(In!$I$237:$I$249="meta")*((In!$J$237:$J$249="比")*$M8+(In!$J$237:$J$249&lt;&gt;"比"))*In!K$237:K$249)</f>
        <v>2.476595</v>
      </c>
      <c r="H8" s="25" t="n">
        <f aca="false">SUMPRODUCT((In!$H$237:$H$249="meta")*(In!$I$237:$I$249="googl")*((In!$J$237:$J$249="比")*$M8+(In!$J$237:$J$249&lt;&gt;"比"))*In!K$237:K$249)</f>
        <v>0</v>
      </c>
      <c r="I8" s="25" t="n">
        <f aca="false">SUMPRODUCT((In!$H$237:$H$249="meta")*(In!$I$237:$I$249="msft")*((In!$J$237:$J$249="比")*$M8+(In!$J$237:$J$249&lt;&gt;"比"))*In!K$237:K$249)</f>
        <v>0</v>
      </c>
      <c r="J8" s="25" t="n">
        <f aca="false">SUMPRODUCT((In!$H$237:$H$249="meta")*(In!$I$237:$I$249="oth")*((In!$J$237:$J$249="比")*$M8+(In!$J$237:$J$249&lt;&gt;"比"))*In!K$237:K$249)</f>
        <v>0</v>
      </c>
      <c r="K8" s="25" t="n">
        <f aca="false">$M8-SUM(C8:J8)</f>
        <v>0</v>
      </c>
      <c r="L8" s="25" t="n">
        <f aca="false">SUM(C8:K8)</f>
        <v>2.476595</v>
      </c>
      <c r="M8" s="28" t="n">
        <f aca="false">N(Players!F87)</f>
        <v>2.476595</v>
      </c>
      <c r="N8" s="29" t="n">
        <f aca="false">L8-M8</f>
        <v>0</v>
      </c>
    </row>
    <row r="9" customFormat="false" ht="17.15" hidden="false" customHeight="false" outlineLevel="0" collapsed="false">
      <c r="A9" s="0" t="s">
        <v>1695</v>
      </c>
      <c r="B9" s="0" t="s">
        <v>752</v>
      </c>
      <c r="C9" s="25" t="n">
        <f aca="false">SUMPRODUCT((In!$H$237:$H$249="orcl")*(In!$I$237:$I$249="self")*((In!$J$237:$J$249="比")*$M9+(In!$J$237:$J$249&lt;&gt;"比"))*In!K$237:K$249)</f>
        <v>0</v>
      </c>
      <c r="D9" s="25" t="n">
        <f aca="false">SUMPRODUCT((In!$H$237:$H$249="orcl")*(In!$I$237:$I$249="oai")*((In!$J$237:$J$249="比")*$M9+(In!$J$237:$J$249&lt;&gt;"比"))*In!K$237:K$249)</f>
        <v>0</v>
      </c>
      <c r="E9" s="25" t="n">
        <f aca="false">SUMPRODUCT((In!$H$237:$H$249="orcl")*(In!$I$237:$I$249="ant")*((In!$J$237:$J$249="比")*$M9+(In!$J$237:$J$249&lt;&gt;"比"))*In!K$237:K$249)</f>
        <v>0</v>
      </c>
      <c r="F9" s="25" t="n">
        <f aca="false">SUMPRODUCT((In!$H$237:$H$249="orcl")*(In!$I$237:$I$249="xai")*((In!$J$237:$J$249="比")*$M9+(In!$J$237:$J$249&lt;&gt;"比"))*In!K$237:K$249)</f>
        <v>0</v>
      </c>
      <c r="G9" s="25" t="n">
        <f aca="false">SUMPRODUCT((In!$H$237:$H$249="orcl")*(In!$I$237:$I$249="meta")*((In!$J$237:$J$249="比")*$M9+(In!$J$237:$J$249&lt;&gt;"比"))*In!K$237:K$249)</f>
        <v>0</v>
      </c>
      <c r="H9" s="25" t="n">
        <f aca="false">SUMPRODUCT((In!$H$237:$H$249="orcl")*(In!$I$237:$I$249="googl")*((In!$J$237:$J$249="比")*$M9+(In!$J$237:$J$249&lt;&gt;"比"))*In!K$237:K$249)</f>
        <v>0</v>
      </c>
      <c r="I9" s="25" t="n">
        <f aca="false">SUMPRODUCT((In!$H$237:$H$249="orcl")*(In!$I$237:$I$249="msft")*((In!$J$237:$J$249="比")*$M9+(In!$J$237:$J$249&lt;&gt;"比"))*In!K$237:K$249)</f>
        <v>0</v>
      </c>
      <c r="J9" s="25" t="n">
        <f aca="false">SUMPRODUCT((In!$H$237:$H$249="orcl")*(In!$I$237:$I$249="oth")*((In!$J$237:$J$249="比")*$M9+(In!$J$237:$J$249&lt;&gt;"比"))*In!K$237:K$249)</f>
        <v>0</v>
      </c>
      <c r="K9" s="25" t="n">
        <f aca="false">$M9-SUM(C9:J9)</f>
        <v>1.20287</v>
      </c>
      <c r="L9" s="25" t="n">
        <f aca="false">SUM(C9:K9)</f>
        <v>1.20287</v>
      </c>
      <c r="M9" s="28" t="n">
        <f aca="false">N(Players!F106)</f>
        <v>1.20287</v>
      </c>
      <c r="N9" s="29" t="n">
        <f aca="false">L9-M9</f>
        <v>0</v>
      </c>
    </row>
    <row r="10" customFormat="false" ht="15" hidden="false" customHeight="false" outlineLevel="0" collapsed="false">
      <c r="A10" s="0" t="s">
        <v>1467</v>
      </c>
      <c r="B10" s="0" t="s">
        <v>842</v>
      </c>
      <c r="C10" s="25" t="n">
        <f aca="false">SUMPRODUCT((In!$H$237:$H$249="crwv")*(In!$I$237:$I$249="self")*((In!$J$237:$J$249="比")*$M10+(In!$J$237:$J$249&lt;&gt;"比"))*In!K$237:K$249)</f>
        <v>0</v>
      </c>
      <c r="D10" s="25" t="n">
        <f aca="false">SUMPRODUCT((In!$H$237:$H$249="crwv")*(In!$I$237:$I$249="oai")*((In!$J$237:$J$249="比")*$M10+(In!$J$237:$J$249&lt;&gt;"比"))*In!K$237:K$249)</f>
        <v>0</v>
      </c>
      <c r="E10" s="25" t="n">
        <f aca="false">SUMPRODUCT((In!$H$237:$H$249="crwv")*(In!$I$237:$I$249="ant")*((In!$J$237:$J$249="比")*$M10+(In!$J$237:$J$249&lt;&gt;"比"))*In!K$237:K$249)</f>
        <v>0</v>
      </c>
      <c r="F10" s="25" t="n">
        <f aca="false">SUMPRODUCT((In!$H$237:$H$249="crwv")*(In!$I$237:$I$249="xai")*((In!$J$237:$J$249="比")*$M10+(In!$J$237:$J$249&lt;&gt;"比"))*In!K$237:K$249)</f>
        <v>0</v>
      </c>
      <c r="G10" s="25" t="n">
        <f aca="false">SUMPRODUCT((In!$H$237:$H$249="crwv")*(In!$I$237:$I$249="meta")*((In!$J$237:$J$249="比")*$M10+(In!$J$237:$J$249&lt;&gt;"比"))*In!K$237:K$249)</f>
        <v>0</v>
      </c>
      <c r="H10" s="25" t="n">
        <f aca="false">SUMPRODUCT((In!$H$237:$H$249="crwv")*(In!$I$237:$I$249="googl")*((In!$J$237:$J$249="比")*$M10+(In!$J$237:$J$249&lt;&gt;"比"))*In!K$237:K$249)</f>
        <v>0</v>
      </c>
      <c r="I10" s="25" t="n">
        <f aca="false">SUMPRODUCT((In!$H$237:$H$249="crwv")*(In!$I$237:$I$249="msft")*((In!$J$237:$J$249="比")*$M10+(In!$J$237:$J$249&lt;&gt;"比"))*In!K$237:K$249)</f>
        <v>0</v>
      </c>
      <c r="J10" s="25" t="n">
        <f aca="false">SUMPRODUCT((In!$H$237:$H$249="crwv")*(In!$I$237:$I$249="oth")*((In!$J$237:$J$249="比")*$M10+(In!$J$237:$J$249&lt;&gt;"比"))*In!K$237:K$249)</f>
        <v>0</v>
      </c>
      <c r="K10" s="25" t="n">
        <f aca="false">$M10-SUM(C10:J10)</f>
        <v>0.85</v>
      </c>
      <c r="L10" s="25" t="n">
        <f aca="false">SUM(C10:K10)</f>
        <v>0.85</v>
      </c>
      <c r="M10" s="28" t="n">
        <f aca="false">N(Players!F125)</f>
        <v>0.85</v>
      </c>
      <c r="N10" s="29" t="n">
        <f aca="false">L10-M10</f>
        <v>0</v>
      </c>
    </row>
    <row r="11" customFormat="false" ht="15" hidden="false" customHeight="false" outlineLevel="0" collapsed="false">
      <c r="A11" s="0" t="s">
        <v>1486</v>
      </c>
      <c r="B11" s="0" t="s">
        <v>873</v>
      </c>
      <c r="C11" s="25" t="n">
        <f aca="false">SUMPRODUCT((In!$H$237:$H$249="nbis")*(In!$I$237:$I$249="self")*((In!$J$237:$J$249="比")*$M11+(In!$J$237:$J$249&lt;&gt;"比"))*In!K$237:K$249)</f>
        <v>0</v>
      </c>
      <c r="D11" s="25" t="n">
        <f aca="false">SUMPRODUCT((In!$H$237:$H$249="nbis")*(In!$I$237:$I$249="oai")*((In!$J$237:$J$249="比")*$M11+(In!$J$237:$J$249&lt;&gt;"比"))*In!K$237:K$249)</f>
        <v>0</v>
      </c>
      <c r="E11" s="25" t="n">
        <f aca="false">SUMPRODUCT((In!$H$237:$H$249="nbis")*(In!$I$237:$I$249="ant")*((In!$J$237:$J$249="比")*$M11+(In!$J$237:$J$249&lt;&gt;"比"))*In!K$237:K$249)</f>
        <v>0</v>
      </c>
      <c r="F11" s="25" t="n">
        <f aca="false">SUMPRODUCT((In!$H$237:$H$249="nbis")*(In!$I$237:$I$249="xai")*((In!$J$237:$J$249="比")*$M11+(In!$J$237:$J$249&lt;&gt;"比"))*In!K$237:K$249)</f>
        <v>0</v>
      </c>
      <c r="G11" s="25" t="n">
        <f aca="false">SUMPRODUCT((In!$H$237:$H$249="nbis")*(In!$I$237:$I$249="meta")*((In!$J$237:$J$249="比")*$M11+(In!$J$237:$J$249&lt;&gt;"比"))*In!K$237:K$249)</f>
        <v>0</v>
      </c>
      <c r="H11" s="25" t="n">
        <f aca="false">SUMPRODUCT((In!$H$237:$H$249="nbis")*(In!$I$237:$I$249="googl")*((In!$J$237:$J$249="比")*$M11+(In!$J$237:$J$249&lt;&gt;"比"))*In!K$237:K$249)</f>
        <v>0</v>
      </c>
      <c r="I11" s="25" t="n">
        <f aca="false">SUMPRODUCT((In!$H$237:$H$249="nbis")*(In!$I$237:$I$249="msft")*((In!$J$237:$J$249="比")*$M11+(In!$J$237:$J$249&lt;&gt;"比"))*In!K$237:K$249)</f>
        <v>0</v>
      </c>
      <c r="J11" s="25" t="n">
        <f aca="false">SUMPRODUCT((In!$H$237:$H$249="nbis")*(In!$I$237:$I$249="oth")*((In!$J$237:$J$249="比")*$M11+(In!$J$237:$J$249&lt;&gt;"比"))*In!K$237:K$249)</f>
        <v>0</v>
      </c>
      <c r="K11" s="25" t="n">
        <f aca="false">$M11-SUM(C11:J11)</f>
        <v>0.17</v>
      </c>
      <c r="L11" s="25" t="n">
        <f aca="false">SUM(C11:K11)</f>
        <v>0.17</v>
      </c>
      <c r="M11" s="28" t="n">
        <f aca="false">N(Players!F144)</f>
        <v>0.17</v>
      </c>
      <c r="N11" s="29" t="n">
        <f aca="false">L11-M11</f>
        <v>0</v>
      </c>
    </row>
    <row r="12" customFormat="false" ht="17.15" hidden="false" customHeight="false" outlineLevel="0" collapsed="false">
      <c r="A12" s="0" t="s">
        <v>1696</v>
      </c>
      <c r="B12" s="0" t="s">
        <v>1506</v>
      </c>
      <c r="C12" s="25" t="n">
        <f aca="false">SUMPRODUCT((In!$H$237:$H$249="wyfi")*(In!$I$237:$I$249="self")*((In!$J$237:$J$249="比")*$M12+(In!$J$237:$J$249&lt;&gt;"比"))*In!K$237:K$249)</f>
        <v>0</v>
      </c>
      <c r="D12" s="25" t="n">
        <f aca="false">SUMPRODUCT((In!$H$237:$H$249="wyfi")*(In!$I$237:$I$249="oai")*((In!$J$237:$J$249="比")*$M12+(In!$J$237:$J$249&lt;&gt;"比"))*In!K$237:K$249)</f>
        <v>0</v>
      </c>
      <c r="E12" s="25" t="n">
        <f aca="false">SUMPRODUCT((In!$H$237:$H$249="wyfi")*(In!$I$237:$I$249="ant")*((In!$J$237:$J$249="比")*$M12+(In!$J$237:$J$249&lt;&gt;"比"))*In!K$237:K$249)</f>
        <v>0</v>
      </c>
      <c r="F12" s="25" t="n">
        <f aca="false">SUMPRODUCT((In!$H$237:$H$249="wyfi")*(In!$I$237:$I$249="xai")*((In!$J$237:$J$249="比")*$M12+(In!$J$237:$J$249&lt;&gt;"比"))*In!K$237:K$249)</f>
        <v>0</v>
      </c>
      <c r="G12" s="25" t="n">
        <f aca="false">SUMPRODUCT((In!$H$237:$H$249="wyfi")*(In!$I$237:$I$249="meta")*((In!$J$237:$J$249="比")*$M12+(In!$J$237:$J$249&lt;&gt;"比"))*In!K$237:K$249)</f>
        <v>0</v>
      </c>
      <c r="H12" s="25" t="n">
        <f aca="false">SUMPRODUCT((In!$H$237:$H$249="wyfi")*(In!$I$237:$I$249="googl")*((In!$J$237:$J$249="比")*$M12+(In!$J$237:$J$249&lt;&gt;"比"))*In!K$237:K$249)</f>
        <v>0</v>
      </c>
      <c r="I12" s="25" t="n">
        <f aca="false">SUMPRODUCT((In!$H$237:$H$249="wyfi")*(In!$I$237:$I$249="msft")*((In!$J$237:$J$249="比")*$M12+(In!$J$237:$J$249&lt;&gt;"比"))*In!K$237:K$249)</f>
        <v>0</v>
      </c>
      <c r="J12" s="25" t="n">
        <f aca="false">SUMPRODUCT((In!$H$237:$H$249="wyfi")*(In!$I$237:$I$249="oth")*((In!$J$237:$J$249="比")*$M12+(In!$J$237:$J$249&lt;&gt;"比"))*In!K$237:K$249)</f>
        <v>0</v>
      </c>
      <c r="K12" s="25" t="n">
        <f aca="false">$M12-SUM(C12:J12)</f>
        <v>0.0055</v>
      </c>
      <c r="L12" s="25" t="n">
        <f aca="false">SUM(C12:K12)</f>
        <v>0.0055</v>
      </c>
      <c r="M12" s="28" t="n">
        <f aca="false">N(Players!F163)</f>
        <v>0.0055</v>
      </c>
      <c r="N12" s="29" t="n">
        <f aca="false">L12-M12</f>
        <v>0</v>
      </c>
    </row>
    <row r="13" customFormat="false" ht="17.15" hidden="false" customHeight="false" outlineLevel="0" collapsed="false">
      <c r="A13" s="0" t="s">
        <v>1697</v>
      </c>
      <c r="B13" s="0" t="s">
        <v>757</v>
      </c>
      <c r="C13" s="25" t="n">
        <f aca="false">SUMPRODUCT((In!$H$237:$H$249="xai")*(In!$I$237:$I$249="self")*((In!$J$237:$J$249="比")*$M13+(In!$J$237:$J$249&lt;&gt;"比"))*In!K$237:K$249)</f>
        <v>0</v>
      </c>
      <c r="D13" s="25" t="n">
        <f aca="false">SUMPRODUCT((In!$H$237:$H$249="xai")*(In!$I$237:$I$249="oai")*((In!$J$237:$J$249="比")*$M13+(In!$J$237:$J$249&lt;&gt;"比"))*In!K$237:K$249)</f>
        <v>0</v>
      </c>
      <c r="E13" s="25" t="n">
        <f aca="false">SUMPRODUCT((In!$H$237:$H$249="xai")*(In!$I$237:$I$249="ant")*((In!$J$237:$J$249="比")*$M13+(In!$J$237:$J$249&lt;&gt;"比"))*In!K$237:K$249)</f>
        <v>0</v>
      </c>
      <c r="F13" s="25" t="n">
        <f aca="false">SUMPRODUCT((In!$H$237:$H$249="xai")*(In!$I$237:$I$249="xai")*((In!$J$237:$J$249="比")*$M13+(In!$J$237:$J$249&lt;&gt;"比"))*In!K$237:K$249)</f>
        <v>0</v>
      </c>
      <c r="G13" s="25" t="n">
        <f aca="false">SUMPRODUCT((In!$H$237:$H$249="xai")*(In!$I$237:$I$249="meta")*((In!$J$237:$J$249="比")*$M13+(In!$J$237:$J$249&lt;&gt;"比"))*In!K$237:K$249)</f>
        <v>0</v>
      </c>
      <c r="H13" s="25" t="n">
        <f aca="false">SUMPRODUCT((In!$H$237:$H$249="xai")*(In!$I$237:$I$249="googl")*((In!$J$237:$J$249="比")*$M13+(In!$J$237:$J$249&lt;&gt;"比"))*In!K$237:K$249)</f>
        <v>0</v>
      </c>
      <c r="I13" s="25" t="n">
        <f aca="false">SUMPRODUCT((In!$H$237:$H$249="xai")*(In!$I$237:$I$249="msft")*((In!$J$237:$J$249="比")*$M13+(In!$J$237:$J$249&lt;&gt;"比"))*In!K$237:K$249)</f>
        <v>0</v>
      </c>
      <c r="J13" s="25" t="n">
        <f aca="false">SUMPRODUCT((In!$H$237:$H$249="xai")*(In!$I$237:$I$249="oth")*((In!$J$237:$J$249="比")*$M13+(In!$J$237:$J$249&lt;&gt;"比"))*In!K$237:K$249)</f>
        <v>0</v>
      </c>
      <c r="K13" s="25" t="n">
        <f aca="false">$M13-SUM(C13:J13)</f>
        <v>0.5698</v>
      </c>
      <c r="L13" s="25" t="n">
        <f aca="false">SUM(C13:K13)</f>
        <v>0.5698</v>
      </c>
      <c r="M13" s="28" t="n">
        <f aca="false">N(Players!F182)</f>
        <v>0.5698</v>
      </c>
      <c r="N13" s="29" t="n">
        <f aca="false">L13-M13</f>
        <v>0</v>
      </c>
    </row>
    <row r="14" customFormat="false" ht="17.15" hidden="false" customHeight="false" outlineLevel="0" collapsed="false">
      <c r="A14" s="0" t="s">
        <v>1698</v>
      </c>
      <c r="B14" s="0" t="s">
        <v>753</v>
      </c>
      <c r="C14" s="25" t="n">
        <f aca="false">SUMPRODUCT((In!$H$237:$H$249="oai")*(In!$I$237:$I$249="self")*((In!$J$237:$J$249="比")*$M14+(In!$J$237:$J$249&lt;&gt;"比"))*In!K$237:K$249)</f>
        <v>0</v>
      </c>
      <c r="D14" s="25" t="n">
        <f aca="false">SUMPRODUCT((In!$H$237:$H$249="oai")*(In!$I$237:$I$249="oai")*((In!$J$237:$J$249="比")*$M14+(In!$J$237:$J$249&lt;&gt;"比"))*In!K$237:K$249)</f>
        <v>0</v>
      </c>
      <c r="E14" s="25" t="n">
        <f aca="false">SUMPRODUCT((In!$H$237:$H$249="oai")*(In!$I$237:$I$249="ant")*((In!$J$237:$J$249="比")*$M14+(In!$J$237:$J$249&lt;&gt;"比"))*In!K$237:K$249)</f>
        <v>0</v>
      </c>
      <c r="F14" s="25" t="n">
        <f aca="false">SUMPRODUCT((In!$H$237:$H$249="oai")*(In!$I$237:$I$249="xai")*((In!$J$237:$J$249="比")*$M14+(In!$J$237:$J$249&lt;&gt;"比"))*In!K$237:K$249)</f>
        <v>0</v>
      </c>
      <c r="G14" s="25" t="n">
        <f aca="false">SUMPRODUCT((In!$H$237:$H$249="oai")*(In!$I$237:$I$249="meta")*((In!$J$237:$J$249="比")*$M14+(In!$J$237:$J$249&lt;&gt;"比"))*In!K$237:K$249)</f>
        <v>0</v>
      </c>
      <c r="H14" s="25" t="n">
        <f aca="false">SUMPRODUCT((In!$H$237:$H$249="oai")*(In!$I$237:$I$249="googl")*((In!$J$237:$J$249="比")*$M14+(In!$J$237:$J$249&lt;&gt;"比"))*In!K$237:K$249)</f>
        <v>0</v>
      </c>
      <c r="I14" s="25" t="n">
        <f aca="false">SUMPRODUCT((In!$H$237:$H$249="oai")*(In!$I$237:$I$249="msft")*((In!$J$237:$J$249="比")*$M14+(In!$J$237:$J$249&lt;&gt;"比"))*In!K$237:K$249)</f>
        <v>0</v>
      </c>
      <c r="J14" s="25" t="n">
        <f aca="false">SUMPRODUCT((In!$H$237:$H$249="oai")*(In!$I$237:$I$249="oth")*((In!$J$237:$J$249="比")*$M14+(In!$J$237:$J$249&lt;&gt;"比"))*In!K$237:K$249)</f>
        <v>0</v>
      </c>
      <c r="K14" s="25" t="n">
        <f aca="false">$M14-SUM(C14:J14)</f>
        <v>0</v>
      </c>
      <c r="L14" s="25" t="n">
        <f aca="false">SUM(C14:K14)</f>
        <v>0</v>
      </c>
      <c r="M14" s="28" t="n">
        <f aca="false">N(Players!F201)</f>
        <v>0</v>
      </c>
      <c r="N14" s="29" t="n">
        <f aca="false">L14-M14</f>
        <v>0</v>
      </c>
    </row>
    <row r="15" customFormat="false" ht="17.15" hidden="false" customHeight="false" outlineLevel="0" collapsed="false">
      <c r="A15" s="0" t="s">
        <v>1699</v>
      </c>
      <c r="B15" s="0" t="s">
        <v>737</v>
      </c>
      <c r="C15" s="25" t="n">
        <f aca="false">SUMPRODUCT((In!$H$237:$H$249="ant")*(In!$I$237:$I$249="self")*((In!$J$237:$J$249="比")*$M15+(In!$J$237:$J$249&lt;&gt;"比"))*In!K$237:K$249)</f>
        <v>0</v>
      </c>
      <c r="D15" s="25" t="n">
        <f aca="false">SUMPRODUCT((In!$H$237:$H$249="ant")*(In!$I$237:$I$249="oai")*((In!$J$237:$J$249="比")*$M15+(In!$J$237:$J$249&lt;&gt;"比"))*In!K$237:K$249)</f>
        <v>0</v>
      </c>
      <c r="E15" s="25" t="n">
        <f aca="false">SUMPRODUCT((In!$H$237:$H$249="ant")*(In!$I$237:$I$249="ant")*((In!$J$237:$J$249="比")*$M15+(In!$J$237:$J$249&lt;&gt;"比"))*In!K$237:K$249)</f>
        <v>0</v>
      </c>
      <c r="F15" s="25" t="n">
        <f aca="false">SUMPRODUCT((In!$H$237:$H$249="ant")*(In!$I$237:$I$249="xai")*((In!$J$237:$J$249="比")*$M15+(In!$J$237:$J$249&lt;&gt;"比"))*In!K$237:K$249)</f>
        <v>0</v>
      </c>
      <c r="G15" s="25" t="n">
        <f aca="false">SUMPRODUCT((In!$H$237:$H$249="ant")*(In!$I$237:$I$249="meta")*((In!$J$237:$J$249="比")*$M15+(In!$J$237:$J$249&lt;&gt;"比"))*In!K$237:K$249)</f>
        <v>0</v>
      </c>
      <c r="H15" s="25" t="n">
        <f aca="false">SUMPRODUCT((In!$H$237:$H$249="ant")*(In!$I$237:$I$249="googl")*((In!$J$237:$J$249="比")*$M15+(In!$J$237:$J$249&lt;&gt;"比"))*In!K$237:K$249)</f>
        <v>0</v>
      </c>
      <c r="I15" s="25" t="n">
        <f aca="false">SUMPRODUCT((In!$H$237:$H$249="ant")*(In!$I$237:$I$249="msft")*((In!$J$237:$J$249="比")*$M15+(In!$J$237:$J$249&lt;&gt;"比"))*In!K$237:K$249)</f>
        <v>0</v>
      </c>
      <c r="J15" s="25" t="n">
        <f aca="false">SUMPRODUCT((In!$H$237:$H$249="ant")*(In!$I$237:$I$249="oth")*((In!$J$237:$J$249="比")*$M15+(In!$J$237:$J$249&lt;&gt;"比"))*In!K$237:K$249)</f>
        <v>0</v>
      </c>
      <c r="K15" s="25" t="n">
        <f aca="false">$M15-SUM(C15:J15)</f>
        <v>0</v>
      </c>
      <c r="L15" s="25" t="n">
        <f aca="false">SUM(C15:K15)</f>
        <v>0</v>
      </c>
      <c r="M15" s="28" t="n">
        <f aca="false">N(Players!F220)</f>
        <v>0</v>
      </c>
      <c r="N15" s="29" t="n">
        <f aca="false">L15-M15</f>
        <v>0</v>
      </c>
    </row>
    <row r="16" customFormat="false" ht="17.15" hidden="false" customHeight="false" outlineLevel="0" collapsed="false">
      <c r="A16" s="5" t="s">
        <v>1700</v>
      </c>
      <c r="B16" s="0" t="s">
        <v>767</v>
      </c>
      <c r="C16" s="25" t="n">
        <f aca="false">SUMPRODUCT((In!$H$237:$H$249="neo")*(In!$I$237:$I$249="self")*((In!$J$237:$J$249="比")*$M16+(In!$J$237:$J$249&lt;&gt;"比"))*In!K$237:K$249)</f>
        <v>0</v>
      </c>
      <c r="D16" s="25" t="n">
        <f aca="false">SUMPRODUCT((In!$H$237:$H$249="neo")*(In!$I$237:$I$249="oai")*((In!$J$237:$J$249="比")*$M16+(In!$J$237:$J$249&lt;&gt;"比"))*In!K$237:K$249)</f>
        <v>0</v>
      </c>
      <c r="E16" s="25" t="n">
        <f aca="false">SUMPRODUCT((In!$H$237:$H$249="neo")*(In!$I$237:$I$249="ant")*((In!$J$237:$J$249="比")*$M16+(In!$J$237:$J$249&lt;&gt;"比"))*In!K$237:K$249)</f>
        <v>0</v>
      </c>
      <c r="F16" s="25" t="n">
        <f aca="false">SUMPRODUCT((In!$H$237:$H$249="neo")*(In!$I$237:$I$249="xai")*((In!$J$237:$J$249="比")*$M16+(In!$J$237:$J$249&lt;&gt;"比"))*In!K$237:K$249)</f>
        <v>0</v>
      </c>
      <c r="G16" s="25" t="n">
        <f aca="false">SUMPRODUCT((In!$H$237:$H$249="neo")*(In!$I$237:$I$249="meta")*((In!$J$237:$J$249="比")*$M16+(In!$J$237:$J$249&lt;&gt;"比"))*In!K$237:K$249)</f>
        <v>0</v>
      </c>
      <c r="H16" s="25" t="n">
        <f aca="false">SUMPRODUCT((In!$H$237:$H$249="neo")*(In!$I$237:$I$249="googl")*((In!$J$237:$J$249="比")*$M16+(In!$J$237:$J$249&lt;&gt;"比"))*In!K$237:K$249)</f>
        <v>0</v>
      </c>
      <c r="I16" s="25" t="n">
        <f aca="false">SUMPRODUCT((In!$H$237:$H$249="neo")*(In!$I$237:$I$249="msft")*((In!$J$237:$J$249="比")*$M16+(In!$J$237:$J$249&lt;&gt;"比"))*In!K$237:K$249)</f>
        <v>0</v>
      </c>
      <c r="J16" s="25" t="n">
        <f aca="false">SUMPRODUCT((In!$H$237:$H$249="neo")*(In!$I$237:$I$249="oth")*((In!$J$237:$J$249="比")*$M16+(In!$J$237:$J$249&lt;&gt;"比"))*In!K$237:K$249)</f>
        <v>0</v>
      </c>
      <c r="K16" s="25" t="n">
        <f aca="false">$M16-SUM(C16:J16)</f>
        <v>0.5</v>
      </c>
      <c r="L16" s="25" t="n">
        <f aca="false">SUM(C16:K16)</f>
        <v>0.5</v>
      </c>
      <c r="M16" s="28" t="n">
        <f aca="false">N(Players!F239)</f>
        <v>0.5</v>
      </c>
      <c r="N16" s="29" t="n">
        <f aca="false">L16-M16</f>
        <v>0</v>
      </c>
    </row>
    <row r="17" customFormat="false" ht="17.15" hidden="false" customHeight="false" outlineLevel="0" collapsed="false">
      <c r="A17" s="5" t="s">
        <v>1701</v>
      </c>
      <c r="B17" s="0" t="s">
        <v>866</v>
      </c>
      <c r="C17" s="25" t="n">
        <f aca="false">SUMPRODUCT((In!$H$237:$H$249="sov")*(In!$I$237:$I$249="self")*((In!$J$237:$J$249="比")*$M17+(In!$J$237:$J$249&lt;&gt;"比"))*In!K$237:K$249)</f>
        <v>0</v>
      </c>
      <c r="D17" s="25" t="n">
        <f aca="false">SUMPRODUCT((In!$H$237:$H$249="sov")*(In!$I$237:$I$249="oai")*((In!$J$237:$J$249="比")*$M17+(In!$J$237:$J$249&lt;&gt;"比"))*In!K$237:K$249)</f>
        <v>0</v>
      </c>
      <c r="E17" s="25" t="n">
        <f aca="false">SUMPRODUCT((In!$H$237:$H$249="sov")*(In!$I$237:$I$249="ant")*((In!$J$237:$J$249="比")*$M17+(In!$J$237:$J$249&lt;&gt;"比"))*In!K$237:K$249)</f>
        <v>0</v>
      </c>
      <c r="F17" s="25" t="n">
        <f aca="false">SUMPRODUCT((In!$H$237:$H$249="sov")*(In!$I$237:$I$249="xai")*((In!$J$237:$J$249="比")*$M17+(In!$J$237:$J$249&lt;&gt;"比"))*In!K$237:K$249)</f>
        <v>0</v>
      </c>
      <c r="G17" s="25" t="n">
        <f aca="false">SUMPRODUCT((In!$H$237:$H$249="sov")*(In!$I$237:$I$249="meta")*((In!$J$237:$J$249="比")*$M17+(In!$J$237:$J$249&lt;&gt;"比"))*In!K$237:K$249)</f>
        <v>0</v>
      </c>
      <c r="H17" s="25" t="n">
        <f aca="false">SUMPRODUCT((In!$H$237:$H$249="sov")*(In!$I$237:$I$249="googl")*((In!$J$237:$J$249="比")*$M17+(In!$J$237:$J$249&lt;&gt;"比"))*In!K$237:K$249)</f>
        <v>0</v>
      </c>
      <c r="I17" s="25" t="n">
        <f aca="false">SUMPRODUCT((In!$H$237:$H$249="sov")*(In!$I$237:$I$249="msft")*((In!$J$237:$J$249="比")*$M17+(In!$J$237:$J$249&lt;&gt;"比"))*In!K$237:K$249)</f>
        <v>0</v>
      </c>
      <c r="J17" s="25" t="n">
        <f aca="false">SUMPRODUCT((In!$H$237:$H$249="sov")*(In!$I$237:$I$249="oth")*((In!$J$237:$J$249="比")*$M17+(In!$J$237:$J$249&lt;&gt;"比"))*In!K$237:K$249)</f>
        <v>0</v>
      </c>
      <c r="K17" s="25" t="n">
        <f aca="false">$M17-SUM(C17:J17)</f>
        <v>0</v>
      </c>
      <c r="L17" s="25" t="n">
        <f aca="false">SUM(C17:K17)</f>
        <v>0</v>
      </c>
      <c r="M17" s="28" t="n">
        <f aca="false">N(Players!F258)</f>
        <v>0</v>
      </c>
      <c r="N17" s="29" t="n">
        <f aca="false">L17-M17</f>
        <v>0</v>
      </c>
    </row>
    <row r="18" customFormat="false" ht="17.15" hidden="false" customHeight="false" outlineLevel="0" collapsed="false">
      <c r="A18" s="5" t="s">
        <v>1702</v>
      </c>
      <c r="B18" s="0" t="s">
        <v>774</v>
      </c>
      <c r="C18" s="25" t="n">
        <f aca="false">SUMPRODUCT((In!$H$237:$H$249="cn")*(In!$I$237:$I$249="self")*((In!$J$237:$J$249="比")*$M18+(In!$J$237:$J$249&lt;&gt;"比"))*In!K$237:K$249)</f>
        <v>8.33333333333333</v>
      </c>
      <c r="D18" s="25" t="n">
        <f aca="false">SUMPRODUCT((In!$H$237:$H$249="cn")*(In!$I$237:$I$249="oai")*((In!$J$237:$J$249="比")*$M18+(In!$J$237:$J$249&lt;&gt;"比"))*In!K$237:K$249)</f>
        <v>0</v>
      </c>
      <c r="E18" s="25" t="n">
        <f aca="false">SUMPRODUCT((In!$H$237:$H$249="cn")*(In!$I$237:$I$249="ant")*((In!$J$237:$J$249="比")*$M18+(In!$J$237:$J$249&lt;&gt;"比"))*In!K$237:K$249)</f>
        <v>0</v>
      </c>
      <c r="F18" s="25" t="n">
        <f aca="false">SUMPRODUCT((In!$H$237:$H$249="cn")*(In!$I$237:$I$249="xai")*((In!$J$237:$J$249="比")*$M18+(In!$J$237:$J$249&lt;&gt;"比"))*In!K$237:K$249)</f>
        <v>0</v>
      </c>
      <c r="G18" s="25" t="n">
        <f aca="false">SUMPRODUCT((In!$H$237:$H$249="cn")*(In!$I$237:$I$249="meta")*((In!$J$237:$J$249="比")*$M18+(In!$J$237:$J$249&lt;&gt;"比"))*In!K$237:K$249)</f>
        <v>0</v>
      </c>
      <c r="H18" s="25" t="n">
        <f aca="false">SUMPRODUCT((In!$H$237:$H$249="cn")*(In!$I$237:$I$249="googl")*((In!$J$237:$J$249="比")*$M18+(In!$J$237:$J$249&lt;&gt;"比"))*In!K$237:K$249)</f>
        <v>0</v>
      </c>
      <c r="I18" s="25" t="n">
        <f aca="false">SUMPRODUCT((In!$H$237:$H$249="cn")*(In!$I$237:$I$249="msft")*((In!$J$237:$J$249="比")*$M18+(In!$J$237:$J$249&lt;&gt;"比"))*In!K$237:K$249)</f>
        <v>0</v>
      </c>
      <c r="J18" s="25" t="n">
        <f aca="false">SUMPRODUCT((In!$H$237:$H$249="cn")*(In!$I$237:$I$249="oth")*((In!$J$237:$J$249="比")*$M18+(In!$J$237:$J$249&lt;&gt;"比"))*In!K$237:K$249)</f>
        <v>0</v>
      </c>
      <c r="K18" s="25" t="n">
        <f aca="false">$M18-SUM(C18:J18)</f>
        <v>0</v>
      </c>
      <c r="L18" s="25" t="n">
        <f aca="false">SUM(C18:K18)</f>
        <v>8.33333333333333</v>
      </c>
      <c r="M18" s="28" t="n">
        <f aca="false">N(Players!F277)</f>
        <v>8.33333333333333</v>
      </c>
      <c r="N18" s="29" t="n">
        <f aca="false">L18-M18</f>
        <v>0</v>
      </c>
    </row>
    <row r="19" customFormat="false" ht="17.15" hidden="false" customHeight="false" outlineLevel="0" collapsed="false">
      <c r="A19" s="5" t="s">
        <v>1703</v>
      </c>
      <c r="B19" s="0" t="s">
        <v>959</v>
      </c>
      <c r="C19" s="25" t="n">
        <f aca="false">SUMPRODUCT((In!$H$237:$H$249="oth")*(In!$I$237:$I$249="self")*((In!$J$237:$J$249="比")*$M19+(In!$J$237:$J$249&lt;&gt;"比"))*In!K$237:K$249)</f>
        <v>0</v>
      </c>
      <c r="D19" s="25" t="n">
        <f aca="false">SUMPRODUCT((In!$H$237:$H$249="oth")*(In!$I$237:$I$249="oai")*((In!$J$237:$J$249="比")*$M19+(In!$J$237:$J$249&lt;&gt;"比"))*In!K$237:K$249)</f>
        <v>0</v>
      </c>
      <c r="E19" s="25" t="n">
        <f aca="false">SUMPRODUCT((In!$H$237:$H$249="oth")*(In!$I$237:$I$249="ant")*((In!$J$237:$J$249="比")*$M19+(In!$J$237:$J$249&lt;&gt;"比"))*In!K$237:K$249)</f>
        <v>0</v>
      </c>
      <c r="F19" s="25" t="n">
        <f aca="false">SUMPRODUCT((In!$H$237:$H$249="oth")*(In!$I$237:$I$249="xai")*((In!$J$237:$J$249="比")*$M19+(In!$J$237:$J$249&lt;&gt;"比"))*In!K$237:K$249)</f>
        <v>0</v>
      </c>
      <c r="G19" s="25" t="n">
        <f aca="false">SUMPRODUCT((In!$H$237:$H$249="oth")*(In!$I$237:$I$249="meta")*((In!$J$237:$J$249="比")*$M19+(In!$J$237:$J$249&lt;&gt;"比"))*In!K$237:K$249)</f>
        <v>0</v>
      </c>
      <c r="H19" s="25" t="n">
        <f aca="false">SUMPRODUCT((In!$H$237:$H$249="oth")*(In!$I$237:$I$249="googl")*((In!$J$237:$J$249="比")*$M19+(In!$J$237:$J$249&lt;&gt;"比"))*In!K$237:K$249)</f>
        <v>0</v>
      </c>
      <c r="I19" s="25" t="n">
        <f aca="false">SUMPRODUCT((In!$H$237:$H$249="oth")*(In!$I$237:$I$249="msft")*((In!$J$237:$J$249="比")*$M19+(In!$J$237:$J$249&lt;&gt;"比"))*In!K$237:K$249)</f>
        <v>0</v>
      </c>
      <c r="J19" s="25" t="n">
        <f aca="false">SUMPRODUCT((In!$H$237:$H$249="oth")*(In!$I$237:$I$249="oth")*((In!$J$237:$J$249="比")*$M19+(In!$J$237:$J$249&lt;&gt;"比"))*In!K$237:K$249)</f>
        <v>0</v>
      </c>
      <c r="K19" s="25" t="n">
        <f aca="false">$M19-SUM(C19:J19)</f>
        <v>1</v>
      </c>
      <c r="L19" s="25" t="n">
        <f aca="false">SUM(C19:K19)</f>
        <v>1</v>
      </c>
      <c r="M19" s="28" t="n">
        <f aca="false">N(Players!F296)</f>
        <v>1</v>
      </c>
      <c r="N19" s="29" t="n">
        <f aca="false">L19-M19</f>
        <v>0</v>
      </c>
    </row>
    <row r="20" customFormat="false" ht="15" hidden="false" customHeight="false" outlineLevel="0" collapsed="false">
      <c r="A20" s="22" t="s">
        <v>1704</v>
      </c>
      <c r="C20" s="25" t="n">
        <f aca="false">SUM(C5:C19)</f>
        <v>13.2749513333333</v>
      </c>
      <c r="D20" s="25" t="n">
        <f aca="false">SUM(D5:D19)</f>
        <v>0</v>
      </c>
      <c r="E20" s="25" t="n">
        <f aca="false">SUM(E5:E19)</f>
        <v>0.626</v>
      </c>
      <c r="F20" s="25" t="n">
        <f aca="false">SUM(F5:F19)</f>
        <v>0</v>
      </c>
      <c r="G20" s="25" t="n">
        <f aca="false">SUM(G5:G19)</f>
        <v>2.476595</v>
      </c>
      <c r="H20" s="25" t="n">
        <f aca="false">SUM(H5:H19)</f>
        <v>0</v>
      </c>
      <c r="I20" s="25" t="n">
        <f aca="false">SUM(I5:I19)</f>
        <v>0</v>
      </c>
      <c r="J20" s="25" t="n">
        <f aca="false">SUM(J5:J19)</f>
        <v>0</v>
      </c>
      <c r="K20" s="25" t="n">
        <f aca="false">SUM(K5:K19)</f>
        <v>8.959597</v>
      </c>
      <c r="L20" s="25" t="n">
        <f aca="false">SUM(L5:L19)</f>
        <v>25.3371433333333</v>
      </c>
      <c r="M20" s="25" t="n">
        <f aca="false">SUM(M5:M19)</f>
        <v>25.3371433333333</v>
      </c>
      <c r="N20" s="25" t="n">
        <f aca="false">SUM(N5:N19)</f>
        <v>0</v>
      </c>
    </row>
    <row r="21" customFormat="false" ht="17.15" hidden="false" customHeight="false" outlineLevel="0" collapsed="false">
      <c r="A21" s="5" t="s">
        <v>1705</v>
      </c>
      <c r="D21" s="25" t="n">
        <f aca="false">IF(In!J156="","",IF(In!$C$156="設施",In!J156/Players!F$13,In!J156))</f>
        <v>1.9</v>
      </c>
      <c r="L21" s="30" t="n">
        <f aca="false">IF(OR(D21="",N(D21)=0),"",D20/D21)</f>
        <v>0</v>
      </c>
      <c r="M21" s="5" t="s">
        <v>1706</v>
      </c>
    </row>
    <row r="22" customFormat="false" ht="17.15" hidden="false" customHeight="false" outlineLevel="0" collapsed="false">
      <c r="A22" s="5" t="s">
        <v>1707</v>
      </c>
      <c r="E22" s="25" t="n">
        <f aca="false">IF(In!J157="","",IF(In!$C$157="設施",In!J157/Players!F$13,In!J157))</f>
        <v>1.4</v>
      </c>
      <c r="L22" s="30" t="n">
        <f aca="false">IF(OR(E22="",N(E22)=0),"",E20/E22)</f>
        <v>0.447142857142857</v>
      </c>
      <c r="M22" s="5" t="s">
        <v>1706</v>
      </c>
    </row>
    <row r="24" customFormat="false" ht="17.15" hidden="false" customHeight="false" outlineLevel="0" collapsed="false">
      <c r="A24" s="8" t="s">
        <v>1708</v>
      </c>
    </row>
    <row r="25" customFormat="false" ht="17.15" hidden="false" customHeight="false" outlineLevel="0" collapsed="false">
      <c r="A25" s="6" t="s">
        <v>721</v>
      </c>
      <c r="B25" s="6" t="s">
        <v>19</v>
      </c>
      <c r="C25" s="6" t="s">
        <v>1681</v>
      </c>
      <c r="D25" s="7" t="s">
        <v>1682</v>
      </c>
      <c r="E25" s="7" t="s">
        <v>1683</v>
      </c>
      <c r="F25" s="7" t="s">
        <v>1684</v>
      </c>
      <c r="G25" s="7" t="s">
        <v>1429</v>
      </c>
      <c r="H25" s="7" t="s">
        <v>1685</v>
      </c>
      <c r="I25" s="7" t="s">
        <v>1686</v>
      </c>
      <c r="J25" s="6" t="s">
        <v>1687</v>
      </c>
      <c r="K25" s="6" t="s">
        <v>1688</v>
      </c>
      <c r="L25" s="6" t="s">
        <v>1689</v>
      </c>
      <c r="M25" s="7" t="s">
        <v>1690</v>
      </c>
      <c r="N25" s="6" t="s">
        <v>1691</v>
      </c>
    </row>
    <row r="26" customFormat="false" ht="17.15" hidden="false" customHeight="false" outlineLevel="0" collapsed="false">
      <c r="A26" s="0" t="s">
        <v>1692</v>
      </c>
      <c r="B26" s="0" t="s">
        <v>728</v>
      </c>
      <c r="C26" s="25" t="n">
        <f aca="false">SUMPRODUCT((In!$H$237:$H$249="msft")*(In!$I$237:$I$249="self")*((In!$J$237:$J$249="比")*$M26+(In!$J$237:$J$249&lt;&gt;"比"))*In!L$237:L$249)</f>
        <v>1.8</v>
      </c>
      <c r="D26" s="25" t="n">
        <f aca="false">SUMPRODUCT((In!$H$237:$H$249="msft")*(In!$I$237:$I$249="oai")*((In!$J$237:$J$249="比")*$M26+(In!$J$237:$J$249&lt;&gt;"比"))*In!L$237:L$249)</f>
        <v>0</v>
      </c>
      <c r="E26" s="25" t="n">
        <f aca="false">SUMPRODUCT((In!$H$237:$H$249="msft")*(In!$I$237:$I$249="ant")*((In!$J$237:$J$249="比")*$M26+(In!$J$237:$J$249&lt;&gt;"比"))*In!L$237:L$249)</f>
        <v>0</v>
      </c>
      <c r="F26" s="25" t="n">
        <f aca="false">SUMPRODUCT((In!$H$237:$H$249="msft")*(In!$I$237:$I$249="xai")*((In!$J$237:$J$249="比")*$M26+(In!$J$237:$J$249&lt;&gt;"比"))*In!L$237:L$249)</f>
        <v>0</v>
      </c>
      <c r="G26" s="25" t="n">
        <f aca="false">SUMPRODUCT((In!$H$237:$H$249="msft")*(In!$I$237:$I$249="meta")*((In!$J$237:$J$249="比")*$M26+(In!$J$237:$J$249&lt;&gt;"比"))*In!L$237:L$249)</f>
        <v>0</v>
      </c>
      <c r="H26" s="25" t="n">
        <f aca="false">SUMPRODUCT((In!$H$237:$H$249="msft")*(In!$I$237:$I$249="googl")*((In!$J$237:$J$249="比")*$M26+(In!$J$237:$J$249&lt;&gt;"比"))*In!L$237:L$249)</f>
        <v>0</v>
      </c>
      <c r="I26" s="25" t="n">
        <f aca="false">SUMPRODUCT((In!$H$237:$H$249="msft")*(In!$I$237:$I$249="msft")*((In!$J$237:$J$249="比")*$M26+(In!$J$237:$J$249&lt;&gt;"比"))*In!L$237:L$249)</f>
        <v>0</v>
      </c>
      <c r="J26" s="25" t="n">
        <f aca="false">SUMPRODUCT((In!$H$237:$H$249="msft")*(In!$I$237:$I$249="oth")*((In!$J$237:$J$249="比")*$M26+(In!$J$237:$J$249&lt;&gt;"比"))*In!L$237:L$249)</f>
        <v>0</v>
      </c>
      <c r="K26" s="25" t="n">
        <f aca="false">$M26-SUM(C26:J26)</f>
        <v>2.7</v>
      </c>
      <c r="L26" s="25" t="n">
        <f aca="false">SUM(C26:K26)</f>
        <v>4.5</v>
      </c>
      <c r="M26" s="28" t="n">
        <f aca="false">N(Players!G30)</f>
        <v>4.5</v>
      </c>
      <c r="N26" s="29" t="n">
        <f aca="false">L26-M26</f>
        <v>0</v>
      </c>
    </row>
    <row r="27" customFormat="false" ht="17.15" hidden="false" customHeight="false" outlineLevel="0" collapsed="false">
      <c r="A27" s="0" t="s">
        <v>1693</v>
      </c>
      <c r="B27" s="0" t="s">
        <v>733</v>
      </c>
      <c r="C27" s="25" t="n">
        <f aca="false">SUMPRODUCT((In!$H$237:$H$249="googl")*(In!$I$237:$I$249="self")*((In!$J$237:$J$249="比")*$M27+(In!$J$237:$J$249&lt;&gt;"比"))*In!L$237:L$249)</f>
        <v>3.9148753894081</v>
      </c>
      <c r="D27" s="25" t="n">
        <f aca="false">SUMPRODUCT((In!$H$237:$H$249="googl")*(In!$I$237:$I$249="oai")*((In!$J$237:$J$249="比")*$M27+(In!$J$237:$J$249&lt;&gt;"比"))*In!L$237:L$249)</f>
        <v>0</v>
      </c>
      <c r="E27" s="25" t="n">
        <f aca="false">SUMPRODUCT((In!$H$237:$H$249="googl")*(In!$I$237:$I$249="ant")*((In!$J$237:$J$249="比")*$M27+(In!$J$237:$J$249&lt;&gt;"比"))*In!L$237:L$249)</f>
        <v>1</v>
      </c>
      <c r="F27" s="25" t="n">
        <f aca="false">SUMPRODUCT((In!$H$237:$H$249="googl")*(In!$I$237:$I$249="xai")*((In!$J$237:$J$249="比")*$M27+(In!$J$237:$J$249&lt;&gt;"比"))*In!L$237:L$249)</f>
        <v>0</v>
      </c>
      <c r="G27" s="25" t="n">
        <f aca="false">SUMPRODUCT((In!$H$237:$H$249="googl")*(In!$I$237:$I$249="meta")*((In!$J$237:$J$249="比")*$M27+(In!$J$237:$J$249&lt;&gt;"比"))*In!L$237:L$249)</f>
        <v>0</v>
      </c>
      <c r="H27" s="25" t="n">
        <f aca="false">SUMPRODUCT((In!$H$237:$H$249="googl")*(In!$I$237:$I$249="googl")*((In!$J$237:$J$249="比")*$M27+(In!$J$237:$J$249&lt;&gt;"比"))*In!L$237:L$249)</f>
        <v>0</v>
      </c>
      <c r="I27" s="25" t="n">
        <f aca="false">SUMPRODUCT((In!$H$237:$H$249="googl")*(In!$I$237:$I$249="msft")*((In!$J$237:$J$249="比")*$M27+(In!$J$237:$J$249&lt;&gt;"比"))*In!L$237:L$249)</f>
        <v>0</v>
      </c>
      <c r="J27" s="25" t="n">
        <f aca="false">SUMPRODUCT((In!$H$237:$H$249="googl")*(In!$I$237:$I$249="oth")*((In!$J$237:$J$249="比")*$M27+(In!$J$237:$J$249&lt;&gt;"比"))*In!L$237:L$249)</f>
        <v>0</v>
      </c>
      <c r="K27" s="25" t="n">
        <f aca="false">$M27-SUM(C27:J27)</f>
        <v>0.677803738317758</v>
      </c>
      <c r="L27" s="25" t="n">
        <f aca="false">SUM(C27:K27)</f>
        <v>5.59267912772586</v>
      </c>
      <c r="M27" s="28" t="n">
        <f aca="false">N(Players!G49)</f>
        <v>5.59267912772586</v>
      </c>
      <c r="N27" s="29" t="n">
        <f aca="false">L27-M27</f>
        <v>0</v>
      </c>
    </row>
    <row r="28" customFormat="false" ht="17.15" hidden="false" customHeight="false" outlineLevel="0" collapsed="false">
      <c r="A28" s="0" t="s">
        <v>1694</v>
      </c>
      <c r="B28" s="0" t="s">
        <v>741</v>
      </c>
      <c r="C28" s="25" t="n">
        <f aca="false">SUMPRODUCT((In!$H$237:$H$249="amzn")*(In!$I$237:$I$249="self")*((In!$J$237:$J$249="比")*$M28+(In!$J$237:$J$249&lt;&gt;"比"))*In!L$237:L$249)</f>
        <v>0.5454</v>
      </c>
      <c r="D28" s="25" t="n">
        <f aca="false">SUMPRODUCT((In!$H$237:$H$249="amzn")*(In!$I$237:$I$249="oai")*((In!$J$237:$J$249="比")*$M28+(In!$J$237:$J$249&lt;&gt;"比"))*In!L$237:L$249)</f>
        <v>0</v>
      </c>
      <c r="E28" s="25" t="n">
        <f aca="false">SUMPRODUCT((In!$H$237:$H$249="amzn")*(In!$I$237:$I$249="ant")*((In!$J$237:$J$249="比")*$M28+(In!$J$237:$J$249&lt;&gt;"比"))*In!L$237:L$249)</f>
        <v>1.037</v>
      </c>
      <c r="F28" s="25" t="n">
        <f aca="false">SUMPRODUCT((In!$H$237:$H$249="amzn")*(In!$I$237:$I$249="xai")*((In!$J$237:$J$249="比")*$M28+(In!$J$237:$J$249&lt;&gt;"比"))*In!L$237:L$249)</f>
        <v>0</v>
      </c>
      <c r="G28" s="25" t="n">
        <f aca="false">SUMPRODUCT((In!$H$237:$H$249="amzn")*(In!$I$237:$I$249="meta")*((In!$J$237:$J$249="比")*$M28+(In!$J$237:$J$249&lt;&gt;"比"))*In!L$237:L$249)</f>
        <v>0</v>
      </c>
      <c r="H28" s="25" t="n">
        <f aca="false">SUMPRODUCT((In!$H$237:$H$249="amzn")*(In!$I$237:$I$249="googl")*((In!$J$237:$J$249="比")*$M28+(In!$J$237:$J$249&lt;&gt;"比"))*In!L$237:L$249)</f>
        <v>0</v>
      </c>
      <c r="I28" s="25" t="n">
        <f aca="false">SUMPRODUCT((In!$H$237:$H$249="amzn")*(In!$I$237:$I$249="msft")*((In!$J$237:$J$249="比")*$M28+(In!$J$237:$J$249&lt;&gt;"比"))*In!L$237:L$249)</f>
        <v>0</v>
      </c>
      <c r="J28" s="25" t="n">
        <f aca="false">SUMPRODUCT((In!$H$237:$H$249="amzn")*(In!$I$237:$I$249="oth")*((In!$J$237:$J$249="比")*$M28+(In!$J$237:$J$249&lt;&gt;"比"))*In!L$237:L$249)</f>
        <v>0</v>
      </c>
      <c r="K28" s="25" t="n">
        <f aca="false">$M28-SUM(C28:J28)</f>
        <v>1.1446</v>
      </c>
      <c r="L28" s="25" t="n">
        <f aca="false">SUM(C28:K28)</f>
        <v>2.727</v>
      </c>
      <c r="M28" s="28" t="n">
        <f aca="false">N(Players!G68)</f>
        <v>2.727</v>
      </c>
      <c r="N28" s="29" t="n">
        <f aca="false">L28-M28</f>
        <v>0</v>
      </c>
    </row>
    <row r="29" customFormat="false" ht="15" hidden="false" customHeight="false" outlineLevel="0" collapsed="false">
      <c r="A29" s="0" t="s">
        <v>1429</v>
      </c>
      <c r="B29" s="0" t="s">
        <v>748</v>
      </c>
      <c r="C29" s="25" t="n">
        <f aca="false">SUMPRODUCT((In!$H$237:$H$249="meta")*(In!$I$237:$I$249="self")*((In!$J$237:$J$249="比")*$M29+(In!$J$237:$J$249&lt;&gt;"比"))*In!L$237:L$249)</f>
        <v>0</v>
      </c>
      <c r="D29" s="25" t="n">
        <f aca="false">SUMPRODUCT((In!$H$237:$H$249="meta")*(In!$I$237:$I$249="oai")*((In!$J$237:$J$249="比")*$M29+(In!$J$237:$J$249&lt;&gt;"比"))*In!L$237:L$249)</f>
        <v>0</v>
      </c>
      <c r="E29" s="25" t="n">
        <f aca="false">SUMPRODUCT((In!$H$237:$H$249="meta")*(In!$I$237:$I$249="ant")*((In!$J$237:$J$249="比")*$M29+(In!$J$237:$J$249&lt;&gt;"比"))*In!L$237:L$249)</f>
        <v>0</v>
      </c>
      <c r="F29" s="25" t="n">
        <f aca="false">SUMPRODUCT((In!$H$237:$H$249="meta")*(In!$I$237:$I$249="xai")*((In!$J$237:$J$249="比")*$M29+(In!$J$237:$J$249&lt;&gt;"比"))*In!L$237:L$249)</f>
        <v>0</v>
      </c>
      <c r="G29" s="25" t="n">
        <f aca="false">SUMPRODUCT((In!$H$237:$H$249="meta")*(In!$I$237:$I$249="meta")*((In!$J$237:$J$249="比")*$M29+(In!$J$237:$J$249&lt;&gt;"比"))*In!L$237:L$249)</f>
        <v>3.152595</v>
      </c>
      <c r="H29" s="25" t="n">
        <f aca="false">SUMPRODUCT((In!$H$237:$H$249="meta")*(In!$I$237:$I$249="googl")*((In!$J$237:$J$249="比")*$M29+(In!$J$237:$J$249&lt;&gt;"比"))*In!L$237:L$249)</f>
        <v>0</v>
      </c>
      <c r="I29" s="25" t="n">
        <f aca="false">SUMPRODUCT((In!$H$237:$H$249="meta")*(In!$I$237:$I$249="msft")*((In!$J$237:$J$249="比")*$M29+(In!$J$237:$J$249&lt;&gt;"比"))*In!L$237:L$249)</f>
        <v>0</v>
      </c>
      <c r="J29" s="25" t="n">
        <f aca="false">SUMPRODUCT((In!$H$237:$H$249="meta")*(In!$I$237:$I$249="oth")*((In!$J$237:$J$249="比")*$M29+(In!$J$237:$J$249&lt;&gt;"比"))*In!L$237:L$249)</f>
        <v>0</v>
      </c>
      <c r="K29" s="25" t="n">
        <f aca="false">$M29-SUM(C29:J29)</f>
        <v>0</v>
      </c>
      <c r="L29" s="25" t="n">
        <f aca="false">SUM(C29:K29)</f>
        <v>3.152595</v>
      </c>
      <c r="M29" s="28" t="n">
        <f aca="false">N(Players!G87)</f>
        <v>3.152595</v>
      </c>
      <c r="N29" s="29" t="n">
        <f aca="false">L29-M29</f>
        <v>0</v>
      </c>
    </row>
    <row r="30" customFormat="false" ht="17.15" hidden="false" customHeight="false" outlineLevel="0" collapsed="false">
      <c r="A30" s="0" t="s">
        <v>1695</v>
      </c>
      <c r="B30" s="0" t="s">
        <v>752</v>
      </c>
      <c r="C30" s="25" t="n">
        <f aca="false">SUMPRODUCT((In!$H$237:$H$249="orcl")*(In!$I$237:$I$249="self")*((In!$J$237:$J$249="比")*$M30+(In!$J$237:$J$249&lt;&gt;"比"))*In!L$237:L$249)</f>
        <v>0</v>
      </c>
      <c r="D30" s="25" t="n">
        <f aca="false">SUMPRODUCT((In!$H$237:$H$249="orcl")*(In!$I$237:$I$249="oai")*((In!$J$237:$J$249="比")*$M30+(In!$J$237:$J$249&lt;&gt;"比"))*In!L$237:L$249)</f>
        <v>0.824</v>
      </c>
      <c r="E30" s="25" t="n">
        <f aca="false">SUMPRODUCT((In!$H$237:$H$249="orcl")*(In!$I$237:$I$249="ant")*((In!$J$237:$J$249="比")*$M30+(In!$J$237:$J$249&lt;&gt;"比"))*In!L$237:L$249)</f>
        <v>0</v>
      </c>
      <c r="F30" s="25" t="n">
        <f aca="false">SUMPRODUCT((In!$H$237:$H$249="orcl")*(In!$I$237:$I$249="xai")*((In!$J$237:$J$249="比")*$M30+(In!$J$237:$J$249&lt;&gt;"比"))*In!L$237:L$249)</f>
        <v>0</v>
      </c>
      <c r="G30" s="25" t="n">
        <f aca="false">SUMPRODUCT((In!$H$237:$H$249="orcl")*(In!$I$237:$I$249="meta")*((In!$J$237:$J$249="比")*$M30+(In!$J$237:$J$249&lt;&gt;"比"))*In!L$237:L$249)</f>
        <v>0</v>
      </c>
      <c r="H30" s="25" t="n">
        <f aca="false">SUMPRODUCT((In!$H$237:$H$249="orcl")*(In!$I$237:$I$249="googl")*((In!$J$237:$J$249="比")*$M30+(In!$J$237:$J$249&lt;&gt;"比"))*In!L$237:L$249)</f>
        <v>0</v>
      </c>
      <c r="I30" s="25" t="n">
        <f aca="false">SUMPRODUCT((In!$H$237:$H$249="orcl")*(In!$I$237:$I$249="msft")*((In!$J$237:$J$249="比")*$M30+(In!$J$237:$J$249&lt;&gt;"比"))*In!L$237:L$249)</f>
        <v>0</v>
      </c>
      <c r="J30" s="25" t="n">
        <f aca="false">SUMPRODUCT((In!$H$237:$H$249="orcl")*(In!$I$237:$I$249="oth")*((In!$J$237:$J$249="比")*$M30+(In!$J$237:$J$249&lt;&gt;"比"))*In!L$237:L$249)</f>
        <v>0</v>
      </c>
      <c r="K30" s="25" t="n">
        <f aca="false">$M30-SUM(C30:J30)</f>
        <v>1.925</v>
      </c>
      <c r="L30" s="25" t="n">
        <f aca="false">SUM(C30:K30)</f>
        <v>2.749</v>
      </c>
      <c r="M30" s="28" t="n">
        <f aca="false">N(Players!G106)</f>
        <v>2.749</v>
      </c>
      <c r="N30" s="29" t="n">
        <f aca="false">L30-M30</f>
        <v>0</v>
      </c>
    </row>
    <row r="31" customFormat="false" ht="15" hidden="false" customHeight="false" outlineLevel="0" collapsed="false">
      <c r="A31" s="0" t="s">
        <v>1467</v>
      </c>
      <c r="B31" s="0" t="s">
        <v>842</v>
      </c>
      <c r="C31" s="25" t="n">
        <f aca="false">SUMPRODUCT((In!$H$237:$H$249="crwv")*(In!$I$237:$I$249="self")*((In!$J$237:$J$249="比")*$M31+(In!$J$237:$J$249&lt;&gt;"比"))*In!L$237:L$249)</f>
        <v>0</v>
      </c>
      <c r="D31" s="25" t="n">
        <f aca="false">SUMPRODUCT((In!$H$237:$H$249="crwv")*(In!$I$237:$I$249="oai")*((In!$J$237:$J$249="比")*$M31+(In!$J$237:$J$249&lt;&gt;"比"))*In!L$237:L$249)</f>
        <v>0</v>
      </c>
      <c r="E31" s="25" t="n">
        <f aca="false">SUMPRODUCT((In!$H$237:$H$249="crwv")*(In!$I$237:$I$249="ant")*((In!$J$237:$J$249="比")*$M31+(In!$J$237:$J$249&lt;&gt;"比"))*In!L$237:L$249)</f>
        <v>0</v>
      </c>
      <c r="F31" s="25" t="n">
        <f aca="false">SUMPRODUCT((In!$H$237:$H$249="crwv")*(In!$I$237:$I$249="xai")*((In!$J$237:$J$249="比")*$M31+(In!$J$237:$J$249&lt;&gt;"比"))*In!L$237:L$249)</f>
        <v>0</v>
      </c>
      <c r="G31" s="25" t="n">
        <f aca="false">SUMPRODUCT((In!$H$237:$H$249="crwv")*(In!$I$237:$I$249="meta")*((In!$J$237:$J$249="比")*$M31+(In!$J$237:$J$249&lt;&gt;"比"))*In!L$237:L$249)</f>
        <v>0</v>
      </c>
      <c r="H31" s="25" t="n">
        <f aca="false">SUMPRODUCT((In!$H$237:$H$249="crwv")*(In!$I$237:$I$249="googl")*((In!$J$237:$J$249="比")*$M31+(In!$J$237:$J$249&lt;&gt;"比"))*In!L$237:L$249)</f>
        <v>0</v>
      </c>
      <c r="I31" s="25" t="n">
        <f aca="false">SUMPRODUCT((In!$H$237:$H$249="crwv")*(In!$I$237:$I$249="msft")*((In!$J$237:$J$249="比")*$M31+(In!$J$237:$J$249&lt;&gt;"比"))*In!L$237:L$249)</f>
        <v>0</v>
      </c>
      <c r="J31" s="25" t="n">
        <f aca="false">SUMPRODUCT((In!$H$237:$H$249="crwv")*(In!$I$237:$I$249="oth")*((In!$J$237:$J$249="比")*$M31+(In!$J$237:$J$249&lt;&gt;"比"))*In!L$237:L$249)</f>
        <v>0</v>
      </c>
      <c r="K31" s="25" t="n">
        <f aca="false">$M31-SUM(C31:J31)</f>
        <v>1.85</v>
      </c>
      <c r="L31" s="25" t="n">
        <f aca="false">SUM(C31:K31)</f>
        <v>1.85</v>
      </c>
      <c r="M31" s="28" t="n">
        <f aca="false">N(Players!G125)</f>
        <v>1.85</v>
      </c>
      <c r="N31" s="29" t="n">
        <f aca="false">L31-M31</f>
        <v>0</v>
      </c>
    </row>
    <row r="32" customFormat="false" ht="15" hidden="false" customHeight="false" outlineLevel="0" collapsed="false">
      <c r="A32" s="0" t="s">
        <v>1486</v>
      </c>
      <c r="B32" s="0" t="s">
        <v>873</v>
      </c>
      <c r="C32" s="25" t="n">
        <f aca="false">SUMPRODUCT((In!$H$237:$H$249="nbis")*(In!$I$237:$I$249="self")*((In!$J$237:$J$249="比")*$M32+(In!$J$237:$J$249&lt;&gt;"比"))*In!L$237:L$249)</f>
        <v>0</v>
      </c>
      <c r="D32" s="25" t="n">
        <f aca="false">SUMPRODUCT((In!$H$237:$H$249="nbis")*(In!$I$237:$I$249="oai")*((In!$J$237:$J$249="比")*$M32+(In!$J$237:$J$249&lt;&gt;"比"))*In!L$237:L$249)</f>
        <v>0</v>
      </c>
      <c r="E32" s="25" t="n">
        <f aca="false">SUMPRODUCT((In!$H$237:$H$249="nbis")*(In!$I$237:$I$249="ant")*((In!$J$237:$J$249="比")*$M32+(In!$J$237:$J$249&lt;&gt;"比"))*In!L$237:L$249)</f>
        <v>0</v>
      </c>
      <c r="F32" s="25" t="n">
        <f aca="false">SUMPRODUCT((In!$H$237:$H$249="nbis")*(In!$I$237:$I$249="xai")*((In!$J$237:$J$249="比")*$M32+(In!$J$237:$J$249&lt;&gt;"比"))*In!L$237:L$249)</f>
        <v>0</v>
      </c>
      <c r="G32" s="25" t="n">
        <f aca="false">SUMPRODUCT((In!$H$237:$H$249="nbis")*(In!$I$237:$I$249="meta")*((In!$J$237:$J$249="比")*$M32+(In!$J$237:$J$249&lt;&gt;"比"))*In!L$237:L$249)</f>
        <v>0</v>
      </c>
      <c r="H32" s="25" t="n">
        <f aca="false">SUMPRODUCT((In!$H$237:$H$249="nbis")*(In!$I$237:$I$249="googl")*((In!$J$237:$J$249="比")*$M32+(In!$J$237:$J$249&lt;&gt;"比"))*In!L$237:L$249)</f>
        <v>0</v>
      </c>
      <c r="I32" s="25" t="n">
        <f aca="false">SUMPRODUCT((In!$H$237:$H$249="nbis")*(In!$I$237:$I$249="msft")*((In!$J$237:$J$249="比")*$M32+(In!$J$237:$J$249&lt;&gt;"比"))*In!L$237:L$249)</f>
        <v>0</v>
      </c>
      <c r="J32" s="25" t="n">
        <f aca="false">SUMPRODUCT((In!$H$237:$H$249="nbis")*(In!$I$237:$I$249="oth")*((In!$J$237:$J$249="比")*$M32+(In!$J$237:$J$249&lt;&gt;"比"))*In!L$237:L$249)</f>
        <v>0</v>
      </c>
      <c r="K32" s="25" t="n">
        <f aca="false">$M32-SUM(C32:J32)</f>
        <v>0.9</v>
      </c>
      <c r="L32" s="25" t="n">
        <f aca="false">SUM(C32:K32)</f>
        <v>0.9</v>
      </c>
      <c r="M32" s="28" t="n">
        <f aca="false">N(Players!G144)</f>
        <v>0.9</v>
      </c>
      <c r="N32" s="29" t="n">
        <f aca="false">L32-M32</f>
        <v>0</v>
      </c>
    </row>
    <row r="33" customFormat="false" ht="17.15" hidden="false" customHeight="false" outlineLevel="0" collapsed="false">
      <c r="A33" s="0" t="s">
        <v>1696</v>
      </c>
      <c r="B33" s="0" t="s">
        <v>1506</v>
      </c>
      <c r="C33" s="25" t="n">
        <f aca="false">SUMPRODUCT((In!$H$237:$H$249="wyfi")*(In!$I$237:$I$249="self")*((In!$J$237:$J$249="比")*$M33+(In!$J$237:$J$249&lt;&gt;"比"))*In!L$237:L$249)</f>
        <v>0</v>
      </c>
      <c r="D33" s="25" t="n">
        <f aca="false">SUMPRODUCT((In!$H$237:$H$249="wyfi")*(In!$I$237:$I$249="oai")*((In!$J$237:$J$249="比")*$M33+(In!$J$237:$J$249&lt;&gt;"比"))*In!L$237:L$249)</f>
        <v>0</v>
      </c>
      <c r="E33" s="25" t="n">
        <f aca="false">SUMPRODUCT((In!$H$237:$H$249="wyfi")*(In!$I$237:$I$249="ant")*((In!$J$237:$J$249="比")*$M33+(In!$J$237:$J$249&lt;&gt;"比"))*In!L$237:L$249)</f>
        <v>0</v>
      </c>
      <c r="F33" s="25" t="n">
        <f aca="false">SUMPRODUCT((In!$H$237:$H$249="wyfi")*(In!$I$237:$I$249="xai")*((In!$J$237:$J$249="比")*$M33+(In!$J$237:$J$249&lt;&gt;"比"))*In!L$237:L$249)</f>
        <v>0</v>
      </c>
      <c r="G33" s="25" t="n">
        <f aca="false">SUMPRODUCT((In!$H$237:$H$249="wyfi")*(In!$I$237:$I$249="meta")*((In!$J$237:$J$249="比")*$M33+(In!$J$237:$J$249&lt;&gt;"比"))*In!L$237:L$249)</f>
        <v>0</v>
      </c>
      <c r="H33" s="25" t="n">
        <f aca="false">SUMPRODUCT((In!$H$237:$H$249="wyfi")*(In!$I$237:$I$249="googl")*((In!$J$237:$J$249="比")*$M33+(In!$J$237:$J$249&lt;&gt;"比"))*In!L$237:L$249)</f>
        <v>0</v>
      </c>
      <c r="I33" s="25" t="n">
        <f aca="false">SUMPRODUCT((In!$H$237:$H$249="wyfi")*(In!$I$237:$I$249="msft")*((In!$J$237:$J$249="比")*$M33+(In!$J$237:$J$249&lt;&gt;"比"))*In!L$237:L$249)</f>
        <v>0</v>
      </c>
      <c r="J33" s="25" t="n">
        <f aca="false">SUMPRODUCT((In!$H$237:$H$249="wyfi")*(In!$I$237:$I$249="oth")*((In!$J$237:$J$249="比")*$M33+(In!$J$237:$J$249&lt;&gt;"比"))*In!L$237:L$249)</f>
        <v>0</v>
      </c>
      <c r="K33" s="25" t="n">
        <f aca="false">$M33-SUM(C33:J33)</f>
        <v>0.014574</v>
      </c>
      <c r="L33" s="25" t="n">
        <f aca="false">SUM(C33:K33)</f>
        <v>0.014574</v>
      </c>
      <c r="M33" s="28" t="n">
        <f aca="false">N(Players!G163)</f>
        <v>0.014574</v>
      </c>
      <c r="N33" s="29" t="n">
        <f aca="false">L33-M33</f>
        <v>0</v>
      </c>
    </row>
    <row r="34" customFormat="false" ht="17.15" hidden="false" customHeight="false" outlineLevel="0" collapsed="false">
      <c r="A34" s="0" t="s">
        <v>1697</v>
      </c>
      <c r="B34" s="0" t="s">
        <v>757</v>
      </c>
      <c r="C34" s="25" t="n">
        <f aca="false">SUMPRODUCT((In!$H$237:$H$249="xai")*(In!$I$237:$I$249="self")*((In!$J$237:$J$249="比")*$M34+(In!$J$237:$J$249&lt;&gt;"比"))*In!L$237:L$249)</f>
        <v>0</v>
      </c>
      <c r="D34" s="25" t="n">
        <f aca="false">SUMPRODUCT((In!$H$237:$H$249="xai")*(In!$I$237:$I$249="oai")*((In!$J$237:$J$249="比")*$M34+(In!$J$237:$J$249&lt;&gt;"比"))*In!L$237:L$249)</f>
        <v>0</v>
      </c>
      <c r="E34" s="25" t="n">
        <f aca="false">SUMPRODUCT((In!$H$237:$H$249="xai")*(In!$I$237:$I$249="ant")*((In!$J$237:$J$249="比")*$M34+(In!$J$237:$J$249&lt;&gt;"比"))*In!L$237:L$249)</f>
        <v>0</v>
      </c>
      <c r="F34" s="25" t="n">
        <f aca="false">SUMPRODUCT((In!$H$237:$H$249="xai")*(In!$I$237:$I$249="xai")*((In!$J$237:$J$249="比")*$M34+(In!$J$237:$J$249&lt;&gt;"比"))*In!L$237:L$249)</f>
        <v>0</v>
      </c>
      <c r="G34" s="25" t="n">
        <f aca="false">SUMPRODUCT((In!$H$237:$H$249="xai")*(In!$I$237:$I$249="meta")*((In!$J$237:$J$249="比")*$M34+(In!$J$237:$J$249&lt;&gt;"比"))*In!L$237:L$249)</f>
        <v>0</v>
      </c>
      <c r="H34" s="25" t="n">
        <f aca="false">SUMPRODUCT((In!$H$237:$H$249="xai")*(In!$I$237:$I$249="googl")*((In!$J$237:$J$249="比")*$M34+(In!$J$237:$J$249&lt;&gt;"比"))*In!L$237:L$249)</f>
        <v>0.19</v>
      </c>
      <c r="I34" s="25" t="n">
        <f aca="false">SUMPRODUCT((In!$H$237:$H$249="xai")*(In!$I$237:$I$249="msft")*((In!$J$237:$J$249="比")*$M34+(In!$J$237:$J$249&lt;&gt;"比"))*In!L$237:L$249)</f>
        <v>0</v>
      </c>
      <c r="J34" s="25" t="n">
        <f aca="false">SUMPRODUCT((In!$H$237:$H$249="xai")*(In!$I$237:$I$249="oth")*((In!$J$237:$J$249="比")*$M34+(In!$J$237:$J$249&lt;&gt;"比"))*In!L$237:L$249)</f>
        <v>0</v>
      </c>
      <c r="K34" s="25" t="n">
        <f aca="false">$M34-SUM(C34:J34)</f>
        <v>1.81</v>
      </c>
      <c r="L34" s="25" t="n">
        <f aca="false">SUM(C34:K34)</f>
        <v>2</v>
      </c>
      <c r="M34" s="28" t="n">
        <f aca="false">N(Players!G182)</f>
        <v>2</v>
      </c>
      <c r="N34" s="29" t="n">
        <f aca="false">L34-M34</f>
        <v>0</v>
      </c>
    </row>
    <row r="35" customFormat="false" ht="17.15" hidden="false" customHeight="false" outlineLevel="0" collapsed="false">
      <c r="A35" s="0" t="s">
        <v>1698</v>
      </c>
      <c r="B35" s="0" t="s">
        <v>753</v>
      </c>
      <c r="C35" s="25" t="n">
        <f aca="false">SUMPRODUCT((In!$H$237:$H$249="oai")*(In!$I$237:$I$249="self")*((In!$J$237:$J$249="比")*$M35+(In!$J$237:$J$249&lt;&gt;"比"))*In!L$237:L$249)</f>
        <v>0</v>
      </c>
      <c r="D35" s="25" t="n">
        <f aca="false">SUMPRODUCT((In!$H$237:$H$249="oai")*(In!$I$237:$I$249="oai")*((In!$J$237:$J$249="比")*$M35+(In!$J$237:$J$249&lt;&gt;"比"))*In!L$237:L$249)</f>
        <v>0</v>
      </c>
      <c r="E35" s="25" t="n">
        <f aca="false">SUMPRODUCT((In!$H$237:$H$249="oai")*(In!$I$237:$I$249="ant")*((In!$J$237:$J$249="比")*$M35+(In!$J$237:$J$249&lt;&gt;"比"))*In!L$237:L$249)</f>
        <v>0</v>
      </c>
      <c r="F35" s="25" t="n">
        <f aca="false">SUMPRODUCT((In!$H$237:$H$249="oai")*(In!$I$237:$I$249="xai")*((In!$J$237:$J$249="比")*$M35+(In!$J$237:$J$249&lt;&gt;"比"))*In!L$237:L$249)</f>
        <v>0</v>
      </c>
      <c r="G35" s="25" t="n">
        <f aca="false">SUMPRODUCT((In!$H$237:$H$249="oai")*(In!$I$237:$I$249="meta")*((In!$J$237:$J$249="比")*$M35+(In!$J$237:$J$249&lt;&gt;"比"))*In!L$237:L$249)</f>
        <v>0</v>
      </c>
      <c r="H35" s="25" t="n">
        <f aca="false">SUMPRODUCT((In!$H$237:$H$249="oai")*(In!$I$237:$I$249="googl")*((In!$J$237:$J$249="比")*$M35+(In!$J$237:$J$249&lt;&gt;"比"))*In!L$237:L$249)</f>
        <v>0</v>
      </c>
      <c r="I35" s="25" t="n">
        <f aca="false">SUMPRODUCT((In!$H$237:$H$249="oai")*(In!$I$237:$I$249="msft")*((In!$J$237:$J$249="比")*$M35+(In!$J$237:$J$249&lt;&gt;"比"))*In!L$237:L$249)</f>
        <v>0</v>
      </c>
      <c r="J35" s="25" t="n">
        <f aca="false">SUMPRODUCT((In!$H$237:$H$249="oai")*(In!$I$237:$I$249="oth")*((In!$J$237:$J$249="比")*$M35+(In!$J$237:$J$249&lt;&gt;"比"))*In!L$237:L$249)</f>
        <v>0</v>
      </c>
      <c r="K35" s="25" t="n">
        <f aca="false">$M35-SUM(C35:J35)</f>
        <v>0</v>
      </c>
      <c r="L35" s="25" t="n">
        <f aca="false">SUM(C35:K35)</f>
        <v>0</v>
      </c>
      <c r="M35" s="28" t="n">
        <f aca="false">N(Players!G201)</f>
        <v>0</v>
      </c>
      <c r="N35" s="29" t="n">
        <f aca="false">L35-M35</f>
        <v>0</v>
      </c>
    </row>
    <row r="36" customFormat="false" ht="17.15" hidden="false" customHeight="false" outlineLevel="0" collapsed="false">
      <c r="A36" s="0" t="s">
        <v>1699</v>
      </c>
      <c r="B36" s="0" t="s">
        <v>737</v>
      </c>
      <c r="C36" s="25" t="n">
        <f aca="false">SUMPRODUCT((In!$H$237:$H$249="ant")*(In!$I$237:$I$249="self")*((In!$J$237:$J$249="比")*$M36+(In!$J$237:$J$249&lt;&gt;"比"))*In!L$237:L$249)</f>
        <v>0</v>
      </c>
      <c r="D36" s="25" t="n">
        <f aca="false">SUMPRODUCT((In!$H$237:$H$249="ant")*(In!$I$237:$I$249="oai")*((In!$J$237:$J$249="比")*$M36+(In!$J$237:$J$249&lt;&gt;"比"))*In!L$237:L$249)</f>
        <v>0</v>
      </c>
      <c r="E36" s="25" t="n">
        <f aca="false">SUMPRODUCT((In!$H$237:$H$249="ant")*(In!$I$237:$I$249="ant")*((In!$J$237:$J$249="比")*$M36+(In!$J$237:$J$249&lt;&gt;"比"))*In!L$237:L$249)</f>
        <v>0</v>
      </c>
      <c r="F36" s="25" t="n">
        <f aca="false">SUMPRODUCT((In!$H$237:$H$249="ant")*(In!$I$237:$I$249="xai")*((In!$J$237:$J$249="比")*$M36+(In!$J$237:$J$249&lt;&gt;"比"))*In!L$237:L$249)</f>
        <v>0</v>
      </c>
      <c r="G36" s="25" t="n">
        <f aca="false">SUMPRODUCT((In!$H$237:$H$249="ant")*(In!$I$237:$I$249="meta")*((In!$J$237:$J$249="比")*$M36+(In!$J$237:$J$249&lt;&gt;"比"))*In!L$237:L$249)</f>
        <v>0</v>
      </c>
      <c r="H36" s="25" t="n">
        <f aca="false">SUMPRODUCT((In!$H$237:$H$249="ant")*(In!$I$237:$I$249="googl")*((In!$J$237:$J$249="比")*$M36+(In!$J$237:$J$249&lt;&gt;"比"))*In!L$237:L$249)</f>
        <v>0</v>
      </c>
      <c r="I36" s="25" t="n">
        <f aca="false">SUMPRODUCT((In!$H$237:$H$249="ant")*(In!$I$237:$I$249="msft")*((In!$J$237:$J$249="比")*$M36+(In!$J$237:$J$249&lt;&gt;"比"))*In!L$237:L$249)</f>
        <v>0</v>
      </c>
      <c r="J36" s="25" t="n">
        <f aca="false">SUMPRODUCT((In!$H$237:$H$249="ant")*(In!$I$237:$I$249="oth")*((In!$J$237:$J$249="比")*$M36+(In!$J$237:$J$249&lt;&gt;"比"))*In!L$237:L$249)</f>
        <v>0</v>
      </c>
      <c r="K36" s="25" t="n">
        <f aca="false">$M36-SUM(C36:J36)</f>
        <v>0</v>
      </c>
      <c r="L36" s="25" t="n">
        <f aca="false">SUM(C36:K36)</f>
        <v>0</v>
      </c>
      <c r="M36" s="28" t="n">
        <f aca="false">N(Players!G220)</f>
        <v>0</v>
      </c>
      <c r="N36" s="29" t="n">
        <f aca="false">L36-M36</f>
        <v>0</v>
      </c>
    </row>
    <row r="37" customFormat="false" ht="17.15" hidden="false" customHeight="false" outlineLevel="0" collapsed="false">
      <c r="A37" s="5" t="s">
        <v>1700</v>
      </c>
      <c r="B37" s="0" t="s">
        <v>767</v>
      </c>
      <c r="C37" s="25" t="n">
        <f aca="false">SUMPRODUCT((In!$H$237:$H$249="neo")*(In!$I$237:$I$249="self")*((In!$J$237:$J$249="比")*$M37+(In!$J$237:$J$249&lt;&gt;"比"))*In!L$237:L$249)</f>
        <v>0</v>
      </c>
      <c r="D37" s="25" t="n">
        <f aca="false">SUMPRODUCT((In!$H$237:$H$249="neo")*(In!$I$237:$I$249="oai")*((In!$J$237:$J$249="比")*$M37+(In!$J$237:$J$249&lt;&gt;"比"))*In!L$237:L$249)</f>
        <v>0</v>
      </c>
      <c r="E37" s="25" t="n">
        <f aca="false">SUMPRODUCT((In!$H$237:$H$249="neo")*(In!$I$237:$I$249="ant")*((In!$J$237:$J$249="比")*$M37+(In!$J$237:$J$249&lt;&gt;"比"))*In!L$237:L$249)</f>
        <v>0</v>
      </c>
      <c r="F37" s="25" t="n">
        <f aca="false">SUMPRODUCT((In!$H$237:$H$249="neo")*(In!$I$237:$I$249="xai")*((In!$J$237:$J$249="比")*$M37+(In!$J$237:$J$249&lt;&gt;"比"))*In!L$237:L$249)</f>
        <v>0</v>
      </c>
      <c r="G37" s="25" t="n">
        <f aca="false">SUMPRODUCT((In!$H$237:$H$249="neo")*(In!$I$237:$I$249="meta")*((In!$J$237:$J$249="比")*$M37+(In!$J$237:$J$249&lt;&gt;"比"))*In!L$237:L$249)</f>
        <v>0</v>
      </c>
      <c r="H37" s="25" t="n">
        <f aca="false">SUMPRODUCT((In!$H$237:$H$249="neo")*(In!$I$237:$I$249="googl")*((In!$J$237:$J$249="比")*$M37+(In!$J$237:$J$249&lt;&gt;"比"))*In!L$237:L$249)</f>
        <v>0</v>
      </c>
      <c r="I37" s="25" t="n">
        <f aca="false">SUMPRODUCT((In!$H$237:$H$249="neo")*(In!$I$237:$I$249="msft")*((In!$J$237:$J$249="比")*$M37+(In!$J$237:$J$249&lt;&gt;"比"))*In!L$237:L$249)</f>
        <v>0.2</v>
      </c>
      <c r="J37" s="25" t="n">
        <f aca="false">SUMPRODUCT((In!$H$237:$H$249="neo")*(In!$I$237:$I$249="oth")*((In!$J$237:$J$249="比")*$M37+(In!$J$237:$J$249&lt;&gt;"比"))*In!L$237:L$249)</f>
        <v>0</v>
      </c>
      <c r="K37" s="25" t="n">
        <f aca="false">$M37-SUM(C37:J37)</f>
        <v>1.1</v>
      </c>
      <c r="L37" s="25" t="n">
        <f aca="false">SUM(C37:K37)</f>
        <v>1.3</v>
      </c>
      <c r="M37" s="28" t="n">
        <f aca="false">N(Players!G239)</f>
        <v>1.3</v>
      </c>
      <c r="N37" s="29" t="n">
        <f aca="false">L37-M37</f>
        <v>0</v>
      </c>
    </row>
    <row r="38" customFormat="false" ht="17.15" hidden="false" customHeight="false" outlineLevel="0" collapsed="false">
      <c r="A38" s="5" t="s">
        <v>1701</v>
      </c>
      <c r="B38" s="0" t="s">
        <v>866</v>
      </c>
      <c r="C38" s="25" t="n">
        <f aca="false">SUMPRODUCT((In!$H$237:$H$249="sov")*(In!$I$237:$I$249="self")*((In!$J$237:$J$249="比")*$M38+(In!$J$237:$J$249&lt;&gt;"比"))*In!L$237:L$249)</f>
        <v>0</v>
      </c>
      <c r="D38" s="25" t="n">
        <f aca="false">SUMPRODUCT((In!$H$237:$H$249="sov")*(In!$I$237:$I$249="oai")*((In!$J$237:$J$249="比")*$M38+(In!$J$237:$J$249&lt;&gt;"比"))*In!L$237:L$249)</f>
        <v>0</v>
      </c>
      <c r="E38" s="25" t="n">
        <f aca="false">SUMPRODUCT((In!$H$237:$H$249="sov")*(In!$I$237:$I$249="ant")*((In!$J$237:$J$249="比")*$M38+(In!$J$237:$J$249&lt;&gt;"比"))*In!L$237:L$249)</f>
        <v>0</v>
      </c>
      <c r="F38" s="25" t="n">
        <f aca="false">SUMPRODUCT((In!$H$237:$H$249="sov")*(In!$I$237:$I$249="xai")*((In!$J$237:$J$249="比")*$M38+(In!$J$237:$J$249&lt;&gt;"比"))*In!L$237:L$249)</f>
        <v>0</v>
      </c>
      <c r="G38" s="25" t="n">
        <f aca="false">SUMPRODUCT((In!$H$237:$H$249="sov")*(In!$I$237:$I$249="meta")*((In!$J$237:$J$249="比")*$M38+(In!$J$237:$J$249&lt;&gt;"比"))*In!L$237:L$249)</f>
        <v>0</v>
      </c>
      <c r="H38" s="25" t="n">
        <f aca="false">SUMPRODUCT((In!$H$237:$H$249="sov")*(In!$I$237:$I$249="googl")*((In!$J$237:$J$249="比")*$M38+(In!$J$237:$J$249&lt;&gt;"比"))*In!L$237:L$249)</f>
        <v>0</v>
      </c>
      <c r="I38" s="25" t="n">
        <f aca="false">SUMPRODUCT((In!$H$237:$H$249="sov")*(In!$I$237:$I$249="msft")*((In!$J$237:$J$249="比")*$M38+(In!$J$237:$J$249&lt;&gt;"比"))*In!L$237:L$249)</f>
        <v>0</v>
      </c>
      <c r="J38" s="25" t="n">
        <f aca="false">SUMPRODUCT((In!$H$237:$H$249="sov")*(In!$I$237:$I$249="oth")*((In!$J$237:$J$249="比")*$M38+(In!$J$237:$J$249&lt;&gt;"比"))*In!L$237:L$249)</f>
        <v>0</v>
      </c>
      <c r="K38" s="25" t="n">
        <f aca="false">$M38-SUM(C38:J38)</f>
        <v>0.4</v>
      </c>
      <c r="L38" s="25" t="n">
        <f aca="false">SUM(C38:K38)</f>
        <v>0.4</v>
      </c>
      <c r="M38" s="28" t="n">
        <f aca="false">N(Players!G258)</f>
        <v>0.4</v>
      </c>
      <c r="N38" s="29" t="n">
        <f aca="false">L38-M38</f>
        <v>0</v>
      </c>
    </row>
    <row r="39" customFormat="false" ht="17.15" hidden="false" customHeight="false" outlineLevel="0" collapsed="false">
      <c r="A39" s="5" t="s">
        <v>1702</v>
      </c>
      <c r="B39" s="0" t="s">
        <v>774</v>
      </c>
      <c r="C39" s="25" t="n">
        <f aca="false">SUMPRODUCT((In!$H$237:$H$249="cn")*(In!$I$237:$I$249="self")*((In!$J$237:$J$249="比")*$M39+(In!$J$237:$J$249&lt;&gt;"比"))*In!L$237:L$249)</f>
        <v>11.6666666666667</v>
      </c>
      <c r="D39" s="25" t="n">
        <f aca="false">SUMPRODUCT((In!$H$237:$H$249="cn")*(In!$I$237:$I$249="oai")*((In!$J$237:$J$249="比")*$M39+(In!$J$237:$J$249&lt;&gt;"比"))*In!L$237:L$249)</f>
        <v>0</v>
      </c>
      <c r="E39" s="25" t="n">
        <f aca="false">SUMPRODUCT((In!$H$237:$H$249="cn")*(In!$I$237:$I$249="ant")*((In!$J$237:$J$249="比")*$M39+(In!$J$237:$J$249&lt;&gt;"比"))*In!L$237:L$249)</f>
        <v>0</v>
      </c>
      <c r="F39" s="25" t="n">
        <f aca="false">SUMPRODUCT((In!$H$237:$H$249="cn")*(In!$I$237:$I$249="xai")*((In!$J$237:$J$249="比")*$M39+(In!$J$237:$J$249&lt;&gt;"比"))*In!L$237:L$249)</f>
        <v>0</v>
      </c>
      <c r="G39" s="25" t="n">
        <f aca="false">SUMPRODUCT((In!$H$237:$H$249="cn")*(In!$I$237:$I$249="meta")*((In!$J$237:$J$249="比")*$M39+(In!$J$237:$J$249&lt;&gt;"比"))*In!L$237:L$249)</f>
        <v>0</v>
      </c>
      <c r="H39" s="25" t="n">
        <f aca="false">SUMPRODUCT((In!$H$237:$H$249="cn")*(In!$I$237:$I$249="googl")*((In!$J$237:$J$249="比")*$M39+(In!$J$237:$J$249&lt;&gt;"比"))*In!L$237:L$249)</f>
        <v>0</v>
      </c>
      <c r="I39" s="25" t="n">
        <f aca="false">SUMPRODUCT((In!$H$237:$H$249="cn")*(In!$I$237:$I$249="msft")*((In!$J$237:$J$249="比")*$M39+(In!$J$237:$J$249&lt;&gt;"比"))*In!L$237:L$249)</f>
        <v>0</v>
      </c>
      <c r="J39" s="25" t="n">
        <f aca="false">SUMPRODUCT((In!$H$237:$H$249="cn")*(In!$I$237:$I$249="oth")*((In!$J$237:$J$249="比")*$M39+(In!$J$237:$J$249&lt;&gt;"比"))*In!L$237:L$249)</f>
        <v>0</v>
      </c>
      <c r="K39" s="25" t="n">
        <f aca="false">$M39-SUM(C39:J39)</f>
        <v>0</v>
      </c>
      <c r="L39" s="25" t="n">
        <f aca="false">SUM(C39:K39)</f>
        <v>11.6666666666667</v>
      </c>
      <c r="M39" s="28" t="n">
        <f aca="false">N(Players!G277)</f>
        <v>11.6666666666667</v>
      </c>
      <c r="N39" s="29" t="n">
        <f aca="false">L39-M39</f>
        <v>0</v>
      </c>
    </row>
    <row r="40" customFormat="false" ht="17.15" hidden="false" customHeight="false" outlineLevel="0" collapsed="false">
      <c r="A40" s="5" t="s">
        <v>1703</v>
      </c>
      <c r="B40" s="0" t="s">
        <v>959</v>
      </c>
      <c r="C40" s="25" t="n">
        <f aca="false">SUMPRODUCT((In!$H$237:$H$249="oth")*(In!$I$237:$I$249="self")*((In!$J$237:$J$249="比")*$M40+(In!$J$237:$J$249&lt;&gt;"比"))*In!L$237:L$249)</f>
        <v>0</v>
      </c>
      <c r="D40" s="25" t="n">
        <f aca="false">SUMPRODUCT((In!$H$237:$H$249="oth")*(In!$I$237:$I$249="oai")*((In!$J$237:$J$249="比")*$M40+(In!$J$237:$J$249&lt;&gt;"比"))*In!L$237:L$249)</f>
        <v>0</v>
      </c>
      <c r="E40" s="25" t="n">
        <f aca="false">SUMPRODUCT((In!$H$237:$H$249="oth")*(In!$I$237:$I$249="ant")*((In!$J$237:$J$249="比")*$M40+(In!$J$237:$J$249&lt;&gt;"比"))*In!L$237:L$249)</f>
        <v>0</v>
      </c>
      <c r="F40" s="25" t="n">
        <f aca="false">SUMPRODUCT((In!$H$237:$H$249="oth")*(In!$I$237:$I$249="xai")*((In!$J$237:$J$249="比")*$M40+(In!$J$237:$J$249&lt;&gt;"比"))*In!L$237:L$249)</f>
        <v>0</v>
      </c>
      <c r="G40" s="25" t="n">
        <f aca="false">SUMPRODUCT((In!$H$237:$H$249="oth")*(In!$I$237:$I$249="meta")*((In!$J$237:$J$249="比")*$M40+(In!$J$237:$J$249&lt;&gt;"比"))*In!L$237:L$249)</f>
        <v>0</v>
      </c>
      <c r="H40" s="25" t="n">
        <f aca="false">SUMPRODUCT((In!$H$237:$H$249="oth")*(In!$I$237:$I$249="googl")*((In!$J$237:$J$249="比")*$M40+(In!$J$237:$J$249&lt;&gt;"比"))*In!L$237:L$249)</f>
        <v>0</v>
      </c>
      <c r="I40" s="25" t="n">
        <f aca="false">SUMPRODUCT((In!$H$237:$H$249="oth")*(In!$I$237:$I$249="msft")*((In!$J$237:$J$249="比")*$M40+(In!$J$237:$J$249&lt;&gt;"比"))*In!L$237:L$249)</f>
        <v>0</v>
      </c>
      <c r="J40" s="25" t="n">
        <f aca="false">SUMPRODUCT((In!$H$237:$H$249="oth")*(In!$I$237:$I$249="oth")*((In!$J$237:$J$249="比")*$M40+(In!$J$237:$J$249&lt;&gt;"比"))*In!L$237:L$249)</f>
        <v>0</v>
      </c>
      <c r="K40" s="25" t="n">
        <f aca="false">$M40-SUM(C40:J40)</f>
        <v>1</v>
      </c>
      <c r="L40" s="25" t="n">
        <f aca="false">SUM(C40:K40)</f>
        <v>1</v>
      </c>
      <c r="M40" s="28" t="n">
        <f aca="false">N(Players!G296)</f>
        <v>1</v>
      </c>
      <c r="N40" s="29" t="n">
        <f aca="false">L40-M40</f>
        <v>0</v>
      </c>
    </row>
    <row r="41" customFormat="false" ht="15" hidden="false" customHeight="false" outlineLevel="0" collapsed="false">
      <c r="A41" s="22" t="s">
        <v>1704</v>
      </c>
      <c r="C41" s="25" t="n">
        <f aca="false">SUM(C26:C40)</f>
        <v>17.9269420560748</v>
      </c>
      <c r="D41" s="25" t="n">
        <f aca="false">SUM(D26:D40)</f>
        <v>0.824</v>
      </c>
      <c r="E41" s="25" t="n">
        <f aca="false">SUM(E26:E40)</f>
        <v>2.037</v>
      </c>
      <c r="F41" s="25" t="n">
        <f aca="false">SUM(F26:F40)</f>
        <v>0</v>
      </c>
      <c r="G41" s="25" t="n">
        <f aca="false">SUM(G26:G40)</f>
        <v>3.152595</v>
      </c>
      <c r="H41" s="25" t="n">
        <f aca="false">SUM(H26:H40)</f>
        <v>0.19</v>
      </c>
      <c r="I41" s="25" t="n">
        <f aca="false">SUM(I26:I40)</f>
        <v>0.2</v>
      </c>
      <c r="J41" s="25" t="n">
        <f aca="false">SUM(J26:J40)</f>
        <v>0</v>
      </c>
      <c r="K41" s="25" t="n">
        <f aca="false">SUM(K26:K40)</f>
        <v>13.5219777383178</v>
      </c>
      <c r="L41" s="25" t="n">
        <f aca="false">SUM(L26:L40)</f>
        <v>37.8525147943925</v>
      </c>
      <c r="M41" s="25" t="n">
        <f aca="false">SUM(M26:M40)</f>
        <v>37.8525147943925</v>
      </c>
      <c r="N41" s="25" t="n">
        <f aca="false">SUM(N26:N40)</f>
        <v>0</v>
      </c>
    </row>
    <row r="42" customFormat="false" ht="17.15" hidden="false" customHeight="false" outlineLevel="0" collapsed="false">
      <c r="A42" s="5" t="s">
        <v>1705</v>
      </c>
      <c r="D42" s="25" t="n">
        <f aca="false">IF(In!K156="","",IF(In!$C$156="設施",In!K156/Players!G$13,In!K156))</f>
        <v>5</v>
      </c>
      <c r="L42" s="30" t="n">
        <f aca="false">IF(OR(D42="",N(D42)=0),"",D41/D42)</f>
        <v>0.1648</v>
      </c>
      <c r="M42" s="5" t="s">
        <v>1706</v>
      </c>
    </row>
    <row r="43" customFormat="false" ht="17.15" hidden="false" customHeight="false" outlineLevel="0" collapsed="false">
      <c r="A43" s="5" t="s">
        <v>1707</v>
      </c>
      <c r="E43" s="25" t="n">
        <f aca="false">IF(In!K157="","",IF(In!$C$157="設施",In!K157/Players!G$13,In!K157))</f>
        <v>5</v>
      </c>
      <c r="L43" s="30" t="n">
        <f aca="false">IF(OR(E43="",N(E43)=0),"",E41/E43)</f>
        <v>0.4074</v>
      </c>
      <c r="M43" s="5" t="s">
        <v>1706</v>
      </c>
    </row>
    <row r="45" customFormat="false" ht="17.15" hidden="false" customHeight="false" outlineLevel="0" collapsed="false">
      <c r="A45" s="8" t="s">
        <v>1709</v>
      </c>
    </row>
    <row r="46" customFormat="false" ht="17.15" hidden="false" customHeight="false" outlineLevel="0" collapsed="false">
      <c r="A46" s="6" t="s">
        <v>721</v>
      </c>
      <c r="B46" s="6" t="s">
        <v>19</v>
      </c>
      <c r="C46" s="6" t="s">
        <v>1681</v>
      </c>
      <c r="D46" s="7" t="s">
        <v>1682</v>
      </c>
      <c r="E46" s="7" t="s">
        <v>1683</v>
      </c>
      <c r="F46" s="7" t="s">
        <v>1684</v>
      </c>
      <c r="G46" s="7" t="s">
        <v>1429</v>
      </c>
      <c r="H46" s="7" t="s">
        <v>1685</v>
      </c>
      <c r="I46" s="7" t="s">
        <v>1686</v>
      </c>
      <c r="J46" s="6" t="s">
        <v>1687</v>
      </c>
      <c r="K46" s="6" t="s">
        <v>1688</v>
      </c>
      <c r="L46" s="6" t="s">
        <v>1689</v>
      </c>
      <c r="M46" s="7" t="s">
        <v>1690</v>
      </c>
      <c r="N46" s="6" t="s">
        <v>1691</v>
      </c>
    </row>
    <row r="47" customFormat="false" ht="17.15" hidden="false" customHeight="false" outlineLevel="0" collapsed="false">
      <c r="A47" s="0" t="s">
        <v>1692</v>
      </c>
      <c r="B47" s="0" t="s">
        <v>728</v>
      </c>
      <c r="C47" s="25" t="n">
        <f aca="false">SUMPRODUCT((In!$H$237:$H$249="msft")*(In!$I$237:$I$249="self")*((In!$J$237:$J$249="比")*$M47+(In!$J$237:$J$249&lt;&gt;"比"))*In!M$237:M$249)</f>
        <v>2.216</v>
      </c>
      <c r="D47" s="25" t="n">
        <f aca="false">SUMPRODUCT((In!$H$237:$H$249="msft")*(In!$I$237:$I$249="oai")*((In!$J$237:$J$249="比")*$M47+(In!$J$237:$J$249&lt;&gt;"比"))*In!M$237:M$249)</f>
        <v>0</v>
      </c>
      <c r="E47" s="25" t="n">
        <f aca="false">SUMPRODUCT((In!$H$237:$H$249="msft")*(In!$I$237:$I$249="ant")*((In!$J$237:$J$249="比")*$M47+(In!$J$237:$J$249&lt;&gt;"比"))*In!M$237:M$249)</f>
        <v>0</v>
      </c>
      <c r="F47" s="25" t="n">
        <f aca="false">SUMPRODUCT((In!$H$237:$H$249="msft")*(In!$I$237:$I$249="xai")*((In!$J$237:$J$249="比")*$M47+(In!$J$237:$J$249&lt;&gt;"比"))*In!M$237:M$249)</f>
        <v>0</v>
      </c>
      <c r="G47" s="25" t="n">
        <f aca="false">SUMPRODUCT((In!$H$237:$H$249="msft")*(In!$I$237:$I$249="meta")*((In!$J$237:$J$249="比")*$M47+(In!$J$237:$J$249&lt;&gt;"比"))*In!M$237:M$249)</f>
        <v>0</v>
      </c>
      <c r="H47" s="25" t="n">
        <f aca="false">SUMPRODUCT((In!$H$237:$H$249="msft")*(In!$I$237:$I$249="googl")*((In!$J$237:$J$249="比")*$M47+(In!$J$237:$J$249&lt;&gt;"比"))*In!M$237:M$249)</f>
        <v>0</v>
      </c>
      <c r="I47" s="25" t="n">
        <f aca="false">SUMPRODUCT((In!$H$237:$H$249="msft")*(In!$I$237:$I$249="msft")*((In!$J$237:$J$249="比")*$M47+(In!$J$237:$J$249&lt;&gt;"比"))*In!M$237:M$249)</f>
        <v>0</v>
      </c>
      <c r="J47" s="25" t="n">
        <f aca="false">SUMPRODUCT((In!$H$237:$H$249="msft")*(In!$I$237:$I$249="oth")*((In!$J$237:$J$249="比")*$M47+(In!$J$237:$J$249&lt;&gt;"比"))*In!M$237:M$249)</f>
        <v>0</v>
      </c>
      <c r="K47" s="25" t="n">
        <f aca="false">$M47-SUM(C47:J47)</f>
        <v>3.324</v>
      </c>
      <c r="L47" s="25" t="n">
        <f aca="false">SUM(C47:K47)</f>
        <v>5.54</v>
      </c>
      <c r="M47" s="28" t="n">
        <f aca="false">N(Players!H30)</f>
        <v>5.54</v>
      </c>
      <c r="N47" s="29" t="n">
        <f aca="false">L47-M47</f>
        <v>0</v>
      </c>
    </row>
    <row r="48" customFormat="false" ht="17.15" hidden="false" customHeight="false" outlineLevel="0" collapsed="false">
      <c r="A48" s="0" t="s">
        <v>1693</v>
      </c>
      <c r="B48" s="0" t="s">
        <v>733</v>
      </c>
      <c r="C48" s="25" t="n">
        <f aca="false">SUMPRODUCT((In!$H$237:$H$249="googl")*(In!$I$237:$I$249="self")*((In!$J$237:$J$249="比")*$M48+(In!$J$237:$J$249&lt;&gt;"比"))*In!M$237:M$249)</f>
        <v>5.0530753894081</v>
      </c>
      <c r="D48" s="25" t="n">
        <f aca="false">SUMPRODUCT((In!$H$237:$H$249="googl")*(In!$I$237:$I$249="oai")*((In!$J$237:$J$249="比")*$M48+(In!$J$237:$J$249&lt;&gt;"比"))*In!M$237:M$249)</f>
        <v>0</v>
      </c>
      <c r="E48" s="25" t="n">
        <f aca="false">SUMPRODUCT((In!$H$237:$H$249="googl")*(In!$I$237:$I$249="ant")*((In!$J$237:$J$249="比")*$M48+(In!$J$237:$J$249&lt;&gt;"比"))*In!M$237:M$249)</f>
        <v>1</v>
      </c>
      <c r="F48" s="25" t="n">
        <f aca="false">SUMPRODUCT((In!$H$237:$H$249="googl")*(In!$I$237:$I$249="xai")*((In!$J$237:$J$249="比")*$M48+(In!$J$237:$J$249&lt;&gt;"比"))*In!M$237:M$249)</f>
        <v>0</v>
      </c>
      <c r="G48" s="25" t="n">
        <f aca="false">SUMPRODUCT((In!$H$237:$H$249="googl")*(In!$I$237:$I$249="meta")*((In!$J$237:$J$249="比")*$M48+(In!$J$237:$J$249&lt;&gt;"比"))*In!M$237:M$249)</f>
        <v>0</v>
      </c>
      <c r="H48" s="25" t="n">
        <f aca="false">SUMPRODUCT((In!$H$237:$H$249="googl")*(In!$I$237:$I$249="googl")*((In!$J$237:$J$249="比")*$M48+(In!$J$237:$J$249&lt;&gt;"比"))*In!M$237:M$249)</f>
        <v>0</v>
      </c>
      <c r="I48" s="25" t="n">
        <f aca="false">SUMPRODUCT((In!$H$237:$H$249="googl")*(In!$I$237:$I$249="msft")*((In!$J$237:$J$249="比")*$M48+(In!$J$237:$J$249&lt;&gt;"比"))*In!M$237:M$249)</f>
        <v>0</v>
      </c>
      <c r="J48" s="25" t="n">
        <f aca="false">SUMPRODUCT((In!$H$237:$H$249="googl")*(In!$I$237:$I$249="oth")*((In!$J$237:$J$249="比")*$M48+(In!$J$237:$J$249&lt;&gt;"比"))*In!M$237:M$249)</f>
        <v>0</v>
      </c>
      <c r="K48" s="25" t="n">
        <f aca="false">$M48-SUM(C48:J48)</f>
        <v>1.16560373831776</v>
      </c>
      <c r="L48" s="25" t="n">
        <f aca="false">SUM(C48:K48)</f>
        <v>7.21867912772586</v>
      </c>
      <c r="M48" s="28" t="n">
        <f aca="false">N(Players!H49)</f>
        <v>7.21867912772586</v>
      </c>
      <c r="N48" s="29" t="n">
        <f aca="false">L48-M48</f>
        <v>0</v>
      </c>
    </row>
    <row r="49" customFormat="false" ht="17.15" hidden="false" customHeight="false" outlineLevel="0" collapsed="false">
      <c r="A49" s="0" t="s">
        <v>1694</v>
      </c>
      <c r="B49" s="0" t="s">
        <v>741</v>
      </c>
      <c r="C49" s="25" t="n">
        <f aca="false">SUMPRODUCT((In!$H$237:$H$249="amzn")*(In!$I$237:$I$249="self")*((In!$J$237:$J$249="比")*$M49+(In!$J$237:$J$249&lt;&gt;"比"))*In!M$237:M$249)</f>
        <v>0.6182</v>
      </c>
      <c r="D49" s="25" t="n">
        <f aca="false">SUMPRODUCT((In!$H$237:$H$249="amzn")*(In!$I$237:$I$249="oai")*((In!$J$237:$J$249="比")*$M49+(In!$J$237:$J$249&lt;&gt;"比"))*In!M$237:M$249)</f>
        <v>0</v>
      </c>
      <c r="E49" s="25" t="n">
        <f aca="false">SUMPRODUCT((In!$H$237:$H$249="amzn")*(In!$I$237:$I$249="ant")*((In!$J$237:$J$249="比")*$M49+(In!$J$237:$J$249&lt;&gt;"比"))*In!M$237:M$249)</f>
        <v>1.037</v>
      </c>
      <c r="F49" s="25" t="n">
        <f aca="false">SUMPRODUCT((In!$H$237:$H$249="amzn")*(In!$I$237:$I$249="xai")*((In!$J$237:$J$249="比")*$M49+(In!$J$237:$J$249&lt;&gt;"比"))*In!M$237:M$249)</f>
        <v>0</v>
      </c>
      <c r="G49" s="25" t="n">
        <f aca="false">SUMPRODUCT((In!$H$237:$H$249="amzn")*(In!$I$237:$I$249="meta")*((In!$J$237:$J$249="比")*$M49+(In!$J$237:$J$249&lt;&gt;"比"))*In!M$237:M$249)</f>
        <v>0</v>
      </c>
      <c r="H49" s="25" t="n">
        <f aca="false">SUMPRODUCT((In!$H$237:$H$249="amzn")*(In!$I$237:$I$249="googl")*((In!$J$237:$J$249="比")*$M49+(In!$J$237:$J$249&lt;&gt;"比"))*In!M$237:M$249)</f>
        <v>0</v>
      </c>
      <c r="I49" s="25" t="n">
        <f aca="false">SUMPRODUCT((In!$H$237:$H$249="amzn")*(In!$I$237:$I$249="msft")*((In!$J$237:$J$249="比")*$M49+(In!$J$237:$J$249&lt;&gt;"比"))*In!M$237:M$249)</f>
        <v>0</v>
      </c>
      <c r="J49" s="25" t="n">
        <f aca="false">SUMPRODUCT((In!$H$237:$H$249="amzn")*(In!$I$237:$I$249="oth")*((In!$J$237:$J$249="比")*$M49+(In!$J$237:$J$249&lt;&gt;"比"))*In!M$237:M$249)</f>
        <v>0</v>
      </c>
      <c r="K49" s="25" t="n">
        <f aca="false">$M49-SUM(C49:J49)</f>
        <v>1.4358</v>
      </c>
      <c r="L49" s="25" t="n">
        <f aca="false">SUM(C49:K49)</f>
        <v>3.091</v>
      </c>
      <c r="M49" s="28" t="n">
        <f aca="false">N(Players!H68)</f>
        <v>3.091</v>
      </c>
      <c r="N49" s="29" t="n">
        <f aca="false">L49-M49</f>
        <v>0</v>
      </c>
    </row>
    <row r="50" customFormat="false" ht="15" hidden="false" customHeight="false" outlineLevel="0" collapsed="false">
      <c r="A50" s="0" t="s">
        <v>1429</v>
      </c>
      <c r="B50" s="0" t="s">
        <v>748</v>
      </c>
      <c r="C50" s="25" t="n">
        <f aca="false">SUMPRODUCT((In!$H$237:$H$249="meta")*(In!$I$237:$I$249="self")*((In!$J$237:$J$249="比")*$M50+(In!$J$237:$J$249&lt;&gt;"比"))*In!M$237:M$249)</f>
        <v>0</v>
      </c>
      <c r="D50" s="25" t="n">
        <f aca="false">SUMPRODUCT((In!$H$237:$H$249="meta")*(In!$I$237:$I$249="oai")*((In!$J$237:$J$249="比")*$M50+(In!$J$237:$J$249&lt;&gt;"比"))*In!M$237:M$249)</f>
        <v>0</v>
      </c>
      <c r="E50" s="25" t="n">
        <f aca="false">SUMPRODUCT((In!$H$237:$H$249="meta")*(In!$I$237:$I$249="ant")*((In!$J$237:$J$249="比")*$M50+(In!$J$237:$J$249&lt;&gt;"比"))*In!M$237:M$249)</f>
        <v>0</v>
      </c>
      <c r="F50" s="25" t="n">
        <f aca="false">SUMPRODUCT((In!$H$237:$H$249="meta")*(In!$I$237:$I$249="xai")*((In!$J$237:$J$249="比")*$M50+(In!$J$237:$J$249&lt;&gt;"比"))*In!M$237:M$249)</f>
        <v>0</v>
      </c>
      <c r="G50" s="25" t="n">
        <f aca="false">SUMPRODUCT((In!$H$237:$H$249="meta")*(In!$I$237:$I$249="meta")*((In!$J$237:$J$249="比")*$M50+(In!$J$237:$J$249&lt;&gt;"比"))*In!M$237:M$249)</f>
        <v>3.767595</v>
      </c>
      <c r="H50" s="25" t="n">
        <f aca="false">SUMPRODUCT((In!$H$237:$H$249="meta")*(In!$I$237:$I$249="googl")*((In!$J$237:$J$249="比")*$M50+(In!$J$237:$J$249&lt;&gt;"比"))*In!M$237:M$249)</f>
        <v>0</v>
      </c>
      <c r="I50" s="25" t="n">
        <f aca="false">SUMPRODUCT((In!$H$237:$H$249="meta")*(In!$I$237:$I$249="msft")*((In!$J$237:$J$249="比")*$M50+(In!$J$237:$J$249&lt;&gt;"比"))*In!M$237:M$249)</f>
        <v>0</v>
      </c>
      <c r="J50" s="25" t="n">
        <f aca="false">SUMPRODUCT((In!$H$237:$H$249="meta")*(In!$I$237:$I$249="oth")*((In!$J$237:$J$249="比")*$M50+(In!$J$237:$J$249&lt;&gt;"比"))*In!M$237:M$249)</f>
        <v>0</v>
      </c>
      <c r="K50" s="25" t="n">
        <f aca="false">$M50-SUM(C50:J50)</f>
        <v>0</v>
      </c>
      <c r="L50" s="25" t="n">
        <f aca="false">SUM(C50:K50)</f>
        <v>3.767595</v>
      </c>
      <c r="M50" s="28" t="n">
        <f aca="false">N(Players!H87)</f>
        <v>3.767595</v>
      </c>
      <c r="N50" s="29" t="n">
        <f aca="false">L50-M50</f>
        <v>0</v>
      </c>
    </row>
    <row r="51" customFormat="false" ht="17.15" hidden="false" customHeight="false" outlineLevel="0" collapsed="false">
      <c r="A51" s="0" t="s">
        <v>1695</v>
      </c>
      <c r="B51" s="0" t="s">
        <v>752</v>
      </c>
      <c r="C51" s="25" t="n">
        <f aca="false">SUMPRODUCT((In!$H$237:$H$249="orcl")*(In!$I$237:$I$249="self")*((In!$J$237:$J$249="比")*$M51+(In!$J$237:$J$249&lt;&gt;"比"))*In!M$237:M$249)</f>
        <v>0</v>
      </c>
      <c r="D51" s="25" t="n">
        <f aca="false">SUMPRODUCT((In!$H$237:$H$249="orcl")*(In!$I$237:$I$249="oai")*((In!$J$237:$J$249="比")*$M51+(In!$J$237:$J$249&lt;&gt;"比"))*In!M$237:M$249)</f>
        <v>0.991</v>
      </c>
      <c r="E51" s="25" t="n">
        <f aca="false">SUMPRODUCT((In!$H$237:$H$249="orcl")*(In!$I$237:$I$249="ant")*((In!$J$237:$J$249="比")*$M51+(In!$J$237:$J$249&lt;&gt;"比"))*In!M$237:M$249)</f>
        <v>0</v>
      </c>
      <c r="F51" s="25" t="n">
        <f aca="false">SUMPRODUCT((In!$H$237:$H$249="orcl")*(In!$I$237:$I$249="xai")*((In!$J$237:$J$249="比")*$M51+(In!$J$237:$J$249&lt;&gt;"比"))*In!M$237:M$249)</f>
        <v>0</v>
      </c>
      <c r="G51" s="25" t="n">
        <f aca="false">SUMPRODUCT((In!$H$237:$H$249="orcl")*(In!$I$237:$I$249="meta")*((In!$J$237:$J$249="比")*$M51+(In!$J$237:$J$249&lt;&gt;"比"))*In!M$237:M$249)</f>
        <v>0</v>
      </c>
      <c r="H51" s="25" t="n">
        <f aca="false">SUMPRODUCT((In!$H$237:$H$249="orcl")*(In!$I$237:$I$249="googl")*((In!$J$237:$J$249="比")*$M51+(In!$J$237:$J$249&lt;&gt;"比"))*In!M$237:M$249)</f>
        <v>0</v>
      </c>
      <c r="I51" s="25" t="n">
        <f aca="false">SUMPRODUCT((In!$H$237:$H$249="orcl")*(In!$I$237:$I$249="msft")*((In!$J$237:$J$249="比")*$M51+(In!$J$237:$J$249&lt;&gt;"比"))*In!M$237:M$249)</f>
        <v>0</v>
      </c>
      <c r="J51" s="25" t="n">
        <f aca="false">SUMPRODUCT((In!$H$237:$H$249="orcl")*(In!$I$237:$I$249="oth")*((In!$J$237:$J$249="比")*$M51+(In!$J$237:$J$249&lt;&gt;"比"))*In!M$237:M$249)</f>
        <v>0</v>
      </c>
      <c r="K51" s="25" t="n">
        <f aca="false">$M51-SUM(C51:J51)</f>
        <v>2.70216666666667</v>
      </c>
      <c r="L51" s="25" t="n">
        <f aca="false">SUM(C51:K51)</f>
        <v>3.69316666666667</v>
      </c>
      <c r="M51" s="28" t="n">
        <f aca="false">N(Players!H106)</f>
        <v>3.69316666666667</v>
      </c>
      <c r="N51" s="29" t="n">
        <f aca="false">L51-M51</f>
        <v>0</v>
      </c>
    </row>
    <row r="52" customFormat="false" ht="15" hidden="false" customHeight="false" outlineLevel="0" collapsed="false">
      <c r="A52" s="0" t="s">
        <v>1467</v>
      </c>
      <c r="B52" s="0" t="s">
        <v>842</v>
      </c>
      <c r="C52" s="25" t="n">
        <f aca="false">SUMPRODUCT((In!$H$237:$H$249="crwv")*(In!$I$237:$I$249="self")*((In!$J$237:$J$249="比")*$M52+(In!$J$237:$J$249&lt;&gt;"比"))*In!M$237:M$249)</f>
        <v>0</v>
      </c>
      <c r="D52" s="25" t="n">
        <f aca="false">SUMPRODUCT((In!$H$237:$H$249="crwv")*(In!$I$237:$I$249="oai")*((In!$J$237:$J$249="比")*$M52+(In!$J$237:$J$249&lt;&gt;"比"))*In!M$237:M$249)</f>
        <v>0</v>
      </c>
      <c r="E52" s="25" t="n">
        <f aca="false">SUMPRODUCT((In!$H$237:$H$249="crwv")*(In!$I$237:$I$249="ant")*((In!$J$237:$J$249="比")*$M52+(In!$J$237:$J$249&lt;&gt;"比"))*In!M$237:M$249)</f>
        <v>0</v>
      </c>
      <c r="F52" s="25" t="n">
        <f aca="false">SUMPRODUCT((In!$H$237:$H$249="crwv")*(In!$I$237:$I$249="xai")*((In!$J$237:$J$249="比")*$M52+(In!$J$237:$J$249&lt;&gt;"比"))*In!M$237:M$249)</f>
        <v>0</v>
      </c>
      <c r="G52" s="25" t="n">
        <f aca="false">SUMPRODUCT((In!$H$237:$H$249="crwv")*(In!$I$237:$I$249="meta")*((In!$J$237:$J$249="比")*$M52+(In!$J$237:$J$249&lt;&gt;"比"))*In!M$237:M$249)</f>
        <v>0</v>
      </c>
      <c r="H52" s="25" t="n">
        <f aca="false">SUMPRODUCT((In!$H$237:$H$249="crwv")*(In!$I$237:$I$249="googl")*((In!$J$237:$J$249="比")*$M52+(In!$J$237:$J$249&lt;&gt;"比"))*In!M$237:M$249)</f>
        <v>0</v>
      </c>
      <c r="I52" s="25" t="n">
        <f aca="false">SUMPRODUCT((In!$H$237:$H$249="crwv")*(In!$I$237:$I$249="msft")*((In!$J$237:$J$249="比")*$M52+(In!$J$237:$J$249&lt;&gt;"比"))*In!M$237:M$249)</f>
        <v>0</v>
      </c>
      <c r="J52" s="25" t="n">
        <f aca="false">SUMPRODUCT((In!$H$237:$H$249="crwv")*(In!$I$237:$I$249="oth")*((In!$J$237:$J$249="比")*$M52+(In!$J$237:$J$249&lt;&gt;"比"))*In!M$237:M$249)</f>
        <v>0</v>
      </c>
      <c r="K52" s="25" t="n">
        <f aca="false">$M52-SUM(C52:J52)</f>
        <v>3.3875</v>
      </c>
      <c r="L52" s="25" t="n">
        <f aca="false">SUM(C52:K52)</f>
        <v>3.3875</v>
      </c>
      <c r="M52" s="28" t="n">
        <f aca="false">N(Players!H125)</f>
        <v>3.3875</v>
      </c>
      <c r="N52" s="29" t="n">
        <f aca="false">L52-M52</f>
        <v>0</v>
      </c>
    </row>
    <row r="53" customFormat="false" ht="15" hidden="false" customHeight="false" outlineLevel="0" collapsed="false">
      <c r="A53" s="0" t="s">
        <v>1486</v>
      </c>
      <c r="B53" s="0" t="s">
        <v>873</v>
      </c>
      <c r="C53" s="25" t="n">
        <f aca="false">SUMPRODUCT((In!$H$237:$H$249="nbis")*(In!$I$237:$I$249="self")*((In!$J$237:$J$249="比")*$M53+(In!$J$237:$J$249&lt;&gt;"比"))*In!M$237:M$249)</f>
        <v>0</v>
      </c>
      <c r="D53" s="25" t="n">
        <f aca="false">SUMPRODUCT((In!$H$237:$H$249="nbis")*(In!$I$237:$I$249="oai")*((In!$J$237:$J$249="比")*$M53+(In!$J$237:$J$249&lt;&gt;"比"))*In!M$237:M$249)</f>
        <v>0</v>
      </c>
      <c r="E53" s="25" t="n">
        <f aca="false">SUMPRODUCT((In!$H$237:$H$249="nbis")*(In!$I$237:$I$249="ant")*((In!$J$237:$J$249="比")*$M53+(In!$J$237:$J$249&lt;&gt;"比"))*In!M$237:M$249)</f>
        <v>0</v>
      </c>
      <c r="F53" s="25" t="n">
        <f aca="false">SUMPRODUCT((In!$H$237:$H$249="nbis")*(In!$I$237:$I$249="xai")*((In!$J$237:$J$249="比")*$M53+(In!$J$237:$J$249&lt;&gt;"比"))*In!M$237:M$249)</f>
        <v>0</v>
      </c>
      <c r="G53" s="25" t="n">
        <f aca="false">SUMPRODUCT((In!$H$237:$H$249="nbis")*(In!$I$237:$I$249="meta")*((In!$J$237:$J$249="比")*$M53+(In!$J$237:$J$249&lt;&gt;"比"))*In!M$237:M$249)</f>
        <v>0</v>
      </c>
      <c r="H53" s="25" t="n">
        <f aca="false">SUMPRODUCT((In!$H$237:$H$249="nbis")*(In!$I$237:$I$249="googl")*((In!$J$237:$J$249="比")*$M53+(In!$J$237:$J$249&lt;&gt;"比"))*In!M$237:M$249)</f>
        <v>0</v>
      </c>
      <c r="I53" s="25" t="n">
        <f aca="false">SUMPRODUCT((In!$H$237:$H$249="nbis")*(In!$I$237:$I$249="msft")*((In!$J$237:$J$249="比")*$M53+(In!$J$237:$J$249&lt;&gt;"比"))*In!M$237:M$249)</f>
        <v>0</v>
      </c>
      <c r="J53" s="25" t="n">
        <f aca="false">SUMPRODUCT((In!$H$237:$H$249="nbis")*(In!$I$237:$I$249="oth")*((In!$J$237:$J$249="比")*$M53+(In!$J$237:$J$249&lt;&gt;"比"))*In!M$237:M$249)</f>
        <v>0</v>
      </c>
      <c r="K53" s="25" t="n">
        <f aca="false">$M53-SUM(C53:J53)</f>
        <v>1.303</v>
      </c>
      <c r="L53" s="25" t="n">
        <f aca="false">SUM(C53:K53)</f>
        <v>1.303</v>
      </c>
      <c r="M53" s="28" t="n">
        <f aca="false">N(Players!H144)</f>
        <v>1.303</v>
      </c>
      <c r="N53" s="29" t="n">
        <f aca="false">L53-M53</f>
        <v>0</v>
      </c>
    </row>
    <row r="54" customFormat="false" ht="17.15" hidden="false" customHeight="false" outlineLevel="0" collapsed="false">
      <c r="A54" s="0" t="s">
        <v>1696</v>
      </c>
      <c r="B54" s="0" t="s">
        <v>1506</v>
      </c>
      <c r="C54" s="25" t="n">
        <f aca="false">SUMPRODUCT((In!$H$237:$H$249="wyfi")*(In!$I$237:$I$249="self")*((In!$J$237:$J$249="比")*$M54+(In!$J$237:$J$249&lt;&gt;"比"))*In!M$237:M$249)</f>
        <v>0</v>
      </c>
      <c r="D54" s="25" t="n">
        <f aca="false">SUMPRODUCT((In!$H$237:$H$249="wyfi")*(In!$I$237:$I$249="oai")*((In!$J$237:$J$249="比")*$M54+(In!$J$237:$J$249&lt;&gt;"比"))*In!M$237:M$249)</f>
        <v>0</v>
      </c>
      <c r="E54" s="25" t="n">
        <f aca="false">SUMPRODUCT((In!$H$237:$H$249="wyfi")*(In!$I$237:$I$249="ant")*((In!$J$237:$J$249="比")*$M54+(In!$J$237:$J$249&lt;&gt;"比"))*In!M$237:M$249)</f>
        <v>0</v>
      </c>
      <c r="F54" s="25" t="n">
        <f aca="false">SUMPRODUCT((In!$H$237:$H$249="wyfi")*(In!$I$237:$I$249="xai")*((In!$J$237:$J$249="比")*$M54+(In!$J$237:$J$249&lt;&gt;"比"))*In!M$237:M$249)</f>
        <v>0</v>
      </c>
      <c r="G54" s="25" t="n">
        <f aca="false">SUMPRODUCT((In!$H$237:$H$249="wyfi")*(In!$I$237:$I$249="meta")*((In!$J$237:$J$249="比")*$M54+(In!$J$237:$J$249&lt;&gt;"比"))*In!M$237:M$249)</f>
        <v>0</v>
      </c>
      <c r="H54" s="25" t="n">
        <f aca="false">SUMPRODUCT((In!$H$237:$H$249="wyfi")*(In!$I$237:$I$249="googl")*((In!$J$237:$J$249="比")*$M54+(In!$J$237:$J$249&lt;&gt;"比"))*In!M$237:M$249)</f>
        <v>0</v>
      </c>
      <c r="I54" s="25" t="n">
        <f aca="false">SUMPRODUCT((In!$H$237:$H$249="wyfi")*(In!$I$237:$I$249="msft")*((In!$J$237:$J$249="比")*$M54+(In!$J$237:$J$249&lt;&gt;"比"))*In!M$237:M$249)</f>
        <v>0</v>
      </c>
      <c r="J54" s="25" t="n">
        <f aca="false">SUMPRODUCT((In!$H$237:$H$249="wyfi")*(In!$I$237:$I$249="oth")*((In!$J$237:$J$249="比")*$M54+(In!$J$237:$J$249&lt;&gt;"比"))*In!M$237:M$249)</f>
        <v>0</v>
      </c>
      <c r="K54" s="25" t="n">
        <f aca="false">$M54-SUM(C54:J54)</f>
        <v>0.016548</v>
      </c>
      <c r="L54" s="25" t="n">
        <f aca="false">SUM(C54:K54)</f>
        <v>0.016548</v>
      </c>
      <c r="M54" s="28" t="n">
        <f aca="false">N(Players!H163)</f>
        <v>0.016548</v>
      </c>
      <c r="N54" s="29" t="n">
        <f aca="false">L54-M54</f>
        <v>0</v>
      </c>
    </row>
    <row r="55" customFormat="false" ht="17.15" hidden="false" customHeight="false" outlineLevel="0" collapsed="false">
      <c r="A55" s="0" t="s">
        <v>1697</v>
      </c>
      <c r="B55" s="0" t="s">
        <v>757</v>
      </c>
      <c r="C55" s="25" t="n">
        <f aca="false">SUMPRODUCT((In!$H$237:$H$249="xai")*(In!$I$237:$I$249="self")*((In!$J$237:$J$249="比")*$M55+(In!$J$237:$J$249&lt;&gt;"比"))*In!M$237:M$249)</f>
        <v>0</v>
      </c>
      <c r="D55" s="25" t="n">
        <f aca="false">SUMPRODUCT((In!$H$237:$H$249="xai")*(In!$I$237:$I$249="oai")*((In!$J$237:$J$249="比")*$M55+(In!$J$237:$J$249&lt;&gt;"比"))*In!M$237:M$249)</f>
        <v>0</v>
      </c>
      <c r="E55" s="25" t="n">
        <f aca="false">SUMPRODUCT((In!$H$237:$H$249="xai")*(In!$I$237:$I$249="ant")*((In!$J$237:$J$249="比")*$M55+(In!$J$237:$J$249&lt;&gt;"比"))*In!M$237:M$249)</f>
        <v>0</v>
      </c>
      <c r="F55" s="25" t="n">
        <f aca="false">SUMPRODUCT((In!$H$237:$H$249="xai")*(In!$I$237:$I$249="xai")*((In!$J$237:$J$249="比")*$M55+(In!$J$237:$J$249&lt;&gt;"比"))*In!M$237:M$249)</f>
        <v>0</v>
      </c>
      <c r="G55" s="25" t="n">
        <f aca="false">SUMPRODUCT((In!$H$237:$H$249="xai")*(In!$I$237:$I$249="meta")*((In!$J$237:$J$249="比")*$M55+(In!$J$237:$J$249&lt;&gt;"比"))*In!M$237:M$249)</f>
        <v>0</v>
      </c>
      <c r="H55" s="25" t="n">
        <f aca="false">SUMPRODUCT((In!$H$237:$H$249="xai")*(In!$I$237:$I$249="googl")*((In!$J$237:$J$249="比")*$M55+(In!$J$237:$J$249&lt;&gt;"比"))*In!M$237:M$249)</f>
        <v>0.19</v>
      </c>
      <c r="I55" s="25" t="n">
        <f aca="false">SUMPRODUCT((In!$H$237:$H$249="xai")*(In!$I$237:$I$249="msft")*((In!$J$237:$J$249="比")*$M55+(In!$J$237:$J$249&lt;&gt;"比"))*In!M$237:M$249)</f>
        <v>0</v>
      </c>
      <c r="J55" s="25" t="n">
        <f aca="false">SUMPRODUCT((In!$H$237:$H$249="xai")*(In!$I$237:$I$249="oth")*((In!$J$237:$J$249="比")*$M55+(In!$J$237:$J$249&lt;&gt;"比"))*In!M$237:M$249)</f>
        <v>0</v>
      </c>
      <c r="K55" s="25" t="n">
        <f aca="false">$M55-SUM(C55:J55)</f>
        <v>2.395</v>
      </c>
      <c r="L55" s="25" t="n">
        <f aca="false">SUM(C55:K55)</f>
        <v>2.585</v>
      </c>
      <c r="M55" s="28" t="n">
        <f aca="false">N(Players!H182)</f>
        <v>2.585</v>
      </c>
      <c r="N55" s="29" t="n">
        <f aca="false">L55-M55</f>
        <v>0</v>
      </c>
    </row>
    <row r="56" customFormat="false" ht="17.15" hidden="false" customHeight="false" outlineLevel="0" collapsed="false">
      <c r="A56" s="0" t="s">
        <v>1698</v>
      </c>
      <c r="B56" s="0" t="s">
        <v>753</v>
      </c>
      <c r="C56" s="25" t="n">
        <f aca="false">SUMPRODUCT((In!$H$237:$H$249="oai")*(In!$I$237:$I$249="self")*((In!$J$237:$J$249="比")*$M56+(In!$J$237:$J$249&lt;&gt;"比"))*In!M$237:M$249)</f>
        <v>0</v>
      </c>
      <c r="D56" s="25" t="n">
        <f aca="false">SUMPRODUCT((In!$H$237:$H$249="oai")*(In!$I$237:$I$249="oai")*((In!$J$237:$J$249="比")*$M56+(In!$J$237:$J$249&lt;&gt;"比"))*In!M$237:M$249)</f>
        <v>0.522</v>
      </c>
      <c r="E56" s="25" t="n">
        <f aca="false">SUMPRODUCT((In!$H$237:$H$249="oai")*(In!$I$237:$I$249="ant")*((In!$J$237:$J$249="比")*$M56+(In!$J$237:$J$249&lt;&gt;"比"))*In!M$237:M$249)</f>
        <v>0</v>
      </c>
      <c r="F56" s="25" t="n">
        <f aca="false">SUMPRODUCT((In!$H$237:$H$249="oai")*(In!$I$237:$I$249="xai")*((In!$J$237:$J$249="比")*$M56+(In!$J$237:$J$249&lt;&gt;"比"))*In!M$237:M$249)</f>
        <v>0</v>
      </c>
      <c r="G56" s="25" t="n">
        <f aca="false">SUMPRODUCT((In!$H$237:$H$249="oai")*(In!$I$237:$I$249="meta")*((In!$J$237:$J$249="比")*$M56+(In!$J$237:$J$249&lt;&gt;"比"))*In!M$237:M$249)</f>
        <v>0</v>
      </c>
      <c r="H56" s="25" t="n">
        <f aca="false">SUMPRODUCT((In!$H$237:$H$249="oai")*(In!$I$237:$I$249="googl")*((In!$J$237:$J$249="比")*$M56+(In!$J$237:$J$249&lt;&gt;"比"))*In!M$237:M$249)</f>
        <v>0</v>
      </c>
      <c r="I56" s="25" t="n">
        <f aca="false">SUMPRODUCT((In!$H$237:$H$249="oai")*(In!$I$237:$I$249="msft")*((In!$J$237:$J$249="比")*$M56+(In!$J$237:$J$249&lt;&gt;"比"))*In!M$237:M$249)</f>
        <v>0</v>
      </c>
      <c r="J56" s="25" t="n">
        <f aca="false">SUMPRODUCT((In!$H$237:$H$249="oai")*(In!$I$237:$I$249="oth")*((In!$J$237:$J$249="比")*$M56+(In!$J$237:$J$249&lt;&gt;"比"))*In!M$237:M$249)</f>
        <v>0</v>
      </c>
      <c r="K56" s="25" t="n">
        <f aca="false">$M56-SUM(C56:J56)</f>
        <v>0</v>
      </c>
      <c r="L56" s="25" t="n">
        <f aca="false">SUM(C56:K56)</f>
        <v>0.522</v>
      </c>
      <c r="M56" s="28" t="n">
        <f aca="false">N(Players!H201)</f>
        <v>0.522</v>
      </c>
      <c r="N56" s="29" t="n">
        <f aca="false">L56-M56</f>
        <v>0</v>
      </c>
    </row>
    <row r="57" customFormat="false" ht="17.15" hidden="false" customHeight="false" outlineLevel="0" collapsed="false">
      <c r="A57" s="0" t="s">
        <v>1699</v>
      </c>
      <c r="B57" s="0" t="s">
        <v>737</v>
      </c>
      <c r="C57" s="25" t="n">
        <f aca="false">SUMPRODUCT((In!$H$237:$H$249="ant")*(In!$I$237:$I$249="self")*((In!$J$237:$J$249="比")*$M57+(In!$J$237:$J$249&lt;&gt;"比"))*In!M$237:M$249)</f>
        <v>0</v>
      </c>
      <c r="D57" s="25" t="n">
        <f aca="false">SUMPRODUCT((In!$H$237:$H$249="ant")*(In!$I$237:$I$249="oai")*((In!$J$237:$J$249="比")*$M57+(In!$J$237:$J$249&lt;&gt;"比"))*In!M$237:M$249)</f>
        <v>0</v>
      </c>
      <c r="E57" s="25" t="n">
        <f aca="false">SUMPRODUCT((In!$H$237:$H$249="ant")*(In!$I$237:$I$249="ant")*((In!$J$237:$J$249="比")*$M57+(In!$J$237:$J$249&lt;&gt;"比"))*In!M$237:M$249)</f>
        <v>0</v>
      </c>
      <c r="F57" s="25" t="n">
        <f aca="false">SUMPRODUCT((In!$H$237:$H$249="ant")*(In!$I$237:$I$249="xai")*((In!$J$237:$J$249="比")*$M57+(In!$J$237:$J$249&lt;&gt;"比"))*In!M$237:M$249)</f>
        <v>0</v>
      </c>
      <c r="G57" s="25" t="n">
        <f aca="false">SUMPRODUCT((In!$H$237:$H$249="ant")*(In!$I$237:$I$249="meta")*((In!$J$237:$J$249="比")*$M57+(In!$J$237:$J$249&lt;&gt;"比"))*In!M$237:M$249)</f>
        <v>0</v>
      </c>
      <c r="H57" s="25" t="n">
        <f aca="false">SUMPRODUCT((In!$H$237:$H$249="ant")*(In!$I$237:$I$249="googl")*((In!$J$237:$J$249="比")*$M57+(In!$J$237:$J$249&lt;&gt;"比"))*In!M$237:M$249)</f>
        <v>0</v>
      </c>
      <c r="I57" s="25" t="n">
        <f aca="false">SUMPRODUCT((In!$H$237:$H$249="ant")*(In!$I$237:$I$249="msft")*((In!$J$237:$J$249="比")*$M57+(In!$J$237:$J$249&lt;&gt;"比"))*In!M$237:M$249)</f>
        <v>0</v>
      </c>
      <c r="J57" s="25" t="n">
        <f aca="false">SUMPRODUCT((In!$H$237:$H$249="ant")*(In!$I$237:$I$249="oth")*((In!$J$237:$J$249="比")*$M57+(In!$J$237:$J$249&lt;&gt;"比"))*In!M$237:M$249)</f>
        <v>0</v>
      </c>
      <c r="K57" s="25" t="n">
        <f aca="false">$M57-SUM(C57:J57)</f>
        <v>0</v>
      </c>
      <c r="L57" s="25" t="n">
        <f aca="false">SUM(C57:K57)</f>
        <v>0</v>
      </c>
      <c r="M57" s="28" t="n">
        <f aca="false">N(Players!H220)</f>
        <v>0</v>
      </c>
      <c r="N57" s="29" t="n">
        <f aca="false">L57-M57</f>
        <v>0</v>
      </c>
    </row>
    <row r="58" customFormat="false" ht="17.15" hidden="false" customHeight="false" outlineLevel="0" collapsed="false">
      <c r="A58" s="5" t="s">
        <v>1700</v>
      </c>
      <c r="B58" s="0" t="s">
        <v>767</v>
      </c>
      <c r="C58" s="25" t="n">
        <f aca="false">SUMPRODUCT((In!$H$237:$H$249="neo")*(In!$I$237:$I$249="self")*((In!$J$237:$J$249="比")*$M58+(In!$J$237:$J$249&lt;&gt;"比"))*In!M$237:M$249)</f>
        <v>0</v>
      </c>
      <c r="D58" s="25" t="n">
        <f aca="false">SUMPRODUCT((In!$H$237:$H$249="neo")*(In!$I$237:$I$249="oai")*((In!$J$237:$J$249="比")*$M58+(In!$J$237:$J$249&lt;&gt;"比"))*In!M$237:M$249)</f>
        <v>0</v>
      </c>
      <c r="E58" s="25" t="n">
        <f aca="false">SUMPRODUCT((In!$H$237:$H$249="neo")*(In!$I$237:$I$249="ant")*((In!$J$237:$J$249="比")*$M58+(In!$J$237:$J$249&lt;&gt;"比"))*In!M$237:M$249)</f>
        <v>0.2</v>
      </c>
      <c r="F58" s="25" t="n">
        <f aca="false">SUMPRODUCT((In!$H$237:$H$249="neo")*(In!$I$237:$I$249="xai")*((In!$J$237:$J$249="比")*$M58+(In!$J$237:$J$249&lt;&gt;"比"))*In!M$237:M$249)</f>
        <v>0</v>
      </c>
      <c r="G58" s="25" t="n">
        <f aca="false">SUMPRODUCT((In!$H$237:$H$249="neo")*(In!$I$237:$I$249="meta")*((In!$J$237:$J$249="比")*$M58+(In!$J$237:$J$249&lt;&gt;"比"))*In!M$237:M$249)</f>
        <v>0</v>
      </c>
      <c r="H58" s="25" t="n">
        <f aca="false">SUMPRODUCT((In!$H$237:$H$249="neo")*(In!$I$237:$I$249="googl")*((In!$J$237:$J$249="比")*$M58+(In!$J$237:$J$249&lt;&gt;"比"))*In!M$237:M$249)</f>
        <v>0</v>
      </c>
      <c r="I58" s="25" t="n">
        <f aca="false">SUMPRODUCT((In!$H$237:$H$249="neo")*(In!$I$237:$I$249="msft")*((In!$J$237:$J$249="比")*$M58+(In!$J$237:$J$249&lt;&gt;"比"))*In!M$237:M$249)</f>
        <v>0.2</v>
      </c>
      <c r="J58" s="25" t="n">
        <f aca="false">SUMPRODUCT((In!$H$237:$H$249="neo")*(In!$I$237:$I$249="oth")*((In!$J$237:$J$249="比")*$M58+(In!$J$237:$J$249&lt;&gt;"比"))*In!M$237:M$249)</f>
        <v>0</v>
      </c>
      <c r="K58" s="25" t="n">
        <f aca="false">$M58-SUM(C58:J58)</f>
        <v>2.375</v>
      </c>
      <c r="L58" s="25" t="n">
        <f aca="false">SUM(C58:K58)</f>
        <v>2.775</v>
      </c>
      <c r="M58" s="28" t="n">
        <f aca="false">N(Players!H239)</f>
        <v>2.775</v>
      </c>
      <c r="N58" s="29" t="n">
        <f aca="false">L58-M58</f>
        <v>0</v>
      </c>
    </row>
    <row r="59" customFormat="false" ht="17.15" hidden="false" customHeight="false" outlineLevel="0" collapsed="false">
      <c r="A59" s="5" t="s">
        <v>1701</v>
      </c>
      <c r="B59" s="0" t="s">
        <v>866</v>
      </c>
      <c r="C59" s="25" t="n">
        <f aca="false">SUMPRODUCT((In!$H$237:$H$249="sov")*(In!$I$237:$I$249="self")*((In!$J$237:$J$249="比")*$M59+(In!$J$237:$J$249&lt;&gt;"比"))*In!M$237:M$249)</f>
        <v>0</v>
      </c>
      <c r="D59" s="25" t="n">
        <f aca="false">SUMPRODUCT((In!$H$237:$H$249="sov")*(In!$I$237:$I$249="oai")*((In!$J$237:$J$249="比")*$M59+(In!$J$237:$J$249&lt;&gt;"比"))*In!M$237:M$249)</f>
        <v>0</v>
      </c>
      <c r="E59" s="25" t="n">
        <f aca="false">SUMPRODUCT((In!$H$237:$H$249="sov")*(In!$I$237:$I$249="ant")*((In!$J$237:$J$249="比")*$M59+(In!$J$237:$J$249&lt;&gt;"比"))*In!M$237:M$249)</f>
        <v>0</v>
      </c>
      <c r="F59" s="25" t="n">
        <f aca="false">SUMPRODUCT((In!$H$237:$H$249="sov")*(In!$I$237:$I$249="xai")*((In!$J$237:$J$249="比")*$M59+(In!$J$237:$J$249&lt;&gt;"比"))*In!M$237:M$249)</f>
        <v>0</v>
      </c>
      <c r="G59" s="25" t="n">
        <f aca="false">SUMPRODUCT((In!$H$237:$H$249="sov")*(In!$I$237:$I$249="meta")*((In!$J$237:$J$249="比")*$M59+(In!$J$237:$J$249&lt;&gt;"比"))*In!M$237:M$249)</f>
        <v>0</v>
      </c>
      <c r="H59" s="25" t="n">
        <f aca="false">SUMPRODUCT((In!$H$237:$H$249="sov")*(In!$I$237:$I$249="googl")*((In!$J$237:$J$249="比")*$M59+(In!$J$237:$J$249&lt;&gt;"比"))*In!M$237:M$249)</f>
        <v>0</v>
      </c>
      <c r="I59" s="25" t="n">
        <f aca="false">SUMPRODUCT((In!$H$237:$H$249="sov")*(In!$I$237:$I$249="msft")*((In!$J$237:$J$249="比")*$M59+(In!$J$237:$J$249&lt;&gt;"比"))*In!M$237:M$249)</f>
        <v>0</v>
      </c>
      <c r="J59" s="25" t="n">
        <f aca="false">SUMPRODUCT((In!$H$237:$H$249="sov")*(In!$I$237:$I$249="oth")*((In!$J$237:$J$249="比")*$M59+(In!$J$237:$J$249&lt;&gt;"比"))*In!M$237:M$249)</f>
        <v>0</v>
      </c>
      <c r="K59" s="25" t="n">
        <f aca="false">$M59-SUM(C59:J59)</f>
        <v>1.9</v>
      </c>
      <c r="L59" s="25" t="n">
        <f aca="false">SUM(C59:K59)</f>
        <v>1.9</v>
      </c>
      <c r="M59" s="28" t="n">
        <f aca="false">N(Players!H258)</f>
        <v>1.9</v>
      </c>
      <c r="N59" s="29" t="n">
        <f aca="false">L59-M59</f>
        <v>0</v>
      </c>
    </row>
    <row r="60" customFormat="false" ht="17.15" hidden="false" customHeight="false" outlineLevel="0" collapsed="false">
      <c r="A60" s="5" t="s">
        <v>1702</v>
      </c>
      <c r="B60" s="0" t="s">
        <v>774</v>
      </c>
      <c r="C60" s="25" t="n">
        <f aca="false">SUMPRODUCT((In!$H$237:$H$249="cn")*(In!$I$237:$I$249="self")*((In!$J$237:$J$249="比")*$M60+(In!$J$237:$J$249&lt;&gt;"比"))*In!M$237:M$249)</f>
        <v>13.6561711245072</v>
      </c>
      <c r="D60" s="25" t="n">
        <f aca="false">SUMPRODUCT((In!$H$237:$H$249="cn")*(In!$I$237:$I$249="oai")*((In!$J$237:$J$249="比")*$M60+(In!$J$237:$J$249&lt;&gt;"比"))*In!M$237:M$249)</f>
        <v>0</v>
      </c>
      <c r="E60" s="25" t="n">
        <f aca="false">SUMPRODUCT((In!$H$237:$H$249="cn")*(In!$I$237:$I$249="ant")*((In!$J$237:$J$249="比")*$M60+(In!$J$237:$J$249&lt;&gt;"比"))*In!M$237:M$249)</f>
        <v>0</v>
      </c>
      <c r="F60" s="25" t="n">
        <f aca="false">SUMPRODUCT((In!$H$237:$H$249="cn")*(In!$I$237:$I$249="xai")*((In!$J$237:$J$249="比")*$M60+(In!$J$237:$J$249&lt;&gt;"比"))*In!M$237:M$249)</f>
        <v>0</v>
      </c>
      <c r="G60" s="25" t="n">
        <f aca="false">SUMPRODUCT((In!$H$237:$H$249="cn")*(In!$I$237:$I$249="meta")*((In!$J$237:$J$249="比")*$M60+(In!$J$237:$J$249&lt;&gt;"比"))*In!M$237:M$249)</f>
        <v>0</v>
      </c>
      <c r="H60" s="25" t="n">
        <f aca="false">SUMPRODUCT((In!$H$237:$H$249="cn")*(In!$I$237:$I$249="googl")*((In!$J$237:$J$249="比")*$M60+(In!$J$237:$J$249&lt;&gt;"比"))*In!M$237:M$249)</f>
        <v>0</v>
      </c>
      <c r="I60" s="25" t="n">
        <f aca="false">SUMPRODUCT((In!$H$237:$H$249="cn")*(In!$I$237:$I$249="msft")*((In!$J$237:$J$249="比")*$M60+(In!$J$237:$J$249&lt;&gt;"比"))*In!M$237:M$249)</f>
        <v>0</v>
      </c>
      <c r="J60" s="25" t="n">
        <f aca="false">SUMPRODUCT((In!$H$237:$H$249="cn")*(In!$I$237:$I$249="oth")*((In!$J$237:$J$249="比")*$M60+(In!$J$237:$J$249&lt;&gt;"比"))*In!M$237:M$249)</f>
        <v>0</v>
      </c>
      <c r="K60" s="25" t="n">
        <f aca="false">$M60-SUM(C60:J60)</f>
        <v>0</v>
      </c>
      <c r="L60" s="25" t="n">
        <f aca="false">SUM(C60:K60)</f>
        <v>13.6561711245072</v>
      </c>
      <c r="M60" s="28" t="n">
        <f aca="false">N(Players!H277)</f>
        <v>13.6561711245072</v>
      </c>
      <c r="N60" s="29" t="n">
        <f aca="false">L60-M60</f>
        <v>0</v>
      </c>
    </row>
    <row r="61" customFormat="false" ht="17.15" hidden="false" customHeight="false" outlineLevel="0" collapsed="false">
      <c r="A61" s="5" t="s">
        <v>1703</v>
      </c>
      <c r="B61" s="0" t="s">
        <v>959</v>
      </c>
      <c r="C61" s="25" t="n">
        <f aca="false">SUMPRODUCT((In!$H$237:$H$249="oth")*(In!$I$237:$I$249="self")*((In!$J$237:$J$249="比")*$M61+(In!$J$237:$J$249&lt;&gt;"比"))*In!M$237:M$249)</f>
        <v>0</v>
      </c>
      <c r="D61" s="25" t="n">
        <f aca="false">SUMPRODUCT((In!$H$237:$H$249="oth")*(In!$I$237:$I$249="oai")*((In!$J$237:$J$249="比")*$M61+(In!$J$237:$J$249&lt;&gt;"比"))*In!M$237:M$249)</f>
        <v>0</v>
      </c>
      <c r="E61" s="25" t="n">
        <f aca="false">SUMPRODUCT((In!$H$237:$H$249="oth")*(In!$I$237:$I$249="ant")*((In!$J$237:$J$249="比")*$M61+(In!$J$237:$J$249&lt;&gt;"比"))*In!M$237:M$249)</f>
        <v>0</v>
      </c>
      <c r="F61" s="25" t="n">
        <f aca="false">SUMPRODUCT((In!$H$237:$H$249="oth")*(In!$I$237:$I$249="xai")*((In!$J$237:$J$249="比")*$M61+(In!$J$237:$J$249&lt;&gt;"比"))*In!M$237:M$249)</f>
        <v>0</v>
      </c>
      <c r="G61" s="25" t="n">
        <f aca="false">SUMPRODUCT((In!$H$237:$H$249="oth")*(In!$I$237:$I$249="meta")*((In!$J$237:$J$249="比")*$M61+(In!$J$237:$J$249&lt;&gt;"比"))*In!M$237:M$249)</f>
        <v>0</v>
      </c>
      <c r="H61" s="25" t="n">
        <f aca="false">SUMPRODUCT((In!$H$237:$H$249="oth")*(In!$I$237:$I$249="googl")*((In!$J$237:$J$249="比")*$M61+(In!$J$237:$J$249&lt;&gt;"比"))*In!M$237:M$249)</f>
        <v>0</v>
      </c>
      <c r="I61" s="25" t="n">
        <f aca="false">SUMPRODUCT((In!$H$237:$H$249="oth")*(In!$I$237:$I$249="msft")*((In!$J$237:$J$249="比")*$M61+(In!$J$237:$J$249&lt;&gt;"比"))*In!M$237:M$249)</f>
        <v>0</v>
      </c>
      <c r="J61" s="25" t="n">
        <f aca="false">SUMPRODUCT((In!$H$237:$H$249="oth")*(In!$I$237:$I$249="oth")*((In!$J$237:$J$249="比")*$M61+(In!$J$237:$J$249&lt;&gt;"比"))*In!M$237:M$249)</f>
        <v>0</v>
      </c>
      <c r="K61" s="25" t="n">
        <f aca="false">$M61-SUM(C61:J61)</f>
        <v>1</v>
      </c>
      <c r="L61" s="25" t="n">
        <f aca="false">SUM(C61:K61)</f>
        <v>1</v>
      </c>
      <c r="M61" s="28" t="n">
        <f aca="false">N(Players!H296)</f>
        <v>1</v>
      </c>
      <c r="N61" s="29" t="n">
        <f aca="false">L61-M61</f>
        <v>0</v>
      </c>
    </row>
    <row r="62" customFormat="false" ht="15" hidden="false" customHeight="false" outlineLevel="0" collapsed="false">
      <c r="A62" s="22" t="s">
        <v>1704</v>
      </c>
      <c r="C62" s="25" t="n">
        <f aca="false">SUM(C47:C61)</f>
        <v>21.5434465139153</v>
      </c>
      <c r="D62" s="25" t="n">
        <f aca="false">SUM(D47:D61)</f>
        <v>1.513</v>
      </c>
      <c r="E62" s="25" t="n">
        <f aca="false">SUM(E47:E61)</f>
        <v>2.237</v>
      </c>
      <c r="F62" s="25" t="n">
        <f aca="false">SUM(F47:F61)</f>
        <v>0</v>
      </c>
      <c r="G62" s="25" t="n">
        <f aca="false">SUM(G47:G61)</f>
        <v>3.767595</v>
      </c>
      <c r="H62" s="25" t="n">
        <f aca="false">SUM(H47:H61)</f>
        <v>0.19</v>
      </c>
      <c r="I62" s="25" t="n">
        <f aca="false">SUM(I47:I61)</f>
        <v>0.2</v>
      </c>
      <c r="J62" s="25" t="n">
        <f aca="false">SUM(J47:J61)</f>
        <v>0</v>
      </c>
      <c r="K62" s="25" t="n">
        <f aca="false">SUM(K47:K61)</f>
        <v>21.0046184049844</v>
      </c>
      <c r="L62" s="25" t="n">
        <f aca="false">SUM(L47:L61)</f>
        <v>50.4556599188997</v>
      </c>
      <c r="M62" s="25" t="n">
        <f aca="false">SUM(M47:M61)</f>
        <v>50.4556599188997</v>
      </c>
      <c r="N62" s="25" t="n">
        <f aca="false">SUM(N47:N61)</f>
        <v>0</v>
      </c>
    </row>
    <row r="63" customFormat="false" ht="17.15" hidden="false" customHeight="false" outlineLevel="0" collapsed="false">
      <c r="A63" s="5" t="s">
        <v>1705</v>
      </c>
      <c r="D63" s="25" t="n">
        <f aca="false">IF(In!L156="","",IF(In!$C$156="設施",In!L156/Players!H$13,In!L156))</f>
        <v>11</v>
      </c>
      <c r="L63" s="30" t="n">
        <f aca="false">IF(OR(D63="",N(D63)=0),"",D62/D63)</f>
        <v>0.137545454545455</v>
      </c>
      <c r="M63" s="5" t="s">
        <v>1706</v>
      </c>
    </row>
    <row r="64" customFormat="false" ht="17.15" hidden="false" customHeight="false" outlineLevel="0" collapsed="false">
      <c r="A64" s="5" t="s">
        <v>1707</v>
      </c>
      <c r="E64" s="25" t="n">
        <f aca="false">IF(In!L157="","",IF(In!$C$157="設施",In!L157/Players!H$13,In!L157))</f>
        <v>10</v>
      </c>
      <c r="L64" s="30" t="n">
        <f aca="false">IF(OR(E64="",N(E64)=0),"",E62/E64)</f>
        <v>0.2237</v>
      </c>
      <c r="M64" s="5" t="s">
        <v>1706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1710</v>
      </c>
    </row>
    <row r="3" customFormat="false" ht="17.15" hidden="false" customHeight="false" outlineLevel="0" collapsed="false">
      <c r="A3" s="8" t="s">
        <v>1711</v>
      </c>
    </row>
    <row r="4" customFormat="false" ht="17.15" hidden="false" customHeight="false" outlineLevel="0" collapsed="false">
      <c r="A4" s="6" t="s">
        <v>1712</v>
      </c>
      <c r="B4" s="6" t="s">
        <v>1713</v>
      </c>
      <c r="C4" s="6" t="s">
        <v>721</v>
      </c>
      <c r="D4" s="6" t="s">
        <v>722</v>
      </c>
      <c r="E4" s="7" t="s">
        <v>117</v>
      </c>
      <c r="F4" s="6" t="s">
        <v>21</v>
      </c>
      <c r="G4" s="6" t="s">
        <v>780</v>
      </c>
      <c r="H4" s="6" t="s">
        <v>777</v>
      </c>
      <c r="I4" s="6" t="s">
        <v>778</v>
      </c>
      <c r="J4" s="6" t="s">
        <v>779</v>
      </c>
      <c r="K4" s="7" t="s">
        <v>1714</v>
      </c>
      <c r="L4" s="7" t="s">
        <v>1715</v>
      </c>
      <c r="M4" s="7" t="s">
        <v>1716</v>
      </c>
      <c r="N4" s="7" t="s">
        <v>1717</v>
      </c>
      <c r="O4" s="7" t="s">
        <v>1718</v>
      </c>
      <c r="P4" s="7" t="s">
        <v>1719</v>
      </c>
      <c r="Q4" s="6" t="s">
        <v>1720</v>
      </c>
      <c r="R4" s="7" t="s">
        <v>1721</v>
      </c>
      <c r="S4" s="6" t="s">
        <v>781</v>
      </c>
    </row>
    <row r="5" customFormat="false" ht="15" hidden="false" customHeight="false" outlineLevel="0" collapsed="false">
      <c r="A5" s="0" t="s">
        <v>782</v>
      </c>
      <c r="B5" s="20" t="str">
        <f aca="false">In!B253</f>
        <v>Fairwater Atlanta</v>
      </c>
      <c r="C5" s="20" t="str">
        <f aca="false">IF(In!H253="","",In!H253)</f>
        <v>msft</v>
      </c>
      <c r="D5" s="20" t="str">
        <f aca="false">IF(In!I253="","",In!I253)</f>
        <v/>
      </c>
      <c r="E5" s="20" t="n">
        <f aca="false">IF(In!J253="","",In!J253)</f>
        <v>321</v>
      </c>
      <c r="F5" s="20" t="str">
        <f aca="false">In!C253</f>
        <v>IT</v>
      </c>
      <c r="G5" s="20" t="n">
        <f aca="false">IF(In!N253="","",In!N253)</f>
        <v>1</v>
      </c>
      <c r="H5" s="20" t="n">
        <f aca="false">IF(In!K253="","",In!K253)</f>
        <v>2025</v>
      </c>
      <c r="I5" s="20" t="n">
        <f aca="false">IF(In!L253="","",In!L253)</f>
        <v>10</v>
      </c>
      <c r="J5" s="20" t="n">
        <f aca="false">N(In!M253)</f>
        <v>0</v>
      </c>
      <c r="K5" s="25" t="n">
        <f aca="false">IF(OR(H5="",I5=""),9999,H5+I5/12)</f>
        <v>2025.83333333333</v>
      </c>
      <c r="L5" s="25" t="n">
        <f aca="false">IF(E5="",0,IF(F5="設施",E5/1000/INDEX(Players!$D$13:$M$13,1,MAX(1,MIN(10,H5-2022))),E5/1000*g_ITtoFac))</f>
        <v>0.321</v>
      </c>
      <c r="M5" s="25" t="n">
        <f aca="false">K5</f>
        <v>2025.83333333333</v>
      </c>
      <c r="N5" s="25" t="n">
        <f aca="false">IF(K5&gt;asof,K5+N(J5)/12,K5)</f>
        <v>2025.83333333333</v>
      </c>
      <c r="O5" s="25" t="n">
        <f aca="false">IF(K5&gt;asof,K5+IF(N(J5)&gt;0,N(J5),dly_d1_m)/12,K5)</f>
        <v>2025.83333333333</v>
      </c>
      <c r="P5" s="21" t="n">
        <f aca="false">IF(K5=9999,"",ROUNDUP(K5,0)-1)</f>
        <v>2025</v>
      </c>
      <c r="Q5" s="21" t="n">
        <f aca="false">IF(AND(N(G5)=1,K5&lt;9999,L5&gt;0),1,0)</f>
        <v>1</v>
      </c>
      <c r="R5" s="21" t="n">
        <f aca="false">IF(AND(K5&gt;asof,K5&lt;9999,N(S5)&lt;&gt;1,P5&gt;=dly_d2_y0,P5&lt;=dly_d2_y1),1,0)</f>
        <v>0</v>
      </c>
      <c r="S5" s="20" t="n">
        <f aca="false">IF(In!O253="","",In!O253)</f>
        <v>0</v>
      </c>
    </row>
    <row r="6" customFormat="false" ht="17.15" hidden="false" customHeight="false" outlineLevel="0" collapsed="false">
      <c r="A6" s="0" t="s">
        <v>785</v>
      </c>
      <c r="B6" s="20" t="str">
        <f aca="false">In!B254</f>
        <v>Fairwater Wisconsin 一期</v>
      </c>
      <c r="C6" s="20" t="str">
        <f aca="false">IF(In!H254="","",In!H254)</f>
        <v>msft</v>
      </c>
      <c r="D6" s="20" t="str">
        <f aca="false">IF(In!I254="","",In!I254)</f>
        <v/>
      </c>
      <c r="E6" s="20" t="n">
        <f aca="false">IF(In!J254="","",In!J254)</f>
        <v>369</v>
      </c>
      <c r="F6" s="20" t="str">
        <f aca="false">In!C254</f>
        <v>IT</v>
      </c>
      <c r="G6" s="20" t="n">
        <f aca="false">IF(In!N254="","",In!N254)</f>
        <v>1</v>
      </c>
      <c r="H6" s="20" t="n">
        <f aca="false">IF(In!K254="","",In!K254)</f>
        <v>2026</v>
      </c>
      <c r="I6" s="20" t="n">
        <f aca="false">IF(In!L254="","",In!L254)</f>
        <v>4</v>
      </c>
      <c r="J6" s="20" t="n">
        <f aca="false">N(In!M254)</f>
        <v>0</v>
      </c>
      <c r="K6" s="25" t="n">
        <f aca="false">IF(OR(H6="",I6=""),9999,H6+I6/12)</f>
        <v>2026.33333333333</v>
      </c>
      <c r="L6" s="25" t="n">
        <f aca="false">IF(E6="",0,IF(F6="設施",E6/1000/INDEX(Players!$D$13:$M$13,1,MAX(1,MIN(10,H6-2022))),E6/1000*g_ITtoFac))</f>
        <v>0.369</v>
      </c>
      <c r="M6" s="25" t="n">
        <f aca="false">K6</f>
        <v>2026.33333333333</v>
      </c>
      <c r="N6" s="25" t="n">
        <f aca="false">IF(K6&gt;asof,K6+N(J6)/12,K6)</f>
        <v>2026.33333333333</v>
      </c>
      <c r="O6" s="25" t="n">
        <f aca="false">IF(K6&gt;asof,K6+IF(N(J6)&gt;0,N(J6),dly_d1_m)/12,K6)</f>
        <v>2026.33333333333</v>
      </c>
      <c r="P6" s="21" t="n">
        <f aca="false">IF(K6=9999,"",ROUNDUP(K6,0)-1)</f>
        <v>2026</v>
      </c>
      <c r="Q6" s="21" t="n">
        <f aca="false">IF(AND(N(G6)=1,K6&lt;9999,L6&gt;0),1,0)</f>
        <v>1</v>
      </c>
      <c r="R6" s="21" t="n">
        <f aca="false">IF(AND(K6&gt;asof,K6&lt;9999,N(S6)&lt;&gt;1,P6&gt;=dly_d2_y0,P6&lt;=dly_d2_y1),1,0)</f>
        <v>0</v>
      </c>
      <c r="S6" s="20" t="n">
        <f aca="false">IF(In!O254="","",In!O254)</f>
        <v>0</v>
      </c>
    </row>
    <row r="7" customFormat="false" ht="17.15" hidden="false" customHeight="false" outlineLevel="0" collapsed="false">
      <c r="A7" s="0" t="s">
        <v>788</v>
      </c>
      <c r="B7" s="20" t="str">
        <f aca="false">In!B255</f>
        <v>Fairwater Wisconsin 全站餘量（2,263 − 369）</v>
      </c>
      <c r="C7" s="20" t="str">
        <f aca="false">IF(In!H255="","",In!H255)</f>
        <v>msft</v>
      </c>
      <c r="D7" s="20" t="str">
        <f aca="false">IF(In!I255="","",In!I255)</f>
        <v/>
      </c>
      <c r="E7" s="20" t="n">
        <f aca="false">IF(In!J255="","",In!J255)</f>
        <v>1526</v>
      </c>
      <c r="F7" s="20" t="str">
        <f aca="false">In!C255</f>
        <v>IT</v>
      </c>
      <c r="G7" s="20" t="n">
        <f aca="false">IF(In!N255="","",In!N255)</f>
        <v>1</v>
      </c>
      <c r="H7" s="20" t="n">
        <f aca="false">IF(In!K255="","",In!K255)</f>
        <v>2028</v>
      </c>
      <c r="I7" s="20" t="n">
        <f aca="false">IF(In!L255="","",In!L255)</f>
        <v>5</v>
      </c>
      <c r="J7" s="20" t="n">
        <f aca="false">N(In!M255)</f>
        <v>0</v>
      </c>
      <c r="K7" s="25" t="n">
        <f aca="false">IF(OR(H7="",I7=""),9999,H7+I7/12)</f>
        <v>2028.41666666667</v>
      </c>
      <c r="L7" s="25" t="n">
        <f aca="false">IF(E7="",0,IF(F7="設施",E7/1000/INDEX(Players!$D$13:$M$13,1,MAX(1,MIN(10,H7-2022))),E7/1000*g_ITtoFac))</f>
        <v>1.526</v>
      </c>
      <c r="M7" s="25" t="n">
        <f aca="false">K7</f>
        <v>2028.41666666667</v>
      </c>
      <c r="N7" s="25" t="n">
        <f aca="false">IF(K7&gt;asof,K7+N(J7)/12,K7)</f>
        <v>2028.41666666667</v>
      </c>
      <c r="O7" s="25" t="n">
        <f aca="false">IF(K7&gt;asof,K7+IF(N(J7)&gt;0,N(J7),dly_d1_m)/12,K7)</f>
        <v>2028.91666666667</v>
      </c>
      <c r="P7" s="21" t="n">
        <f aca="false">IF(K7=9999,"",ROUNDUP(K7,0)-1)</f>
        <v>2028</v>
      </c>
      <c r="Q7" s="21" t="n">
        <f aca="false">IF(AND(N(G7)=1,K7&lt;9999,L7&gt;0),1,0)</f>
        <v>1</v>
      </c>
      <c r="R7" s="21" t="n">
        <f aca="false">IF(AND(K7&gt;asof,K7&lt;9999,N(S7)&lt;&gt;1,P7&gt;=dly_d2_y0,P7&lt;=dly_d2_y1),1,0)</f>
        <v>1</v>
      </c>
      <c r="S7" s="20" t="n">
        <f aca="false">IF(In!O255="","",In!O255)</f>
        <v>0</v>
      </c>
    </row>
    <row r="8" customFormat="false" ht="17.15" hidden="false" customHeight="false" outlineLevel="0" collapsed="false">
      <c r="A8" s="0" t="s">
        <v>791</v>
      </c>
      <c r="B8" s="20" t="str">
        <f aca="false">In!B256</f>
        <v>Abilene 鄰近園區（Crusoe 開發、Microsoft 承租）</v>
      </c>
      <c r="C8" s="20" t="str">
        <f aca="false">IF(In!H256="","",In!H256)</f>
        <v>msft</v>
      </c>
      <c r="D8" s="20" t="str">
        <f aca="false">IF(In!I256="","",In!I256)</f>
        <v>self</v>
      </c>
      <c r="E8" s="20" t="n">
        <f aca="false">IF(In!J256="","",In!J256)</f>
        <v>336</v>
      </c>
      <c r="F8" s="20" t="str">
        <f aca="false">In!C256</f>
        <v>IT</v>
      </c>
      <c r="G8" s="20" t="n">
        <f aca="false">IF(In!N256="","",In!N256)</f>
        <v>1</v>
      </c>
      <c r="H8" s="20" t="n">
        <f aca="false">IF(In!K256="","",In!K256)</f>
        <v>2027</v>
      </c>
      <c r="I8" s="20" t="n">
        <f aca="false">IF(In!L256="","",In!L256)</f>
        <v>6</v>
      </c>
      <c r="J8" s="20" t="n">
        <f aca="false">N(In!M256)</f>
        <v>0</v>
      </c>
      <c r="K8" s="25" t="n">
        <f aca="false">IF(OR(H8="",I8=""),9999,H8+I8/12)</f>
        <v>2027.5</v>
      </c>
      <c r="L8" s="25" t="n">
        <f aca="false">IF(E8="",0,IF(F8="設施",E8/1000/INDEX(Players!$D$13:$M$13,1,MAX(1,MIN(10,H8-2022))),E8/1000*g_ITtoFac))</f>
        <v>0.336</v>
      </c>
      <c r="M8" s="25" t="n">
        <f aca="false">K8</f>
        <v>2027.5</v>
      </c>
      <c r="N8" s="25" t="n">
        <f aca="false">IF(K8&gt;asof,K8+N(J8)/12,K8)</f>
        <v>2027.5</v>
      </c>
      <c r="O8" s="25" t="n">
        <f aca="false">IF(K8&gt;asof,K8+IF(N(J8)&gt;0,N(J8),dly_d1_m)/12,K8)</f>
        <v>2028</v>
      </c>
      <c r="P8" s="21" t="n">
        <f aca="false">IF(K8=9999,"",ROUNDUP(K8,0)-1)</f>
        <v>2027</v>
      </c>
      <c r="Q8" s="21" t="n">
        <f aca="false">IF(AND(N(G8)=1,K8&lt;9999,L8&gt;0),1,0)</f>
        <v>1</v>
      </c>
      <c r="R8" s="21" t="n">
        <f aca="false">IF(AND(K8&gt;asof,K8&lt;9999,N(S8)&lt;&gt;1,P8&gt;=dly_d2_y0,P8&lt;=dly_d2_y1),1,0)</f>
        <v>1</v>
      </c>
      <c r="S8" s="20" t="n">
        <f aca="false">IF(In!O256="","",In!O256)</f>
        <v>0</v>
      </c>
    </row>
    <row r="9" customFormat="false" ht="17.15" hidden="false" customHeight="false" outlineLevel="0" collapsed="false">
      <c r="A9" s="0" t="s">
        <v>794</v>
      </c>
      <c r="B9" s="20" t="str">
        <f aca="false">In!B257</f>
        <v>New Carlisle（Rainier）2026-03→10 增量</v>
      </c>
      <c r="C9" s="20" t="str">
        <f aca="false">IF(In!H257="","",In!H257)</f>
        <v>amzn</v>
      </c>
      <c r="D9" s="20" t="str">
        <f aca="false">IF(In!I257="","",In!I257)</f>
        <v>ant</v>
      </c>
      <c r="E9" s="20" t="n">
        <f aca="false">IF(In!J257="","",In!J257)</f>
        <v>127</v>
      </c>
      <c r="F9" s="20" t="str">
        <f aca="false">In!C257</f>
        <v>IT</v>
      </c>
      <c r="G9" s="20" t="n">
        <f aca="false">IF(In!N257="","",In!N257)</f>
        <v>1</v>
      </c>
      <c r="H9" s="20" t="n">
        <f aca="false">IF(In!K257="","",In!K257)</f>
        <v>2026</v>
      </c>
      <c r="I9" s="20" t="n">
        <f aca="false">IF(In!L257="","",In!L257)</f>
        <v>10</v>
      </c>
      <c r="J9" s="20" t="n">
        <f aca="false">N(In!M257)</f>
        <v>0</v>
      </c>
      <c r="K9" s="25" t="n">
        <f aca="false">IF(OR(H9="",I9=""),9999,H9+I9/12)</f>
        <v>2026.83333333333</v>
      </c>
      <c r="L9" s="25" t="n">
        <f aca="false">IF(E9="",0,IF(F9="設施",E9/1000/INDEX(Players!$D$13:$M$13,1,MAX(1,MIN(10,H9-2022))),E9/1000*g_ITtoFac))</f>
        <v>0.127</v>
      </c>
      <c r="M9" s="25" t="n">
        <f aca="false">K9</f>
        <v>2026.83333333333</v>
      </c>
      <c r="N9" s="25" t="n">
        <f aca="false">IF(K9&gt;asof,K9+N(J9)/12,K9)</f>
        <v>2026.83333333333</v>
      </c>
      <c r="O9" s="25" t="n">
        <f aca="false">IF(K9&gt;asof,K9+IF(N(J9)&gt;0,N(J9),dly_d1_m)/12,K9)</f>
        <v>2027.33333333333</v>
      </c>
      <c r="P9" s="21" t="n">
        <f aca="false">IF(K9=9999,"",ROUNDUP(K9,0)-1)</f>
        <v>2026</v>
      </c>
      <c r="Q9" s="21" t="n">
        <f aca="false">IF(AND(N(G9)=1,K9&lt;9999,L9&gt;0),1,0)</f>
        <v>1</v>
      </c>
      <c r="R9" s="21" t="n">
        <f aca="false">IF(AND(K9&gt;asof,K9&lt;9999,N(S9)&lt;&gt;1,P9&gt;=dly_d2_y0,P9&lt;=dly_d2_y1),1,0)</f>
        <v>0</v>
      </c>
      <c r="S9" s="20" t="n">
        <f aca="false">IF(In!O257="","",In!O257)</f>
        <v>0</v>
      </c>
    </row>
    <row r="10" customFormat="false" ht="17.15" hidden="false" customHeight="false" outlineLevel="0" collapsed="false">
      <c r="A10" s="0" t="s">
        <v>797</v>
      </c>
      <c r="B10" s="20" t="str">
        <f aca="false">In!B258</f>
        <v>New Carlisle 至 2028 年 1,925 增量</v>
      </c>
      <c r="C10" s="20" t="str">
        <f aca="false">IF(In!H258="","",In!H258)</f>
        <v>amzn</v>
      </c>
      <c r="D10" s="20" t="str">
        <f aca="false">IF(In!I258="","",In!I258)</f>
        <v>ant</v>
      </c>
      <c r="E10" s="20" t="n">
        <f aca="false">IF(In!J258="","",In!J258)</f>
        <v>888</v>
      </c>
      <c r="F10" s="20" t="str">
        <f aca="false">In!C258</f>
        <v>IT</v>
      </c>
      <c r="G10" s="20" t="n">
        <f aca="false">IF(In!N258="","",In!N258)</f>
        <v>1</v>
      </c>
      <c r="H10" s="20" t="n">
        <f aca="false">IF(In!K258="","",In!K258)</f>
        <v>2028</v>
      </c>
      <c r="I10" s="20" t="n">
        <f aca="false">IF(In!L258="","",In!L258)</f>
        <v>6</v>
      </c>
      <c r="J10" s="20" t="n">
        <f aca="false">N(In!M258)</f>
        <v>0</v>
      </c>
      <c r="K10" s="25" t="n">
        <f aca="false">IF(OR(H10="",I10=""),9999,H10+I10/12)</f>
        <v>2028.5</v>
      </c>
      <c r="L10" s="25" t="n">
        <f aca="false">IF(E10="",0,IF(F10="設施",E10/1000/INDEX(Players!$D$13:$M$13,1,MAX(1,MIN(10,H10-2022))),E10/1000*g_ITtoFac))</f>
        <v>0.888</v>
      </c>
      <c r="M10" s="25" t="n">
        <f aca="false">K10</f>
        <v>2028.5</v>
      </c>
      <c r="N10" s="25" t="n">
        <f aca="false">IF(K10&gt;asof,K10+N(J10)/12,K10)</f>
        <v>2028.5</v>
      </c>
      <c r="O10" s="25" t="n">
        <f aca="false">IF(K10&gt;asof,K10+IF(N(J10)&gt;0,N(J10),dly_d1_m)/12,K10)</f>
        <v>2029</v>
      </c>
      <c r="P10" s="21" t="n">
        <f aca="false">IF(K10=9999,"",ROUNDUP(K10,0)-1)</f>
        <v>2028</v>
      </c>
      <c r="Q10" s="21" t="n">
        <f aca="false">IF(AND(N(G10)=1,K10&lt;9999,L10&gt;0),1,0)</f>
        <v>1</v>
      </c>
      <c r="R10" s="21" t="n">
        <f aca="false">IF(AND(K10&gt;asof,K10&lt;9999,N(S10)&lt;&gt;1,P10&gt;=dly_d2_y0,P10&lt;=dly_d2_y1),1,0)</f>
        <v>1</v>
      </c>
      <c r="S10" s="20" t="n">
        <f aca="false">IF(In!O258="","",In!O258)</f>
        <v>0</v>
      </c>
    </row>
    <row r="11" customFormat="false" ht="17.15" hidden="false" customHeight="false" outlineLevel="0" collapsed="false">
      <c r="A11" s="0" t="s">
        <v>800</v>
      </c>
      <c r="B11" s="20" t="str">
        <f aca="false">In!B259</f>
        <v>Prometheus（New Albany）至 2026-08</v>
      </c>
      <c r="C11" s="20" t="str">
        <f aca="false">IF(In!H259="","",In!H259)</f>
        <v>meta</v>
      </c>
      <c r="D11" s="20" t="str">
        <f aca="false">IF(In!I259="","",In!I259)</f>
        <v>meta</v>
      </c>
      <c r="E11" s="20" t="n">
        <f aca="false">IF(In!J259="","",In!J259)</f>
        <v>471</v>
      </c>
      <c r="F11" s="20" t="str">
        <f aca="false">In!C259</f>
        <v>IT</v>
      </c>
      <c r="G11" s="20" t="n">
        <f aca="false">IF(In!N259="","",In!N259)</f>
        <v>1</v>
      </c>
      <c r="H11" s="20" t="n">
        <f aca="false">IF(In!K259="","",In!K259)</f>
        <v>2026</v>
      </c>
      <c r="I11" s="20" t="n">
        <f aca="false">IF(In!L259="","",In!L259)</f>
        <v>8</v>
      </c>
      <c r="J11" s="20" t="n">
        <f aca="false">N(In!M259)</f>
        <v>0</v>
      </c>
      <c r="K11" s="25" t="n">
        <f aca="false">IF(OR(H11="",I11=""),9999,H11+I11/12)</f>
        <v>2026.66666666667</v>
      </c>
      <c r="L11" s="25" t="n">
        <f aca="false">IF(E11="",0,IF(F11="設施",E11/1000/INDEX(Players!$D$13:$M$13,1,MAX(1,MIN(10,H11-2022))),E11/1000*g_ITtoFac))</f>
        <v>0.471</v>
      </c>
      <c r="M11" s="25" t="n">
        <f aca="false">K11</f>
        <v>2026.66666666667</v>
      </c>
      <c r="N11" s="25" t="n">
        <f aca="false">IF(K11&gt;asof,K11+N(J11)/12,K11)</f>
        <v>2026.66666666667</v>
      </c>
      <c r="O11" s="25" t="n">
        <f aca="false">IF(K11&gt;asof,K11+IF(N(J11)&gt;0,N(J11),dly_d1_m)/12,K11)</f>
        <v>2026.66666666667</v>
      </c>
      <c r="P11" s="21" t="n">
        <f aca="false">IF(K11=9999,"",ROUNDUP(K11,0)-1)</f>
        <v>2026</v>
      </c>
      <c r="Q11" s="21" t="n">
        <f aca="false">IF(AND(N(G11)=1,K11&lt;9999,L11&gt;0),1,0)</f>
        <v>1</v>
      </c>
      <c r="R11" s="21" t="n">
        <f aca="false">IF(AND(K11&gt;asof,K11&lt;9999,N(S11)&lt;&gt;1,P11&gt;=dly_d2_y0,P11&lt;=dly_d2_y1),1,0)</f>
        <v>0</v>
      </c>
      <c r="S11" s="20" t="n">
        <f aca="false">IF(In!O259="","",In!O259)</f>
        <v>0</v>
      </c>
    </row>
    <row r="12" customFormat="false" ht="17.15" hidden="false" customHeight="false" outlineLevel="0" collapsed="false">
      <c r="A12" s="0" t="s">
        <v>803</v>
      </c>
      <c r="B12" s="20" t="str">
        <f aca="false">In!B260</f>
        <v>Prometheus 2026-11 增量</v>
      </c>
      <c r="C12" s="20" t="str">
        <f aca="false">IF(In!H260="","",In!H260)</f>
        <v>meta</v>
      </c>
      <c r="D12" s="20" t="str">
        <f aca="false">IF(In!I260="","",In!I260)</f>
        <v>meta</v>
      </c>
      <c r="E12" s="20" t="n">
        <f aca="false">IF(In!J260="","",In!J260)</f>
        <v>205</v>
      </c>
      <c r="F12" s="20" t="str">
        <f aca="false">In!C260</f>
        <v>IT</v>
      </c>
      <c r="G12" s="20" t="n">
        <f aca="false">IF(In!N260="","",In!N260)</f>
        <v>1</v>
      </c>
      <c r="H12" s="20" t="n">
        <f aca="false">IF(In!K260="","",In!K260)</f>
        <v>2026</v>
      </c>
      <c r="I12" s="20" t="n">
        <f aca="false">IF(In!L260="","",In!L260)</f>
        <v>11</v>
      </c>
      <c r="J12" s="20" t="n">
        <f aca="false">N(In!M260)</f>
        <v>0</v>
      </c>
      <c r="K12" s="25" t="n">
        <f aca="false">IF(OR(H12="",I12=""),9999,H12+I12/12)</f>
        <v>2026.91666666667</v>
      </c>
      <c r="L12" s="25" t="n">
        <f aca="false">IF(E12="",0,IF(F12="設施",E12/1000/INDEX(Players!$D$13:$M$13,1,MAX(1,MIN(10,H12-2022))),E12/1000*g_ITtoFac))</f>
        <v>0.205</v>
      </c>
      <c r="M12" s="25" t="n">
        <f aca="false">K12</f>
        <v>2026.91666666667</v>
      </c>
      <c r="N12" s="25" t="n">
        <f aca="false">IF(K12&gt;asof,K12+N(J12)/12,K12)</f>
        <v>2026.91666666667</v>
      </c>
      <c r="O12" s="25" t="n">
        <f aca="false">IF(K12&gt;asof,K12+IF(N(J12)&gt;0,N(J12),dly_d1_m)/12,K12)</f>
        <v>2027.41666666667</v>
      </c>
      <c r="P12" s="21" t="n">
        <f aca="false">IF(K12=9999,"",ROUNDUP(K12,0)-1)</f>
        <v>2026</v>
      </c>
      <c r="Q12" s="21" t="n">
        <f aca="false">IF(AND(N(G12)=1,K12&lt;9999,L12&gt;0),1,0)</f>
        <v>1</v>
      </c>
      <c r="R12" s="21" t="n">
        <f aca="false">IF(AND(K12&gt;asof,K12&lt;9999,N(S12)&lt;&gt;1,P12&gt;=dly_d2_y0,P12&lt;=dly_d2_y1),1,0)</f>
        <v>0</v>
      </c>
      <c r="S12" s="20" t="n">
        <f aca="false">IF(In!O260="","",In!O260)</f>
        <v>0</v>
      </c>
    </row>
    <row r="13" customFormat="false" ht="17.15" hidden="false" customHeight="false" outlineLevel="0" collapsed="false">
      <c r="A13" s="0" t="s">
        <v>806</v>
      </c>
      <c r="B13" s="20" t="str">
        <f aca="false">In!B261</f>
        <v>Prometheus 2027-07 增量</v>
      </c>
      <c r="C13" s="20" t="str">
        <f aca="false">IF(In!H261="","",In!H261)</f>
        <v>meta</v>
      </c>
      <c r="D13" s="20" t="str">
        <f aca="false">IF(In!I261="","",In!I261)</f>
        <v>meta</v>
      </c>
      <c r="E13" s="20" t="n">
        <f aca="false">IF(In!J261="","",In!J261)</f>
        <v>192</v>
      </c>
      <c r="F13" s="20" t="str">
        <f aca="false">In!C261</f>
        <v>IT</v>
      </c>
      <c r="G13" s="20" t="n">
        <f aca="false">IF(In!N261="","",In!N261)</f>
        <v>1</v>
      </c>
      <c r="H13" s="20" t="n">
        <f aca="false">IF(In!K261="","",In!K261)</f>
        <v>2027</v>
      </c>
      <c r="I13" s="20" t="n">
        <f aca="false">IF(In!L261="","",In!L261)</f>
        <v>7</v>
      </c>
      <c r="J13" s="20" t="n">
        <f aca="false">N(In!M261)</f>
        <v>0</v>
      </c>
      <c r="K13" s="25" t="n">
        <f aca="false">IF(OR(H13="",I13=""),9999,H13+I13/12)</f>
        <v>2027.58333333333</v>
      </c>
      <c r="L13" s="25" t="n">
        <f aca="false">IF(E13="",0,IF(F13="設施",E13/1000/INDEX(Players!$D$13:$M$13,1,MAX(1,MIN(10,H13-2022))),E13/1000*g_ITtoFac))</f>
        <v>0.192</v>
      </c>
      <c r="M13" s="25" t="n">
        <f aca="false">K13</f>
        <v>2027.58333333333</v>
      </c>
      <c r="N13" s="25" t="n">
        <f aca="false">IF(K13&gt;asof,K13+N(J13)/12,K13)</f>
        <v>2027.58333333333</v>
      </c>
      <c r="O13" s="25" t="n">
        <f aca="false">IF(K13&gt;asof,K13+IF(N(J13)&gt;0,N(J13),dly_d1_m)/12,K13)</f>
        <v>2028.08333333333</v>
      </c>
      <c r="P13" s="21" t="n">
        <f aca="false">IF(K13=9999,"",ROUNDUP(K13,0)-1)</f>
        <v>2027</v>
      </c>
      <c r="Q13" s="21" t="n">
        <f aca="false">IF(AND(N(G13)=1,K13&lt;9999,L13&gt;0),1,0)</f>
        <v>1</v>
      </c>
      <c r="R13" s="21" t="n">
        <f aca="false">IF(AND(K13&gt;asof,K13&lt;9999,N(S13)&lt;&gt;1,P13&gt;=dly_d2_y0,P13&lt;=dly_d2_y1),1,0)</f>
        <v>0</v>
      </c>
      <c r="S13" s="20" t="n">
        <f aca="false">IF(In!O261="","",In!O261)</f>
        <v>1</v>
      </c>
    </row>
    <row r="14" customFormat="false" ht="17.15" hidden="false" customHeight="false" outlineLevel="0" collapsed="false">
      <c r="A14" s="0" t="s">
        <v>809</v>
      </c>
      <c r="B14" s="20" t="str">
        <f aca="false">In!B262</f>
        <v>Prometheus 2028Q3 增量</v>
      </c>
      <c r="C14" s="20" t="str">
        <f aca="false">IF(In!H262="","",In!H262)</f>
        <v>meta</v>
      </c>
      <c r="D14" s="20" t="str">
        <f aca="false">IF(In!I262="","",In!I262)</f>
        <v>meta</v>
      </c>
      <c r="E14" s="20" t="n">
        <f aca="false">IF(In!J262="","",In!J262)</f>
        <v>154</v>
      </c>
      <c r="F14" s="20" t="str">
        <f aca="false">In!C262</f>
        <v>IT</v>
      </c>
      <c r="G14" s="20" t="n">
        <f aca="false">IF(In!N262="","",In!N262)</f>
        <v>1</v>
      </c>
      <c r="H14" s="20" t="n">
        <f aca="false">IF(In!K262="","",In!K262)</f>
        <v>2028</v>
      </c>
      <c r="I14" s="20" t="n">
        <f aca="false">IF(In!L262="","",In!L262)</f>
        <v>7</v>
      </c>
      <c r="J14" s="20" t="n">
        <f aca="false">N(In!M262)</f>
        <v>0</v>
      </c>
      <c r="K14" s="25" t="n">
        <f aca="false">IF(OR(H14="",I14=""),9999,H14+I14/12)</f>
        <v>2028.58333333333</v>
      </c>
      <c r="L14" s="25" t="n">
        <f aca="false">IF(E14="",0,IF(F14="設施",E14/1000/INDEX(Players!$D$13:$M$13,1,MAX(1,MIN(10,H14-2022))),E14/1000*g_ITtoFac))</f>
        <v>0.154</v>
      </c>
      <c r="M14" s="25" t="n">
        <f aca="false">K14</f>
        <v>2028.58333333333</v>
      </c>
      <c r="N14" s="25" t="n">
        <f aca="false">IF(K14&gt;asof,K14+N(J14)/12,K14)</f>
        <v>2028.58333333333</v>
      </c>
      <c r="O14" s="25" t="n">
        <f aca="false">IF(K14&gt;asof,K14+IF(N(J14)&gt;0,N(J14),dly_d1_m)/12,K14)</f>
        <v>2029.08333333333</v>
      </c>
      <c r="P14" s="21" t="n">
        <f aca="false">IF(K14=9999,"",ROUNDUP(K14,0)-1)</f>
        <v>2028</v>
      </c>
      <c r="Q14" s="21" t="n">
        <f aca="false">IF(AND(N(G14)=1,K14&lt;9999,L14&gt;0),1,0)</f>
        <v>1</v>
      </c>
      <c r="R14" s="21" t="n">
        <f aca="false">IF(AND(K14&gt;asof,K14&lt;9999,N(S14)&lt;&gt;1,P14&gt;=dly_d2_y0,P14&lt;=dly_d2_y1),1,0)</f>
        <v>0</v>
      </c>
      <c r="S14" s="20" t="n">
        <f aca="false">IF(In!O262="","",In!O262)</f>
        <v>1</v>
      </c>
    </row>
    <row r="15" customFormat="false" ht="17.15" hidden="false" customHeight="false" outlineLevel="0" collapsed="false">
      <c r="A15" s="0" t="s">
        <v>812</v>
      </c>
      <c r="B15" s="20" t="str">
        <f aca="false">In!B263</f>
        <v>Hyperion 一期</v>
      </c>
      <c r="C15" s="20" t="str">
        <f aca="false">IF(In!H263="","",In!H263)</f>
        <v>meta</v>
      </c>
      <c r="D15" s="20" t="str">
        <f aca="false">IF(In!I263="","",In!I263)</f>
        <v>meta</v>
      </c>
      <c r="E15" s="20" t="n">
        <f aca="false">IF(In!J263="","",In!J263)</f>
        <v>1632</v>
      </c>
      <c r="F15" s="20" t="str">
        <f aca="false">In!C263</f>
        <v>IT</v>
      </c>
      <c r="G15" s="20" t="n">
        <f aca="false">IF(In!N263="","",In!N263)</f>
        <v>1</v>
      </c>
      <c r="H15" s="20" t="n">
        <f aca="false">IF(In!K263="","",In!K263)</f>
        <v>2028</v>
      </c>
      <c r="I15" s="20" t="n">
        <f aca="false">IF(In!L263="","",In!L263)</f>
        <v>1</v>
      </c>
      <c r="J15" s="20" t="n">
        <f aca="false">N(In!M263)</f>
        <v>0</v>
      </c>
      <c r="K15" s="25" t="n">
        <f aca="false">IF(OR(H15="",I15=""),9999,H15+I15/12)</f>
        <v>2028.08333333333</v>
      </c>
      <c r="L15" s="25" t="n">
        <f aca="false">IF(E15="",0,IF(F15="設施",E15/1000/INDEX(Players!$D$13:$M$13,1,MAX(1,MIN(10,H15-2022))),E15/1000*g_ITtoFac))</f>
        <v>1.632</v>
      </c>
      <c r="M15" s="25" t="n">
        <f aca="false">K15</f>
        <v>2028.08333333333</v>
      </c>
      <c r="N15" s="25" t="n">
        <f aca="false">IF(K15&gt;asof,K15+N(J15)/12,K15)</f>
        <v>2028.08333333333</v>
      </c>
      <c r="O15" s="25" t="n">
        <f aca="false">IF(K15&gt;asof,K15+IF(N(J15)&gt;0,N(J15),dly_d1_m)/12,K15)</f>
        <v>2028.58333333333</v>
      </c>
      <c r="P15" s="21" t="n">
        <f aca="false">IF(K15=9999,"",ROUNDUP(K15,0)-1)</f>
        <v>2028</v>
      </c>
      <c r="Q15" s="21" t="n">
        <f aca="false">IF(AND(N(G15)=1,K15&lt;9999,L15&gt;0),1,0)</f>
        <v>1</v>
      </c>
      <c r="R15" s="21" t="n">
        <f aca="false">IF(AND(K15&gt;asof,K15&lt;9999,N(S15)&lt;&gt;1,P15&gt;=dly_d2_y0,P15&lt;=dly_d2_y1),1,0)</f>
        <v>0</v>
      </c>
      <c r="S15" s="20" t="n">
        <f aca="false">IF(In!O263="","",In!O263)</f>
        <v>1</v>
      </c>
    </row>
    <row r="16" customFormat="false" ht="17.15" hidden="false" customHeight="false" outlineLevel="0" collapsed="false">
      <c r="A16" s="0" t="s">
        <v>815</v>
      </c>
      <c r="B16" s="20" t="str">
        <f aca="false">In!B264</f>
        <v>Hyperion 至 2 GW（2030 前）</v>
      </c>
      <c r="C16" s="20" t="str">
        <f aca="false">IF(In!H264="","",In!H264)</f>
        <v>meta</v>
      </c>
      <c r="D16" s="20" t="str">
        <f aca="false">IF(In!I264="","",In!I264)</f>
        <v>meta</v>
      </c>
      <c r="E16" s="20" t="n">
        <f aca="false">IF(In!J264="","",In!J264)</f>
        <v>368</v>
      </c>
      <c r="F16" s="20" t="str">
        <f aca="false">In!C264</f>
        <v>未說明</v>
      </c>
      <c r="G16" s="20" t="n">
        <f aca="false">IF(In!N264="","",In!N264)</f>
        <v>1</v>
      </c>
      <c r="H16" s="20" t="n">
        <f aca="false">IF(In!K264="","",In!K264)</f>
        <v>2029</v>
      </c>
      <c r="I16" s="20" t="n">
        <f aca="false">IF(In!L264="","",In!L264)</f>
        <v>12</v>
      </c>
      <c r="J16" s="20" t="n">
        <f aca="false">N(In!M264)</f>
        <v>0</v>
      </c>
      <c r="K16" s="25" t="n">
        <f aca="false">IF(OR(H16="",I16=""),9999,H16+I16/12)</f>
        <v>2030</v>
      </c>
      <c r="L16" s="25" t="n">
        <f aca="false">IF(E16="",0,IF(F16="設施",E16/1000/INDEX(Players!$D$13:$M$13,1,MAX(1,MIN(10,H16-2022))),E16/1000*g_ITtoFac))</f>
        <v>0.368</v>
      </c>
      <c r="M16" s="25" t="n">
        <f aca="false">K16</f>
        <v>2030</v>
      </c>
      <c r="N16" s="25" t="n">
        <f aca="false">IF(K16&gt;asof,K16+N(J16)/12,K16)</f>
        <v>2030</v>
      </c>
      <c r="O16" s="25" t="n">
        <f aca="false">IF(K16&gt;asof,K16+IF(N(J16)&gt;0,N(J16),dly_d1_m)/12,K16)</f>
        <v>2030.5</v>
      </c>
      <c r="P16" s="21" t="n">
        <f aca="false">IF(K16=9999,"",ROUNDUP(K16,0)-1)</f>
        <v>2029</v>
      </c>
      <c r="Q16" s="21" t="n">
        <f aca="false">IF(AND(N(G16)=1,K16&lt;9999,L16&gt;0),1,0)</f>
        <v>1</v>
      </c>
      <c r="R16" s="21" t="n">
        <f aca="false">IF(AND(K16&gt;asof,K16&lt;9999,N(S16)&lt;&gt;1,P16&gt;=dly_d2_y0,P16&lt;=dly_d2_y1),1,0)</f>
        <v>0</v>
      </c>
      <c r="S16" s="20" t="n">
        <f aca="false">IF(In!O264="","",In!O264)</f>
        <v>0</v>
      </c>
    </row>
    <row r="17" customFormat="false" ht="17.15" hidden="false" customHeight="false" outlineLevel="0" collapsed="false">
      <c r="A17" s="0" t="s">
        <v>818</v>
      </c>
      <c r="B17" s="20" t="str">
        <f aca="false">In!B265</f>
        <v>El Paso（BlackRock 80% 合資）</v>
      </c>
      <c r="C17" s="20" t="str">
        <f aca="false">IF(In!H265="","",In!H265)</f>
        <v>meta</v>
      </c>
      <c r="D17" s="20" t="str">
        <f aca="false">IF(In!I265="","",In!I265)</f>
        <v>meta</v>
      </c>
      <c r="E17" s="20" t="n">
        <f aca="false">IF(In!J265="","",In!J265)</f>
        <v>1000</v>
      </c>
      <c r="F17" s="20" t="str">
        <f aca="false">In!C265</f>
        <v>未說明</v>
      </c>
      <c r="G17" s="20" t="n">
        <f aca="false">IF(In!N265="","",In!N265)</f>
        <v>1</v>
      </c>
      <c r="H17" s="20" t="n">
        <f aca="false">IF(In!K265="","",In!K265)</f>
        <v>2028</v>
      </c>
      <c r="I17" s="20" t="n">
        <f aca="false">IF(In!L265="","",In!L265)</f>
        <v>12</v>
      </c>
      <c r="J17" s="20" t="n">
        <f aca="false">N(In!M265)</f>
        <v>0</v>
      </c>
      <c r="K17" s="25" t="n">
        <f aca="false">IF(OR(H17="",I17=""),9999,H17+I17/12)</f>
        <v>2029</v>
      </c>
      <c r="L17" s="25" t="n">
        <f aca="false">IF(E17="",0,IF(F17="設施",E17/1000/INDEX(Players!$D$13:$M$13,1,MAX(1,MIN(10,H17-2022))),E17/1000*g_ITtoFac))</f>
        <v>1</v>
      </c>
      <c r="M17" s="25" t="n">
        <f aca="false">K17</f>
        <v>2029</v>
      </c>
      <c r="N17" s="25" t="n">
        <f aca="false">IF(K17&gt;asof,K17+N(J17)/12,K17)</f>
        <v>2029</v>
      </c>
      <c r="O17" s="25" t="n">
        <f aca="false">IF(K17&gt;asof,K17+IF(N(J17)&gt;0,N(J17),dly_d1_m)/12,K17)</f>
        <v>2029.5</v>
      </c>
      <c r="P17" s="21" t="n">
        <f aca="false">IF(K17=9999,"",ROUNDUP(K17,0)-1)</f>
        <v>2028</v>
      </c>
      <c r="Q17" s="21" t="n">
        <f aca="false">IF(AND(N(G17)=1,K17&lt;9999,L17&gt;0),1,0)</f>
        <v>1</v>
      </c>
      <c r="R17" s="21" t="n">
        <f aca="false">IF(AND(K17&gt;asof,K17&lt;9999,N(S17)&lt;&gt;1,P17&gt;=dly_d2_y0,P17&lt;=dly_d2_y1),1,0)</f>
        <v>1</v>
      </c>
      <c r="S17" s="20" t="n">
        <f aca="false">IF(In!O265="","",In!O265)</f>
        <v>0</v>
      </c>
    </row>
    <row r="18" customFormat="false" ht="17.15" hidden="false" customHeight="false" outlineLevel="0" collapsed="false">
      <c r="A18" s="0" t="s">
        <v>821</v>
      </c>
      <c r="B18" s="20" t="str">
        <f aca="false">In!B266</f>
        <v>Abilene 餘 2 棟（824 − 618）</v>
      </c>
      <c r="C18" s="20" t="str">
        <f aca="false">IF(In!H266="","",In!H266)</f>
        <v>orcl</v>
      </c>
      <c r="D18" s="20" t="str">
        <f aca="false">IF(In!I266="","",In!I266)</f>
        <v>oai</v>
      </c>
      <c r="E18" s="20" t="n">
        <f aca="false">IF(In!J266="","",In!J266)</f>
        <v>206</v>
      </c>
      <c r="F18" s="20" t="str">
        <f aca="false">In!C266</f>
        <v>未說明</v>
      </c>
      <c r="G18" s="20" t="n">
        <f aca="false">IF(In!N266="","",In!N266)</f>
        <v>1</v>
      </c>
      <c r="H18" s="20" t="n">
        <f aca="false">IF(In!K266="","",In!K266)</f>
        <v>2026</v>
      </c>
      <c r="I18" s="20" t="n">
        <f aca="false">IF(In!L266="","",In!L266)</f>
        <v>12</v>
      </c>
      <c r="J18" s="20" t="n">
        <f aca="false">N(In!M266)</f>
        <v>0</v>
      </c>
      <c r="K18" s="25" t="n">
        <f aca="false">IF(OR(H18="",I18=""),9999,H18+I18/12)</f>
        <v>2027</v>
      </c>
      <c r="L18" s="25" t="n">
        <f aca="false">IF(E18="",0,IF(F18="設施",E18/1000/INDEX(Players!$D$13:$M$13,1,MAX(1,MIN(10,H18-2022))),E18/1000*g_ITtoFac))</f>
        <v>0.206</v>
      </c>
      <c r="M18" s="25" t="n">
        <f aca="false">K18</f>
        <v>2027</v>
      </c>
      <c r="N18" s="25" t="n">
        <f aca="false">IF(K18&gt;asof,K18+N(J18)/12,K18)</f>
        <v>2027</v>
      </c>
      <c r="O18" s="25" t="n">
        <f aca="false">IF(K18&gt;asof,K18+IF(N(J18)&gt;0,N(J18),dly_d1_m)/12,K18)</f>
        <v>2027.5</v>
      </c>
      <c r="P18" s="21" t="n">
        <f aca="false">IF(K18=9999,"",ROUNDUP(K18,0)-1)</f>
        <v>2026</v>
      </c>
      <c r="Q18" s="21" t="n">
        <f aca="false">IF(AND(N(G18)=1,K18&lt;9999,L18&gt;0),1,0)</f>
        <v>1</v>
      </c>
      <c r="R18" s="21" t="n">
        <f aca="false">IF(AND(K18&gt;asof,K18&lt;9999,N(S18)&lt;&gt;1,P18&gt;=dly_d2_y0,P18&lt;=dly_d2_y1),1,0)</f>
        <v>0</v>
      </c>
      <c r="S18" s="20" t="n">
        <f aca="false">IF(In!O266="","",In!O266)</f>
        <v>0</v>
      </c>
    </row>
    <row r="19" customFormat="false" ht="17.15" hidden="false" customHeight="false" outlineLevel="0" collapsed="false">
      <c r="A19" s="0" t="s">
        <v>824</v>
      </c>
      <c r="B19" s="20" t="str">
        <f aca="false">In!B267</f>
        <v>Shackelford（Frontier）首棟</v>
      </c>
      <c r="C19" s="20" t="str">
        <f aca="false">IF(In!H267="","",In!H267)</f>
        <v>orcl</v>
      </c>
      <c r="D19" s="20" t="str">
        <f aca="false">IF(In!I267="","",In!I267)</f>
        <v>oai</v>
      </c>
      <c r="E19" s="20" t="n">
        <f aca="false">IF(In!J267="","",In!J267)</f>
        <v>600</v>
      </c>
      <c r="F19" s="20" t="str">
        <f aca="false">In!C267</f>
        <v>設施</v>
      </c>
      <c r="G19" s="20" t="n">
        <f aca="false">IF(In!N267="","",In!N267)</f>
        <v>1</v>
      </c>
      <c r="H19" s="20" t="n">
        <f aca="false">IF(In!K267="","",In!K267)</f>
        <v>2027</v>
      </c>
      <c r="I19" s="20" t="n">
        <f aca="false">IF(In!L267="","",In!L267)</f>
        <v>11</v>
      </c>
      <c r="J19" s="20" t="n">
        <f aca="false">N(In!M267)</f>
        <v>0</v>
      </c>
      <c r="K19" s="25" t="n">
        <f aca="false">IF(OR(H19="",I19=""),9999,H19+I19/12)</f>
        <v>2027.91666666667</v>
      </c>
      <c r="L19" s="25" t="n">
        <f aca="false">IF(E19="",0,IF(F19="設施",E19/1000/INDEX(Players!$D$13:$M$13,1,MAX(1,MIN(10,H19-2022))),E19/1000*g_ITtoFac))</f>
        <v>0.5</v>
      </c>
      <c r="M19" s="25" t="n">
        <f aca="false">K19</f>
        <v>2027.91666666667</v>
      </c>
      <c r="N19" s="25" t="n">
        <f aca="false">IF(K19&gt;asof,K19+N(J19)/12,K19)</f>
        <v>2027.91666666667</v>
      </c>
      <c r="O19" s="25" t="n">
        <f aca="false">IF(K19&gt;asof,K19+IF(N(J19)&gt;0,N(J19),dly_d1_m)/12,K19)</f>
        <v>2028.41666666667</v>
      </c>
      <c r="P19" s="21" t="n">
        <f aca="false">IF(K19=9999,"",ROUNDUP(K19,0)-1)</f>
        <v>2027</v>
      </c>
      <c r="Q19" s="21" t="n">
        <f aca="false">IF(AND(N(G19)=1,K19&lt;9999,L19&gt;0),1,0)</f>
        <v>1</v>
      </c>
      <c r="R19" s="21" t="n">
        <f aca="false">IF(AND(K19&gt;asof,K19&lt;9999,N(S19)&lt;&gt;1,P19&gt;=dly_d2_y0,P19&lt;=dly_d2_y1),1,0)</f>
        <v>1</v>
      </c>
      <c r="S19" s="20" t="n">
        <f aca="false">IF(In!O267="","",In!O267)</f>
        <v>0</v>
      </c>
    </row>
    <row r="20" customFormat="false" ht="17.15" hidden="false" customHeight="false" outlineLevel="0" collapsed="false">
      <c r="A20" s="0" t="s">
        <v>827</v>
      </c>
      <c r="B20" s="20" t="str">
        <f aca="false">In!B268</f>
        <v>Shackelford 其餘 9 棟</v>
      </c>
      <c r="C20" s="20" t="str">
        <f aca="false">IF(In!H268="","",In!H268)</f>
        <v>orcl</v>
      </c>
      <c r="D20" s="20" t="str">
        <f aca="false">IF(In!I268="","",In!I268)</f>
        <v>oai</v>
      </c>
      <c r="E20" s="20" t="n">
        <f aca="false">IF(In!J268="","",In!J268)</f>
        <v>1400</v>
      </c>
      <c r="F20" s="20" t="str">
        <f aca="false">In!C268</f>
        <v>設施</v>
      </c>
      <c r="G20" s="20" t="n">
        <f aca="false">IF(In!N268="","",In!N268)</f>
        <v>1</v>
      </c>
      <c r="H20" s="20" t="n">
        <f aca="false">IF(In!K268="","",In!K268)</f>
        <v>2028</v>
      </c>
      <c r="I20" s="20" t="n">
        <f aca="false">IF(In!L268="","",In!L268)</f>
        <v>11</v>
      </c>
      <c r="J20" s="20" t="n">
        <f aca="false">N(In!M268)</f>
        <v>0</v>
      </c>
      <c r="K20" s="25" t="n">
        <f aca="false">IF(OR(H20="",I20=""),9999,H20+I20/12)</f>
        <v>2028.91666666667</v>
      </c>
      <c r="L20" s="25" t="n">
        <f aca="false">IF(E20="",0,IF(F20="設施",E20/1000/INDEX(Players!$D$13:$M$13,1,MAX(1,MIN(10,H20-2022))),E20/1000*g_ITtoFac))</f>
        <v>1.16666666666667</v>
      </c>
      <c r="M20" s="25" t="n">
        <f aca="false">K20</f>
        <v>2028.91666666667</v>
      </c>
      <c r="N20" s="25" t="n">
        <f aca="false">IF(K20&gt;asof,K20+N(J20)/12,K20)</f>
        <v>2028.91666666667</v>
      </c>
      <c r="O20" s="25" t="n">
        <f aca="false">IF(K20&gt;asof,K20+IF(N(J20)&gt;0,N(J20),dly_d1_m)/12,K20)</f>
        <v>2029.41666666667</v>
      </c>
      <c r="P20" s="21" t="n">
        <f aca="false">IF(K20=9999,"",ROUNDUP(K20,0)-1)</f>
        <v>2028</v>
      </c>
      <c r="Q20" s="21" t="n">
        <f aca="false">IF(AND(N(G20)=1,K20&lt;9999,L20&gt;0),1,0)</f>
        <v>1</v>
      </c>
      <c r="R20" s="21" t="n">
        <f aca="false">IF(AND(K20&gt;asof,K20&lt;9999,N(S20)&lt;&gt;1,P20&gt;=dly_d2_y0,P20&lt;=dly_d2_y1),1,0)</f>
        <v>1</v>
      </c>
      <c r="S20" s="20" t="n">
        <f aca="false">IF(In!O268="","",In!O268)</f>
        <v>0</v>
      </c>
    </row>
    <row r="21" customFormat="false" ht="17.15" hidden="false" customHeight="false" outlineLevel="0" collapsed="false">
      <c r="A21" s="0" t="s">
        <v>830</v>
      </c>
      <c r="B21" s="20" t="str">
        <f aca="false">In!B269</f>
        <v>Doña Ana（Project Jupiter）</v>
      </c>
      <c r="C21" s="20" t="str">
        <f aca="false">IF(In!H269="","",In!H269)</f>
        <v>orcl</v>
      </c>
      <c r="D21" s="20" t="str">
        <f aca="false">IF(In!I269="","",In!I269)</f>
        <v>oai</v>
      </c>
      <c r="E21" s="20" t="n">
        <f aca="false">IF(In!J269="","",In!J269)</f>
        <v>2200</v>
      </c>
      <c r="F21" s="20" t="str">
        <f aca="false">In!C269</f>
        <v>設施</v>
      </c>
      <c r="G21" s="20" t="n">
        <f aca="false">IF(In!N269="","",In!N269)</f>
        <v>1</v>
      </c>
      <c r="H21" s="20" t="n">
        <f aca="false">IF(In!K269="","",In!K269)</f>
        <v>2028</v>
      </c>
      <c r="I21" s="20" t="n">
        <f aca="false">IF(In!L269="","",In!L269)</f>
        <v>12</v>
      </c>
      <c r="J21" s="20" t="n">
        <f aca="false">N(In!M269)</f>
        <v>0</v>
      </c>
      <c r="K21" s="25" t="n">
        <f aca="false">IF(OR(H21="",I21=""),9999,H21+I21/12)</f>
        <v>2029</v>
      </c>
      <c r="L21" s="25" t="n">
        <f aca="false">IF(E21="",0,IF(F21="設施",E21/1000/INDEX(Players!$D$13:$M$13,1,MAX(1,MIN(10,H21-2022))),E21/1000*g_ITtoFac))</f>
        <v>1.83333333333333</v>
      </c>
      <c r="M21" s="25" t="n">
        <f aca="false">K21</f>
        <v>2029</v>
      </c>
      <c r="N21" s="25" t="n">
        <f aca="false">IF(K21&gt;asof,K21+N(J21)/12,K21)</f>
        <v>2029</v>
      </c>
      <c r="O21" s="25" t="n">
        <f aca="false">IF(K21&gt;asof,K21+IF(N(J21)&gt;0,N(J21),dly_d1_m)/12,K21)</f>
        <v>2029.5</v>
      </c>
      <c r="P21" s="21" t="n">
        <f aca="false">IF(K21=9999,"",ROUNDUP(K21,0)-1)</f>
        <v>2028</v>
      </c>
      <c r="Q21" s="21" t="n">
        <f aca="false">IF(AND(N(G21)=1,K21&lt;9999,L21&gt;0),1,0)</f>
        <v>1</v>
      </c>
      <c r="R21" s="21" t="n">
        <f aca="false">IF(AND(K21&gt;asof,K21&lt;9999,N(S21)&lt;&gt;1,P21&gt;=dly_d2_y0,P21&lt;=dly_d2_y1),1,0)</f>
        <v>1</v>
      </c>
      <c r="S21" s="20" t="n">
        <f aca="false">IF(In!O269="","",In!O269)</f>
        <v>0</v>
      </c>
    </row>
    <row r="22" customFormat="false" ht="17.15" hidden="false" customHeight="false" outlineLevel="0" collapsed="false">
      <c r="A22" s="0" t="s">
        <v>833</v>
      </c>
      <c r="B22" s="20" t="str">
        <f aca="false">In!B270</f>
        <v>Port Washington（Lighthouse）</v>
      </c>
      <c r="C22" s="20" t="str">
        <f aca="false">IF(In!H270="","",In!H270)</f>
        <v>orcl</v>
      </c>
      <c r="D22" s="20" t="str">
        <f aca="false">IF(In!I270="","",In!I270)</f>
        <v>oai</v>
      </c>
      <c r="E22" s="20" t="n">
        <f aca="false">IF(In!J270="","",In!J270)</f>
        <v>1300</v>
      </c>
      <c r="F22" s="20" t="str">
        <f aca="false">In!C270</f>
        <v>設施</v>
      </c>
      <c r="G22" s="20" t="n">
        <f aca="false">IF(In!N270="","",In!N270)</f>
        <v>1</v>
      </c>
      <c r="H22" s="20" t="n">
        <f aca="false">IF(In!K270="","",In!K270)</f>
        <v>2028</v>
      </c>
      <c r="I22" s="20" t="n">
        <f aca="false">IF(In!L270="","",In!L270)</f>
        <v>12</v>
      </c>
      <c r="J22" s="20" t="n">
        <f aca="false">N(In!M270)</f>
        <v>0</v>
      </c>
      <c r="K22" s="25" t="n">
        <f aca="false">IF(OR(H22="",I22=""),9999,H22+I22/12)</f>
        <v>2029</v>
      </c>
      <c r="L22" s="25" t="n">
        <f aca="false">IF(E22="",0,IF(F22="設施",E22/1000/INDEX(Players!$D$13:$M$13,1,MAX(1,MIN(10,H22-2022))),E22/1000*g_ITtoFac))</f>
        <v>1.08333333333333</v>
      </c>
      <c r="M22" s="25" t="n">
        <f aca="false">K22</f>
        <v>2029</v>
      </c>
      <c r="N22" s="25" t="n">
        <f aca="false">IF(K22&gt;asof,K22+N(J22)/12,K22)</f>
        <v>2029</v>
      </c>
      <c r="O22" s="25" t="n">
        <f aca="false">IF(K22&gt;asof,K22+IF(N(J22)&gt;0,N(J22),dly_d1_m)/12,K22)</f>
        <v>2029.5</v>
      </c>
      <c r="P22" s="21" t="n">
        <f aca="false">IF(K22=9999,"",ROUNDUP(K22,0)-1)</f>
        <v>2028</v>
      </c>
      <c r="Q22" s="21" t="n">
        <f aca="false">IF(AND(N(G22)=1,K22&lt;9999,L22&gt;0),1,0)</f>
        <v>1</v>
      </c>
      <c r="R22" s="21" t="n">
        <f aca="false">IF(AND(K22&gt;asof,K22&lt;9999,N(S22)&lt;&gt;1,P22&gt;=dly_d2_y0,P22&lt;=dly_d2_y1),1,0)</f>
        <v>1</v>
      </c>
      <c r="S22" s="20" t="n">
        <f aca="false">IF(In!O270="","",In!O270)</f>
        <v>0</v>
      </c>
    </row>
    <row r="23" customFormat="false" ht="17.15" hidden="false" customHeight="false" outlineLevel="0" collapsed="false">
      <c r="A23" s="0" t="s">
        <v>836</v>
      </c>
      <c r="B23" s="20" t="str">
        <f aca="false">In!B271</f>
        <v>Saline Township（The Barn）</v>
      </c>
      <c r="C23" s="20" t="str">
        <f aca="false">IF(In!H271="","",In!H271)</f>
        <v>orcl</v>
      </c>
      <c r="D23" s="20" t="str">
        <f aca="false">IF(In!I271="","",In!I271)</f>
        <v>oai</v>
      </c>
      <c r="E23" s="20" t="n">
        <f aca="false">IF(In!J271="","",In!J271)</f>
        <v>922</v>
      </c>
      <c r="F23" s="20" t="str">
        <f aca="false">In!C271</f>
        <v>設施</v>
      </c>
      <c r="G23" s="20" t="n">
        <f aca="false">IF(In!N271="","",In!N271)</f>
        <v>1</v>
      </c>
      <c r="H23" s="20" t="n">
        <f aca="false">IF(In!K271="","",In!K271)</f>
        <v>2028</v>
      </c>
      <c r="I23" s="20" t="n">
        <f aca="false">IF(In!L271="","",In!L271)</f>
        <v>12</v>
      </c>
      <c r="J23" s="20" t="n">
        <f aca="false">N(In!M271)</f>
        <v>0</v>
      </c>
      <c r="K23" s="25" t="n">
        <f aca="false">IF(OR(H23="",I23=""),9999,H23+I23/12)</f>
        <v>2029</v>
      </c>
      <c r="L23" s="25" t="n">
        <f aca="false">IF(E23="",0,IF(F23="設施",E23/1000/INDEX(Players!$D$13:$M$13,1,MAX(1,MIN(10,H23-2022))),E23/1000*g_ITtoFac))</f>
        <v>0.768333333333333</v>
      </c>
      <c r="M23" s="25" t="n">
        <f aca="false">K23</f>
        <v>2029</v>
      </c>
      <c r="N23" s="25" t="n">
        <f aca="false">IF(K23&gt;asof,K23+N(J23)/12,K23)</f>
        <v>2029</v>
      </c>
      <c r="O23" s="25" t="n">
        <f aca="false">IF(K23&gt;asof,K23+IF(N(J23)&gt;0,N(J23),dly_d1_m)/12,K23)</f>
        <v>2029.5</v>
      </c>
      <c r="P23" s="21" t="n">
        <f aca="false">IF(K23=9999,"",ROUNDUP(K23,0)-1)</f>
        <v>2028</v>
      </c>
      <c r="Q23" s="21" t="n">
        <f aca="false">IF(AND(N(G23)=1,K23&lt;9999,L23&gt;0),1,0)</f>
        <v>1</v>
      </c>
      <c r="R23" s="21" t="n">
        <f aca="false">IF(AND(K23&gt;asof,K23&lt;9999,N(S23)&lt;&gt;1,P23&gt;=dly_d2_y0,P23&lt;=dly_d2_y1),1,0)</f>
        <v>1</v>
      </c>
      <c r="S23" s="20" t="n">
        <f aca="false">IF(In!O271="","",In!O271)</f>
        <v>0</v>
      </c>
    </row>
    <row r="24" customFormat="false" ht="17.15" hidden="false" customHeight="false" outlineLevel="0" collapsed="false">
      <c r="A24" s="0" t="s">
        <v>839</v>
      </c>
      <c r="B24" s="20" t="str">
        <f aca="false">In!B272</f>
        <v>Helios Phase II（Galaxy 房東）</v>
      </c>
      <c r="C24" s="20" t="str">
        <f aca="false">IF(In!H272="","",In!H272)</f>
        <v>crwv</v>
      </c>
      <c r="D24" s="20" t="str">
        <f aca="false">IF(In!I272="","",In!I272)</f>
        <v/>
      </c>
      <c r="E24" s="20" t="n">
        <f aca="false">IF(In!J272="","",In!J272)</f>
        <v>260</v>
      </c>
      <c r="F24" s="20" t="str">
        <f aca="false">In!C272</f>
        <v>IT</v>
      </c>
      <c r="G24" s="20" t="n">
        <f aca="false">IF(In!N272="","",In!N272)</f>
        <v>1</v>
      </c>
      <c r="H24" s="20" t="n">
        <f aca="false">IF(In!K272="","",In!K272)</f>
        <v>2027</v>
      </c>
      <c r="I24" s="20" t="n">
        <f aca="false">IF(In!L272="","",In!L272)</f>
        <v>6</v>
      </c>
      <c r="J24" s="20" t="n">
        <f aca="false">N(In!M272)</f>
        <v>0</v>
      </c>
      <c r="K24" s="25" t="n">
        <f aca="false">IF(OR(H24="",I24=""),9999,H24+I24/12)</f>
        <v>2027.5</v>
      </c>
      <c r="L24" s="25" t="n">
        <f aca="false">IF(E24="",0,IF(F24="設施",E24/1000/INDEX(Players!$D$13:$M$13,1,MAX(1,MIN(10,H24-2022))),E24/1000*g_ITtoFac))</f>
        <v>0.26</v>
      </c>
      <c r="M24" s="25" t="n">
        <f aca="false">K24</f>
        <v>2027.5</v>
      </c>
      <c r="N24" s="25" t="n">
        <f aca="false">IF(K24&gt;asof,K24+N(J24)/12,K24)</f>
        <v>2027.5</v>
      </c>
      <c r="O24" s="25" t="n">
        <f aca="false">IF(K24&gt;asof,K24+IF(N(J24)&gt;0,N(J24),dly_d1_m)/12,K24)</f>
        <v>2028</v>
      </c>
      <c r="P24" s="21" t="n">
        <f aca="false">IF(K24=9999,"",ROUNDUP(K24,0)-1)</f>
        <v>2027</v>
      </c>
      <c r="Q24" s="21" t="n">
        <f aca="false">IF(AND(N(G24)=1,K24&lt;9999,L24&gt;0),1,0)</f>
        <v>1</v>
      </c>
      <c r="R24" s="21" t="n">
        <f aca="false">IF(AND(K24&gt;asof,K24&lt;9999,N(S24)&lt;&gt;1,P24&gt;=dly_d2_y0,P24&lt;=dly_d2_y1),1,0)</f>
        <v>1</v>
      </c>
      <c r="S24" s="20" t="n">
        <f aca="false">IF(In!O272="","",In!O272)</f>
        <v>0</v>
      </c>
    </row>
    <row r="25" customFormat="false" ht="17.15" hidden="false" customHeight="false" outlineLevel="0" collapsed="false">
      <c r="A25" s="0" t="s">
        <v>843</v>
      </c>
      <c r="B25" s="20" t="str">
        <f aca="false">In!B273</f>
        <v>IREN Childress H3–4（Microsoft）</v>
      </c>
      <c r="C25" s="20" t="str">
        <f aca="false">IF(In!H273="","",In!H273)</f>
        <v>neo</v>
      </c>
      <c r="D25" s="20" t="str">
        <f aca="false">IF(In!I273="","",In!I273)</f>
        <v>msft</v>
      </c>
      <c r="E25" s="20" t="n">
        <f aca="false">IF(In!J273="","",In!J273)</f>
        <v>100</v>
      </c>
      <c r="F25" s="20" t="str">
        <f aca="false">In!C273</f>
        <v>IT</v>
      </c>
      <c r="G25" s="20" t="n">
        <f aca="false">IF(In!N273="","",In!N273)</f>
        <v>1</v>
      </c>
      <c r="H25" s="20" t="n">
        <f aca="false">IF(In!K273="","",In!K273)</f>
        <v>2026</v>
      </c>
      <c r="I25" s="20" t="n">
        <f aca="false">IF(In!L273="","",In!L273)</f>
        <v>12</v>
      </c>
      <c r="J25" s="20" t="n">
        <f aca="false">N(In!M273)</f>
        <v>0</v>
      </c>
      <c r="K25" s="25" t="n">
        <f aca="false">IF(OR(H25="",I25=""),9999,H25+I25/12)</f>
        <v>2027</v>
      </c>
      <c r="L25" s="25" t="n">
        <f aca="false">IF(E25="",0,IF(F25="設施",E25/1000/INDEX(Players!$D$13:$M$13,1,MAX(1,MIN(10,H25-2022))),E25/1000*g_ITtoFac))</f>
        <v>0.1</v>
      </c>
      <c r="M25" s="25" t="n">
        <f aca="false">K25</f>
        <v>2027</v>
      </c>
      <c r="N25" s="25" t="n">
        <f aca="false">IF(K25&gt;asof,K25+N(J25)/12,K25)</f>
        <v>2027</v>
      </c>
      <c r="O25" s="25" t="n">
        <f aca="false">IF(K25&gt;asof,K25+IF(N(J25)&gt;0,N(J25),dly_d1_m)/12,K25)</f>
        <v>2027.5</v>
      </c>
      <c r="P25" s="21" t="n">
        <f aca="false">IF(K25=9999,"",ROUNDUP(K25,0)-1)</f>
        <v>2026</v>
      </c>
      <c r="Q25" s="21" t="n">
        <f aca="false">IF(AND(N(G25)=1,K25&lt;9999,L25&gt;0),1,0)</f>
        <v>1</v>
      </c>
      <c r="R25" s="21" t="n">
        <f aca="false">IF(AND(K25&gt;asof,K25&lt;9999,N(S25)&lt;&gt;1,P25&gt;=dly_d2_y0,P25&lt;=dly_d2_y1),1,0)</f>
        <v>0</v>
      </c>
      <c r="S25" s="20" t="n">
        <f aca="false">IF(In!O273="","",In!O273)</f>
        <v>0</v>
      </c>
    </row>
    <row r="26" customFormat="false" ht="17.15" hidden="false" customHeight="false" outlineLevel="0" collapsed="false">
      <c r="A26" s="0" t="s">
        <v>846</v>
      </c>
      <c r="B26" s="20" t="str">
        <f aca="false">In!B274</f>
        <v>IREN 2027 累計 0.8 GW 目標增量</v>
      </c>
      <c r="C26" s="20" t="str">
        <f aca="false">IF(In!H274="","",In!H274)</f>
        <v>neo</v>
      </c>
      <c r="D26" s="20" t="str">
        <f aca="false">IF(In!I274="","",In!I274)</f>
        <v/>
      </c>
      <c r="E26" s="20" t="n">
        <f aca="false">IF(In!J274="","",In!J274)</f>
        <v>500</v>
      </c>
      <c r="F26" s="20" t="str">
        <f aca="false">In!C274</f>
        <v>IT</v>
      </c>
      <c r="G26" s="20" t="n">
        <f aca="false">IF(In!N274="","",In!N274)</f>
        <v>1</v>
      </c>
      <c r="H26" s="20" t="n">
        <f aca="false">IF(In!K274="","",In!K274)</f>
        <v>2027</v>
      </c>
      <c r="I26" s="20" t="n">
        <f aca="false">IF(In!L274="","",In!L274)</f>
        <v>12</v>
      </c>
      <c r="J26" s="20" t="n">
        <f aca="false">N(In!M274)</f>
        <v>0</v>
      </c>
      <c r="K26" s="25" t="n">
        <f aca="false">IF(OR(H26="",I26=""),9999,H26+I26/12)</f>
        <v>2028</v>
      </c>
      <c r="L26" s="25" t="n">
        <f aca="false">IF(E26="",0,IF(F26="設施",E26/1000/INDEX(Players!$D$13:$M$13,1,MAX(1,MIN(10,H26-2022))),E26/1000*g_ITtoFac))</f>
        <v>0.5</v>
      </c>
      <c r="M26" s="25" t="n">
        <f aca="false">K26</f>
        <v>2028</v>
      </c>
      <c r="N26" s="25" t="n">
        <f aca="false">IF(K26&gt;asof,K26+N(J26)/12,K26)</f>
        <v>2028</v>
      </c>
      <c r="O26" s="25" t="n">
        <f aca="false">IF(K26&gt;asof,K26+IF(N(J26)&gt;0,N(J26),dly_d1_m)/12,K26)</f>
        <v>2028.5</v>
      </c>
      <c r="P26" s="21" t="n">
        <f aca="false">IF(K26=9999,"",ROUNDUP(K26,0)-1)</f>
        <v>2027</v>
      </c>
      <c r="Q26" s="21" t="n">
        <f aca="false">IF(AND(N(G26)=1,K26&lt;9999,L26&gt;0),1,0)</f>
        <v>1</v>
      </c>
      <c r="R26" s="21" t="n">
        <f aca="false">IF(AND(K26&gt;asof,K26&lt;9999,N(S26)&lt;&gt;1,P26&gt;=dly_d2_y0,P26&lt;=dly_d2_y1),1,0)</f>
        <v>1</v>
      </c>
      <c r="S26" s="20" t="n">
        <f aca="false">IF(In!O274="","",In!O274)</f>
        <v>0</v>
      </c>
    </row>
    <row r="27" customFormat="false" ht="17.15" hidden="false" customHeight="false" outlineLevel="0" collapsed="false">
      <c r="A27" s="0" t="s">
        <v>849</v>
      </c>
      <c r="B27" s="20" t="str">
        <f aca="false">In!B275</f>
        <v>TeraWulf Kentucky（Anthropic）首期</v>
      </c>
      <c r="C27" s="20" t="str">
        <f aca="false">IF(In!H275="","",In!H275)</f>
        <v>neo</v>
      </c>
      <c r="D27" s="20" t="str">
        <f aca="false">IF(In!I275="","",In!I275)</f>
        <v>ant</v>
      </c>
      <c r="E27" s="20" t="n">
        <f aca="false">IF(In!J275="","",In!J275)</f>
        <v>200</v>
      </c>
      <c r="F27" s="20" t="str">
        <f aca="false">In!C275</f>
        <v>IT</v>
      </c>
      <c r="G27" s="20" t="n">
        <f aca="false">IF(In!N275="","",In!N275)</f>
        <v>1</v>
      </c>
      <c r="H27" s="20" t="n">
        <f aca="false">IF(In!K275="","",In!K275)</f>
        <v>2027</v>
      </c>
      <c r="I27" s="20" t="n">
        <f aca="false">IF(In!L275="","",In!L275)</f>
        <v>9</v>
      </c>
      <c r="J27" s="20" t="n">
        <f aca="false">N(In!M275)</f>
        <v>0</v>
      </c>
      <c r="K27" s="25" t="n">
        <f aca="false">IF(OR(H27="",I27=""),9999,H27+I27/12)</f>
        <v>2027.75</v>
      </c>
      <c r="L27" s="25" t="n">
        <f aca="false">IF(E27="",0,IF(F27="設施",E27/1000/INDEX(Players!$D$13:$M$13,1,MAX(1,MIN(10,H27-2022))),E27/1000*g_ITtoFac))</f>
        <v>0.2</v>
      </c>
      <c r="M27" s="25" t="n">
        <f aca="false">K27</f>
        <v>2027.75</v>
      </c>
      <c r="N27" s="25" t="n">
        <f aca="false">IF(K27&gt;asof,K27+N(J27)/12,K27)</f>
        <v>2027.75</v>
      </c>
      <c r="O27" s="25" t="n">
        <f aca="false">IF(K27&gt;asof,K27+IF(N(J27)&gt;0,N(J27),dly_d1_m)/12,K27)</f>
        <v>2028.25</v>
      </c>
      <c r="P27" s="21" t="n">
        <f aca="false">IF(K27=9999,"",ROUNDUP(K27,0)-1)</f>
        <v>2027</v>
      </c>
      <c r="Q27" s="21" t="n">
        <f aca="false">IF(AND(N(G27)=1,K27&lt;9999,L27&gt;0),1,0)</f>
        <v>1</v>
      </c>
      <c r="R27" s="21" t="n">
        <f aca="false">IF(AND(K27&gt;asof,K27&lt;9999,N(S27)&lt;&gt;1,P27&gt;=dly_d2_y0,P27&lt;=dly_d2_y1),1,0)</f>
        <v>1</v>
      </c>
      <c r="S27" s="20" t="n">
        <f aca="false">IF(In!O275="","",In!O275)</f>
        <v>0</v>
      </c>
    </row>
    <row r="28" customFormat="false" ht="17.15" hidden="false" customHeight="false" outlineLevel="0" collapsed="false">
      <c r="A28" s="0" t="s">
        <v>852</v>
      </c>
      <c r="B28" s="20" t="str">
        <f aca="false">In!B276</f>
        <v>TeraWulf Kentucky 其餘</v>
      </c>
      <c r="C28" s="20" t="str">
        <f aca="false">IF(In!H276="","",In!H276)</f>
        <v>neo</v>
      </c>
      <c r="D28" s="20" t="str">
        <f aca="false">IF(In!I276="","",In!I276)</f>
        <v>ant</v>
      </c>
      <c r="E28" s="20" t="n">
        <f aca="false">IF(In!J276="","",In!J276)</f>
        <v>201</v>
      </c>
      <c r="F28" s="20" t="str">
        <f aca="false">In!C276</f>
        <v>IT</v>
      </c>
      <c r="G28" s="20" t="n">
        <f aca="false">IF(In!N276="","",In!N276)</f>
        <v>1</v>
      </c>
      <c r="H28" s="20" t="n">
        <f aca="false">IF(In!K276="","",In!K276)</f>
        <v>2028</v>
      </c>
      <c r="I28" s="20" t="n">
        <f aca="false">IF(In!L276="","",In!L276)</f>
        <v>2</v>
      </c>
      <c r="J28" s="20" t="n">
        <f aca="false">N(In!M276)</f>
        <v>0</v>
      </c>
      <c r="K28" s="25" t="n">
        <f aca="false">IF(OR(H28="",I28=""),9999,H28+I28/12)</f>
        <v>2028.16666666667</v>
      </c>
      <c r="L28" s="25" t="n">
        <f aca="false">IF(E28="",0,IF(F28="設施",E28/1000/INDEX(Players!$D$13:$M$13,1,MAX(1,MIN(10,H28-2022))),E28/1000*g_ITtoFac))</f>
        <v>0.201</v>
      </c>
      <c r="M28" s="25" t="n">
        <f aca="false">K28</f>
        <v>2028.16666666667</v>
      </c>
      <c r="N28" s="25" t="n">
        <f aca="false">IF(K28&gt;asof,K28+N(J28)/12,K28)</f>
        <v>2028.16666666667</v>
      </c>
      <c r="O28" s="25" t="n">
        <f aca="false">IF(K28&gt;asof,K28+IF(N(J28)&gt;0,N(J28),dly_d1_m)/12,K28)</f>
        <v>2028.66666666667</v>
      </c>
      <c r="P28" s="21" t="n">
        <f aca="false">IF(K28=9999,"",ROUNDUP(K28,0)-1)</f>
        <v>2028</v>
      </c>
      <c r="Q28" s="21" t="n">
        <f aca="false">IF(AND(N(G28)=1,K28&lt;9999,L28&gt;0),1,0)</f>
        <v>1</v>
      </c>
      <c r="R28" s="21" t="n">
        <f aca="false">IF(AND(K28&gt;asof,K28&lt;9999,N(S28)&lt;&gt;1,P28&gt;=dly_d2_y0,P28&lt;=dly_d2_y1),1,0)</f>
        <v>1</v>
      </c>
      <c r="S28" s="20" t="n">
        <f aca="false">IF(In!O276="","",In!O276)</f>
        <v>0</v>
      </c>
    </row>
    <row r="29" customFormat="false" ht="17.15" hidden="false" customHeight="false" outlineLevel="0" collapsed="false">
      <c r="A29" s="0" t="s">
        <v>854</v>
      </c>
      <c r="B29" s="20" t="str">
        <f aca="false">In!B277</f>
        <v>Ports Pike（SB Energy）首期 4.25 IT-GW 第 1 段</v>
      </c>
      <c r="C29" s="20" t="str">
        <f aca="false">IF(In!H277="","",In!H277)</f>
        <v>oai</v>
      </c>
      <c r="D29" s="20" t="str">
        <f aca="false">IF(In!I277="","",In!I277)</f>
        <v>oai</v>
      </c>
      <c r="E29" s="20" t="n">
        <f aca="false">IF(In!J277="","",In!J277)</f>
        <v>800</v>
      </c>
      <c r="F29" s="20" t="str">
        <f aca="false">In!C277</f>
        <v>IT</v>
      </c>
      <c r="G29" s="20" t="n">
        <f aca="false">IF(In!N277="","",In!N277)</f>
        <v>1</v>
      </c>
      <c r="H29" s="20" t="n">
        <f aca="false">IF(In!K277="","",In!K277)</f>
        <v>2028</v>
      </c>
      <c r="I29" s="20" t="n">
        <f aca="false">IF(In!L277="","",In!L277)</f>
        <v>12</v>
      </c>
      <c r="J29" s="20" t="n">
        <f aca="false">N(In!M277)</f>
        <v>0</v>
      </c>
      <c r="K29" s="25" t="n">
        <f aca="false">IF(OR(H29="",I29=""),9999,H29+I29/12)</f>
        <v>2029</v>
      </c>
      <c r="L29" s="25" t="n">
        <f aca="false">IF(E29="",0,IF(F29="設施",E29/1000/INDEX(Players!$D$13:$M$13,1,MAX(1,MIN(10,H29-2022))),E29/1000*g_ITtoFac))</f>
        <v>0.8</v>
      </c>
      <c r="M29" s="25" t="n">
        <f aca="false">K29</f>
        <v>2029</v>
      </c>
      <c r="N29" s="25" t="n">
        <f aca="false">IF(K29&gt;asof,K29+N(J29)/12,K29)</f>
        <v>2029</v>
      </c>
      <c r="O29" s="25" t="n">
        <f aca="false">IF(K29&gt;asof,K29+IF(N(J29)&gt;0,N(J29),dly_d1_m)/12,K29)</f>
        <v>2029.5</v>
      </c>
      <c r="P29" s="21" t="n">
        <f aca="false">IF(K29=9999,"",ROUNDUP(K29,0)-1)</f>
        <v>2028</v>
      </c>
      <c r="Q29" s="21" t="n">
        <f aca="false">IF(AND(N(G29)=1,K29&lt;9999,L29&gt;0),1,0)</f>
        <v>1</v>
      </c>
      <c r="R29" s="21" t="n">
        <f aca="false">IF(AND(K29&gt;asof,K29&lt;9999,N(S29)&lt;&gt;1,P29&gt;=dly_d2_y0,P29&lt;=dly_d2_y1),1,0)</f>
        <v>1</v>
      </c>
      <c r="S29" s="20" t="n">
        <f aca="false">IF(In!O277="","",In!O277)</f>
        <v>0</v>
      </c>
    </row>
    <row r="30" customFormat="false" ht="17.15" hidden="false" customHeight="false" outlineLevel="0" collapsed="false">
      <c r="A30" s="0" t="s">
        <v>857</v>
      </c>
      <c r="B30" s="20" t="str">
        <f aca="false">In!B278</f>
        <v>Ports Pike（SB Energy）首期 4.25 IT-GW 第 2 段</v>
      </c>
      <c r="C30" s="20" t="str">
        <f aca="false">IF(In!H278="","",In!H278)</f>
        <v>oai</v>
      </c>
      <c r="D30" s="20" t="str">
        <f aca="false">IF(In!I278="","",In!I278)</f>
        <v>oai</v>
      </c>
      <c r="E30" s="20" t="n">
        <f aca="false">IF(In!J278="","",In!J278)</f>
        <v>1149</v>
      </c>
      <c r="F30" s="20" t="str">
        <f aca="false">In!C278</f>
        <v>IT</v>
      </c>
      <c r="G30" s="20" t="n">
        <f aca="false">IF(In!N278="","",In!N278)</f>
        <v>1</v>
      </c>
      <c r="H30" s="20" t="n">
        <f aca="false">IF(In!K278="","",In!K278)</f>
        <v>2029</v>
      </c>
      <c r="I30" s="20" t="n">
        <f aca="false">IF(In!L278="","",In!L278)</f>
        <v>12</v>
      </c>
      <c r="J30" s="20" t="n">
        <f aca="false">N(In!M278)</f>
        <v>0</v>
      </c>
      <c r="K30" s="25" t="n">
        <f aca="false">IF(OR(H30="",I30=""),9999,H30+I30/12)</f>
        <v>2030</v>
      </c>
      <c r="L30" s="25" t="n">
        <f aca="false">IF(E30="",0,IF(F30="設施",E30/1000/INDEX(Players!$D$13:$M$13,1,MAX(1,MIN(10,H30-2022))),E30/1000*g_ITtoFac))</f>
        <v>1.149</v>
      </c>
      <c r="M30" s="25" t="n">
        <f aca="false">K30</f>
        <v>2030</v>
      </c>
      <c r="N30" s="25" t="n">
        <f aca="false">IF(K30&gt;asof,K30+N(J30)/12,K30)</f>
        <v>2030</v>
      </c>
      <c r="O30" s="25" t="n">
        <f aca="false">IF(K30&gt;asof,K30+IF(N(J30)&gt;0,N(J30),dly_d1_m)/12,K30)</f>
        <v>2030.5</v>
      </c>
      <c r="P30" s="21" t="n">
        <f aca="false">IF(K30=9999,"",ROUNDUP(K30,0)-1)</f>
        <v>2029</v>
      </c>
      <c r="Q30" s="21" t="n">
        <f aca="false">IF(AND(N(G30)=1,K30&lt;9999,L30&gt;0),1,0)</f>
        <v>1</v>
      </c>
      <c r="R30" s="21" t="n">
        <f aca="false">IF(AND(K30&gt;asof,K30&lt;9999,N(S30)&lt;&gt;1,P30&gt;=dly_d2_y0,P30&lt;=dly_d2_y1),1,0)</f>
        <v>0</v>
      </c>
      <c r="S30" s="20" t="n">
        <f aca="false">IF(In!O278="","",In!O278)</f>
        <v>0</v>
      </c>
    </row>
    <row r="31" customFormat="false" ht="17.15" hidden="false" customHeight="false" outlineLevel="0" collapsed="false">
      <c r="A31" s="0" t="s">
        <v>860</v>
      </c>
      <c r="B31" s="20" t="str">
        <f aca="false">In!B279</f>
        <v>Ports Pike（SB Energy）首期 4.25 IT-GW 第 3 段</v>
      </c>
      <c r="C31" s="20" t="str">
        <f aca="false">IF(In!H279="","",In!H279)</f>
        <v>oai</v>
      </c>
      <c r="D31" s="20" t="str">
        <f aca="false">IF(In!I279="","",In!I279)</f>
        <v>oai</v>
      </c>
      <c r="E31" s="20" t="n">
        <f aca="false">IF(In!J279="","",In!J279)</f>
        <v>1149</v>
      </c>
      <c r="F31" s="20" t="str">
        <f aca="false">In!C279</f>
        <v>IT</v>
      </c>
      <c r="G31" s="20" t="n">
        <f aca="false">IF(In!N279="","",In!N279)</f>
        <v>1</v>
      </c>
      <c r="H31" s="20" t="n">
        <f aca="false">IF(In!K279="","",In!K279)</f>
        <v>2030</v>
      </c>
      <c r="I31" s="20" t="n">
        <f aca="false">IF(In!L279="","",In!L279)</f>
        <v>12</v>
      </c>
      <c r="J31" s="20" t="n">
        <f aca="false">N(In!M279)</f>
        <v>0</v>
      </c>
      <c r="K31" s="25" t="n">
        <f aca="false">IF(OR(H31="",I31=""),9999,H31+I31/12)</f>
        <v>2031</v>
      </c>
      <c r="L31" s="25" t="n">
        <f aca="false">IF(E31="",0,IF(F31="設施",E31/1000/INDEX(Players!$D$13:$M$13,1,MAX(1,MIN(10,H31-2022))),E31/1000*g_ITtoFac))</f>
        <v>1.149</v>
      </c>
      <c r="M31" s="25" t="n">
        <f aca="false">K31</f>
        <v>2031</v>
      </c>
      <c r="N31" s="25" t="n">
        <f aca="false">IF(K31&gt;asof,K31+N(J31)/12,K31)</f>
        <v>2031</v>
      </c>
      <c r="O31" s="25" t="n">
        <f aca="false">IF(K31&gt;asof,K31+IF(N(J31)&gt;0,N(J31),dly_d1_m)/12,K31)</f>
        <v>2031.5</v>
      </c>
      <c r="P31" s="21" t="n">
        <f aca="false">IF(K31=9999,"",ROUNDUP(K31,0)-1)</f>
        <v>2030</v>
      </c>
      <c r="Q31" s="21" t="n">
        <f aca="false">IF(AND(N(G31)=1,K31&lt;9999,L31&gt;0),1,0)</f>
        <v>1</v>
      </c>
      <c r="R31" s="21" t="n">
        <f aca="false">IF(AND(K31&gt;asof,K31&lt;9999,N(S31)&lt;&gt;1,P31&gt;=dly_d2_y0,P31&lt;=dly_d2_y1),1,0)</f>
        <v>0</v>
      </c>
      <c r="S31" s="20" t="n">
        <f aca="false">IF(In!O279="","",In!O279)</f>
        <v>0</v>
      </c>
    </row>
    <row r="32" customFormat="false" ht="17.15" hidden="false" customHeight="false" outlineLevel="0" collapsed="false">
      <c r="A32" s="0" t="s">
        <v>863</v>
      </c>
      <c r="B32" s="20" t="str">
        <f aca="false">In!B280</f>
        <v>Humain 首期（Riyadh、Dammam 各 100 MW）</v>
      </c>
      <c r="C32" s="20" t="str">
        <f aca="false">IF(In!H280="","",In!H280)</f>
        <v>sov</v>
      </c>
      <c r="D32" s="20" t="str">
        <f aca="false">IF(In!I280="","",In!I280)</f>
        <v/>
      </c>
      <c r="E32" s="20" t="n">
        <f aca="false">IF(In!J280="","",In!J280)</f>
        <v>200</v>
      </c>
      <c r="F32" s="20" t="str">
        <f aca="false">In!C280</f>
        <v>未說明</v>
      </c>
      <c r="G32" s="20" t="n">
        <f aca="false">IF(In!N280="","",In!N280)</f>
        <v>1</v>
      </c>
      <c r="H32" s="20" t="n">
        <f aca="false">IF(In!K280="","",In!K280)</f>
        <v>2026</v>
      </c>
      <c r="I32" s="20" t="n">
        <f aca="false">IF(In!L280="","",In!L280)</f>
        <v>12</v>
      </c>
      <c r="J32" s="20" t="n">
        <f aca="false">N(In!M280)</f>
        <v>0</v>
      </c>
      <c r="K32" s="25" t="n">
        <f aca="false">IF(OR(H32="",I32=""),9999,H32+I32/12)</f>
        <v>2027</v>
      </c>
      <c r="L32" s="25" t="n">
        <f aca="false">IF(E32="",0,IF(F32="設施",E32/1000/INDEX(Players!$D$13:$M$13,1,MAX(1,MIN(10,H32-2022))),E32/1000*g_ITtoFac))</f>
        <v>0.2</v>
      </c>
      <c r="M32" s="25" t="n">
        <f aca="false">K32</f>
        <v>2027</v>
      </c>
      <c r="N32" s="25" t="n">
        <f aca="false">IF(K32&gt;asof,K32+N(J32)/12,K32)</f>
        <v>2027</v>
      </c>
      <c r="O32" s="25" t="n">
        <f aca="false">IF(K32&gt;asof,K32+IF(N(J32)&gt;0,N(J32),dly_d1_m)/12,K32)</f>
        <v>2027.5</v>
      </c>
      <c r="P32" s="21" t="n">
        <f aca="false">IF(K32=9999,"",ROUNDUP(K32,0)-1)</f>
        <v>2026</v>
      </c>
      <c r="Q32" s="21" t="n">
        <f aca="false">IF(AND(N(G32)=1,K32&lt;9999,L32&gt;0),1,0)</f>
        <v>1</v>
      </c>
      <c r="R32" s="21" t="n">
        <f aca="false">IF(AND(K32&gt;asof,K32&lt;9999,N(S32)&lt;&gt;1,P32&gt;=dly_d2_y0,P32&lt;=dly_d2_y1),1,0)</f>
        <v>0</v>
      </c>
      <c r="S32" s="20" t="n">
        <f aca="false">IF(In!O280="","",In!O280)</f>
        <v>0</v>
      </c>
    </row>
    <row r="33" customFormat="false" ht="17.15" hidden="false" customHeight="false" outlineLevel="0" collapsed="false">
      <c r="A33" s="0" t="s">
        <v>867</v>
      </c>
      <c r="B33" s="20" t="str">
        <f aca="false">In!B281</f>
        <v>Humain 至 1.9 GW（2030）</v>
      </c>
      <c r="C33" s="20" t="str">
        <f aca="false">IF(In!H281="","",In!H281)</f>
        <v>sov</v>
      </c>
      <c r="D33" s="20" t="str">
        <f aca="false">IF(In!I281="","",In!I281)</f>
        <v/>
      </c>
      <c r="E33" s="20" t="n">
        <f aca="false">IF(In!J281="","",In!J281)</f>
        <v>1500</v>
      </c>
      <c r="F33" s="20" t="str">
        <f aca="false">In!C281</f>
        <v>未說明</v>
      </c>
      <c r="G33" s="20" t="n">
        <f aca="false">IF(In!N281="","",In!N281)</f>
        <v>1</v>
      </c>
      <c r="H33" s="20" t="n">
        <f aca="false">IF(In!K281="","",In!K281)</f>
        <v>2027</v>
      </c>
      <c r="I33" s="20" t="n">
        <f aca="false">IF(In!L281="","",In!L281)</f>
        <v>12</v>
      </c>
      <c r="J33" s="20" t="n">
        <f aca="false">N(In!M281)</f>
        <v>0</v>
      </c>
      <c r="K33" s="25" t="n">
        <f aca="false">IF(OR(H33="",I33=""),9999,H33+I33/12)</f>
        <v>2028</v>
      </c>
      <c r="L33" s="25" t="n">
        <f aca="false">IF(E33="",0,IF(F33="設施",E33/1000/INDEX(Players!$D$13:$M$13,1,MAX(1,MIN(10,H33-2022))),E33/1000*g_ITtoFac))</f>
        <v>1.5</v>
      </c>
      <c r="M33" s="25" t="n">
        <f aca="false">K33</f>
        <v>2028</v>
      </c>
      <c r="N33" s="25" t="n">
        <f aca="false">IF(K33&gt;asof,K33+N(J33)/12,K33)</f>
        <v>2028</v>
      </c>
      <c r="O33" s="25" t="n">
        <f aca="false">IF(K33&gt;asof,K33+IF(N(J33)&gt;0,N(J33),dly_d1_m)/12,K33)</f>
        <v>2028.5</v>
      </c>
      <c r="P33" s="21" t="n">
        <f aca="false">IF(K33=9999,"",ROUNDUP(K33,0)-1)</f>
        <v>2027</v>
      </c>
      <c r="Q33" s="21" t="n">
        <f aca="false">IF(AND(N(G33)=1,K33&lt;9999,L33&gt;0),1,0)</f>
        <v>1</v>
      </c>
      <c r="R33" s="21" t="n">
        <f aca="false">IF(AND(K33&gt;asof,K33&lt;9999,N(S33)&lt;&gt;1,P33&gt;=dly_d2_y0,P33&lt;=dly_d2_y1),1,0)</f>
        <v>1</v>
      </c>
      <c r="S33" s="20" t="n">
        <f aca="false">IF(In!O281="","",In!O281)</f>
        <v>0</v>
      </c>
    </row>
    <row r="34" customFormat="false" ht="15" hidden="false" customHeight="false" outlineLevel="0" collapsed="false">
      <c r="A34" s="0" t="s">
        <v>870</v>
      </c>
      <c r="B34" s="20" t="str">
        <f aca="false">In!B282</f>
        <v>Nebius Lappeenranta</v>
      </c>
      <c r="C34" s="20" t="str">
        <f aca="false">IF(In!H282="","",In!H282)</f>
        <v>nbis</v>
      </c>
      <c r="D34" s="20" t="str">
        <f aca="false">IF(In!I282="","",In!I282)</f>
        <v/>
      </c>
      <c r="E34" s="20" t="n">
        <f aca="false">IF(In!J282="","",In!J282)</f>
        <v>70</v>
      </c>
      <c r="F34" s="20" t="str">
        <f aca="false">In!C282</f>
        <v>設施</v>
      </c>
      <c r="G34" s="20" t="n">
        <f aca="false">IF(In!N282="","",In!N282)</f>
        <v>1</v>
      </c>
      <c r="H34" s="20" t="n">
        <f aca="false">IF(In!K282="","",In!K282)</f>
        <v>2027</v>
      </c>
      <c r="I34" s="20" t="n">
        <f aca="false">IF(In!L282="","",In!L282)</f>
        <v>12</v>
      </c>
      <c r="J34" s="20" t="n">
        <f aca="false">N(In!M282)</f>
        <v>0</v>
      </c>
      <c r="K34" s="25" t="n">
        <f aca="false">IF(OR(H34="",I34=""),9999,H34+I34/12)</f>
        <v>2028</v>
      </c>
      <c r="L34" s="25" t="n">
        <f aca="false">IF(E34="",0,IF(F34="設施",E34/1000/INDEX(Players!$D$13:$M$13,1,MAX(1,MIN(10,H34-2022))),E34/1000*g_ITtoFac))</f>
        <v>0.0583333333333333</v>
      </c>
      <c r="M34" s="25" t="n">
        <f aca="false">K34</f>
        <v>2028</v>
      </c>
      <c r="N34" s="25" t="n">
        <f aca="false">IF(K34&gt;asof,K34+N(J34)/12,K34)</f>
        <v>2028</v>
      </c>
      <c r="O34" s="25" t="n">
        <f aca="false">IF(K34&gt;asof,K34+IF(N(J34)&gt;0,N(J34),dly_d1_m)/12,K34)</f>
        <v>2028.5</v>
      </c>
      <c r="P34" s="21" t="n">
        <f aca="false">IF(K34=9999,"",ROUNDUP(K34,0)-1)</f>
        <v>2027</v>
      </c>
      <c r="Q34" s="21" t="n">
        <f aca="false">IF(AND(N(G34)=1,K34&lt;9999,L34&gt;0),1,0)</f>
        <v>1</v>
      </c>
      <c r="R34" s="21" t="n">
        <f aca="false">IF(AND(K34&gt;asof,K34&lt;9999,N(S34)&lt;&gt;1,P34&gt;=dly_d2_y0,P34&lt;=dly_d2_y1),1,0)</f>
        <v>1</v>
      </c>
      <c r="S34" s="20" t="n">
        <f aca="false">IF(In!O282="","",In!O282)</f>
        <v>0</v>
      </c>
    </row>
    <row r="35" customFormat="false" ht="15" hidden="false" customHeight="false" outlineLevel="0" collapsed="false">
      <c r="A35" s="0" t="s">
        <v>874</v>
      </c>
      <c r="B35" s="20" t="str">
        <f aca="false">In!B283</f>
        <v>Nebius Independence, Missouri</v>
      </c>
      <c r="C35" s="20" t="str">
        <f aca="false">IF(In!H283="","",In!H283)</f>
        <v>nbis</v>
      </c>
      <c r="D35" s="20" t="str">
        <f aca="false">IF(In!I283="","",In!I283)</f>
        <v/>
      </c>
      <c r="E35" s="20" t="n">
        <f aca="false">IF(In!J283="","",In!J283)</f>
        <v>200</v>
      </c>
      <c r="F35" s="20" t="str">
        <f aca="false">In!C283</f>
        <v>未說明</v>
      </c>
      <c r="G35" s="20" t="n">
        <f aca="false">IF(In!N283="","",In!N283)</f>
        <v>0</v>
      </c>
      <c r="H35" s="20" t="n">
        <f aca="false">IF(In!K283="","",In!K283)</f>
        <v>2027</v>
      </c>
      <c r="I35" s="20" t="n">
        <f aca="false">IF(In!L283="","",In!L283)</f>
        <v>12</v>
      </c>
      <c r="J35" s="20" t="n">
        <f aca="false">N(In!M283)</f>
        <v>0</v>
      </c>
      <c r="K35" s="25" t="n">
        <f aca="false">IF(OR(H35="",I35=""),9999,H35+I35/12)</f>
        <v>2028</v>
      </c>
      <c r="L35" s="25" t="n">
        <f aca="false">IF(E35="",0,IF(F35="設施",E35/1000/INDEX(Players!$D$13:$M$13,1,MAX(1,MIN(10,H35-2022))),E35/1000*g_ITtoFac))</f>
        <v>0.2</v>
      </c>
      <c r="M35" s="25" t="n">
        <f aca="false">K35</f>
        <v>2028</v>
      </c>
      <c r="N35" s="25" t="n">
        <f aca="false">IF(K35&gt;asof,K35+N(J35)/12,K35)</f>
        <v>2028</v>
      </c>
      <c r="O35" s="25" t="n">
        <f aca="false">IF(K35&gt;asof,K35+IF(N(J35)&gt;0,N(J35),dly_d1_m)/12,K35)</f>
        <v>2028.5</v>
      </c>
      <c r="P35" s="21" t="n">
        <f aca="false">IF(K35=9999,"",ROUNDUP(K35,0)-1)</f>
        <v>2027</v>
      </c>
      <c r="Q35" s="21" t="n">
        <f aca="false">IF(AND(N(G35)=1,K35&lt;9999,L35&gt;0),1,0)</f>
        <v>0</v>
      </c>
      <c r="R35" s="21" t="n">
        <f aca="false">IF(AND(K35&gt;asof,K35&lt;9999,N(S35)&lt;&gt;1,P35&gt;=dly_d2_y0,P35&lt;=dly_d2_y1),1,0)</f>
        <v>1</v>
      </c>
      <c r="S35" s="20" t="n">
        <f aca="false">IF(In!O283="","",In!O283)</f>
        <v>0</v>
      </c>
    </row>
    <row r="36" customFormat="false" ht="15" hidden="false" customHeight="false" outlineLevel="0" collapsed="false">
      <c r="A36" s="0" t="s">
        <v>877</v>
      </c>
      <c r="B36" s="20" t="str">
        <f aca="false">In!B284</f>
        <v>Nebius Pennsylvania</v>
      </c>
      <c r="C36" s="20" t="str">
        <f aca="false">IF(In!H284="","",In!H284)</f>
        <v>nbis</v>
      </c>
      <c r="D36" s="20" t="str">
        <f aca="false">IF(In!I284="","",In!I284)</f>
        <v/>
      </c>
      <c r="E36" s="20" t="n">
        <f aca="false">IF(In!J284="","",In!J284)</f>
        <v>260</v>
      </c>
      <c r="F36" s="20" t="str">
        <f aca="false">In!C284</f>
        <v>設施</v>
      </c>
      <c r="G36" s="20" t="n">
        <f aca="false">IF(In!N284="","",In!N284)</f>
        <v>1</v>
      </c>
      <c r="H36" s="20" t="n">
        <f aca="false">IF(In!K284="","",In!K284)</f>
        <v>2027</v>
      </c>
      <c r="I36" s="20" t="n">
        <f aca="false">IF(In!L284="","",In!L284)</f>
        <v>10</v>
      </c>
      <c r="J36" s="20" t="n">
        <f aca="false">N(In!M284)</f>
        <v>0</v>
      </c>
      <c r="K36" s="25" t="n">
        <f aca="false">IF(OR(H36="",I36=""),9999,H36+I36/12)</f>
        <v>2027.83333333333</v>
      </c>
      <c r="L36" s="25" t="n">
        <f aca="false">IF(E36="",0,IF(F36="設施",E36/1000/INDEX(Players!$D$13:$M$13,1,MAX(1,MIN(10,H36-2022))),E36/1000*g_ITtoFac))</f>
        <v>0.216666666666667</v>
      </c>
      <c r="M36" s="25" t="n">
        <f aca="false">K36</f>
        <v>2027.83333333333</v>
      </c>
      <c r="N36" s="25" t="n">
        <f aca="false">IF(K36&gt;asof,K36+N(J36)/12,K36)</f>
        <v>2027.83333333333</v>
      </c>
      <c r="O36" s="25" t="n">
        <f aca="false">IF(K36&gt;asof,K36+IF(N(J36)&gt;0,N(J36),dly_d1_m)/12,K36)</f>
        <v>2028.33333333333</v>
      </c>
      <c r="P36" s="21" t="n">
        <f aca="false">IF(K36=9999,"",ROUNDUP(K36,0)-1)</f>
        <v>2027</v>
      </c>
      <c r="Q36" s="21" t="n">
        <f aca="false">IF(AND(N(G36)=1,K36&lt;9999,L36&gt;0),1,0)</f>
        <v>1</v>
      </c>
      <c r="R36" s="21" t="n">
        <f aca="false">IF(AND(K36&gt;asof,K36&lt;9999,N(S36)&lt;&gt;1,P36&gt;=dly_d2_y0,P36&lt;=dly_d2_y1),1,0)</f>
        <v>1</v>
      </c>
      <c r="S36" s="20" t="n">
        <f aca="false">IF(In!O284="","",In!O284)</f>
        <v>0</v>
      </c>
    </row>
    <row r="37" customFormat="false" ht="15" hidden="false" customHeight="false" outlineLevel="0" collapsed="false">
      <c r="A37" s="0" t="s">
        <v>880</v>
      </c>
      <c r="B37" s="20" t="str">
        <f aca="false">In!B285</f>
        <v>CoreWeave Lancaster PA</v>
      </c>
      <c r="C37" s="20" t="str">
        <f aca="false">IF(In!H285="","",In!H285)</f>
        <v>crwv</v>
      </c>
      <c r="D37" s="20" t="str">
        <f aca="false">IF(In!I285="","",In!I285)</f>
        <v/>
      </c>
      <c r="E37" s="20" t="n">
        <f aca="false">IF(In!J285="","",In!J285)</f>
        <v>100</v>
      </c>
      <c r="F37" s="20" t="str">
        <f aca="false">In!C285</f>
        <v>未說明</v>
      </c>
      <c r="G37" s="20" t="n">
        <f aca="false">IF(In!N285="","",In!N285)</f>
        <v>0</v>
      </c>
      <c r="H37" s="20" t="n">
        <f aca="false">IF(In!K285="","",In!K285)</f>
        <v>2027</v>
      </c>
      <c r="I37" s="20" t="n">
        <f aca="false">IF(In!L285="","",In!L285)</f>
        <v>12</v>
      </c>
      <c r="J37" s="20" t="n">
        <f aca="false">N(In!M285)</f>
        <v>0</v>
      </c>
      <c r="K37" s="25" t="n">
        <f aca="false">IF(OR(H37="",I37=""),9999,H37+I37/12)</f>
        <v>2028</v>
      </c>
      <c r="L37" s="25" t="n">
        <f aca="false">IF(E37="",0,IF(F37="設施",E37/1000/INDEX(Players!$D$13:$M$13,1,MAX(1,MIN(10,H37-2022))),E37/1000*g_ITtoFac))</f>
        <v>0.1</v>
      </c>
      <c r="M37" s="25" t="n">
        <f aca="false">K37</f>
        <v>2028</v>
      </c>
      <c r="N37" s="25" t="n">
        <f aca="false">IF(K37&gt;asof,K37+N(J37)/12,K37)</f>
        <v>2028</v>
      </c>
      <c r="O37" s="25" t="n">
        <f aca="false">IF(K37&gt;asof,K37+IF(N(J37)&gt;0,N(J37),dly_d1_m)/12,K37)</f>
        <v>2028.5</v>
      </c>
      <c r="P37" s="21" t="n">
        <f aca="false">IF(K37=9999,"",ROUNDUP(K37,0)-1)</f>
        <v>2027</v>
      </c>
      <c r="Q37" s="21" t="n">
        <f aca="false">IF(AND(N(G37)=1,K37&lt;9999,L37&gt;0),1,0)</f>
        <v>0</v>
      </c>
      <c r="R37" s="21" t="n">
        <f aca="false">IF(AND(K37&gt;asof,K37&lt;9999,N(S37)&lt;&gt;1,P37&gt;=dly_d2_y0,P37&lt;=dly_d2_y1),1,0)</f>
        <v>1</v>
      </c>
      <c r="S37" s="20" t="n">
        <f aca="false">IF(In!O285="","",In!O285)</f>
        <v>0</v>
      </c>
    </row>
    <row r="38" customFormat="false" ht="17.15" hidden="false" customHeight="false" outlineLevel="0" collapsed="false">
      <c r="A38" s="0" t="s">
        <v>883</v>
      </c>
      <c r="B38" s="20" t="str">
        <f aca="false">In!B286</f>
        <v>Cipher Black Pearl（Amazon）</v>
      </c>
      <c r="C38" s="20" t="str">
        <f aca="false">IF(In!H286="","",In!H286)</f>
        <v>amzn</v>
      </c>
      <c r="D38" s="20" t="str">
        <f aca="false">IF(In!I286="","",In!I286)</f>
        <v/>
      </c>
      <c r="E38" s="20" t="n">
        <f aca="false">IF(In!J286="","",In!J286)</f>
        <v>216</v>
      </c>
      <c r="F38" s="20" t="str">
        <f aca="false">In!C286</f>
        <v>IT</v>
      </c>
      <c r="G38" s="20" t="n">
        <f aca="false">IF(In!N286="","",In!N286)</f>
        <v>0</v>
      </c>
      <c r="H38" s="20" t="n">
        <f aca="false">IF(In!K286="","",In!K286)</f>
        <v>2026</v>
      </c>
      <c r="I38" s="20" t="n">
        <f aca="false">IF(In!L286="","",In!L286)</f>
        <v>10</v>
      </c>
      <c r="J38" s="20" t="n">
        <f aca="false">N(In!M286)</f>
        <v>0</v>
      </c>
      <c r="K38" s="25" t="n">
        <f aca="false">IF(OR(H38="",I38=""),9999,H38+I38/12)</f>
        <v>2026.83333333333</v>
      </c>
      <c r="L38" s="25" t="n">
        <f aca="false">IF(E38="",0,IF(F38="設施",E38/1000/INDEX(Players!$D$13:$M$13,1,MAX(1,MIN(10,H38-2022))),E38/1000*g_ITtoFac))</f>
        <v>0.216</v>
      </c>
      <c r="M38" s="25" t="n">
        <f aca="false">K38</f>
        <v>2026.83333333333</v>
      </c>
      <c r="N38" s="25" t="n">
        <f aca="false">IF(K38&gt;asof,K38+N(J38)/12,K38)</f>
        <v>2026.83333333333</v>
      </c>
      <c r="O38" s="25" t="n">
        <f aca="false">IF(K38&gt;asof,K38+IF(N(J38)&gt;0,N(J38),dly_d1_m)/12,K38)</f>
        <v>2027.33333333333</v>
      </c>
      <c r="P38" s="21" t="n">
        <f aca="false">IF(K38=9999,"",ROUNDUP(K38,0)-1)</f>
        <v>2026</v>
      </c>
      <c r="Q38" s="21" t="n">
        <f aca="false">IF(AND(N(G38)=1,K38&lt;9999,L38&gt;0),1,0)</f>
        <v>0</v>
      </c>
      <c r="R38" s="21" t="n">
        <f aca="false">IF(AND(K38&gt;asof,K38&lt;9999,N(S38)&lt;&gt;1,P38&gt;=dly_d2_y0,P38&lt;=dly_d2_y1),1,0)</f>
        <v>0</v>
      </c>
      <c r="S38" s="20" t="n">
        <f aca="false">IF(In!O286="","",In!O286)</f>
        <v>0</v>
      </c>
    </row>
    <row r="39" customFormat="false" ht="17.15" hidden="false" customHeight="false" outlineLevel="0" collapsed="false">
      <c r="A39" s="0" t="s">
        <v>886</v>
      </c>
      <c r="B39" s="20" t="str">
        <f aca="false">In!B287</f>
        <v>Google–Blackstone TPU 雲合資</v>
      </c>
      <c r="C39" s="20" t="str">
        <f aca="false">IF(In!H287="","",In!H287)</f>
        <v>googl</v>
      </c>
      <c r="D39" s="20" t="str">
        <f aca="false">IF(In!I287="","",In!I287)</f>
        <v/>
      </c>
      <c r="E39" s="20" t="n">
        <f aca="false">IF(In!J287="","",In!J287)</f>
        <v>500</v>
      </c>
      <c r="F39" s="20" t="str">
        <f aca="false">In!C287</f>
        <v>未說明</v>
      </c>
      <c r="G39" s="20" t="n">
        <f aca="false">IF(In!N287="","",In!N287)</f>
        <v>0</v>
      </c>
      <c r="H39" s="20" t="n">
        <f aca="false">IF(In!K287="","",In!K287)</f>
        <v>2027</v>
      </c>
      <c r="I39" s="20" t="n">
        <f aca="false">IF(In!L287="","",In!L287)</f>
        <v>12</v>
      </c>
      <c r="J39" s="20" t="n">
        <f aca="false">N(In!M287)</f>
        <v>0</v>
      </c>
      <c r="K39" s="25" t="n">
        <f aca="false">IF(OR(H39="",I39=""),9999,H39+I39/12)</f>
        <v>2028</v>
      </c>
      <c r="L39" s="25" t="n">
        <f aca="false">IF(E39="",0,IF(F39="設施",E39/1000/INDEX(Players!$D$13:$M$13,1,MAX(1,MIN(10,H39-2022))),E39/1000*g_ITtoFac))</f>
        <v>0.5</v>
      </c>
      <c r="M39" s="25" t="n">
        <f aca="false">K39</f>
        <v>2028</v>
      </c>
      <c r="N39" s="25" t="n">
        <f aca="false">IF(K39&gt;asof,K39+N(J39)/12,K39)</f>
        <v>2028</v>
      </c>
      <c r="O39" s="25" t="n">
        <f aca="false">IF(K39&gt;asof,K39+IF(N(J39)&gt;0,N(J39),dly_d1_m)/12,K39)</f>
        <v>2028.5</v>
      </c>
      <c r="P39" s="21" t="n">
        <f aca="false">IF(K39=9999,"",ROUNDUP(K39,0)-1)</f>
        <v>2027</v>
      </c>
      <c r="Q39" s="21" t="n">
        <f aca="false">IF(AND(N(G39)=1,K39&lt;9999,L39&gt;0),1,0)</f>
        <v>0</v>
      </c>
      <c r="R39" s="21" t="n">
        <f aca="false">IF(AND(K39&gt;asof,K39&lt;9999,N(S39)&lt;&gt;1,P39&gt;=dly_d2_y0,P39&lt;=dly_d2_y1),1,0)</f>
        <v>1</v>
      </c>
      <c r="S39" s="20" t="n">
        <f aca="false">IF(In!O287="","",In!O287)</f>
        <v>0</v>
      </c>
    </row>
    <row r="40" customFormat="false" ht="15" hidden="false" customHeight="false" outlineLevel="0" collapsed="false">
      <c r="A40" s="0" t="s">
        <v>889</v>
      </c>
      <c r="B40" s="20" t="str">
        <f aca="false">In!B288</f>
        <v>Stargate Milam County</v>
      </c>
      <c r="C40" s="20" t="str">
        <f aca="false">IF(In!H288="","",In!H288)</f>
        <v>oai</v>
      </c>
      <c r="D40" s="20" t="str">
        <f aca="false">IF(In!I288="","",In!I288)</f>
        <v>oai</v>
      </c>
      <c r="E40" s="20" t="n">
        <f aca="false">IF(In!J288="","",In!J288)</f>
        <v>308</v>
      </c>
      <c r="F40" s="20" t="str">
        <f aca="false">In!C288</f>
        <v>IT</v>
      </c>
      <c r="G40" s="20" t="n">
        <f aca="false">IF(In!N288="","",In!N288)</f>
        <v>1</v>
      </c>
      <c r="H40" s="20" t="n">
        <f aca="false">IF(In!K288="","",In!K288)</f>
        <v>2027</v>
      </c>
      <c r="I40" s="20" t="n">
        <f aca="false">IF(In!L288="","",In!L288)</f>
        <v>6</v>
      </c>
      <c r="J40" s="20" t="n">
        <f aca="false">N(In!M288)</f>
        <v>0</v>
      </c>
      <c r="K40" s="25" t="n">
        <f aca="false">IF(OR(H40="",I40=""),9999,H40+I40/12)</f>
        <v>2027.5</v>
      </c>
      <c r="L40" s="25" t="n">
        <f aca="false">IF(E40="",0,IF(F40="設施",E40/1000/INDEX(Players!$D$13:$M$13,1,MAX(1,MIN(10,H40-2022))),E40/1000*g_ITtoFac))</f>
        <v>0.308</v>
      </c>
      <c r="M40" s="25" t="n">
        <f aca="false">K40</f>
        <v>2027.5</v>
      </c>
      <c r="N40" s="25" t="n">
        <f aca="false">IF(K40&gt;asof,K40+N(J40)/12,K40)</f>
        <v>2027.5</v>
      </c>
      <c r="O40" s="25" t="n">
        <f aca="false">IF(K40&gt;asof,K40+IF(N(J40)&gt;0,N(J40),dly_d1_m)/12,K40)</f>
        <v>2028</v>
      </c>
      <c r="P40" s="21" t="n">
        <f aca="false">IF(K40=9999,"",ROUNDUP(K40,0)-1)</f>
        <v>2027</v>
      </c>
      <c r="Q40" s="21" t="n">
        <f aca="false">IF(AND(N(G40)=1,K40&lt;9999,L40&gt;0),1,0)</f>
        <v>1</v>
      </c>
      <c r="R40" s="21" t="n">
        <f aca="false">IF(AND(K40&gt;asof,K40&lt;9999,N(S40)&lt;&gt;1,P40&gt;=dly_d2_y0,P40&lt;=dly_d2_y1),1,0)</f>
        <v>1</v>
      </c>
      <c r="S40" s="20" t="n">
        <f aca="false">IF(In!O288="","",In!O288)</f>
        <v>0</v>
      </c>
    </row>
    <row r="41" customFormat="false" ht="15" hidden="false" customHeight="false" outlineLevel="0" collapsed="false">
      <c r="A41" s="0" t="s">
        <v>892</v>
      </c>
      <c r="B41" s="20" t="str">
        <f aca="false">In!B289</f>
        <v>Stargate Lordstown</v>
      </c>
      <c r="C41" s="20" t="str">
        <f aca="false">IF(In!H289="","",In!H289)</f>
        <v>oai</v>
      </c>
      <c r="D41" s="20" t="str">
        <f aca="false">IF(In!I289="","",In!I289)</f>
        <v>oai</v>
      </c>
      <c r="E41" s="20" t="n">
        <f aca="false">IF(In!J289="","",In!J289)</f>
        <v>214</v>
      </c>
      <c r="F41" s="20" t="str">
        <f aca="false">In!C289</f>
        <v>IT</v>
      </c>
      <c r="G41" s="20" t="n">
        <f aca="false">IF(In!N289="","",In!N289)</f>
        <v>1</v>
      </c>
      <c r="H41" s="20" t="n">
        <f aca="false">IF(In!K289="","",In!K289)</f>
        <v>2027</v>
      </c>
      <c r="I41" s="20" t="n">
        <f aca="false">IF(In!L289="","",In!L289)</f>
        <v>3</v>
      </c>
      <c r="J41" s="20" t="n">
        <f aca="false">N(In!M289)</f>
        <v>0</v>
      </c>
      <c r="K41" s="25" t="n">
        <f aca="false">IF(OR(H41="",I41=""),9999,H41+I41/12)</f>
        <v>2027.25</v>
      </c>
      <c r="L41" s="25" t="n">
        <f aca="false">IF(E41="",0,IF(F41="設施",E41/1000/INDEX(Players!$D$13:$M$13,1,MAX(1,MIN(10,H41-2022))),E41/1000*g_ITtoFac))</f>
        <v>0.214</v>
      </c>
      <c r="M41" s="25" t="n">
        <f aca="false">K41</f>
        <v>2027.25</v>
      </c>
      <c r="N41" s="25" t="n">
        <f aca="false">IF(K41&gt;asof,K41+N(J41)/12,K41)</f>
        <v>2027.25</v>
      </c>
      <c r="O41" s="25" t="n">
        <f aca="false">IF(K41&gt;asof,K41+IF(N(J41)&gt;0,N(J41),dly_d1_m)/12,K41)</f>
        <v>2027.75</v>
      </c>
      <c r="P41" s="21" t="n">
        <f aca="false">IF(K41=9999,"",ROUNDUP(K41,0)-1)</f>
        <v>2027</v>
      </c>
      <c r="Q41" s="21" t="n">
        <f aca="false">IF(AND(N(G41)=1,K41&lt;9999,L41&gt;0),1,0)</f>
        <v>1</v>
      </c>
      <c r="R41" s="21" t="n">
        <f aca="false">IF(AND(K41&gt;asof,K41&lt;9999,N(S41)&lt;&gt;1,P41&gt;=dly_d2_y0,P41&lt;=dly_d2_y1),1,0)</f>
        <v>1</v>
      </c>
      <c r="S41" s="20" t="n">
        <f aca="false">IF(In!O289="","",In!O289)</f>
        <v>0</v>
      </c>
    </row>
    <row r="42" customFormat="false" ht="17.15" hidden="false" customHeight="false" outlineLevel="0" collapsed="false">
      <c r="A42" s="0" t="s">
        <v>895</v>
      </c>
      <c r="B42" s="20" t="str">
        <f aca="false">In!B290</f>
        <v>Cerebras（OpenAI）</v>
      </c>
      <c r="C42" s="20" t="str">
        <f aca="false">IF(In!H290="","",In!H290)</f>
        <v>neo</v>
      </c>
      <c r="D42" s="20" t="str">
        <f aca="false">IF(In!I290="","",In!I290)</f>
        <v>oai</v>
      </c>
      <c r="E42" s="20" t="n">
        <f aca="false">IF(In!J290="","",In!J290)</f>
        <v>750</v>
      </c>
      <c r="F42" s="20" t="str">
        <f aca="false">In!C290</f>
        <v>IT</v>
      </c>
      <c r="G42" s="20" t="n">
        <f aca="false">IF(In!N290="","",In!N290)</f>
        <v>0</v>
      </c>
      <c r="H42" s="20" t="n">
        <f aca="false">IF(In!K290="","",In!K290)</f>
        <v>2028</v>
      </c>
      <c r="I42" s="20" t="n">
        <f aca="false">IF(In!L290="","",In!L290)</f>
        <v>12</v>
      </c>
      <c r="J42" s="20" t="n">
        <f aca="false">N(In!M290)</f>
        <v>0</v>
      </c>
      <c r="K42" s="25" t="n">
        <f aca="false">IF(OR(H42="",I42=""),9999,H42+I42/12)</f>
        <v>2029</v>
      </c>
      <c r="L42" s="25" t="n">
        <f aca="false">IF(E42="",0,IF(F42="設施",E42/1000/INDEX(Players!$D$13:$M$13,1,MAX(1,MIN(10,H42-2022))),E42/1000*g_ITtoFac))</f>
        <v>0.75</v>
      </c>
      <c r="M42" s="25" t="n">
        <f aca="false">K42</f>
        <v>2029</v>
      </c>
      <c r="N42" s="25" t="n">
        <f aca="false">IF(K42&gt;asof,K42+N(J42)/12,K42)</f>
        <v>2029</v>
      </c>
      <c r="O42" s="25" t="n">
        <f aca="false">IF(K42&gt;asof,K42+IF(N(J42)&gt;0,N(J42),dly_d1_m)/12,K42)</f>
        <v>2029.5</v>
      </c>
      <c r="P42" s="21" t="n">
        <f aca="false">IF(K42=9999,"",ROUNDUP(K42,0)-1)</f>
        <v>2028</v>
      </c>
      <c r="Q42" s="21" t="n">
        <f aca="false">IF(AND(N(G42)=1,K42&lt;9999,L42&gt;0),1,0)</f>
        <v>0</v>
      </c>
      <c r="R42" s="21" t="n">
        <f aca="false">IF(AND(K42&gt;asof,K42&lt;9999,N(S42)&lt;&gt;1,P42&gt;=dly_d2_y0,P42&lt;=dly_d2_y1),1,0)</f>
        <v>1</v>
      </c>
      <c r="S42" s="20" t="n">
        <f aca="false">IF(In!O290="","",In!O290)</f>
        <v>0</v>
      </c>
    </row>
    <row r="43" customFormat="false" ht="17.15" hidden="false" customHeight="false" outlineLevel="0" collapsed="false">
      <c r="A43" s="0" t="s">
        <v>898</v>
      </c>
      <c r="B43" s="20" t="str">
        <f aca="false">In!B291</f>
        <v>Stargate UAE 第一期</v>
      </c>
      <c r="C43" s="20" t="str">
        <f aca="false">IF(In!H291="","",In!H291)</f>
        <v>sov</v>
      </c>
      <c r="D43" s="20" t="str">
        <f aca="false">IF(In!I291="","",In!I291)</f>
        <v>oai</v>
      </c>
      <c r="E43" s="20" t="n">
        <f aca="false">IF(In!J291="","",In!J291)</f>
        <v>200</v>
      </c>
      <c r="F43" s="20" t="str">
        <f aca="false">In!C291</f>
        <v>未說明</v>
      </c>
      <c r="G43" s="20" t="n">
        <f aca="false">IF(In!N291="","",In!N291)</f>
        <v>1</v>
      </c>
      <c r="H43" s="20" t="n">
        <f aca="false">IF(In!K291="","",In!K291)</f>
        <v>2026</v>
      </c>
      <c r="I43" s="20" t="n">
        <f aca="false">IF(In!L291="","",In!L291)</f>
        <v>12</v>
      </c>
      <c r="J43" s="20" t="n">
        <f aca="false">N(In!M291)</f>
        <v>0</v>
      </c>
      <c r="K43" s="25" t="n">
        <f aca="false">IF(OR(H43="",I43=""),9999,H43+I43/12)</f>
        <v>2027</v>
      </c>
      <c r="L43" s="25" t="n">
        <f aca="false">IF(E43="",0,IF(F43="設施",E43/1000/INDEX(Players!$D$13:$M$13,1,MAX(1,MIN(10,H43-2022))),E43/1000*g_ITtoFac))</f>
        <v>0.2</v>
      </c>
      <c r="M43" s="25" t="n">
        <f aca="false">K43</f>
        <v>2027</v>
      </c>
      <c r="N43" s="25" t="n">
        <f aca="false">IF(K43&gt;asof,K43+N(J43)/12,K43)</f>
        <v>2027</v>
      </c>
      <c r="O43" s="25" t="n">
        <f aca="false">IF(K43&gt;asof,K43+IF(N(J43)&gt;0,N(J43),dly_d1_m)/12,K43)</f>
        <v>2027.5</v>
      </c>
      <c r="P43" s="21" t="n">
        <f aca="false">IF(K43=9999,"",ROUNDUP(K43,0)-1)</f>
        <v>2026</v>
      </c>
      <c r="Q43" s="21" t="n">
        <f aca="false">IF(AND(N(G43)=1,K43&lt;9999,L43&gt;0),1,0)</f>
        <v>1</v>
      </c>
      <c r="R43" s="21" t="n">
        <f aca="false">IF(AND(K43&gt;asof,K43&lt;9999,N(S43)&lt;&gt;1,P43&gt;=dly_d2_y0,P43&lt;=dly_d2_y1),1,0)</f>
        <v>0</v>
      </c>
      <c r="S43" s="20" t="n">
        <f aca="false">IF(In!O291="","",In!O291)</f>
        <v>0</v>
      </c>
    </row>
    <row r="44" customFormat="false" ht="17.15" hidden="false" customHeight="false" outlineLevel="0" collapsed="false">
      <c r="A44" s="0" t="s">
        <v>901</v>
      </c>
      <c r="B44" s="20" t="str">
        <f aca="false">In!B292</f>
        <v>Mistral／MGX 法國</v>
      </c>
      <c r="C44" s="20" t="str">
        <f aca="false">IF(In!H292="","",In!H292)</f>
        <v>sov</v>
      </c>
      <c r="D44" s="20" t="str">
        <f aca="false">IF(In!I292="","",In!I292)</f>
        <v/>
      </c>
      <c r="E44" s="20" t="n">
        <f aca="false">IF(In!J292="","",In!J292)</f>
        <v>96</v>
      </c>
      <c r="F44" s="20" t="str">
        <f aca="false">In!C292</f>
        <v>未說明</v>
      </c>
      <c r="G44" s="20" t="n">
        <f aca="false">IF(In!N292="","",In!N292)</f>
        <v>1</v>
      </c>
      <c r="H44" s="20" t="n">
        <f aca="false">IF(In!K292="","",In!K292)</f>
        <v>2028</v>
      </c>
      <c r="I44" s="20" t="n">
        <f aca="false">IF(In!L292="","",In!L292)</f>
        <v>3</v>
      </c>
      <c r="J44" s="20" t="n">
        <f aca="false">N(In!M292)</f>
        <v>0</v>
      </c>
      <c r="K44" s="25" t="n">
        <f aca="false">IF(OR(H44="",I44=""),9999,H44+I44/12)</f>
        <v>2028.25</v>
      </c>
      <c r="L44" s="25" t="n">
        <f aca="false">IF(E44="",0,IF(F44="設施",E44/1000/INDEX(Players!$D$13:$M$13,1,MAX(1,MIN(10,H44-2022))),E44/1000*g_ITtoFac))</f>
        <v>0.096</v>
      </c>
      <c r="M44" s="25" t="n">
        <f aca="false">K44</f>
        <v>2028.25</v>
      </c>
      <c r="N44" s="25" t="n">
        <f aca="false">IF(K44&gt;asof,K44+N(J44)/12,K44)</f>
        <v>2028.25</v>
      </c>
      <c r="O44" s="25" t="n">
        <f aca="false">IF(K44&gt;asof,K44+IF(N(J44)&gt;0,N(J44),dly_d1_m)/12,K44)</f>
        <v>2028.75</v>
      </c>
      <c r="P44" s="21" t="n">
        <f aca="false">IF(K44=9999,"",ROUNDUP(K44,0)-1)</f>
        <v>2028</v>
      </c>
      <c r="Q44" s="21" t="n">
        <f aca="false">IF(AND(N(G44)=1,K44&lt;9999,L44&gt;0),1,0)</f>
        <v>1</v>
      </c>
      <c r="R44" s="21" t="n">
        <f aca="false">IF(AND(K44&gt;asof,K44&lt;9999,N(S44)&lt;&gt;1,P44&gt;=dly_d2_y0,P44&lt;=dly_d2_y1),1,0)</f>
        <v>1</v>
      </c>
      <c r="S44" s="20" t="n">
        <f aca="false">IF(In!O292="","",In!O292)</f>
        <v>0</v>
      </c>
    </row>
    <row r="45" customFormat="false" ht="17.15" hidden="false" customHeight="false" outlineLevel="0" collapsed="false">
      <c r="A45" s="0" t="s">
        <v>904</v>
      </c>
      <c r="B45" s="20" t="str">
        <f aca="false">In!B293</f>
        <v>Nexus Hubbard TX（Anthropic）</v>
      </c>
      <c r="C45" s="20" t="str">
        <f aca="false">IF(In!H293="","",In!H293)</f>
        <v>neo</v>
      </c>
      <c r="D45" s="20" t="str">
        <f aca="false">IF(In!I293="","",In!I293)</f>
        <v>ant</v>
      </c>
      <c r="E45" s="20" t="n">
        <f aca="false">IF(In!J293="","",In!J293)</f>
        <v>500</v>
      </c>
      <c r="F45" s="20" t="str">
        <f aca="false">In!C293</f>
        <v>未說明</v>
      </c>
      <c r="G45" s="20" t="n">
        <f aca="false">IF(In!N293="","",In!N293)</f>
        <v>0</v>
      </c>
      <c r="H45" s="20" t="n">
        <f aca="false">IF(In!K293="","",In!K293)</f>
        <v>2026</v>
      </c>
      <c r="I45" s="20" t="n">
        <f aca="false">IF(In!L293="","",In!L293)</f>
        <v>12</v>
      </c>
      <c r="J45" s="20" t="n">
        <f aca="false">N(In!M293)</f>
        <v>0</v>
      </c>
      <c r="K45" s="25" t="n">
        <f aca="false">IF(OR(H45="",I45=""),9999,H45+I45/12)</f>
        <v>2027</v>
      </c>
      <c r="L45" s="25" t="n">
        <f aca="false">IF(E45="",0,IF(F45="設施",E45/1000/INDEX(Players!$D$13:$M$13,1,MAX(1,MIN(10,H45-2022))),E45/1000*g_ITtoFac))</f>
        <v>0.5</v>
      </c>
      <c r="M45" s="25" t="n">
        <f aca="false">K45</f>
        <v>2027</v>
      </c>
      <c r="N45" s="25" t="n">
        <f aca="false">IF(K45&gt;asof,K45+N(J45)/12,K45)</f>
        <v>2027</v>
      </c>
      <c r="O45" s="25" t="n">
        <f aca="false">IF(K45&gt;asof,K45+IF(N(J45)&gt;0,N(J45),dly_d1_m)/12,K45)</f>
        <v>2027.5</v>
      </c>
      <c r="P45" s="21" t="n">
        <f aca="false">IF(K45=9999,"",ROUNDUP(K45,0)-1)</f>
        <v>2026</v>
      </c>
      <c r="Q45" s="21" t="n">
        <f aca="false">IF(AND(N(G45)=1,K45&lt;9999,L45&gt;0),1,0)</f>
        <v>0</v>
      </c>
      <c r="R45" s="21" t="n">
        <f aca="false">IF(AND(K45&gt;asof,K45&lt;9999,N(S45)&lt;&gt;1,P45&gt;=dly_d2_y0,P45&lt;=dly_d2_y1),1,0)</f>
        <v>0</v>
      </c>
      <c r="S45" s="20" t="n">
        <f aca="false">IF(In!O293="","",In!O293)</f>
        <v>0</v>
      </c>
    </row>
    <row r="46" customFormat="false" ht="17.15" hidden="false" customHeight="false" outlineLevel="0" collapsed="false">
      <c r="A46" s="0" t="s">
        <v>907</v>
      </c>
      <c r="B46" s="20" t="str">
        <f aca="false">In!B294</f>
        <v>Hut 8 River Bend（Fluidstack／Anthropic）</v>
      </c>
      <c r="C46" s="20" t="str">
        <f aca="false">IF(In!H294="","",In!H294)</f>
        <v>neo</v>
      </c>
      <c r="D46" s="20" t="str">
        <f aca="false">IF(In!I294="","",In!I294)</f>
        <v>ant</v>
      </c>
      <c r="E46" s="20" t="n">
        <f aca="false">IF(In!J294="","",In!J294)</f>
        <v>245</v>
      </c>
      <c r="F46" s="20" t="str">
        <f aca="false">In!C294</f>
        <v>未說明</v>
      </c>
      <c r="G46" s="20" t="n">
        <f aca="false">IF(In!N294="","",In!N294)</f>
        <v>0</v>
      </c>
      <c r="H46" s="20" t="n">
        <f aca="false">IF(In!K294="","",In!K294)</f>
        <v>2027</v>
      </c>
      <c r="I46" s="20" t="n">
        <f aca="false">IF(In!L294="","",In!L294)</f>
        <v>6</v>
      </c>
      <c r="J46" s="20" t="n">
        <f aca="false">N(In!M294)</f>
        <v>0</v>
      </c>
      <c r="K46" s="25" t="n">
        <f aca="false">IF(OR(H46="",I46=""),9999,H46+I46/12)</f>
        <v>2027.5</v>
      </c>
      <c r="L46" s="25" t="n">
        <f aca="false">IF(E46="",0,IF(F46="設施",E46/1000/INDEX(Players!$D$13:$M$13,1,MAX(1,MIN(10,H46-2022))),E46/1000*g_ITtoFac))</f>
        <v>0.245</v>
      </c>
      <c r="M46" s="25" t="n">
        <f aca="false">K46</f>
        <v>2027.5</v>
      </c>
      <c r="N46" s="25" t="n">
        <f aca="false">IF(K46&gt;asof,K46+N(J46)/12,K46)</f>
        <v>2027.5</v>
      </c>
      <c r="O46" s="25" t="n">
        <f aca="false">IF(K46&gt;asof,K46+IF(N(J46)&gt;0,N(J46),dly_d1_m)/12,K46)</f>
        <v>2028</v>
      </c>
      <c r="P46" s="21" t="n">
        <f aca="false">IF(K46=9999,"",ROUNDUP(K46,0)-1)</f>
        <v>2027</v>
      </c>
      <c r="Q46" s="21" t="n">
        <f aca="false">IF(AND(N(G46)=1,K46&lt;9999,L46&gt;0),1,0)</f>
        <v>0</v>
      </c>
      <c r="R46" s="21" t="n">
        <f aca="false">IF(AND(K46&gt;asof,K46&lt;9999,N(S46)&lt;&gt;1,P46&gt;=dly_d2_y0,P46&lt;=dly_d2_y1),1,0)</f>
        <v>1</v>
      </c>
      <c r="S46" s="20" t="n">
        <f aca="false">IF(In!O294="","",In!O294)</f>
        <v>0</v>
      </c>
    </row>
    <row r="47" customFormat="false" ht="17.15" hidden="false" customHeight="false" outlineLevel="0" collapsed="false">
      <c r="A47" s="0" t="s">
        <v>910</v>
      </c>
      <c r="B47" s="20" t="str">
        <f aca="false">In!B295</f>
        <v>Colossus 2 增量（1,531 MW-IT 2027）</v>
      </c>
      <c r="C47" s="20" t="str">
        <f aca="false">IF(In!H295="","",In!H295)</f>
        <v>xai</v>
      </c>
      <c r="D47" s="20" t="str">
        <f aca="false">IF(In!I295="","",In!I295)</f>
        <v/>
      </c>
      <c r="E47" s="20" t="n">
        <f aca="false">IF(In!J295="","",In!J295)</f>
        <v>585</v>
      </c>
      <c r="F47" s="20" t="str">
        <f aca="false">In!C295</f>
        <v>IT</v>
      </c>
      <c r="G47" s="20" t="n">
        <f aca="false">IF(In!N295="","",In!N295)</f>
        <v>1</v>
      </c>
      <c r="H47" s="20" t="n">
        <f aca="false">IF(In!K295="","",In!K295)</f>
        <v>2027</v>
      </c>
      <c r="I47" s="20" t="n">
        <f aca="false">IF(In!L295="","",In!L295)</f>
        <v>3</v>
      </c>
      <c r="J47" s="20" t="n">
        <f aca="false">N(In!M295)</f>
        <v>0</v>
      </c>
      <c r="K47" s="25" t="n">
        <f aca="false">IF(OR(H47="",I47=""),9999,H47+I47/12)</f>
        <v>2027.25</v>
      </c>
      <c r="L47" s="25" t="n">
        <f aca="false">IF(E47="",0,IF(F47="設施",E47/1000/INDEX(Players!$D$13:$M$13,1,MAX(1,MIN(10,H47-2022))),E47/1000*g_ITtoFac))</f>
        <v>0.585</v>
      </c>
      <c r="M47" s="25" t="n">
        <f aca="false">K47</f>
        <v>2027.25</v>
      </c>
      <c r="N47" s="25" t="n">
        <f aca="false">IF(K47&gt;asof,K47+N(J47)/12,K47)</f>
        <v>2027.25</v>
      </c>
      <c r="O47" s="25" t="n">
        <f aca="false">IF(K47&gt;asof,K47+IF(N(J47)&gt;0,N(J47),dly_d1_m)/12,K47)</f>
        <v>2027.75</v>
      </c>
      <c r="P47" s="21" t="n">
        <f aca="false">IF(K47=9999,"",ROUNDUP(K47,0)-1)</f>
        <v>2027</v>
      </c>
      <c r="Q47" s="21" t="n">
        <f aca="false">IF(AND(N(G47)=1,K47&lt;9999,L47&gt;0),1,0)</f>
        <v>1</v>
      </c>
      <c r="R47" s="21" t="n">
        <f aca="false">IF(AND(K47&gt;asof,K47&lt;9999,N(S47)&lt;&gt;1,P47&gt;=dly_d2_y0,P47&lt;=dly_d2_y1),1,0)</f>
        <v>1</v>
      </c>
      <c r="S47" s="20" t="n">
        <f aca="false">IF(In!O295="","",In!O295)</f>
        <v>0</v>
      </c>
    </row>
    <row r="48" customFormat="false" ht="17.15" hidden="false" customHeight="false" outlineLevel="0" collapsed="false">
      <c r="A48" s="0" t="s">
        <v>913</v>
      </c>
      <c r="B48" s="20" t="str">
        <f aca="false">In!B296</f>
        <v>Fairwater Atlanta B3–4（636 − 321）</v>
      </c>
      <c r="C48" s="20" t="str">
        <f aca="false">IF(In!H296="","",In!H296)</f>
        <v>msft</v>
      </c>
      <c r="D48" s="20" t="str">
        <f aca="false">IF(In!I296="","",In!I296)</f>
        <v/>
      </c>
      <c r="E48" s="20" t="n">
        <f aca="false">IF(In!J296="","",In!J296)</f>
        <v>315</v>
      </c>
      <c r="F48" s="20" t="str">
        <f aca="false">In!C296</f>
        <v>IT</v>
      </c>
      <c r="G48" s="20" t="n">
        <f aca="false">IF(In!N296="","",In!N296)</f>
        <v>1</v>
      </c>
      <c r="H48" s="20" t="n">
        <f aca="false">IF(In!K296="","",In!K296)</f>
        <v>2026</v>
      </c>
      <c r="I48" s="20" t="n">
        <f aca="false">IF(In!L296="","",In!L296)</f>
        <v>6</v>
      </c>
      <c r="J48" s="20" t="n">
        <f aca="false">N(In!M296)</f>
        <v>0</v>
      </c>
      <c r="K48" s="25" t="n">
        <f aca="false">IF(OR(H48="",I48=""),9999,H48+I48/12)</f>
        <v>2026.5</v>
      </c>
      <c r="L48" s="25" t="n">
        <f aca="false">IF(E48="",0,IF(F48="設施",E48/1000/INDEX(Players!$D$13:$M$13,1,MAX(1,MIN(10,H48-2022))),E48/1000*g_ITtoFac))</f>
        <v>0.315</v>
      </c>
      <c r="M48" s="25" t="n">
        <f aca="false">K48</f>
        <v>2026.5</v>
      </c>
      <c r="N48" s="25" t="n">
        <f aca="false">IF(K48&gt;asof,K48+N(J48)/12,K48)</f>
        <v>2026.5</v>
      </c>
      <c r="O48" s="25" t="n">
        <f aca="false">IF(K48&gt;asof,K48+IF(N(J48)&gt;0,N(J48),dly_d1_m)/12,K48)</f>
        <v>2026.5</v>
      </c>
      <c r="P48" s="21" t="n">
        <f aca="false">IF(K48=9999,"",ROUNDUP(K48,0)-1)</f>
        <v>2026</v>
      </c>
      <c r="Q48" s="21" t="n">
        <f aca="false">IF(AND(N(G48)=1,K48&lt;9999,L48&gt;0),1,0)</f>
        <v>1</v>
      </c>
      <c r="R48" s="21" t="n">
        <f aca="false">IF(AND(K48&gt;asof,K48&lt;9999,N(S48)&lt;&gt;1,P48&gt;=dly_d2_y0,P48&lt;=dly_d2_y1),1,0)</f>
        <v>0</v>
      </c>
      <c r="S48" s="20" t="n">
        <f aca="false">IF(In!O296="","",In!O296)</f>
        <v>0</v>
      </c>
    </row>
    <row r="49" customFormat="false" ht="17.15" hidden="false" customHeight="false" outlineLevel="0" collapsed="false">
      <c r="A49" s="0" t="s">
        <v>917</v>
      </c>
      <c r="B49" s="20" t="str">
        <f aca="false">In!B297</f>
        <v>Fairwater Wisconsin 2027-02 增量</v>
      </c>
      <c r="C49" s="20" t="str">
        <f aca="false">IF(In!H297="","",In!H297)</f>
        <v>msft</v>
      </c>
      <c r="D49" s="20" t="str">
        <f aca="false">IF(In!I297="","",In!I297)</f>
        <v/>
      </c>
      <c r="E49" s="20" t="n">
        <f aca="false">IF(In!J297="","",In!J297)</f>
        <v>368</v>
      </c>
      <c r="F49" s="20" t="str">
        <f aca="false">In!C297</f>
        <v>IT</v>
      </c>
      <c r="G49" s="20" t="n">
        <f aca="false">IF(In!N297="","",In!N297)</f>
        <v>1</v>
      </c>
      <c r="H49" s="20" t="n">
        <f aca="false">IF(In!K297="","",In!K297)</f>
        <v>2027</v>
      </c>
      <c r="I49" s="20" t="n">
        <f aca="false">IF(In!L297="","",In!L297)</f>
        <v>2</v>
      </c>
      <c r="J49" s="20" t="n">
        <f aca="false">N(In!M297)</f>
        <v>0</v>
      </c>
      <c r="K49" s="25" t="n">
        <f aca="false">IF(OR(H49="",I49=""),9999,H49+I49/12)</f>
        <v>2027.16666666667</v>
      </c>
      <c r="L49" s="25" t="n">
        <f aca="false">IF(E49="",0,IF(F49="設施",E49/1000/INDEX(Players!$D$13:$M$13,1,MAX(1,MIN(10,H49-2022))),E49/1000*g_ITtoFac))</f>
        <v>0.368</v>
      </c>
      <c r="M49" s="25" t="n">
        <f aca="false">K49</f>
        <v>2027.16666666667</v>
      </c>
      <c r="N49" s="25" t="n">
        <f aca="false">IF(K49&gt;asof,K49+N(J49)/12,K49)</f>
        <v>2027.16666666667</v>
      </c>
      <c r="O49" s="25" t="n">
        <f aca="false">IF(K49&gt;asof,K49+IF(N(J49)&gt;0,N(J49),dly_d1_m)/12,K49)</f>
        <v>2027.66666666667</v>
      </c>
      <c r="P49" s="21" t="n">
        <f aca="false">IF(K49=9999,"",ROUNDUP(K49,0)-1)</f>
        <v>2027</v>
      </c>
      <c r="Q49" s="21" t="n">
        <f aca="false">IF(AND(N(G49)=1,K49&lt;9999,L49&gt;0),1,0)</f>
        <v>1</v>
      </c>
      <c r="R49" s="21" t="n">
        <f aca="false">IF(AND(K49&gt;asof,K49&lt;9999,N(S49)&lt;&gt;1,P49&gt;=dly_d2_y0,P49&lt;=dly_d2_y1),1,0)</f>
        <v>1</v>
      </c>
      <c r="S49" s="20" t="n">
        <f aca="false">IF(In!O297="","",In!O297)</f>
        <v>0</v>
      </c>
    </row>
    <row r="50" customFormat="false" ht="17.15" hidden="false" customHeight="false" outlineLevel="0" collapsed="false">
      <c r="A50" s="0" t="s">
        <v>920</v>
      </c>
      <c r="B50" s="20" t="str">
        <f aca="false">In!B298</f>
        <v>Abilene 鄰近園區第二棟（Microsoft 承租）</v>
      </c>
      <c r="C50" s="20" t="str">
        <f aca="false">IF(In!H298="","",In!H298)</f>
        <v>msft</v>
      </c>
      <c r="D50" s="20" t="str">
        <f aca="false">IF(In!I298="","",In!I298)</f>
        <v>self</v>
      </c>
      <c r="E50" s="20" t="n">
        <f aca="false">IF(In!J298="","",In!J298)</f>
        <v>336</v>
      </c>
      <c r="F50" s="20" t="str">
        <f aca="false">In!C298</f>
        <v>IT</v>
      </c>
      <c r="G50" s="20" t="n">
        <f aca="false">IF(In!N298="","",In!N298)</f>
        <v>1</v>
      </c>
      <c r="H50" s="20" t="n">
        <f aca="false">IF(In!K298="","",In!K298)</f>
        <v>2027</v>
      </c>
      <c r="I50" s="20" t="n">
        <f aca="false">IF(In!L298="","",In!L298)</f>
        <v>12</v>
      </c>
      <c r="J50" s="20" t="n">
        <f aca="false">N(In!M298)</f>
        <v>0</v>
      </c>
      <c r="K50" s="25" t="n">
        <f aca="false">IF(OR(H50="",I50=""),9999,H50+I50/12)</f>
        <v>2028</v>
      </c>
      <c r="L50" s="25" t="n">
        <f aca="false">IF(E50="",0,IF(F50="設施",E50/1000/INDEX(Players!$D$13:$M$13,1,MAX(1,MIN(10,H50-2022))),E50/1000*g_ITtoFac))</f>
        <v>0.336</v>
      </c>
      <c r="M50" s="25" t="n">
        <f aca="false">K50</f>
        <v>2028</v>
      </c>
      <c r="N50" s="25" t="n">
        <f aca="false">IF(K50&gt;asof,K50+N(J50)/12,K50)</f>
        <v>2028</v>
      </c>
      <c r="O50" s="25" t="n">
        <f aca="false">IF(K50&gt;asof,K50+IF(N(J50)&gt;0,N(J50),dly_d1_m)/12,K50)</f>
        <v>2028.5</v>
      </c>
      <c r="P50" s="21" t="n">
        <f aca="false">IF(K50=9999,"",ROUNDUP(K50,0)-1)</f>
        <v>2027</v>
      </c>
      <c r="Q50" s="21" t="n">
        <f aca="false">IF(AND(N(G50)=1,K50&lt;9999,L50&gt;0),1,0)</f>
        <v>1</v>
      </c>
      <c r="R50" s="21" t="n">
        <f aca="false">IF(AND(K50&gt;asof,K50&lt;9999,N(S50)&lt;&gt;1,P50&gt;=dly_d2_y0,P50&lt;=dly_d2_y1),1,0)</f>
        <v>1</v>
      </c>
      <c r="S50" s="20" t="n">
        <f aca="false">IF(In!O298="","",In!O298)</f>
        <v>0</v>
      </c>
    </row>
    <row r="51" customFormat="false" ht="17.15" hidden="false" customHeight="false" outlineLevel="0" collapsed="false">
      <c r="A51" s="0" t="s">
        <v>923</v>
      </c>
      <c r="B51" s="20" t="str">
        <f aca="false">In!B299</f>
        <v>Ports Pike（SB Energy）首期 4.25 IT-GW 第 4 段</v>
      </c>
      <c r="C51" s="20" t="str">
        <f aca="false">IF(In!H299="","",In!H299)</f>
        <v>oai</v>
      </c>
      <c r="D51" s="20" t="str">
        <f aca="false">IF(In!I299="","",In!I299)</f>
        <v>oai</v>
      </c>
      <c r="E51" s="20" t="n">
        <f aca="false">IF(In!J299="","",In!J299)</f>
        <v>1150</v>
      </c>
      <c r="F51" s="20" t="str">
        <f aca="false">In!C299</f>
        <v>IT</v>
      </c>
      <c r="G51" s="20" t="n">
        <f aca="false">IF(In!N299="","",In!N299)</f>
        <v>1</v>
      </c>
      <c r="H51" s="20" t="n">
        <f aca="false">IF(In!K299="","",In!K299)</f>
        <v>2031</v>
      </c>
      <c r="I51" s="20" t="n">
        <f aca="false">IF(In!L299="","",In!L299)</f>
        <v>12</v>
      </c>
      <c r="J51" s="20" t="n">
        <f aca="false">N(In!M299)</f>
        <v>0</v>
      </c>
      <c r="K51" s="25" t="n">
        <f aca="false">IF(OR(H51="",I51=""),9999,H51+I51/12)</f>
        <v>2032</v>
      </c>
      <c r="L51" s="25" t="n">
        <f aca="false">IF(E51="",0,IF(F51="設施",E51/1000/INDEX(Players!$D$13:$M$13,1,MAX(1,MIN(10,H51-2022))),E51/1000*g_ITtoFac))</f>
        <v>1.15</v>
      </c>
      <c r="M51" s="25" t="n">
        <f aca="false">K51</f>
        <v>2032</v>
      </c>
      <c r="N51" s="25" t="n">
        <f aca="false">IF(K51&gt;asof,K51+N(J51)/12,K51)</f>
        <v>2032</v>
      </c>
      <c r="O51" s="25" t="n">
        <f aca="false">IF(K51&gt;asof,K51+IF(N(J51)&gt;0,N(J51),dly_d1_m)/12,K51)</f>
        <v>2032.5</v>
      </c>
      <c r="P51" s="21" t="n">
        <f aca="false">IF(K51=9999,"",ROUNDUP(K51,0)-1)</f>
        <v>2031</v>
      </c>
      <c r="Q51" s="21" t="n">
        <f aca="false">IF(AND(N(G51)=1,K51&lt;9999,L51&gt;0),1,0)</f>
        <v>1</v>
      </c>
      <c r="R51" s="21" t="n">
        <f aca="false">IF(AND(K51&gt;asof,K51&lt;9999,N(S51)&lt;&gt;1,P51&gt;=dly_d2_y0,P51&lt;=dly_d2_y1),1,0)</f>
        <v>0</v>
      </c>
      <c r="S51" s="20" t="n">
        <f aca="false">IF(In!O299="","",In!O299)</f>
        <v>0</v>
      </c>
    </row>
    <row r="52" customFormat="false" ht="17.15" hidden="false" customHeight="false" outlineLevel="0" collapsed="false">
      <c r="A52" s="0" t="s">
        <v>926</v>
      </c>
      <c r="B52" s="20" t="str">
        <f aca="false">In!B300</f>
        <v>Stargate Milam County 2（SB Energy）</v>
      </c>
      <c r="C52" s="20" t="str">
        <f aca="false">IF(In!H300="","",In!H300)</f>
        <v>oai</v>
      </c>
      <c r="D52" s="20" t="str">
        <f aca="false">IF(In!I300="","",In!I300)</f>
        <v>oai</v>
      </c>
      <c r="E52" s="20" t="n">
        <f aca="false">IF(In!J300="","",In!J300)</f>
        <v>445</v>
      </c>
      <c r="F52" s="20" t="str">
        <f aca="false">In!C300</f>
        <v>IT</v>
      </c>
      <c r="G52" s="20" t="n">
        <f aca="false">IF(In!N300="","",In!N300)</f>
        <v>1</v>
      </c>
      <c r="H52" s="20" t="n">
        <f aca="false">IF(In!K300="","",In!K300)</f>
        <v>2028</v>
      </c>
      <c r="I52" s="20" t="n">
        <f aca="false">IF(In!L300="","",In!L300)</f>
        <v>12</v>
      </c>
      <c r="J52" s="20" t="n">
        <f aca="false">N(In!M300)</f>
        <v>0</v>
      </c>
      <c r="K52" s="25" t="n">
        <f aca="false">IF(OR(H52="",I52=""),9999,H52+I52/12)</f>
        <v>2029</v>
      </c>
      <c r="L52" s="25" t="n">
        <f aca="false">IF(E52="",0,IF(F52="設施",E52/1000/INDEX(Players!$D$13:$M$13,1,MAX(1,MIN(10,H52-2022))),E52/1000*g_ITtoFac))</f>
        <v>0.445</v>
      </c>
      <c r="M52" s="25" t="n">
        <f aca="false">K52</f>
        <v>2029</v>
      </c>
      <c r="N52" s="25" t="n">
        <f aca="false">IF(K52&gt;asof,K52+N(J52)/12,K52)</f>
        <v>2029</v>
      </c>
      <c r="O52" s="25" t="n">
        <f aca="false">IF(K52&gt;asof,K52+IF(N(J52)&gt;0,N(J52),dly_d1_m)/12,K52)</f>
        <v>2029.5</v>
      </c>
      <c r="P52" s="21" t="n">
        <f aca="false">IF(K52=9999,"",ROUNDUP(K52,0)-1)</f>
        <v>2028</v>
      </c>
      <c r="Q52" s="21" t="n">
        <f aca="false">IF(AND(N(G52)=1,K52&lt;9999,L52&gt;0),1,0)</f>
        <v>1</v>
      </c>
      <c r="R52" s="21" t="n">
        <f aca="false">IF(AND(K52&gt;asof,K52&lt;9999,N(S52)&lt;&gt;1,P52&gt;=dly_d2_y0,P52&lt;=dly_d2_y1),1,0)</f>
        <v>1</v>
      </c>
      <c r="S52" s="20" t="n">
        <f aca="false">IF(In!O300="","",In!O300)</f>
        <v>0</v>
      </c>
    </row>
    <row r="53" customFormat="false" ht="17.15" hidden="false" customHeight="false" outlineLevel="0" collapsed="false">
      <c r="A53" s="0" t="s">
        <v>929</v>
      </c>
      <c r="B53" s="20" t="str">
        <f aca="false">In!B301</f>
        <v>Humain 2027→2030 餘量（至 1.9 GW）</v>
      </c>
      <c r="C53" s="20" t="str">
        <f aca="false">IF(In!H301="","",In!H301)</f>
        <v>sov</v>
      </c>
      <c r="D53" s="20" t="str">
        <f aca="false">IF(In!I301="","",In!I301)</f>
        <v/>
      </c>
      <c r="E53" s="20" t="n">
        <f aca="false">IF(In!J301="","",In!J301)</f>
        <v>200</v>
      </c>
      <c r="F53" s="20" t="str">
        <f aca="false">In!C301</f>
        <v>未說明</v>
      </c>
      <c r="G53" s="20" t="n">
        <f aca="false">IF(In!N301="","",In!N301)</f>
        <v>1</v>
      </c>
      <c r="H53" s="20" t="n">
        <f aca="false">IF(In!K301="","",In!K301)</f>
        <v>2030</v>
      </c>
      <c r="I53" s="20" t="n">
        <f aca="false">IF(In!L301="","",In!L301)</f>
        <v>12</v>
      </c>
      <c r="J53" s="20" t="n">
        <f aca="false">N(In!M301)</f>
        <v>0</v>
      </c>
      <c r="K53" s="25" t="n">
        <f aca="false">IF(OR(H53="",I53=""),9999,H53+I53/12)</f>
        <v>2031</v>
      </c>
      <c r="L53" s="25" t="n">
        <f aca="false">IF(E53="",0,IF(F53="設施",E53/1000/INDEX(Players!$D$13:$M$13,1,MAX(1,MIN(10,H53-2022))),E53/1000*g_ITtoFac))</f>
        <v>0.2</v>
      </c>
      <c r="M53" s="25" t="n">
        <f aca="false">K53</f>
        <v>2031</v>
      </c>
      <c r="N53" s="25" t="n">
        <f aca="false">IF(K53&gt;asof,K53+N(J53)/12,K53)</f>
        <v>2031</v>
      </c>
      <c r="O53" s="25" t="n">
        <f aca="false">IF(K53&gt;asof,K53+IF(N(J53)&gt;0,N(J53),dly_d1_m)/12,K53)</f>
        <v>2031.5</v>
      </c>
      <c r="P53" s="21" t="n">
        <f aca="false">IF(K53=9999,"",ROUNDUP(K53,0)-1)</f>
        <v>2030</v>
      </c>
      <c r="Q53" s="21" t="n">
        <f aca="false">IF(AND(N(G53)=1,K53&lt;9999,L53&gt;0),1,0)</f>
        <v>1</v>
      </c>
      <c r="R53" s="21" t="n">
        <f aca="false">IF(AND(K53&gt;asof,K53&lt;9999,N(S53)&lt;&gt;1,P53&gt;=dly_d2_y0,P53&lt;=dly_d2_y1),1,0)</f>
        <v>0</v>
      </c>
      <c r="S53" s="20" t="n">
        <f aca="false">IF(In!O301="","",In!O301)</f>
        <v>0</v>
      </c>
    </row>
    <row r="54" customFormat="false" ht="17.15" hidden="false" customHeight="false" outlineLevel="0" collapsed="false">
      <c r="A54" s="0" t="s">
        <v>932</v>
      </c>
      <c r="B54" s="20" t="str">
        <f aca="false">In!B302</f>
        <v>AWS Ridgeland B6–14（840 − 284）</v>
      </c>
      <c r="C54" s="20" t="str">
        <f aca="false">IF(In!H302="","",In!H302)</f>
        <v>amzn</v>
      </c>
      <c r="D54" s="20" t="str">
        <f aca="false">IF(In!I302="","",In!I302)</f>
        <v/>
      </c>
      <c r="E54" s="20" t="n">
        <f aca="false">IF(In!J302="","",In!J302)</f>
        <v>556</v>
      </c>
      <c r="F54" s="20" t="str">
        <f aca="false">In!C302</f>
        <v>IT</v>
      </c>
      <c r="G54" s="20" t="n">
        <f aca="false">IF(In!N302="","",In!N302)</f>
        <v>1</v>
      </c>
      <c r="H54" s="20" t="n">
        <f aca="false">IF(In!K302="","",In!K302)</f>
        <v>2028</v>
      </c>
      <c r="I54" s="20" t="n">
        <f aca="false">IF(In!L302="","",In!L302)</f>
        <v>9</v>
      </c>
      <c r="J54" s="20" t="n">
        <f aca="false">N(In!M302)</f>
        <v>0</v>
      </c>
      <c r="K54" s="25" t="n">
        <f aca="false">IF(OR(H54="",I54=""),9999,H54+I54/12)</f>
        <v>2028.75</v>
      </c>
      <c r="L54" s="25" t="n">
        <f aca="false">IF(E54="",0,IF(F54="設施",E54/1000/INDEX(Players!$D$13:$M$13,1,MAX(1,MIN(10,H54-2022))),E54/1000*g_ITtoFac))</f>
        <v>0.556</v>
      </c>
      <c r="M54" s="25" t="n">
        <f aca="false">K54</f>
        <v>2028.75</v>
      </c>
      <c r="N54" s="25" t="n">
        <f aca="false">IF(K54&gt;asof,K54+N(J54)/12,K54)</f>
        <v>2028.75</v>
      </c>
      <c r="O54" s="25" t="n">
        <f aca="false">IF(K54&gt;asof,K54+IF(N(J54)&gt;0,N(J54),dly_d1_m)/12,K54)</f>
        <v>2029.25</v>
      </c>
      <c r="P54" s="21" t="n">
        <f aca="false">IF(K54=9999,"",ROUNDUP(K54,0)-1)</f>
        <v>2028</v>
      </c>
      <c r="Q54" s="21" t="n">
        <f aca="false">IF(AND(N(G54)=1,K54&lt;9999,L54&gt;0),1,0)</f>
        <v>1</v>
      </c>
      <c r="R54" s="21" t="n">
        <f aca="false">IF(AND(K54&gt;asof,K54&lt;9999,N(S54)&lt;&gt;1,P54&gt;=dly_d2_y0,P54&lt;=dly_d2_y1),1,0)</f>
        <v>1</v>
      </c>
      <c r="S54" s="20" t="n">
        <f aca="false">IF(In!O302="","",In!O302)</f>
        <v>0</v>
      </c>
    </row>
    <row r="55" customFormat="false" ht="17.15" hidden="false" customHeight="false" outlineLevel="0" collapsed="false">
      <c r="A55" s="0" t="s">
        <v>935</v>
      </c>
      <c r="B55" s="20" t="str">
        <f aca="false">In!B303</f>
        <v>SK–AWS 蔚山 一期</v>
      </c>
      <c r="C55" s="20" t="str">
        <f aca="false">IF(In!H303="","",In!H303)</f>
        <v>amzn</v>
      </c>
      <c r="D55" s="20" t="str">
        <f aca="false">IF(In!I303="","",In!I303)</f>
        <v/>
      </c>
      <c r="E55" s="20" t="n">
        <f aca="false">IF(In!J303="","",In!J303)</f>
        <v>41</v>
      </c>
      <c r="F55" s="20" t="str">
        <f aca="false">In!C303</f>
        <v>未說明</v>
      </c>
      <c r="G55" s="20" t="n">
        <f aca="false">IF(In!N303="","",In!N303)</f>
        <v>1</v>
      </c>
      <c r="H55" s="20" t="n">
        <f aca="false">IF(In!K303="","",In!K303)</f>
        <v>2027</v>
      </c>
      <c r="I55" s="20" t="n">
        <f aca="false">IF(In!L303="","",In!L303)</f>
        <v>11</v>
      </c>
      <c r="J55" s="20" t="n">
        <f aca="false">N(In!M303)</f>
        <v>0</v>
      </c>
      <c r="K55" s="25" t="n">
        <f aca="false">IF(OR(H55="",I55=""),9999,H55+I55/12)</f>
        <v>2027.91666666667</v>
      </c>
      <c r="L55" s="25" t="n">
        <f aca="false">IF(E55="",0,IF(F55="設施",E55/1000/INDEX(Players!$D$13:$M$13,1,MAX(1,MIN(10,H55-2022))),E55/1000*g_ITtoFac))</f>
        <v>0.041</v>
      </c>
      <c r="M55" s="25" t="n">
        <f aca="false">K55</f>
        <v>2027.91666666667</v>
      </c>
      <c r="N55" s="25" t="n">
        <f aca="false">IF(K55&gt;asof,K55+N(J55)/12,K55)</f>
        <v>2027.91666666667</v>
      </c>
      <c r="O55" s="25" t="n">
        <f aca="false">IF(K55&gt;asof,K55+IF(N(J55)&gt;0,N(J55),dly_d1_m)/12,K55)</f>
        <v>2028.41666666667</v>
      </c>
      <c r="P55" s="21" t="n">
        <f aca="false">IF(K55=9999,"",ROUNDUP(K55,0)-1)</f>
        <v>2027</v>
      </c>
      <c r="Q55" s="21" t="n">
        <f aca="false">IF(AND(N(G55)=1,K55&lt;9999,L55&gt;0),1,0)</f>
        <v>1</v>
      </c>
      <c r="R55" s="21" t="n">
        <f aca="false">IF(AND(K55&gt;asof,K55&lt;9999,N(S55)&lt;&gt;1,P55&gt;=dly_d2_y0,P55&lt;=dly_d2_y1),1,0)</f>
        <v>1</v>
      </c>
      <c r="S55" s="20" t="n">
        <f aca="false">IF(In!O303="","",In!O303)</f>
        <v>0</v>
      </c>
    </row>
    <row r="56" customFormat="false" ht="17.15" hidden="false" customHeight="false" outlineLevel="0" collapsed="false">
      <c r="A56" s="0" t="s">
        <v>938</v>
      </c>
      <c r="B56" s="20" t="str">
        <f aca="false">In!B304</f>
        <v>SK–AWS 蔚山 至 103 MW 增量</v>
      </c>
      <c r="C56" s="20" t="str">
        <f aca="false">IF(In!H304="","",In!H304)</f>
        <v>amzn</v>
      </c>
      <c r="D56" s="20" t="str">
        <f aca="false">IF(In!I304="","",In!I304)</f>
        <v/>
      </c>
      <c r="E56" s="20" t="n">
        <f aca="false">IF(In!J304="","",In!J304)</f>
        <v>62</v>
      </c>
      <c r="F56" s="20" t="str">
        <f aca="false">In!C304</f>
        <v>未說明</v>
      </c>
      <c r="G56" s="20" t="n">
        <f aca="false">IF(In!N304="","",In!N304)</f>
        <v>1</v>
      </c>
      <c r="H56" s="20" t="n">
        <f aca="false">IF(In!K304="","",In!K304)</f>
        <v>2029</v>
      </c>
      <c r="I56" s="20" t="n">
        <f aca="false">IF(In!L304="","",In!L304)</f>
        <v>2</v>
      </c>
      <c r="J56" s="20" t="n">
        <f aca="false">N(In!M304)</f>
        <v>0</v>
      </c>
      <c r="K56" s="25" t="n">
        <f aca="false">IF(OR(H56="",I56=""),9999,H56+I56/12)</f>
        <v>2029.16666666667</v>
      </c>
      <c r="L56" s="25" t="n">
        <f aca="false">IF(E56="",0,IF(F56="設施",E56/1000/INDEX(Players!$D$13:$M$13,1,MAX(1,MIN(10,H56-2022))),E56/1000*g_ITtoFac))</f>
        <v>0.062</v>
      </c>
      <c r="M56" s="25" t="n">
        <f aca="false">K56</f>
        <v>2029.16666666667</v>
      </c>
      <c r="N56" s="25" t="n">
        <f aca="false">IF(K56&gt;asof,K56+N(J56)/12,K56)</f>
        <v>2029.16666666667</v>
      </c>
      <c r="O56" s="25" t="n">
        <f aca="false">IF(K56&gt;asof,K56+IF(N(J56)&gt;0,N(J56),dly_d1_m)/12,K56)</f>
        <v>2029.66666666667</v>
      </c>
      <c r="P56" s="21" t="n">
        <f aca="false">IF(K56=9999,"",ROUNDUP(K56,0)-1)</f>
        <v>2029</v>
      </c>
      <c r="Q56" s="21" t="n">
        <f aca="false">IF(AND(N(G56)=1,K56&lt;9999,L56&gt;0),1,0)</f>
        <v>1</v>
      </c>
      <c r="R56" s="21" t="n">
        <f aca="false">IF(AND(K56&gt;asof,K56&lt;9999,N(S56)&lt;&gt;1,P56&gt;=dly_d2_y0,P56&lt;=dly_d2_y1),1,0)</f>
        <v>0</v>
      </c>
      <c r="S56" s="20" t="n">
        <f aca="false">IF(In!O304="","",In!O304)</f>
        <v>0</v>
      </c>
    </row>
    <row r="57" customFormat="false" ht="17.15" hidden="false" customHeight="false" outlineLevel="0" collapsed="false">
      <c r="A57" s="0" t="s">
        <v>941</v>
      </c>
      <c r="B57" s="20" t="str">
        <f aca="false">In!B305</f>
        <v>Cipher Barber Lake（168 ＋ 39）</v>
      </c>
      <c r="C57" s="20" t="str">
        <f aca="false">IF(In!H305="","",In!H305)</f>
        <v>neo</v>
      </c>
      <c r="D57" s="20" t="str">
        <f aca="false">IF(In!I305="","",In!I305)</f>
        <v/>
      </c>
      <c r="E57" s="20" t="n">
        <f aca="false">IF(In!J305="","",In!J305)</f>
        <v>207</v>
      </c>
      <c r="F57" s="20" t="str">
        <f aca="false">In!C305</f>
        <v>IT</v>
      </c>
      <c r="G57" s="20" t="n">
        <f aca="false">IF(In!N305="","",In!N305)</f>
        <v>1</v>
      </c>
      <c r="H57" s="20" t="n">
        <f aca="false">IF(In!K305="","",In!K305)</f>
        <v>2027</v>
      </c>
      <c r="I57" s="20" t="n">
        <f aca="false">IF(In!L305="","",In!L305)</f>
        <v>3</v>
      </c>
      <c r="J57" s="20" t="n">
        <f aca="false">N(In!M305)</f>
        <v>0</v>
      </c>
      <c r="K57" s="25" t="n">
        <f aca="false">IF(OR(H57="",I57=""),9999,H57+I57/12)</f>
        <v>2027.25</v>
      </c>
      <c r="L57" s="25" t="n">
        <f aca="false">IF(E57="",0,IF(F57="設施",E57/1000/INDEX(Players!$D$13:$M$13,1,MAX(1,MIN(10,H57-2022))),E57/1000*g_ITtoFac))</f>
        <v>0.207</v>
      </c>
      <c r="M57" s="25" t="n">
        <f aca="false">K57</f>
        <v>2027.25</v>
      </c>
      <c r="N57" s="25" t="n">
        <f aca="false">IF(K57&gt;asof,K57+N(J57)/12,K57)</f>
        <v>2027.25</v>
      </c>
      <c r="O57" s="25" t="n">
        <f aca="false">IF(K57&gt;asof,K57+IF(N(J57)&gt;0,N(J57),dly_d1_m)/12,K57)</f>
        <v>2027.75</v>
      </c>
      <c r="P57" s="21" t="n">
        <f aca="false">IF(K57=9999,"",ROUNDUP(K57,0)-1)</f>
        <v>2027</v>
      </c>
      <c r="Q57" s="21" t="n">
        <f aca="false">IF(AND(N(G57)=1,K57&lt;9999,L57&gt;0),1,0)</f>
        <v>1</v>
      </c>
      <c r="R57" s="21" t="n">
        <f aca="false">IF(AND(K57&gt;asof,K57&lt;9999,N(S57)&lt;&gt;1,P57&gt;=dly_d2_y0,P57&lt;=dly_d2_y1),1,0)</f>
        <v>1</v>
      </c>
      <c r="S57" s="20" t="n">
        <f aca="false">IF(In!O305="","",In!O305)</f>
        <v>0</v>
      </c>
    </row>
    <row r="58" customFormat="false" ht="15" hidden="false" customHeight="false" outlineLevel="0" collapsed="false">
      <c r="A58" s="0" t="s">
        <v>944</v>
      </c>
      <c r="B58" s="20" t="str">
        <f aca="false">In!B306</f>
        <v>Applied Digital Polaris Forge 2</v>
      </c>
      <c r="C58" s="20" t="str">
        <f aca="false">IF(In!H306="","",In!H306)</f>
        <v>neo</v>
      </c>
      <c r="D58" s="20" t="str">
        <f aca="false">IF(In!I306="","",In!I306)</f>
        <v/>
      </c>
      <c r="E58" s="20" t="n">
        <f aca="false">IF(In!J306="","",In!J306)</f>
        <v>200</v>
      </c>
      <c r="F58" s="20" t="str">
        <f aca="false">In!C306</f>
        <v>IT</v>
      </c>
      <c r="G58" s="20" t="n">
        <f aca="false">IF(In!N306="","",In!N306)</f>
        <v>1</v>
      </c>
      <c r="H58" s="20" t="n">
        <f aca="false">IF(In!K306="","",In!K306)</f>
        <v>2027</v>
      </c>
      <c r="I58" s="20" t="n">
        <f aca="false">IF(In!L306="","",In!L306)</f>
        <v>12</v>
      </c>
      <c r="J58" s="20" t="n">
        <f aca="false">N(In!M306)</f>
        <v>0</v>
      </c>
      <c r="K58" s="25" t="n">
        <f aca="false">IF(OR(H58="",I58=""),9999,H58+I58/12)</f>
        <v>2028</v>
      </c>
      <c r="L58" s="25" t="n">
        <f aca="false">IF(E58="",0,IF(F58="設施",E58/1000/INDEX(Players!$D$13:$M$13,1,MAX(1,MIN(10,H58-2022))),E58/1000*g_ITtoFac))</f>
        <v>0.2</v>
      </c>
      <c r="M58" s="25" t="n">
        <f aca="false">K58</f>
        <v>2028</v>
      </c>
      <c r="N58" s="25" t="n">
        <f aca="false">IF(K58&gt;asof,K58+N(J58)/12,K58)</f>
        <v>2028</v>
      </c>
      <c r="O58" s="25" t="n">
        <f aca="false">IF(K58&gt;asof,K58+IF(N(J58)&gt;0,N(J58),dly_d1_m)/12,K58)</f>
        <v>2028.5</v>
      </c>
      <c r="P58" s="21" t="n">
        <f aca="false">IF(K58=9999,"",ROUNDUP(K58,0)-1)</f>
        <v>2027</v>
      </c>
      <c r="Q58" s="21" t="n">
        <f aca="false">IF(AND(N(G58)=1,K58&lt;9999,L58&gt;0),1,0)</f>
        <v>1</v>
      </c>
      <c r="R58" s="21" t="n">
        <f aca="false">IF(AND(K58&gt;asof,K58&lt;9999,N(S58)&lt;&gt;1,P58&gt;=dly_d2_y0,P58&lt;=dly_d2_y1),1,0)</f>
        <v>1</v>
      </c>
      <c r="S58" s="20" t="n">
        <f aca="false">IF(In!O306="","",In!O306)</f>
        <v>0</v>
      </c>
    </row>
    <row r="59" customFormat="false" ht="17.15" hidden="false" customHeight="false" outlineLevel="0" collapsed="false">
      <c r="A59" s="0" t="s">
        <v>947</v>
      </c>
      <c r="B59" s="20" t="str">
        <f aca="false">In!B307</f>
        <v>Nscale Monarch 一期</v>
      </c>
      <c r="C59" s="20" t="str">
        <f aca="false">IF(In!H307="","",In!H307)</f>
        <v>neo</v>
      </c>
      <c r="D59" s="20" t="str">
        <f aca="false">IF(In!I307="","",In!I307)</f>
        <v/>
      </c>
      <c r="E59" s="20" t="n">
        <f aca="false">IF(In!J307="","",In!J307)</f>
        <v>1350</v>
      </c>
      <c r="F59" s="20" t="str">
        <f aca="false">In!C307</f>
        <v>未說明</v>
      </c>
      <c r="G59" s="20" t="n">
        <f aca="false">IF(In!N307="","",In!N307)</f>
        <v>1</v>
      </c>
      <c r="H59" s="20" t="n">
        <f aca="false">IF(In!K307="","",In!K307)</f>
        <v>2028</v>
      </c>
      <c r="I59" s="20" t="n">
        <f aca="false">IF(In!L307="","",In!L307)</f>
        <v>3</v>
      </c>
      <c r="J59" s="20" t="n">
        <f aca="false">N(In!M307)</f>
        <v>0</v>
      </c>
      <c r="K59" s="25" t="n">
        <f aca="false">IF(OR(H59="",I59=""),9999,H59+I59/12)</f>
        <v>2028.25</v>
      </c>
      <c r="L59" s="25" t="n">
        <f aca="false">IF(E59="",0,IF(F59="設施",E59/1000/INDEX(Players!$D$13:$M$13,1,MAX(1,MIN(10,H59-2022))),E59/1000*g_ITtoFac))</f>
        <v>1.35</v>
      </c>
      <c r="M59" s="25" t="n">
        <f aca="false">K59</f>
        <v>2028.25</v>
      </c>
      <c r="N59" s="25" t="n">
        <f aca="false">IF(K59&gt;asof,K59+N(J59)/12,K59)</f>
        <v>2028.25</v>
      </c>
      <c r="O59" s="25" t="n">
        <f aca="false">IF(K59&gt;asof,K59+IF(N(J59)&gt;0,N(J59),dly_d1_m)/12,K59)</f>
        <v>2028.75</v>
      </c>
      <c r="P59" s="21" t="n">
        <f aca="false">IF(K59=9999,"",ROUNDUP(K59,0)-1)</f>
        <v>2028</v>
      </c>
      <c r="Q59" s="21" t="n">
        <f aca="false">IF(AND(N(G59)=1,K59&lt;9999,L59&gt;0),1,0)</f>
        <v>1</v>
      </c>
      <c r="R59" s="21" t="n">
        <f aca="false">IF(AND(K59&gt;asof,K59&lt;9999,N(S59)&lt;&gt;1,P59&gt;=dly_d2_y0,P59&lt;=dly_d2_y1),1,0)</f>
        <v>1</v>
      </c>
      <c r="S59" s="20" t="n">
        <f aca="false">IF(In!O307="","",In!O307)</f>
        <v>0</v>
      </c>
    </row>
    <row r="60" customFormat="false" ht="17.15" hidden="false" customHeight="false" outlineLevel="0" collapsed="false">
      <c r="A60" s="0" t="s">
        <v>950</v>
      </c>
      <c r="B60" s="20" t="str">
        <f aca="false">In!B308</f>
        <v>Hut 8 Beacon Point（Nueces County）</v>
      </c>
      <c r="C60" s="20" t="str">
        <f aca="false">IF(In!H308="","",In!H308)</f>
        <v>neo</v>
      </c>
      <c r="D60" s="20" t="str">
        <f aca="false">IF(In!I308="","",In!I308)</f>
        <v/>
      </c>
      <c r="E60" s="20" t="n">
        <f aca="false">IF(In!J308="","",In!J308)</f>
        <v>352</v>
      </c>
      <c r="F60" s="20" t="str">
        <f aca="false">In!C308</f>
        <v>IT</v>
      </c>
      <c r="G60" s="20" t="n">
        <f aca="false">IF(In!N308="","",In!N308)</f>
        <v>1</v>
      </c>
      <c r="H60" s="20" t="n">
        <f aca="false">IF(In!K308="","",In!K308)</f>
        <v>2028</v>
      </c>
      <c r="I60" s="20" t="n">
        <f aca="false">IF(In!L308="","",In!L308)</f>
        <v>3</v>
      </c>
      <c r="J60" s="20" t="n">
        <f aca="false">N(In!M308)</f>
        <v>0</v>
      </c>
      <c r="K60" s="25" t="n">
        <f aca="false">IF(OR(H60="",I60=""),9999,H60+I60/12)</f>
        <v>2028.25</v>
      </c>
      <c r="L60" s="25" t="n">
        <f aca="false">IF(E60="",0,IF(F60="設施",E60/1000/INDEX(Players!$D$13:$M$13,1,MAX(1,MIN(10,H60-2022))),E60/1000*g_ITtoFac))</f>
        <v>0.352</v>
      </c>
      <c r="M60" s="25" t="n">
        <f aca="false">K60</f>
        <v>2028.25</v>
      </c>
      <c r="N60" s="25" t="n">
        <f aca="false">IF(K60&gt;asof,K60+N(J60)/12,K60)</f>
        <v>2028.25</v>
      </c>
      <c r="O60" s="25" t="n">
        <f aca="false">IF(K60&gt;asof,K60+IF(N(J60)&gt;0,N(J60),dly_d1_m)/12,K60)</f>
        <v>2028.75</v>
      </c>
      <c r="P60" s="21" t="n">
        <f aca="false">IF(K60=9999,"",ROUNDUP(K60,0)-1)</f>
        <v>2028</v>
      </c>
      <c r="Q60" s="21" t="n">
        <f aca="false">IF(AND(N(G60)=1,K60&lt;9999,L60&gt;0),1,0)</f>
        <v>1</v>
      </c>
      <c r="R60" s="21" t="n">
        <f aca="false">IF(AND(K60&gt;asof,K60&lt;9999,N(S60)&lt;&gt;1,P60&gt;=dly_d2_y0,P60&lt;=dly_d2_y1),1,0)</f>
        <v>1</v>
      </c>
      <c r="S60" s="20" t="n">
        <f aca="false">IF(In!O308="","",In!O308)</f>
        <v>0</v>
      </c>
    </row>
    <row r="61" customFormat="false" ht="17.15" hidden="false" customHeight="false" outlineLevel="0" collapsed="false">
      <c r="A61" s="0" t="s">
        <v>953</v>
      </c>
      <c r="B61" s="20" t="str">
        <f aca="false">In!B309</f>
        <v>Hyperion 2→5 GW 餘量</v>
      </c>
      <c r="C61" s="20" t="str">
        <f aca="false">IF(In!H309="","",In!H309)</f>
        <v>meta</v>
      </c>
      <c r="D61" s="20" t="str">
        <f aca="false">IF(In!I309="","",In!I309)</f>
        <v>meta</v>
      </c>
      <c r="E61" s="20" t="n">
        <f aca="false">IF(In!J309="","",In!J309)</f>
        <v>3000</v>
      </c>
      <c r="F61" s="20" t="str">
        <f aca="false">In!C309</f>
        <v>未說明</v>
      </c>
      <c r="G61" s="20" t="n">
        <f aca="false">IF(In!N309="","",In!N309)</f>
        <v>0</v>
      </c>
      <c r="H61" s="20" t="n">
        <f aca="false">IF(In!K309="","",In!K309)</f>
        <v>2032</v>
      </c>
      <c r="I61" s="20" t="n">
        <f aca="false">IF(In!L309="","",In!L309)</f>
        <v>12</v>
      </c>
      <c r="J61" s="20" t="n">
        <f aca="false">N(In!M309)</f>
        <v>0</v>
      </c>
      <c r="K61" s="25" t="n">
        <f aca="false">IF(OR(H61="",I61=""),9999,H61+I61/12)</f>
        <v>2033</v>
      </c>
      <c r="L61" s="25" t="n">
        <f aca="false">IF(E61="",0,IF(F61="設施",E61/1000/INDEX(Players!$D$13:$M$13,1,MAX(1,MIN(10,H61-2022))),E61/1000*g_ITtoFac))</f>
        <v>3</v>
      </c>
      <c r="M61" s="25" t="n">
        <f aca="false">K61</f>
        <v>2033</v>
      </c>
      <c r="N61" s="25" t="n">
        <f aca="false">IF(K61&gt;asof,K61+N(J61)/12,K61)</f>
        <v>2033</v>
      </c>
      <c r="O61" s="25" t="n">
        <f aca="false">IF(K61&gt;asof,K61+IF(N(J61)&gt;0,N(J61),dly_d1_m)/12,K61)</f>
        <v>2033.5</v>
      </c>
      <c r="P61" s="21" t="n">
        <f aca="false">IF(K61=9999,"",ROUNDUP(K61,0)-1)</f>
        <v>2032</v>
      </c>
      <c r="Q61" s="21" t="n">
        <f aca="false">IF(AND(N(G61)=1,K61&lt;9999,L61&gt;0),1,0)</f>
        <v>0</v>
      </c>
      <c r="R61" s="21" t="n">
        <f aca="false">IF(AND(K61&gt;asof,K61&lt;9999,N(S61)&lt;&gt;1,P61&gt;=dly_d2_y0,P61&lt;=dly_d2_y1),1,0)</f>
        <v>0</v>
      </c>
      <c r="S61" s="20" t="n">
        <f aca="false">IF(In!O309="","",In!O309)</f>
        <v>0</v>
      </c>
    </row>
    <row r="62" customFormat="false" ht="17.15" hidden="false" customHeight="false" outlineLevel="0" collapsed="false">
      <c r="A62" s="0" t="s">
        <v>956</v>
      </c>
      <c r="B62" s="20" t="str">
        <f aca="false">In!B310</f>
        <v>SoftBank 北海道苫小牧</v>
      </c>
      <c r="C62" s="20" t="str">
        <f aca="false">IF(In!H310="","",In!H310)</f>
        <v>oth</v>
      </c>
      <c r="D62" s="20" t="str">
        <f aca="false">IF(In!I310="","",In!I310)</f>
        <v/>
      </c>
      <c r="E62" s="20" t="n">
        <f aca="false">IF(In!J310="","",In!J310)</f>
        <v>50</v>
      </c>
      <c r="F62" s="20" t="str">
        <f aca="false">In!C310</f>
        <v>設施</v>
      </c>
      <c r="G62" s="20" t="n">
        <f aca="false">IF(In!N310="","",In!N310)</f>
        <v>0</v>
      </c>
      <c r="H62" s="20" t="n">
        <f aca="false">IF(In!K310="","",In!K310)</f>
        <v>2027</v>
      </c>
      <c r="I62" s="20" t="n">
        <f aca="false">IF(In!L310="","",In!L310)</f>
        <v>3</v>
      </c>
      <c r="J62" s="20" t="n">
        <f aca="false">N(In!M310)</f>
        <v>0</v>
      </c>
      <c r="K62" s="25" t="n">
        <f aca="false">IF(OR(H62="",I62=""),9999,H62+I62/12)</f>
        <v>2027.25</v>
      </c>
      <c r="L62" s="25" t="n">
        <f aca="false">IF(E62="",0,IF(F62="設施",E62/1000/INDEX(Players!$D$13:$M$13,1,MAX(1,MIN(10,H62-2022))),E62/1000*g_ITtoFac))</f>
        <v>0.0416666666666667</v>
      </c>
      <c r="M62" s="25" t="n">
        <f aca="false">K62</f>
        <v>2027.25</v>
      </c>
      <c r="N62" s="25" t="n">
        <f aca="false">IF(K62&gt;asof,K62+N(J62)/12,K62)</f>
        <v>2027.25</v>
      </c>
      <c r="O62" s="25" t="n">
        <f aca="false">IF(K62&gt;asof,K62+IF(N(J62)&gt;0,N(J62),dly_d1_m)/12,K62)</f>
        <v>2027.75</v>
      </c>
      <c r="P62" s="21" t="n">
        <f aca="false">IF(K62=9999,"",ROUNDUP(K62,0)-1)</f>
        <v>2027</v>
      </c>
      <c r="Q62" s="21" t="n">
        <f aca="false">IF(AND(N(G62)=1,K62&lt;9999,L62&gt;0),1,0)</f>
        <v>0</v>
      </c>
      <c r="R62" s="21" t="n">
        <f aca="false">IF(AND(K62&gt;asof,K62&lt;9999,N(S62)&lt;&gt;1,P62&gt;=dly_d2_y0,P62&lt;=dly_d2_y1),1,0)</f>
        <v>1</v>
      </c>
      <c r="S62" s="20" t="n">
        <f aca="false">IF(In!O310="","",In!O310)</f>
        <v>0</v>
      </c>
    </row>
    <row r="63" customFormat="false" ht="17.15" hidden="false" customHeight="false" outlineLevel="0" collapsed="false">
      <c r="A63" s="0" t="s">
        <v>960</v>
      </c>
      <c r="B63" s="20" t="str">
        <f aca="false">In!B311</f>
        <v>DataVolt Oxagon（Nebius 最多 50 MW）</v>
      </c>
      <c r="C63" s="20" t="str">
        <f aca="false">IF(In!H311="","",In!H311)</f>
        <v>nbis</v>
      </c>
      <c r="D63" s="20" t="str">
        <f aca="false">IF(In!I311="","",In!I311)</f>
        <v/>
      </c>
      <c r="E63" s="20" t="n">
        <f aca="false">IF(In!J311="","",In!J311)</f>
        <v>50</v>
      </c>
      <c r="F63" s="20" t="str">
        <f aca="false">In!C311</f>
        <v>未說明</v>
      </c>
      <c r="G63" s="20" t="n">
        <f aca="false">IF(In!N311="","",In!N311)</f>
        <v>0</v>
      </c>
      <c r="H63" s="20" t="n">
        <f aca="false">IF(In!K311="","",In!K311)</f>
        <v>2028</v>
      </c>
      <c r="I63" s="20" t="n">
        <f aca="false">IF(In!L311="","",In!L311)</f>
        <v>12</v>
      </c>
      <c r="J63" s="20" t="n">
        <f aca="false">N(In!M311)</f>
        <v>0</v>
      </c>
      <c r="K63" s="25" t="n">
        <f aca="false">IF(OR(H63="",I63=""),9999,H63+I63/12)</f>
        <v>2029</v>
      </c>
      <c r="L63" s="25" t="n">
        <f aca="false">IF(E63="",0,IF(F63="設施",E63/1000/INDEX(Players!$D$13:$M$13,1,MAX(1,MIN(10,H63-2022))),E63/1000*g_ITtoFac))</f>
        <v>0.05</v>
      </c>
      <c r="M63" s="25" t="n">
        <f aca="false">K63</f>
        <v>2029</v>
      </c>
      <c r="N63" s="25" t="n">
        <f aca="false">IF(K63&gt;asof,K63+N(J63)/12,K63)</f>
        <v>2029</v>
      </c>
      <c r="O63" s="25" t="n">
        <f aca="false">IF(K63&gt;asof,K63+IF(N(J63)&gt;0,N(J63),dly_d1_m)/12,K63)</f>
        <v>2029.5</v>
      </c>
      <c r="P63" s="21" t="n">
        <f aca="false">IF(K63=9999,"",ROUNDUP(K63,0)-1)</f>
        <v>2028</v>
      </c>
      <c r="Q63" s="21" t="n">
        <f aca="false">IF(AND(N(G63)=1,K63&lt;9999,L63&gt;0),1,0)</f>
        <v>0</v>
      </c>
      <c r="R63" s="21" t="n">
        <f aca="false">IF(AND(K63&gt;asof,K63&lt;9999,N(S63)&lt;&gt;1,P63&gt;=dly_d2_y0,P63&lt;=dly_d2_y1),1,0)</f>
        <v>1</v>
      </c>
      <c r="S63" s="20" t="n">
        <f aca="false">IF(In!O311="","",In!O311)</f>
        <v>0</v>
      </c>
    </row>
    <row r="64" customFormat="false" ht="17.15" hidden="false" customHeight="false" outlineLevel="0" collapsed="false">
      <c r="A64" s="0" t="s">
        <v>963</v>
      </c>
      <c r="B64" s="20" t="str">
        <f aca="false">In!B312</f>
        <v>Khazna Ajman（QAJ1）</v>
      </c>
      <c r="C64" s="20" t="str">
        <f aca="false">IF(In!H312="","",In!H312)</f>
        <v>sov</v>
      </c>
      <c r="D64" s="20" t="str">
        <f aca="false">IF(In!I312="","",In!I312)</f>
        <v/>
      </c>
      <c r="E64" s="20" t="n">
        <f aca="false">IF(In!J312="","",In!J312)</f>
        <v>30</v>
      </c>
      <c r="F64" s="20" t="str">
        <f aca="false">In!C312</f>
        <v>IT</v>
      </c>
      <c r="G64" s="20" t="n">
        <f aca="false">IF(In!N312="","",In!N312)</f>
        <v>0</v>
      </c>
      <c r="H64" s="20" t="n">
        <f aca="false">IF(In!K312="","",In!K312)</f>
        <v>2026</v>
      </c>
      <c r="I64" s="20" t="n">
        <f aca="false">IF(In!L312="","",In!L312)</f>
        <v>12</v>
      </c>
      <c r="J64" s="20" t="n">
        <f aca="false">N(In!M312)</f>
        <v>0</v>
      </c>
      <c r="K64" s="25" t="n">
        <f aca="false">IF(OR(H64="",I64=""),9999,H64+I64/12)</f>
        <v>2027</v>
      </c>
      <c r="L64" s="25" t="n">
        <f aca="false">IF(E64="",0,IF(F64="設施",E64/1000/INDEX(Players!$D$13:$M$13,1,MAX(1,MIN(10,H64-2022))),E64/1000*g_ITtoFac))</f>
        <v>0.03</v>
      </c>
      <c r="M64" s="25" t="n">
        <f aca="false">K64</f>
        <v>2027</v>
      </c>
      <c r="N64" s="25" t="n">
        <f aca="false">IF(K64&gt;asof,K64+N(J64)/12,K64)</f>
        <v>2027</v>
      </c>
      <c r="O64" s="25" t="n">
        <f aca="false">IF(K64&gt;asof,K64+IF(N(J64)&gt;0,N(J64),dly_d1_m)/12,K64)</f>
        <v>2027.5</v>
      </c>
      <c r="P64" s="21" t="n">
        <f aca="false">IF(K64=9999,"",ROUNDUP(K64,0)-1)</f>
        <v>2026</v>
      </c>
      <c r="Q64" s="21" t="n">
        <f aca="false">IF(AND(N(G64)=1,K64&lt;9999,L64&gt;0),1,0)</f>
        <v>0</v>
      </c>
      <c r="R64" s="21" t="n">
        <f aca="false">IF(AND(K64&gt;asof,K64&lt;9999,N(S64)&lt;&gt;1,P64&gt;=dly_d2_y0,P64&lt;=dly_d2_y1),1,0)</f>
        <v>0</v>
      </c>
      <c r="S64" s="20" t="n">
        <f aca="false">IF(In!O312="","",In!O312)</f>
        <v>0</v>
      </c>
    </row>
    <row r="65" customFormat="false" ht="17.15" hidden="false" customHeight="false" outlineLevel="0" collapsed="false">
      <c r="A65" s="0" t="s">
        <v>966</v>
      </c>
      <c r="B65" s="20" t="str">
        <f aca="false">In!B313</f>
        <v>Nebius–Mega Or Beit Shemesh（以色列）</v>
      </c>
      <c r="C65" s="20" t="str">
        <f aca="false">IF(In!H313="","",In!H313)</f>
        <v>nbis</v>
      </c>
      <c r="D65" s="20" t="str">
        <f aca="false">IF(In!I313="","",In!I313)</f>
        <v/>
      </c>
      <c r="E65" s="20" t="n">
        <f aca="false">IF(In!J313="","",In!J313)</f>
        <v>58</v>
      </c>
      <c r="F65" s="20" t="str">
        <f aca="false">In!C313</f>
        <v>未說明</v>
      </c>
      <c r="G65" s="20" t="n">
        <f aca="false">IF(In!N313="","",In!N313)</f>
        <v>1</v>
      </c>
      <c r="H65" s="20" t="n">
        <f aca="false">IF(In!K313="","",In!K313)</f>
        <v>2027</v>
      </c>
      <c r="I65" s="20" t="n">
        <f aca="false">IF(In!L313="","",In!L313)</f>
        <v>3</v>
      </c>
      <c r="J65" s="20" t="n">
        <f aca="false">N(In!M313)</f>
        <v>0</v>
      </c>
      <c r="K65" s="25" t="n">
        <f aca="false">IF(OR(H65="",I65=""),9999,H65+I65/12)</f>
        <v>2027.25</v>
      </c>
      <c r="L65" s="25" t="n">
        <f aca="false">IF(E65="",0,IF(F65="設施",E65/1000/INDEX(Players!$D$13:$M$13,1,MAX(1,MIN(10,H65-2022))),E65/1000*g_ITtoFac))</f>
        <v>0.058</v>
      </c>
      <c r="M65" s="25" t="n">
        <f aca="false">K65</f>
        <v>2027.25</v>
      </c>
      <c r="N65" s="25" t="n">
        <f aca="false">IF(K65&gt;asof,K65+N(J65)/12,K65)</f>
        <v>2027.25</v>
      </c>
      <c r="O65" s="25" t="n">
        <f aca="false">IF(K65&gt;asof,K65+IF(N(J65)&gt;0,N(J65),dly_d1_m)/12,K65)</f>
        <v>2027.75</v>
      </c>
      <c r="P65" s="21" t="n">
        <f aca="false">IF(K65=9999,"",ROUNDUP(K65,0)-1)</f>
        <v>2027</v>
      </c>
      <c r="Q65" s="21" t="n">
        <f aca="false">IF(AND(N(G65)=1,K65&lt;9999,L65&gt;0),1,0)</f>
        <v>1</v>
      </c>
      <c r="R65" s="21" t="n">
        <f aca="false">IF(AND(K65&gt;asof,K65&lt;9999,N(S65)&lt;&gt;1,P65&gt;=dly_d2_y0,P65&lt;=dly_d2_y1),1,0)</f>
        <v>1</v>
      </c>
      <c r="S65" s="20" t="n">
        <f aca="false">IF(In!O313="","",In!O313)</f>
        <v>0</v>
      </c>
    </row>
    <row r="66" customFormat="false" ht="17.15" hidden="false" customHeight="false" outlineLevel="0" collapsed="false">
      <c r="A66" s="0" t="s">
        <v>970</v>
      </c>
      <c r="B66" s="20" t="str">
        <f aca="false">In!B314</f>
        <v>Google Kronstorf（奧地利）首期</v>
      </c>
      <c r="C66" s="20" t="str">
        <f aca="false">IF(In!H314="","",In!H314)</f>
        <v>googl</v>
      </c>
      <c r="D66" s="20" t="str">
        <f aca="false">IF(In!I314="","",In!I314)</f>
        <v>self</v>
      </c>
      <c r="E66" s="20" t="n">
        <f aca="false">IF(In!J314="","",In!J314)</f>
        <v>150</v>
      </c>
      <c r="F66" s="20" t="str">
        <f aca="false">In!C314</f>
        <v>設施</v>
      </c>
      <c r="G66" s="20" t="n">
        <f aca="false">IF(In!N314="","",In!N314)</f>
        <v>1</v>
      </c>
      <c r="H66" s="20" t="n">
        <f aca="false">IF(In!K314="","",In!K314)</f>
        <v>2027</v>
      </c>
      <c r="I66" s="20" t="n">
        <f aca="false">IF(In!L314="","",In!L314)</f>
        <v>12</v>
      </c>
      <c r="J66" s="20" t="n">
        <f aca="false">N(In!M314)</f>
        <v>0</v>
      </c>
      <c r="K66" s="25" t="n">
        <f aca="false">IF(OR(H66="",I66=""),9999,H66+I66/12)</f>
        <v>2028</v>
      </c>
      <c r="L66" s="25" t="n">
        <f aca="false">IF(E66="",0,IF(F66="設施",E66/1000/INDEX(Players!$D$13:$M$13,1,MAX(1,MIN(10,H66-2022))),E66/1000*g_ITtoFac))</f>
        <v>0.125</v>
      </c>
      <c r="M66" s="25" t="n">
        <f aca="false">K66</f>
        <v>2028</v>
      </c>
      <c r="N66" s="25" t="n">
        <f aca="false">IF(K66&gt;asof,K66+N(J66)/12,K66)</f>
        <v>2028</v>
      </c>
      <c r="O66" s="25" t="n">
        <f aca="false">IF(K66&gt;asof,K66+IF(N(J66)&gt;0,N(J66),dly_d1_m)/12,K66)</f>
        <v>2028.5</v>
      </c>
      <c r="P66" s="21" t="n">
        <f aca="false">IF(K66=9999,"",ROUNDUP(K66,0)-1)</f>
        <v>2027</v>
      </c>
      <c r="Q66" s="21" t="n">
        <f aca="false">IF(AND(N(G66)=1,K66&lt;9999,L66&gt;0),1,0)</f>
        <v>1</v>
      </c>
      <c r="R66" s="21" t="n">
        <f aca="false">IF(AND(K66&gt;asof,K66&lt;9999,N(S66)&lt;&gt;1,P66&gt;=dly_d2_y0,P66&lt;=dly_d2_y1),1,0)</f>
        <v>1</v>
      </c>
      <c r="S66" s="20" t="n">
        <f aca="false">IF(In!O314="","",In!O314)</f>
        <v>0</v>
      </c>
    </row>
    <row r="67" customFormat="false" ht="17.15" hidden="false" customHeight="false" outlineLevel="0" collapsed="false">
      <c r="A67" s="0" t="s">
        <v>973</v>
      </c>
      <c r="B67" s="20" t="str">
        <f aca="false">In!B315</f>
        <v>DataVita DV1 擴建（Glasgow；CoreWeave 承租）24→40</v>
      </c>
      <c r="C67" s="20" t="str">
        <f aca="false">IF(In!H315="","",In!H315)</f>
        <v>crwv</v>
      </c>
      <c r="D67" s="20" t="str">
        <f aca="false">IF(In!I315="","",In!I315)</f>
        <v/>
      </c>
      <c r="E67" s="20" t="n">
        <f aca="false">IF(In!J315="","",In!J315)</f>
        <v>16</v>
      </c>
      <c r="F67" s="20" t="str">
        <f aca="false">In!C315</f>
        <v>IT</v>
      </c>
      <c r="G67" s="20" t="n">
        <f aca="false">IF(In!N315="","",In!N315)</f>
        <v>1</v>
      </c>
      <c r="H67" s="20" t="n">
        <f aca="false">IF(In!K315="","",In!K315)</f>
        <v>2026</v>
      </c>
      <c r="I67" s="20" t="n">
        <f aca="false">IF(In!L315="","",In!L315)</f>
        <v>12</v>
      </c>
      <c r="J67" s="20" t="n">
        <f aca="false">N(In!M315)</f>
        <v>0</v>
      </c>
      <c r="K67" s="25" t="n">
        <f aca="false">IF(OR(H67="",I67=""),9999,H67+I67/12)</f>
        <v>2027</v>
      </c>
      <c r="L67" s="25" t="n">
        <f aca="false">IF(E67="",0,IF(F67="設施",E67/1000/INDEX(Players!$D$13:$M$13,1,MAX(1,MIN(10,H67-2022))),E67/1000*g_ITtoFac))</f>
        <v>0.016</v>
      </c>
      <c r="M67" s="25" t="n">
        <f aca="false">K67</f>
        <v>2027</v>
      </c>
      <c r="N67" s="25" t="n">
        <f aca="false">IF(K67&gt;asof,K67+N(J67)/12,K67)</f>
        <v>2027</v>
      </c>
      <c r="O67" s="25" t="n">
        <f aca="false">IF(K67&gt;asof,K67+IF(N(J67)&gt;0,N(J67),dly_d1_m)/12,K67)</f>
        <v>2027.5</v>
      </c>
      <c r="P67" s="21" t="n">
        <f aca="false">IF(K67=9999,"",ROUNDUP(K67,0)-1)</f>
        <v>2026</v>
      </c>
      <c r="Q67" s="21" t="n">
        <f aca="false">IF(AND(N(G67)=1,K67&lt;9999,L67&gt;0),1,0)</f>
        <v>1</v>
      </c>
      <c r="R67" s="21" t="n">
        <f aca="false">IF(AND(K67&gt;asof,K67&lt;9999,N(S67)&lt;&gt;1,P67&gt;=dly_d2_y0,P67&lt;=dly_d2_y1),1,0)</f>
        <v>0</v>
      </c>
      <c r="S67" s="20" t="n">
        <f aca="false">IF(In!O315="","",In!O315)</f>
        <v>0</v>
      </c>
    </row>
    <row r="68" customFormat="false" ht="17.15" hidden="false" customHeight="false" outlineLevel="0" collapsed="false">
      <c r="A68" s="0" t="s">
        <v>976</v>
      </c>
      <c r="B68" s="20" t="str">
        <f aca="false">In!B316</f>
        <v>Meta Sturgeon County（Alberta）首批</v>
      </c>
      <c r="C68" s="20" t="str">
        <f aca="false">IF(In!H316="","",In!H316)</f>
        <v>meta</v>
      </c>
      <c r="D68" s="20" t="str">
        <f aca="false">IF(In!I316="","",In!I316)</f>
        <v>meta</v>
      </c>
      <c r="E68" s="20" t="n">
        <f aca="false">IF(In!J316="","",In!J316)</f>
        <v>250</v>
      </c>
      <c r="F68" s="20" t="str">
        <f aca="false">In!C316</f>
        <v>設施</v>
      </c>
      <c r="G68" s="20" t="n">
        <f aca="false">IF(In!N316="","",In!N316)</f>
        <v>1</v>
      </c>
      <c r="H68" s="20" t="n">
        <f aca="false">IF(In!K316="","",In!K316)</f>
        <v>2028</v>
      </c>
      <c r="I68" s="20" t="n">
        <f aca="false">IF(In!L316="","",In!L316)</f>
        <v>12</v>
      </c>
      <c r="J68" s="20" t="n">
        <f aca="false">N(In!M316)</f>
        <v>0</v>
      </c>
      <c r="K68" s="25" t="n">
        <f aca="false">IF(OR(H68="",I68=""),9999,H68+I68/12)</f>
        <v>2029</v>
      </c>
      <c r="L68" s="25" t="n">
        <f aca="false">IF(E68="",0,IF(F68="設施",E68/1000/INDEX(Players!$D$13:$M$13,1,MAX(1,MIN(10,H68-2022))),E68/1000*g_ITtoFac))</f>
        <v>0.208333333333333</v>
      </c>
      <c r="M68" s="25" t="n">
        <f aca="false">K68</f>
        <v>2029</v>
      </c>
      <c r="N68" s="25" t="n">
        <f aca="false">IF(K68&gt;asof,K68+N(J68)/12,K68)</f>
        <v>2029</v>
      </c>
      <c r="O68" s="25" t="n">
        <f aca="false">IF(K68&gt;asof,K68+IF(N(J68)&gt;0,N(J68),dly_d1_m)/12,K68)</f>
        <v>2029.5</v>
      </c>
      <c r="P68" s="21" t="n">
        <f aca="false">IF(K68=9999,"",ROUNDUP(K68,0)-1)</f>
        <v>2028</v>
      </c>
      <c r="Q68" s="21" t="n">
        <f aca="false">IF(AND(N(G68)=1,K68&lt;9999,L68&gt;0),1,0)</f>
        <v>1</v>
      </c>
      <c r="R68" s="21" t="n">
        <f aca="false">IF(AND(K68&gt;asof,K68&lt;9999,N(S68)&lt;&gt;1,P68&gt;=dly_d2_y0,P68&lt;=dly_d2_y1),1,0)</f>
        <v>1</v>
      </c>
      <c r="S68" s="20" t="n">
        <f aca="false">IF(In!O316="","",In!O316)</f>
        <v>0</v>
      </c>
    </row>
    <row r="69" customFormat="false" ht="17.15" hidden="false" customHeight="false" outlineLevel="0" collapsed="false">
      <c r="A69" s="0" t="s">
        <v>979</v>
      </c>
      <c r="B69" s="20" t="str">
        <f aca="false">In!B317</f>
        <v>Meta Sturgeon County 其餘（970 − 250）</v>
      </c>
      <c r="C69" s="20" t="str">
        <f aca="false">IF(In!H317="","",In!H317)</f>
        <v>meta</v>
      </c>
      <c r="D69" s="20" t="str">
        <f aca="false">IF(In!I317="","",In!I317)</f>
        <v>meta</v>
      </c>
      <c r="E69" s="20" t="n">
        <f aca="false">IF(In!J317="","",In!J317)</f>
        <v>720</v>
      </c>
      <c r="F69" s="20" t="str">
        <f aca="false">In!C317</f>
        <v>設施</v>
      </c>
      <c r="G69" s="20" t="n">
        <f aca="false">IF(In!N317="","",In!N317)</f>
        <v>1</v>
      </c>
      <c r="H69" s="20" t="n">
        <f aca="false">IF(In!K317="","",In!K317)</f>
        <v>2029</v>
      </c>
      <c r="I69" s="20" t="n">
        <f aca="false">IF(In!L317="","",In!L317)</f>
        <v>7</v>
      </c>
      <c r="J69" s="20" t="n">
        <f aca="false">N(In!M317)</f>
        <v>0</v>
      </c>
      <c r="K69" s="25" t="n">
        <f aca="false">IF(OR(H69="",I69=""),9999,H69+I69/12)</f>
        <v>2029.58333333333</v>
      </c>
      <c r="L69" s="25" t="n">
        <f aca="false">IF(E69="",0,IF(F69="設施",E69/1000/INDEX(Players!$D$13:$M$13,1,MAX(1,MIN(10,H69-2022))),E69/1000*g_ITtoFac))</f>
        <v>0.6</v>
      </c>
      <c r="M69" s="25" t="n">
        <f aca="false">K69</f>
        <v>2029.58333333333</v>
      </c>
      <c r="N69" s="25" t="n">
        <f aca="false">IF(K69&gt;asof,K69+N(J69)/12,K69)</f>
        <v>2029.58333333333</v>
      </c>
      <c r="O69" s="25" t="n">
        <f aca="false">IF(K69&gt;asof,K69+IF(N(J69)&gt;0,N(J69),dly_d1_m)/12,K69)</f>
        <v>2030.08333333333</v>
      </c>
      <c r="P69" s="21" t="n">
        <f aca="false">IF(K69=9999,"",ROUNDUP(K69,0)-1)</f>
        <v>2029</v>
      </c>
      <c r="Q69" s="21" t="n">
        <f aca="false">IF(AND(N(G69)=1,K69&lt;9999,L69&gt;0),1,0)</f>
        <v>1</v>
      </c>
      <c r="R69" s="21" t="n">
        <f aca="false">IF(AND(K69&gt;asof,K69&lt;9999,N(S69)&lt;&gt;1,P69&gt;=dly_d2_y0,P69&lt;=dly_d2_y1),1,0)</f>
        <v>0</v>
      </c>
      <c r="S69" s="20" t="n">
        <f aca="false">IF(In!O317="","",In!O317)</f>
        <v>0</v>
      </c>
    </row>
    <row r="70" customFormat="false" ht="17.15" hidden="false" customHeight="false" outlineLevel="0" collapsed="false">
      <c r="A70" s="0" t="s">
        <v>982</v>
      </c>
      <c r="B70" s="20" t="str">
        <f aca="false">In!B318</f>
        <v>DataVita DV3（CoreWeave 獨租）</v>
      </c>
      <c r="C70" s="20" t="str">
        <f aca="false">IF(In!H318="","",In!H318)</f>
        <v>crwv</v>
      </c>
      <c r="D70" s="20" t="str">
        <f aca="false">IF(In!I318="","",In!I318)</f>
        <v/>
      </c>
      <c r="E70" s="20" t="n">
        <f aca="false">IF(In!J318="","",In!J318)</f>
        <v>40</v>
      </c>
      <c r="F70" s="20" t="str">
        <f aca="false">In!C318</f>
        <v>未說明</v>
      </c>
      <c r="G70" s="20" t="n">
        <f aca="false">IF(In!N318="","",In!N318)</f>
        <v>0</v>
      </c>
      <c r="H70" s="20" t="n">
        <f aca="false">IF(In!K318="","",In!K318)</f>
        <v>2027</v>
      </c>
      <c r="I70" s="20" t="n">
        <f aca="false">IF(In!L318="","",In!L318)</f>
        <v>9</v>
      </c>
      <c r="J70" s="20" t="n">
        <f aca="false">N(In!M318)</f>
        <v>0</v>
      </c>
      <c r="K70" s="25" t="n">
        <f aca="false">IF(OR(H70="",I70=""),9999,H70+I70/12)</f>
        <v>2027.75</v>
      </c>
      <c r="L70" s="25" t="n">
        <f aca="false">IF(E70="",0,IF(F70="設施",E70/1000/INDEX(Players!$D$13:$M$13,1,MAX(1,MIN(10,H70-2022))),E70/1000*g_ITtoFac))</f>
        <v>0.04</v>
      </c>
      <c r="M70" s="25" t="n">
        <f aca="false">K70</f>
        <v>2027.75</v>
      </c>
      <c r="N70" s="25" t="n">
        <f aca="false">IF(K70&gt;asof,K70+N(J70)/12,K70)</f>
        <v>2027.75</v>
      </c>
      <c r="O70" s="25" t="n">
        <f aca="false">IF(K70&gt;asof,K70+IF(N(J70)&gt;0,N(J70),dly_d1_m)/12,K70)</f>
        <v>2028.25</v>
      </c>
      <c r="P70" s="21" t="n">
        <f aca="false">IF(K70=9999,"",ROUNDUP(K70,0)-1)</f>
        <v>2027</v>
      </c>
      <c r="Q70" s="21" t="n">
        <f aca="false">IF(AND(N(G70)=1,K70&lt;9999,L70&gt;0),1,0)</f>
        <v>0</v>
      </c>
      <c r="R70" s="21" t="n">
        <f aca="false">IF(AND(K70&gt;asof,K70&lt;9999,N(S70)&lt;&gt;1,P70&gt;=dly_d2_y0,P70&lt;=dly_d2_y1),1,0)</f>
        <v>1</v>
      </c>
      <c r="S70" s="20" t="n">
        <f aca="false">IF(In!O318="","",In!O318)</f>
        <v>0</v>
      </c>
    </row>
    <row r="71" customFormat="false" ht="17.15" hidden="false" customHeight="false" outlineLevel="0" collapsed="false">
      <c r="A71" s="0" t="s">
        <v>985</v>
      </c>
      <c r="B71" s="20" t="str">
        <f aca="false">In!B319</f>
        <v>GreenSquareDC SYD1 首期（Sharon AI）</v>
      </c>
      <c r="C71" s="20" t="str">
        <f aca="false">IF(In!H319="","",In!H319)</f>
        <v>neo</v>
      </c>
      <c r="D71" s="20" t="str">
        <f aca="false">IF(In!I319="","",In!I319)</f>
        <v/>
      </c>
      <c r="E71" s="20" t="n">
        <f aca="false">IF(In!J319="","",In!J319)</f>
        <v>15</v>
      </c>
      <c r="F71" s="20" t="str">
        <f aca="false">In!C319</f>
        <v>未說明</v>
      </c>
      <c r="G71" s="20" t="n">
        <f aca="false">IF(In!N319="","",In!N319)</f>
        <v>0</v>
      </c>
      <c r="H71" s="20" t="n">
        <f aca="false">IF(In!K319="","",In!K319)</f>
        <v>2026</v>
      </c>
      <c r="I71" s="20" t="n">
        <f aca="false">IF(In!L319="","",In!L319)</f>
        <v>10</v>
      </c>
      <c r="J71" s="20" t="n">
        <f aca="false">N(In!M319)</f>
        <v>0</v>
      </c>
      <c r="K71" s="25" t="n">
        <f aca="false">IF(OR(H71="",I71=""),9999,H71+I71/12)</f>
        <v>2026.83333333333</v>
      </c>
      <c r="L71" s="25" t="n">
        <f aca="false">IF(E71="",0,IF(F71="設施",E71/1000/INDEX(Players!$D$13:$M$13,1,MAX(1,MIN(10,H71-2022))),E71/1000*g_ITtoFac))</f>
        <v>0.015</v>
      </c>
      <c r="M71" s="25" t="n">
        <f aca="false">K71</f>
        <v>2026.83333333333</v>
      </c>
      <c r="N71" s="25" t="n">
        <f aca="false">IF(K71&gt;asof,K71+N(J71)/12,K71)</f>
        <v>2026.83333333333</v>
      </c>
      <c r="O71" s="25" t="n">
        <f aca="false">IF(K71&gt;asof,K71+IF(N(J71)&gt;0,N(J71),dly_d1_m)/12,K71)</f>
        <v>2027.33333333333</v>
      </c>
      <c r="P71" s="21" t="n">
        <f aca="false">IF(K71=9999,"",ROUNDUP(K71,0)-1)</f>
        <v>2026</v>
      </c>
      <c r="Q71" s="21" t="n">
        <f aca="false">IF(AND(N(G71)=1,K71&lt;9999,L71&gt;0),1,0)</f>
        <v>0</v>
      </c>
      <c r="R71" s="21" t="n">
        <f aca="false">IF(AND(K71&gt;asof,K71&lt;9999,N(S71)&lt;&gt;1,P71&gt;=dly_d2_y0,P71&lt;=dly_d2_y1),1,0)</f>
        <v>0</v>
      </c>
      <c r="S71" s="20" t="n">
        <f aca="false">IF(In!O319="","",In!O319)</f>
        <v>0</v>
      </c>
    </row>
    <row r="72" customFormat="false" ht="17.15" hidden="false" customHeight="false" outlineLevel="0" collapsed="false">
      <c r="A72" s="0" t="s">
        <v>988</v>
      </c>
      <c r="B72" s="20" t="str">
        <f aca="false">In!B320</f>
        <v>AdaniConneX Taloja（CoreWeave 獨租）</v>
      </c>
      <c r="C72" s="20" t="str">
        <f aca="false">IF(In!H320="","",In!H320)</f>
        <v>crwv</v>
      </c>
      <c r="D72" s="20" t="str">
        <f aca="false">IF(In!I320="","",In!I320)</f>
        <v/>
      </c>
      <c r="E72" s="20" t="n">
        <f aca="false">IF(In!J320="","",In!J320)</f>
        <v>240</v>
      </c>
      <c r="F72" s="20" t="str">
        <f aca="false">In!C320</f>
        <v>未說明</v>
      </c>
      <c r="G72" s="20" t="n">
        <f aca="false">IF(In!N320="","",In!N320)</f>
        <v>0</v>
      </c>
      <c r="H72" s="20" t="n">
        <f aca="false">IF(In!K320="","",In!K320)</f>
        <v>2028</v>
      </c>
      <c r="I72" s="20" t="n">
        <f aca="false">IF(In!L320="","",In!L320)</f>
        <v>12</v>
      </c>
      <c r="J72" s="20" t="n">
        <f aca="false">N(In!M320)</f>
        <v>0</v>
      </c>
      <c r="K72" s="25" t="n">
        <f aca="false">IF(OR(H72="",I72=""),9999,H72+I72/12)</f>
        <v>2029</v>
      </c>
      <c r="L72" s="25" t="n">
        <f aca="false">IF(E72="",0,IF(F72="設施",E72/1000/INDEX(Players!$D$13:$M$13,1,MAX(1,MIN(10,H72-2022))),E72/1000*g_ITtoFac))</f>
        <v>0.24</v>
      </c>
      <c r="M72" s="25" t="n">
        <f aca="false">K72</f>
        <v>2029</v>
      </c>
      <c r="N72" s="25" t="n">
        <f aca="false">IF(K72&gt;asof,K72+N(J72)/12,K72)</f>
        <v>2029</v>
      </c>
      <c r="O72" s="25" t="n">
        <f aca="false">IF(K72&gt;asof,K72+IF(N(J72)&gt;0,N(J72),dly_d1_m)/12,K72)</f>
        <v>2029.5</v>
      </c>
      <c r="P72" s="21" t="n">
        <f aca="false">IF(K72=9999,"",ROUNDUP(K72,0)-1)</f>
        <v>2028</v>
      </c>
      <c r="Q72" s="21" t="n">
        <f aca="false">IF(AND(N(G72)=1,K72&lt;9999,L72&gt;0),1,0)</f>
        <v>0</v>
      </c>
      <c r="R72" s="21" t="n">
        <f aca="false">IF(AND(K72&gt;asof,K72&lt;9999,N(S72)&lt;&gt;1,P72&gt;=dly_d2_y0,P72&lt;=dly_d2_y1),1,0)</f>
        <v>1</v>
      </c>
      <c r="S72" s="20" t="n">
        <f aca="false">IF(In!O320="","",In!O320)</f>
        <v>0</v>
      </c>
    </row>
    <row r="73" customFormat="false" ht="17.15" hidden="false" customHeight="false" outlineLevel="0" collapsed="false">
      <c r="A73" s="0" t="s">
        <v>991</v>
      </c>
      <c r="B73" s="20" t="str">
        <f aca="false">In!B321</f>
        <v>True IDC（泰國；稱 Microsoft 承租）</v>
      </c>
      <c r="C73" s="20" t="str">
        <f aca="false">IF(In!H321="","",In!H321)</f>
        <v>oth</v>
      </c>
      <c r="D73" s="20" t="str">
        <f aca="false">IF(In!I321="","",In!I321)</f>
        <v>msft</v>
      </c>
      <c r="E73" s="20" t="n">
        <f aca="false">IF(In!J321="","",In!J321)</f>
        <v>250</v>
      </c>
      <c r="F73" s="20" t="str">
        <f aca="false">In!C321</f>
        <v>未說明</v>
      </c>
      <c r="G73" s="20" t="n">
        <f aca="false">IF(In!N321="","",In!N321)</f>
        <v>0</v>
      </c>
      <c r="H73" s="20" t="n">
        <f aca="false">IF(In!K321="","",In!K321)</f>
        <v>2027</v>
      </c>
      <c r="I73" s="20" t="n">
        <f aca="false">IF(In!L321="","",In!L321)</f>
        <v>12</v>
      </c>
      <c r="J73" s="20" t="n">
        <f aca="false">N(In!M321)</f>
        <v>0</v>
      </c>
      <c r="K73" s="25" t="n">
        <f aca="false">IF(OR(H73="",I73=""),9999,H73+I73/12)</f>
        <v>2028</v>
      </c>
      <c r="L73" s="25" t="n">
        <f aca="false">IF(E73="",0,IF(F73="設施",E73/1000/INDEX(Players!$D$13:$M$13,1,MAX(1,MIN(10,H73-2022))),E73/1000*g_ITtoFac))</f>
        <v>0.25</v>
      </c>
      <c r="M73" s="25" t="n">
        <f aca="false">K73</f>
        <v>2028</v>
      </c>
      <c r="N73" s="25" t="n">
        <f aca="false">IF(K73&gt;asof,K73+N(J73)/12,K73)</f>
        <v>2028</v>
      </c>
      <c r="O73" s="25" t="n">
        <f aca="false">IF(K73&gt;asof,K73+IF(N(J73)&gt;0,N(J73),dly_d1_m)/12,K73)</f>
        <v>2028.5</v>
      </c>
      <c r="P73" s="21" t="n">
        <f aca="false">IF(K73=9999,"",ROUNDUP(K73,0)-1)</f>
        <v>2027</v>
      </c>
      <c r="Q73" s="21" t="n">
        <f aca="false">IF(AND(N(G73)=1,K73&lt;9999,L73&gt;0),1,0)</f>
        <v>0</v>
      </c>
      <c r="R73" s="21" t="n">
        <f aca="false">IF(AND(K73&gt;asof,K73&lt;9999,N(S73)&lt;&gt;1,P73&gt;=dly_d2_y0,P73&lt;=dly_d2_y1),1,0)</f>
        <v>1</v>
      </c>
      <c r="S73" s="20" t="n">
        <f aca="false">IF(In!O321="","",In!O321)</f>
        <v>0</v>
      </c>
    </row>
    <row r="74" customFormat="false" ht="17.15" hidden="false" customHeight="false" outlineLevel="0" collapsed="false">
      <c r="A74" s="0" t="s">
        <v>994</v>
      </c>
      <c r="B74" s="20" t="str">
        <f aca="false">In!B322</f>
        <v>西班牙 AI Gigafactory 第一期</v>
      </c>
      <c r="C74" s="20" t="str">
        <f aca="false">IF(In!H322="","",In!H322)</f>
        <v>sov</v>
      </c>
      <c r="D74" s="20" t="str">
        <f aca="false">IF(In!I322="","",In!I322)</f>
        <v/>
      </c>
      <c r="E74" s="20" t="n">
        <f aca="false">IF(In!J322="","",In!J322)</f>
        <v>55</v>
      </c>
      <c r="F74" s="20" t="str">
        <f aca="false">In!C322</f>
        <v>設施</v>
      </c>
      <c r="G74" s="20" t="n">
        <f aca="false">IF(In!N322="","",In!N322)</f>
        <v>0</v>
      </c>
      <c r="H74" s="20" t="n">
        <f aca="false">IF(In!K322="","",In!K322)</f>
        <v>2028</v>
      </c>
      <c r="I74" s="20" t="n">
        <f aca="false">IF(In!L322="","",In!L322)</f>
        <v>12</v>
      </c>
      <c r="J74" s="20" t="n">
        <f aca="false">N(In!M322)</f>
        <v>0</v>
      </c>
      <c r="K74" s="25" t="n">
        <f aca="false">IF(OR(H74="",I74=""),9999,H74+I74/12)</f>
        <v>2029</v>
      </c>
      <c r="L74" s="25" t="n">
        <f aca="false">IF(E74="",0,IF(F74="設施",E74/1000/INDEX(Players!$D$13:$M$13,1,MAX(1,MIN(10,H74-2022))),E74/1000*g_ITtoFac))</f>
        <v>0.0458333333333333</v>
      </c>
      <c r="M74" s="25" t="n">
        <f aca="false">K74</f>
        <v>2029</v>
      </c>
      <c r="N74" s="25" t="n">
        <f aca="false">IF(K74&gt;asof,K74+N(J74)/12,K74)</f>
        <v>2029</v>
      </c>
      <c r="O74" s="25" t="n">
        <f aca="false">IF(K74&gt;asof,K74+IF(N(J74)&gt;0,N(J74),dly_d1_m)/12,K74)</f>
        <v>2029.5</v>
      </c>
      <c r="P74" s="21" t="n">
        <f aca="false">IF(K74=9999,"",ROUNDUP(K74,0)-1)</f>
        <v>2028</v>
      </c>
      <c r="Q74" s="21" t="n">
        <f aca="false">IF(AND(N(G74)=1,K74&lt;9999,L74&gt;0),1,0)</f>
        <v>0</v>
      </c>
      <c r="R74" s="21" t="n">
        <f aca="false">IF(AND(K74&gt;asof,K74&lt;9999,N(S74)&lt;&gt;1,P74&gt;=dly_d2_y0,P74&lt;=dly_d2_y1),1,0)</f>
        <v>1</v>
      </c>
      <c r="S74" s="20" t="n">
        <f aca="false">IF(In!O322="","",In!O322)</f>
        <v>0</v>
      </c>
    </row>
    <row r="75" customFormat="false" ht="17.15" hidden="false" customHeight="false" outlineLevel="0" collapsed="false">
      <c r="A75" s="0" t="s">
        <v>997</v>
      </c>
      <c r="B75" s="20" t="str">
        <f aca="false">In!B323</f>
        <v>Google Fort Wayne（Project Zodiac）2027-03 增量（345−173）</v>
      </c>
      <c r="C75" s="20" t="str">
        <f aca="false">IF(In!H323="","",In!H323)</f>
        <v>googl</v>
      </c>
      <c r="D75" s="20" t="str">
        <f aca="false">IF(In!I323="","",In!I323)</f>
        <v>self</v>
      </c>
      <c r="E75" s="20" t="n">
        <f aca="false">IF(In!J323="","",In!J323)</f>
        <v>172</v>
      </c>
      <c r="F75" s="20" t="str">
        <f aca="false">In!C323</f>
        <v>IT</v>
      </c>
      <c r="G75" s="20" t="n">
        <f aca="false">IF(In!N323="","",In!N323)</f>
        <v>1</v>
      </c>
      <c r="H75" s="20" t="n">
        <f aca="false">IF(In!K323="","",In!K323)</f>
        <v>2027</v>
      </c>
      <c r="I75" s="20" t="n">
        <f aca="false">IF(In!L323="","",In!L323)</f>
        <v>3</v>
      </c>
      <c r="J75" s="20" t="n">
        <f aca="false">N(In!M323)</f>
        <v>0</v>
      </c>
      <c r="K75" s="25" t="n">
        <f aca="false">IF(OR(H75="",I75=""),9999,H75+I75/12)</f>
        <v>2027.25</v>
      </c>
      <c r="L75" s="25" t="n">
        <f aca="false">IF(E75="",0,IF(F75="設施",E75/1000/INDEX(Players!$D$13:$M$13,1,MAX(1,MIN(10,H75-2022))),E75/1000*g_ITtoFac))</f>
        <v>0.172</v>
      </c>
      <c r="M75" s="25" t="n">
        <f aca="false">K75</f>
        <v>2027.25</v>
      </c>
      <c r="N75" s="25" t="n">
        <f aca="false">IF(K75&gt;asof,K75+N(J75)/12,K75)</f>
        <v>2027.25</v>
      </c>
      <c r="O75" s="25" t="n">
        <f aca="false">IF(K75&gt;asof,K75+IF(N(J75)&gt;0,N(J75),dly_d1_m)/12,K75)</f>
        <v>2027.75</v>
      </c>
      <c r="P75" s="21" t="n">
        <f aca="false">IF(K75=9999,"",ROUNDUP(K75,0)-1)</f>
        <v>2027</v>
      </c>
      <c r="Q75" s="21" t="n">
        <f aca="false">IF(AND(N(G75)=1,K75&lt;9999,L75&gt;0),1,0)</f>
        <v>1</v>
      </c>
      <c r="R75" s="21" t="n">
        <f aca="false">IF(AND(K75&gt;asof,K75&lt;9999,N(S75)&lt;&gt;1,P75&gt;=dly_d2_y0,P75&lt;=dly_d2_y1),1,0)</f>
        <v>1</v>
      </c>
      <c r="S75" s="20" t="n">
        <f aca="false">IF(In!O323="","",In!O323)</f>
        <v>0</v>
      </c>
    </row>
    <row r="76" customFormat="false" ht="17.15" hidden="false" customHeight="false" outlineLevel="0" collapsed="false">
      <c r="A76" s="0" t="s">
        <v>1001</v>
      </c>
      <c r="B76" s="20" t="str">
        <f aca="false">In!B324</f>
        <v>Google Fort Wayne 2027-08 增量（518−345）</v>
      </c>
      <c r="C76" s="20" t="str">
        <f aca="false">IF(In!H324="","",In!H324)</f>
        <v>googl</v>
      </c>
      <c r="D76" s="20" t="str">
        <f aca="false">IF(In!I324="","",In!I324)</f>
        <v>self</v>
      </c>
      <c r="E76" s="20" t="n">
        <f aca="false">IF(In!J324="","",In!J324)</f>
        <v>173</v>
      </c>
      <c r="F76" s="20" t="str">
        <f aca="false">In!C324</f>
        <v>IT</v>
      </c>
      <c r="G76" s="20" t="n">
        <f aca="false">IF(In!N324="","",In!N324)</f>
        <v>1</v>
      </c>
      <c r="H76" s="20" t="n">
        <f aca="false">IF(In!K324="","",In!K324)</f>
        <v>2027</v>
      </c>
      <c r="I76" s="20" t="n">
        <f aca="false">IF(In!L324="","",In!L324)</f>
        <v>8</v>
      </c>
      <c r="J76" s="20" t="n">
        <f aca="false">N(In!M324)</f>
        <v>0</v>
      </c>
      <c r="K76" s="25" t="n">
        <f aca="false">IF(OR(H76="",I76=""),9999,H76+I76/12)</f>
        <v>2027.66666666667</v>
      </c>
      <c r="L76" s="25" t="n">
        <f aca="false">IF(E76="",0,IF(F76="設施",E76/1000/INDEX(Players!$D$13:$M$13,1,MAX(1,MIN(10,H76-2022))),E76/1000*g_ITtoFac))</f>
        <v>0.173</v>
      </c>
      <c r="M76" s="25" t="n">
        <f aca="false">K76</f>
        <v>2027.66666666667</v>
      </c>
      <c r="N76" s="25" t="n">
        <f aca="false">IF(K76&gt;asof,K76+N(J76)/12,K76)</f>
        <v>2027.66666666667</v>
      </c>
      <c r="O76" s="25" t="n">
        <f aca="false">IF(K76&gt;asof,K76+IF(N(J76)&gt;0,N(J76),dly_d1_m)/12,K76)</f>
        <v>2028.16666666667</v>
      </c>
      <c r="P76" s="21" t="n">
        <f aca="false">IF(K76=9999,"",ROUNDUP(K76,0)-1)</f>
        <v>2027</v>
      </c>
      <c r="Q76" s="21" t="n">
        <f aca="false">IF(AND(N(G76)=1,K76&lt;9999,L76&gt;0),1,0)</f>
        <v>1</v>
      </c>
      <c r="R76" s="21" t="n">
        <f aca="false">IF(AND(K76&gt;asof,K76&lt;9999,N(S76)&lt;&gt;1,P76&gt;=dly_d2_y0,P76&lt;=dly_d2_y1),1,0)</f>
        <v>1</v>
      </c>
      <c r="S76" s="20" t="n">
        <f aca="false">IF(In!O324="","",In!O324)</f>
        <v>0</v>
      </c>
    </row>
    <row r="77" customFormat="false" ht="17.15" hidden="false" customHeight="false" outlineLevel="0" collapsed="false">
      <c r="A77" s="0" t="s">
        <v>1004</v>
      </c>
      <c r="B77" s="20" t="str">
        <f aca="false">In!B325</f>
        <v>Google Cedar Rapids 2027-02 增量（174−87）</v>
      </c>
      <c r="C77" s="20" t="str">
        <f aca="false">IF(In!H325="","",In!H325)</f>
        <v>googl</v>
      </c>
      <c r="D77" s="20" t="str">
        <f aca="false">IF(In!I325="","",In!I325)</f>
        <v>self</v>
      </c>
      <c r="E77" s="20" t="n">
        <f aca="false">IF(In!J325="","",In!J325)</f>
        <v>87</v>
      </c>
      <c r="F77" s="20" t="str">
        <f aca="false">In!C325</f>
        <v>IT</v>
      </c>
      <c r="G77" s="20" t="n">
        <f aca="false">IF(In!N325="","",In!N325)</f>
        <v>1</v>
      </c>
      <c r="H77" s="20" t="n">
        <f aca="false">IF(In!K325="","",In!K325)</f>
        <v>2027</v>
      </c>
      <c r="I77" s="20" t="n">
        <f aca="false">IF(In!L325="","",In!L325)</f>
        <v>2</v>
      </c>
      <c r="J77" s="20" t="n">
        <f aca="false">N(In!M325)</f>
        <v>0</v>
      </c>
      <c r="K77" s="25" t="n">
        <f aca="false">IF(OR(H77="",I77=""),9999,H77+I77/12)</f>
        <v>2027.16666666667</v>
      </c>
      <c r="L77" s="25" t="n">
        <f aca="false">IF(E77="",0,IF(F77="設施",E77/1000/INDEX(Players!$D$13:$M$13,1,MAX(1,MIN(10,H77-2022))),E77/1000*g_ITtoFac))</f>
        <v>0.087</v>
      </c>
      <c r="M77" s="25" t="n">
        <f aca="false">K77</f>
        <v>2027.16666666667</v>
      </c>
      <c r="N77" s="25" t="n">
        <f aca="false">IF(K77&gt;asof,K77+N(J77)/12,K77)</f>
        <v>2027.16666666667</v>
      </c>
      <c r="O77" s="25" t="n">
        <f aca="false">IF(K77&gt;asof,K77+IF(N(J77)&gt;0,N(J77),dly_d1_m)/12,K77)</f>
        <v>2027.66666666667</v>
      </c>
      <c r="P77" s="21" t="n">
        <f aca="false">IF(K77=9999,"",ROUNDUP(K77,0)-1)</f>
        <v>2027</v>
      </c>
      <c r="Q77" s="21" t="n">
        <f aca="false">IF(AND(N(G77)=1,K77&lt;9999,L77&gt;0),1,0)</f>
        <v>1</v>
      </c>
      <c r="R77" s="21" t="n">
        <f aca="false">IF(AND(K77&gt;asof,K77&lt;9999,N(S77)&lt;&gt;1,P77&gt;=dly_d2_y0,P77&lt;=dly_d2_y1),1,0)</f>
        <v>1</v>
      </c>
      <c r="S77" s="20" t="n">
        <f aca="false">IF(In!O325="","",In!O325)</f>
        <v>0</v>
      </c>
    </row>
    <row r="78" customFormat="false" ht="17.15" hidden="false" customHeight="false" outlineLevel="0" collapsed="false">
      <c r="A78" s="0" t="s">
        <v>1007</v>
      </c>
      <c r="B78" s="20" t="str">
        <f aca="false">In!B326</f>
        <v>Google Cedar Rapids 2027-05 增量（261−174）</v>
      </c>
      <c r="C78" s="20" t="str">
        <f aca="false">IF(In!H326="","",In!H326)</f>
        <v>googl</v>
      </c>
      <c r="D78" s="20" t="str">
        <f aca="false">IF(In!I326="","",In!I326)</f>
        <v>self</v>
      </c>
      <c r="E78" s="20" t="n">
        <f aca="false">IF(In!J326="","",In!J326)</f>
        <v>87</v>
      </c>
      <c r="F78" s="20" t="str">
        <f aca="false">In!C326</f>
        <v>IT</v>
      </c>
      <c r="G78" s="20" t="n">
        <f aca="false">IF(In!N326="","",In!N326)</f>
        <v>1</v>
      </c>
      <c r="H78" s="20" t="n">
        <f aca="false">IF(In!K326="","",In!K326)</f>
        <v>2027</v>
      </c>
      <c r="I78" s="20" t="n">
        <f aca="false">IF(In!L326="","",In!L326)</f>
        <v>5</v>
      </c>
      <c r="J78" s="20" t="n">
        <f aca="false">N(In!M326)</f>
        <v>0</v>
      </c>
      <c r="K78" s="25" t="n">
        <f aca="false">IF(OR(H78="",I78=""),9999,H78+I78/12)</f>
        <v>2027.41666666667</v>
      </c>
      <c r="L78" s="25" t="n">
        <f aca="false">IF(E78="",0,IF(F78="設施",E78/1000/INDEX(Players!$D$13:$M$13,1,MAX(1,MIN(10,H78-2022))),E78/1000*g_ITtoFac))</f>
        <v>0.087</v>
      </c>
      <c r="M78" s="25" t="n">
        <f aca="false">K78</f>
        <v>2027.41666666667</v>
      </c>
      <c r="N78" s="25" t="n">
        <f aca="false">IF(K78&gt;asof,K78+N(J78)/12,K78)</f>
        <v>2027.41666666667</v>
      </c>
      <c r="O78" s="25" t="n">
        <f aca="false">IF(K78&gt;asof,K78+IF(N(J78)&gt;0,N(J78),dly_d1_m)/12,K78)</f>
        <v>2027.91666666667</v>
      </c>
      <c r="P78" s="21" t="n">
        <f aca="false">IF(K78=9999,"",ROUNDUP(K78,0)-1)</f>
        <v>2027</v>
      </c>
      <c r="Q78" s="21" t="n">
        <f aca="false">IF(AND(N(G78)=1,K78&lt;9999,L78&gt;0),1,0)</f>
        <v>1</v>
      </c>
      <c r="R78" s="21" t="n">
        <f aca="false">IF(AND(K78&gt;asof,K78&lt;9999,N(S78)&lt;&gt;1,P78&gt;=dly_d2_y0,P78&lt;=dly_d2_y1),1,0)</f>
        <v>1</v>
      </c>
      <c r="S78" s="20" t="n">
        <f aca="false">IF(In!O326="","",In!O326)</f>
        <v>0</v>
      </c>
    </row>
    <row r="79" customFormat="false" ht="17.15" hidden="false" customHeight="false" outlineLevel="0" collapsed="false">
      <c r="A79" s="0" t="s">
        <v>1010</v>
      </c>
      <c r="B79" s="20" t="str">
        <f aca="false">In!B327</f>
        <v>Google Storey County 2027-06 增量（300−161）</v>
      </c>
      <c r="C79" s="20" t="str">
        <f aca="false">IF(In!H327="","",In!H327)</f>
        <v>googl</v>
      </c>
      <c r="D79" s="20" t="str">
        <f aca="false">IF(In!I327="","",In!I327)</f>
        <v>self</v>
      </c>
      <c r="E79" s="20" t="n">
        <f aca="false">IF(In!J327="","",In!J327)</f>
        <v>139</v>
      </c>
      <c r="F79" s="20" t="str">
        <f aca="false">In!C327</f>
        <v>IT</v>
      </c>
      <c r="G79" s="20" t="n">
        <f aca="false">IF(In!N327="","",In!N327)</f>
        <v>1</v>
      </c>
      <c r="H79" s="20" t="n">
        <f aca="false">IF(In!K327="","",In!K327)</f>
        <v>2027</v>
      </c>
      <c r="I79" s="20" t="n">
        <f aca="false">IF(In!L327="","",In!L327)</f>
        <v>6</v>
      </c>
      <c r="J79" s="20" t="n">
        <f aca="false">N(In!M327)</f>
        <v>0</v>
      </c>
      <c r="K79" s="25" t="n">
        <f aca="false">IF(OR(H79="",I79=""),9999,H79+I79/12)</f>
        <v>2027.5</v>
      </c>
      <c r="L79" s="25" t="n">
        <f aca="false">IF(E79="",0,IF(F79="設施",E79/1000/INDEX(Players!$D$13:$M$13,1,MAX(1,MIN(10,H79-2022))),E79/1000*g_ITtoFac))</f>
        <v>0.139</v>
      </c>
      <c r="M79" s="25" t="n">
        <f aca="false">K79</f>
        <v>2027.5</v>
      </c>
      <c r="N79" s="25" t="n">
        <f aca="false">IF(K79&gt;asof,K79+N(J79)/12,K79)</f>
        <v>2027.5</v>
      </c>
      <c r="O79" s="25" t="n">
        <f aca="false">IF(K79&gt;asof,K79+IF(N(J79)&gt;0,N(J79),dly_d1_m)/12,K79)</f>
        <v>2028</v>
      </c>
      <c r="P79" s="21" t="n">
        <f aca="false">IF(K79=9999,"",ROUNDUP(K79,0)-1)</f>
        <v>2027</v>
      </c>
      <c r="Q79" s="21" t="n">
        <f aca="false">IF(AND(N(G79)=1,K79&lt;9999,L79&gt;0),1,0)</f>
        <v>1</v>
      </c>
      <c r="R79" s="21" t="n">
        <f aca="false">IF(AND(K79&gt;asof,K79&lt;9999,N(S79)&lt;&gt;1,P79&gt;=dly_d2_y0,P79&lt;=dly_d2_y1),1,0)</f>
        <v>1</v>
      </c>
      <c r="S79" s="20" t="n">
        <f aca="false">IF(In!O327="","",In!O327)</f>
        <v>0</v>
      </c>
    </row>
    <row r="80" customFormat="false" ht="17.15" hidden="false" customHeight="false" outlineLevel="0" collapsed="false">
      <c r="A80" s="0" t="s">
        <v>1013</v>
      </c>
      <c r="B80" s="20" t="str">
        <f aca="false">In!B328</f>
        <v>Google Columbus Building 5（386−303）</v>
      </c>
      <c r="C80" s="20" t="str">
        <f aca="false">IF(In!H328="","",In!H328)</f>
        <v>googl</v>
      </c>
      <c r="D80" s="20" t="str">
        <f aca="false">IF(In!I328="","",In!I328)</f>
        <v>self</v>
      </c>
      <c r="E80" s="20" t="n">
        <f aca="false">IF(In!J328="","",In!J328)</f>
        <v>83</v>
      </c>
      <c r="F80" s="20" t="str">
        <f aca="false">In!C328</f>
        <v>IT</v>
      </c>
      <c r="G80" s="20" t="n">
        <f aca="false">IF(In!N328="","",In!N328)</f>
        <v>1</v>
      </c>
      <c r="H80" s="20" t="n">
        <f aca="false">IF(In!K328="","",In!K328)</f>
        <v>2027</v>
      </c>
      <c r="I80" s="20" t="n">
        <f aca="false">IF(In!L328="","",In!L328)</f>
        <v>7</v>
      </c>
      <c r="J80" s="20" t="n">
        <f aca="false">N(In!M328)</f>
        <v>0</v>
      </c>
      <c r="K80" s="25" t="n">
        <f aca="false">IF(OR(H80="",I80=""),9999,H80+I80/12)</f>
        <v>2027.58333333333</v>
      </c>
      <c r="L80" s="25" t="n">
        <f aca="false">IF(E80="",0,IF(F80="設施",E80/1000/INDEX(Players!$D$13:$M$13,1,MAX(1,MIN(10,H80-2022))),E80/1000*g_ITtoFac))</f>
        <v>0.083</v>
      </c>
      <c r="M80" s="25" t="n">
        <f aca="false">K80</f>
        <v>2027.58333333333</v>
      </c>
      <c r="N80" s="25" t="n">
        <f aca="false">IF(K80&gt;asof,K80+N(J80)/12,K80)</f>
        <v>2027.58333333333</v>
      </c>
      <c r="O80" s="25" t="n">
        <f aca="false">IF(K80&gt;asof,K80+IF(N(J80)&gt;0,N(J80),dly_d1_m)/12,K80)</f>
        <v>2028.08333333333</v>
      </c>
      <c r="P80" s="21" t="n">
        <f aca="false">IF(K80=9999,"",ROUNDUP(K80,0)-1)</f>
        <v>2027</v>
      </c>
      <c r="Q80" s="21" t="n">
        <f aca="false">IF(AND(N(G80)=1,K80&lt;9999,L80&gt;0),1,0)</f>
        <v>1</v>
      </c>
      <c r="R80" s="21" t="n">
        <f aca="false">IF(AND(K80&gt;asof,K80&lt;9999,N(S80)&lt;&gt;1,P80&gt;=dly_d2_y0,P80&lt;=dly_d2_y1),1,0)</f>
        <v>1</v>
      </c>
      <c r="S80" s="20" t="n">
        <f aca="false">IF(In!O328="","",In!O328)</f>
        <v>0</v>
      </c>
    </row>
    <row r="81" customFormat="false" ht="17.15" hidden="false" customHeight="false" outlineLevel="0" collapsed="false">
      <c r="A81" s="0" t="s">
        <v>1016</v>
      </c>
      <c r="B81" s="20" t="str">
        <f aca="false">In!B329</f>
        <v>Google Lincoln Building 2（283−141）</v>
      </c>
      <c r="C81" s="20" t="str">
        <f aca="false">IF(In!H329="","",In!H329)</f>
        <v>googl</v>
      </c>
      <c r="D81" s="20" t="str">
        <f aca="false">IF(In!I329="","",In!I329)</f>
        <v>self</v>
      </c>
      <c r="E81" s="20" t="n">
        <f aca="false">IF(In!J329="","",In!J329)</f>
        <v>142</v>
      </c>
      <c r="F81" s="20" t="str">
        <f aca="false">In!C329</f>
        <v>IT</v>
      </c>
      <c r="G81" s="20" t="n">
        <f aca="false">IF(In!N329="","",In!N329)</f>
        <v>1</v>
      </c>
      <c r="H81" s="20" t="n">
        <f aca="false">IF(In!K329="","",In!K329)</f>
        <v>2027</v>
      </c>
      <c r="I81" s="20" t="n">
        <f aca="false">IF(In!L329="","",In!L329)</f>
        <v>10</v>
      </c>
      <c r="J81" s="20" t="n">
        <f aca="false">N(In!M329)</f>
        <v>0</v>
      </c>
      <c r="K81" s="25" t="n">
        <f aca="false">IF(OR(H81="",I81=""),9999,H81+I81/12)</f>
        <v>2027.83333333333</v>
      </c>
      <c r="L81" s="25" t="n">
        <f aca="false">IF(E81="",0,IF(F81="設施",E81/1000/INDEX(Players!$D$13:$M$13,1,MAX(1,MIN(10,H81-2022))),E81/1000*g_ITtoFac))</f>
        <v>0.142</v>
      </c>
      <c r="M81" s="25" t="n">
        <f aca="false">K81</f>
        <v>2027.83333333333</v>
      </c>
      <c r="N81" s="25" t="n">
        <f aca="false">IF(K81&gt;asof,K81+N(J81)/12,K81)</f>
        <v>2027.83333333333</v>
      </c>
      <c r="O81" s="25" t="n">
        <f aca="false">IF(K81&gt;asof,K81+IF(N(J81)&gt;0,N(J81),dly_d1_m)/12,K81)</f>
        <v>2028.33333333333</v>
      </c>
      <c r="P81" s="21" t="n">
        <f aca="false">IF(K81=9999,"",ROUNDUP(K81,0)-1)</f>
        <v>2027</v>
      </c>
      <c r="Q81" s="21" t="n">
        <f aca="false">IF(AND(N(G81)=1,K81&lt;9999,L81&gt;0),1,0)</f>
        <v>1</v>
      </c>
      <c r="R81" s="21" t="n">
        <f aca="false">IF(AND(K81&gt;asof,K81&lt;9999,N(S81)&lt;&gt;1,P81&gt;=dly_d2_y0,P81&lt;=dly_d2_y1),1,0)</f>
        <v>1</v>
      </c>
      <c r="S81" s="20" t="n">
        <f aca="false">IF(In!O329="","",In!O329)</f>
        <v>0</v>
      </c>
    </row>
    <row r="82" customFormat="false" ht="17.15" hidden="false" customHeight="false" outlineLevel="0" collapsed="false">
      <c r="A82" s="0" t="s">
        <v>1019</v>
      </c>
      <c r="B82" s="20" t="str">
        <f aca="false">In!B330</f>
        <v>Goodnight（Armstrong County TX；Crusoe 建、售予 Google）2027-03</v>
      </c>
      <c r="C82" s="20" t="str">
        <f aca="false">IF(In!H330="","",In!H330)</f>
        <v>googl</v>
      </c>
      <c r="D82" s="20" t="str">
        <f aca="false">IF(In!I330="","",In!I330)</f>
        <v>self</v>
      </c>
      <c r="E82" s="20" t="n">
        <f aca="false">IF(In!J330="","",In!J330)</f>
        <v>103</v>
      </c>
      <c r="F82" s="20" t="str">
        <f aca="false">In!C330</f>
        <v>IT</v>
      </c>
      <c r="G82" s="20" t="n">
        <f aca="false">IF(In!N330="","",In!N330)</f>
        <v>1</v>
      </c>
      <c r="H82" s="20" t="n">
        <f aca="false">IF(In!K330="","",In!K330)</f>
        <v>2027</v>
      </c>
      <c r="I82" s="20" t="n">
        <f aca="false">IF(In!L330="","",In!L330)</f>
        <v>3</v>
      </c>
      <c r="J82" s="20" t="n">
        <f aca="false">N(In!M330)</f>
        <v>0</v>
      </c>
      <c r="K82" s="25" t="n">
        <f aca="false">IF(OR(H82="",I82=""),9999,H82+I82/12)</f>
        <v>2027.25</v>
      </c>
      <c r="L82" s="25" t="n">
        <f aca="false">IF(E82="",0,IF(F82="設施",E82/1000/INDEX(Players!$D$13:$M$13,1,MAX(1,MIN(10,H82-2022))),E82/1000*g_ITtoFac))</f>
        <v>0.103</v>
      </c>
      <c r="M82" s="25" t="n">
        <f aca="false">K82</f>
        <v>2027.25</v>
      </c>
      <c r="N82" s="25" t="n">
        <f aca="false">IF(K82&gt;asof,K82+N(J82)/12,K82)</f>
        <v>2027.25</v>
      </c>
      <c r="O82" s="25" t="n">
        <f aca="false">IF(K82&gt;asof,K82+IF(N(J82)&gt;0,N(J82),dly_d1_m)/12,K82)</f>
        <v>2027.75</v>
      </c>
      <c r="P82" s="21" t="n">
        <f aca="false">IF(K82=9999,"",ROUNDUP(K82,0)-1)</f>
        <v>2027</v>
      </c>
      <c r="Q82" s="21" t="n">
        <f aca="false">IF(AND(N(G82)=1,K82&lt;9999,L82&gt;0),1,0)</f>
        <v>1</v>
      </c>
      <c r="R82" s="21" t="n">
        <f aca="false">IF(AND(K82&gt;asof,K82&lt;9999,N(S82)&lt;&gt;1,P82&gt;=dly_d2_y0,P82&lt;=dly_d2_y1),1,0)</f>
        <v>1</v>
      </c>
      <c r="S82" s="20" t="n">
        <f aca="false">IF(In!O330="","",In!O330)</f>
        <v>0</v>
      </c>
    </row>
    <row r="83" customFormat="false" ht="17.15" hidden="false" customHeight="false" outlineLevel="0" collapsed="false">
      <c r="A83" s="0" t="s">
        <v>1022</v>
      </c>
      <c r="B83" s="20" t="str">
        <f aca="false">In!B331</f>
        <v>Goodnight 2027-05 增量（206−103）</v>
      </c>
      <c r="C83" s="20" t="str">
        <f aca="false">IF(In!H331="","",In!H331)</f>
        <v>googl</v>
      </c>
      <c r="D83" s="20" t="str">
        <f aca="false">IF(In!I331="","",In!I331)</f>
        <v>self</v>
      </c>
      <c r="E83" s="20" t="n">
        <f aca="false">IF(In!J331="","",In!J331)</f>
        <v>103</v>
      </c>
      <c r="F83" s="20" t="str">
        <f aca="false">In!C331</f>
        <v>IT</v>
      </c>
      <c r="G83" s="20" t="n">
        <f aca="false">IF(In!N331="","",In!N331)</f>
        <v>1</v>
      </c>
      <c r="H83" s="20" t="n">
        <f aca="false">IF(In!K331="","",In!K331)</f>
        <v>2027</v>
      </c>
      <c r="I83" s="20" t="n">
        <f aca="false">IF(In!L331="","",In!L331)</f>
        <v>5</v>
      </c>
      <c r="J83" s="20" t="n">
        <f aca="false">N(In!M331)</f>
        <v>0</v>
      </c>
      <c r="K83" s="25" t="n">
        <f aca="false">IF(OR(H83="",I83=""),9999,H83+I83/12)</f>
        <v>2027.41666666667</v>
      </c>
      <c r="L83" s="25" t="n">
        <f aca="false">IF(E83="",0,IF(F83="設施",E83/1000/INDEX(Players!$D$13:$M$13,1,MAX(1,MIN(10,H83-2022))),E83/1000*g_ITtoFac))</f>
        <v>0.103</v>
      </c>
      <c r="M83" s="25" t="n">
        <f aca="false">K83</f>
        <v>2027.41666666667</v>
      </c>
      <c r="N83" s="25" t="n">
        <f aca="false">IF(K83&gt;asof,K83+N(J83)/12,K83)</f>
        <v>2027.41666666667</v>
      </c>
      <c r="O83" s="25" t="n">
        <f aca="false">IF(K83&gt;asof,K83+IF(N(J83)&gt;0,N(J83),dly_d1_m)/12,K83)</f>
        <v>2027.91666666667</v>
      </c>
      <c r="P83" s="21" t="n">
        <f aca="false">IF(K83=9999,"",ROUNDUP(K83,0)-1)</f>
        <v>2027</v>
      </c>
      <c r="Q83" s="21" t="n">
        <f aca="false">IF(AND(N(G83)=1,K83&lt;9999,L83&gt;0),1,0)</f>
        <v>1</v>
      </c>
      <c r="R83" s="21" t="n">
        <f aca="false">IF(AND(K83&gt;asof,K83&lt;9999,N(S83)&lt;&gt;1,P83&gt;=dly_d2_y0,P83&lt;=dly_d2_y1),1,0)</f>
        <v>1</v>
      </c>
      <c r="S83" s="20" t="n">
        <f aca="false">IF(In!O331="","",In!O331)</f>
        <v>0</v>
      </c>
    </row>
    <row r="84" customFormat="false" ht="17.15" hidden="false" customHeight="false" outlineLevel="0" collapsed="false">
      <c r="A84" s="0" t="s">
        <v>1025</v>
      </c>
      <c r="B84" s="20" t="str">
        <f aca="false">In!B332</f>
        <v>Goodnight 2027-10 增量（第 3–6 棟 × 約 103；J 段更正 800→412）</v>
      </c>
      <c r="C84" s="20" t="str">
        <f aca="false">IF(In!H332="","",In!H332)</f>
        <v>googl</v>
      </c>
      <c r="D84" s="20" t="str">
        <f aca="false">IF(In!I332="","",In!I332)</f>
        <v>self</v>
      </c>
      <c r="E84" s="20" t="n">
        <f aca="false">IF(In!J332="","",In!J332)</f>
        <v>412</v>
      </c>
      <c r="F84" s="20" t="str">
        <f aca="false">In!C332</f>
        <v>IT</v>
      </c>
      <c r="G84" s="20" t="n">
        <f aca="false">IF(In!N332="","",In!N332)</f>
        <v>1</v>
      </c>
      <c r="H84" s="20" t="n">
        <f aca="false">IF(In!K332="","",In!K332)</f>
        <v>2027</v>
      </c>
      <c r="I84" s="20" t="n">
        <f aca="false">IF(In!L332="","",In!L332)</f>
        <v>10</v>
      </c>
      <c r="J84" s="20" t="n">
        <f aca="false">N(In!M332)</f>
        <v>0</v>
      </c>
      <c r="K84" s="25" t="n">
        <f aca="false">IF(OR(H84="",I84=""),9999,H84+I84/12)</f>
        <v>2027.83333333333</v>
      </c>
      <c r="L84" s="25" t="n">
        <f aca="false">IF(E84="",0,IF(F84="設施",E84/1000/INDEX(Players!$D$13:$M$13,1,MAX(1,MIN(10,H84-2022))),E84/1000*g_ITtoFac))</f>
        <v>0.412</v>
      </c>
      <c r="M84" s="25" t="n">
        <f aca="false">K84</f>
        <v>2027.83333333333</v>
      </c>
      <c r="N84" s="25" t="n">
        <f aca="false">IF(K84&gt;asof,K84+N(J84)/12,K84)</f>
        <v>2027.83333333333</v>
      </c>
      <c r="O84" s="25" t="n">
        <f aca="false">IF(K84&gt;asof,K84+IF(N(J84)&gt;0,N(J84),dly_d1_m)/12,K84)</f>
        <v>2028.33333333333</v>
      </c>
      <c r="P84" s="21" t="n">
        <f aca="false">IF(K84=9999,"",ROUNDUP(K84,0)-1)</f>
        <v>2027</v>
      </c>
      <c r="Q84" s="21" t="n">
        <f aca="false">IF(AND(N(G84)=1,K84&lt;9999,L84&gt;0),1,0)</f>
        <v>1</v>
      </c>
      <c r="R84" s="21" t="n">
        <f aca="false">IF(AND(K84&gt;asof,K84&lt;9999,N(S84)&lt;&gt;1,P84&gt;=dly_d2_y0,P84&lt;=dly_d2_y1),1,0)</f>
        <v>1</v>
      </c>
      <c r="S84" s="20" t="n">
        <f aca="false">IF(In!O332="","",In!O332)</f>
        <v>0</v>
      </c>
    </row>
    <row r="85" customFormat="false" ht="17.15" hidden="false" customHeight="false" outlineLevel="0" collapsed="false">
      <c r="A85" s="0" t="s">
        <v>1028</v>
      </c>
      <c r="B85" s="20" t="str">
        <f aca="false">In!B333</f>
        <v>AWS New Albany（三園區）2027-07 增量（338−213）</v>
      </c>
      <c r="C85" s="20" t="str">
        <f aca="false">IF(In!H333="","",In!H333)</f>
        <v>amzn</v>
      </c>
      <c r="D85" s="20" t="str">
        <f aca="false">IF(In!I333="","",In!I333)</f>
        <v/>
      </c>
      <c r="E85" s="20" t="n">
        <f aca="false">IF(In!J333="","",In!J333)</f>
        <v>125</v>
      </c>
      <c r="F85" s="20" t="str">
        <f aca="false">In!C333</f>
        <v>IT</v>
      </c>
      <c r="G85" s="20" t="n">
        <f aca="false">IF(In!N333="","",In!N333)</f>
        <v>1</v>
      </c>
      <c r="H85" s="20" t="n">
        <f aca="false">IF(In!K333="","",In!K333)</f>
        <v>2027</v>
      </c>
      <c r="I85" s="20" t="n">
        <f aca="false">IF(In!L333="","",In!L333)</f>
        <v>7</v>
      </c>
      <c r="J85" s="20" t="n">
        <f aca="false">N(In!M333)</f>
        <v>0</v>
      </c>
      <c r="K85" s="25" t="n">
        <f aca="false">IF(OR(H85="",I85=""),9999,H85+I85/12)</f>
        <v>2027.58333333333</v>
      </c>
      <c r="L85" s="25" t="n">
        <f aca="false">IF(E85="",0,IF(F85="設施",E85/1000/INDEX(Players!$D$13:$M$13,1,MAX(1,MIN(10,H85-2022))),E85/1000*g_ITtoFac))</f>
        <v>0.125</v>
      </c>
      <c r="M85" s="25" t="n">
        <f aca="false">K85</f>
        <v>2027.58333333333</v>
      </c>
      <c r="N85" s="25" t="n">
        <f aca="false">IF(K85&gt;asof,K85+N(J85)/12,K85)</f>
        <v>2027.58333333333</v>
      </c>
      <c r="O85" s="25" t="n">
        <f aca="false">IF(K85&gt;asof,K85+IF(N(J85)&gt;0,N(J85),dly_d1_m)/12,K85)</f>
        <v>2028.08333333333</v>
      </c>
      <c r="P85" s="21" t="n">
        <f aca="false">IF(K85=9999,"",ROUNDUP(K85,0)-1)</f>
        <v>2027</v>
      </c>
      <c r="Q85" s="21" t="n">
        <f aca="false">IF(AND(N(G85)=1,K85&lt;9999,L85&gt;0),1,0)</f>
        <v>1</v>
      </c>
      <c r="R85" s="21" t="n">
        <f aca="false">IF(AND(K85&gt;asof,K85&lt;9999,N(S85)&lt;&gt;1,P85&gt;=dly_d2_y0,P85&lt;=dly_d2_y1),1,0)</f>
        <v>1</v>
      </c>
      <c r="S85" s="20" t="n">
        <f aca="false">IF(In!O333="","",In!O333)</f>
        <v>0</v>
      </c>
    </row>
    <row r="86" customFormat="false" ht="17.15" hidden="false" customHeight="false" outlineLevel="0" collapsed="false">
      <c r="A86" s="0" t="s">
        <v>1031</v>
      </c>
      <c r="B86" s="20" t="str">
        <f aca="false">In!B334</f>
        <v>AWS Ridgeland Building 5（284−228）</v>
      </c>
      <c r="C86" s="20" t="str">
        <f aca="false">IF(In!H334="","",In!H334)</f>
        <v>amzn</v>
      </c>
      <c r="D86" s="20" t="str">
        <f aca="false">IF(In!I334="","",In!I334)</f>
        <v/>
      </c>
      <c r="E86" s="20" t="n">
        <f aca="false">IF(In!J334="","",In!J334)</f>
        <v>56</v>
      </c>
      <c r="F86" s="20" t="str">
        <f aca="false">In!C334</f>
        <v>IT</v>
      </c>
      <c r="G86" s="20" t="n">
        <f aca="false">IF(In!N334="","",In!N334)</f>
        <v>1</v>
      </c>
      <c r="H86" s="20" t="n">
        <f aca="false">IF(In!K334="","",In!K334)</f>
        <v>2027</v>
      </c>
      <c r="I86" s="20" t="n">
        <f aca="false">IF(In!L334="","",In!L334)</f>
        <v>2</v>
      </c>
      <c r="J86" s="20" t="n">
        <f aca="false">N(In!M334)</f>
        <v>0</v>
      </c>
      <c r="K86" s="25" t="n">
        <f aca="false">IF(OR(H86="",I86=""),9999,H86+I86/12)</f>
        <v>2027.16666666667</v>
      </c>
      <c r="L86" s="25" t="n">
        <f aca="false">IF(E86="",0,IF(F86="設施",E86/1000/INDEX(Players!$D$13:$M$13,1,MAX(1,MIN(10,H86-2022))),E86/1000*g_ITtoFac))</f>
        <v>0.056</v>
      </c>
      <c r="M86" s="25" t="n">
        <f aca="false">K86</f>
        <v>2027.16666666667</v>
      </c>
      <c r="N86" s="25" t="n">
        <f aca="false">IF(K86&gt;asof,K86+N(J86)/12,K86)</f>
        <v>2027.16666666667</v>
      </c>
      <c r="O86" s="25" t="n">
        <f aca="false">IF(K86&gt;asof,K86+IF(N(J86)&gt;0,N(J86),dly_d1_m)/12,K86)</f>
        <v>2027.66666666667</v>
      </c>
      <c r="P86" s="21" t="n">
        <f aca="false">IF(K86=9999,"",ROUNDUP(K86,0)-1)</f>
        <v>2027</v>
      </c>
      <c r="Q86" s="21" t="n">
        <f aca="false">IF(AND(N(G86)=1,K86&lt;9999,L86&gt;0),1,0)</f>
        <v>1</v>
      </c>
      <c r="R86" s="21" t="n">
        <f aca="false">IF(AND(K86&gt;asof,K86&lt;9999,N(S86)&lt;&gt;1,P86&gt;=dly_d2_y0,P86&lt;=dly_d2_y1),1,0)</f>
        <v>1</v>
      </c>
      <c r="S86" s="20" t="n">
        <f aca="false">IF(In!O334="","",In!O334)</f>
        <v>0</v>
      </c>
    </row>
    <row r="87" customFormat="false" ht="17.15" hidden="false" customHeight="false" outlineLevel="0" collapsed="false">
      <c r="A87" s="0" t="s">
        <v>1034</v>
      </c>
      <c r="B87" s="20" t="str">
        <f aca="false">In!B335</f>
        <v>AWS Berwick 2027-08 增量（169−108）</v>
      </c>
      <c r="C87" s="20" t="str">
        <f aca="false">IF(In!H335="","",In!H335)</f>
        <v>amzn</v>
      </c>
      <c r="D87" s="20" t="str">
        <f aca="false">IF(In!I335="","",In!I335)</f>
        <v/>
      </c>
      <c r="E87" s="20" t="n">
        <f aca="false">IF(In!J335="","",In!J335)</f>
        <v>61</v>
      </c>
      <c r="F87" s="20" t="str">
        <f aca="false">In!C335</f>
        <v>IT</v>
      </c>
      <c r="G87" s="20" t="n">
        <f aca="false">IF(In!N335="","",In!N335)</f>
        <v>1</v>
      </c>
      <c r="H87" s="20" t="n">
        <f aca="false">IF(In!K335="","",In!K335)</f>
        <v>2027</v>
      </c>
      <c r="I87" s="20" t="n">
        <f aca="false">IF(In!L335="","",In!L335)</f>
        <v>8</v>
      </c>
      <c r="J87" s="20" t="n">
        <f aca="false">N(In!M335)</f>
        <v>0</v>
      </c>
      <c r="K87" s="25" t="n">
        <f aca="false">IF(OR(H87="",I87=""),9999,H87+I87/12)</f>
        <v>2027.66666666667</v>
      </c>
      <c r="L87" s="25" t="n">
        <f aca="false">IF(E87="",0,IF(F87="設施",E87/1000/INDEX(Players!$D$13:$M$13,1,MAX(1,MIN(10,H87-2022))),E87/1000*g_ITtoFac))</f>
        <v>0.061</v>
      </c>
      <c r="M87" s="25" t="n">
        <f aca="false">K87</f>
        <v>2027.66666666667</v>
      </c>
      <c r="N87" s="25" t="n">
        <f aca="false">IF(K87&gt;asof,K87+N(J87)/12,K87)</f>
        <v>2027.66666666667</v>
      </c>
      <c r="O87" s="25" t="n">
        <f aca="false">IF(K87&gt;asof,K87+IF(N(J87)&gt;0,N(J87),dly_d1_m)/12,K87)</f>
        <v>2028.16666666667</v>
      </c>
      <c r="P87" s="21" t="n">
        <f aca="false">IF(K87=9999,"",ROUNDUP(K87,0)-1)</f>
        <v>2027</v>
      </c>
      <c r="Q87" s="21" t="n">
        <f aca="false">IF(AND(N(G87)=1,K87&lt;9999,L87&gt;0),1,0)</f>
        <v>1</v>
      </c>
      <c r="R87" s="21" t="n">
        <f aca="false">IF(AND(K87&gt;asof,K87&lt;9999,N(S87)&lt;&gt;1,P87&gt;=dly_d2_y0,P87&lt;=dly_d2_y1),1,0)</f>
        <v>1</v>
      </c>
      <c r="S87" s="20" t="n">
        <f aca="false">IF(In!O335="","",In!O335)</f>
        <v>0</v>
      </c>
    </row>
    <row r="88" customFormat="false" ht="17.15" hidden="false" customHeight="false" outlineLevel="0" collapsed="false">
      <c r="A88" s="0" t="s">
        <v>1037</v>
      </c>
      <c r="B88" s="20" t="str">
        <f aca="false">In!B336</f>
        <v>Cipher Black Pearl Data Hall 4（Amazon 承租）</v>
      </c>
      <c r="C88" s="20" t="str">
        <f aca="false">IF(In!H336="","",In!H336)</f>
        <v>amzn</v>
      </c>
      <c r="D88" s="20" t="str">
        <f aca="false">IF(In!I336="","",In!I336)</f>
        <v/>
      </c>
      <c r="E88" s="20" t="n">
        <f aca="false">IF(In!J336="","",In!J336)</f>
        <v>81</v>
      </c>
      <c r="F88" s="20" t="str">
        <f aca="false">In!C336</f>
        <v>IT</v>
      </c>
      <c r="G88" s="20" t="n">
        <f aca="false">IF(In!N336="","",In!N336)</f>
        <v>1</v>
      </c>
      <c r="H88" s="20" t="n">
        <f aca="false">IF(In!K336="","",In!K336)</f>
        <v>2027</v>
      </c>
      <c r="I88" s="20" t="n">
        <f aca="false">IF(In!L336="","",In!L336)</f>
        <v>2</v>
      </c>
      <c r="J88" s="20" t="n">
        <f aca="false">N(In!M336)</f>
        <v>0</v>
      </c>
      <c r="K88" s="25" t="n">
        <f aca="false">IF(OR(H88="",I88=""),9999,H88+I88/12)</f>
        <v>2027.16666666667</v>
      </c>
      <c r="L88" s="25" t="n">
        <f aca="false">IF(E88="",0,IF(F88="設施",E88/1000/INDEX(Players!$D$13:$M$13,1,MAX(1,MIN(10,H88-2022))),E88/1000*g_ITtoFac))</f>
        <v>0.081</v>
      </c>
      <c r="M88" s="25" t="n">
        <f aca="false">K88</f>
        <v>2027.16666666667</v>
      </c>
      <c r="N88" s="25" t="n">
        <f aca="false">IF(K88&gt;asof,K88+N(J88)/12,K88)</f>
        <v>2027.16666666667</v>
      </c>
      <c r="O88" s="25" t="n">
        <f aca="false">IF(K88&gt;asof,K88+IF(N(J88)&gt;0,N(J88),dly_d1_m)/12,K88)</f>
        <v>2027.66666666667</v>
      </c>
      <c r="P88" s="21" t="n">
        <f aca="false">IF(K88=9999,"",ROUNDUP(K88,0)-1)</f>
        <v>2027</v>
      </c>
      <c r="Q88" s="21" t="n">
        <f aca="false">IF(AND(N(G88)=1,K88&lt;9999,L88&gt;0),1,0)</f>
        <v>1</v>
      </c>
      <c r="R88" s="21" t="n">
        <f aca="false">IF(AND(K88&gt;asof,K88&lt;9999,N(S88)&lt;&gt;1,P88&gt;=dly_d2_y0,P88&lt;=dly_d2_y1),1,0)</f>
        <v>1</v>
      </c>
      <c r="S88" s="20" t="n">
        <f aca="false">IF(In!O336="","",In!O336)</f>
        <v>0</v>
      </c>
    </row>
    <row r="89" customFormat="false" ht="17.15" hidden="false" customHeight="false" outlineLevel="0" collapsed="false">
      <c r="A89" s="0" t="s">
        <v>1040</v>
      </c>
      <c r="B89" s="20" t="str">
        <f aca="false">In!B337</f>
        <v>Meta Montgomery Buildings 5–6（204−153）</v>
      </c>
      <c r="C89" s="20" t="str">
        <f aca="false">IF(In!H337="","",In!H337)</f>
        <v>meta</v>
      </c>
      <c r="D89" s="20" t="str">
        <f aca="false">IF(In!I337="","",In!I337)</f>
        <v>meta</v>
      </c>
      <c r="E89" s="20" t="n">
        <f aca="false">IF(In!J337="","",In!J337)</f>
        <v>51</v>
      </c>
      <c r="F89" s="20" t="str">
        <f aca="false">In!C337</f>
        <v>IT</v>
      </c>
      <c r="G89" s="20" t="n">
        <f aca="false">IF(In!N337="","",In!N337)</f>
        <v>1</v>
      </c>
      <c r="H89" s="20" t="n">
        <f aca="false">IF(In!K337="","",In!K337)</f>
        <v>2027</v>
      </c>
      <c r="I89" s="20" t="n">
        <f aca="false">IF(In!L337="","",In!L337)</f>
        <v>2</v>
      </c>
      <c r="J89" s="20" t="n">
        <f aca="false">N(In!M337)</f>
        <v>0</v>
      </c>
      <c r="K89" s="25" t="n">
        <f aca="false">IF(OR(H89="",I89=""),9999,H89+I89/12)</f>
        <v>2027.16666666667</v>
      </c>
      <c r="L89" s="25" t="n">
        <f aca="false">IF(E89="",0,IF(F89="設施",E89/1000/INDEX(Players!$D$13:$M$13,1,MAX(1,MIN(10,H89-2022))),E89/1000*g_ITtoFac))</f>
        <v>0.051</v>
      </c>
      <c r="M89" s="25" t="n">
        <f aca="false">K89</f>
        <v>2027.16666666667</v>
      </c>
      <c r="N89" s="25" t="n">
        <f aca="false">IF(K89&gt;asof,K89+N(J89)/12,K89)</f>
        <v>2027.16666666667</v>
      </c>
      <c r="O89" s="25" t="n">
        <f aca="false">IF(K89&gt;asof,K89+IF(N(J89)&gt;0,N(J89),dly_d1_m)/12,K89)</f>
        <v>2027.66666666667</v>
      </c>
      <c r="P89" s="21" t="n">
        <f aca="false">IF(K89=9999,"",ROUNDUP(K89,0)-1)</f>
        <v>2027</v>
      </c>
      <c r="Q89" s="21" t="n">
        <f aca="false">IF(AND(N(G89)=1,K89&lt;9999,L89&gt;0),1,0)</f>
        <v>1</v>
      </c>
      <c r="R89" s="21" t="n">
        <f aca="false">IF(AND(K89&gt;asof,K89&lt;9999,N(S89)&lt;&gt;1,P89&gt;=dly_d2_y0,P89&lt;=dly_d2_y1),1,0)</f>
        <v>1</v>
      </c>
      <c r="S89" s="20" t="n">
        <f aca="false">IF(In!O337="","",In!O337)</f>
        <v>0</v>
      </c>
    </row>
    <row r="90" customFormat="false" ht="17.15" hidden="false" customHeight="false" outlineLevel="0" collapsed="false">
      <c r="A90" s="0" t="s">
        <v>1043</v>
      </c>
      <c r="B90" s="20" t="str">
        <f aca="false">In!B338</f>
        <v>Meta Montgomery Buildings 3–4（358−204）</v>
      </c>
      <c r="C90" s="20" t="str">
        <f aca="false">IF(In!H338="","",In!H338)</f>
        <v>meta</v>
      </c>
      <c r="D90" s="20" t="str">
        <f aca="false">IF(In!I338="","",In!I338)</f>
        <v>meta</v>
      </c>
      <c r="E90" s="20" t="n">
        <f aca="false">IF(In!J338="","",In!J338)</f>
        <v>154</v>
      </c>
      <c r="F90" s="20" t="str">
        <f aca="false">In!C338</f>
        <v>IT</v>
      </c>
      <c r="G90" s="20" t="n">
        <f aca="false">IF(In!N338="","",In!N338)</f>
        <v>1</v>
      </c>
      <c r="H90" s="20" t="n">
        <f aca="false">IF(In!K338="","",In!K338)</f>
        <v>2027</v>
      </c>
      <c r="I90" s="20" t="n">
        <f aca="false">IF(In!L338="","",In!L338)</f>
        <v>2</v>
      </c>
      <c r="J90" s="20" t="n">
        <f aca="false">N(In!M338)</f>
        <v>0</v>
      </c>
      <c r="K90" s="25" t="n">
        <f aca="false">IF(OR(H90="",I90=""),9999,H90+I90/12)</f>
        <v>2027.16666666667</v>
      </c>
      <c r="L90" s="25" t="n">
        <f aca="false">IF(E90="",0,IF(F90="設施",E90/1000/INDEX(Players!$D$13:$M$13,1,MAX(1,MIN(10,H90-2022))),E90/1000*g_ITtoFac))</f>
        <v>0.154</v>
      </c>
      <c r="M90" s="25" t="n">
        <f aca="false">K90</f>
        <v>2027.16666666667</v>
      </c>
      <c r="N90" s="25" t="n">
        <f aca="false">IF(K90&gt;asof,K90+N(J90)/12,K90)</f>
        <v>2027.16666666667</v>
      </c>
      <c r="O90" s="25" t="n">
        <f aca="false">IF(K90&gt;asof,K90+IF(N(J90)&gt;0,N(J90),dly_d1_m)/12,K90)</f>
        <v>2027.66666666667</v>
      </c>
      <c r="P90" s="21" t="n">
        <f aca="false">IF(K90=9999,"",ROUNDUP(K90,0)-1)</f>
        <v>2027</v>
      </c>
      <c r="Q90" s="21" t="n">
        <f aca="false">IF(AND(N(G90)=1,K90&lt;9999,L90&gt;0),1,0)</f>
        <v>1</v>
      </c>
      <c r="R90" s="21" t="n">
        <f aca="false">IF(AND(K90&gt;asof,K90&lt;9999,N(S90)&lt;&gt;1,P90&gt;=dly_d2_y0,P90&lt;=dly_d2_y1),1,0)</f>
        <v>1</v>
      </c>
      <c r="S90" s="20" t="n">
        <f aca="false">IF(In!O338="","",In!O338)</f>
        <v>0</v>
      </c>
    </row>
    <row r="91" customFormat="false" ht="17.15" hidden="false" customHeight="false" outlineLevel="0" collapsed="false">
      <c r="A91" s="0" t="s">
        <v>1046</v>
      </c>
      <c r="B91" s="20" t="str">
        <f aca="false">In!B339</f>
        <v>Meta Cheyenne Buildings 3–4（207−152）</v>
      </c>
      <c r="C91" s="20" t="str">
        <f aca="false">IF(In!H339="","",In!H339)</f>
        <v>meta</v>
      </c>
      <c r="D91" s="20" t="str">
        <f aca="false">IF(In!I339="","",In!I339)</f>
        <v>meta</v>
      </c>
      <c r="E91" s="20" t="n">
        <f aca="false">IF(In!J339="","",In!J339)</f>
        <v>55</v>
      </c>
      <c r="F91" s="20" t="str">
        <f aca="false">In!C339</f>
        <v>IT</v>
      </c>
      <c r="G91" s="20" t="n">
        <f aca="false">IF(In!N339="","",In!N339)</f>
        <v>1</v>
      </c>
      <c r="H91" s="20" t="n">
        <f aca="false">IF(In!K339="","",In!K339)</f>
        <v>2027</v>
      </c>
      <c r="I91" s="20" t="n">
        <f aca="false">IF(In!L339="","",In!L339)</f>
        <v>2</v>
      </c>
      <c r="J91" s="20" t="n">
        <f aca="false">N(In!M339)</f>
        <v>0</v>
      </c>
      <c r="K91" s="25" t="n">
        <f aca="false">IF(OR(H91="",I91=""),9999,H91+I91/12)</f>
        <v>2027.16666666667</v>
      </c>
      <c r="L91" s="25" t="n">
        <f aca="false">IF(E91="",0,IF(F91="設施",E91/1000/INDEX(Players!$D$13:$M$13,1,MAX(1,MIN(10,H91-2022))),E91/1000*g_ITtoFac))</f>
        <v>0.055</v>
      </c>
      <c r="M91" s="25" t="n">
        <f aca="false">K91</f>
        <v>2027.16666666667</v>
      </c>
      <c r="N91" s="25" t="n">
        <f aca="false">IF(K91&gt;asof,K91+N(J91)/12,K91)</f>
        <v>2027.16666666667</v>
      </c>
      <c r="O91" s="25" t="n">
        <f aca="false">IF(K91&gt;asof,K91+IF(N(J91)&gt;0,N(J91),dly_d1_m)/12,K91)</f>
        <v>2027.66666666667</v>
      </c>
      <c r="P91" s="21" t="n">
        <f aca="false">IF(K91=9999,"",ROUNDUP(K91,0)-1)</f>
        <v>2027</v>
      </c>
      <c r="Q91" s="21" t="n">
        <f aca="false">IF(AND(N(G91)=1,K91&lt;9999,L91&gt;0),1,0)</f>
        <v>1</v>
      </c>
      <c r="R91" s="21" t="n">
        <f aca="false">IF(AND(K91&gt;asof,K91&lt;9999,N(S91)&lt;&gt;1,P91&gt;=dly_d2_y0,P91&lt;=dly_d2_y1),1,0)</f>
        <v>1</v>
      </c>
      <c r="S91" s="20" t="n">
        <f aca="false">IF(In!O339="","",In!O339)</f>
        <v>0</v>
      </c>
    </row>
    <row r="92" customFormat="false" ht="15" hidden="false" customHeight="false" outlineLevel="0" collapsed="false">
      <c r="A92" s="0" t="s">
        <v>1049</v>
      </c>
      <c r="B92" s="20" t="str">
        <f aca="false">In!B340</f>
        <v>Meta Bowling Green 2027-02</v>
      </c>
      <c r="C92" s="20" t="str">
        <f aca="false">IF(In!H340="","",In!H340)</f>
        <v>meta</v>
      </c>
      <c r="D92" s="20" t="str">
        <f aca="false">IF(In!I340="","",In!I340)</f>
        <v>meta</v>
      </c>
      <c r="E92" s="20" t="n">
        <f aca="false">IF(In!J340="","",In!J340)</f>
        <v>86</v>
      </c>
      <c r="F92" s="20" t="str">
        <f aca="false">In!C340</f>
        <v>IT</v>
      </c>
      <c r="G92" s="20" t="n">
        <f aca="false">IF(In!N340="","",In!N340)</f>
        <v>1</v>
      </c>
      <c r="H92" s="20" t="n">
        <f aca="false">IF(In!K340="","",In!K340)</f>
        <v>2027</v>
      </c>
      <c r="I92" s="20" t="n">
        <f aca="false">IF(In!L340="","",In!L340)</f>
        <v>2</v>
      </c>
      <c r="J92" s="20" t="n">
        <f aca="false">N(In!M340)</f>
        <v>0</v>
      </c>
      <c r="K92" s="25" t="n">
        <f aca="false">IF(OR(H92="",I92=""),9999,H92+I92/12)</f>
        <v>2027.16666666667</v>
      </c>
      <c r="L92" s="25" t="n">
        <f aca="false">IF(E92="",0,IF(F92="設施",E92/1000/INDEX(Players!$D$13:$M$13,1,MAX(1,MIN(10,H92-2022))),E92/1000*g_ITtoFac))</f>
        <v>0.086</v>
      </c>
      <c r="M92" s="25" t="n">
        <f aca="false">K92</f>
        <v>2027.16666666667</v>
      </c>
      <c r="N92" s="25" t="n">
        <f aca="false">IF(K92&gt;asof,K92+N(J92)/12,K92)</f>
        <v>2027.16666666667</v>
      </c>
      <c r="O92" s="25" t="n">
        <f aca="false">IF(K92&gt;asof,K92+IF(N(J92)&gt;0,N(J92),dly_d1_m)/12,K92)</f>
        <v>2027.66666666667</v>
      </c>
      <c r="P92" s="21" t="n">
        <f aca="false">IF(K92=9999,"",ROUNDUP(K92,0)-1)</f>
        <v>2027</v>
      </c>
      <c r="Q92" s="21" t="n">
        <f aca="false">IF(AND(N(G92)=1,K92&lt;9999,L92&gt;0),1,0)</f>
        <v>1</v>
      </c>
      <c r="R92" s="21" t="n">
        <f aca="false">IF(AND(K92&gt;asof,K92&lt;9999,N(S92)&lt;&gt;1,P92&gt;=dly_d2_y0,P92&lt;=dly_d2_y1),1,0)</f>
        <v>1</v>
      </c>
      <c r="S92" s="20" t="n">
        <f aca="false">IF(In!O340="","",In!O340)</f>
        <v>0</v>
      </c>
    </row>
    <row r="93" customFormat="false" ht="17.15" hidden="false" customHeight="false" outlineLevel="0" collapsed="false">
      <c r="A93" s="0" t="s">
        <v>1052</v>
      </c>
      <c r="B93" s="20" t="str">
        <f aca="false">In!B341</f>
        <v>Meta Bowling Green 2027-04 增量（163−86）</v>
      </c>
      <c r="C93" s="20" t="str">
        <f aca="false">IF(In!H341="","",In!H341)</f>
        <v>meta</v>
      </c>
      <c r="D93" s="20" t="str">
        <f aca="false">IF(In!I341="","",In!I341)</f>
        <v>meta</v>
      </c>
      <c r="E93" s="20" t="n">
        <f aca="false">IF(In!J341="","",In!J341)</f>
        <v>77</v>
      </c>
      <c r="F93" s="20" t="str">
        <f aca="false">In!C341</f>
        <v>IT</v>
      </c>
      <c r="G93" s="20" t="n">
        <f aca="false">IF(In!N341="","",In!N341)</f>
        <v>1</v>
      </c>
      <c r="H93" s="20" t="n">
        <f aca="false">IF(In!K341="","",In!K341)</f>
        <v>2027</v>
      </c>
      <c r="I93" s="20" t="n">
        <f aca="false">IF(In!L341="","",In!L341)</f>
        <v>4</v>
      </c>
      <c r="J93" s="20" t="n">
        <f aca="false">N(In!M341)</f>
        <v>0</v>
      </c>
      <c r="K93" s="25" t="n">
        <f aca="false">IF(OR(H93="",I93=""),9999,H93+I93/12)</f>
        <v>2027.33333333333</v>
      </c>
      <c r="L93" s="25" t="n">
        <f aca="false">IF(E93="",0,IF(F93="設施",E93/1000/INDEX(Players!$D$13:$M$13,1,MAX(1,MIN(10,H93-2022))),E93/1000*g_ITtoFac))</f>
        <v>0.077</v>
      </c>
      <c r="M93" s="25" t="n">
        <f aca="false">K93</f>
        <v>2027.33333333333</v>
      </c>
      <c r="N93" s="25" t="n">
        <f aca="false">IF(K93&gt;asof,K93+N(J93)/12,K93)</f>
        <v>2027.33333333333</v>
      </c>
      <c r="O93" s="25" t="n">
        <f aca="false">IF(K93&gt;asof,K93+IF(N(J93)&gt;0,N(J93),dly_d1_m)/12,K93)</f>
        <v>2027.83333333333</v>
      </c>
      <c r="P93" s="21" t="n">
        <f aca="false">IF(K93=9999,"",ROUNDUP(K93,0)-1)</f>
        <v>2027</v>
      </c>
      <c r="Q93" s="21" t="n">
        <f aca="false">IF(AND(N(G93)=1,K93&lt;9999,L93&gt;0),1,0)</f>
        <v>1</v>
      </c>
      <c r="R93" s="21" t="n">
        <f aca="false">IF(AND(K93&gt;asof,K93&lt;9999,N(S93)&lt;&gt;1,P93&gt;=dly_d2_y0,P93&lt;=dly_d2_y1),1,0)</f>
        <v>1</v>
      </c>
      <c r="S93" s="20" t="n">
        <f aca="false">IF(In!O341="","",In!O341)</f>
        <v>0</v>
      </c>
    </row>
    <row r="94" customFormat="false" ht="17.15" hidden="false" customHeight="false" outlineLevel="0" collapsed="false">
      <c r="A94" s="0" t="s">
        <v>1055</v>
      </c>
      <c r="B94" s="20" t="str">
        <f aca="false">In!B342</f>
        <v>Saline Township（The Barn）第 1 棟（1,383 ÷ 3）</v>
      </c>
      <c r="C94" s="20" t="str">
        <f aca="false">IF(In!H342="","",In!H342)</f>
        <v>orcl</v>
      </c>
      <c r="D94" s="20" t="str">
        <f aca="false">IF(In!I342="","",In!I342)</f>
        <v>oai</v>
      </c>
      <c r="E94" s="20" t="n">
        <f aca="false">IF(In!J342="","",In!J342)</f>
        <v>461</v>
      </c>
      <c r="F94" s="20" t="str">
        <f aca="false">In!C342</f>
        <v>設施</v>
      </c>
      <c r="G94" s="20" t="n">
        <f aca="false">IF(In!N342="","",In!N342)</f>
        <v>1</v>
      </c>
      <c r="H94" s="20" t="n">
        <f aca="false">IF(In!K342="","",In!K342)</f>
        <v>2027</v>
      </c>
      <c r="I94" s="20" t="n">
        <f aca="false">IF(In!L342="","",In!L342)</f>
        <v>12</v>
      </c>
      <c r="J94" s="20" t="n">
        <f aca="false">N(In!M342)</f>
        <v>0</v>
      </c>
      <c r="K94" s="25" t="n">
        <f aca="false">IF(OR(H94="",I94=""),9999,H94+I94/12)</f>
        <v>2028</v>
      </c>
      <c r="L94" s="25" t="n">
        <f aca="false">IF(E94="",0,IF(F94="設施",E94/1000/INDEX(Players!$D$13:$M$13,1,MAX(1,MIN(10,H94-2022))),E94/1000*g_ITtoFac))</f>
        <v>0.384166666666667</v>
      </c>
      <c r="M94" s="25" t="n">
        <f aca="false">K94</f>
        <v>2028</v>
      </c>
      <c r="N94" s="25" t="n">
        <f aca="false">IF(K94&gt;asof,K94+N(J94)/12,K94)</f>
        <v>2028</v>
      </c>
      <c r="O94" s="25" t="n">
        <f aca="false">IF(K94&gt;asof,K94+IF(N(J94)&gt;0,N(J94),dly_d1_m)/12,K94)</f>
        <v>2028.5</v>
      </c>
      <c r="P94" s="21" t="n">
        <f aca="false">IF(K94=9999,"",ROUNDUP(K94,0)-1)</f>
        <v>2027</v>
      </c>
      <c r="Q94" s="21" t="n">
        <f aca="false">IF(AND(N(G94)=1,K94&lt;9999,L94&gt;0),1,0)</f>
        <v>1</v>
      </c>
      <c r="R94" s="21" t="n">
        <f aca="false">IF(AND(K94&gt;asof,K94&lt;9999,N(S94)&lt;&gt;1,P94&gt;=dly_d2_y0,P94&lt;=dly_d2_y1),1,0)</f>
        <v>1</v>
      </c>
      <c r="S94" s="20" t="n">
        <f aca="false">IF(In!O342="","",In!O342)</f>
        <v>0</v>
      </c>
    </row>
    <row r="95" customFormat="false" ht="17.15" hidden="false" customHeight="false" outlineLevel="0" collapsed="false">
      <c r="A95" s="0" t="s">
        <v>1058</v>
      </c>
      <c r="B95" s="20" t="str">
        <f aca="false">In!B343</f>
        <v>DataBank Red Oak DFW10（Oracle 承租，二手來源）</v>
      </c>
      <c r="C95" s="20" t="str">
        <f aca="false">IF(In!H343="","",In!H343)</f>
        <v>orcl</v>
      </c>
      <c r="D95" s="20" t="str">
        <f aca="false">IF(In!I343="","",In!I343)</f>
        <v/>
      </c>
      <c r="E95" s="20" t="n">
        <f aca="false">IF(In!J343="","",In!J343)</f>
        <v>60</v>
      </c>
      <c r="F95" s="20" t="str">
        <f aca="false">In!C343</f>
        <v>IT</v>
      </c>
      <c r="G95" s="20" t="n">
        <f aca="false">IF(In!N343="","",In!N343)</f>
        <v>1</v>
      </c>
      <c r="H95" s="20" t="n">
        <f aca="false">IF(In!K343="","",In!K343)</f>
        <v>2027</v>
      </c>
      <c r="I95" s="20" t="n">
        <f aca="false">IF(In!L343="","",In!L343)</f>
        <v>1</v>
      </c>
      <c r="J95" s="20" t="n">
        <f aca="false">N(In!M343)</f>
        <v>0</v>
      </c>
      <c r="K95" s="25" t="n">
        <f aca="false">IF(OR(H95="",I95=""),9999,H95+I95/12)</f>
        <v>2027.08333333333</v>
      </c>
      <c r="L95" s="25" t="n">
        <f aca="false">IF(E95="",0,IF(F95="設施",E95/1000/INDEX(Players!$D$13:$M$13,1,MAX(1,MIN(10,H95-2022))),E95/1000*g_ITtoFac))</f>
        <v>0.06</v>
      </c>
      <c r="M95" s="25" t="n">
        <f aca="false">K95</f>
        <v>2027.08333333333</v>
      </c>
      <c r="N95" s="25" t="n">
        <f aca="false">IF(K95&gt;asof,K95+N(J95)/12,K95)</f>
        <v>2027.08333333333</v>
      </c>
      <c r="O95" s="25" t="n">
        <f aca="false">IF(K95&gt;asof,K95+IF(N(J95)&gt;0,N(J95),dly_d1_m)/12,K95)</f>
        <v>2027.58333333333</v>
      </c>
      <c r="P95" s="21" t="n">
        <f aca="false">IF(K95=9999,"",ROUNDUP(K95,0)-1)</f>
        <v>2027</v>
      </c>
      <c r="Q95" s="21" t="n">
        <f aca="false">IF(AND(N(G95)=1,K95&lt;9999,L95&gt;0),1,0)</f>
        <v>1</v>
      </c>
      <c r="R95" s="21" t="n">
        <f aca="false">IF(AND(K95&gt;asof,K95&lt;9999,N(S95)&lt;&gt;1,P95&gt;=dly_d2_y0,P95&lt;=dly_d2_y1),1,0)</f>
        <v>1</v>
      </c>
      <c r="S95" s="20" t="n">
        <f aca="false">IF(In!O343="","",In!O343)</f>
        <v>0</v>
      </c>
    </row>
    <row r="96" customFormat="false" ht="17.15" hidden="false" customHeight="false" outlineLevel="0" collapsed="false">
      <c r="A96" s="0" t="s">
        <v>1061</v>
      </c>
      <c r="B96" s="20" t="str">
        <f aca="false">In!B344</f>
        <v>DataBank Red Oak DFW11（Oracle 承租，二手來源）</v>
      </c>
      <c r="C96" s="20" t="str">
        <f aca="false">IF(In!H344="","",In!H344)</f>
        <v>orcl</v>
      </c>
      <c r="D96" s="20" t="str">
        <f aca="false">IF(In!I344="","",In!I344)</f>
        <v/>
      </c>
      <c r="E96" s="20" t="n">
        <f aca="false">IF(In!J344="","",In!J344)</f>
        <v>60</v>
      </c>
      <c r="F96" s="20" t="str">
        <f aca="false">In!C344</f>
        <v>IT</v>
      </c>
      <c r="G96" s="20" t="n">
        <f aca="false">IF(In!N344="","",In!N344)</f>
        <v>1</v>
      </c>
      <c r="H96" s="20" t="n">
        <f aca="false">IF(In!K344="","",In!K344)</f>
        <v>2028</v>
      </c>
      <c r="I96" s="20" t="n">
        <f aca="false">IF(In!L344="","",In!L344)</f>
        <v>1</v>
      </c>
      <c r="J96" s="20" t="n">
        <f aca="false">N(In!M344)</f>
        <v>0</v>
      </c>
      <c r="K96" s="25" t="n">
        <f aca="false">IF(OR(H96="",I96=""),9999,H96+I96/12)</f>
        <v>2028.08333333333</v>
      </c>
      <c r="L96" s="25" t="n">
        <f aca="false">IF(E96="",0,IF(F96="設施",E96/1000/INDEX(Players!$D$13:$M$13,1,MAX(1,MIN(10,H96-2022))),E96/1000*g_ITtoFac))</f>
        <v>0.06</v>
      </c>
      <c r="M96" s="25" t="n">
        <f aca="false">K96</f>
        <v>2028.08333333333</v>
      </c>
      <c r="N96" s="25" t="n">
        <f aca="false">IF(K96&gt;asof,K96+N(J96)/12,K96)</f>
        <v>2028.08333333333</v>
      </c>
      <c r="O96" s="25" t="n">
        <f aca="false">IF(K96&gt;asof,K96+IF(N(J96)&gt;0,N(J96),dly_d1_m)/12,K96)</f>
        <v>2028.58333333333</v>
      </c>
      <c r="P96" s="21" t="n">
        <f aca="false">IF(K96=9999,"",ROUNDUP(K96,0)-1)</f>
        <v>2028</v>
      </c>
      <c r="Q96" s="21" t="n">
        <f aca="false">IF(AND(N(G96)=1,K96&lt;9999,L96&gt;0),1,0)</f>
        <v>1</v>
      </c>
      <c r="R96" s="21" t="n">
        <f aca="false">IF(AND(K96&gt;asof,K96&lt;9999,N(S96)&lt;&gt;1,P96&gt;=dly_d2_y0,P96&lt;=dly_d2_y1),1,0)</f>
        <v>1</v>
      </c>
      <c r="S96" s="20" t="n">
        <f aca="false">IF(In!O344="","",In!O344)</f>
        <v>0</v>
      </c>
    </row>
    <row r="97" customFormat="false" ht="17.15" hidden="false" customHeight="false" outlineLevel="0" collapsed="false">
      <c r="A97" s="0" t="s">
        <v>1064</v>
      </c>
      <c r="B97" s="20" t="str">
        <f aca="false">In!B345</f>
        <v>Nebius Mäntsälä 2027 增量（145−75）</v>
      </c>
      <c r="C97" s="20" t="str">
        <f aca="false">IF(In!H345="","",In!H345)</f>
        <v>nbis</v>
      </c>
      <c r="D97" s="20" t="str">
        <f aca="false">IF(In!I345="","",In!I345)</f>
        <v/>
      </c>
      <c r="E97" s="20" t="n">
        <f aca="false">IF(In!J345="","",In!J345)</f>
        <v>70</v>
      </c>
      <c r="F97" s="20" t="str">
        <f aca="false">In!C345</f>
        <v>IT</v>
      </c>
      <c r="G97" s="20" t="n">
        <f aca="false">IF(In!N345="","",In!N345)</f>
        <v>1</v>
      </c>
      <c r="H97" s="20" t="n">
        <f aca="false">IF(In!K345="","",In!K345)</f>
        <v>2027</v>
      </c>
      <c r="I97" s="20" t="n">
        <f aca="false">IF(In!L345="","",In!L345)</f>
        <v>12</v>
      </c>
      <c r="J97" s="20" t="n">
        <f aca="false">N(In!M345)</f>
        <v>0</v>
      </c>
      <c r="K97" s="25" t="n">
        <f aca="false">IF(OR(H97="",I97=""),9999,H97+I97/12)</f>
        <v>2028</v>
      </c>
      <c r="L97" s="25" t="n">
        <f aca="false">IF(E97="",0,IF(F97="設施",E97/1000/INDEX(Players!$D$13:$M$13,1,MAX(1,MIN(10,H97-2022))),E97/1000*g_ITtoFac))</f>
        <v>0.07</v>
      </c>
      <c r="M97" s="25" t="n">
        <f aca="false">K97</f>
        <v>2028</v>
      </c>
      <c r="N97" s="25" t="n">
        <f aca="false">IF(K97&gt;asof,K97+N(J97)/12,K97)</f>
        <v>2028</v>
      </c>
      <c r="O97" s="25" t="n">
        <f aca="false">IF(K97&gt;asof,K97+IF(N(J97)&gt;0,N(J97),dly_d1_m)/12,K97)</f>
        <v>2028.5</v>
      </c>
      <c r="P97" s="21" t="n">
        <f aca="false">IF(K97=9999,"",ROUNDUP(K97,0)-1)</f>
        <v>2027</v>
      </c>
      <c r="Q97" s="21" t="n">
        <f aca="false">IF(AND(N(G97)=1,K97&lt;9999,L97&gt;0),1,0)</f>
        <v>1</v>
      </c>
      <c r="R97" s="21" t="n">
        <f aca="false">IF(AND(K97&gt;asof,K97&lt;9999,N(S97)&lt;&gt;1,P97&gt;=dly_d2_y0,P97&lt;=dly_d2_y1),1,0)</f>
        <v>1</v>
      </c>
      <c r="S97" s="20" t="n">
        <f aca="false">IF(In!O345="","",In!O345)</f>
        <v>0</v>
      </c>
    </row>
    <row r="98" customFormat="false" ht="17.15" hidden="false" customHeight="false" outlineLevel="0" collapsed="false">
      <c r="A98" s="0" t="s">
        <v>1067</v>
      </c>
      <c r="B98" s="20" t="str">
        <f aca="false">In!B346</f>
        <v>Start Campus Sines（Nscale；Microsoft 使用）2027-09 增量（233−33）</v>
      </c>
      <c r="C98" s="20" t="str">
        <f aca="false">IF(In!H346="","",In!H346)</f>
        <v>neo</v>
      </c>
      <c r="D98" s="20" t="str">
        <f aca="false">IF(In!I346="","",In!I346)</f>
        <v>msft</v>
      </c>
      <c r="E98" s="20" t="n">
        <f aca="false">IF(In!J346="","",In!J346)</f>
        <v>200</v>
      </c>
      <c r="F98" s="20" t="str">
        <f aca="false">In!C346</f>
        <v>IT</v>
      </c>
      <c r="G98" s="20" t="n">
        <f aca="false">IF(In!N346="","",In!N346)</f>
        <v>1</v>
      </c>
      <c r="H98" s="20" t="n">
        <f aca="false">IF(In!K346="","",In!K346)</f>
        <v>2027</v>
      </c>
      <c r="I98" s="20" t="n">
        <f aca="false">IF(In!L346="","",In!L346)</f>
        <v>9</v>
      </c>
      <c r="J98" s="20" t="n">
        <f aca="false">N(In!M346)</f>
        <v>0</v>
      </c>
      <c r="K98" s="25" t="n">
        <f aca="false">IF(OR(H98="",I98=""),9999,H98+I98/12)</f>
        <v>2027.75</v>
      </c>
      <c r="L98" s="25" t="n">
        <f aca="false">IF(E98="",0,IF(F98="設施",E98/1000/INDEX(Players!$D$13:$M$13,1,MAX(1,MIN(10,H98-2022))),E98/1000*g_ITtoFac))</f>
        <v>0.2</v>
      </c>
      <c r="M98" s="25" t="n">
        <f aca="false">K98</f>
        <v>2027.75</v>
      </c>
      <c r="N98" s="25" t="n">
        <f aca="false">IF(K98&gt;asof,K98+N(J98)/12,K98)</f>
        <v>2027.75</v>
      </c>
      <c r="O98" s="25" t="n">
        <f aca="false">IF(K98&gt;asof,K98+IF(N(J98)&gt;0,N(J98),dly_d1_m)/12,K98)</f>
        <v>2028.25</v>
      </c>
      <c r="P98" s="21" t="n">
        <f aca="false">IF(K98=9999,"",ROUNDUP(K98,0)-1)</f>
        <v>2027</v>
      </c>
      <c r="Q98" s="21" t="n">
        <f aca="false">IF(AND(N(G98)=1,K98&lt;9999,L98&gt;0),1,0)</f>
        <v>1</v>
      </c>
      <c r="R98" s="21" t="n">
        <f aca="false">IF(AND(K98&gt;asof,K98&lt;9999,N(S98)&lt;&gt;1,P98&gt;=dly_d2_y0,P98&lt;=dly_d2_y1),1,0)</f>
        <v>1</v>
      </c>
      <c r="S98" s="20" t="n">
        <f aca="false">IF(In!O346="","",In!O346)</f>
        <v>0</v>
      </c>
    </row>
    <row r="99" customFormat="false" ht="17.15" hidden="false" customHeight="false" outlineLevel="0" collapsed="false">
      <c r="A99" s="0" t="s">
        <v>1070</v>
      </c>
      <c r="B99" s="20" t="str">
        <f aca="false">In!B347</f>
        <v>Anthropic Lake Mariner（TeraWulf／Fluidstack）2027-03 增量（378−210）</v>
      </c>
      <c r="C99" s="20" t="str">
        <f aca="false">IF(In!H347="","",In!H347)</f>
        <v>neo</v>
      </c>
      <c r="D99" s="20" t="str">
        <f aca="false">IF(In!I347="","",In!I347)</f>
        <v>ant</v>
      </c>
      <c r="E99" s="20" t="n">
        <f aca="false">IF(In!J347="","",In!J347)</f>
        <v>168</v>
      </c>
      <c r="F99" s="20" t="str">
        <f aca="false">In!C347</f>
        <v>IT</v>
      </c>
      <c r="G99" s="20" t="n">
        <f aca="false">IF(In!N347="","",In!N347)</f>
        <v>1</v>
      </c>
      <c r="H99" s="20" t="n">
        <f aca="false">IF(In!K347="","",In!K347)</f>
        <v>2027</v>
      </c>
      <c r="I99" s="20" t="n">
        <f aca="false">IF(In!L347="","",In!L347)</f>
        <v>3</v>
      </c>
      <c r="J99" s="20" t="n">
        <f aca="false">N(In!M347)</f>
        <v>0</v>
      </c>
      <c r="K99" s="25" t="n">
        <f aca="false">IF(OR(H99="",I99=""),9999,H99+I99/12)</f>
        <v>2027.25</v>
      </c>
      <c r="L99" s="25" t="n">
        <f aca="false">IF(E99="",0,IF(F99="設施",E99/1000/INDEX(Players!$D$13:$M$13,1,MAX(1,MIN(10,H99-2022))),E99/1000*g_ITtoFac))</f>
        <v>0.168</v>
      </c>
      <c r="M99" s="25" t="n">
        <f aca="false">K99</f>
        <v>2027.25</v>
      </c>
      <c r="N99" s="25" t="n">
        <f aca="false">IF(K99&gt;asof,K99+N(J99)/12,K99)</f>
        <v>2027.25</v>
      </c>
      <c r="O99" s="25" t="n">
        <f aca="false">IF(K99&gt;asof,K99+IF(N(J99)&gt;0,N(J99),dly_d1_m)/12,K99)</f>
        <v>2027.75</v>
      </c>
      <c r="P99" s="21" t="n">
        <f aca="false">IF(K99=9999,"",ROUNDUP(K99,0)-1)</f>
        <v>2027</v>
      </c>
      <c r="Q99" s="21" t="n">
        <f aca="false">IF(AND(N(G99)=1,K99&lt;9999,L99&gt;0),1,0)</f>
        <v>1</v>
      </c>
      <c r="R99" s="21" t="n">
        <f aca="false">IF(AND(K99&gt;asof,K99&lt;9999,N(S99)&lt;&gt;1,P99&gt;=dly_d2_y0,P99&lt;=dly_d2_y1),1,0)</f>
        <v>1</v>
      </c>
      <c r="S99" s="20" t="n">
        <f aca="false">IF(In!O347="","",In!O347)</f>
        <v>0</v>
      </c>
    </row>
    <row r="100" customFormat="false" ht="17.15" hidden="false" customHeight="false" outlineLevel="0" collapsed="false">
      <c r="A100" s="0" t="s">
        <v>1073</v>
      </c>
      <c r="B100" s="20" t="str">
        <f aca="false">In!B348</f>
        <v>Google Van Buren MI（Project Cannoli）1 GW</v>
      </c>
      <c r="C100" s="20" t="str">
        <f aca="false">IF(In!H348="","",In!H348)</f>
        <v>googl</v>
      </c>
      <c r="D100" s="20" t="str">
        <f aca="false">IF(In!I348="","",In!I348)</f>
        <v>self</v>
      </c>
      <c r="E100" s="20" t="n">
        <f aca="false">IF(In!J348="","",In!J348)</f>
        <v>1000</v>
      </c>
      <c r="F100" s="20" t="str">
        <f aca="false">In!C348</f>
        <v>設施</v>
      </c>
      <c r="G100" s="20" t="n">
        <f aca="false">IF(In!N348="","",In!N348)</f>
        <v>1</v>
      </c>
      <c r="H100" s="20" t="n">
        <f aca="false">IF(In!K348="","",In!K348)</f>
        <v>2028</v>
      </c>
      <c r="I100" s="20" t="n">
        <f aca="false">IF(In!L348="","",In!L348)</f>
        <v>12</v>
      </c>
      <c r="J100" s="20" t="n">
        <f aca="false">N(In!M348)</f>
        <v>0</v>
      </c>
      <c r="K100" s="25" t="n">
        <f aca="false">IF(OR(H100="",I100=""),9999,H100+I100/12)</f>
        <v>2029</v>
      </c>
      <c r="L100" s="25" t="n">
        <f aca="false">IF(E100="",0,IF(F100="設施",E100/1000/INDEX(Players!$D$13:$M$13,1,MAX(1,MIN(10,H100-2022))),E100/1000*g_ITtoFac))</f>
        <v>0.833333333333333</v>
      </c>
      <c r="M100" s="25" t="n">
        <f aca="false">K100</f>
        <v>2029</v>
      </c>
      <c r="N100" s="25" t="n">
        <f aca="false">IF(K100&gt;asof,K100+N(J100)/12,K100)</f>
        <v>2029</v>
      </c>
      <c r="O100" s="25" t="n">
        <f aca="false">IF(K100&gt;asof,K100+IF(N(J100)&gt;0,N(J100),dly_d1_m)/12,K100)</f>
        <v>2029.5</v>
      </c>
      <c r="P100" s="21" t="n">
        <f aca="false">IF(K100=9999,"",ROUNDUP(K100,0)-1)</f>
        <v>2028</v>
      </c>
      <c r="Q100" s="21" t="n">
        <f aca="false">IF(AND(N(G100)=1,K100&lt;9999,L100&gt;0),1,0)</f>
        <v>1</v>
      </c>
      <c r="R100" s="21" t="n">
        <f aca="false">IF(AND(K100&gt;asof,K100&lt;9999,N(S100)&lt;&gt;1,P100&gt;=dly_d2_y0,P100&lt;=dly_d2_y1),1,0)</f>
        <v>1</v>
      </c>
      <c r="S100" s="20" t="n">
        <f aca="false">IF(In!O348="","",In!O348)</f>
        <v>0</v>
      </c>
    </row>
    <row r="101" customFormat="false" ht="17.15" hidden="false" customHeight="false" outlineLevel="0" collapsed="false">
      <c r="A101" s="0" t="s">
        <v>1076</v>
      </c>
      <c r="B101" s="20" t="str">
        <f aca="false">In!B349</f>
        <v>PPC–AWS Kozani 第一期 300 MW</v>
      </c>
      <c r="C101" s="20" t="str">
        <f aca="false">IF(In!H349="","",In!H349)</f>
        <v>amzn</v>
      </c>
      <c r="D101" s="20" t="str">
        <f aca="false">IF(In!I349="","",In!I349)</f>
        <v/>
      </c>
      <c r="E101" s="20" t="n">
        <f aca="false">IF(In!J349="","",In!J349)</f>
        <v>300</v>
      </c>
      <c r="F101" s="20" t="str">
        <f aca="false">In!C349</f>
        <v>未說明</v>
      </c>
      <c r="G101" s="20" t="n">
        <f aca="false">IF(In!N349="","",In!N349)</f>
        <v>1</v>
      </c>
      <c r="H101" s="20" t="n">
        <f aca="false">IF(In!K349="","",In!K349)</f>
        <v>2028</v>
      </c>
      <c r="I101" s="20" t="n">
        <f aca="false">IF(In!L349="","",In!L349)</f>
        <v>12</v>
      </c>
      <c r="J101" s="20" t="n">
        <f aca="false">N(In!M349)</f>
        <v>0</v>
      </c>
      <c r="K101" s="25" t="n">
        <f aca="false">IF(OR(H101="",I101=""),9999,H101+I101/12)</f>
        <v>2029</v>
      </c>
      <c r="L101" s="25" t="n">
        <f aca="false">IF(E101="",0,IF(F101="設施",E101/1000/INDEX(Players!$D$13:$M$13,1,MAX(1,MIN(10,H101-2022))),E101/1000*g_ITtoFac))</f>
        <v>0.3</v>
      </c>
      <c r="M101" s="25" t="n">
        <f aca="false">K101</f>
        <v>2029</v>
      </c>
      <c r="N101" s="25" t="n">
        <f aca="false">IF(K101&gt;asof,K101+N(J101)/12,K101)</f>
        <v>2029</v>
      </c>
      <c r="O101" s="25" t="n">
        <f aca="false">IF(K101&gt;asof,K101+IF(N(J101)&gt;0,N(J101),dly_d1_m)/12,K101)</f>
        <v>2029.5</v>
      </c>
      <c r="P101" s="21" t="n">
        <f aca="false">IF(K101=9999,"",ROUNDUP(K101,0)-1)</f>
        <v>2028</v>
      </c>
      <c r="Q101" s="21" t="n">
        <f aca="false">IF(AND(N(G101)=1,K101&lt;9999,L101&gt;0),1,0)</f>
        <v>1</v>
      </c>
      <c r="R101" s="21" t="n">
        <f aca="false">IF(AND(K101&gt;asof,K101&lt;9999,N(S101)&lt;&gt;1,P101&gt;=dly_d2_y0,P101&lt;=dly_d2_y1),1,0)</f>
        <v>1</v>
      </c>
      <c r="S101" s="20" t="n">
        <f aca="false">IF(In!O349="","",In!O349)</f>
        <v>0</v>
      </c>
    </row>
    <row r="102" customFormat="false" ht="15" hidden="false" customHeight="false" outlineLevel="0" collapsed="false">
      <c r="A102" s="0" t="s">
        <v>1079</v>
      </c>
      <c r="B102" s="20" t="str">
        <f aca="false">In!B350</f>
        <v>Google Oklahoma (Muskogee/Stillwater; OG&amp;E) linear ramp segment</v>
      </c>
      <c r="C102" s="20" t="str">
        <f aca="false">IF(In!H350="","",In!H350)</f>
        <v>googl</v>
      </c>
      <c r="D102" s="20" t="str">
        <f aca="false">IF(In!I350="","",In!I350)</f>
        <v>self</v>
      </c>
      <c r="E102" s="20" t="n">
        <f aca="false">IF(In!J350="","",In!J350)</f>
        <v>200</v>
      </c>
      <c r="F102" s="20" t="str">
        <f aca="false">In!C350</f>
        <v>未說明</v>
      </c>
      <c r="G102" s="20" t="n">
        <f aca="false">IF(In!N350="","",In!N350)</f>
        <v>0</v>
      </c>
      <c r="H102" s="20" t="n">
        <f aca="false">IF(In!K350="","",In!K350)</f>
        <v>2027</v>
      </c>
      <c r="I102" s="20" t="n">
        <f aca="false">IF(In!L350="","",In!L350)</f>
        <v>12</v>
      </c>
      <c r="J102" s="20" t="n">
        <f aca="false">N(In!M350)</f>
        <v>0</v>
      </c>
      <c r="K102" s="25" t="n">
        <f aca="false">IF(OR(H102="",I102=""),9999,H102+I102/12)</f>
        <v>2028</v>
      </c>
      <c r="L102" s="25" t="n">
        <f aca="false">IF(E102="",0,IF(F102="設施",E102/1000/INDEX(Players!$D$13:$M$13,1,MAX(1,MIN(10,H102-2022))),E102/1000*g_ITtoFac))</f>
        <v>0.2</v>
      </c>
      <c r="M102" s="25" t="n">
        <f aca="false">K102</f>
        <v>2028</v>
      </c>
      <c r="N102" s="25" t="n">
        <f aca="false">IF(K102&gt;asof,K102+N(J102)/12,K102)</f>
        <v>2028</v>
      </c>
      <c r="O102" s="25" t="n">
        <f aca="false">IF(K102&gt;asof,K102+IF(N(J102)&gt;0,N(J102),dly_d1_m)/12,K102)</f>
        <v>2028.5</v>
      </c>
      <c r="P102" s="21" t="n">
        <f aca="false">IF(K102=9999,"",ROUNDUP(K102,0)-1)</f>
        <v>2027</v>
      </c>
      <c r="Q102" s="21" t="n">
        <f aca="false">IF(AND(N(G102)=1,K102&lt;9999,L102&gt;0),1,0)</f>
        <v>0</v>
      </c>
      <c r="R102" s="21" t="n">
        <f aca="false">IF(AND(K102&gt;asof,K102&lt;9999,N(S102)&lt;&gt;1,P102&gt;=dly_d2_y0,P102&lt;=dly_d2_y1),1,0)</f>
        <v>1</v>
      </c>
      <c r="S102" s="20" t="n">
        <f aca="false">IF(In!O350="","",In!O350)</f>
        <v>0</v>
      </c>
    </row>
    <row r="103" customFormat="false" ht="15" hidden="false" customHeight="false" outlineLevel="0" collapsed="false">
      <c r="A103" s="0" t="s">
        <v>1083</v>
      </c>
      <c r="B103" s="20" t="str">
        <f aca="false">In!B351</f>
        <v>Google Oklahoma (Muskogee/Stillwater; OG&amp;E) linear ramp segment</v>
      </c>
      <c r="C103" s="20" t="str">
        <f aca="false">IF(In!H351="","",In!H351)</f>
        <v>googl</v>
      </c>
      <c r="D103" s="20" t="str">
        <f aca="false">IF(In!I351="","",In!I351)</f>
        <v>self</v>
      </c>
      <c r="E103" s="20" t="n">
        <f aca="false">IF(In!J351="","",In!J351)</f>
        <v>200</v>
      </c>
      <c r="F103" s="20" t="str">
        <f aca="false">In!C351</f>
        <v>未說明</v>
      </c>
      <c r="G103" s="20" t="n">
        <f aca="false">IF(In!N351="","",In!N351)</f>
        <v>0</v>
      </c>
      <c r="H103" s="20" t="n">
        <f aca="false">IF(In!K351="","",In!K351)</f>
        <v>2028</v>
      </c>
      <c r="I103" s="20" t="n">
        <f aca="false">IF(In!L351="","",In!L351)</f>
        <v>12</v>
      </c>
      <c r="J103" s="20" t="n">
        <f aca="false">N(In!M351)</f>
        <v>0</v>
      </c>
      <c r="K103" s="25" t="n">
        <f aca="false">IF(OR(H103="",I103=""),9999,H103+I103/12)</f>
        <v>2029</v>
      </c>
      <c r="L103" s="25" t="n">
        <f aca="false">IF(E103="",0,IF(F103="設施",E103/1000/INDEX(Players!$D$13:$M$13,1,MAX(1,MIN(10,H103-2022))),E103/1000*g_ITtoFac))</f>
        <v>0.2</v>
      </c>
      <c r="M103" s="25" t="n">
        <f aca="false">K103</f>
        <v>2029</v>
      </c>
      <c r="N103" s="25" t="n">
        <f aca="false">IF(K103&gt;asof,K103+N(J103)/12,K103)</f>
        <v>2029</v>
      </c>
      <c r="O103" s="25" t="n">
        <f aca="false">IF(K103&gt;asof,K103+IF(N(J103)&gt;0,N(J103),dly_d1_m)/12,K103)</f>
        <v>2029.5</v>
      </c>
      <c r="P103" s="21" t="n">
        <f aca="false">IF(K103=9999,"",ROUNDUP(K103,0)-1)</f>
        <v>2028</v>
      </c>
      <c r="Q103" s="21" t="n">
        <f aca="false">IF(AND(N(G103)=1,K103&lt;9999,L103&gt;0),1,0)</f>
        <v>0</v>
      </c>
      <c r="R103" s="21" t="n">
        <f aca="false">IF(AND(K103&gt;asof,K103&lt;9999,N(S103)&lt;&gt;1,P103&gt;=dly_d2_y0,P103&lt;=dly_d2_y1),1,0)</f>
        <v>1</v>
      </c>
      <c r="S103" s="20" t="n">
        <f aca="false">IF(In!O351="","",In!O351)</f>
        <v>0</v>
      </c>
    </row>
    <row r="104" customFormat="false" ht="15" hidden="false" customHeight="false" outlineLevel="0" collapsed="false">
      <c r="A104" s="0" t="s">
        <v>1084</v>
      </c>
      <c r="B104" s="20" t="str">
        <f aca="false">In!B352</f>
        <v>Google Oklahoma (Muskogee/Stillwater; OG&amp;E) linear ramp segment</v>
      </c>
      <c r="C104" s="20" t="str">
        <f aca="false">IF(In!H352="","",In!H352)</f>
        <v>googl</v>
      </c>
      <c r="D104" s="20" t="str">
        <f aca="false">IF(In!I352="","",In!I352)</f>
        <v>self</v>
      </c>
      <c r="E104" s="20" t="n">
        <f aca="false">IF(In!J352="","",In!J352)</f>
        <v>200</v>
      </c>
      <c r="F104" s="20" t="str">
        <f aca="false">In!C352</f>
        <v>未說明</v>
      </c>
      <c r="G104" s="20" t="n">
        <f aca="false">IF(In!N352="","",In!N352)</f>
        <v>0</v>
      </c>
      <c r="H104" s="20" t="n">
        <f aca="false">IF(In!K352="","",In!K352)</f>
        <v>2029</v>
      </c>
      <c r="I104" s="20" t="n">
        <f aca="false">IF(In!L352="","",In!L352)</f>
        <v>12</v>
      </c>
      <c r="J104" s="20" t="n">
        <f aca="false">N(In!M352)</f>
        <v>0</v>
      </c>
      <c r="K104" s="25" t="n">
        <f aca="false">IF(OR(H104="",I104=""),9999,H104+I104/12)</f>
        <v>2030</v>
      </c>
      <c r="L104" s="25" t="n">
        <f aca="false">IF(E104="",0,IF(F104="設施",E104/1000/INDEX(Players!$D$13:$M$13,1,MAX(1,MIN(10,H104-2022))),E104/1000*g_ITtoFac))</f>
        <v>0.2</v>
      </c>
      <c r="M104" s="25" t="n">
        <f aca="false">K104</f>
        <v>2030</v>
      </c>
      <c r="N104" s="25" t="n">
        <f aca="false">IF(K104&gt;asof,K104+N(J104)/12,K104)</f>
        <v>2030</v>
      </c>
      <c r="O104" s="25" t="n">
        <f aca="false">IF(K104&gt;asof,K104+IF(N(J104)&gt;0,N(J104),dly_d1_m)/12,K104)</f>
        <v>2030.5</v>
      </c>
      <c r="P104" s="21" t="n">
        <f aca="false">IF(K104=9999,"",ROUNDUP(K104,0)-1)</f>
        <v>2029</v>
      </c>
      <c r="Q104" s="21" t="n">
        <f aca="false">IF(AND(N(G104)=1,K104&lt;9999,L104&gt;0),1,0)</f>
        <v>0</v>
      </c>
      <c r="R104" s="21" t="n">
        <f aca="false">IF(AND(K104&gt;asof,K104&lt;9999,N(S104)&lt;&gt;1,P104&gt;=dly_d2_y0,P104&lt;=dly_d2_y1),1,0)</f>
        <v>0</v>
      </c>
      <c r="S104" s="20" t="n">
        <f aca="false">IF(In!O352="","",In!O352)</f>
        <v>0</v>
      </c>
    </row>
    <row r="105" customFormat="false" ht="15" hidden="false" customHeight="false" outlineLevel="0" collapsed="false">
      <c r="A105" s="0" t="s">
        <v>1085</v>
      </c>
      <c r="B105" s="20" t="str">
        <f aca="false">In!B353</f>
        <v>Google Oklahoma (Muskogee/Stillwater; OG&amp;E) linear ramp segment</v>
      </c>
      <c r="C105" s="20" t="str">
        <f aca="false">IF(In!H353="","",In!H353)</f>
        <v>googl</v>
      </c>
      <c r="D105" s="20" t="str">
        <f aca="false">IF(In!I353="","",In!I353)</f>
        <v>self</v>
      </c>
      <c r="E105" s="20" t="n">
        <f aca="false">IF(In!J353="","",In!J353)</f>
        <v>200</v>
      </c>
      <c r="F105" s="20" t="str">
        <f aca="false">In!C353</f>
        <v>未說明</v>
      </c>
      <c r="G105" s="20" t="n">
        <f aca="false">IF(In!N353="","",In!N353)</f>
        <v>0</v>
      </c>
      <c r="H105" s="20" t="n">
        <f aca="false">IF(In!K353="","",In!K353)</f>
        <v>2030</v>
      </c>
      <c r="I105" s="20" t="n">
        <f aca="false">IF(In!L353="","",In!L353)</f>
        <v>12</v>
      </c>
      <c r="J105" s="20" t="n">
        <f aca="false">N(In!M353)</f>
        <v>0</v>
      </c>
      <c r="K105" s="25" t="n">
        <f aca="false">IF(OR(H105="",I105=""),9999,H105+I105/12)</f>
        <v>2031</v>
      </c>
      <c r="L105" s="25" t="n">
        <f aca="false">IF(E105="",0,IF(F105="設施",E105/1000/INDEX(Players!$D$13:$M$13,1,MAX(1,MIN(10,H105-2022))),E105/1000*g_ITtoFac))</f>
        <v>0.2</v>
      </c>
      <c r="M105" s="25" t="n">
        <f aca="false">K105</f>
        <v>2031</v>
      </c>
      <c r="N105" s="25" t="n">
        <f aca="false">IF(K105&gt;asof,K105+N(J105)/12,K105)</f>
        <v>2031</v>
      </c>
      <c r="O105" s="25" t="n">
        <f aca="false">IF(K105&gt;asof,K105+IF(N(J105)&gt;0,N(J105),dly_d1_m)/12,K105)</f>
        <v>2031.5</v>
      </c>
      <c r="P105" s="21" t="n">
        <f aca="false">IF(K105=9999,"",ROUNDUP(K105,0)-1)</f>
        <v>2030</v>
      </c>
      <c r="Q105" s="21" t="n">
        <f aca="false">IF(AND(N(G105)=1,K105&lt;9999,L105&gt;0),1,0)</f>
        <v>0</v>
      </c>
      <c r="R105" s="21" t="n">
        <f aca="false">IF(AND(K105&gt;asof,K105&lt;9999,N(S105)&lt;&gt;1,P105&gt;=dly_d2_y0,P105&lt;=dly_d2_y1),1,0)</f>
        <v>0</v>
      </c>
      <c r="S105" s="20" t="n">
        <f aca="false">IF(In!O353="","",In!O353)</f>
        <v>0</v>
      </c>
    </row>
    <row r="106" customFormat="false" ht="15" hidden="false" customHeight="false" outlineLevel="0" collapsed="false">
      <c r="A106" s="0" t="s">
        <v>1086</v>
      </c>
      <c r="B106" s="20" t="str">
        <f aca="false">In!B354</f>
        <v>Google Oklahoma (Muskogee/Stillwater; OG&amp;E) linear ramp segment</v>
      </c>
      <c r="C106" s="20" t="str">
        <f aca="false">IF(In!H354="","",In!H354)</f>
        <v>googl</v>
      </c>
      <c r="D106" s="20" t="str">
        <f aca="false">IF(In!I354="","",In!I354)</f>
        <v>self</v>
      </c>
      <c r="E106" s="20" t="n">
        <f aca="false">IF(In!J354="","",In!J354)</f>
        <v>200</v>
      </c>
      <c r="F106" s="20" t="str">
        <f aca="false">In!C354</f>
        <v>未說明</v>
      </c>
      <c r="G106" s="20" t="n">
        <f aca="false">IF(In!N354="","",In!N354)</f>
        <v>0</v>
      </c>
      <c r="H106" s="20" t="n">
        <f aca="false">IF(In!K354="","",In!K354)</f>
        <v>2031</v>
      </c>
      <c r="I106" s="20" t="n">
        <f aca="false">IF(In!L354="","",In!L354)</f>
        <v>12</v>
      </c>
      <c r="J106" s="20" t="n">
        <f aca="false">N(In!M354)</f>
        <v>0</v>
      </c>
      <c r="K106" s="25" t="n">
        <f aca="false">IF(OR(H106="",I106=""),9999,H106+I106/12)</f>
        <v>2032</v>
      </c>
      <c r="L106" s="25" t="n">
        <f aca="false">IF(E106="",0,IF(F106="設施",E106/1000/INDEX(Players!$D$13:$M$13,1,MAX(1,MIN(10,H106-2022))),E106/1000*g_ITtoFac))</f>
        <v>0.2</v>
      </c>
      <c r="M106" s="25" t="n">
        <f aca="false">K106</f>
        <v>2032</v>
      </c>
      <c r="N106" s="25" t="n">
        <f aca="false">IF(K106&gt;asof,K106+N(J106)/12,K106)</f>
        <v>2032</v>
      </c>
      <c r="O106" s="25" t="n">
        <f aca="false">IF(K106&gt;asof,K106+IF(N(J106)&gt;0,N(J106),dly_d1_m)/12,K106)</f>
        <v>2032.5</v>
      </c>
      <c r="P106" s="21" t="n">
        <f aca="false">IF(K106=9999,"",ROUNDUP(K106,0)-1)</f>
        <v>2031</v>
      </c>
      <c r="Q106" s="21" t="n">
        <f aca="false">IF(AND(N(G106)=1,K106&lt;9999,L106&gt;0),1,0)</f>
        <v>0</v>
      </c>
      <c r="R106" s="21" t="n">
        <f aca="false">IF(AND(K106&gt;asof,K106&lt;9999,N(S106)&lt;&gt;1,P106&gt;=dly_d2_y0,P106&lt;=dly_d2_y1),1,0)</f>
        <v>0</v>
      </c>
      <c r="S106" s="20" t="n">
        <f aca="false">IF(In!O354="","",In!O354)</f>
        <v>0</v>
      </c>
    </row>
    <row r="107" customFormat="false" ht="15" hidden="false" customHeight="false" outlineLevel="0" collapsed="false">
      <c r="A107" s="0" t="s">
        <v>1087</v>
      </c>
      <c r="B107" s="20" t="str">
        <f aca="false">In!B355</f>
        <v>Google Visakhapatnam AI hub (AdaniConneX/Airtel)</v>
      </c>
      <c r="C107" s="20" t="str">
        <f aca="false">IF(In!H355="","",In!H355)</f>
        <v>googl</v>
      </c>
      <c r="D107" s="20" t="str">
        <f aca="false">IF(In!I355="","",In!I355)</f>
        <v>googl</v>
      </c>
      <c r="E107" s="20" t="n">
        <f aca="false">IF(In!J355="","",In!J355)</f>
        <v>1000</v>
      </c>
      <c r="F107" s="20" t="str">
        <f aca="false">In!C355</f>
        <v>未說明</v>
      </c>
      <c r="G107" s="20" t="n">
        <f aca="false">IF(In!N355="","",In!N355)</f>
        <v>1</v>
      </c>
      <c r="H107" s="20" t="n">
        <f aca="false">IF(In!K355="","",In!K355)</f>
        <v>2030</v>
      </c>
      <c r="I107" s="20" t="n">
        <f aca="false">IF(In!L355="","",In!L355)</f>
        <v>12</v>
      </c>
      <c r="J107" s="20" t="n">
        <f aca="false">N(In!M355)</f>
        <v>0</v>
      </c>
      <c r="K107" s="25" t="n">
        <f aca="false">IF(OR(H107="",I107=""),9999,H107+I107/12)</f>
        <v>2031</v>
      </c>
      <c r="L107" s="25" t="n">
        <f aca="false">IF(E107="",0,IF(F107="設施",E107/1000/INDEX(Players!$D$13:$M$13,1,MAX(1,MIN(10,H107-2022))),E107/1000*g_ITtoFac))</f>
        <v>1</v>
      </c>
      <c r="M107" s="25" t="n">
        <f aca="false">K107</f>
        <v>2031</v>
      </c>
      <c r="N107" s="25" t="n">
        <f aca="false">IF(K107&gt;asof,K107+N(J107)/12,K107)</f>
        <v>2031</v>
      </c>
      <c r="O107" s="25" t="n">
        <f aca="false">IF(K107&gt;asof,K107+IF(N(J107)&gt;0,N(J107),dly_d1_m)/12,K107)</f>
        <v>2031.5</v>
      </c>
      <c r="P107" s="21" t="n">
        <f aca="false">IF(K107=9999,"",ROUNDUP(K107,0)-1)</f>
        <v>2030</v>
      </c>
      <c r="Q107" s="21" t="n">
        <f aca="false">IF(AND(N(G107)=1,K107&lt;9999,L107&gt;0),1,0)</f>
        <v>1</v>
      </c>
      <c r="R107" s="21" t="n">
        <f aca="false">IF(AND(K107&gt;asof,K107&lt;9999,N(S107)&lt;&gt;1,P107&gt;=dly_d2_y0,P107&lt;=dly_d2_y1),1,0)</f>
        <v>0</v>
      </c>
      <c r="S107" s="20" t="n">
        <f aca="false">IF(In!O355="","",In!O355)</f>
        <v>0</v>
      </c>
    </row>
    <row r="108" customFormat="false" ht="15" hidden="false" customHeight="false" outlineLevel="0" collapsed="false">
      <c r="A108" s="0" t="s">
        <v>1090</v>
      </c>
      <c r="B108" s="20" t="str">
        <f aca="false">In!B356</f>
        <v>AWS Northern Indiana $15B campuses (NIPSCO special contract) firm half</v>
      </c>
      <c r="C108" s="20" t="str">
        <f aca="false">IF(In!H356="","",In!H356)</f>
        <v>amzn</v>
      </c>
      <c r="D108" s="20" t="str">
        <f aca="false">IF(In!I356="","",In!I356)</f>
        <v/>
      </c>
      <c r="E108" s="20" t="n">
        <f aca="false">IF(In!J356="","",In!J356)</f>
        <v>200</v>
      </c>
      <c r="F108" s="20" t="str">
        <f aca="false">In!C356</f>
        <v>設施</v>
      </c>
      <c r="G108" s="20" t="n">
        <f aca="false">IF(In!N356="","",In!N356)</f>
        <v>2</v>
      </c>
      <c r="H108" s="20" t="n">
        <f aca="false">IF(In!K356="","",In!K356)</f>
        <v>2027</v>
      </c>
      <c r="I108" s="20" t="n">
        <f aca="false">IF(In!L356="","",In!L356)</f>
        <v>12</v>
      </c>
      <c r="J108" s="20" t="n">
        <f aca="false">N(In!M356)</f>
        <v>0</v>
      </c>
      <c r="K108" s="25" t="n">
        <f aca="false">IF(OR(H108="",I108=""),9999,H108+I108/12)</f>
        <v>2028</v>
      </c>
      <c r="L108" s="25" t="n">
        <f aca="false">IF(E108="",0,IF(F108="設施",E108/1000/INDEX(Players!$D$13:$M$13,1,MAX(1,MIN(10,H108-2022))),E108/1000*g_ITtoFac))</f>
        <v>0.166666666666667</v>
      </c>
      <c r="M108" s="25" t="n">
        <f aca="false">K108</f>
        <v>2028</v>
      </c>
      <c r="N108" s="25" t="n">
        <f aca="false">IF(K108&gt;asof,K108+N(J108)/12,K108)</f>
        <v>2028</v>
      </c>
      <c r="O108" s="25" t="n">
        <f aca="false">IF(K108&gt;asof,K108+IF(N(J108)&gt;0,N(J108),dly_d1_m)/12,K108)</f>
        <v>2028.5</v>
      </c>
      <c r="P108" s="21" t="n">
        <f aca="false">IF(K108=9999,"",ROUNDUP(K108,0)-1)</f>
        <v>2027</v>
      </c>
      <c r="Q108" s="21" t="n">
        <f aca="false">IF(AND(N(G108)=1,K108&lt;9999,L108&gt;0),1,0)</f>
        <v>0</v>
      </c>
      <c r="R108" s="21" t="n">
        <f aca="false">IF(AND(K108&gt;asof,K108&lt;9999,N(S108)&lt;&gt;1,P108&gt;=dly_d2_y0,P108&lt;=dly_d2_y1),1,0)</f>
        <v>1</v>
      </c>
      <c r="S108" s="20" t="n">
        <f aca="false">IF(In!O356="","",In!O356)</f>
        <v>0</v>
      </c>
    </row>
    <row r="109" customFormat="false" ht="15" hidden="false" customHeight="false" outlineLevel="0" collapsed="false">
      <c r="A109" s="0" t="s">
        <v>1093</v>
      </c>
      <c r="B109" s="20" t="str">
        <f aca="false">In!B357</f>
        <v>AWS Northern Indiana $15B campuses (NIPSCO special contract) firm half</v>
      </c>
      <c r="C109" s="20" t="str">
        <f aca="false">IF(In!H357="","",In!H357)</f>
        <v>amzn</v>
      </c>
      <c r="D109" s="20" t="str">
        <f aca="false">IF(In!I357="","",In!I357)</f>
        <v/>
      </c>
      <c r="E109" s="20" t="n">
        <f aca="false">IF(In!J357="","",In!J357)</f>
        <v>200</v>
      </c>
      <c r="F109" s="20" t="str">
        <f aca="false">In!C357</f>
        <v>設施</v>
      </c>
      <c r="G109" s="20" t="n">
        <f aca="false">IF(In!N357="","",In!N357)</f>
        <v>2</v>
      </c>
      <c r="H109" s="20" t="n">
        <f aca="false">IF(In!K357="","",In!K357)</f>
        <v>2028</v>
      </c>
      <c r="I109" s="20" t="n">
        <f aca="false">IF(In!L357="","",In!L357)</f>
        <v>12</v>
      </c>
      <c r="J109" s="20" t="n">
        <f aca="false">N(In!M357)</f>
        <v>0</v>
      </c>
      <c r="K109" s="25" t="n">
        <f aca="false">IF(OR(H109="",I109=""),9999,H109+I109/12)</f>
        <v>2029</v>
      </c>
      <c r="L109" s="25" t="n">
        <f aca="false">IF(E109="",0,IF(F109="設施",E109/1000/INDEX(Players!$D$13:$M$13,1,MAX(1,MIN(10,H109-2022))),E109/1000*g_ITtoFac))</f>
        <v>0.166666666666667</v>
      </c>
      <c r="M109" s="25" t="n">
        <f aca="false">K109</f>
        <v>2029</v>
      </c>
      <c r="N109" s="25" t="n">
        <f aca="false">IF(K109&gt;asof,K109+N(J109)/12,K109)</f>
        <v>2029</v>
      </c>
      <c r="O109" s="25" t="n">
        <f aca="false">IF(K109&gt;asof,K109+IF(N(J109)&gt;0,N(J109),dly_d1_m)/12,K109)</f>
        <v>2029.5</v>
      </c>
      <c r="P109" s="21" t="n">
        <f aca="false">IF(K109=9999,"",ROUNDUP(K109,0)-1)</f>
        <v>2028</v>
      </c>
      <c r="Q109" s="21" t="n">
        <f aca="false">IF(AND(N(G109)=1,K109&lt;9999,L109&gt;0),1,0)</f>
        <v>0</v>
      </c>
      <c r="R109" s="21" t="n">
        <f aca="false">IF(AND(K109&gt;asof,K109&lt;9999,N(S109)&lt;&gt;1,P109&gt;=dly_d2_y0,P109&lt;=dly_d2_y1),1,0)</f>
        <v>1</v>
      </c>
      <c r="S109" s="20" t="n">
        <f aca="false">IF(In!O357="","",In!O357)</f>
        <v>0</v>
      </c>
    </row>
    <row r="110" customFormat="false" ht="15" hidden="false" customHeight="false" outlineLevel="0" collapsed="false">
      <c r="A110" s="0" t="s">
        <v>1094</v>
      </c>
      <c r="B110" s="20" t="str">
        <f aca="false">In!B358</f>
        <v>AWS Northern Indiana $15B campuses (NIPSCO special contract) firm half</v>
      </c>
      <c r="C110" s="20" t="str">
        <f aca="false">IF(In!H358="","",In!H358)</f>
        <v>amzn</v>
      </c>
      <c r="D110" s="20" t="str">
        <f aca="false">IF(In!I358="","",In!I358)</f>
        <v/>
      </c>
      <c r="E110" s="20" t="n">
        <f aca="false">IF(In!J358="","",In!J358)</f>
        <v>200</v>
      </c>
      <c r="F110" s="20" t="str">
        <f aca="false">In!C358</f>
        <v>設施</v>
      </c>
      <c r="G110" s="20" t="n">
        <f aca="false">IF(In!N358="","",In!N358)</f>
        <v>2</v>
      </c>
      <c r="H110" s="20" t="n">
        <f aca="false">IF(In!K358="","",In!K358)</f>
        <v>2029</v>
      </c>
      <c r="I110" s="20" t="n">
        <f aca="false">IF(In!L358="","",In!L358)</f>
        <v>12</v>
      </c>
      <c r="J110" s="20" t="n">
        <f aca="false">N(In!M358)</f>
        <v>0</v>
      </c>
      <c r="K110" s="25" t="n">
        <f aca="false">IF(OR(H110="",I110=""),9999,H110+I110/12)</f>
        <v>2030</v>
      </c>
      <c r="L110" s="25" t="n">
        <f aca="false">IF(E110="",0,IF(F110="設施",E110/1000/INDEX(Players!$D$13:$M$13,1,MAX(1,MIN(10,H110-2022))),E110/1000*g_ITtoFac))</f>
        <v>0.166666666666667</v>
      </c>
      <c r="M110" s="25" t="n">
        <f aca="false">K110</f>
        <v>2030</v>
      </c>
      <c r="N110" s="25" t="n">
        <f aca="false">IF(K110&gt;asof,K110+N(J110)/12,K110)</f>
        <v>2030</v>
      </c>
      <c r="O110" s="25" t="n">
        <f aca="false">IF(K110&gt;asof,K110+IF(N(J110)&gt;0,N(J110),dly_d1_m)/12,K110)</f>
        <v>2030.5</v>
      </c>
      <c r="P110" s="21" t="n">
        <f aca="false">IF(K110=9999,"",ROUNDUP(K110,0)-1)</f>
        <v>2029</v>
      </c>
      <c r="Q110" s="21" t="n">
        <f aca="false">IF(AND(N(G110)=1,K110&lt;9999,L110&gt;0),1,0)</f>
        <v>0</v>
      </c>
      <c r="R110" s="21" t="n">
        <f aca="false">IF(AND(K110&gt;asof,K110&lt;9999,N(S110)&lt;&gt;1,P110&gt;=dly_d2_y0,P110&lt;=dly_d2_y1),1,0)</f>
        <v>0</v>
      </c>
      <c r="S110" s="20" t="n">
        <f aca="false">IF(In!O358="","",In!O358)</f>
        <v>0</v>
      </c>
    </row>
    <row r="111" customFormat="false" ht="15" hidden="false" customHeight="false" outlineLevel="0" collapsed="false">
      <c r="A111" s="0" t="s">
        <v>1095</v>
      </c>
      <c r="B111" s="20" t="str">
        <f aca="false">In!B359</f>
        <v>AWS Northern Indiana $15B campuses (NIPSCO special contract) firm half</v>
      </c>
      <c r="C111" s="20" t="str">
        <f aca="false">IF(In!H359="","",In!H359)</f>
        <v>amzn</v>
      </c>
      <c r="D111" s="20" t="str">
        <f aca="false">IF(In!I359="","",In!I359)</f>
        <v/>
      </c>
      <c r="E111" s="20" t="n">
        <f aca="false">IF(In!J359="","",In!J359)</f>
        <v>200</v>
      </c>
      <c r="F111" s="20" t="str">
        <f aca="false">In!C359</f>
        <v>設施</v>
      </c>
      <c r="G111" s="20" t="n">
        <f aca="false">IF(In!N359="","",In!N359)</f>
        <v>2</v>
      </c>
      <c r="H111" s="20" t="n">
        <f aca="false">IF(In!K359="","",In!K359)</f>
        <v>2030</v>
      </c>
      <c r="I111" s="20" t="n">
        <f aca="false">IF(In!L359="","",In!L359)</f>
        <v>12</v>
      </c>
      <c r="J111" s="20" t="n">
        <f aca="false">N(In!M359)</f>
        <v>0</v>
      </c>
      <c r="K111" s="25" t="n">
        <f aca="false">IF(OR(H111="",I111=""),9999,H111+I111/12)</f>
        <v>2031</v>
      </c>
      <c r="L111" s="25" t="n">
        <f aca="false">IF(E111="",0,IF(F111="設施",E111/1000/INDEX(Players!$D$13:$M$13,1,MAX(1,MIN(10,H111-2022))),E111/1000*g_ITtoFac))</f>
        <v>0.166666666666667</v>
      </c>
      <c r="M111" s="25" t="n">
        <f aca="false">K111</f>
        <v>2031</v>
      </c>
      <c r="N111" s="25" t="n">
        <f aca="false">IF(K111&gt;asof,K111+N(J111)/12,K111)</f>
        <v>2031</v>
      </c>
      <c r="O111" s="25" t="n">
        <f aca="false">IF(K111&gt;asof,K111+IF(N(J111)&gt;0,N(J111),dly_d1_m)/12,K111)</f>
        <v>2031.5</v>
      </c>
      <c r="P111" s="21" t="n">
        <f aca="false">IF(K111=9999,"",ROUNDUP(K111,0)-1)</f>
        <v>2030</v>
      </c>
      <c r="Q111" s="21" t="n">
        <f aca="false">IF(AND(N(G111)=1,K111&lt;9999,L111&gt;0),1,0)</f>
        <v>0</v>
      </c>
      <c r="R111" s="21" t="n">
        <f aca="false">IF(AND(K111&gt;asof,K111&lt;9999,N(S111)&lt;&gt;1,P111&gt;=dly_d2_y0,P111&lt;=dly_d2_y1),1,0)</f>
        <v>0</v>
      </c>
      <c r="S111" s="20" t="n">
        <f aca="false">IF(In!O359="","",In!O359)</f>
        <v>0</v>
      </c>
    </row>
    <row r="112" customFormat="false" ht="15" hidden="false" customHeight="false" outlineLevel="0" collapsed="false">
      <c r="A112" s="0" t="s">
        <v>1096</v>
      </c>
      <c r="B112" s="20" t="str">
        <f aca="false">In!B360</f>
        <v>AWS Northern Indiana $15B campuses (NIPSCO special contract) firm half</v>
      </c>
      <c r="C112" s="20" t="str">
        <f aca="false">IF(In!H360="","",In!H360)</f>
        <v>amzn</v>
      </c>
      <c r="D112" s="20" t="str">
        <f aca="false">IF(In!I360="","",In!I360)</f>
        <v/>
      </c>
      <c r="E112" s="20" t="n">
        <f aca="false">IF(In!J360="","",In!J360)</f>
        <v>200</v>
      </c>
      <c r="F112" s="20" t="str">
        <f aca="false">In!C360</f>
        <v>設施</v>
      </c>
      <c r="G112" s="20" t="n">
        <f aca="false">IF(In!N360="","",In!N360)</f>
        <v>2</v>
      </c>
      <c r="H112" s="20" t="n">
        <f aca="false">IF(In!K360="","",In!K360)</f>
        <v>2031</v>
      </c>
      <c r="I112" s="20" t="n">
        <f aca="false">IF(In!L360="","",In!L360)</f>
        <v>12</v>
      </c>
      <c r="J112" s="20" t="n">
        <f aca="false">N(In!M360)</f>
        <v>0</v>
      </c>
      <c r="K112" s="25" t="n">
        <f aca="false">IF(OR(H112="",I112=""),9999,H112+I112/12)</f>
        <v>2032</v>
      </c>
      <c r="L112" s="25" t="n">
        <f aca="false">IF(E112="",0,IF(F112="設施",E112/1000/INDEX(Players!$D$13:$M$13,1,MAX(1,MIN(10,H112-2022))),E112/1000*g_ITtoFac))</f>
        <v>0.166666666666667</v>
      </c>
      <c r="M112" s="25" t="n">
        <f aca="false">K112</f>
        <v>2032</v>
      </c>
      <c r="N112" s="25" t="n">
        <f aca="false">IF(K112&gt;asof,K112+N(J112)/12,K112)</f>
        <v>2032</v>
      </c>
      <c r="O112" s="25" t="n">
        <f aca="false">IF(K112&gt;asof,K112+IF(N(J112)&gt;0,N(J112),dly_d1_m)/12,K112)</f>
        <v>2032.5</v>
      </c>
      <c r="P112" s="21" t="n">
        <f aca="false">IF(K112=9999,"",ROUNDUP(K112,0)-1)</f>
        <v>2031</v>
      </c>
      <c r="Q112" s="21" t="n">
        <f aca="false">IF(AND(N(G112)=1,K112&lt;9999,L112&gt;0),1,0)</f>
        <v>0</v>
      </c>
      <c r="R112" s="21" t="n">
        <f aca="false">IF(AND(K112&gt;asof,K112&lt;9999,N(S112)&lt;&gt;1,P112&gt;=dly_d2_y0,P112&lt;=dly_d2_y1),1,0)</f>
        <v>0</v>
      </c>
      <c r="S112" s="20" t="n">
        <f aca="false">IF(In!O360="","",In!O360)</f>
        <v>0</v>
      </c>
    </row>
    <row r="113" customFormat="false" ht="15" hidden="false" customHeight="false" outlineLevel="0" collapsed="false">
      <c r="A113" s="0" t="s">
        <v>1097</v>
      </c>
      <c r="B113" s="20" t="str">
        <f aca="false">In!B361</f>
        <v>AWS Northern Indiana $15B campuses (NIPSCO special contract) firm half</v>
      </c>
      <c r="C113" s="20" t="str">
        <f aca="false">IF(In!H361="","",In!H361)</f>
        <v>amzn</v>
      </c>
      <c r="D113" s="20" t="str">
        <f aca="false">IF(In!I361="","",In!I361)</f>
        <v/>
      </c>
      <c r="E113" s="20" t="n">
        <f aca="false">IF(In!J361="","",In!J361)</f>
        <v>200</v>
      </c>
      <c r="F113" s="20" t="str">
        <f aca="false">In!C361</f>
        <v>設施</v>
      </c>
      <c r="G113" s="20" t="n">
        <f aca="false">IF(In!N361="","",In!N361)</f>
        <v>2</v>
      </c>
      <c r="H113" s="20" t="n">
        <f aca="false">IF(In!K361="","",In!K361)</f>
        <v>2032</v>
      </c>
      <c r="I113" s="20" t="n">
        <f aca="false">IF(In!L361="","",In!L361)</f>
        <v>12</v>
      </c>
      <c r="J113" s="20" t="n">
        <f aca="false">N(In!M361)</f>
        <v>0</v>
      </c>
      <c r="K113" s="25" t="n">
        <f aca="false">IF(OR(H113="",I113=""),9999,H113+I113/12)</f>
        <v>2033</v>
      </c>
      <c r="L113" s="25" t="n">
        <f aca="false">IF(E113="",0,IF(F113="設施",E113/1000/INDEX(Players!$D$13:$M$13,1,MAX(1,MIN(10,H113-2022))),E113/1000*g_ITtoFac))</f>
        <v>0.166666666666667</v>
      </c>
      <c r="M113" s="25" t="n">
        <f aca="false">K113</f>
        <v>2033</v>
      </c>
      <c r="N113" s="25" t="n">
        <f aca="false">IF(K113&gt;asof,K113+N(J113)/12,K113)</f>
        <v>2033</v>
      </c>
      <c r="O113" s="25" t="n">
        <f aca="false">IF(K113&gt;asof,K113+IF(N(J113)&gt;0,N(J113),dly_d1_m)/12,K113)</f>
        <v>2033.5</v>
      </c>
      <c r="P113" s="21" t="n">
        <f aca="false">IF(K113=9999,"",ROUNDUP(K113,0)-1)</f>
        <v>2032</v>
      </c>
      <c r="Q113" s="21" t="n">
        <f aca="false">IF(AND(N(G113)=1,K113&lt;9999,L113&gt;0),1,0)</f>
        <v>0</v>
      </c>
      <c r="R113" s="21" t="n">
        <f aca="false">IF(AND(K113&gt;asof,K113&lt;9999,N(S113)&lt;&gt;1,P113&gt;=dly_d2_y0,P113&lt;=dly_d2_y1),1,0)</f>
        <v>0</v>
      </c>
      <c r="S113" s="20" t="n">
        <f aca="false">IF(In!O361="","",In!O361)</f>
        <v>0</v>
      </c>
    </row>
    <row r="114" customFormat="false" ht="15" hidden="false" customHeight="false" outlineLevel="0" collapsed="false">
      <c r="A114" s="0" t="s">
        <v>1098</v>
      </c>
      <c r="B114" s="20" t="str">
        <f aca="false">In!B362</f>
        <v>Microsoft Pecos TX (behind-the-meter gas)</v>
      </c>
      <c r="C114" s="20" t="str">
        <f aca="false">IF(In!H362="","",In!H362)</f>
        <v>msft</v>
      </c>
      <c r="D114" s="20" t="str">
        <f aca="false">IF(In!I362="","",In!I362)</f>
        <v>self</v>
      </c>
      <c r="E114" s="20" t="n">
        <f aca="false">IF(In!J362="","",In!J362)</f>
        <v>2000</v>
      </c>
      <c r="F114" s="20" t="str">
        <f aca="false">In!C362</f>
        <v>未說明</v>
      </c>
      <c r="G114" s="20" t="n">
        <f aca="false">IF(In!N362="","",In!N362)</f>
        <v>1</v>
      </c>
      <c r="H114" s="20" t="n">
        <f aca="false">IF(In!K362="","",In!K362)</f>
        <v>2032</v>
      </c>
      <c r="I114" s="20" t="n">
        <f aca="false">IF(In!L362="","",In!L362)</f>
        <v>12</v>
      </c>
      <c r="J114" s="20" t="n">
        <f aca="false">N(In!M362)</f>
        <v>0</v>
      </c>
      <c r="K114" s="25" t="n">
        <f aca="false">IF(OR(H114="",I114=""),9999,H114+I114/12)</f>
        <v>2033</v>
      </c>
      <c r="L114" s="25" t="n">
        <f aca="false">IF(E114="",0,IF(F114="設施",E114/1000/INDEX(Players!$D$13:$M$13,1,MAX(1,MIN(10,H114-2022))),E114/1000*g_ITtoFac))</f>
        <v>2</v>
      </c>
      <c r="M114" s="25" t="n">
        <f aca="false">K114</f>
        <v>2033</v>
      </c>
      <c r="N114" s="25" t="n">
        <f aca="false">IF(K114&gt;asof,K114+N(J114)/12,K114)</f>
        <v>2033</v>
      </c>
      <c r="O114" s="25" t="n">
        <f aca="false">IF(K114&gt;asof,K114+IF(N(J114)&gt;0,N(J114),dly_d1_m)/12,K114)</f>
        <v>2033.5</v>
      </c>
      <c r="P114" s="21" t="n">
        <f aca="false">IF(K114=9999,"",ROUNDUP(K114,0)-1)</f>
        <v>2032</v>
      </c>
      <c r="Q114" s="21" t="n">
        <f aca="false">IF(AND(N(G114)=1,K114&lt;9999,L114&gt;0),1,0)</f>
        <v>1</v>
      </c>
      <c r="R114" s="21" t="n">
        <f aca="false">IF(AND(K114&gt;asof,K114&lt;9999,N(S114)&lt;&gt;1,P114&gt;=dly_d2_y0,P114&lt;=dly_d2_y1),1,0)</f>
        <v>0</v>
      </c>
      <c r="S114" s="20" t="n">
        <f aca="false">IF(In!O362="","",In!O362)</f>
        <v>0</v>
      </c>
    </row>
    <row r="115" customFormat="false" ht="15" hidden="false" customHeight="false" outlineLevel="0" collapsed="false">
      <c r="A115" s="0" t="s">
        <v>1101</v>
      </c>
      <c r="B115" s="20" t="str">
        <f aca="false">In!B363</f>
        <v>Microsoft Aragón phase 1 (3 sites x 50 MW)</v>
      </c>
      <c r="C115" s="20" t="str">
        <f aca="false">IF(In!H363="","",In!H363)</f>
        <v>msft</v>
      </c>
      <c r="D115" s="20" t="str">
        <f aca="false">IF(In!I363="","",In!I363)</f>
        <v>self</v>
      </c>
      <c r="E115" s="20" t="n">
        <f aca="false">IF(In!J363="","",In!J363)</f>
        <v>150</v>
      </c>
      <c r="F115" s="20" t="str">
        <f aca="false">In!C363</f>
        <v>設施</v>
      </c>
      <c r="G115" s="20" t="n">
        <f aca="false">IF(In!N363="","",In!N363)</f>
        <v>1</v>
      </c>
      <c r="H115" s="20" t="n">
        <f aca="false">IF(In!K363="","",In!K363)</f>
        <v>2031</v>
      </c>
      <c r="I115" s="20" t="n">
        <f aca="false">IF(In!L363="","",In!L363)</f>
        <v>12</v>
      </c>
      <c r="J115" s="20" t="n">
        <f aca="false">N(In!M363)</f>
        <v>0</v>
      </c>
      <c r="K115" s="25" t="n">
        <f aca="false">IF(OR(H115="",I115=""),9999,H115+I115/12)</f>
        <v>2032</v>
      </c>
      <c r="L115" s="25" t="n">
        <f aca="false">IF(E115="",0,IF(F115="設施",E115/1000/INDEX(Players!$D$13:$M$13,1,MAX(1,MIN(10,H115-2022))),E115/1000*g_ITtoFac))</f>
        <v>0.125</v>
      </c>
      <c r="M115" s="25" t="n">
        <f aca="false">K115</f>
        <v>2032</v>
      </c>
      <c r="N115" s="25" t="n">
        <f aca="false">IF(K115&gt;asof,K115+N(J115)/12,K115)</f>
        <v>2032</v>
      </c>
      <c r="O115" s="25" t="n">
        <f aca="false">IF(K115&gt;asof,K115+IF(N(J115)&gt;0,N(J115),dly_d1_m)/12,K115)</f>
        <v>2032.5</v>
      </c>
      <c r="P115" s="21" t="n">
        <f aca="false">IF(K115=9999,"",ROUNDUP(K115,0)-1)</f>
        <v>2031</v>
      </c>
      <c r="Q115" s="21" t="n">
        <f aca="false">IF(AND(N(G115)=1,K115&lt;9999,L115&gt;0),1,0)</f>
        <v>1</v>
      </c>
      <c r="R115" s="21" t="n">
        <f aca="false">IF(AND(K115&gt;asof,K115&lt;9999,N(S115)&lt;&gt;1,P115&gt;=dly_d2_y0,P115&lt;=dly_d2_y1),1,0)</f>
        <v>0</v>
      </c>
      <c r="S115" s="20" t="n">
        <f aca="false">IF(In!O363="","",In!O363)</f>
        <v>0</v>
      </c>
    </row>
    <row r="116" customFormat="false" ht="15" hidden="false" customHeight="false" outlineLevel="0" collapsed="false">
      <c r="A116" s="0" t="s">
        <v>1104</v>
      </c>
      <c r="B116" s="20" t="str">
        <f aca="false">In!B364</f>
        <v>Microsoft Catawba County NC (Lyle Creek/Boyd Farm/Stover North; 15 x 48 MW)</v>
      </c>
      <c r="C116" s="20" t="str">
        <f aca="false">IF(In!H364="","",In!H364)</f>
        <v>msft</v>
      </c>
      <c r="D116" s="20" t="str">
        <f aca="false">IF(In!I364="","",In!I364)</f>
        <v>self</v>
      </c>
      <c r="E116" s="20" t="n">
        <f aca="false">IF(In!J364="","",In!J364)</f>
        <v>144</v>
      </c>
      <c r="F116" s="20" t="str">
        <f aca="false">In!C364</f>
        <v>IT</v>
      </c>
      <c r="G116" s="20" t="n">
        <f aca="false">IF(In!N364="","",In!N364)</f>
        <v>1</v>
      </c>
      <c r="H116" s="20" t="n">
        <f aca="false">IF(In!K364="","",In!K364)</f>
        <v>2028</v>
      </c>
      <c r="I116" s="20" t="n">
        <f aca="false">IF(In!L364="","",In!L364)</f>
        <v>3</v>
      </c>
      <c r="J116" s="20" t="n">
        <f aca="false">N(In!M364)</f>
        <v>0</v>
      </c>
      <c r="K116" s="25" t="n">
        <f aca="false">IF(OR(H116="",I116=""),9999,H116+I116/12)</f>
        <v>2028.25</v>
      </c>
      <c r="L116" s="25" t="n">
        <f aca="false">IF(E116="",0,IF(F116="設施",E116/1000/INDEX(Players!$D$13:$M$13,1,MAX(1,MIN(10,H116-2022))),E116/1000*g_ITtoFac))</f>
        <v>0.144</v>
      </c>
      <c r="M116" s="25" t="n">
        <f aca="false">K116</f>
        <v>2028.25</v>
      </c>
      <c r="N116" s="25" t="n">
        <f aca="false">IF(K116&gt;asof,K116+N(J116)/12,K116)</f>
        <v>2028.25</v>
      </c>
      <c r="O116" s="25" t="n">
        <f aca="false">IF(K116&gt;asof,K116+IF(N(J116)&gt;0,N(J116),dly_d1_m)/12,K116)</f>
        <v>2028.75</v>
      </c>
      <c r="P116" s="21" t="n">
        <f aca="false">IF(K116=9999,"",ROUNDUP(K116,0)-1)</f>
        <v>2028</v>
      </c>
      <c r="Q116" s="21" t="n">
        <f aca="false">IF(AND(N(G116)=1,K116&lt;9999,L116&gt;0),1,0)</f>
        <v>1</v>
      </c>
      <c r="R116" s="21" t="n">
        <f aca="false">IF(AND(K116&gt;asof,K116&lt;9999,N(S116)&lt;&gt;1,P116&gt;=dly_d2_y0,P116&lt;=dly_d2_y1),1,0)</f>
        <v>1</v>
      </c>
      <c r="S116" s="20" t="n">
        <f aca="false">IF(In!O364="","",In!O364)</f>
        <v>0</v>
      </c>
    </row>
    <row r="117" customFormat="false" ht="15" hidden="false" customHeight="false" outlineLevel="0" collapsed="false">
      <c r="A117" s="0" t="s">
        <v>1107</v>
      </c>
      <c r="B117" s="20" t="str">
        <f aca="false">In!B365</f>
        <v>Microsoft Catawba County NC (Lyle Creek/Boyd Farm/Stover North; 15 x 48 MW)</v>
      </c>
      <c r="C117" s="20" t="str">
        <f aca="false">IF(In!H365="","",In!H365)</f>
        <v>msft</v>
      </c>
      <c r="D117" s="20" t="str">
        <f aca="false">IF(In!I365="","",In!I365)</f>
        <v>self</v>
      </c>
      <c r="E117" s="20" t="n">
        <f aca="false">IF(In!J365="","",In!J365)</f>
        <v>144</v>
      </c>
      <c r="F117" s="20" t="str">
        <f aca="false">In!C365</f>
        <v>IT</v>
      </c>
      <c r="G117" s="20" t="n">
        <f aca="false">IF(In!N365="","",In!N365)</f>
        <v>1</v>
      </c>
      <c r="H117" s="20" t="n">
        <f aca="false">IF(In!K365="","",In!K365)</f>
        <v>2029</v>
      </c>
      <c r="I117" s="20" t="n">
        <f aca="false">IF(In!L365="","",In!L365)</f>
        <v>12</v>
      </c>
      <c r="J117" s="20" t="n">
        <f aca="false">N(In!M365)</f>
        <v>0</v>
      </c>
      <c r="K117" s="25" t="n">
        <f aca="false">IF(OR(H117="",I117=""),9999,H117+I117/12)</f>
        <v>2030</v>
      </c>
      <c r="L117" s="25" t="n">
        <f aca="false">IF(E117="",0,IF(F117="設施",E117/1000/INDEX(Players!$D$13:$M$13,1,MAX(1,MIN(10,H117-2022))),E117/1000*g_ITtoFac))</f>
        <v>0.144</v>
      </c>
      <c r="M117" s="25" t="n">
        <f aca="false">K117</f>
        <v>2030</v>
      </c>
      <c r="N117" s="25" t="n">
        <f aca="false">IF(K117&gt;asof,K117+N(J117)/12,K117)</f>
        <v>2030</v>
      </c>
      <c r="O117" s="25" t="n">
        <f aca="false">IF(K117&gt;asof,K117+IF(N(J117)&gt;0,N(J117),dly_d1_m)/12,K117)</f>
        <v>2030.5</v>
      </c>
      <c r="P117" s="21" t="n">
        <f aca="false">IF(K117=9999,"",ROUNDUP(K117,0)-1)</f>
        <v>2029</v>
      </c>
      <c r="Q117" s="21" t="n">
        <f aca="false">IF(AND(N(G117)=1,K117&lt;9999,L117&gt;0),1,0)</f>
        <v>1</v>
      </c>
      <c r="R117" s="21" t="n">
        <f aca="false">IF(AND(K117&gt;asof,K117&lt;9999,N(S117)&lt;&gt;1,P117&gt;=dly_d2_y0,P117&lt;=dly_d2_y1),1,0)</f>
        <v>0</v>
      </c>
      <c r="S117" s="20" t="n">
        <f aca="false">IF(In!O365="","",In!O365)</f>
        <v>0</v>
      </c>
    </row>
    <row r="118" customFormat="false" ht="15" hidden="false" customHeight="false" outlineLevel="0" collapsed="false">
      <c r="A118" s="0" t="s">
        <v>1108</v>
      </c>
      <c r="B118" s="20" t="str">
        <f aca="false">In!B366</f>
        <v>Microsoft Catawba County NC (Lyle Creek/Boyd Farm/Stover North; 15 x 48 MW)</v>
      </c>
      <c r="C118" s="20" t="str">
        <f aca="false">IF(In!H366="","",In!H366)</f>
        <v>msft</v>
      </c>
      <c r="D118" s="20" t="str">
        <f aca="false">IF(In!I366="","",In!I366)</f>
        <v>self</v>
      </c>
      <c r="E118" s="20" t="n">
        <f aca="false">IF(In!J366="","",In!J366)</f>
        <v>144</v>
      </c>
      <c r="F118" s="20" t="str">
        <f aca="false">In!C366</f>
        <v>IT</v>
      </c>
      <c r="G118" s="20" t="n">
        <f aca="false">IF(In!N366="","",In!N366)</f>
        <v>1</v>
      </c>
      <c r="H118" s="20" t="n">
        <f aca="false">IF(In!K366="","",In!K366)</f>
        <v>2030</v>
      </c>
      <c r="I118" s="20" t="n">
        <f aca="false">IF(In!L366="","",In!L366)</f>
        <v>12</v>
      </c>
      <c r="J118" s="20" t="n">
        <f aca="false">N(In!M366)</f>
        <v>0</v>
      </c>
      <c r="K118" s="25" t="n">
        <f aca="false">IF(OR(H118="",I118=""),9999,H118+I118/12)</f>
        <v>2031</v>
      </c>
      <c r="L118" s="25" t="n">
        <f aca="false">IF(E118="",0,IF(F118="設施",E118/1000/INDEX(Players!$D$13:$M$13,1,MAX(1,MIN(10,H118-2022))),E118/1000*g_ITtoFac))</f>
        <v>0.144</v>
      </c>
      <c r="M118" s="25" t="n">
        <f aca="false">K118</f>
        <v>2031</v>
      </c>
      <c r="N118" s="25" t="n">
        <f aca="false">IF(K118&gt;asof,K118+N(J118)/12,K118)</f>
        <v>2031</v>
      </c>
      <c r="O118" s="25" t="n">
        <f aca="false">IF(K118&gt;asof,K118+IF(N(J118)&gt;0,N(J118),dly_d1_m)/12,K118)</f>
        <v>2031.5</v>
      </c>
      <c r="P118" s="21" t="n">
        <f aca="false">IF(K118=9999,"",ROUNDUP(K118,0)-1)</f>
        <v>2030</v>
      </c>
      <c r="Q118" s="21" t="n">
        <f aca="false">IF(AND(N(G118)=1,K118&lt;9999,L118&gt;0),1,0)</f>
        <v>1</v>
      </c>
      <c r="R118" s="21" t="n">
        <f aca="false">IF(AND(K118&gt;asof,K118&lt;9999,N(S118)&lt;&gt;1,P118&gt;=dly_d2_y0,P118&lt;=dly_d2_y1),1,0)</f>
        <v>0</v>
      </c>
      <c r="S118" s="20" t="n">
        <f aca="false">IF(In!O366="","",In!O366)</f>
        <v>0</v>
      </c>
    </row>
    <row r="119" customFormat="false" ht="15" hidden="false" customHeight="false" outlineLevel="0" collapsed="false">
      <c r="A119" s="0" t="s">
        <v>1109</v>
      </c>
      <c r="B119" s="20" t="str">
        <f aca="false">In!B367</f>
        <v>Microsoft Catawba County NC (Lyle Creek/Boyd Farm/Stover North; 15 x 48 MW)</v>
      </c>
      <c r="C119" s="20" t="str">
        <f aca="false">IF(In!H367="","",In!H367)</f>
        <v>msft</v>
      </c>
      <c r="D119" s="20" t="str">
        <f aca="false">IF(In!I367="","",In!I367)</f>
        <v>self</v>
      </c>
      <c r="E119" s="20" t="n">
        <f aca="false">IF(In!J367="","",In!J367)</f>
        <v>144</v>
      </c>
      <c r="F119" s="20" t="str">
        <f aca="false">In!C367</f>
        <v>IT</v>
      </c>
      <c r="G119" s="20" t="n">
        <f aca="false">IF(In!N367="","",In!N367)</f>
        <v>1</v>
      </c>
      <c r="H119" s="20" t="n">
        <f aca="false">IF(In!K367="","",In!K367)</f>
        <v>2031</v>
      </c>
      <c r="I119" s="20" t="n">
        <f aca="false">IF(In!L367="","",In!L367)</f>
        <v>12</v>
      </c>
      <c r="J119" s="20" t="n">
        <f aca="false">N(In!M367)</f>
        <v>0</v>
      </c>
      <c r="K119" s="25" t="n">
        <f aca="false">IF(OR(H119="",I119=""),9999,H119+I119/12)</f>
        <v>2032</v>
      </c>
      <c r="L119" s="25" t="n">
        <f aca="false">IF(E119="",0,IF(F119="設施",E119/1000/INDEX(Players!$D$13:$M$13,1,MAX(1,MIN(10,H119-2022))),E119/1000*g_ITtoFac))</f>
        <v>0.144</v>
      </c>
      <c r="M119" s="25" t="n">
        <f aca="false">K119</f>
        <v>2032</v>
      </c>
      <c r="N119" s="25" t="n">
        <f aca="false">IF(K119&gt;asof,K119+N(J119)/12,K119)</f>
        <v>2032</v>
      </c>
      <c r="O119" s="25" t="n">
        <f aca="false">IF(K119&gt;asof,K119+IF(N(J119)&gt;0,N(J119),dly_d1_m)/12,K119)</f>
        <v>2032.5</v>
      </c>
      <c r="P119" s="21" t="n">
        <f aca="false">IF(K119=9999,"",ROUNDUP(K119,0)-1)</f>
        <v>2031</v>
      </c>
      <c r="Q119" s="21" t="n">
        <f aca="false">IF(AND(N(G119)=1,K119&lt;9999,L119&gt;0),1,0)</f>
        <v>1</v>
      </c>
      <c r="R119" s="21" t="n">
        <f aca="false">IF(AND(K119&gt;asof,K119&lt;9999,N(S119)&lt;&gt;1,P119&gt;=dly_d2_y0,P119&lt;=dly_d2_y1),1,0)</f>
        <v>0</v>
      </c>
      <c r="S119" s="20" t="n">
        <f aca="false">IF(In!O367="","",In!O367)</f>
        <v>0</v>
      </c>
    </row>
    <row r="120" customFormat="false" ht="15" hidden="false" customHeight="false" outlineLevel="0" collapsed="false">
      <c r="A120" s="0" t="s">
        <v>1110</v>
      </c>
      <c r="B120" s="20" t="str">
        <f aca="false">In!B368</f>
        <v>Microsoft Catawba County NC (Lyle Creek/Boyd Farm/Stover North; 15 x 48 MW)</v>
      </c>
      <c r="C120" s="20" t="str">
        <f aca="false">IF(In!H368="","",In!H368)</f>
        <v>msft</v>
      </c>
      <c r="D120" s="20" t="str">
        <f aca="false">IF(In!I368="","",In!I368)</f>
        <v>self</v>
      </c>
      <c r="E120" s="20" t="n">
        <f aca="false">IF(In!J368="","",In!J368)</f>
        <v>144</v>
      </c>
      <c r="F120" s="20" t="str">
        <f aca="false">In!C368</f>
        <v>IT</v>
      </c>
      <c r="G120" s="20" t="n">
        <f aca="false">IF(In!N368="","",In!N368)</f>
        <v>1</v>
      </c>
      <c r="H120" s="20" t="n">
        <f aca="false">IF(In!K368="","",In!K368)</f>
        <v>2032</v>
      </c>
      <c r="I120" s="20" t="n">
        <f aca="false">IF(In!L368="","",In!L368)</f>
        <v>12</v>
      </c>
      <c r="J120" s="20" t="n">
        <f aca="false">N(In!M368)</f>
        <v>0</v>
      </c>
      <c r="K120" s="25" t="n">
        <f aca="false">IF(OR(H120="",I120=""),9999,H120+I120/12)</f>
        <v>2033</v>
      </c>
      <c r="L120" s="25" t="n">
        <f aca="false">IF(E120="",0,IF(F120="設施",E120/1000/INDEX(Players!$D$13:$M$13,1,MAX(1,MIN(10,H120-2022))),E120/1000*g_ITtoFac))</f>
        <v>0.144</v>
      </c>
      <c r="M120" s="25" t="n">
        <f aca="false">K120</f>
        <v>2033</v>
      </c>
      <c r="N120" s="25" t="n">
        <f aca="false">IF(K120&gt;asof,K120+N(J120)/12,K120)</f>
        <v>2033</v>
      </c>
      <c r="O120" s="25" t="n">
        <f aca="false">IF(K120&gt;asof,K120+IF(N(J120)&gt;0,N(J120),dly_d1_m)/12,K120)</f>
        <v>2033.5</v>
      </c>
      <c r="P120" s="21" t="n">
        <f aca="false">IF(K120=9999,"",ROUNDUP(K120,0)-1)</f>
        <v>2032</v>
      </c>
      <c r="Q120" s="21" t="n">
        <f aca="false">IF(AND(N(G120)=1,K120&lt;9999,L120&gt;0),1,0)</f>
        <v>1</v>
      </c>
      <c r="R120" s="21" t="n">
        <f aca="false">IF(AND(K120&gt;asof,K120&lt;9999,N(S120)&lt;&gt;1,P120&gt;=dly_d2_y0,P120&lt;=dly_d2_y1),1,0)</f>
        <v>0</v>
      </c>
      <c r="S120" s="20" t="n">
        <f aca="false">IF(In!O368="","",In!O368)</f>
        <v>0</v>
      </c>
    </row>
    <row r="121" customFormat="false" ht="15" hidden="false" customHeight="false" outlineLevel="0" collapsed="false">
      <c r="A121" s="0" t="s">
        <v>1111</v>
      </c>
      <c r="B121" s="20" t="str">
        <f aca="false">In!B369</f>
        <v>Microsoft Rome GA (Floyd County, 3 buildings, Georgia Power)</v>
      </c>
      <c r="C121" s="20" t="str">
        <f aca="false">IF(In!H369="","",In!H369)</f>
        <v>msft</v>
      </c>
      <c r="D121" s="20" t="str">
        <f aca="false">IF(In!I369="","",In!I369)</f>
        <v>self</v>
      </c>
      <c r="E121" s="20" t="n">
        <f aca="false">IF(In!J369="","",In!J369)</f>
        <v>422</v>
      </c>
      <c r="F121" s="20" t="str">
        <f aca="false">In!C369</f>
        <v>未說明</v>
      </c>
      <c r="G121" s="20" t="n">
        <f aca="false">IF(In!N369="","",In!N369)</f>
        <v>1</v>
      </c>
      <c r="H121" s="20" t="n">
        <f aca="false">IF(In!K369="","",In!K369)</f>
        <v>2032</v>
      </c>
      <c r="I121" s="20" t="n">
        <f aca="false">IF(In!L369="","",In!L369)</f>
        <v>12</v>
      </c>
      <c r="J121" s="20" t="n">
        <f aca="false">N(In!M369)</f>
        <v>0</v>
      </c>
      <c r="K121" s="25" t="n">
        <f aca="false">IF(OR(H121="",I121=""),9999,H121+I121/12)</f>
        <v>2033</v>
      </c>
      <c r="L121" s="25" t="n">
        <f aca="false">IF(E121="",0,IF(F121="設施",E121/1000/INDEX(Players!$D$13:$M$13,1,MAX(1,MIN(10,H121-2022))),E121/1000*g_ITtoFac))</f>
        <v>0.422</v>
      </c>
      <c r="M121" s="25" t="n">
        <f aca="false">K121</f>
        <v>2033</v>
      </c>
      <c r="N121" s="25" t="n">
        <f aca="false">IF(K121&gt;asof,K121+N(J121)/12,K121)</f>
        <v>2033</v>
      </c>
      <c r="O121" s="25" t="n">
        <f aca="false">IF(K121&gt;asof,K121+IF(N(J121)&gt;0,N(J121),dly_d1_m)/12,K121)</f>
        <v>2033.5</v>
      </c>
      <c r="P121" s="21" t="n">
        <f aca="false">IF(K121=9999,"",ROUNDUP(K121,0)-1)</f>
        <v>2032</v>
      </c>
      <c r="Q121" s="21" t="n">
        <f aca="false">IF(AND(N(G121)=1,K121&lt;9999,L121&gt;0),1,0)</f>
        <v>1</v>
      </c>
      <c r="R121" s="21" t="n">
        <f aca="false">IF(AND(K121&gt;asof,K121&lt;9999,N(S121)&lt;&gt;1,P121&gt;=dly_d2_y0,P121&lt;=dly_d2_y1),1,0)</f>
        <v>0</v>
      </c>
      <c r="S121" s="20" t="n">
        <f aca="false">IF(In!O369="","",In!O369)</f>
        <v>0</v>
      </c>
    </row>
    <row r="122" customFormat="false" ht="15" hidden="false" customHeight="false" outlineLevel="0" collapsed="false">
      <c r="A122" s="0" t="s">
        <v>1114</v>
      </c>
      <c r="B122" s="20" t="str">
        <f aca="false">In!B370</f>
        <v>OpenAI Effingham County GA (Georgia Power, 3.2 GW)</v>
      </c>
      <c r="C122" s="20" t="str">
        <f aca="false">IF(In!H370="","",In!H370)</f>
        <v>oai</v>
      </c>
      <c r="D122" s="20" t="str">
        <f aca="false">IF(In!I370="","",In!I370)</f>
        <v>oai</v>
      </c>
      <c r="E122" s="20" t="n">
        <f aca="false">IF(In!J370="","",In!J370)</f>
        <v>550</v>
      </c>
      <c r="F122" s="20" t="str">
        <f aca="false">In!C370</f>
        <v>設施</v>
      </c>
      <c r="G122" s="20" t="n">
        <f aca="false">IF(In!N370="","",In!N370)</f>
        <v>2</v>
      </c>
      <c r="H122" s="20" t="n">
        <f aca="false">IF(In!K370="","",In!K370)</f>
        <v>2029</v>
      </c>
      <c r="I122" s="20" t="n">
        <f aca="false">IF(In!L370="","",In!L370)</f>
        <v>12</v>
      </c>
      <c r="J122" s="20" t="n">
        <f aca="false">N(In!M370)</f>
        <v>0</v>
      </c>
      <c r="K122" s="25" t="n">
        <f aca="false">IF(OR(H122="",I122=""),9999,H122+I122/12)</f>
        <v>2030</v>
      </c>
      <c r="L122" s="25" t="n">
        <f aca="false">IF(E122="",0,IF(F122="設施",E122/1000/INDEX(Players!$D$13:$M$13,1,MAX(1,MIN(10,H122-2022))),E122/1000*g_ITtoFac))</f>
        <v>0.458333333333333</v>
      </c>
      <c r="M122" s="25" t="n">
        <f aca="false">K122</f>
        <v>2030</v>
      </c>
      <c r="N122" s="25" t="n">
        <f aca="false">IF(K122&gt;asof,K122+N(J122)/12,K122)</f>
        <v>2030</v>
      </c>
      <c r="O122" s="25" t="n">
        <f aca="false">IF(K122&gt;asof,K122+IF(N(J122)&gt;0,N(J122),dly_d1_m)/12,K122)</f>
        <v>2030.5</v>
      </c>
      <c r="P122" s="21" t="n">
        <f aca="false">IF(K122=9999,"",ROUNDUP(K122,0)-1)</f>
        <v>2029</v>
      </c>
      <c r="Q122" s="21" t="n">
        <f aca="false">IF(AND(N(G122)=1,K122&lt;9999,L122&gt;0),1,0)</f>
        <v>0</v>
      </c>
      <c r="R122" s="21" t="n">
        <f aca="false">IF(AND(K122&gt;asof,K122&lt;9999,N(S122)&lt;&gt;1,P122&gt;=dly_d2_y0,P122&lt;=dly_d2_y1),1,0)</f>
        <v>0</v>
      </c>
      <c r="S122" s="20" t="n">
        <f aca="false">IF(In!O370="","",In!O370)</f>
        <v>0</v>
      </c>
    </row>
    <row r="123" customFormat="false" ht="15" hidden="false" customHeight="false" outlineLevel="0" collapsed="false">
      <c r="A123" s="0" t="s">
        <v>1117</v>
      </c>
      <c r="B123" s="20" t="str">
        <f aca="false">In!B371</f>
        <v>OpenAI Effingham County GA (Georgia Power, 3.2 GW)</v>
      </c>
      <c r="C123" s="20" t="str">
        <f aca="false">IF(In!H371="","",In!H371)</f>
        <v>oai</v>
      </c>
      <c r="D123" s="20" t="str">
        <f aca="false">IF(In!I371="","",In!I371)</f>
        <v>oai</v>
      </c>
      <c r="E123" s="20" t="n">
        <f aca="false">IF(In!J371="","",In!J371)</f>
        <v>550</v>
      </c>
      <c r="F123" s="20" t="str">
        <f aca="false">In!C371</f>
        <v>設施</v>
      </c>
      <c r="G123" s="20" t="n">
        <f aca="false">IF(In!N371="","",In!N371)</f>
        <v>2</v>
      </c>
      <c r="H123" s="20" t="n">
        <f aca="false">IF(In!K371="","",In!K371)</f>
        <v>2030</v>
      </c>
      <c r="I123" s="20" t="n">
        <f aca="false">IF(In!L371="","",In!L371)</f>
        <v>12</v>
      </c>
      <c r="J123" s="20" t="n">
        <f aca="false">N(In!M371)</f>
        <v>0</v>
      </c>
      <c r="K123" s="25" t="n">
        <f aca="false">IF(OR(H123="",I123=""),9999,H123+I123/12)</f>
        <v>2031</v>
      </c>
      <c r="L123" s="25" t="n">
        <f aca="false">IF(E123="",0,IF(F123="設施",E123/1000/INDEX(Players!$D$13:$M$13,1,MAX(1,MIN(10,H123-2022))),E123/1000*g_ITtoFac))</f>
        <v>0.458333333333333</v>
      </c>
      <c r="M123" s="25" t="n">
        <f aca="false">K123</f>
        <v>2031</v>
      </c>
      <c r="N123" s="25" t="n">
        <f aca="false">IF(K123&gt;asof,K123+N(J123)/12,K123)</f>
        <v>2031</v>
      </c>
      <c r="O123" s="25" t="n">
        <f aca="false">IF(K123&gt;asof,K123+IF(N(J123)&gt;0,N(J123),dly_d1_m)/12,K123)</f>
        <v>2031.5</v>
      </c>
      <c r="P123" s="21" t="n">
        <f aca="false">IF(K123=9999,"",ROUNDUP(K123,0)-1)</f>
        <v>2030</v>
      </c>
      <c r="Q123" s="21" t="n">
        <f aca="false">IF(AND(N(G123)=1,K123&lt;9999,L123&gt;0),1,0)</f>
        <v>0</v>
      </c>
      <c r="R123" s="21" t="n">
        <f aca="false">IF(AND(K123&gt;asof,K123&lt;9999,N(S123)&lt;&gt;1,P123&gt;=dly_d2_y0,P123&lt;=dly_d2_y1),1,0)</f>
        <v>0</v>
      </c>
      <c r="S123" s="20" t="n">
        <f aca="false">IF(In!O371="","",In!O371)</f>
        <v>0</v>
      </c>
    </row>
    <row r="124" customFormat="false" ht="15" hidden="false" customHeight="false" outlineLevel="0" collapsed="false">
      <c r="A124" s="0" t="s">
        <v>1118</v>
      </c>
      <c r="B124" s="20" t="str">
        <f aca="false">In!B372</f>
        <v>OpenAI Effingham County GA (Georgia Power, 3.2 GW)</v>
      </c>
      <c r="C124" s="20" t="str">
        <f aca="false">IF(In!H372="","",In!H372)</f>
        <v>oai</v>
      </c>
      <c r="D124" s="20" t="str">
        <f aca="false">IF(In!I372="","",In!I372)</f>
        <v>oai</v>
      </c>
      <c r="E124" s="20" t="n">
        <f aca="false">IF(In!J372="","",In!J372)</f>
        <v>550</v>
      </c>
      <c r="F124" s="20" t="str">
        <f aca="false">In!C372</f>
        <v>設施</v>
      </c>
      <c r="G124" s="20" t="n">
        <f aca="false">IF(In!N372="","",In!N372)</f>
        <v>2</v>
      </c>
      <c r="H124" s="20" t="n">
        <f aca="false">IF(In!K372="","",In!K372)</f>
        <v>2031</v>
      </c>
      <c r="I124" s="20" t="n">
        <f aca="false">IF(In!L372="","",In!L372)</f>
        <v>12</v>
      </c>
      <c r="J124" s="20" t="n">
        <f aca="false">N(In!M372)</f>
        <v>0</v>
      </c>
      <c r="K124" s="25" t="n">
        <f aca="false">IF(OR(H124="",I124=""),9999,H124+I124/12)</f>
        <v>2032</v>
      </c>
      <c r="L124" s="25" t="n">
        <f aca="false">IF(E124="",0,IF(F124="設施",E124/1000/INDEX(Players!$D$13:$M$13,1,MAX(1,MIN(10,H124-2022))),E124/1000*g_ITtoFac))</f>
        <v>0.458333333333333</v>
      </c>
      <c r="M124" s="25" t="n">
        <f aca="false">K124</f>
        <v>2032</v>
      </c>
      <c r="N124" s="25" t="n">
        <f aca="false">IF(K124&gt;asof,K124+N(J124)/12,K124)</f>
        <v>2032</v>
      </c>
      <c r="O124" s="25" t="n">
        <f aca="false">IF(K124&gt;asof,K124+IF(N(J124)&gt;0,N(J124),dly_d1_m)/12,K124)</f>
        <v>2032.5</v>
      </c>
      <c r="P124" s="21" t="n">
        <f aca="false">IF(K124=9999,"",ROUNDUP(K124,0)-1)</f>
        <v>2031</v>
      </c>
      <c r="Q124" s="21" t="n">
        <f aca="false">IF(AND(N(G124)=1,K124&lt;9999,L124&gt;0),1,0)</f>
        <v>0</v>
      </c>
      <c r="R124" s="21" t="n">
        <f aca="false">IF(AND(K124&gt;asof,K124&lt;9999,N(S124)&lt;&gt;1,P124&gt;=dly_d2_y0,P124&lt;=dly_d2_y1),1,0)</f>
        <v>0</v>
      </c>
      <c r="S124" s="20" t="n">
        <f aca="false">IF(In!O372="","",In!O372)</f>
        <v>0</v>
      </c>
    </row>
    <row r="125" customFormat="false" ht="15" hidden="false" customHeight="false" outlineLevel="0" collapsed="false">
      <c r="A125" s="0" t="s">
        <v>1119</v>
      </c>
      <c r="B125" s="20" t="str">
        <f aca="false">In!B373</f>
        <v>OpenAI Effingham County GA (Georgia Power, 3.2 GW)</v>
      </c>
      <c r="C125" s="20" t="str">
        <f aca="false">IF(In!H373="","",In!H373)</f>
        <v>oai</v>
      </c>
      <c r="D125" s="20" t="str">
        <f aca="false">IF(In!I373="","",In!I373)</f>
        <v>oai</v>
      </c>
      <c r="E125" s="20" t="n">
        <f aca="false">IF(In!J373="","",In!J373)</f>
        <v>550</v>
      </c>
      <c r="F125" s="20" t="str">
        <f aca="false">In!C373</f>
        <v>設施</v>
      </c>
      <c r="G125" s="20" t="n">
        <f aca="false">IF(In!N373="","",In!N373)</f>
        <v>2</v>
      </c>
      <c r="H125" s="20" t="n">
        <f aca="false">IF(In!K373="","",In!K373)</f>
        <v>2032</v>
      </c>
      <c r="I125" s="20" t="n">
        <f aca="false">IF(In!L373="","",In!L373)</f>
        <v>12</v>
      </c>
      <c r="J125" s="20" t="n">
        <f aca="false">N(In!M373)</f>
        <v>0</v>
      </c>
      <c r="K125" s="25" t="n">
        <f aca="false">IF(OR(H125="",I125=""),9999,H125+I125/12)</f>
        <v>2033</v>
      </c>
      <c r="L125" s="25" t="n">
        <f aca="false">IF(E125="",0,IF(F125="設施",E125/1000/INDEX(Players!$D$13:$M$13,1,MAX(1,MIN(10,H125-2022))),E125/1000*g_ITtoFac))</f>
        <v>0.458333333333333</v>
      </c>
      <c r="M125" s="25" t="n">
        <f aca="false">K125</f>
        <v>2033</v>
      </c>
      <c r="N125" s="25" t="n">
        <f aca="false">IF(K125&gt;asof,K125+N(J125)/12,K125)</f>
        <v>2033</v>
      </c>
      <c r="O125" s="25" t="n">
        <f aca="false">IF(K125&gt;asof,K125+IF(N(J125)&gt;0,N(J125),dly_d1_m)/12,K125)</f>
        <v>2033.5</v>
      </c>
      <c r="P125" s="21" t="n">
        <f aca="false">IF(K125=9999,"",ROUNDUP(K125,0)-1)</f>
        <v>2032</v>
      </c>
      <c r="Q125" s="21" t="n">
        <f aca="false">IF(AND(N(G125)=1,K125&lt;9999,L125&gt;0),1,0)</f>
        <v>0</v>
      </c>
      <c r="R125" s="21" t="n">
        <f aca="false">IF(AND(K125&gt;asof,K125&lt;9999,N(S125)&lt;&gt;1,P125&gt;=dly_d2_y0,P125&lt;=dly_d2_y1),1,0)</f>
        <v>0</v>
      </c>
      <c r="S125" s="20" t="n">
        <f aca="false">IF(In!O373="","",In!O373)</f>
        <v>0</v>
      </c>
    </row>
    <row r="126" customFormat="false" ht="15" hidden="false" customHeight="false" outlineLevel="0" collapsed="false">
      <c r="A126" s="0" t="s">
        <v>1120</v>
      </c>
      <c r="B126" s="20" t="str">
        <f aca="false">In!B374</f>
        <v>CoreWeave Helios Phase III (B4)</v>
      </c>
      <c r="C126" s="20" t="str">
        <f aca="false">IF(In!H374="","",In!H374)</f>
        <v>crwv</v>
      </c>
      <c r="D126" s="20" t="str">
        <f aca="false">IF(In!I374="","",In!I374)</f>
        <v/>
      </c>
      <c r="E126" s="20" t="n">
        <f aca="false">IF(In!J374="","",In!J374)</f>
        <v>132</v>
      </c>
      <c r="F126" s="20" t="str">
        <f aca="false">In!C374</f>
        <v>IT</v>
      </c>
      <c r="G126" s="20" t="n">
        <f aca="false">IF(In!N374="","",In!N374)</f>
        <v>1</v>
      </c>
      <c r="H126" s="20" t="n">
        <f aca="false">IF(In!K374="","",In!K374)</f>
        <v>2028</v>
      </c>
      <c r="I126" s="20" t="n">
        <f aca="false">IF(In!L374="","",In!L374)</f>
        <v>12</v>
      </c>
      <c r="J126" s="20" t="n">
        <f aca="false">N(In!M374)</f>
        <v>0</v>
      </c>
      <c r="K126" s="25" t="n">
        <f aca="false">IF(OR(H126="",I126=""),9999,H126+I126/12)</f>
        <v>2029</v>
      </c>
      <c r="L126" s="25" t="n">
        <f aca="false">IF(E126="",0,IF(F126="設施",E126/1000/INDEX(Players!$D$13:$M$13,1,MAX(1,MIN(10,H126-2022))),E126/1000*g_ITtoFac))</f>
        <v>0.132</v>
      </c>
      <c r="M126" s="25" t="n">
        <f aca="false">K126</f>
        <v>2029</v>
      </c>
      <c r="N126" s="25" t="n">
        <f aca="false">IF(K126&gt;asof,K126+N(J126)/12,K126)</f>
        <v>2029</v>
      </c>
      <c r="O126" s="25" t="n">
        <f aca="false">IF(K126&gt;asof,K126+IF(N(J126)&gt;0,N(J126),dly_d1_m)/12,K126)</f>
        <v>2029.5</v>
      </c>
      <c r="P126" s="21" t="n">
        <f aca="false">IF(K126=9999,"",ROUNDUP(K126,0)-1)</f>
        <v>2028</v>
      </c>
      <c r="Q126" s="21" t="n">
        <f aca="false">IF(AND(N(G126)=1,K126&lt;9999,L126&gt;0),1,0)</f>
        <v>1</v>
      </c>
      <c r="R126" s="21" t="n">
        <f aca="false">IF(AND(K126&gt;asof,K126&lt;9999,N(S126)&lt;&gt;1,P126&gt;=dly_d2_y0,P126&lt;=dly_d2_y1),1,0)</f>
        <v>1</v>
      </c>
      <c r="S126" s="20" t="n">
        <f aca="false">IF(In!O374="","",In!O374)</f>
        <v>0</v>
      </c>
    </row>
    <row r="127" customFormat="false" ht="15" hidden="false" customHeight="false" outlineLevel="0" collapsed="false">
      <c r="A127" s="0" t="s">
        <v>1123</v>
      </c>
      <c r="B127" s="20" t="str">
        <f aca="false">In!B375</f>
        <v>AWS Salem Twp campus adjacent to Susquehanna (Talen PPA 1,920 MW)</v>
      </c>
      <c r="C127" s="20" t="str">
        <f aca="false">IF(In!H375="","",In!H375)</f>
        <v>amzn</v>
      </c>
      <c r="D127" s="20" t="str">
        <f aca="false">IF(In!I375="","",In!I375)</f>
        <v/>
      </c>
      <c r="E127" s="20" t="n">
        <f aca="false">IF(In!J375="","",In!J375)</f>
        <v>343</v>
      </c>
      <c r="F127" s="20" t="str">
        <f aca="false">In!C375</f>
        <v>設施</v>
      </c>
      <c r="G127" s="20" t="n">
        <f aca="false">IF(In!N375="","",In!N375)</f>
        <v>0</v>
      </c>
      <c r="H127" s="20" t="n">
        <f aca="false">IF(In!K375="","",In!K375)</f>
        <v>2028</v>
      </c>
      <c r="I127" s="20" t="n">
        <f aca="false">IF(In!L375="","",In!L375)</f>
        <v>12</v>
      </c>
      <c r="J127" s="20" t="n">
        <f aca="false">N(In!M375)</f>
        <v>0</v>
      </c>
      <c r="K127" s="25" t="n">
        <f aca="false">IF(OR(H127="",I127=""),9999,H127+I127/12)</f>
        <v>2029</v>
      </c>
      <c r="L127" s="25" t="n">
        <f aca="false">IF(E127="",0,IF(F127="設施",E127/1000/INDEX(Players!$D$13:$M$13,1,MAX(1,MIN(10,H127-2022))),E127/1000*g_ITtoFac))</f>
        <v>0.285833333333333</v>
      </c>
      <c r="M127" s="25" t="n">
        <f aca="false">K127</f>
        <v>2029</v>
      </c>
      <c r="N127" s="25" t="n">
        <f aca="false">IF(K127&gt;asof,K127+N(J127)/12,K127)</f>
        <v>2029</v>
      </c>
      <c r="O127" s="25" t="n">
        <f aca="false">IF(K127&gt;asof,K127+IF(N(J127)&gt;0,N(J127),dly_d1_m)/12,K127)</f>
        <v>2029.5</v>
      </c>
      <c r="P127" s="21" t="n">
        <f aca="false">IF(K127=9999,"",ROUNDUP(K127,0)-1)</f>
        <v>2028</v>
      </c>
      <c r="Q127" s="21" t="n">
        <f aca="false">IF(AND(N(G127)=1,K127&lt;9999,L127&gt;0),1,0)</f>
        <v>0</v>
      </c>
      <c r="R127" s="21" t="n">
        <f aca="false">IF(AND(K127&gt;asof,K127&lt;9999,N(S127)&lt;&gt;1,P127&gt;=dly_d2_y0,P127&lt;=dly_d2_y1),1,0)</f>
        <v>1</v>
      </c>
      <c r="S127" s="20" t="n">
        <f aca="false">IF(In!O375="","",In!O375)</f>
        <v>0</v>
      </c>
    </row>
    <row r="128" customFormat="false" ht="15" hidden="false" customHeight="false" outlineLevel="0" collapsed="false">
      <c r="A128" s="0" t="s">
        <v>1126</v>
      </c>
      <c r="B128" s="20" t="str">
        <f aca="false">In!B376</f>
        <v>AWS Salem Twp campus adjacent to Susquehanna (Talen PPA 1,920 MW)</v>
      </c>
      <c r="C128" s="20" t="str">
        <f aca="false">IF(In!H376="","",In!H376)</f>
        <v>amzn</v>
      </c>
      <c r="D128" s="20" t="str">
        <f aca="false">IF(In!I376="","",In!I376)</f>
        <v/>
      </c>
      <c r="E128" s="20" t="n">
        <f aca="false">IF(In!J376="","",In!J376)</f>
        <v>343</v>
      </c>
      <c r="F128" s="20" t="str">
        <f aca="false">In!C376</f>
        <v>設施</v>
      </c>
      <c r="G128" s="20" t="n">
        <f aca="false">IF(In!N376="","",In!N376)</f>
        <v>0</v>
      </c>
      <c r="H128" s="20" t="n">
        <f aca="false">IF(In!K376="","",In!K376)</f>
        <v>2029</v>
      </c>
      <c r="I128" s="20" t="n">
        <f aca="false">IF(In!L376="","",In!L376)</f>
        <v>12</v>
      </c>
      <c r="J128" s="20" t="n">
        <f aca="false">N(In!M376)</f>
        <v>0</v>
      </c>
      <c r="K128" s="25" t="n">
        <f aca="false">IF(OR(H128="",I128=""),9999,H128+I128/12)</f>
        <v>2030</v>
      </c>
      <c r="L128" s="25" t="n">
        <f aca="false">IF(E128="",0,IF(F128="設施",E128/1000/INDEX(Players!$D$13:$M$13,1,MAX(1,MIN(10,H128-2022))),E128/1000*g_ITtoFac))</f>
        <v>0.285833333333333</v>
      </c>
      <c r="M128" s="25" t="n">
        <f aca="false">K128</f>
        <v>2030</v>
      </c>
      <c r="N128" s="25" t="n">
        <f aca="false">IF(K128&gt;asof,K128+N(J128)/12,K128)</f>
        <v>2030</v>
      </c>
      <c r="O128" s="25" t="n">
        <f aca="false">IF(K128&gt;asof,K128+IF(N(J128)&gt;0,N(J128),dly_d1_m)/12,K128)</f>
        <v>2030.5</v>
      </c>
      <c r="P128" s="21" t="n">
        <f aca="false">IF(K128=9999,"",ROUNDUP(K128,0)-1)</f>
        <v>2029</v>
      </c>
      <c r="Q128" s="21" t="n">
        <f aca="false">IF(AND(N(G128)=1,K128&lt;9999,L128&gt;0),1,0)</f>
        <v>0</v>
      </c>
      <c r="R128" s="21" t="n">
        <f aca="false">IF(AND(K128&gt;asof,K128&lt;9999,N(S128)&lt;&gt;1,P128&gt;=dly_d2_y0,P128&lt;=dly_d2_y1),1,0)</f>
        <v>0</v>
      </c>
      <c r="S128" s="20" t="n">
        <f aca="false">IF(In!O376="","",In!O376)</f>
        <v>0</v>
      </c>
    </row>
    <row r="129" customFormat="false" ht="15" hidden="false" customHeight="false" outlineLevel="0" collapsed="false">
      <c r="A129" s="0" t="s">
        <v>1127</v>
      </c>
      <c r="B129" s="20" t="str">
        <f aca="false">In!B377</f>
        <v>AWS Salem Twp campus adjacent to Susquehanna (Talen PPA 1,920 MW)</v>
      </c>
      <c r="C129" s="20" t="str">
        <f aca="false">IF(In!H377="","",In!H377)</f>
        <v>amzn</v>
      </c>
      <c r="D129" s="20" t="str">
        <f aca="false">IF(In!I377="","",In!I377)</f>
        <v/>
      </c>
      <c r="E129" s="20" t="n">
        <f aca="false">IF(In!J377="","",In!J377)</f>
        <v>343</v>
      </c>
      <c r="F129" s="20" t="str">
        <f aca="false">In!C377</f>
        <v>設施</v>
      </c>
      <c r="G129" s="20" t="n">
        <f aca="false">IF(In!N377="","",In!N377)</f>
        <v>0</v>
      </c>
      <c r="H129" s="20" t="n">
        <f aca="false">IF(In!K377="","",In!K377)</f>
        <v>2030</v>
      </c>
      <c r="I129" s="20" t="n">
        <f aca="false">IF(In!L377="","",In!L377)</f>
        <v>12</v>
      </c>
      <c r="J129" s="20" t="n">
        <f aca="false">N(In!M377)</f>
        <v>0</v>
      </c>
      <c r="K129" s="25" t="n">
        <f aca="false">IF(OR(H129="",I129=""),9999,H129+I129/12)</f>
        <v>2031</v>
      </c>
      <c r="L129" s="25" t="n">
        <f aca="false">IF(E129="",0,IF(F129="設施",E129/1000/INDEX(Players!$D$13:$M$13,1,MAX(1,MIN(10,H129-2022))),E129/1000*g_ITtoFac))</f>
        <v>0.285833333333333</v>
      </c>
      <c r="M129" s="25" t="n">
        <f aca="false">K129</f>
        <v>2031</v>
      </c>
      <c r="N129" s="25" t="n">
        <f aca="false">IF(K129&gt;asof,K129+N(J129)/12,K129)</f>
        <v>2031</v>
      </c>
      <c r="O129" s="25" t="n">
        <f aca="false">IF(K129&gt;asof,K129+IF(N(J129)&gt;0,N(J129),dly_d1_m)/12,K129)</f>
        <v>2031.5</v>
      </c>
      <c r="P129" s="21" t="n">
        <f aca="false">IF(K129=9999,"",ROUNDUP(K129,0)-1)</f>
        <v>2030</v>
      </c>
      <c r="Q129" s="21" t="n">
        <f aca="false">IF(AND(N(G129)=1,K129&lt;9999,L129&gt;0),1,0)</f>
        <v>0</v>
      </c>
      <c r="R129" s="21" t="n">
        <f aca="false">IF(AND(K129&gt;asof,K129&lt;9999,N(S129)&lt;&gt;1,P129&gt;=dly_d2_y0,P129&lt;=dly_d2_y1),1,0)</f>
        <v>0</v>
      </c>
      <c r="S129" s="20" t="n">
        <f aca="false">IF(In!O377="","",In!O377)</f>
        <v>0</v>
      </c>
    </row>
    <row r="130" customFormat="false" ht="15" hidden="false" customHeight="false" outlineLevel="0" collapsed="false">
      <c r="A130" s="0" t="s">
        <v>1128</v>
      </c>
      <c r="B130" s="20" t="str">
        <f aca="false">In!B378</f>
        <v>AWS Salem Twp campus adjacent to Susquehanna (Talen PPA 1,920 MW)</v>
      </c>
      <c r="C130" s="20" t="str">
        <f aca="false">IF(In!H378="","",In!H378)</f>
        <v>amzn</v>
      </c>
      <c r="D130" s="20" t="str">
        <f aca="false">IF(In!I378="","",In!I378)</f>
        <v/>
      </c>
      <c r="E130" s="20" t="n">
        <f aca="false">IF(In!J378="","",In!J378)</f>
        <v>343</v>
      </c>
      <c r="F130" s="20" t="str">
        <f aca="false">In!C378</f>
        <v>設施</v>
      </c>
      <c r="G130" s="20" t="n">
        <f aca="false">IF(In!N378="","",In!N378)</f>
        <v>0</v>
      </c>
      <c r="H130" s="20" t="n">
        <f aca="false">IF(In!K378="","",In!K378)</f>
        <v>2031</v>
      </c>
      <c r="I130" s="20" t="n">
        <f aca="false">IF(In!L378="","",In!L378)</f>
        <v>12</v>
      </c>
      <c r="J130" s="20" t="n">
        <f aca="false">N(In!M378)</f>
        <v>0</v>
      </c>
      <c r="K130" s="25" t="n">
        <f aca="false">IF(OR(H130="",I130=""),9999,H130+I130/12)</f>
        <v>2032</v>
      </c>
      <c r="L130" s="25" t="n">
        <f aca="false">IF(E130="",0,IF(F130="設施",E130/1000/INDEX(Players!$D$13:$M$13,1,MAX(1,MIN(10,H130-2022))),E130/1000*g_ITtoFac))</f>
        <v>0.285833333333333</v>
      </c>
      <c r="M130" s="25" t="n">
        <f aca="false">K130</f>
        <v>2032</v>
      </c>
      <c r="N130" s="25" t="n">
        <f aca="false">IF(K130&gt;asof,K130+N(J130)/12,K130)</f>
        <v>2032</v>
      </c>
      <c r="O130" s="25" t="n">
        <f aca="false">IF(K130&gt;asof,K130+IF(N(J130)&gt;0,N(J130),dly_d1_m)/12,K130)</f>
        <v>2032.5</v>
      </c>
      <c r="P130" s="21" t="n">
        <f aca="false">IF(K130=9999,"",ROUNDUP(K130,0)-1)</f>
        <v>2031</v>
      </c>
      <c r="Q130" s="21" t="n">
        <f aca="false">IF(AND(N(G130)=1,K130&lt;9999,L130&gt;0),1,0)</f>
        <v>0</v>
      </c>
      <c r="R130" s="21" t="n">
        <f aca="false">IF(AND(K130&gt;asof,K130&lt;9999,N(S130)&lt;&gt;1,P130&gt;=dly_d2_y0,P130&lt;=dly_d2_y1),1,0)</f>
        <v>0</v>
      </c>
      <c r="S130" s="20" t="n">
        <f aca="false">IF(In!O378="","",In!O378)</f>
        <v>0</v>
      </c>
    </row>
    <row r="131" customFormat="false" ht="15" hidden="false" customHeight="false" outlineLevel="0" collapsed="false">
      <c r="A131" s="0" t="s">
        <v>1129</v>
      </c>
      <c r="B131" s="20" t="str">
        <f aca="false">In!B379</f>
        <v>AWS Salem Twp campus adjacent to Susquehanna (Talen PPA 1,920 MW)</v>
      </c>
      <c r="C131" s="20" t="str">
        <f aca="false">IF(In!H379="","",In!H379)</f>
        <v>amzn</v>
      </c>
      <c r="D131" s="20" t="str">
        <f aca="false">IF(In!I379="","",In!I379)</f>
        <v/>
      </c>
      <c r="E131" s="20" t="n">
        <f aca="false">IF(In!J379="","",In!J379)</f>
        <v>343</v>
      </c>
      <c r="F131" s="20" t="str">
        <f aca="false">In!C379</f>
        <v>設施</v>
      </c>
      <c r="G131" s="20" t="n">
        <f aca="false">IF(In!N379="","",In!N379)</f>
        <v>0</v>
      </c>
      <c r="H131" s="20" t="n">
        <f aca="false">IF(In!K379="","",In!K379)</f>
        <v>2032</v>
      </c>
      <c r="I131" s="20" t="n">
        <f aca="false">IF(In!L379="","",In!L379)</f>
        <v>12</v>
      </c>
      <c r="J131" s="20" t="n">
        <f aca="false">N(In!M379)</f>
        <v>0</v>
      </c>
      <c r="K131" s="25" t="n">
        <f aca="false">IF(OR(H131="",I131=""),9999,H131+I131/12)</f>
        <v>2033</v>
      </c>
      <c r="L131" s="25" t="n">
        <f aca="false">IF(E131="",0,IF(F131="設施",E131/1000/INDEX(Players!$D$13:$M$13,1,MAX(1,MIN(10,H131-2022))),E131/1000*g_ITtoFac))</f>
        <v>0.285833333333333</v>
      </c>
      <c r="M131" s="25" t="n">
        <f aca="false">K131</f>
        <v>2033</v>
      </c>
      <c r="N131" s="25" t="n">
        <f aca="false">IF(K131&gt;asof,K131+N(J131)/12,K131)</f>
        <v>2033</v>
      </c>
      <c r="O131" s="25" t="n">
        <f aca="false">IF(K131&gt;asof,K131+IF(N(J131)&gt;0,N(J131),dly_d1_m)/12,K131)</f>
        <v>2033.5</v>
      </c>
      <c r="P131" s="21" t="n">
        <f aca="false">IF(K131=9999,"",ROUNDUP(K131,0)-1)</f>
        <v>2032</v>
      </c>
      <c r="Q131" s="21" t="n">
        <f aca="false">IF(AND(N(G131)=1,K131&lt;9999,L131&gt;0),1,0)</f>
        <v>0</v>
      </c>
      <c r="R131" s="21" t="n">
        <f aca="false">IF(AND(K131&gt;asof,K131&lt;9999,N(S131)&lt;&gt;1,P131&gt;=dly_d2_y0,P131&lt;=dly_d2_y1),1,0)</f>
        <v>0</v>
      </c>
      <c r="S131" s="20" t="n">
        <f aca="false">IF(In!O379="","",In!O379)</f>
        <v>0</v>
      </c>
    </row>
    <row r="132" customFormat="false" ht="15" hidden="false" customHeight="false" outlineLevel="0" collapsed="false">
      <c r="A132" s="0" t="s">
        <v>1130</v>
      </c>
      <c r="B132" s="20" t="str">
        <f aca="false">In!B380</f>
        <v>Google Cheyenne WY (Black Hills; grid-connected portion)</v>
      </c>
      <c r="C132" s="20" t="str">
        <f aca="false">IF(In!H380="","",In!H380)</f>
        <v>googl</v>
      </c>
      <c r="D132" s="20" t="str">
        <f aca="false">IF(In!I380="","",In!I380)</f>
        <v>self</v>
      </c>
      <c r="E132" s="20" t="n">
        <f aca="false">IF(In!J380="","",In!J380)</f>
        <v>197</v>
      </c>
      <c r="F132" s="20" t="str">
        <f aca="false">In!C380</f>
        <v>設施</v>
      </c>
      <c r="G132" s="20" t="n">
        <f aca="false">IF(In!N380="","",In!N380)</f>
        <v>0</v>
      </c>
      <c r="H132" s="20" t="n">
        <f aca="false">IF(In!K380="","",In!K380)</f>
        <v>2028</v>
      </c>
      <c r="I132" s="20" t="n">
        <f aca="false">IF(In!L380="","",In!L380)</f>
        <v>12</v>
      </c>
      <c r="J132" s="20" t="n">
        <f aca="false">N(In!M380)</f>
        <v>0</v>
      </c>
      <c r="K132" s="25" t="n">
        <f aca="false">IF(OR(H132="",I132=""),9999,H132+I132/12)</f>
        <v>2029</v>
      </c>
      <c r="L132" s="25" t="n">
        <f aca="false">IF(E132="",0,IF(F132="設施",E132/1000/INDEX(Players!$D$13:$M$13,1,MAX(1,MIN(10,H132-2022))),E132/1000*g_ITtoFac))</f>
        <v>0.164166666666667</v>
      </c>
      <c r="M132" s="25" t="n">
        <f aca="false">K132</f>
        <v>2029</v>
      </c>
      <c r="N132" s="25" t="n">
        <f aca="false">IF(K132&gt;asof,K132+N(J132)/12,K132)</f>
        <v>2029</v>
      </c>
      <c r="O132" s="25" t="n">
        <f aca="false">IF(K132&gt;asof,K132+IF(N(J132)&gt;0,N(J132),dly_d1_m)/12,K132)</f>
        <v>2029.5</v>
      </c>
      <c r="P132" s="21" t="n">
        <f aca="false">IF(K132=9999,"",ROUNDUP(K132,0)-1)</f>
        <v>2028</v>
      </c>
      <c r="Q132" s="21" t="n">
        <f aca="false">IF(AND(N(G132)=1,K132&lt;9999,L132&gt;0),1,0)</f>
        <v>0</v>
      </c>
      <c r="R132" s="21" t="n">
        <f aca="false">IF(AND(K132&gt;asof,K132&lt;9999,N(S132)&lt;&gt;1,P132&gt;=dly_d2_y0,P132&lt;=dly_d2_y1),1,0)</f>
        <v>1</v>
      </c>
      <c r="S132" s="20" t="n">
        <f aca="false">IF(In!O380="","",In!O380)</f>
        <v>0</v>
      </c>
    </row>
    <row r="133" customFormat="false" ht="15" hidden="false" customHeight="false" outlineLevel="0" collapsed="false">
      <c r="A133" s="0" t="s">
        <v>1133</v>
      </c>
      <c r="B133" s="20" t="str">
        <f aca="false">In!B381</f>
        <v>Google Cheyenne WY (Black Hills; grid-connected portion)</v>
      </c>
      <c r="C133" s="20" t="str">
        <f aca="false">IF(In!H381="","",In!H381)</f>
        <v>googl</v>
      </c>
      <c r="D133" s="20" t="str">
        <f aca="false">IF(In!I381="","",In!I381)</f>
        <v>self</v>
      </c>
      <c r="E133" s="20" t="n">
        <f aca="false">IF(In!J381="","",In!J381)</f>
        <v>197</v>
      </c>
      <c r="F133" s="20" t="str">
        <f aca="false">In!C381</f>
        <v>設施</v>
      </c>
      <c r="G133" s="20" t="n">
        <f aca="false">IF(In!N381="","",In!N381)</f>
        <v>0</v>
      </c>
      <c r="H133" s="20" t="n">
        <f aca="false">IF(In!K381="","",In!K381)</f>
        <v>2029</v>
      </c>
      <c r="I133" s="20" t="n">
        <f aca="false">IF(In!L381="","",In!L381)</f>
        <v>12</v>
      </c>
      <c r="J133" s="20" t="n">
        <f aca="false">N(In!M381)</f>
        <v>0</v>
      </c>
      <c r="K133" s="25" t="n">
        <f aca="false">IF(OR(H133="",I133=""),9999,H133+I133/12)</f>
        <v>2030</v>
      </c>
      <c r="L133" s="25" t="n">
        <f aca="false">IF(E133="",0,IF(F133="設施",E133/1000/INDEX(Players!$D$13:$M$13,1,MAX(1,MIN(10,H133-2022))),E133/1000*g_ITtoFac))</f>
        <v>0.164166666666667</v>
      </c>
      <c r="M133" s="25" t="n">
        <f aca="false">K133</f>
        <v>2030</v>
      </c>
      <c r="N133" s="25" t="n">
        <f aca="false">IF(K133&gt;asof,K133+N(J133)/12,K133)</f>
        <v>2030</v>
      </c>
      <c r="O133" s="25" t="n">
        <f aca="false">IF(K133&gt;asof,K133+IF(N(J133)&gt;0,N(J133),dly_d1_m)/12,K133)</f>
        <v>2030.5</v>
      </c>
      <c r="P133" s="21" t="n">
        <f aca="false">IF(K133=9999,"",ROUNDUP(K133,0)-1)</f>
        <v>2029</v>
      </c>
      <c r="Q133" s="21" t="n">
        <f aca="false">IF(AND(N(G133)=1,K133&lt;9999,L133&gt;0),1,0)</f>
        <v>0</v>
      </c>
      <c r="R133" s="21" t="n">
        <f aca="false">IF(AND(K133&gt;asof,K133&lt;9999,N(S133)&lt;&gt;1,P133&gt;=dly_d2_y0,P133&lt;=dly_d2_y1),1,0)</f>
        <v>0</v>
      </c>
      <c r="S133" s="20" t="n">
        <f aca="false">IF(In!O381="","",In!O381)</f>
        <v>0</v>
      </c>
    </row>
    <row r="134" customFormat="false" ht="15" hidden="false" customHeight="false" outlineLevel="0" collapsed="false">
      <c r="A134" s="0" t="s">
        <v>1134</v>
      </c>
      <c r="B134" s="20" t="str">
        <f aca="false">In!B382</f>
        <v>Google Cheyenne WY (Black Hills; grid-connected portion)</v>
      </c>
      <c r="C134" s="20" t="str">
        <f aca="false">IF(In!H382="","",In!H382)</f>
        <v>googl</v>
      </c>
      <c r="D134" s="20" t="str">
        <f aca="false">IF(In!I382="","",In!I382)</f>
        <v>self</v>
      </c>
      <c r="E134" s="20" t="n">
        <f aca="false">IF(In!J382="","",In!J382)</f>
        <v>196</v>
      </c>
      <c r="F134" s="20" t="str">
        <f aca="false">In!C382</f>
        <v>設施</v>
      </c>
      <c r="G134" s="20" t="n">
        <f aca="false">IF(In!N382="","",In!N382)</f>
        <v>0</v>
      </c>
      <c r="H134" s="20" t="n">
        <f aca="false">IF(In!K382="","",In!K382)</f>
        <v>2030</v>
      </c>
      <c r="I134" s="20" t="n">
        <f aca="false">IF(In!L382="","",In!L382)</f>
        <v>12</v>
      </c>
      <c r="J134" s="20" t="n">
        <f aca="false">N(In!M382)</f>
        <v>0</v>
      </c>
      <c r="K134" s="25" t="n">
        <f aca="false">IF(OR(H134="",I134=""),9999,H134+I134/12)</f>
        <v>2031</v>
      </c>
      <c r="L134" s="25" t="n">
        <f aca="false">IF(E134="",0,IF(F134="設施",E134/1000/INDEX(Players!$D$13:$M$13,1,MAX(1,MIN(10,H134-2022))),E134/1000*g_ITtoFac))</f>
        <v>0.163333333333333</v>
      </c>
      <c r="M134" s="25" t="n">
        <f aca="false">K134</f>
        <v>2031</v>
      </c>
      <c r="N134" s="25" t="n">
        <f aca="false">IF(K134&gt;asof,K134+N(J134)/12,K134)</f>
        <v>2031</v>
      </c>
      <c r="O134" s="25" t="n">
        <f aca="false">IF(K134&gt;asof,K134+IF(N(J134)&gt;0,N(J134),dly_d1_m)/12,K134)</f>
        <v>2031.5</v>
      </c>
      <c r="P134" s="21" t="n">
        <f aca="false">IF(K134=9999,"",ROUNDUP(K134,0)-1)</f>
        <v>2030</v>
      </c>
      <c r="Q134" s="21" t="n">
        <f aca="false">IF(AND(N(G134)=1,K134&lt;9999,L134&gt;0),1,0)</f>
        <v>0</v>
      </c>
      <c r="R134" s="21" t="n">
        <f aca="false">IF(AND(K134&gt;asof,K134&lt;9999,N(S134)&lt;&gt;1,P134&gt;=dly_d2_y0,P134&lt;=dly_d2_y1),1,0)</f>
        <v>0</v>
      </c>
      <c r="S134" s="20" t="n">
        <f aca="false">IF(In!O382="","",In!O382)</f>
        <v>0</v>
      </c>
    </row>
    <row r="136" customFormat="false" ht="17.15" hidden="false" customHeight="false" outlineLevel="0" collapsed="false">
      <c r="A136" s="8" t="s">
        <v>1722</v>
      </c>
    </row>
    <row r="137" customFormat="false" ht="15" hidden="false" customHeight="false" outlineLevel="0" collapsed="false">
      <c r="A137" s="6" t="s">
        <v>1723</v>
      </c>
      <c r="B137" s="6" t="s">
        <v>19</v>
      </c>
      <c r="C137" s="6" t="s">
        <v>1724</v>
      </c>
      <c r="D137" s="7" t="s">
        <v>26</v>
      </c>
      <c r="E137" s="7" t="s">
        <v>27</v>
      </c>
      <c r="F137" s="7" t="s">
        <v>28</v>
      </c>
      <c r="G137" s="7" t="s">
        <v>29</v>
      </c>
      <c r="H137" s="7" t="s">
        <v>30</v>
      </c>
      <c r="I137" s="7" t="s">
        <v>31</v>
      </c>
      <c r="J137" s="7" t="s">
        <v>32</v>
      </c>
      <c r="K137" s="7" t="s">
        <v>33</v>
      </c>
      <c r="L137" s="7" t="s">
        <v>34</v>
      </c>
      <c r="M137" s="7" t="s">
        <v>35</v>
      </c>
    </row>
    <row r="138" customFormat="false" ht="17.15" hidden="false" customHeight="false" outlineLevel="0" collapsed="false">
      <c r="A138" s="0" t="s">
        <v>1692</v>
      </c>
      <c r="B138" s="0" t="s">
        <v>728</v>
      </c>
      <c r="C138" s="5" t="s">
        <v>1725</v>
      </c>
      <c r="E138" s="25" t="n">
        <f aca="false">Players!E36-SUMIFS($L$5:$L$134,$C$5:$C$134,"msft",$Q$5:$Q$134,1,$P$5:$P$134,2024)</f>
        <v>0</v>
      </c>
      <c r="F138" s="25" t="n">
        <f aca="false">Players!F36-SUMIFS($L$5:$L$134,$C$5:$C$134,"msft",$Q$5:$Q$134,1,$P$5:$P$134,2025)</f>
        <v>1.81427</v>
      </c>
      <c r="G138" s="25" t="n">
        <f aca="false">Players!G36-SUMIFS($L$5:$L$134,$C$5:$C$134,"msft",$Q$5:$Q$134,1,$P$5:$P$134,2026)</f>
        <v>0.0869549999999999</v>
      </c>
      <c r="H138" s="25" t="n">
        <f aca="false">Players!H36-SUMIFS($L$5:$L$134,$C$5:$C$134,"msft",$Q$5:$Q$134,1,$P$5:$P$134,2027)</f>
        <v>0</v>
      </c>
      <c r="I138" s="25" t="n">
        <f aca="false">Players!I36-SUMIFS($L$5:$L$134,$C$5:$C$134,"msft",$Q$5:$Q$134,1,$P$5:$P$134,2028)</f>
        <v>0</v>
      </c>
      <c r="J138" s="25" t="n">
        <f aca="false">Players!J36-SUMIFS($L$5:$L$134,$C$5:$C$134,"msft",$Q$5:$Q$134,1,$P$5:$P$134,2029)</f>
        <v>0</v>
      </c>
      <c r="K138" s="25" t="n">
        <f aca="false">Players!K36-SUMIFS($L$5:$L$134,$C$5:$C$134,"msft",$Q$5:$Q$134,1,$P$5:$P$134,2030)</f>
        <v>0</v>
      </c>
      <c r="L138" s="25" t="n">
        <f aca="false">Players!L36-SUMIFS($L$5:$L$134,$C$5:$C$134,"msft",$Q$5:$Q$134,1,$P$5:$P$134,2031)</f>
        <v>0</v>
      </c>
      <c r="M138" s="25" t="n">
        <f aca="false">Players!M36-SUMIFS($L$5:$L$134,$C$5:$C$134,"msft",$Q$5:$Q$134,1,$P$5:$P$134,2032)</f>
        <v>0</v>
      </c>
    </row>
    <row r="139" customFormat="false" ht="17.15" hidden="false" customHeight="false" outlineLevel="0" collapsed="false">
      <c r="A139" s="0" t="s">
        <v>1693</v>
      </c>
      <c r="B139" s="0" t="s">
        <v>733</v>
      </c>
      <c r="C139" s="5" t="s">
        <v>1725</v>
      </c>
      <c r="E139" s="25" t="n">
        <f aca="false">Players!E55-SUMIFS($L$5:$L$134,$C$5:$C$134,"googl",$Q$5:$Q$134,1,$P$5:$P$134,2024)</f>
        <v>1.32980834349181</v>
      </c>
      <c r="F139" s="25" t="n">
        <f aca="false">Players!F55-SUMIFS($L$5:$L$134,$C$5:$C$134,"googl",$Q$5:$Q$134,1,$P$5:$P$134,2025)</f>
        <v>2.40961330082622</v>
      </c>
      <c r="G139" s="25" t="n">
        <f aca="false">Players!G55-SUMIFS($L$5:$L$134,$C$5:$C$134,"googl",$Q$5:$Q$134,1,$P$5:$P$134,2026)</f>
        <v>1.29267912772586</v>
      </c>
      <c r="H139" s="25" t="n">
        <f aca="false">Players!H55-SUMIFS($L$5:$L$134,$C$5:$C$134,"googl",$Q$5:$Q$134,1,$P$5:$P$134,2027)</f>
        <v>0</v>
      </c>
      <c r="I139" s="25" t="n">
        <f aca="false">Players!I55-SUMIFS($L$5:$L$134,$C$5:$C$134,"googl",$Q$5:$Q$134,1,$P$5:$P$134,2028)</f>
        <v>0</v>
      </c>
      <c r="J139" s="25" t="n">
        <f aca="false">Players!J55-SUMIFS($L$5:$L$134,$C$5:$C$134,"googl",$Q$5:$Q$134,1,$P$5:$P$134,2029)</f>
        <v>0</v>
      </c>
      <c r="K139" s="25" t="n">
        <f aca="false">Players!K55-SUMIFS($L$5:$L$134,$C$5:$C$134,"googl",$Q$5:$Q$134,1,$P$5:$P$134,2030)</f>
        <v>0</v>
      </c>
      <c r="L139" s="25" t="n">
        <f aca="false">Players!L55-SUMIFS($L$5:$L$134,$C$5:$C$134,"googl",$Q$5:$Q$134,1,$P$5:$P$134,2031)</f>
        <v>0</v>
      </c>
      <c r="M139" s="25" t="n">
        <f aca="false">Players!M55-SUMIFS($L$5:$L$134,$C$5:$C$134,"googl",$Q$5:$Q$134,1,$P$5:$P$134,2032)</f>
        <v>0</v>
      </c>
    </row>
    <row r="140" customFormat="false" ht="17.15" hidden="false" customHeight="false" outlineLevel="0" collapsed="false">
      <c r="A140" s="0" t="s">
        <v>1694</v>
      </c>
      <c r="B140" s="0" t="s">
        <v>741</v>
      </c>
      <c r="C140" s="5" t="s">
        <v>1725</v>
      </c>
      <c r="E140" s="25" t="n">
        <f aca="false">Players!E74-SUMIFS($L$5:$L$134,$C$5:$C$134,"amzn",$Q$5:$Q$134,1,$P$5:$P$134,2024)</f>
        <v>0</v>
      </c>
      <c r="F140" s="25" t="n">
        <f aca="false">Players!F74-SUMIFS($L$5:$L$134,$C$5:$C$134,"amzn",$Q$5:$Q$134,1,$P$5:$P$134,2025)</f>
        <v>1.38971599402093</v>
      </c>
      <c r="G140" s="25" t="n">
        <f aca="false">Players!G74-SUMIFS($L$5:$L$134,$C$5:$C$134,"amzn",$Q$5:$Q$134,1,$P$5:$P$134,2026)</f>
        <v>0.4</v>
      </c>
      <c r="H140" s="25" t="n">
        <f aca="false">Players!H74-SUMIFS($L$5:$L$134,$C$5:$C$134,"amzn",$Q$5:$Q$134,1,$P$5:$P$134,2027)</f>
        <v>0</v>
      </c>
      <c r="I140" s="25" t="n">
        <f aca="false">Players!I74-SUMIFS($L$5:$L$134,$C$5:$C$134,"amzn",$Q$5:$Q$134,1,$P$5:$P$134,2028)</f>
        <v>0</v>
      </c>
      <c r="J140" s="25" t="n">
        <f aca="false">Players!J74-SUMIFS($L$5:$L$134,$C$5:$C$134,"amzn",$Q$5:$Q$134,1,$P$5:$P$134,2029)</f>
        <v>2.77555756156289E-016</v>
      </c>
      <c r="K140" s="25" t="n">
        <f aca="false">Players!K74-SUMIFS($L$5:$L$134,$C$5:$C$134,"amzn",$Q$5:$Q$134,1,$P$5:$P$134,2030)</f>
        <v>0</v>
      </c>
      <c r="L140" s="25" t="n">
        <f aca="false">Players!L74-SUMIFS($L$5:$L$134,$C$5:$C$134,"amzn",$Q$5:$Q$134,1,$P$5:$P$134,2031)</f>
        <v>0</v>
      </c>
      <c r="M140" s="25" t="n">
        <f aca="false">Players!M74-SUMIFS($L$5:$L$134,$C$5:$C$134,"amzn",$Q$5:$Q$134,1,$P$5:$P$134,2032)</f>
        <v>0</v>
      </c>
    </row>
    <row r="141" customFormat="false" ht="15" hidden="false" customHeight="false" outlineLevel="0" collapsed="false">
      <c r="A141" s="0" t="s">
        <v>1429</v>
      </c>
      <c r="B141" s="0" t="s">
        <v>748</v>
      </c>
      <c r="C141" s="5" t="s">
        <v>1725</v>
      </c>
      <c r="E141" s="25" t="n">
        <f aca="false">Players!E93-SUMIFS($L$5:$L$134,$C$5:$C$134,"meta",$Q$5:$Q$134,1,$P$5:$P$134,2024)</f>
        <v>0</v>
      </c>
      <c r="F141" s="25" t="n">
        <f aca="false">Players!F93-SUMIFS($L$5:$L$134,$C$5:$C$134,"meta",$Q$5:$Q$134,1,$P$5:$P$134,2025)</f>
        <v>1.50812</v>
      </c>
      <c r="G141" s="25" t="n">
        <f aca="false">Players!G93-SUMIFS($L$5:$L$134,$C$5:$C$134,"meta",$Q$5:$Q$134,1,$P$5:$P$134,2026)</f>
        <v>0</v>
      </c>
      <c r="H141" s="25" t="n">
        <f aca="false">Players!H93-SUMIFS($L$5:$L$134,$C$5:$C$134,"meta",$Q$5:$Q$134,1,$P$5:$P$134,2027)</f>
        <v>0</v>
      </c>
      <c r="I141" s="25" t="n">
        <f aca="false">Players!I93-SUMIFS($L$5:$L$134,$C$5:$C$134,"meta",$Q$5:$Q$134,1,$P$5:$P$134,2028)</f>
        <v>0</v>
      </c>
      <c r="J141" s="25" t="n">
        <f aca="false">Players!J93-SUMIFS($L$5:$L$134,$C$5:$C$134,"meta",$Q$5:$Q$134,1,$P$5:$P$134,2029)</f>
        <v>0</v>
      </c>
      <c r="K141" s="25" t="n">
        <f aca="false">Players!K93-SUMIFS($L$5:$L$134,$C$5:$C$134,"meta",$Q$5:$Q$134,1,$P$5:$P$134,2030)</f>
        <v>0</v>
      </c>
      <c r="L141" s="25" t="n">
        <f aca="false">Players!L93-SUMIFS($L$5:$L$134,$C$5:$C$134,"meta",$Q$5:$Q$134,1,$P$5:$P$134,2031)</f>
        <v>0</v>
      </c>
      <c r="M141" s="25" t="n">
        <f aca="false">Players!M93-SUMIFS($L$5:$L$134,$C$5:$C$134,"meta",$Q$5:$Q$134,1,$P$5:$P$134,2032)</f>
        <v>0</v>
      </c>
    </row>
    <row r="142" customFormat="false" ht="17.15" hidden="false" customHeight="false" outlineLevel="0" collapsed="false">
      <c r="A142" s="0" t="s">
        <v>1695</v>
      </c>
      <c r="B142" s="0" t="s">
        <v>752</v>
      </c>
      <c r="C142" s="5" t="s">
        <v>1725</v>
      </c>
      <c r="E142" s="25" t="n">
        <f aca="false">Players!E112-SUMIFS($L$5:$L$134,$C$5:$C$134,"orcl",$Q$5:$Q$134,1,$P$5:$P$134,2024)</f>
        <v>0</v>
      </c>
      <c r="F142" s="25" t="n">
        <f aca="false">Players!F112-SUMIFS($L$5:$L$134,$C$5:$C$134,"orcl",$Q$5:$Q$134,1,$P$5:$P$134,2025)</f>
        <v>0.816405</v>
      </c>
      <c r="G142" s="25" t="n">
        <f aca="false">Players!G112-SUMIFS($L$5:$L$134,$C$5:$C$134,"orcl",$Q$5:$Q$134,1,$P$5:$P$134,2026)</f>
        <v>1.34013</v>
      </c>
      <c r="H142" s="25" t="n">
        <f aca="false">Players!H112-SUMIFS($L$5:$L$134,$C$5:$C$134,"orcl",$Q$5:$Q$134,1,$P$5:$P$134,2027)</f>
        <v>0</v>
      </c>
      <c r="I142" s="25" t="n">
        <f aca="false">Players!I112-SUMIFS($L$5:$L$134,$C$5:$C$134,"orcl",$Q$5:$Q$134,1,$P$5:$P$134,2028)</f>
        <v>0</v>
      </c>
      <c r="J142" s="25" t="n">
        <f aca="false">Players!J112-SUMIFS($L$5:$L$134,$C$5:$C$134,"orcl",$Q$5:$Q$134,1,$P$5:$P$134,2029)</f>
        <v>0</v>
      </c>
      <c r="K142" s="25" t="n">
        <f aca="false">Players!K112-SUMIFS($L$5:$L$134,$C$5:$C$134,"orcl",$Q$5:$Q$134,1,$P$5:$P$134,2030)</f>
        <v>0</v>
      </c>
      <c r="L142" s="25" t="n">
        <f aca="false">Players!L112-SUMIFS($L$5:$L$134,$C$5:$C$134,"orcl",$Q$5:$Q$134,1,$P$5:$P$134,2031)</f>
        <v>0</v>
      </c>
      <c r="M142" s="25" t="n">
        <f aca="false">Players!M112-SUMIFS($L$5:$L$134,$C$5:$C$134,"orcl",$Q$5:$Q$134,1,$P$5:$P$134,2032)</f>
        <v>0</v>
      </c>
    </row>
    <row r="143" customFormat="false" ht="15" hidden="false" customHeight="false" outlineLevel="0" collapsed="false">
      <c r="A143" s="0" t="s">
        <v>1467</v>
      </c>
      <c r="B143" s="0" t="s">
        <v>842</v>
      </c>
      <c r="C143" s="5" t="s">
        <v>1725</v>
      </c>
      <c r="E143" s="25" t="n">
        <f aca="false">Players!E131-SUMIFS($L$5:$L$134,$C$5:$C$134,"crwv",$Q$5:$Q$134,1,$P$5:$P$134,2024)</f>
        <v>0.29</v>
      </c>
      <c r="F143" s="25" t="n">
        <f aca="false">Players!F131-SUMIFS($L$5:$L$134,$C$5:$C$134,"crwv",$Q$5:$Q$134,1,$P$5:$P$134,2025)</f>
        <v>0.49</v>
      </c>
      <c r="G143" s="25" t="n">
        <f aca="false">Players!G131-SUMIFS($L$5:$L$134,$C$5:$C$134,"crwv",$Q$5:$Q$134,1,$P$5:$P$134,2026)</f>
        <v>0.984</v>
      </c>
      <c r="H143" s="25" t="n">
        <f aca="false">Players!H131-SUMIFS($L$5:$L$134,$C$5:$C$134,"crwv",$Q$5:$Q$134,1,$P$5:$P$134,2027)</f>
        <v>1.2775</v>
      </c>
      <c r="I143" s="25" t="n">
        <f aca="false">Players!I131-SUMIFS($L$5:$L$134,$C$5:$C$134,"crwv",$Q$5:$Q$134,1,$P$5:$P$134,2028)</f>
        <v>1.4055</v>
      </c>
      <c r="J143" s="25" t="n">
        <f aca="false">Players!J131-SUMIFS($L$5:$L$134,$C$5:$C$134,"crwv",$Q$5:$Q$134,1,$P$5:$P$134,2029)</f>
        <v>1.5375</v>
      </c>
      <c r="K143" s="25" t="n">
        <f aca="false">Players!K131-SUMIFS($L$5:$L$134,$C$5:$C$134,"crwv",$Q$5:$Q$134,1,$P$5:$P$134,2030)</f>
        <v>1.5375</v>
      </c>
      <c r="L143" s="25" t="n">
        <f aca="false">Players!L131-SUMIFS($L$5:$L$134,$C$5:$C$134,"crwv",$Q$5:$Q$134,1,$P$5:$P$134,2031)</f>
        <v>0</v>
      </c>
      <c r="M143" s="25" t="n">
        <f aca="false">Players!M131-SUMIFS($L$5:$L$134,$C$5:$C$134,"crwv",$Q$5:$Q$134,1,$P$5:$P$134,2032)</f>
        <v>0</v>
      </c>
    </row>
    <row r="144" customFormat="false" ht="15" hidden="false" customHeight="false" outlineLevel="0" collapsed="false">
      <c r="A144" s="0" t="s">
        <v>1486</v>
      </c>
      <c r="B144" s="0" t="s">
        <v>873</v>
      </c>
      <c r="C144" s="5" t="s">
        <v>1725</v>
      </c>
      <c r="E144" s="25" t="n">
        <f aca="false">Players!E150-SUMIFS($L$5:$L$134,$C$5:$C$134,"nbis",$Q$5:$Q$134,1,$P$5:$P$134,2024)</f>
        <v>0</v>
      </c>
      <c r="F144" s="25" t="n">
        <f aca="false">Players!F150-SUMIFS($L$5:$L$134,$C$5:$C$134,"nbis",$Q$5:$Q$134,1,$P$5:$P$134,2025)</f>
        <v>0</v>
      </c>
      <c r="G144" s="25" t="n">
        <f aca="false">Players!G150-SUMIFS($L$5:$L$134,$C$5:$C$134,"nbis",$Q$5:$Q$134,1,$P$5:$P$134,2026)</f>
        <v>0.73</v>
      </c>
      <c r="H144" s="25" t="n">
        <f aca="false">Players!H150-SUMIFS($L$5:$L$134,$C$5:$C$134,"nbis",$Q$5:$Q$134,1,$P$5:$P$134,2027)</f>
        <v>0</v>
      </c>
      <c r="I144" s="25" t="n">
        <f aca="false">Players!I150-SUMIFS($L$5:$L$134,$C$5:$C$134,"nbis",$Q$5:$Q$134,1,$P$5:$P$134,2028)</f>
        <v>0</v>
      </c>
      <c r="J144" s="25" t="n">
        <f aca="false">Players!J150-SUMIFS($L$5:$L$134,$C$5:$C$134,"nbis",$Q$5:$Q$134,1,$P$5:$P$134,2029)</f>
        <v>0</v>
      </c>
      <c r="K144" s="25" t="n">
        <f aca="false">Players!K150-SUMIFS($L$5:$L$134,$C$5:$C$134,"nbis",$Q$5:$Q$134,1,$P$5:$P$134,2030)</f>
        <v>0</v>
      </c>
      <c r="L144" s="25" t="n">
        <f aca="false">Players!L150-SUMIFS($L$5:$L$134,$C$5:$C$134,"nbis",$Q$5:$Q$134,1,$P$5:$P$134,2031)</f>
        <v>0</v>
      </c>
      <c r="M144" s="25" t="n">
        <f aca="false">Players!M150-SUMIFS($L$5:$L$134,$C$5:$C$134,"nbis",$Q$5:$Q$134,1,$P$5:$P$134,2032)</f>
        <v>0</v>
      </c>
    </row>
    <row r="145" customFormat="false" ht="17.15" hidden="false" customHeight="false" outlineLevel="0" collapsed="false">
      <c r="A145" s="0" t="s">
        <v>1696</v>
      </c>
      <c r="B145" s="0" t="s">
        <v>1506</v>
      </c>
      <c r="C145" s="5" t="s">
        <v>1725</v>
      </c>
      <c r="E145" s="25" t="n">
        <f aca="false">Players!E169-SUMIFS($L$5:$L$134,$C$5:$C$134,"wyfi",$Q$5:$Q$134,1,$P$5:$P$134,2024)</f>
        <v>0</v>
      </c>
      <c r="F145" s="25" t="n">
        <f aca="false">Players!F169-SUMIFS($L$5:$L$134,$C$5:$C$134,"wyfi",$Q$5:$Q$134,1,$P$5:$P$134,2025)</f>
        <v>0</v>
      </c>
      <c r="G145" s="25" t="n">
        <f aca="false">Players!G169-SUMIFS($L$5:$L$134,$C$5:$C$134,"wyfi",$Q$5:$Q$134,1,$P$5:$P$134,2026)</f>
        <v>0.009074</v>
      </c>
      <c r="H145" s="25" t="n">
        <f aca="false">Players!H169-SUMIFS($L$5:$L$134,$C$5:$C$134,"wyfi",$Q$5:$Q$134,1,$P$5:$P$134,2027)</f>
        <v>0.001974</v>
      </c>
      <c r="I145" s="25" t="n">
        <f aca="false">Players!I169-SUMIFS($L$5:$L$134,$C$5:$C$134,"wyfi",$Q$5:$Q$134,1,$P$5:$P$134,2028)</f>
        <v>0</v>
      </c>
      <c r="J145" s="25" t="n">
        <f aca="false">Players!J169-SUMIFS($L$5:$L$134,$C$5:$C$134,"wyfi",$Q$5:$Q$134,1,$P$5:$P$134,2029)</f>
        <v>0</v>
      </c>
      <c r="K145" s="25" t="n">
        <f aca="false">Players!K169-SUMIFS($L$5:$L$134,$C$5:$C$134,"wyfi",$Q$5:$Q$134,1,$P$5:$P$134,2030)</f>
        <v>0</v>
      </c>
      <c r="L145" s="25" t="n">
        <f aca="false">Players!L169-SUMIFS($L$5:$L$134,$C$5:$C$134,"wyfi",$Q$5:$Q$134,1,$P$5:$P$134,2031)</f>
        <v>0</v>
      </c>
      <c r="M145" s="25" t="n">
        <f aca="false">Players!M169-SUMIFS($L$5:$L$134,$C$5:$C$134,"wyfi",$Q$5:$Q$134,1,$P$5:$P$134,2032)</f>
        <v>0</v>
      </c>
    </row>
    <row r="146" customFormat="false" ht="17.15" hidden="false" customHeight="false" outlineLevel="0" collapsed="false">
      <c r="A146" s="0" t="s">
        <v>1697</v>
      </c>
      <c r="B146" s="0" t="s">
        <v>757</v>
      </c>
      <c r="C146" s="5" t="s">
        <v>1725</v>
      </c>
      <c r="E146" s="25" t="n">
        <f aca="false">Players!E188-SUMIFS($L$5:$L$134,$C$5:$C$134,"xai",$Q$5:$Q$134,1,$P$5:$P$134,2024)</f>
        <v>0</v>
      </c>
      <c r="F146" s="25" t="n">
        <f aca="false">Players!F188-SUMIFS($L$5:$L$134,$C$5:$C$134,"xai",$Q$5:$Q$134,1,$P$5:$P$134,2025)</f>
        <v>0</v>
      </c>
      <c r="G146" s="25" t="n">
        <f aca="false">Players!G188-SUMIFS($L$5:$L$134,$C$5:$C$134,"xai",$Q$5:$Q$134,1,$P$5:$P$134,2026)</f>
        <v>1.4302</v>
      </c>
      <c r="H146" s="25" t="n">
        <f aca="false">Players!H188-SUMIFS($L$5:$L$134,$C$5:$C$134,"xai",$Q$5:$Q$134,1,$P$5:$P$134,2027)</f>
        <v>0</v>
      </c>
      <c r="I146" s="25" t="n">
        <f aca="false">Players!I188-SUMIFS($L$5:$L$134,$C$5:$C$134,"xai",$Q$5:$Q$134,1,$P$5:$P$134,2028)</f>
        <v>0</v>
      </c>
      <c r="J146" s="25" t="n">
        <f aca="false">Players!J188-SUMIFS($L$5:$L$134,$C$5:$C$134,"xai",$Q$5:$Q$134,1,$P$5:$P$134,2029)</f>
        <v>0</v>
      </c>
      <c r="K146" s="25" t="n">
        <f aca="false">Players!K188-SUMIFS($L$5:$L$134,$C$5:$C$134,"xai",$Q$5:$Q$134,1,$P$5:$P$134,2030)</f>
        <v>0</v>
      </c>
      <c r="L146" s="25" t="n">
        <f aca="false">Players!L188-SUMIFS($L$5:$L$134,$C$5:$C$134,"xai",$Q$5:$Q$134,1,$P$5:$P$134,2031)</f>
        <v>0</v>
      </c>
      <c r="M146" s="25" t="n">
        <f aca="false">Players!M188-SUMIFS($L$5:$L$134,$C$5:$C$134,"xai",$Q$5:$Q$134,1,$P$5:$P$134,2032)</f>
        <v>0</v>
      </c>
    </row>
    <row r="147" customFormat="false" ht="17.15" hidden="false" customHeight="false" outlineLevel="0" collapsed="false">
      <c r="A147" s="0" t="s">
        <v>1698</v>
      </c>
      <c r="B147" s="0" t="s">
        <v>753</v>
      </c>
      <c r="C147" s="5" t="s">
        <v>1725</v>
      </c>
      <c r="E147" s="25" t="n">
        <f aca="false">Players!E207-SUMIFS($L$5:$L$134,$C$5:$C$134,"oai",$Q$5:$Q$134,1,$P$5:$P$134,2024)</f>
        <v>0</v>
      </c>
      <c r="F147" s="25" t="n">
        <f aca="false">Players!F207-SUMIFS($L$5:$L$134,$C$5:$C$134,"oai",$Q$5:$Q$134,1,$P$5:$P$134,2025)</f>
        <v>0</v>
      </c>
      <c r="G147" s="25" t="n">
        <f aca="false">Players!G207-SUMIFS($L$5:$L$134,$C$5:$C$134,"oai",$Q$5:$Q$134,1,$P$5:$P$134,2026)</f>
        <v>0</v>
      </c>
      <c r="H147" s="25" t="n">
        <f aca="false">Players!H207-SUMIFS($L$5:$L$134,$C$5:$C$134,"oai",$Q$5:$Q$134,1,$P$5:$P$134,2027)</f>
        <v>0</v>
      </c>
      <c r="I147" s="25" t="n">
        <f aca="false">Players!I207-SUMIFS($L$5:$L$134,$C$5:$C$134,"oai",$Q$5:$Q$134,1,$P$5:$P$134,2028)</f>
        <v>0</v>
      </c>
      <c r="J147" s="25" t="n">
        <f aca="false">Players!J207-SUMIFS($L$5:$L$134,$C$5:$C$134,"oai",$Q$5:$Q$134,1,$P$5:$P$134,2029)</f>
        <v>0</v>
      </c>
      <c r="K147" s="25" t="n">
        <f aca="false">Players!K207-SUMIFS($L$5:$L$134,$C$5:$C$134,"oai",$Q$5:$Q$134,1,$P$5:$P$134,2030)</f>
        <v>0</v>
      </c>
      <c r="L147" s="25" t="n">
        <f aca="false">Players!L207-SUMIFS($L$5:$L$134,$C$5:$C$134,"oai",$Q$5:$Q$134,1,$P$5:$P$134,2031)</f>
        <v>0</v>
      </c>
      <c r="M147" s="25" t="n">
        <f aca="false">Players!M207-SUMIFS($L$5:$L$134,$C$5:$C$134,"oai",$Q$5:$Q$134,1,$P$5:$P$134,2032)</f>
        <v>0</v>
      </c>
    </row>
    <row r="148" customFormat="false" ht="17.15" hidden="false" customHeight="false" outlineLevel="0" collapsed="false">
      <c r="A148" s="0" t="s">
        <v>1699</v>
      </c>
      <c r="B148" s="0" t="s">
        <v>737</v>
      </c>
      <c r="C148" s="5" t="s">
        <v>1725</v>
      </c>
      <c r="E148" s="25" t="n">
        <f aca="false">Players!E226-SUMIFS($L$5:$L$134,$C$5:$C$134,"ant",$Q$5:$Q$134,1,$P$5:$P$134,2024)</f>
        <v>0</v>
      </c>
      <c r="F148" s="25" t="n">
        <f aca="false">Players!F226-SUMIFS($L$5:$L$134,$C$5:$C$134,"ant",$Q$5:$Q$134,1,$P$5:$P$134,2025)</f>
        <v>0</v>
      </c>
      <c r="G148" s="25" t="n">
        <f aca="false">Players!G226-SUMIFS($L$5:$L$134,$C$5:$C$134,"ant",$Q$5:$Q$134,1,$P$5:$P$134,2026)</f>
        <v>0</v>
      </c>
      <c r="H148" s="25" t="n">
        <f aca="false">Players!H226-SUMIFS($L$5:$L$134,$C$5:$C$134,"ant",$Q$5:$Q$134,1,$P$5:$P$134,2027)</f>
        <v>0</v>
      </c>
      <c r="I148" s="25" t="n">
        <f aca="false">Players!I226-SUMIFS($L$5:$L$134,$C$5:$C$134,"ant",$Q$5:$Q$134,1,$P$5:$P$134,2028)</f>
        <v>0</v>
      </c>
      <c r="J148" s="25" t="n">
        <f aca="false">Players!J226-SUMIFS($L$5:$L$134,$C$5:$C$134,"ant",$Q$5:$Q$134,1,$P$5:$P$134,2029)</f>
        <v>0</v>
      </c>
      <c r="K148" s="25" t="n">
        <f aca="false">Players!K226-SUMIFS($L$5:$L$134,$C$5:$C$134,"ant",$Q$5:$Q$134,1,$P$5:$P$134,2030)</f>
        <v>0</v>
      </c>
      <c r="L148" s="25" t="n">
        <f aca="false">Players!L226-SUMIFS($L$5:$L$134,$C$5:$C$134,"ant",$Q$5:$Q$134,1,$P$5:$P$134,2031)</f>
        <v>0</v>
      </c>
      <c r="M148" s="25" t="n">
        <f aca="false">Players!M226-SUMIFS($L$5:$L$134,$C$5:$C$134,"ant",$Q$5:$Q$134,1,$P$5:$P$134,2032)</f>
        <v>0</v>
      </c>
    </row>
    <row r="149" customFormat="false" ht="17.15" hidden="false" customHeight="false" outlineLevel="0" collapsed="false">
      <c r="A149" s="5" t="s">
        <v>1700</v>
      </c>
      <c r="B149" s="0" t="s">
        <v>767</v>
      </c>
      <c r="C149" s="5" t="s">
        <v>1725</v>
      </c>
      <c r="E149" s="25" t="n">
        <f aca="false">Players!E245-SUMIFS($L$5:$L$134,$C$5:$C$134,"neo",$Q$5:$Q$134,1,$P$5:$P$134,2024)</f>
        <v>0</v>
      </c>
      <c r="F149" s="25" t="n">
        <f aca="false">Players!F245-SUMIFS($L$5:$L$134,$C$5:$C$134,"neo",$Q$5:$Q$134,1,$P$5:$P$134,2025)</f>
        <v>0.3</v>
      </c>
      <c r="G149" s="25" t="n">
        <f aca="false">Players!G245-SUMIFS($L$5:$L$134,$C$5:$C$134,"neo",$Q$5:$Q$134,1,$P$5:$P$134,2026)</f>
        <v>0.7</v>
      </c>
      <c r="H149" s="25" t="n">
        <f aca="false">Players!H245-SUMIFS($L$5:$L$134,$C$5:$C$134,"neo",$Q$5:$Q$134,1,$P$5:$P$134,2027)</f>
        <v>0</v>
      </c>
      <c r="I149" s="25" t="n">
        <f aca="false">Players!I245-SUMIFS($L$5:$L$134,$C$5:$C$134,"neo",$Q$5:$Q$134,1,$P$5:$P$134,2028)</f>
        <v>0</v>
      </c>
      <c r="J149" s="25" t="n">
        <f aca="false">Players!J245-SUMIFS($L$5:$L$134,$C$5:$C$134,"neo",$Q$5:$Q$134,1,$P$5:$P$134,2029)</f>
        <v>0</v>
      </c>
      <c r="K149" s="25" t="n">
        <f aca="false">Players!K245-SUMIFS($L$5:$L$134,$C$5:$C$134,"neo",$Q$5:$Q$134,1,$P$5:$P$134,2030)</f>
        <v>0</v>
      </c>
      <c r="L149" s="25" t="n">
        <f aca="false">Players!L245-SUMIFS($L$5:$L$134,$C$5:$C$134,"neo",$Q$5:$Q$134,1,$P$5:$P$134,2031)</f>
        <v>0</v>
      </c>
      <c r="M149" s="25" t="n">
        <f aca="false">Players!M245-SUMIFS($L$5:$L$134,$C$5:$C$134,"neo",$Q$5:$Q$134,1,$P$5:$P$134,2032)</f>
        <v>0</v>
      </c>
    </row>
    <row r="150" customFormat="false" ht="17.15" hidden="false" customHeight="false" outlineLevel="0" collapsed="false">
      <c r="A150" s="5" t="s">
        <v>1701</v>
      </c>
      <c r="B150" s="0" t="s">
        <v>866</v>
      </c>
      <c r="C150" s="5" t="s">
        <v>1725</v>
      </c>
      <c r="E150" s="25" t="n">
        <f aca="false">Players!E264-SUMIFS($L$5:$L$134,$C$5:$C$134,"sov",$Q$5:$Q$134,1,$P$5:$P$134,2024)</f>
        <v>0</v>
      </c>
      <c r="F150" s="25" t="n">
        <f aca="false">Players!F264-SUMIFS($L$5:$L$134,$C$5:$C$134,"sov",$Q$5:$Q$134,1,$P$5:$P$134,2025)</f>
        <v>0</v>
      </c>
      <c r="G150" s="25" t="n">
        <f aca="false">Players!G264-SUMIFS($L$5:$L$134,$C$5:$C$134,"sov",$Q$5:$Q$134,1,$P$5:$P$134,2026)</f>
        <v>0</v>
      </c>
      <c r="H150" s="25" t="n">
        <f aca="false">Players!H264-SUMIFS($L$5:$L$134,$C$5:$C$134,"sov",$Q$5:$Q$134,1,$P$5:$P$134,2027)</f>
        <v>0</v>
      </c>
      <c r="I150" s="25" t="n">
        <f aca="false">Players!I264-SUMIFS($L$5:$L$134,$C$5:$C$134,"sov",$Q$5:$Q$134,1,$P$5:$P$134,2028)</f>
        <v>0</v>
      </c>
      <c r="J150" s="25" t="n">
        <f aca="false">Players!J264-SUMIFS($L$5:$L$134,$C$5:$C$134,"sov",$Q$5:$Q$134,1,$P$5:$P$134,2029)</f>
        <v>0</v>
      </c>
      <c r="K150" s="25" t="n">
        <f aca="false">Players!K264-SUMIFS($L$5:$L$134,$C$5:$C$134,"sov",$Q$5:$Q$134,1,$P$5:$P$134,2030)</f>
        <v>0</v>
      </c>
      <c r="L150" s="25" t="n">
        <f aca="false">Players!L264-SUMIFS($L$5:$L$134,$C$5:$C$134,"sov",$Q$5:$Q$134,1,$P$5:$P$134,2031)</f>
        <v>0</v>
      </c>
      <c r="M150" s="25" t="n">
        <f aca="false">Players!M264-SUMIFS($L$5:$L$134,$C$5:$C$134,"sov",$Q$5:$Q$134,1,$P$5:$P$134,2032)</f>
        <v>0</v>
      </c>
    </row>
    <row r="151" customFormat="false" ht="17.15" hidden="false" customHeight="false" outlineLevel="0" collapsed="false">
      <c r="A151" s="5" t="s">
        <v>1702</v>
      </c>
      <c r="B151" s="0" t="s">
        <v>774</v>
      </c>
      <c r="C151" s="5" t="s">
        <v>1725</v>
      </c>
      <c r="E151" s="25" t="n">
        <f aca="false">Players!E283-SUMIFS($L$5:$L$134,$C$5:$C$134,"cn",$Q$5:$Q$134,1,$P$5:$P$134,2024)</f>
        <v>0</v>
      </c>
      <c r="F151" s="25" t="n">
        <f aca="false">Players!F283-SUMIFS($L$5:$L$134,$C$5:$C$134,"cn",$Q$5:$Q$134,1,$P$5:$P$134,2025)</f>
        <v>0</v>
      </c>
      <c r="G151" s="25" t="n">
        <f aca="false">Players!G283-SUMIFS($L$5:$L$134,$C$5:$C$134,"cn",$Q$5:$Q$134,1,$P$5:$P$134,2026)</f>
        <v>3.33333333333333</v>
      </c>
      <c r="H151" s="25" t="n">
        <f aca="false">Players!H283-SUMIFS($L$5:$L$134,$C$5:$C$134,"cn",$Q$5:$Q$134,1,$P$5:$P$134,2027)</f>
        <v>1.9895044578405</v>
      </c>
      <c r="I151" s="25" t="n">
        <f aca="false">Players!I283-SUMIFS($L$5:$L$134,$C$5:$C$134,"cn",$Q$5:$Q$134,1,$P$5:$P$134,2028)</f>
        <v>2.28121406090902</v>
      </c>
      <c r="J151" s="25" t="n">
        <f aca="false">Players!J283-SUMIFS($L$5:$L$134,$C$5:$C$134,"cn",$Q$5:$Q$134,1,$P$5:$P$134,2029)</f>
        <v>2.61252133099745</v>
      </c>
      <c r="K151" s="25" t="n">
        <f aca="false">Players!K283-SUMIFS($L$5:$L$134,$C$5:$C$134,"cn",$Q$5:$Q$134,1,$P$5:$P$134,2030)</f>
        <v>2.9885550220479</v>
      </c>
      <c r="L151" s="25" t="n">
        <f aca="false">Players!L283-SUMIFS($L$5:$L$134,$C$5:$C$134,"cn",$Q$5:$Q$134,1,$P$5:$P$134,2031)</f>
        <v>2.15384615384616</v>
      </c>
      <c r="M151" s="25" t="n">
        <f aca="false">Players!M283-SUMIFS($L$5:$L$134,$C$5:$C$134,"cn",$Q$5:$Q$134,1,$P$5:$P$134,2032)</f>
        <v>2.36923076923077</v>
      </c>
    </row>
    <row r="152" customFormat="false" ht="17.15" hidden="false" customHeight="false" outlineLevel="0" collapsed="false">
      <c r="A152" s="5" t="s">
        <v>1703</v>
      </c>
      <c r="B152" s="0" t="s">
        <v>959</v>
      </c>
      <c r="C152" s="5" t="s">
        <v>1725</v>
      </c>
      <c r="E152" s="25" t="n">
        <f aca="false">Players!E302-SUMIFS($L$5:$L$134,$C$5:$C$134,"oth",$Q$5:$Q$134,1,$P$5:$P$134,2024)</f>
        <v>0</v>
      </c>
      <c r="F152" s="25" t="n">
        <f aca="false">Players!F302-SUMIFS($L$5:$L$134,$C$5:$C$134,"oth",$Q$5:$Q$134,1,$P$5:$P$134,2025)</f>
        <v>0</v>
      </c>
      <c r="G152" s="25" t="n">
        <f aca="false">Players!G302-SUMIFS($L$5:$L$134,$C$5:$C$134,"oth",$Q$5:$Q$134,1,$P$5:$P$134,2026)</f>
        <v>0</v>
      </c>
      <c r="H152" s="25" t="n">
        <f aca="false">Players!H302-SUMIFS($L$5:$L$134,$C$5:$C$134,"oth",$Q$5:$Q$134,1,$P$5:$P$134,2027)</f>
        <v>0</v>
      </c>
      <c r="I152" s="25" t="n">
        <f aca="false">Players!I302-SUMIFS($L$5:$L$134,$C$5:$C$134,"oth",$Q$5:$Q$134,1,$P$5:$P$134,2028)</f>
        <v>0</v>
      </c>
      <c r="J152" s="25" t="n">
        <f aca="false">Players!J302-SUMIFS($L$5:$L$134,$C$5:$C$134,"oth",$Q$5:$Q$134,1,$P$5:$P$134,2029)</f>
        <v>0</v>
      </c>
      <c r="K152" s="25" t="n">
        <f aca="false">Players!K302-SUMIFS($L$5:$L$134,$C$5:$C$134,"oth",$Q$5:$Q$134,1,$P$5:$P$134,2030)</f>
        <v>0</v>
      </c>
      <c r="L152" s="25" t="n">
        <f aca="false">Players!L302-SUMIFS($L$5:$L$134,$C$5:$C$134,"oth",$Q$5:$Q$134,1,$P$5:$P$134,2031)</f>
        <v>0</v>
      </c>
      <c r="M152" s="25" t="n">
        <f aca="false">Players!M302-SUMIFS($L$5:$L$134,$C$5:$C$134,"oth",$Q$5:$Q$134,1,$P$5:$P$134,2032)</f>
        <v>0</v>
      </c>
    </row>
    <row r="154" customFormat="false" ht="17.15" hidden="false" customHeight="false" outlineLevel="0" collapsed="false">
      <c r="A154" s="0" t="s">
        <v>1692</v>
      </c>
      <c r="B154" s="0" t="s">
        <v>728</v>
      </c>
      <c r="C154" s="5" t="s">
        <v>1726</v>
      </c>
      <c r="E154" s="25" t="n">
        <f aca="false">IF(Players!E31=2,E138,0)</f>
        <v>0</v>
      </c>
      <c r="F154" s="25" t="n">
        <f aca="false">IF(Players!F31=2,F138,0)</f>
        <v>0</v>
      </c>
      <c r="G154" s="25" t="n">
        <f aca="false">IF(Players!G31=2,G138,0)</f>
        <v>0.0869549999999999</v>
      </c>
      <c r="H154" s="25" t="n">
        <f aca="false">IF(Players!H31=2,H138,0)</f>
        <v>0</v>
      </c>
      <c r="I154" s="25" t="n">
        <f aca="false">IF(Players!I31=2,I138,0)</f>
        <v>0</v>
      </c>
      <c r="J154" s="25" t="n">
        <f aca="false">IF(Players!J31=2,J138,0)</f>
        <v>0</v>
      </c>
      <c r="K154" s="25" t="n">
        <f aca="false">IF(Players!K31=2,K138,0)</f>
        <v>0</v>
      </c>
      <c r="L154" s="25" t="n">
        <f aca="false">IF(Players!L31=2,L138,0)</f>
        <v>0</v>
      </c>
      <c r="M154" s="25" t="n">
        <f aca="false">IF(Players!M31=2,M138,0)</f>
        <v>0</v>
      </c>
    </row>
    <row r="155" customFormat="false" ht="17.15" hidden="false" customHeight="false" outlineLevel="0" collapsed="false">
      <c r="A155" s="0" t="s">
        <v>1693</v>
      </c>
      <c r="B155" s="0" t="s">
        <v>733</v>
      </c>
      <c r="C155" s="5" t="s">
        <v>1726</v>
      </c>
      <c r="E155" s="25" t="n">
        <f aca="false">IF(Players!E50=2,E139,0)</f>
        <v>0</v>
      </c>
      <c r="F155" s="25" t="n">
        <f aca="false">IF(Players!F50=2,F139,0)</f>
        <v>0</v>
      </c>
      <c r="G155" s="25" t="n">
        <f aca="false">IF(Players!G50=2,G139,0)</f>
        <v>1.29267912772586</v>
      </c>
      <c r="H155" s="25" t="n">
        <f aca="false">IF(Players!H50=2,H139,0)</f>
        <v>0</v>
      </c>
      <c r="I155" s="25" t="n">
        <f aca="false">IF(Players!I50=2,I139,0)</f>
        <v>0</v>
      </c>
      <c r="J155" s="25" t="n">
        <f aca="false">IF(Players!J50=2,J139,0)</f>
        <v>0</v>
      </c>
      <c r="K155" s="25" t="n">
        <f aca="false">IF(Players!K50=2,K139,0)</f>
        <v>0</v>
      </c>
      <c r="L155" s="25" t="n">
        <f aca="false">IF(Players!L50=2,L139,0)</f>
        <v>0</v>
      </c>
      <c r="M155" s="25" t="n">
        <f aca="false">IF(Players!M50=2,M139,0)</f>
        <v>0</v>
      </c>
    </row>
    <row r="156" customFormat="false" ht="17.15" hidden="false" customHeight="false" outlineLevel="0" collapsed="false">
      <c r="A156" s="0" t="s">
        <v>1694</v>
      </c>
      <c r="B156" s="0" t="s">
        <v>741</v>
      </c>
      <c r="C156" s="5" t="s">
        <v>1726</v>
      </c>
      <c r="E156" s="25" t="n">
        <f aca="false">IF(Players!E69=2,E140,0)</f>
        <v>0</v>
      </c>
      <c r="F156" s="25" t="n">
        <f aca="false">IF(Players!F69=2,F140,0)</f>
        <v>0</v>
      </c>
      <c r="G156" s="25" t="n">
        <f aca="false">IF(Players!G69=2,G140,0)</f>
        <v>0.4</v>
      </c>
      <c r="H156" s="25" t="n">
        <f aca="false">IF(Players!H69=2,H140,0)</f>
        <v>0</v>
      </c>
      <c r="I156" s="25" t="n">
        <f aca="false">IF(Players!I69=2,I140,0)</f>
        <v>0</v>
      </c>
      <c r="J156" s="25" t="n">
        <f aca="false">IF(Players!J69=2,J140,0)</f>
        <v>0</v>
      </c>
      <c r="K156" s="25" t="n">
        <f aca="false">IF(Players!K69=2,K140,0)</f>
        <v>0</v>
      </c>
      <c r="L156" s="25" t="n">
        <f aca="false">IF(Players!L69=2,L140,0)</f>
        <v>0</v>
      </c>
      <c r="M156" s="25" t="n">
        <f aca="false">IF(Players!M69=2,M140,0)</f>
        <v>0</v>
      </c>
    </row>
    <row r="157" customFormat="false" ht="15" hidden="false" customHeight="false" outlineLevel="0" collapsed="false">
      <c r="A157" s="0" t="s">
        <v>1429</v>
      </c>
      <c r="B157" s="0" t="s">
        <v>748</v>
      </c>
      <c r="C157" s="5" t="s">
        <v>1726</v>
      </c>
      <c r="E157" s="25" t="n">
        <f aca="false">IF(Players!E88=2,E141,0)</f>
        <v>0</v>
      </c>
      <c r="F157" s="25" t="n">
        <f aca="false">IF(Players!F88=2,F141,0)</f>
        <v>0</v>
      </c>
      <c r="G157" s="25" t="n">
        <f aca="false">IF(Players!G88=2,G141,0)</f>
        <v>0</v>
      </c>
      <c r="H157" s="25" t="n">
        <f aca="false">IF(Players!H88=2,H141,0)</f>
        <v>0</v>
      </c>
      <c r="I157" s="25" t="n">
        <f aca="false">IF(Players!I88=2,I141,0)</f>
        <v>0</v>
      </c>
      <c r="J157" s="25" t="n">
        <f aca="false">IF(Players!J88=2,J141,0)</f>
        <v>0</v>
      </c>
      <c r="K157" s="25" t="n">
        <f aca="false">IF(Players!K88=2,K141,0)</f>
        <v>0</v>
      </c>
      <c r="L157" s="25" t="n">
        <f aca="false">IF(Players!L88=2,L141,0)</f>
        <v>0</v>
      </c>
      <c r="M157" s="25" t="n">
        <f aca="false">IF(Players!M88=2,M141,0)</f>
        <v>0</v>
      </c>
    </row>
    <row r="158" customFormat="false" ht="17.15" hidden="false" customHeight="false" outlineLevel="0" collapsed="false">
      <c r="A158" s="0" t="s">
        <v>1695</v>
      </c>
      <c r="B158" s="0" t="s">
        <v>752</v>
      </c>
      <c r="C158" s="5" t="s">
        <v>1726</v>
      </c>
      <c r="E158" s="25" t="n">
        <f aca="false">IF(Players!E107=2,E142,0)</f>
        <v>0</v>
      </c>
      <c r="F158" s="25" t="n">
        <f aca="false">IF(Players!F107=2,F142,0)</f>
        <v>0</v>
      </c>
      <c r="G158" s="25" t="n">
        <f aca="false">IF(Players!G107=2,G142,0)</f>
        <v>1.34013</v>
      </c>
      <c r="H158" s="25" t="n">
        <f aca="false">IF(Players!H107=2,H142,0)</f>
        <v>0</v>
      </c>
      <c r="I158" s="25" t="n">
        <f aca="false">IF(Players!I107=2,I142,0)</f>
        <v>0</v>
      </c>
      <c r="J158" s="25" t="n">
        <f aca="false">IF(Players!J107=2,J142,0)</f>
        <v>0</v>
      </c>
      <c r="K158" s="25" t="n">
        <f aca="false">IF(Players!K107=2,K142,0)</f>
        <v>0</v>
      </c>
      <c r="L158" s="25" t="n">
        <f aca="false">IF(Players!L107=2,L142,0)</f>
        <v>0</v>
      </c>
      <c r="M158" s="25" t="n">
        <f aca="false">IF(Players!M107=2,M142,0)</f>
        <v>0</v>
      </c>
    </row>
    <row r="159" customFormat="false" ht="15" hidden="false" customHeight="false" outlineLevel="0" collapsed="false">
      <c r="A159" s="0" t="s">
        <v>1467</v>
      </c>
      <c r="B159" s="0" t="s">
        <v>842</v>
      </c>
      <c r="C159" s="5" t="s">
        <v>1726</v>
      </c>
      <c r="E159" s="25" t="n">
        <f aca="false">IF(Players!E126=2,E143,0)</f>
        <v>0</v>
      </c>
      <c r="F159" s="25" t="n">
        <f aca="false">IF(Players!F126=2,F143,0)</f>
        <v>0</v>
      </c>
      <c r="G159" s="25" t="n">
        <f aca="false">IF(Players!G126=2,G143,0)</f>
        <v>0</v>
      </c>
      <c r="H159" s="25" t="n">
        <f aca="false">IF(Players!H126=2,H143,0)</f>
        <v>0</v>
      </c>
      <c r="I159" s="25" t="n">
        <f aca="false">IF(Players!I126=2,I143,0)</f>
        <v>0</v>
      </c>
      <c r="J159" s="25" t="n">
        <f aca="false">IF(Players!J126=2,J143,0)</f>
        <v>0</v>
      </c>
      <c r="K159" s="25" t="n">
        <f aca="false">IF(Players!K126=2,K143,0)</f>
        <v>0</v>
      </c>
      <c r="L159" s="25" t="n">
        <f aca="false">IF(Players!L126=2,L143,0)</f>
        <v>0</v>
      </c>
      <c r="M159" s="25" t="n">
        <f aca="false">IF(Players!M126=2,M143,0)</f>
        <v>0</v>
      </c>
    </row>
    <row r="160" customFormat="false" ht="15" hidden="false" customHeight="false" outlineLevel="0" collapsed="false">
      <c r="A160" s="0" t="s">
        <v>1486</v>
      </c>
      <c r="B160" s="0" t="s">
        <v>873</v>
      </c>
      <c r="C160" s="5" t="s">
        <v>1726</v>
      </c>
      <c r="E160" s="25" t="n">
        <f aca="false">IF(Players!E145=2,E144,0)</f>
        <v>0</v>
      </c>
      <c r="F160" s="25" t="n">
        <f aca="false">IF(Players!F145=2,F144,0)</f>
        <v>0</v>
      </c>
      <c r="G160" s="25" t="n">
        <f aca="false">IF(Players!G145=2,G144,0)</f>
        <v>0</v>
      </c>
      <c r="H160" s="25" t="n">
        <f aca="false">IF(Players!H145=2,H144,0)</f>
        <v>0</v>
      </c>
      <c r="I160" s="25" t="n">
        <f aca="false">IF(Players!I145=2,I144,0)</f>
        <v>0</v>
      </c>
      <c r="J160" s="25" t="n">
        <f aca="false">IF(Players!J145=2,J144,0)</f>
        <v>0</v>
      </c>
      <c r="K160" s="25" t="n">
        <f aca="false">IF(Players!K145=2,K144,0)</f>
        <v>0</v>
      </c>
      <c r="L160" s="25" t="n">
        <f aca="false">IF(Players!L145=2,L144,0)</f>
        <v>0</v>
      </c>
      <c r="M160" s="25" t="n">
        <f aca="false">IF(Players!M145=2,M144,0)</f>
        <v>0</v>
      </c>
    </row>
    <row r="161" customFormat="false" ht="17.15" hidden="false" customHeight="false" outlineLevel="0" collapsed="false">
      <c r="A161" s="0" t="s">
        <v>1696</v>
      </c>
      <c r="B161" s="0" t="s">
        <v>1506</v>
      </c>
      <c r="C161" s="5" t="s">
        <v>1726</v>
      </c>
      <c r="E161" s="25" t="n">
        <f aca="false">IF(Players!E164=2,E145,0)</f>
        <v>0</v>
      </c>
      <c r="F161" s="25" t="n">
        <f aca="false">IF(Players!F164=2,F145,0)</f>
        <v>0</v>
      </c>
      <c r="G161" s="25" t="n">
        <f aca="false">IF(Players!G164=2,G145,0)</f>
        <v>0</v>
      </c>
      <c r="H161" s="25" t="n">
        <f aca="false">IF(Players!H164=2,H145,0)</f>
        <v>0</v>
      </c>
      <c r="I161" s="25" t="n">
        <f aca="false">IF(Players!I164=2,I145,0)</f>
        <v>0</v>
      </c>
      <c r="J161" s="25" t="n">
        <f aca="false">IF(Players!J164=2,J145,0)</f>
        <v>0</v>
      </c>
      <c r="K161" s="25" t="n">
        <f aca="false">IF(Players!K164=2,K145,0)</f>
        <v>0</v>
      </c>
      <c r="L161" s="25" t="n">
        <f aca="false">IF(Players!L164=2,L145,0)</f>
        <v>0</v>
      </c>
      <c r="M161" s="25" t="n">
        <f aca="false">IF(Players!M164=2,M145,0)</f>
        <v>0</v>
      </c>
    </row>
    <row r="162" customFormat="false" ht="17.15" hidden="false" customHeight="false" outlineLevel="0" collapsed="false">
      <c r="A162" s="0" t="s">
        <v>1697</v>
      </c>
      <c r="B162" s="0" t="s">
        <v>757</v>
      </c>
      <c r="C162" s="5" t="s">
        <v>1726</v>
      </c>
      <c r="E162" s="25" t="n">
        <f aca="false">IF(Players!E183=2,E146,0)</f>
        <v>0</v>
      </c>
      <c r="F162" s="25" t="n">
        <f aca="false">IF(Players!F183=2,F146,0)</f>
        <v>0</v>
      </c>
      <c r="G162" s="25" t="n">
        <f aca="false">IF(Players!G183=2,G146,0)</f>
        <v>0</v>
      </c>
      <c r="H162" s="25" t="n">
        <f aca="false">IF(Players!H183=2,H146,0)</f>
        <v>0</v>
      </c>
      <c r="I162" s="25" t="n">
        <f aca="false">IF(Players!I183=2,I146,0)</f>
        <v>0</v>
      </c>
      <c r="J162" s="25" t="n">
        <f aca="false">IF(Players!J183=2,J146,0)</f>
        <v>0</v>
      </c>
      <c r="K162" s="25" t="n">
        <f aca="false">IF(Players!K183=2,K146,0)</f>
        <v>0</v>
      </c>
      <c r="L162" s="25" t="n">
        <f aca="false">IF(Players!L183=2,L146,0)</f>
        <v>0</v>
      </c>
      <c r="M162" s="25" t="n">
        <f aca="false">IF(Players!M183=2,M146,0)</f>
        <v>0</v>
      </c>
    </row>
    <row r="163" customFormat="false" ht="17.15" hidden="false" customHeight="false" outlineLevel="0" collapsed="false">
      <c r="A163" s="0" t="s">
        <v>1698</v>
      </c>
      <c r="B163" s="0" t="s">
        <v>753</v>
      </c>
      <c r="C163" s="5" t="s">
        <v>1726</v>
      </c>
      <c r="E163" s="25" t="n">
        <f aca="false">IF(Players!E202=2,E147,0)</f>
        <v>0</v>
      </c>
      <c r="F163" s="25" t="n">
        <f aca="false">IF(Players!F202=2,F147,0)</f>
        <v>0</v>
      </c>
      <c r="G163" s="25" t="n">
        <f aca="false">IF(Players!G202=2,G147,0)</f>
        <v>0</v>
      </c>
      <c r="H163" s="25" t="n">
        <f aca="false">IF(Players!H202=2,H147,0)</f>
        <v>0</v>
      </c>
      <c r="I163" s="25" t="n">
        <f aca="false">IF(Players!I202=2,I147,0)</f>
        <v>0</v>
      </c>
      <c r="J163" s="25" t="n">
        <f aca="false">IF(Players!J202=2,J147,0)</f>
        <v>0</v>
      </c>
      <c r="K163" s="25" t="n">
        <f aca="false">IF(Players!K202=2,K147,0)</f>
        <v>0</v>
      </c>
      <c r="L163" s="25" t="n">
        <f aca="false">IF(Players!L202=2,L147,0)</f>
        <v>0</v>
      </c>
      <c r="M163" s="25" t="n">
        <f aca="false">IF(Players!M202=2,M147,0)</f>
        <v>0</v>
      </c>
    </row>
    <row r="164" customFormat="false" ht="17.15" hidden="false" customHeight="false" outlineLevel="0" collapsed="false">
      <c r="A164" s="0" t="s">
        <v>1699</v>
      </c>
      <c r="B164" s="0" t="s">
        <v>737</v>
      </c>
      <c r="C164" s="5" t="s">
        <v>1726</v>
      </c>
      <c r="E164" s="25" t="n">
        <f aca="false">IF(Players!E221=2,E148,0)</f>
        <v>0</v>
      </c>
      <c r="F164" s="25" t="n">
        <f aca="false">IF(Players!F221=2,F148,0)</f>
        <v>0</v>
      </c>
      <c r="G164" s="25" t="n">
        <f aca="false">IF(Players!G221=2,G148,0)</f>
        <v>0</v>
      </c>
      <c r="H164" s="25" t="n">
        <f aca="false">IF(Players!H221=2,H148,0)</f>
        <v>0</v>
      </c>
      <c r="I164" s="25" t="n">
        <f aca="false">IF(Players!I221=2,I148,0)</f>
        <v>0</v>
      </c>
      <c r="J164" s="25" t="n">
        <f aca="false">IF(Players!J221=2,J148,0)</f>
        <v>0</v>
      </c>
      <c r="K164" s="25" t="n">
        <f aca="false">IF(Players!K221=2,K148,0)</f>
        <v>0</v>
      </c>
      <c r="L164" s="25" t="n">
        <f aca="false">IF(Players!L221=2,L148,0)</f>
        <v>0</v>
      </c>
      <c r="M164" s="25" t="n">
        <f aca="false">IF(Players!M221=2,M148,0)</f>
        <v>0</v>
      </c>
    </row>
    <row r="165" customFormat="false" ht="17.15" hidden="false" customHeight="false" outlineLevel="0" collapsed="false">
      <c r="A165" s="5" t="s">
        <v>1700</v>
      </c>
      <c r="B165" s="0" t="s">
        <v>767</v>
      </c>
      <c r="C165" s="5" t="s">
        <v>1726</v>
      </c>
      <c r="E165" s="25" t="n">
        <f aca="false">IF(Players!E240=2,E149,0)</f>
        <v>0</v>
      </c>
      <c r="F165" s="25" t="n">
        <f aca="false">IF(Players!F240=2,F149,0)</f>
        <v>0</v>
      </c>
      <c r="G165" s="25" t="n">
        <f aca="false">IF(Players!G240=2,G149,0)</f>
        <v>0</v>
      </c>
      <c r="H165" s="25" t="n">
        <f aca="false">IF(Players!H240=2,H149,0)</f>
        <v>0</v>
      </c>
      <c r="I165" s="25" t="n">
        <f aca="false">IF(Players!I240=2,I149,0)</f>
        <v>0</v>
      </c>
      <c r="J165" s="25" t="n">
        <f aca="false">IF(Players!J240=2,J149,0)</f>
        <v>0</v>
      </c>
      <c r="K165" s="25" t="n">
        <f aca="false">IF(Players!K240=2,K149,0)</f>
        <v>0</v>
      </c>
      <c r="L165" s="25" t="n">
        <f aca="false">IF(Players!L240=2,L149,0)</f>
        <v>0</v>
      </c>
      <c r="M165" s="25" t="n">
        <f aca="false">IF(Players!M240=2,M149,0)</f>
        <v>0</v>
      </c>
    </row>
    <row r="166" customFormat="false" ht="17.15" hidden="false" customHeight="false" outlineLevel="0" collapsed="false">
      <c r="A166" s="5" t="s">
        <v>1701</v>
      </c>
      <c r="B166" s="0" t="s">
        <v>866</v>
      </c>
      <c r="C166" s="5" t="s">
        <v>1726</v>
      </c>
      <c r="E166" s="25" t="n">
        <f aca="false">IF(Players!E259=2,E150,0)</f>
        <v>0</v>
      </c>
      <c r="F166" s="25" t="n">
        <f aca="false">IF(Players!F259=2,F150,0)</f>
        <v>0</v>
      </c>
      <c r="G166" s="25" t="n">
        <f aca="false">IF(Players!G259=2,G150,0)</f>
        <v>0</v>
      </c>
      <c r="H166" s="25" t="n">
        <f aca="false">IF(Players!H259=2,H150,0)</f>
        <v>0</v>
      </c>
      <c r="I166" s="25" t="n">
        <f aca="false">IF(Players!I259=2,I150,0)</f>
        <v>0</v>
      </c>
      <c r="J166" s="25" t="n">
        <f aca="false">IF(Players!J259=2,J150,0)</f>
        <v>0</v>
      </c>
      <c r="K166" s="25" t="n">
        <f aca="false">IF(Players!K259=2,K150,0)</f>
        <v>0</v>
      </c>
      <c r="L166" s="25" t="n">
        <f aca="false">IF(Players!L259=2,L150,0)</f>
        <v>0</v>
      </c>
      <c r="M166" s="25" t="n">
        <f aca="false">IF(Players!M259=2,M150,0)</f>
        <v>0</v>
      </c>
    </row>
    <row r="167" customFormat="false" ht="17.15" hidden="false" customHeight="false" outlineLevel="0" collapsed="false">
      <c r="A167" s="5" t="s">
        <v>1702</v>
      </c>
      <c r="B167" s="0" t="s">
        <v>774</v>
      </c>
      <c r="C167" s="5" t="s">
        <v>1726</v>
      </c>
      <c r="E167" s="25" t="n">
        <f aca="false">IF(Players!E278=2,E151,0)</f>
        <v>0</v>
      </c>
      <c r="F167" s="25" t="n">
        <f aca="false">IF(Players!F278=2,F151,0)</f>
        <v>0</v>
      </c>
      <c r="G167" s="25" t="n">
        <f aca="false">IF(Players!G278=2,G151,0)</f>
        <v>0</v>
      </c>
      <c r="H167" s="25" t="n">
        <f aca="false">IF(Players!H278=2,H151,0)</f>
        <v>0</v>
      </c>
      <c r="I167" s="25" t="n">
        <f aca="false">IF(Players!I278=2,I151,0)</f>
        <v>0</v>
      </c>
      <c r="J167" s="25" t="n">
        <f aca="false">IF(Players!J278=2,J151,0)</f>
        <v>0</v>
      </c>
      <c r="K167" s="25" t="n">
        <f aca="false">IF(Players!K278=2,K151,0)</f>
        <v>0</v>
      </c>
      <c r="L167" s="25" t="n">
        <f aca="false">IF(Players!L278=2,L151,0)</f>
        <v>0</v>
      </c>
      <c r="M167" s="25" t="n">
        <f aca="false">IF(Players!M278=2,M151,0)</f>
        <v>0</v>
      </c>
    </row>
    <row r="168" customFormat="false" ht="17.15" hidden="false" customHeight="false" outlineLevel="0" collapsed="false">
      <c r="A168" s="5" t="s">
        <v>1703</v>
      </c>
      <c r="B168" s="0" t="s">
        <v>959</v>
      </c>
      <c r="C168" s="5" t="s">
        <v>1726</v>
      </c>
      <c r="E168" s="25" t="n">
        <f aca="false">IF(Players!E297=2,E152,0)</f>
        <v>0</v>
      </c>
      <c r="F168" s="25" t="n">
        <f aca="false">IF(Players!F297=2,F152,0)</f>
        <v>0</v>
      </c>
      <c r="G168" s="25" t="n">
        <f aca="false">IF(Players!G297=2,G152,0)</f>
        <v>0</v>
      </c>
      <c r="H168" s="25" t="n">
        <f aca="false">IF(Players!H297=2,H152,0)</f>
        <v>0</v>
      </c>
      <c r="I168" s="25" t="n">
        <f aca="false">IF(Players!I297=2,I152,0)</f>
        <v>0</v>
      </c>
      <c r="J168" s="25" t="n">
        <f aca="false">IF(Players!J297=2,J152,0)</f>
        <v>0</v>
      </c>
      <c r="K168" s="25" t="n">
        <f aca="false">IF(Players!K297=2,K152,0)</f>
        <v>0</v>
      </c>
      <c r="L168" s="25" t="n">
        <f aca="false">IF(Players!L297=2,L152,0)</f>
        <v>0</v>
      </c>
      <c r="M168" s="25" t="n">
        <f aca="false">IF(Players!M297=2,M152,0)</f>
        <v>0</v>
      </c>
    </row>
    <row r="170" customFormat="false" ht="17.15" hidden="false" customHeight="false" outlineLevel="0" collapsed="false">
      <c r="A170" s="0" t="s">
        <v>1692</v>
      </c>
      <c r="B170" s="0" t="s">
        <v>728</v>
      </c>
      <c r="C170" s="5" t="s">
        <v>1727</v>
      </c>
      <c r="E170" s="25" t="n">
        <f aca="false">E138-E154</f>
        <v>0</v>
      </c>
      <c r="F170" s="25" t="n">
        <f aca="false">F138-F154</f>
        <v>1.81427</v>
      </c>
      <c r="G170" s="25" t="n">
        <f aca="false">G138-G154</f>
        <v>0</v>
      </c>
      <c r="H170" s="25" t="n">
        <f aca="false">H138-H154</f>
        <v>0</v>
      </c>
      <c r="I170" s="25" t="n">
        <f aca="false">I138-I154</f>
        <v>0</v>
      </c>
      <c r="J170" s="25" t="n">
        <f aca="false">J138-J154</f>
        <v>0</v>
      </c>
      <c r="K170" s="25" t="n">
        <f aca="false">K138-K154</f>
        <v>0</v>
      </c>
      <c r="L170" s="25" t="n">
        <f aca="false">L138-L154</f>
        <v>0</v>
      </c>
      <c r="M170" s="25" t="n">
        <f aca="false">M138-M154</f>
        <v>0</v>
      </c>
    </row>
    <row r="171" customFormat="false" ht="17.15" hidden="false" customHeight="false" outlineLevel="0" collapsed="false">
      <c r="A171" s="0" t="s">
        <v>1693</v>
      </c>
      <c r="B171" s="0" t="s">
        <v>733</v>
      </c>
      <c r="C171" s="5" t="s">
        <v>1727</v>
      </c>
      <c r="E171" s="25" t="n">
        <f aca="false">E139-E155</f>
        <v>1.32980834349181</v>
      </c>
      <c r="F171" s="25" t="n">
        <f aca="false">F139-F155</f>
        <v>2.40961330082622</v>
      </c>
      <c r="G171" s="25" t="n">
        <f aca="false">G139-G155</f>
        <v>0</v>
      </c>
      <c r="H171" s="25" t="n">
        <f aca="false">H139-H155</f>
        <v>0</v>
      </c>
      <c r="I171" s="25" t="n">
        <f aca="false">I139-I155</f>
        <v>0</v>
      </c>
      <c r="J171" s="25" t="n">
        <f aca="false">J139-J155</f>
        <v>0</v>
      </c>
      <c r="K171" s="25" t="n">
        <f aca="false">K139-K155</f>
        <v>0</v>
      </c>
      <c r="L171" s="25" t="n">
        <f aca="false">L139-L155</f>
        <v>0</v>
      </c>
      <c r="M171" s="25" t="n">
        <f aca="false">M139-M155</f>
        <v>0</v>
      </c>
    </row>
    <row r="172" customFormat="false" ht="17.15" hidden="false" customHeight="false" outlineLevel="0" collapsed="false">
      <c r="A172" s="0" t="s">
        <v>1694</v>
      </c>
      <c r="B172" s="0" t="s">
        <v>741</v>
      </c>
      <c r="C172" s="5" t="s">
        <v>1727</v>
      </c>
      <c r="E172" s="25" t="n">
        <f aca="false">E140-E156</f>
        <v>0</v>
      </c>
      <c r="F172" s="25" t="n">
        <f aca="false">F140-F156</f>
        <v>1.38971599402093</v>
      </c>
      <c r="G172" s="25" t="n">
        <f aca="false">G140-G156</f>
        <v>0</v>
      </c>
      <c r="H172" s="25" t="n">
        <f aca="false">H140-H156</f>
        <v>0</v>
      </c>
      <c r="I172" s="25" t="n">
        <f aca="false">I140-I156</f>
        <v>0</v>
      </c>
      <c r="J172" s="25" t="n">
        <f aca="false">J140-J156</f>
        <v>2.77555756156289E-016</v>
      </c>
      <c r="K172" s="25" t="n">
        <f aca="false">K140-K156</f>
        <v>0</v>
      </c>
      <c r="L172" s="25" t="n">
        <f aca="false">L140-L156</f>
        <v>0</v>
      </c>
      <c r="M172" s="25" t="n">
        <f aca="false">M140-M156</f>
        <v>0</v>
      </c>
    </row>
    <row r="173" customFormat="false" ht="15" hidden="false" customHeight="false" outlineLevel="0" collapsed="false">
      <c r="A173" s="0" t="s">
        <v>1429</v>
      </c>
      <c r="B173" s="0" t="s">
        <v>748</v>
      </c>
      <c r="C173" s="5" t="s">
        <v>1727</v>
      </c>
      <c r="E173" s="25" t="n">
        <f aca="false">E141-E157</f>
        <v>0</v>
      </c>
      <c r="F173" s="25" t="n">
        <f aca="false">F141-F157</f>
        <v>1.50812</v>
      </c>
      <c r="G173" s="25" t="n">
        <f aca="false">G141-G157</f>
        <v>0</v>
      </c>
      <c r="H173" s="25" t="n">
        <f aca="false">H141-H157</f>
        <v>0</v>
      </c>
      <c r="I173" s="25" t="n">
        <f aca="false">I141-I157</f>
        <v>0</v>
      </c>
      <c r="J173" s="25" t="n">
        <f aca="false">J141-J157</f>
        <v>0</v>
      </c>
      <c r="K173" s="25" t="n">
        <f aca="false">K141-K157</f>
        <v>0</v>
      </c>
      <c r="L173" s="25" t="n">
        <f aca="false">L141-L157</f>
        <v>0</v>
      </c>
      <c r="M173" s="25" t="n">
        <f aca="false">M141-M157</f>
        <v>0</v>
      </c>
    </row>
    <row r="174" customFormat="false" ht="17.15" hidden="false" customHeight="false" outlineLevel="0" collapsed="false">
      <c r="A174" s="0" t="s">
        <v>1695</v>
      </c>
      <c r="B174" s="0" t="s">
        <v>752</v>
      </c>
      <c r="C174" s="5" t="s">
        <v>1727</v>
      </c>
      <c r="E174" s="25" t="n">
        <f aca="false">E142-E158</f>
        <v>0</v>
      </c>
      <c r="F174" s="25" t="n">
        <f aca="false">F142-F158</f>
        <v>0.816405</v>
      </c>
      <c r="G174" s="25" t="n">
        <f aca="false">G142-G158</f>
        <v>0</v>
      </c>
      <c r="H174" s="25" t="n">
        <f aca="false">H142-H158</f>
        <v>0</v>
      </c>
      <c r="I174" s="25" t="n">
        <f aca="false">I142-I158</f>
        <v>0</v>
      </c>
      <c r="J174" s="25" t="n">
        <f aca="false">J142-J158</f>
        <v>0</v>
      </c>
      <c r="K174" s="25" t="n">
        <f aca="false">K142-K158</f>
        <v>0</v>
      </c>
      <c r="L174" s="25" t="n">
        <f aca="false">L142-L158</f>
        <v>0</v>
      </c>
      <c r="M174" s="25" t="n">
        <f aca="false">M142-M158</f>
        <v>0</v>
      </c>
    </row>
    <row r="175" customFormat="false" ht="15" hidden="false" customHeight="false" outlineLevel="0" collapsed="false">
      <c r="A175" s="0" t="s">
        <v>1467</v>
      </c>
      <c r="B175" s="0" t="s">
        <v>842</v>
      </c>
      <c r="C175" s="5" t="s">
        <v>1727</v>
      </c>
      <c r="E175" s="25" t="n">
        <f aca="false">E143-E159</f>
        <v>0.29</v>
      </c>
      <c r="F175" s="25" t="n">
        <f aca="false">F143-F159</f>
        <v>0.49</v>
      </c>
      <c r="G175" s="25" t="n">
        <f aca="false">G143-G159</f>
        <v>0.984</v>
      </c>
      <c r="H175" s="25" t="n">
        <f aca="false">H143-H159</f>
        <v>1.2775</v>
      </c>
      <c r="I175" s="25" t="n">
        <f aca="false">I143-I159</f>
        <v>1.4055</v>
      </c>
      <c r="J175" s="25" t="n">
        <f aca="false">J143-J159</f>
        <v>1.5375</v>
      </c>
      <c r="K175" s="25" t="n">
        <f aca="false">K143-K159</f>
        <v>1.5375</v>
      </c>
      <c r="L175" s="25" t="n">
        <f aca="false">L143-L159</f>
        <v>0</v>
      </c>
      <c r="M175" s="25" t="n">
        <f aca="false">M143-M159</f>
        <v>0</v>
      </c>
    </row>
    <row r="176" customFormat="false" ht="15" hidden="false" customHeight="false" outlineLevel="0" collapsed="false">
      <c r="A176" s="0" t="s">
        <v>1486</v>
      </c>
      <c r="B176" s="0" t="s">
        <v>873</v>
      </c>
      <c r="C176" s="5" t="s">
        <v>1727</v>
      </c>
      <c r="E176" s="25" t="n">
        <f aca="false">E144-E160</f>
        <v>0</v>
      </c>
      <c r="F176" s="25" t="n">
        <f aca="false">F144-F160</f>
        <v>0</v>
      </c>
      <c r="G176" s="25" t="n">
        <f aca="false">G144-G160</f>
        <v>0.73</v>
      </c>
      <c r="H176" s="25" t="n">
        <f aca="false">H144-H160</f>
        <v>0</v>
      </c>
      <c r="I176" s="25" t="n">
        <f aca="false">I144-I160</f>
        <v>0</v>
      </c>
      <c r="J176" s="25" t="n">
        <f aca="false">J144-J160</f>
        <v>0</v>
      </c>
      <c r="K176" s="25" t="n">
        <f aca="false">K144-K160</f>
        <v>0</v>
      </c>
      <c r="L176" s="25" t="n">
        <f aca="false">L144-L160</f>
        <v>0</v>
      </c>
      <c r="M176" s="25" t="n">
        <f aca="false">M144-M160</f>
        <v>0</v>
      </c>
    </row>
    <row r="177" customFormat="false" ht="17.15" hidden="false" customHeight="false" outlineLevel="0" collapsed="false">
      <c r="A177" s="0" t="s">
        <v>1696</v>
      </c>
      <c r="B177" s="0" t="s">
        <v>1506</v>
      </c>
      <c r="C177" s="5" t="s">
        <v>1727</v>
      </c>
      <c r="E177" s="25" t="n">
        <f aca="false">E145-E161</f>
        <v>0</v>
      </c>
      <c r="F177" s="25" t="n">
        <f aca="false">F145-F161</f>
        <v>0</v>
      </c>
      <c r="G177" s="25" t="n">
        <f aca="false">G145-G161</f>
        <v>0.009074</v>
      </c>
      <c r="H177" s="25" t="n">
        <f aca="false">H145-H161</f>
        <v>0.001974</v>
      </c>
      <c r="I177" s="25" t="n">
        <f aca="false">I145-I161</f>
        <v>0</v>
      </c>
      <c r="J177" s="25" t="n">
        <f aca="false">J145-J161</f>
        <v>0</v>
      </c>
      <c r="K177" s="25" t="n">
        <f aca="false">K145-K161</f>
        <v>0</v>
      </c>
      <c r="L177" s="25" t="n">
        <f aca="false">L145-L161</f>
        <v>0</v>
      </c>
      <c r="M177" s="25" t="n">
        <f aca="false">M145-M161</f>
        <v>0</v>
      </c>
    </row>
    <row r="178" customFormat="false" ht="17.15" hidden="false" customHeight="false" outlineLevel="0" collapsed="false">
      <c r="A178" s="0" t="s">
        <v>1697</v>
      </c>
      <c r="B178" s="0" t="s">
        <v>757</v>
      </c>
      <c r="C178" s="5" t="s">
        <v>1727</v>
      </c>
      <c r="E178" s="25" t="n">
        <f aca="false">E146-E162</f>
        <v>0</v>
      </c>
      <c r="F178" s="25" t="n">
        <f aca="false">F146-F162</f>
        <v>0</v>
      </c>
      <c r="G178" s="25" t="n">
        <f aca="false">G146-G162</f>
        <v>1.4302</v>
      </c>
      <c r="H178" s="25" t="n">
        <f aca="false">H146-H162</f>
        <v>0</v>
      </c>
      <c r="I178" s="25" t="n">
        <f aca="false">I146-I162</f>
        <v>0</v>
      </c>
      <c r="J178" s="25" t="n">
        <f aca="false">J146-J162</f>
        <v>0</v>
      </c>
      <c r="K178" s="25" t="n">
        <f aca="false">K146-K162</f>
        <v>0</v>
      </c>
      <c r="L178" s="25" t="n">
        <f aca="false">L146-L162</f>
        <v>0</v>
      </c>
      <c r="M178" s="25" t="n">
        <f aca="false">M146-M162</f>
        <v>0</v>
      </c>
    </row>
    <row r="179" customFormat="false" ht="17.15" hidden="false" customHeight="false" outlineLevel="0" collapsed="false">
      <c r="A179" s="0" t="s">
        <v>1698</v>
      </c>
      <c r="B179" s="0" t="s">
        <v>753</v>
      </c>
      <c r="C179" s="5" t="s">
        <v>1727</v>
      </c>
      <c r="E179" s="25" t="n">
        <f aca="false">E147-E163</f>
        <v>0</v>
      </c>
      <c r="F179" s="25" t="n">
        <f aca="false">F147-F163</f>
        <v>0</v>
      </c>
      <c r="G179" s="25" t="n">
        <f aca="false">G147-G163</f>
        <v>0</v>
      </c>
      <c r="H179" s="25" t="n">
        <f aca="false">H147-H163</f>
        <v>0</v>
      </c>
      <c r="I179" s="25" t="n">
        <f aca="false">I147-I163</f>
        <v>0</v>
      </c>
      <c r="J179" s="25" t="n">
        <f aca="false">J147-J163</f>
        <v>0</v>
      </c>
      <c r="K179" s="25" t="n">
        <f aca="false">K147-K163</f>
        <v>0</v>
      </c>
      <c r="L179" s="25" t="n">
        <f aca="false">L147-L163</f>
        <v>0</v>
      </c>
      <c r="M179" s="25" t="n">
        <f aca="false">M147-M163</f>
        <v>0</v>
      </c>
    </row>
    <row r="180" customFormat="false" ht="17.15" hidden="false" customHeight="false" outlineLevel="0" collapsed="false">
      <c r="A180" s="0" t="s">
        <v>1699</v>
      </c>
      <c r="B180" s="0" t="s">
        <v>737</v>
      </c>
      <c r="C180" s="5" t="s">
        <v>1727</v>
      </c>
      <c r="E180" s="25" t="n">
        <f aca="false">E148-E164</f>
        <v>0</v>
      </c>
      <c r="F180" s="25" t="n">
        <f aca="false">F148-F164</f>
        <v>0</v>
      </c>
      <c r="G180" s="25" t="n">
        <f aca="false">G148-G164</f>
        <v>0</v>
      </c>
      <c r="H180" s="25" t="n">
        <f aca="false">H148-H164</f>
        <v>0</v>
      </c>
      <c r="I180" s="25" t="n">
        <f aca="false">I148-I164</f>
        <v>0</v>
      </c>
      <c r="J180" s="25" t="n">
        <f aca="false">J148-J164</f>
        <v>0</v>
      </c>
      <c r="K180" s="25" t="n">
        <f aca="false">K148-K164</f>
        <v>0</v>
      </c>
      <c r="L180" s="25" t="n">
        <f aca="false">L148-L164</f>
        <v>0</v>
      </c>
      <c r="M180" s="25" t="n">
        <f aca="false">M148-M164</f>
        <v>0</v>
      </c>
    </row>
    <row r="181" customFormat="false" ht="17.15" hidden="false" customHeight="false" outlineLevel="0" collapsed="false">
      <c r="A181" s="5" t="s">
        <v>1700</v>
      </c>
      <c r="B181" s="0" t="s">
        <v>767</v>
      </c>
      <c r="C181" s="5" t="s">
        <v>1727</v>
      </c>
      <c r="E181" s="25" t="n">
        <f aca="false">E149-E165</f>
        <v>0</v>
      </c>
      <c r="F181" s="25" t="n">
        <f aca="false">F149-F165</f>
        <v>0.3</v>
      </c>
      <c r="G181" s="25" t="n">
        <f aca="false">G149-G165</f>
        <v>0.7</v>
      </c>
      <c r="H181" s="25" t="n">
        <f aca="false">H149-H165</f>
        <v>0</v>
      </c>
      <c r="I181" s="25" t="n">
        <f aca="false">I149-I165</f>
        <v>0</v>
      </c>
      <c r="J181" s="25" t="n">
        <f aca="false">J149-J165</f>
        <v>0</v>
      </c>
      <c r="K181" s="25" t="n">
        <f aca="false">K149-K165</f>
        <v>0</v>
      </c>
      <c r="L181" s="25" t="n">
        <f aca="false">L149-L165</f>
        <v>0</v>
      </c>
      <c r="M181" s="25" t="n">
        <f aca="false">M149-M165</f>
        <v>0</v>
      </c>
    </row>
    <row r="182" customFormat="false" ht="17.15" hidden="false" customHeight="false" outlineLevel="0" collapsed="false">
      <c r="A182" s="5" t="s">
        <v>1701</v>
      </c>
      <c r="B182" s="0" t="s">
        <v>866</v>
      </c>
      <c r="C182" s="5" t="s">
        <v>1727</v>
      </c>
      <c r="E182" s="25" t="n">
        <f aca="false">E150-E166</f>
        <v>0</v>
      </c>
      <c r="F182" s="25" t="n">
        <f aca="false">F150-F166</f>
        <v>0</v>
      </c>
      <c r="G182" s="25" t="n">
        <f aca="false">G150-G166</f>
        <v>0</v>
      </c>
      <c r="H182" s="25" t="n">
        <f aca="false">H150-H166</f>
        <v>0</v>
      </c>
      <c r="I182" s="25" t="n">
        <f aca="false">I150-I166</f>
        <v>0</v>
      </c>
      <c r="J182" s="25" t="n">
        <f aca="false">J150-J166</f>
        <v>0</v>
      </c>
      <c r="K182" s="25" t="n">
        <f aca="false">K150-K166</f>
        <v>0</v>
      </c>
      <c r="L182" s="25" t="n">
        <f aca="false">L150-L166</f>
        <v>0</v>
      </c>
      <c r="M182" s="25" t="n">
        <f aca="false">M150-M166</f>
        <v>0</v>
      </c>
    </row>
    <row r="183" customFormat="false" ht="17.15" hidden="false" customHeight="false" outlineLevel="0" collapsed="false">
      <c r="A183" s="5" t="s">
        <v>1702</v>
      </c>
      <c r="B183" s="0" t="s">
        <v>774</v>
      </c>
      <c r="C183" s="5" t="s">
        <v>1727</v>
      </c>
      <c r="E183" s="25" t="n">
        <f aca="false">E151-E167</f>
        <v>0</v>
      </c>
      <c r="F183" s="25" t="n">
        <f aca="false">F151-F167</f>
        <v>0</v>
      </c>
      <c r="G183" s="25" t="n">
        <f aca="false">G151-G167</f>
        <v>3.33333333333333</v>
      </c>
      <c r="H183" s="25" t="n">
        <f aca="false">H151-H167</f>
        <v>1.9895044578405</v>
      </c>
      <c r="I183" s="25" t="n">
        <f aca="false">I151-I167</f>
        <v>2.28121406090902</v>
      </c>
      <c r="J183" s="25" t="n">
        <f aca="false">J151-J167</f>
        <v>2.61252133099745</v>
      </c>
      <c r="K183" s="25" t="n">
        <f aca="false">K151-K167</f>
        <v>2.9885550220479</v>
      </c>
      <c r="L183" s="25" t="n">
        <f aca="false">L151-L167</f>
        <v>2.15384615384616</v>
      </c>
      <c r="M183" s="25" t="n">
        <f aca="false">M151-M167</f>
        <v>2.36923076923077</v>
      </c>
    </row>
    <row r="184" customFormat="false" ht="17.15" hidden="false" customHeight="false" outlineLevel="0" collapsed="false">
      <c r="A184" s="5" t="s">
        <v>1703</v>
      </c>
      <c r="B184" s="0" t="s">
        <v>959</v>
      </c>
      <c r="C184" s="5" t="s">
        <v>1727</v>
      </c>
      <c r="E184" s="25" t="n">
        <f aca="false">E152-E168</f>
        <v>0</v>
      </c>
      <c r="F184" s="25" t="n">
        <f aca="false">F152-F168</f>
        <v>0</v>
      </c>
      <c r="G184" s="25" t="n">
        <f aca="false">G152-G168</f>
        <v>0</v>
      </c>
      <c r="H184" s="25" t="n">
        <f aca="false">H152-H168</f>
        <v>0</v>
      </c>
      <c r="I184" s="25" t="n">
        <f aca="false">I152-I168</f>
        <v>0</v>
      </c>
      <c r="J184" s="25" t="n">
        <f aca="false">J152-J168</f>
        <v>0</v>
      </c>
      <c r="K184" s="25" t="n">
        <f aca="false">K152-K168</f>
        <v>0</v>
      </c>
      <c r="L184" s="25" t="n">
        <f aca="false">L152-L168</f>
        <v>0</v>
      </c>
      <c r="M184" s="25" t="n">
        <f aca="false">M152-M168</f>
        <v>0</v>
      </c>
    </row>
    <row r="186" customFormat="false" ht="15" hidden="false" customHeight="false" outlineLevel="0" collapsed="false">
      <c r="A186" s="22" t="s">
        <v>1725</v>
      </c>
      <c r="D186" s="25" t="n">
        <v>0</v>
      </c>
      <c r="E186" s="25" t="n">
        <f aca="false">SUM(E138:E152)</f>
        <v>1.61980834349181</v>
      </c>
      <c r="F186" s="25" t="n">
        <f aca="false">SUM(F138:F152)</f>
        <v>8.72812429484715</v>
      </c>
      <c r="G186" s="25" t="n">
        <f aca="false">SUM(G138:G152)</f>
        <v>10.3063714610592</v>
      </c>
      <c r="H186" s="25" t="n">
        <f aca="false">SUM(H138:H152)</f>
        <v>3.2689784578405</v>
      </c>
      <c r="I186" s="25" t="n">
        <f aca="false">SUM(I138:I152)</f>
        <v>3.68671406090902</v>
      </c>
      <c r="J186" s="25" t="n">
        <f aca="false">SUM(J138:J152)</f>
        <v>4.15002133099745</v>
      </c>
      <c r="K186" s="25" t="n">
        <f aca="false">SUM(K138:K152)</f>
        <v>4.5260550220479</v>
      </c>
      <c r="L186" s="25" t="n">
        <f aca="false">SUM(L138:L152)</f>
        <v>2.15384615384616</v>
      </c>
      <c r="M186" s="25" t="n">
        <f aca="false">SUM(M138:M152)</f>
        <v>2.36923076923077</v>
      </c>
    </row>
    <row r="187" customFormat="false" ht="15" hidden="false" customHeight="false" outlineLevel="0" collapsed="false">
      <c r="A187" s="22" t="s">
        <v>1728</v>
      </c>
      <c r="D187" s="25" t="n">
        <v>0</v>
      </c>
      <c r="E187" s="25" t="n">
        <f aca="false">SUM(E154:E168)</f>
        <v>0</v>
      </c>
      <c r="F187" s="25" t="n">
        <f aca="false">SUM(F154:F168)</f>
        <v>0</v>
      </c>
      <c r="G187" s="25" t="n">
        <f aca="false">SUM(G154:G168)</f>
        <v>3.11976412772586</v>
      </c>
      <c r="H187" s="25" t="n">
        <f aca="false">SUM(H154:H168)</f>
        <v>0</v>
      </c>
      <c r="I187" s="25" t="n">
        <f aca="false">SUM(I154:I168)</f>
        <v>0</v>
      </c>
      <c r="J187" s="25" t="n">
        <f aca="false">SUM(J154:J168)</f>
        <v>0</v>
      </c>
      <c r="K187" s="25" t="n">
        <f aca="false">SUM(K154:K168)</f>
        <v>0</v>
      </c>
      <c r="L187" s="25" t="n">
        <f aca="false">SUM(L154:L168)</f>
        <v>0</v>
      </c>
      <c r="M187" s="25" t="n">
        <f aca="false">SUM(M154:M168)</f>
        <v>0</v>
      </c>
    </row>
    <row r="188" customFormat="false" ht="15" hidden="false" customHeight="false" outlineLevel="0" collapsed="false">
      <c r="A188" s="22" t="s">
        <v>1729</v>
      </c>
      <c r="D188" s="25" t="n">
        <v>0</v>
      </c>
      <c r="E188" s="25" t="n">
        <f aca="false">SUM(E170:E184)</f>
        <v>1.61980834349181</v>
      </c>
      <c r="F188" s="25" t="n">
        <f aca="false">SUM(F170:F184)</f>
        <v>8.72812429484715</v>
      </c>
      <c r="G188" s="25" t="n">
        <f aca="false">SUM(G170:G184)</f>
        <v>7.18660733333333</v>
      </c>
      <c r="H188" s="25" t="n">
        <f aca="false">SUM(H170:H184)</f>
        <v>3.2689784578405</v>
      </c>
      <c r="I188" s="25" t="n">
        <f aca="false">SUM(I170:I184)</f>
        <v>3.68671406090902</v>
      </c>
      <c r="J188" s="25" t="n">
        <f aca="false">SUM(J170:J184)</f>
        <v>4.15002133099745</v>
      </c>
      <c r="K188" s="25" t="n">
        <f aca="false">SUM(K170:K184)</f>
        <v>4.5260550220479</v>
      </c>
      <c r="L188" s="25" t="n">
        <f aca="false">SUM(L170:L184)</f>
        <v>2.15384615384616</v>
      </c>
      <c r="M188" s="25" t="n">
        <f aca="false">SUM(M170:M184)</f>
        <v>2.36923076923077</v>
      </c>
    </row>
    <row r="189" customFormat="false" ht="17.15" hidden="false" customHeight="false" outlineLevel="0" collapsed="false">
      <c r="A189" s="22" t="s">
        <v>1730</v>
      </c>
      <c r="D189" s="25" t="n">
        <f aca="false">SUMIFS($L$5:$L$134,$Q$5:$Q$134,1,$P$5:$P$134,2023)</f>
        <v>0</v>
      </c>
      <c r="E189" s="25" t="n">
        <f aca="false">SUMIFS($L$5:$L$134,$Q$5:$Q$134,1,$P$5:$P$134,2024)</f>
        <v>0</v>
      </c>
      <c r="F189" s="25" t="n">
        <f aca="false">SUMIFS($L$5:$L$134,$Q$5:$Q$134,1,$P$5:$P$134,2025)</f>
        <v>0.321</v>
      </c>
      <c r="G189" s="25" t="n">
        <f aca="false">SUMIFS($L$5:$L$134,$Q$5:$Q$134,1,$P$5:$P$134,2026)</f>
        <v>2.209</v>
      </c>
      <c r="H189" s="25" t="n">
        <f aca="false">SUMIFS($L$5:$L$134,$Q$5:$Q$134,1,$P$5:$P$134,2027)</f>
        <v>9.33416666666667</v>
      </c>
      <c r="I189" s="25" t="n">
        <f aca="false">SUMIFS($L$5:$L$134,$Q$5:$Q$134,1,$P$5:$P$134,2028)</f>
        <v>15.5293333333333</v>
      </c>
      <c r="J189" s="25" t="n">
        <f aca="false">SUMIFS($L$5:$L$134,$Q$5:$Q$134,1,$P$5:$P$134,2029)</f>
        <v>2.323</v>
      </c>
      <c r="K189" s="25" t="n">
        <f aca="false">SUMIFS($L$5:$L$134,$Q$5:$Q$134,1,$P$5:$P$134,2030)</f>
        <v>2.493</v>
      </c>
      <c r="L189" s="25" t="n">
        <f aca="false">SUMIFS($L$5:$L$134,$Q$5:$Q$134,1,$P$5:$P$134,2031)</f>
        <v>1.419</v>
      </c>
      <c r="M189" s="25" t="n">
        <f aca="false">SUMIFS($L$5:$L$134,$Q$5:$Q$134,1,$P$5:$P$134,2032)</f>
        <v>2.566</v>
      </c>
    </row>
    <row r="190" customFormat="false" ht="17.15" hidden="false" customHeight="false" outlineLevel="0" collapsed="false">
      <c r="A190" s="22" t="s">
        <v>1731</v>
      </c>
      <c r="D190" s="25" t="n">
        <f aca="false">Players!D314</f>
        <v>0.630578355681972</v>
      </c>
      <c r="E190" s="25" t="n">
        <f aca="false">Players!E314</f>
        <v>3.95899900597907</v>
      </c>
      <c r="F190" s="25" t="n">
        <f aca="false">Players!F314</f>
        <v>10.0786333333333</v>
      </c>
      <c r="G190" s="25" t="n">
        <f aca="false">Players!G314</f>
        <v>0</v>
      </c>
      <c r="H190" s="25" t="n">
        <f aca="false">Players!H314</f>
        <v>0</v>
      </c>
      <c r="I190" s="25" t="n">
        <f aca="false">Players!I314</f>
        <v>0</v>
      </c>
      <c r="J190" s="25" t="n">
        <f aca="false">Players!J314</f>
        <v>0</v>
      </c>
      <c r="K190" s="25" t="n">
        <f aca="false">Players!K314</f>
        <v>0</v>
      </c>
      <c r="L190" s="25" t="n">
        <f aca="false">Players!L314</f>
        <v>0</v>
      </c>
      <c r="M190" s="25" t="n">
        <f aca="false">Players!M314</f>
        <v>0</v>
      </c>
    </row>
    <row r="191" customFormat="false" ht="17.15" hidden="false" customHeight="false" outlineLevel="0" collapsed="false">
      <c r="A191" s="22" t="s">
        <v>1732</v>
      </c>
      <c r="D191" s="25" t="n">
        <f aca="false">D186+D189</f>
        <v>0</v>
      </c>
      <c r="E191" s="25" t="n">
        <f aca="false">E186+E189</f>
        <v>1.61980834349181</v>
      </c>
      <c r="F191" s="25" t="n">
        <f aca="false">F186+F189</f>
        <v>9.04912429484715</v>
      </c>
      <c r="G191" s="25" t="n">
        <f aca="false">G186+G189</f>
        <v>12.5153714610592</v>
      </c>
      <c r="H191" s="25" t="n">
        <f aca="false">H186+H189</f>
        <v>12.6031451245072</v>
      </c>
      <c r="I191" s="25" t="n">
        <f aca="false">I186+I189</f>
        <v>19.2160473942424</v>
      </c>
      <c r="J191" s="25" t="n">
        <f aca="false">J186+J189</f>
        <v>6.47302133099745</v>
      </c>
      <c r="K191" s="25" t="n">
        <f aca="false">K186+K189</f>
        <v>7.0190550220479</v>
      </c>
      <c r="L191" s="25" t="n">
        <f aca="false">L186+L189</f>
        <v>3.57284615384616</v>
      </c>
      <c r="M191" s="25" t="n">
        <f aca="false">M186+M189</f>
        <v>4.93523076923077</v>
      </c>
    </row>
    <row r="192" customFormat="false" ht="17.15" hidden="false" customHeight="false" outlineLevel="0" collapsed="false">
      <c r="A192" s="22" t="s">
        <v>1733</v>
      </c>
      <c r="D192" s="25" t="n">
        <f aca="false">SUMIFS($L$5:$L$134,$G$5:$G$134,2,$P$5:$P$134,2023)</f>
        <v>0</v>
      </c>
      <c r="E192" s="25" t="n">
        <f aca="false">SUMIFS($L$5:$L$134,$G$5:$G$134,2,$P$5:$P$134,2024)</f>
        <v>0</v>
      </c>
      <c r="F192" s="25" t="n">
        <f aca="false">SUMIFS($L$5:$L$134,$G$5:$G$134,2,$P$5:$P$134,2025)</f>
        <v>0</v>
      </c>
      <c r="G192" s="25" t="n">
        <f aca="false">SUMIFS($L$5:$L$134,$G$5:$G$134,2,$P$5:$P$134,2026)</f>
        <v>0</v>
      </c>
      <c r="H192" s="25" t="n">
        <f aca="false">SUMIFS($L$5:$L$134,$G$5:$G$134,2,$P$5:$P$134,2027)</f>
        <v>0.166666666666667</v>
      </c>
      <c r="I192" s="25" t="n">
        <f aca="false">SUMIFS($L$5:$L$134,$G$5:$G$134,2,$P$5:$P$134,2028)</f>
        <v>0.166666666666667</v>
      </c>
      <c r="J192" s="25" t="n">
        <f aca="false">SUMIFS($L$5:$L$134,$G$5:$G$134,2,$P$5:$P$134,2029)</f>
        <v>0.625</v>
      </c>
      <c r="K192" s="25" t="n">
        <f aca="false">SUMIFS($L$5:$L$134,$G$5:$G$134,2,$P$5:$P$134,2030)</f>
        <v>0.625</v>
      </c>
      <c r="L192" s="25" t="n">
        <f aca="false">SUMIFS($L$5:$L$134,$G$5:$G$134,2,$P$5:$P$134,2031)</f>
        <v>0.625</v>
      </c>
      <c r="M192" s="25" t="n">
        <f aca="false">SUMIFS($L$5:$L$134,$G$5:$G$134,2,$P$5:$P$134,2032)</f>
        <v>0.625</v>
      </c>
    </row>
    <row r="194" customFormat="false" ht="17.15" hidden="false" customHeight="false" outlineLevel="0" collapsed="false">
      <c r="A194" s="8" t="s">
        <v>1734</v>
      </c>
    </row>
    <row r="195" customFormat="false" ht="17.15" hidden="false" customHeight="false" outlineLevel="0" collapsed="false">
      <c r="A195" s="6" t="s">
        <v>1735</v>
      </c>
      <c r="B195" s="6" t="s">
        <v>1736</v>
      </c>
      <c r="C195" s="6"/>
      <c r="D195" s="6"/>
      <c r="E195" s="7" t="s">
        <v>27</v>
      </c>
      <c r="F195" s="7" t="s">
        <v>28</v>
      </c>
      <c r="G195" s="7" t="s">
        <v>29</v>
      </c>
      <c r="H195" s="7" t="s">
        <v>30</v>
      </c>
      <c r="I195" s="7" t="s">
        <v>31</v>
      </c>
      <c r="J195" s="7" t="s">
        <v>32</v>
      </c>
      <c r="K195" s="7" t="s">
        <v>33</v>
      </c>
      <c r="L195" s="7" t="s">
        <v>34</v>
      </c>
      <c r="M195" s="7" t="s">
        <v>35</v>
      </c>
    </row>
    <row r="196" customFormat="false" ht="17.15" hidden="false" customHeight="false" outlineLevel="0" collapsed="false">
      <c r="A196" s="0" t="s">
        <v>1737</v>
      </c>
      <c r="B196" s="0" t="n">
        <v>2023</v>
      </c>
      <c r="E196" s="30" t="n">
        <f aca="false">MAX(0,MIN(2023+1,2024+MAX(0,MIN(1,asof-2024)))-2024)+MAX(0,MIN(2023+1,2024+1+0)-(MAX(2024,asof)+0))</f>
        <v>0</v>
      </c>
      <c r="F196" s="30" t="n">
        <f aca="false">MAX(0,MIN(2023+1,2025+MAX(0,MIN(1,asof-2025)))-2025)+MAX(0,MIN(2023+1,2025+1+0)-(MAX(2025,asof)+0))</f>
        <v>0</v>
      </c>
      <c r="G196" s="30" t="n">
        <f aca="false">MAX(0,MIN(2023+1,2026+MAX(0,MIN(1,asof-2026)))-2026)+MAX(0,MIN(2023+1,2026+1+0)-(MAX(2026,asof)+0))</f>
        <v>0</v>
      </c>
      <c r="H196" s="30" t="n">
        <f aca="false">MAX(0,MIN(2023+1,2027+MAX(0,MIN(1,asof-2027)))-2027)+MAX(0,MIN(2023+1,2027+1+0)-(MAX(2027,asof)+0))</f>
        <v>0</v>
      </c>
      <c r="I196" s="30" t="n">
        <f aca="false">MAX(0,MIN(2023+1,2028+MAX(0,MIN(1,asof-2028)))-2028)+MAX(0,MIN(2023+1,2028+1+0)-(MAX(2028,asof)+0))</f>
        <v>0</v>
      </c>
      <c r="J196" s="30" t="n">
        <f aca="false">MAX(0,MIN(2023+1,2029+MAX(0,MIN(1,asof-2029)))-2029)+MAX(0,MIN(2023+1,2029+1+0)-(MAX(2029,asof)+0))</f>
        <v>0</v>
      </c>
      <c r="K196" s="30" t="n">
        <f aca="false">MAX(0,MIN(2023+1,2030+MAX(0,MIN(1,asof-2030)))-2030)+MAX(0,MIN(2023+1,2030+1+0)-(MAX(2030,asof)+0))</f>
        <v>0</v>
      </c>
      <c r="L196" s="30" t="n">
        <f aca="false">MAX(0,MIN(2023+1,2031+MAX(0,MIN(1,asof-2031)))-2031)+MAX(0,MIN(2023+1,2031+1+0)-(MAX(2031,asof)+0))</f>
        <v>0</v>
      </c>
      <c r="M196" s="30" t="n">
        <f aca="false">MAX(0,MIN(2023+1,2032+MAX(0,MIN(1,asof-2032)))-2032)+MAX(0,MIN(2023+1,2032+1+0)-(MAX(2032,asof)+0))</f>
        <v>0</v>
      </c>
    </row>
    <row r="197" customFormat="false" ht="17.15" hidden="false" customHeight="false" outlineLevel="0" collapsed="false">
      <c r="A197" s="0" t="s">
        <v>1738</v>
      </c>
      <c r="B197" s="0" t="n">
        <v>2024</v>
      </c>
      <c r="E197" s="30" t="n">
        <f aca="false">MAX(0,MIN(2024+1,2024+MAX(0,MIN(1,asof-2024)))-2024)+MAX(0,MIN(2024+1,2024+1+0)-(MAX(2024,asof)+0))</f>
        <v>1</v>
      </c>
      <c r="F197" s="30" t="n">
        <f aca="false">MAX(0,MIN(2024+1,2025+MAX(0,MIN(1,asof-2025)))-2025)+MAX(0,MIN(2024+1,2025+1+0)-(MAX(2025,asof)+0))</f>
        <v>0</v>
      </c>
      <c r="G197" s="30" t="n">
        <f aca="false">MAX(0,MIN(2024+1,2026+MAX(0,MIN(1,asof-2026)))-2026)+MAX(0,MIN(2024+1,2026+1+0)-(MAX(2026,asof)+0))</f>
        <v>0</v>
      </c>
      <c r="H197" s="30" t="n">
        <f aca="false">MAX(0,MIN(2024+1,2027+MAX(0,MIN(1,asof-2027)))-2027)+MAX(0,MIN(2024+1,2027+1+0)-(MAX(2027,asof)+0))</f>
        <v>0</v>
      </c>
      <c r="I197" s="30" t="n">
        <f aca="false">MAX(0,MIN(2024+1,2028+MAX(0,MIN(1,asof-2028)))-2028)+MAX(0,MIN(2024+1,2028+1+0)-(MAX(2028,asof)+0))</f>
        <v>0</v>
      </c>
      <c r="J197" s="30" t="n">
        <f aca="false">MAX(0,MIN(2024+1,2029+MAX(0,MIN(1,asof-2029)))-2029)+MAX(0,MIN(2024+1,2029+1+0)-(MAX(2029,asof)+0))</f>
        <v>0</v>
      </c>
      <c r="K197" s="30" t="n">
        <f aca="false">MAX(0,MIN(2024+1,2030+MAX(0,MIN(1,asof-2030)))-2030)+MAX(0,MIN(2024+1,2030+1+0)-(MAX(2030,asof)+0))</f>
        <v>0</v>
      </c>
      <c r="L197" s="30" t="n">
        <f aca="false">MAX(0,MIN(2024+1,2031+MAX(0,MIN(1,asof-2031)))-2031)+MAX(0,MIN(2024+1,2031+1+0)-(MAX(2031,asof)+0))</f>
        <v>0</v>
      </c>
      <c r="M197" s="30" t="n">
        <f aca="false">MAX(0,MIN(2024+1,2032+MAX(0,MIN(1,asof-2032)))-2032)+MAX(0,MIN(2024+1,2032+1+0)-(MAX(2032,asof)+0))</f>
        <v>0</v>
      </c>
    </row>
    <row r="198" customFormat="false" ht="17.15" hidden="false" customHeight="false" outlineLevel="0" collapsed="false">
      <c r="A198" s="0" t="s">
        <v>1739</v>
      </c>
      <c r="B198" s="0" t="n">
        <v>2025</v>
      </c>
      <c r="E198" s="30" t="n">
        <f aca="false">MAX(0,MIN(2025+1,2024+MAX(0,MIN(1,asof-2024)))-2024)+MAX(0,MIN(2025+1,2024+1+0)-(MAX(2024,asof)+0))</f>
        <v>1</v>
      </c>
      <c r="F198" s="30" t="n">
        <f aca="false">MAX(0,MIN(2025+1,2025+MAX(0,MIN(1,asof-2025)))-2025)+MAX(0,MIN(2025+1,2025+1+0)-(MAX(2025,asof)+0))</f>
        <v>1</v>
      </c>
      <c r="G198" s="30" t="n">
        <f aca="false">MAX(0,MIN(2025+1,2026+MAX(0,MIN(1,asof-2026)))-2026)+MAX(0,MIN(2025+1,2026+1+0)-(MAX(2026,asof)+0))</f>
        <v>0</v>
      </c>
      <c r="H198" s="30" t="n">
        <f aca="false">MAX(0,MIN(2025+1,2027+MAX(0,MIN(1,asof-2027)))-2027)+MAX(0,MIN(2025+1,2027+1+0)-(MAX(2027,asof)+0))</f>
        <v>0</v>
      </c>
      <c r="I198" s="30" t="n">
        <f aca="false">MAX(0,MIN(2025+1,2028+MAX(0,MIN(1,asof-2028)))-2028)+MAX(0,MIN(2025+1,2028+1+0)-(MAX(2028,asof)+0))</f>
        <v>0</v>
      </c>
      <c r="J198" s="30" t="n">
        <f aca="false">MAX(0,MIN(2025+1,2029+MAX(0,MIN(1,asof-2029)))-2029)+MAX(0,MIN(2025+1,2029+1+0)-(MAX(2029,asof)+0))</f>
        <v>0</v>
      </c>
      <c r="K198" s="30" t="n">
        <f aca="false">MAX(0,MIN(2025+1,2030+MAX(0,MIN(1,asof-2030)))-2030)+MAX(0,MIN(2025+1,2030+1+0)-(MAX(2030,asof)+0))</f>
        <v>0</v>
      </c>
      <c r="L198" s="30" t="n">
        <f aca="false">MAX(0,MIN(2025+1,2031+MAX(0,MIN(1,asof-2031)))-2031)+MAX(0,MIN(2025+1,2031+1+0)-(MAX(2031,asof)+0))</f>
        <v>0</v>
      </c>
      <c r="M198" s="30" t="n">
        <f aca="false">MAX(0,MIN(2025+1,2032+MAX(0,MIN(1,asof-2032)))-2032)+MAX(0,MIN(2025+1,2032+1+0)-(MAX(2032,asof)+0))</f>
        <v>0</v>
      </c>
    </row>
    <row r="199" customFormat="false" ht="17.15" hidden="false" customHeight="false" outlineLevel="0" collapsed="false">
      <c r="A199" s="0" t="s">
        <v>1740</v>
      </c>
      <c r="B199" s="0" t="n">
        <v>2026</v>
      </c>
      <c r="E199" s="30" t="n">
        <f aca="false">MAX(0,MIN(2026+1,2024+MAX(0,MIN(1,asof-2024)))-2024)+MAX(0,MIN(2026+1,2024+1+0)-(MAX(2024,asof)+0))</f>
        <v>1</v>
      </c>
      <c r="F199" s="30" t="n">
        <f aca="false">MAX(0,MIN(2026+1,2025+MAX(0,MIN(1,asof-2025)))-2025)+MAX(0,MIN(2026+1,2025+1+0)-(MAX(2025,asof)+0))</f>
        <v>1</v>
      </c>
      <c r="G199" s="30" t="n">
        <f aca="false">MAX(0,MIN(2026+1,2026+MAX(0,MIN(1,asof-2026)))-2026)+MAX(0,MIN(2026+1,2026+1+0)-(MAX(2026,asof)+0))</f>
        <v>1</v>
      </c>
      <c r="H199" s="30" t="n">
        <f aca="false">MAX(0,MIN(2026+1,2027+MAX(0,MIN(1,asof-2027)))-2027)+MAX(0,MIN(2026+1,2027+1+0)-(MAX(2027,asof)+0))</f>
        <v>0</v>
      </c>
      <c r="I199" s="30" t="n">
        <f aca="false">MAX(0,MIN(2026+1,2028+MAX(0,MIN(1,asof-2028)))-2028)+MAX(0,MIN(2026+1,2028+1+0)-(MAX(2028,asof)+0))</f>
        <v>0</v>
      </c>
      <c r="J199" s="30" t="n">
        <f aca="false">MAX(0,MIN(2026+1,2029+MAX(0,MIN(1,asof-2029)))-2029)+MAX(0,MIN(2026+1,2029+1+0)-(MAX(2029,asof)+0))</f>
        <v>0</v>
      </c>
      <c r="K199" s="30" t="n">
        <f aca="false">MAX(0,MIN(2026+1,2030+MAX(0,MIN(1,asof-2030)))-2030)+MAX(0,MIN(2026+1,2030+1+0)-(MAX(2030,asof)+0))</f>
        <v>0</v>
      </c>
      <c r="L199" s="30" t="n">
        <f aca="false">MAX(0,MIN(2026+1,2031+MAX(0,MIN(1,asof-2031)))-2031)+MAX(0,MIN(2026+1,2031+1+0)-(MAX(2031,asof)+0))</f>
        <v>0</v>
      </c>
      <c r="M199" s="30" t="n">
        <f aca="false">MAX(0,MIN(2026+1,2032+MAX(0,MIN(1,asof-2032)))-2032)+MAX(0,MIN(2026+1,2032+1+0)-(MAX(2032,asof)+0))</f>
        <v>0</v>
      </c>
    </row>
    <row r="200" customFormat="false" ht="17.15" hidden="false" customHeight="false" outlineLevel="0" collapsed="false">
      <c r="A200" s="0" t="s">
        <v>1741</v>
      </c>
      <c r="B200" s="0" t="n">
        <v>2027</v>
      </c>
      <c r="E200" s="30" t="n">
        <f aca="false">MAX(0,MIN(2027+1,2024+MAX(0,MIN(1,asof-2024)))-2024)+MAX(0,MIN(2027+1,2024+1+0)-(MAX(2024,asof)+0))</f>
        <v>1</v>
      </c>
      <c r="F200" s="30" t="n">
        <f aca="false">MAX(0,MIN(2027+1,2025+MAX(0,MIN(1,asof-2025)))-2025)+MAX(0,MIN(2027+1,2025+1+0)-(MAX(2025,asof)+0))</f>
        <v>1</v>
      </c>
      <c r="G200" s="30" t="n">
        <f aca="false">MAX(0,MIN(2027+1,2026+MAX(0,MIN(1,asof-2026)))-2026)+MAX(0,MIN(2027+1,2026+1+0)-(MAX(2026,asof)+0))</f>
        <v>1</v>
      </c>
      <c r="H200" s="30" t="n">
        <f aca="false">MAX(0,MIN(2027+1,2027+MAX(0,MIN(1,asof-2027)))-2027)+MAX(0,MIN(2027+1,2027+1+0)-(MAX(2027,asof)+0))</f>
        <v>1</v>
      </c>
      <c r="I200" s="30" t="n">
        <f aca="false">MAX(0,MIN(2027+1,2028+MAX(0,MIN(1,asof-2028)))-2028)+MAX(0,MIN(2027+1,2028+1+0)-(MAX(2028,asof)+0))</f>
        <v>0</v>
      </c>
      <c r="J200" s="30" t="n">
        <f aca="false">MAX(0,MIN(2027+1,2029+MAX(0,MIN(1,asof-2029)))-2029)+MAX(0,MIN(2027+1,2029+1+0)-(MAX(2029,asof)+0))</f>
        <v>0</v>
      </c>
      <c r="K200" s="30" t="n">
        <f aca="false">MAX(0,MIN(2027+1,2030+MAX(0,MIN(1,asof-2030)))-2030)+MAX(0,MIN(2027+1,2030+1+0)-(MAX(2030,asof)+0))</f>
        <v>0</v>
      </c>
      <c r="L200" s="30" t="n">
        <f aca="false">MAX(0,MIN(2027+1,2031+MAX(0,MIN(1,asof-2031)))-2031)+MAX(0,MIN(2027+1,2031+1+0)-(MAX(2031,asof)+0))</f>
        <v>0</v>
      </c>
      <c r="M200" s="30" t="n">
        <f aca="false">MAX(0,MIN(2027+1,2032+MAX(0,MIN(1,asof-2032)))-2032)+MAX(0,MIN(2027+1,2032+1+0)-(MAX(2032,asof)+0))</f>
        <v>0</v>
      </c>
    </row>
    <row r="201" customFormat="false" ht="17.15" hidden="false" customHeight="false" outlineLevel="0" collapsed="false">
      <c r="A201" s="0" t="s">
        <v>1742</v>
      </c>
      <c r="B201" s="0" t="n">
        <v>2028</v>
      </c>
      <c r="E201" s="30" t="n">
        <f aca="false">MAX(0,MIN(2028+1,2024+MAX(0,MIN(1,asof-2024)))-2024)+MAX(0,MIN(2028+1,2024+1+0)-(MAX(2024,asof)+0))</f>
        <v>1</v>
      </c>
      <c r="F201" s="30" t="n">
        <f aca="false">MAX(0,MIN(2028+1,2025+MAX(0,MIN(1,asof-2025)))-2025)+MAX(0,MIN(2028+1,2025+1+0)-(MAX(2025,asof)+0))</f>
        <v>1</v>
      </c>
      <c r="G201" s="30" t="n">
        <f aca="false">MAX(0,MIN(2028+1,2026+MAX(0,MIN(1,asof-2026)))-2026)+MAX(0,MIN(2028+1,2026+1+0)-(MAX(2026,asof)+0))</f>
        <v>1</v>
      </c>
      <c r="H201" s="30" t="n">
        <f aca="false">MAX(0,MIN(2028+1,2027+MAX(0,MIN(1,asof-2027)))-2027)+MAX(0,MIN(2028+1,2027+1+0)-(MAX(2027,asof)+0))</f>
        <v>1</v>
      </c>
      <c r="I201" s="30" t="n">
        <f aca="false">MAX(0,MIN(2028+1,2028+MAX(0,MIN(1,asof-2028)))-2028)+MAX(0,MIN(2028+1,2028+1+0)-(MAX(2028,asof)+0))</f>
        <v>1</v>
      </c>
      <c r="J201" s="30" t="n">
        <f aca="false">MAX(0,MIN(2028+1,2029+MAX(0,MIN(1,asof-2029)))-2029)+MAX(0,MIN(2028+1,2029+1+0)-(MAX(2029,asof)+0))</f>
        <v>0</v>
      </c>
      <c r="K201" s="30" t="n">
        <f aca="false">MAX(0,MIN(2028+1,2030+MAX(0,MIN(1,asof-2030)))-2030)+MAX(0,MIN(2028+1,2030+1+0)-(MAX(2030,asof)+0))</f>
        <v>0</v>
      </c>
      <c r="L201" s="30" t="n">
        <f aca="false">MAX(0,MIN(2028+1,2031+MAX(0,MIN(1,asof-2031)))-2031)+MAX(0,MIN(2028+1,2031+1+0)-(MAX(2031,asof)+0))</f>
        <v>0</v>
      </c>
      <c r="M201" s="30" t="n">
        <f aca="false">MAX(0,MIN(2028+1,2032+MAX(0,MIN(1,asof-2032)))-2032)+MAX(0,MIN(2028+1,2032+1+0)-(MAX(2032,asof)+0))</f>
        <v>0</v>
      </c>
    </row>
    <row r="202" customFormat="false" ht="17.15" hidden="false" customHeight="false" outlineLevel="0" collapsed="false">
      <c r="A202" s="0" t="s">
        <v>1743</v>
      </c>
      <c r="B202" s="0" t="n">
        <v>2029</v>
      </c>
      <c r="E202" s="30" t="n">
        <f aca="false">MAX(0,MIN(2029+1,2024+MAX(0,MIN(1,asof-2024)))-2024)+MAX(0,MIN(2029+1,2024+1+0)-(MAX(2024,asof)+0))</f>
        <v>1</v>
      </c>
      <c r="F202" s="30" t="n">
        <f aca="false">MAX(0,MIN(2029+1,2025+MAX(0,MIN(1,asof-2025)))-2025)+MAX(0,MIN(2029+1,2025+1+0)-(MAX(2025,asof)+0))</f>
        <v>1</v>
      </c>
      <c r="G202" s="30" t="n">
        <f aca="false">MAX(0,MIN(2029+1,2026+MAX(0,MIN(1,asof-2026)))-2026)+MAX(0,MIN(2029+1,2026+1+0)-(MAX(2026,asof)+0))</f>
        <v>1</v>
      </c>
      <c r="H202" s="30" t="n">
        <f aca="false">MAX(0,MIN(2029+1,2027+MAX(0,MIN(1,asof-2027)))-2027)+MAX(0,MIN(2029+1,2027+1+0)-(MAX(2027,asof)+0))</f>
        <v>1</v>
      </c>
      <c r="I202" s="30" t="n">
        <f aca="false">MAX(0,MIN(2029+1,2028+MAX(0,MIN(1,asof-2028)))-2028)+MAX(0,MIN(2029+1,2028+1+0)-(MAX(2028,asof)+0))</f>
        <v>1</v>
      </c>
      <c r="J202" s="30" t="n">
        <f aca="false">MAX(0,MIN(2029+1,2029+MAX(0,MIN(1,asof-2029)))-2029)+MAX(0,MIN(2029+1,2029+1+0)-(MAX(2029,asof)+0))</f>
        <v>1</v>
      </c>
      <c r="K202" s="30" t="n">
        <f aca="false">MAX(0,MIN(2029+1,2030+MAX(0,MIN(1,asof-2030)))-2030)+MAX(0,MIN(2029+1,2030+1+0)-(MAX(2030,asof)+0))</f>
        <v>0</v>
      </c>
      <c r="L202" s="30" t="n">
        <f aca="false">MAX(0,MIN(2029+1,2031+MAX(0,MIN(1,asof-2031)))-2031)+MAX(0,MIN(2029+1,2031+1+0)-(MAX(2031,asof)+0))</f>
        <v>0</v>
      </c>
      <c r="M202" s="30" t="n">
        <f aca="false">MAX(0,MIN(2029+1,2032+MAX(0,MIN(1,asof-2032)))-2032)+MAX(0,MIN(2029+1,2032+1+0)-(MAX(2032,asof)+0))</f>
        <v>0</v>
      </c>
    </row>
    <row r="203" customFormat="false" ht="17.15" hidden="false" customHeight="false" outlineLevel="0" collapsed="false">
      <c r="A203" s="0" t="s">
        <v>1744</v>
      </c>
      <c r="B203" s="0" t="n">
        <v>2030</v>
      </c>
      <c r="E203" s="30" t="n">
        <f aca="false">MAX(0,MIN(2030+1,2024+MAX(0,MIN(1,asof-2024)))-2024)+MAX(0,MIN(2030+1,2024+1+0)-(MAX(2024,asof)+0))</f>
        <v>1</v>
      </c>
      <c r="F203" s="30" t="n">
        <f aca="false">MAX(0,MIN(2030+1,2025+MAX(0,MIN(1,asof-2025)))-2025)+MAX(0,MIN(2030+1,2025+1+0)-(MAX(2025,asof)+0))</f>
        <v>1</v>
      </c>
      <c r="G203" s="30" t="n">
        <f aca="false">MAX(0,MIN(2030+1,2026+MAX(0,MIN(1,asof-2026)))-2026)+MAX(0,MIN(2030+1,2026+1+0)-(MAX(2026,asof)+0))</f>
        <v>1</v>
      </c>
      <c r="H203" s="30" t="n">
        <f aca="false">MAX(0,MIN(2030+1,2027+MAX(0,MIN(1,asof-2027)))-2027)+MAX(0,MIN(2030+1,2027+1+0)-(MAX(2027,asof)+0))</f>
        <v>1</v>
      </c>
      <c r="I203" s="30" t="n">
        <f aca="false">MAX(0,MIN(2030+1,2028+MAX(0,MIN(1,asof-2028)))-2028)+MAX(0,MIN(2030+1,2028+1+0)-(MAX(2028,asof)+0))</f>
        <v>1</v>
      </c>
      <c r="J203" s="30" t="n">
        <f aca="false">MAX(0,MIN(2030+1,2029+MAX(0,MIN(1,asof-2029)))-2029)+MAX(0,MIN(2030+1,2029+1+0)-(MAX(2029,asof)+0))</f>
        <v>1</v>
      </c>
      <c r="K203" s="30" t="n">
        <f aca="false">MAX(0,MIN(2030+1,2030+MAX(0,MIN(1,asof-2030)))-2030)+MAX(0,MIN(2030+1,2030+1+0)-(MAX(2030,asof)+0))</f>
        <v>1</v>
      </c>
      <c r="L203" s="30" t="n">
        <f aca="false">MAX(0,MIN(2030+1,2031+MAX(0,MIN(1,asof-2031)))-2031)+MAX(0,MIN(2030+1,2031+1+0)-(MAX(2031,asof)+0))</f>
        <v>0</v>
      </c>
      <c r="M203" s="30" t="n">
        <f aca="false">MAX(0,MIN(2030+1,2032+MAX(0,MIN(1,asof-2032)))-2032)+MAX(0,MIN(2030+1,2032+1+0)-(MAX(2032,asof)+0))</f>
        <v>0</v>
      </c>
    </row>
    <row r="204" customFormat="false" ht="17.15" hidden="false" customHeight="false" outlineLevel="0" collapsed="false">
      <c r="A204" s="0" t="s">
        <v>1745</v>
      </c>
      <c r="B204" s="0" t="n">
        <v>2031</v>
      </c>
      <c r="E204" s="30" t="n">
        <f aca="false">MAX(0,MIN(2031+1,2024+MAX(0,MIN(1,asof-2024)))-2024)+MAX(0,MIN(2031+1,2024+1+0)-(MAX(2024,asof)+0))</f>
        <v>1</v>
      </c>
      <c r="F204" s="30" t="n">
        <f aca="false">MAX(0,MIN(2031+1,2025+MAX(0,MIN(1,asof-2025)))-2025)+MAX(0,MIN(2031+1,2025+1+0)-(MAX(2025,asof)+0))</f>
        <v>1</v>
      </c>
      <c r="G204" s="30" t="n">
        <f aca="false">MAX(0,MIN(2031+1,2026+MAX(0,MIN(1,asof-2026)))-2026)+MAX(0,MIN(2031+1,2026+1+0)-(MAX(2026,asof)+0))</f>
        <v>1</v>
      </c>
      <c r="H204" s="30" t="n">
        <f aca="false">MAX(0,MIN(2031+1,2027+MAX(0,MIN(1,asof-2027)))-2027)+MAX(0,MIN(2031+1,2027+1+0)-(MAX(2027,asof)+0))</f>
        <v>1</v>
      </c>
      <c r="I204" s="30" t="n">
        <f aca="false">MAX(0,MIN(2031+1,2028+MAX(0,MIN(1,asof-2028)))-2028)+MAX(0,MIN(2031+1,2028+1+0)-(MAX(2028,asof)+0))</f>
        <v>1</v>
      </c>
      <c r="J204" s="30" t="n">
        <f aca="false">MAX(0,MIN(2031+1,2029+MAX(0,MIN(1,asof-2029)))-2029)+MAX(0,MIN(2031+1,2029+1+0)-(MAX(2029,asof)+0))</f>
        <v>1</v>
      </c>
      <c r="K204" s="30" t="n">
        <f aca="false">MAX(0,MIN(2031+1,2030+MAX(0,MIN(1,asof-2030)))-2030)+MAX(0,MIN(2031+1,2030+1+0)-(MAX(2030,asof)+0))</f>
        <v>1</v>
      </c>
      <c r="L204" s="30" t="n">
        <f aca="false">MAX(0,MIN(2031+1,2031+MAX(0,MIN(1,asof-2031)))-2031)+MAX(0,MIN(2031+1,2031+1+0)-(MAX(2031,asof)+0))</f>
        <v>1</v>
      </c>
      <c r="M204" s="30" t="n">
        <f aca="false">MAX(0,MIN(2031+1,2032+MAX(0,MIN(1,asof-2032)))-2032)+MAX(0,MIN(2031+1,2032+1+0)-(MAX(2032,asof)+0))</f>
        <v>0</v>
      </c>
    </row>
    <row r="205" customFormat="false" ht="17.15" hidden="false" customHeight="false" outlineLevel="0" collapsed="false">
      <c r="A205" s="0" t="s">
        <v>1746</v>
      </c>
      <c r="B205" s="0" t="n">
        <v>2032</v>
      </c>
      <c r="E205" s="30" t="n">
        <f aca="false">MAX(0,MIN(2032+1,2024+MAX(0,MIN(1,asof-2024)))-2024)+MAX(0,MIN(2032+1,2024+1+0)-(MAX(2024,asof)+0))</f>
        <v>1</v>
      </c>
      <c r="F205" s="30" t="n">
        <f aca="false">MAX(0,MIN(2032+1,2025+MAX(0,MIN(1,asof-2025)))-2025)+MAX(0,MIN(2032+1,2025+1+0)-(MAX(2025,asof)+0))</f>
        <v>1</v>
      </c>
      <c r="G205" s="30" t="n">
        <f aca="false">MAX(0,MIN(2032+1,2026+MAX(0,MIN(1,asof-2026)))-2026)+MAX(0,MIN(2032+1,2026+1+0)-(MAX(2026,asof)+0))</f>
        <v>1</v>
      </c>
      <c r="H205" s="30" t="n">
        <f aca="false">MAX(0,MIN(2032+1,2027+MAX(0,MIN(1,asof-2027)))-2027)+MAX(0,MIN(2032+1,2027+1+0)-(MAX(2027,asof)+0))</f>
        <v>1</v>
      </c>
      <c r="I205" s="30" t="n">
        <f aca="false">MAX(0,MIN(2032+1,2028+MAX(0,MIN(1,asof-2028)))-2028)+MAX(0,MIN(2032+1,2028+1+0)-(MAX(2028,asof)+0))</f>
        <v>1</v>
      </c>
      <c r="J205" s="30" t="n">
        <f aca="false">MAX(0,MIN(2032+1,2029+MAX(0,MIN(1,asof-2029)))-2029)+MAX(0,MIN(2032+1,2029+1+0)-(MAX(2029,asof)+0))</f>
        <v>1</v>
      </c>
      <c r="K205" s="30" t="n">
        <f aca="false">MAX(0,MIN(2032+1,2030+MAX(0,MIN(1,asof-2030)))-2030)+MAX(0,MIN(2032+1,2030+1+0)-(MAX(2030,asof)+0))</f>
        <v>1</v>
      </c>
      <c r="L205" s="30" t="n">
        <f aca="false">MAX(0,MIN(2032+1,2031+MAX(0,MIN(1,asof-2031)))-2031)+MAX(0,MIN(2032+1,2031+1+0)-(MAX(2031,asof)+0))</f>
        <v>1</v>
      </c>
      <c r="M205" s="30" t="n">
        <f aca="false">MAX(0,MIN(2032+1,2032+MAX(0,MIN(1,asof-2032)))-2032)+MAX(0,MIN(2032+1,2032+1+0)-(MAX(2032,asof)+0))</f>
        <v>1</v>
      </c>
    </row>
    <row r="207" customFormat="false" ht="17.15" hidden="false" customHeight="false" outlineLevel="0" collapsed="false">
      <c r="A207" s="6" t="s">
        <v>1747</v>
      </c>
      <c r="B207" s="6" t="s">
        <v>1736</v>
      </c>
      <c r="C207" s="6"/>
      <c r="D207" s="6"/>
      <c r="E207" s="7" t="s">
        <v>27</v>
      </c>
      <c r="F207" s="7" t="s">
        <v>28</v>
      </c>
      <c r="G207" s="7" t="s">
        <v>29</v>
      </c>
      <c r="H207" s="7" t="s">
        <v>30</v>
      </c>
      <c r="I207" s="7" t="s">
        <v>31</v>
      </c>
      <c r="J207" s="7" t="s">
        <v>32</v>
      </c>
      <c r="K207" s="7" t="s">
        <v>33</v>
      </c>
      <c r="L207" s="7" t="s">
        <v>34</v>
      </c>
      <c r="M207" s="7" t="s">
        <v>35</v>
      </c>
    </row>
    <row r="208" customFormat="false" ht="17.15" hidden="false" customHeight="false" outlineLevel="0" collapsed="false">
      <c r="A208" s="0" t="s">
        <v>1748</v>
      </c>
      <c r="B208" s="0" t="n">
        <v>2023</v>
      </c>
      <c r="E208" s="30" t="n">
        <f aca="false">MAX(0,MIN(2023+1,2024+MAX(0,MIN(1,asof-2024)))-2024)+((1-dly_d1_s)*MAX(0,MIN(2023+1,2024+1+0)-(MAX(2024,asof)+0))+dly_d1_s*MAX(0,MIN(2023+1,2024+1+dly_d1_m/12)-(MAX(2024,asof)+dly_d1_m/12)))</f>
        <v>0</v>
      </c>
      <c r="F208" s="30" t="n">
        <f aca="false">MAX(0,MIN(2023+1,2025+MAX(0,MIN(1,asof-2025)))-2025)+((1-dly_d1_s)*MAX(0,MIN(2023+1,2025+1+0)-(MAX(2025,asof)+0))+dly_d1_s*MAX(0,MIN(2023+1,2025+1+dly_d1_m/12)-(MAX(2025,asof)+dly_d1_m/12)))</f>
        <v>0</v>
      </c>
      <c r="G208" s="30" t="n">
        <f aca="false">MAX(0,MIN(2023+1,2026+MAX(0,MIN(1,asof-2026)))-2026)+((1-dly_d1_s)*MAX(0,MIN(2023+1,2026+1+0)-(MAX(2026,asof)+0))+dly_d1_s*MAX(0,MIN(2023+1,2026+1+dly_d1_m/12)-(MAX(2026,asof)+dly_d1_m/12)))</f>
        <v>0</v>
      </c>
      <c r="H208" s="30" t="n">
        <f aca="false">MAX(0,MIN(2023+1,2027+MAX(0,MIN(1,asof-2027)))-2027)+((1-dly_d1_s)*MAX(0,MIN(2023+1,2027+1+0)-(MAX(2027,asof)+0))+dly_d1_s*MAX(0,MIN(2023+1,2027+1+dly_d1_m/12)-(MAX(2027,asof)+dly_d1_m/12)))</f>
        <v>0</v>
      </c>
      <c r="I208" s="30" t="n">
        <f aca="false">MAX(0,MIN(2023+1,2028+MAX(0,MIN(1,asof-2028)))-2028)+((1-dly_d1_s)*MAX(0,MIN(2023+1,2028+1+0)-(MAX(2028,asof)+0))+dly_d1_s*MAX(0,MIN(2023+1,2028+1+dly_d1_m/12)-(MAX(2028,asof)+dly_d1_m/12)))</f>
        <v>0</v>
      </c>
      <c r="J208" s="30" t="n">
        <f aca="false">MAX(0,MIN(2023+1,2029+MAX(0,MIN(1,asof-2029)))-2029)+((1-dly_d1_s)*MAX(0,MIN(2023+1,2029+1+0)-(MAX(2029,asof)+0))+dly_d1_s*MAX(0,MIN(2023+1,2029+1+dly_d1_m/12)-(MAX(2029,asof)+dly_d1_m/12)))</f>
        <v>0</v>
      </c>
      <c r="K208" s="30" t="n">
        <f aca="false">MAX(0,MIN(2023+1,2030+MAX(0,MIN(1,asof-2030)))-2030)+((1-dly_d1_s)*MAX(0,MIN(2023+1,2030+1+0)-(MAX(2030,asof)+0))+dly_d1_s*MAX(0,MIN(2023+1,2030+1+dly_d1_m/12)-(MAX(2030,asof)+dly_d1_m/12)))</f>
        <v>0</v>
      </c>
      <c r="L208" s="30" t="n">
        <f aca="false">MAX(0,MIN(2023+1,2031+MAX(0,MIN(1,asof-2031)))-2031)+((1-dly_d1_s)*MAX(0,MIN(2023+1,2031+1+0)-(MAX(2031,asof)+0))+dly_d1_s*MAX(0,MIN(2023+1,2031+1+dly_d1_m/12)-(MAX(2031,asof)+dly_d1_m/12)))</f>
        <v>0</v>
      </c>
      <c r="M208" s="30" t="n">
        <f aca="false">MAX(0,MIN(2023+1,2032+MAX(0,MIN(1,asof-2032)))-2032)+((1-dly_d1_s)*MAX(0,MIN(2023+1,2032+1+0)-(MAX(2032,asof)+0))+dly_d1_s*MAX(0,MIN(2023+1,2032+1+dly_d1_m/12)-(MAX(2032,asof)+dly_d1_m/12)))</f>
        <v>0</v>
      </c>
    </row>
    <row r="209" customFormat="false" ht="17.15" hidden="false" customHeight="false" outlineLevel="0" collapsed="false">
      <c r="A209" s="0" t="s">
        <v>1749</v>
      </c>
      <c r="B209" s="0" t="n">
        <v>2024</v>
      </c>
      <c r="E209" s="30" t="n">
        <f aca="false">MAX(0,MIN(2024+1,2024+MAX(0,MIN(1,asof-2024)))-2024)+((1-dly_d1_s)*MAX(0,MIN(2024+1,2024+1+0)-(MAX(2024,asof)+0))+dly_d1_s*MAX(0,MIN(2024+1,2024+1+dly_d1_m/12)-(MAX(2024,asof)+dly_d1_m/12)))</f>
        <v>1</v>
      </c>
      <c r="F209" s="30" t="n">
        <f aca="false">MAX(0,MIN(2024+1,2025+MAX(0,MIN(1,asof-2025)))-2025)+((1-dly_d1_s)*MAX(0,MIN(2024+1,2025+1+0)-(MAX(2025,asof)+0))+dly_d1_s*MAX(0,MIN(2024+1,2025+1+dly_d1_m/12)-(MAX(2025,asof)+dly_d1_m/12)))</f>
        <v>0</v>
      </c>
      <c r="G209" s="30" t="n">
        <f aca="false">MAX(0,MIN(2024+1,2026+MAX(0,MIN(1,asof-2026)))-2026)+((1-dly_d1_s)*MAX(0,MIN(2024+1,2026+1+0)-(MAX(2026,asof)+0))+dly_d1_s*MAX(0,MIN(2024+1,2026+1+dly_d1_m/12)-(MAX(2026,asof)+dly_d1_m/12)))</f>
        <v>0</v>
      </c>
      <c r="H209" s="30" t="n">
        <f aca="false">MAX(0,MIN(2024+1,2027+MAX(0,MIN(1,asof-2027)))-2027)+((1-dly_d1_s)*MAX(0,MIN(2024+1,2027+1+0)-(MAX(2027,asof)+0))+dly_d1_s*MAX(0,MIN(2024+1,2027+1+dly_d1_m/12)-(MAX(2027,asof)+dly_d1_m/12)))</f>
        <v>0</v>
      </c>
      <c r="I209" s="30" t="n">
        <f aca="false">MAX(0,MIN(2024+1,2028+MAX(0,MIN(1,asof-2028)))-2028)+((1-dly_d1_s)*MAX(0,MIN(2024+1,2028+1+0)-(MAX(2028,asof)+0))+dly_d1_s*MAX(0,MIN(2024+1,2028+1+dly_d1_m/12)-(MAX(2028,asof)+dly_d1_m/12)))</f>
        <v>0</v>
      </c>
      <c r="J209" s="30" t="n">
        <f aca="false">MAX(0,MIN(2024+1,2029+MAX(0,MIN(1,asof-2029)))-2029)+((1-dly_d1_s)*MAX(0,MIN(2024+1,2029+1+0)-(MAX(2029,asof)+0))+dly_d1_s*MAX(0,MIN(2024+1,2029+1+dly_d1_m/12)-(MAX(2029,asof)+dly_d1_m/12)))</f>
        <v>0</v>
      </c>
      <c r="K209" s="30" t="n">
        <f aca="false">MAX(0,MIN(2024+1,2030+MAX(0,MIN(1,asof-2030)))-2030)+((1-dly_d1_s)*MAX(0,MIN(2024+1,2030+1+0)-(MAX(2030,asof)+0))+dly_d1_s*MAX(0,MIN(2024+1,2030+1+dly_d1_m/12)-(MAX(2030,asof)+dly_d1_m/12)))</f>
        <v>0</v>
      </c>
      <c r="L209" s="30" t="n">
        <f aca="false">MAX(0,MIN(2024+1,2031+MAX(0,MIN(1,asof-2031)))-2031)+((1-dly_d1_s)*MAX(0,MIN(2024+1,2031+1+0)-(MAX(2031,asof)+0))+dly_d1_s*MAX(0,MIN(2024+1,2031+1+dly_d1_m/12)-(MAX(2031,asof)+dly_d1_m/12)))</f>
        <v>0</v>
      </c>
      <c r="M209" s="30" t="n">
        <f aca="false">MAX(0,MIN(2024+1,2032+MAX(0,MIN(1,asof-2032)))-2032)+((1-dly_d1_s)*MAX(0,MIN(2024+1,2032+1+0)-(MAX(2032,asof)+0))+dly_d1_s*MAX(0,MIN(2024+1,2032+1+dly_d1_m/12)-(MAX(2032,asof)+dly_d1_m/12)))</f>
        <v>0</v>
      </c>
    </row>
    <row r="210" customFormat="false" ht="17.15" hidden="false" customHeight="false" outlineLevel="0" collapsed="false">
      <c r="A210" s="0" t="s">
        <v>1750</v>
      </c>
      <c r="B210" s="0" t="n">
        <v>2025</v>
      </c>
      <c r="E210" s="30" t="n">
        <f aca="false">MAX(0,MIN(2025+1,2024+MAX(0,MIN(1,asof-2024)))-2024)+((1-dly_d1_s)*MAX(0,MIN(2025+1,2024+1+0)-(MAX(2024,asof)+0))+dly_d1_s*MAX(0,MIN(2025+1,2024+1+dly_d1_m/12)-(MAX(2024,asof)+dly_d1_m/12)))</f>
        <v>1</v>
      </c>
      <c r="F210" s="30" t="n">
        <f aca="false">MAX(0,MIN(2025+1,2025+MAX(0,MIN(1,asof-2025)))-2025)+((1-dly_d1_s)*MAX(0,MIN(2025+1,2025+1+0)-(MAX(2025,asof)+0))+dly_d1_s*MAX(0,MIN(2025+1,2025+1+dly_d1_m/12)-(MAX(2025,asof)+dly_d1_m/12)))</f>
        <v>1</v>
      </c>
      <c r="G210" s="30" t="n">
        <f aca="false">MAX(0,MIN(2025+1,2026+MAX(0,MIN(1,asof-2026)))-2026)+((1-dly_d1_s)*MAX(0,MIN(2025+1,2026+1+0)-(MAX(2026,asof)+0))+dly_d1_s*MAX(0,MIN(2025+1,2026+1+dly_d1_m/12)-(MAX(2026,asof)+dly_d1_m/12)))</f>
        <v>0</v>
      </c>
      <c r="H210" s="30" t="n">
        <f aca="false">MAX(0,MIN(2025+1,2027+MAX(0,MIN(1,asof-2027)))-2027)+((1-dly_d1_s)*MAX(0,MIN(2025+1,2027+1+0)-(MAX(2027,asof)+0))+dly_d1_s*MAX(0,MIN(2025+1,2027+1+dly_d1_m/12)-(MAX(2027,asof)+dly_d1_m/12)))</f>
        <v>0</v>
      </c>
      <c r="I210" s="30" t="n">
        <f aca="false">MAX(0,MIN(2025+1,2028+MAX(0,MIN(1,asof-2028)))-2028)+((1-dly_d1_s)*MAX(0,MIN(2025+1,2028+1+0)-(MAX(2028,asof)+0))+dly_d1_s*MAX(0,MIN(2025+1,2028+1+dly_d1_m/12)-(MAX(2028,asof)+dly_d1_m/12)))</f>
        <v>0</v>
      </c>
      <c r="J210" s="30" t="n">
        <f aca="false">MAX(0,MIN(2025+1,2029+MAX(0,MIN(1,asof-2029)))-2029)+((1-dly_d1_s)*MAX(0,MIN(2025+1,2029+1+0)-(MAX(2029,asof)+0))+dly_d1_s*MAX(0,MIN(2025+1,2029+1+dly_d1_m/12)-(MAX(2029,asof)+dly_d1_m/12)))</f>
        <v>0</v>
      </c>
      <c r="K210" s="30" t="n">
        <f aca="false">MAX(0,MIN(2025+1,2030+MAX(0,MIN(1,asof-2030)))-2030)+((1-dly_d1_s)*MAX(0,MIN(2025+1,2030+1+0)-(MAX(2030,asof)+0))+dly_d1_s*MAX(0,MIN(2025+1,2030+1+dly_d1_m/12)-(MAX(2030,asof)+dly_d1_m/12)))</f>
        <v>0</v>
      </c>
      <c r="L210" s="30" t="n">
        <f aca="false">MAX(0,MIN(2025+1,2031+MAX(0,MIN(1,asof-2031)))-2031)+((1-dly_d1_s)*MAX(0,MIN(2025+1,2031+1+0)-(MAX(2031,asof)+0))+dly_d1_s*MAX(0,MIN(2025+1,2031+1+dly_d1_m/12)-(MAX(2031,asof)+dly_d1_m/12)))</f>
        <v>0</v>
      </c>
      <c r="M210" s="30" t="n">
        <f aca="false">MAX(0,MIN(2025+1,2032+MAX(0,MIN(1,asof-2032)))-2032)+((1-dly_d1_s)*MAX(0,MIN(2025+1,2032+1+0)-(MAX(2032,asof)+0))+dly_d1_s*MAX(0,MIN(2025+1,2032+1+dly_d1_m/12)-(MAX(2032,asof)+dly_d1_m/12)))</f>
        <v>0</v>
      </c>
    </row>
    <row r="211" customFormat="false" ht="17.15" hidden="false" customHeight="false" outlineLevel="0" collapsed="false">
      <c r="A211" s="0" t="s">
        <v>1751</v>
      </c>
      <c r="B211" s="0" t="n">
        <v>2026</v>
      </c>
      <c r="E211" s="30" t="n">
        <f aca="false">MAX(0,MIN(2026+1,2024+MAX(0,MIN(1,asof-2024)))-2024)+((1-dly_d1_s)*MAX(0,MIN(2026+1,2024+1+0)-(MAX(2024,asof)+0))+dly_d1_s*MAX(0,MIN(2026+1,2024+1+dly_d1_m/12)-(MAX(2024,asof)+dly_d1_m/12)))</f>
        <v>1</v>
      </c>
      <c r="F211" s="30" t="n">
        <f aca="false">MAX(0,MIN(2026+1,2025+MAX(0,MIN(1,asof-2025)))-2025)+((1-dly_d1_s)*MAX(0,MIN(2026+1,2025+1+0)-(MAX(2025,asof)+0))+dly_d1_s*MAX(0,MIN(2026+1,2025+1+dly_d1_m/12)-(MAX(2025,asof)+dly_d1_m/12)))</f>
        <v>1</v>
      </c>
      <c r="G211" s="30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211" s="30" t="n">
        <f aca="false">MAX(0,MIN(2026+1,2027+MAX(0,MIN(1,asof-2027)))-2027)+((1-dly_d1_s)*MAX(0,MIN(2026+1,2027+1+0)-(MAX(2027,asof)+0))+dly_d1_s*MAX(0,MIN(2026+1,2027+1+dly_d1_m/12)-(MAX(2027,asof)+dly_d1_m/12)))</f>
        <v>0</v>
      </c>
      <c r="I211" s="30" t="n">
        <f aca="false">MAX(0,MIN(2026+1,2028+MAX(0,MIN(1,asof-2028)))-2028)+((1-dly_d1_s)*MAX(0,MIN(2026+1,2028+1+0)-(MAX(2028,asof)+0))+dly_d1_s*MAX(0,MIN(2026+1,2028+1+dly_d1_m/12)-(MAX(2028,asof)+dly_d1_m/12)))</f>
        <v>0</v>
      </c>
      <c r="J211" s="30" t="n">
        <f aca="false">MAX(0,MIN(2026+1,2029+MAX(0,MIN(1,asof-2029)))-2029)+((1-dly_d1_s)*MAX(0,MIN(2026+1,2029+1+0)-(MAX(2029,asof)+0))+dly_d1_s*MAX(0,MIN(2026+1,2029+1+dly_d1_m/12)-(MAX(2029,asof)+dly_d1_m/12)))</f>
        <v>0</v>
      </c>
      <c r="K211" s="30" t="n">
        <f aca="false">MAX(0,MIN(2026+1,2030+MAX(0,MIN(1,asof-2030)))-2030)+((1-dly_d1_s)*MAX(0,MIN(2026+1,2030+1+0)-(MAX(2030,asof)+0))+dly_d1_s*MAX(0,MIN(2026+1,2030+1+dly_d1_m/12)-(MAX(2030,asof)+dly_d1_m/12)))</f>
        <v>0</v>
      </c>
      <c r="L211" s="30" t="n">
        <f aca="false">MAX(0,MIN(2026+1,2031+MAX(0,MIN(1,asof-2031)))-2031)+((1-dly_d1_s)*MAX(0,MIN(2026+1,2031+1+0)-(MAX(2031,asof)+0))+dly_d1_s*MAX(0,MIN(2026+1,2031+1+dly_d1_m/12)-(MAX(2031,asof)+dly_d1_m/12)))</f>
        <v>0</v>
      </c>
      <c r="M211" s="30" t="n">
        <f aca="false">MAX(0,MIN(2026+1,2032+MAX(0,MIN(1,asof-2032)))-2032)+((1-dly_d1_s)*MAX(0,MIN(2026+1,2032+1+0)-(MAX(2032,asof)+0))+dly_d1_s*MAX(0,MIN(2026+1,2032+1+dly_d1_m/12)-(MAX(2032,asof)+dly_d1_m/12)))</f>
        <v>0</v>
      </c>
    </row>
    <row r="212" customFormat="false" ht="17.15" hidden="false" customHeight="false" outlineLevel="0" collapsed="false">
      <c r="A212" s="0" t="s">
        <v>1752</v>
      </c>
      <c r="B212" s="0" t="n">
        <v>2027</v>
      </c>
      <c r="E212" s="30" t="n">
        <f aca="false">MAX(0,MIN(2027+1,2024+MAX(0,MIN(1,asof-2024)))-2024)+((1-dly_d1_s)*MAX(0,MIN(2027+1,2024+1+0)-(MAX(2024,asof)+0))+dly_d1_s*MAX(0,MIN(2027+1,2024+1+dly_d1_m/12)-(MAX(2024,asof)+dly_d1_m/12)))</f>
        <v>1</v>
      </c>
      <c r="F212" s="30" t="n">
        <f aca="false">MAX(0,MIN(2027+1,2025+MAX(0,MIN(1,asof-2025)))-2025)+((1-dly_d1_s)*MAX(0,MIN(2027+1,2025+1+0)-(MAX(2025,asof)+0))+dly_d1_s*MAX(0,MIN(2027+1,2025+1+dly_d1_m/12)-(MAX(2025,asof)+dly_d1_m/12)))</f>
        <v>1</v>
      </c>
      <c r="G212" s="30" t="n">
        <f aca="false">MAX(0,MIN(2027+1,2026+MAX(0,MIN(1,asof-2026)))-2026)+((1-dly_d1_s)*MAX(0,MIN(2027+1,2026+1+0)-(MAX(2026,asof)+0))+dly_d1_s*MAX(0,MIN(2027+1,2026+1+dly_d1_m/12)-(MAX(2026,asof)+dly_d1_m/12)))</f>
        <v>1</v>
      </c>
      <c r="H212" s="30" t="n">
        <f aca="false">MAX(0,MIN(2027+1,2027+MAX(0,MIN(1,asof-2027)))-2027)+((1-dly_d1_s)*MAX(0,MIN(2027+1,2027+1+0)-(MAX(2027,asof)+0))+dly_d1_s*MAX(0,MIN(2027+1,2027+1+dly_d1_m/12)-(MAX(2027,asof)+dly_d1_m/12)))</f>
        <v>0.825</v>
      </c>
      <c r="I212" s="30" t="n">
        <f aca="false">MAX(0,MIN(2027+1,2028+MAX(0,MIN(1,asof-2028)))-2028)+((1-dly_d1_s)*MAX(0,MIN(2027+1,2028+1+0)-(MAX(2028,asof)+0))+dly_d1_s*MAX(0,MIN(2027+1,2028+1+dly_d1_m/12)-(MAX(2028,asof)+dly_d1_m/12)))</f>
        <v>0</v>
      </c>
      <c r="J212" s="30" t="n">
        <f aca="false">MAX(0,MIN(2027+1,2029+MAX(0,MIN(1,asof-2029)))-2029)+((1-dly_d1_s)*MAX(0,MIN(2027+1,2029+1+0)-(MAX(2029,asof)+0))+dly_d1_s*MAX(0,MIN(2027+1,2029+1+dly_d1_m/12)-(MAX(2029,asof)+dly_d1_m/12)))</f>
        <v>0</v>
      </c>
      <c r="K212" s="30" t="n">
        <f aca="false">MAX(0,MIN(2027+1,2030+MAX(0,MIN(1,asof-2030)))-2030)+((1-dly_d1_s)*MAX(0,MIN(2027+1,2030+1+0)-(MAX(2030,asof)+0))+dly_d1_s*MAX(0,MIN(2027+1,2030+1+dly_d1_m/12)-(MAX(2030,asof)+dly_d1_m/12)))</f>
        <v>0</v>
      </c>
      <c r="L212" s="30" t="n">
        <f aca="false">MAX(0,MIN(2027+1,2031+MAX(0,MIN(1,asof-2031)))-2031)+((1-dly_d1_s)*MAX(0,MIN(2027+1,2031+1+0)-(MAX(2031,asof)+0))+dly_d1_s*MAX(0,MIN(2027+1,2031+1+dly_d1_m/12)-(MAX(2031,asof)+dly_d1_m/12)))</f>
        <v>0</v>
      </c>
      <c r="M212" s="30" t="n">
        <f aca="false">MAX(0,MIN(2027+1,2032+MAX(0,MIN(1,asof-2032)))-2032)+((1-dly_d1_s)*MAX(0,MIN(2027+1,2032+1+0)-(MAX(2032,asof)+0))+dly_d1_s*MAX(0,MIN(2027+1,2032+1+dly_d1_m/12)-(MAX(2032,asof)+dly_d1_m/12)))</f>
        <v>0</v>
      </c>
    </row>
    <row r="213" customFormat="false" ht="17.15" hidden="false" customHeight="false" outlineLevel="0" collapsed="false">
      <c r="A213" s="0" t="s">
        <v>1753</v>
      </c>
      <c r="B213" s="0" t="n">
        <v>2028</v>
      </c>
      <c r="E213" s="30" t="n">
        <f aca="false">MAX(0,MIN(2028+1,2024+MAX(0,MIN(1,asof-2024)))-2024)+((1-dly_d1_s)*MAX(0,MIN(2028+1,2024+1+0)-(MAX(2024,asof)+0))+dly_d1_s*MAX(0,MIN(2028+1,2024+1+dly_d1_m/12)-(MAX(2024,asof)+dly_d1_m/12)))</f>
        <v>1</v>
      </c>
      <c r="F213" s="30" t="n">
        <f aca="false">MAX(0,MIN(2028+1,2025+MAX(0,MIN(1,asof-2025)))-2025)+((1-dly_d1_s)*MAX(0,MIN(2028+1,2025+1+0)-(MAX(2025,asof)+0))+dly_d1_s*MAX(0,MIN(2028+1,2025+1+dly_d1_m/12)-(MAX(2025,asof)+dly_d1_m/12)))</f>
        <v>1</v>
      </c>
      <c r="G213" s="30" t="n">
        <f aca="false">MAX(0,MIN(2028+1,2026+MAX(0,MIN(1,asof-2026)))-2026)+((1-dly_d1_s)*MAX(0,MIN(2028+1,2026+1+0)-(MAX(2026,asof)+0))+dly_d1_s*MAX(0,MIN(2028+1,2026+1+dly_d1_m/12)-(MAX(2026,asof)+dly_d1_m/12)))</f>
        <v>1</v>
      </c>
      <c r="H213" s="30" t="n">
        <f aca="false">MAX(0,MIN(2028+1,2027+MAX(0,MIN(1,asof-2027)))-2027)+((1-dly_d1_s)*MAX(0,MIN(2028+1,2027+1+0)-(MAX(2027,asof)+0))+dly_d1_s*MAX(0,MIN(2028+1,2027+1+dly_d1_m/12)-(MAX(2027,asof)+dly_d1_m/12)))</f>
        <v>1</v>
      </c>
      <c r="I213" s="30" t="n">
        <f aca="false">MAX(0,MIN(2028+1,2028+MAX(0,MIN(1,asof-2028)))-2028)+((1-dly_d1_s)*MAX(0,MIN(2028+1,2028+1+0)-(MAX(2028,asof)+0))+dly_d1_s*MAX(0,MIN(2028+1,2028+1+dly_d1_m/12)-(MAX(2028,asof)+dly_d1_m/12)))</f>
        <v>0.825</v>
      </c>
      <c r="J213" s="30" t="n">
        <f aca="false">MAX(0,MIN(2028+1,2029+MAX(0,MIN(1,asof-2029)))-2029)+((1-dly_d1_s)*MAX(0,MIN(2028+1,2029+1+0)-(MAX(2029,asof)+0))+dly_d1_s*MAX(0,MIN(2028+1,2029+1+dly_d1_m/12)-(MAX(2029,asof)+dly_d1_m/12)))</f>
        <v>0</v>
      </c>
      <c r="K213" s="30" t="n">
        <f aca="false">MAX(0,MIN(2028+1,2030+MAX(0,MIN(1,asof-2030)))-2030)+((1-dly_d1_s)*MAX(0,MIN(2028+1,2030+1+0)-(MAX(2030,asof)+0))+dly_d1_s*MAX(0,MIN(2028+1,2030+1+dly_d1_m/12)-(MAX(2030,asof)+dly_d1_m/12)))</f>
        <v>0</v>
      </c>
      <c r="L213" s="30" t="n">
        <f aca="false">MAX(0,MIN(2028+1,2031+MAX(0,MIN(1,asof-2031)))-2031)+((1-dly_d1_s)*MAX(0,MIN(2028+1,2031+1+0)-(MAX(2031,asof)+0))+dly_d1_s*MAX(0,MIN(2028+1,2031+1+dly_d1_m/12)-(MAX(2031,asof)+dly_d1_m/12)))</f>
        <v>0</v>
      </c>
      <c r="M213" s="30" t="n">
        <f aca="false">MAX(0,MIN(2028+1,2032+MAX(0,MIN(1,asof-2032)))-2032)+((1-dly_d1_s)*MAX(0,MIN(2028+1,2032+1+0)-(MAX(2032,asof)+0))+dly_d1_s*MAX(0,MIN(2028+1,2032+1+dly_d1_m/12)-(MAX(2032,asof)+dly_d1_m/12)))</f>
        <v>0</v>
      </c>
    </row>
    <row r="214" customFormat="false" ht="17.15" hidden="false" customHeight="false" outlineLevel="0" collapsed="false">
      <c r="A214" s="0" t="s">
        <v>1754</v>
      </c>
      <c r="B214" s="0" t="n">
        <v>2029</v>
      </c>
      <c r="E214" s="30" t="n">
        <f aca="false">MAX(0,MIN(2029+1,2024+MAX(0,MIN(1,asof-2024)))-2024)+((1-dly_d1_s)*MAX(0,MIN(2029+1,2024+1+0)-(MAX(2024,asof)+0))+dly_d1_s*MAX(0,MIN(2029+1,2024+1+dly_d1_m/12)-(MAX(2024,asof)+dly_d1_m/12)))</f>
        <v>1</v>
      </c>
      <c r="F214" s="30" t="n">
        <f aca="false">MAX(0,MIN(2029+1,2025+MAX(0,MIN(1,asof-2025)))-2025)+((1-dly_d1_s)*MAX(0,MIN(2029+1,2025+1+0)-(MAX(2025,asof)+0))+dly_d1_s*MAX(0,MIN(2029+1,2025+1+dly_d1_m/12)-(MAX(2025,asof)+dly_d1_m/12)))</f>
        <v>1</v>
      </c>
      <c r="G214" s="30" t="n">
        <f aca="false">MAX(0,MIN(2029+1,2026+MAX(0,MIN(1,asof-2026)))-2026)+((1-dly_d1_s)*MAX(0,MIN(2029+1,2026+1+0)-(MAX(2026,asof)+0))+dly_d1_s*MAX(0,MIN(2029+1,2026+1+dly_d1_m/12)-(MAX(2026,asof)+dly_d1_m/12)))</f>
        <v>1</v>
      </c>
      <c r="H214" s="30" t="n">
        <f aca="false">MAX(0,MIN(2029+1,2027+MAX(0,MIN(1,asof-2027)))-2027)+((1-dly_d1_s)*MAX(0,MIN(2029+1,2027+1+0)-(MAX(2027,asof)+0))+dly_d1_s*MAX(0,MIN(2029+1,2027+1+dly_d1_m/12)-(MAX(2027,asof)+dly_d1_m/12)))</f>
        <v>1</v>
      </c>
      <c r="I214" s="30" t="n">
        <f aca="false">MAX(0,MIN(2029+1,2028+MAX(0,MIN(1,asof-2028)))-2028)+((1-dly_d1_s)*MAX(0,MIN(2029+1,2028+1+0)-(MAX(2028,asof)+0))+dly_d1_s*MAX(0,MIN(2029+1,2028+1+dly_d1_m/12)-(MAX(2028,asof)+dly_d1_m/12)))</f>
        <v>1</v>
      </c>
      <c r="J214" s="30" t="n">
        <f aca="false">MAX(0,MIN(2029+1,2029+MAX(0,MIN(1,asof-2029)))-2029)+((1-dly_d1_s)*MAX(0,MIN(2029+1,2029+1+0)-(MAX(2029,asof)+0))+dly_d1_s*MAX(0,MIN(2029+1,2029+1+dly_d1_m/12)-(MAX(2029,asof)+dly_d1_m/12)))</f>
        <v>0.825</v>
      </c>
      <c r="K214" s="30" t="n">
        <f aca="false">MAX(0,MIN(2029+1,2030+MAX(0,MIN(1,asof-2030)))-2030)+((1-dly_d1_s)*MAX(0,MIN(2029+1,2030+1+0)-(MAX(2030,asof)+0))+dly_d1_s*MAX(0,MIN(2029+1,2030+1+dly_d1_m/12)-(MAX(2030,asof)+dly_d1_m/12)))</f>
        <v>0</v>
      </c>
      <c r="L214" s="30" t="n">
        <f aca="false">MAX(0,MIN(2029+1,2031+MAX(0,MIN(1,asof-2031)))-2031)+((1-dly_d1_s)*MAX(0,MIN(2029+1,2031+1+0)-(MAX(2031,asof)+0))+dly_d1_s*MAX(0,MIN(2029+1,2031+1+dly_d1_m/12)-(MAX(2031,asof)+dly_d1_m/12)))</f>
        <v>0</v>
      </c>
      <c r="M214" s="30" t="n">
        <f aca="false">MAX(0,MIN(2029+1,2032+MAX(0,MIN(1,asof-2032)))-2032)+((1-dly_d1_s)*MAX(0,MIN(2029+1,2032+1+0)-(MAX(2032,asof)+0))+dly_d1_s*MAX(0,MIN(2029+1,2032+1+dly_d1_m/12)-(MAX(2032,asof)+dly_d1_m/12)))</f>
        <v>0</v>
      </c>
    </row>
    <row r="215" customFormat="false" ht="17.15" hidden="false" customHeight="false" outlineLevel="0" collapsed="false">
      <c r="A215" s="0" t="s">
        <v>1755</v>
      </c>
      <c r="B215" s="0" t="n">
        <v>2030</v>
      </c>
      <c r="E215" s="30" t="n">
        <f aca="false">MAX(0,MIN(2030+1,2024+MAX(0,MIN(1,asof-2024)))-2024)+((1-dly_d1_s)*MAX(0,MIN(2030+1,2024+1+0)-(MAX(2024,asof)+0))+dly_d1_s*MAX(0,MIN(2030+1,2024+1+dly_d1_m/12)-(MAX(2024,asof)+dly_d1_m/12)))</f>
        <v>1</v>
      </c>
      <c r="F215" s="30" t="n">
        <f aca="false">MAX(0,MIN(2030+1,2025+MAX(0,MIN(1,asof-2025)))-2025)+((1-dly_d1_s)*MAX(0,MIN(2030+1,2025+1+0)-(MAX(2025,asof)+0))+dly_d1_s*MAX(0,MIN(2030+1,2025+1+dly_d1_m/12)-(MAX(2025,asof)+dly_d1_m/12)))</f>
        <v>1</v>
      </c>
      <c r="G215" s="30" t="n">
        <f aca="false">MAX(0,MIN(2030+1,2026+MAX(0,MIN(1,asof-2026)))-2026)+((1-dly_d1_s)*MAX(0,MIN(2030+1,2026+1+0)-(MAX(2026,asof)+0))+dly_d1_s*MAX(0,MIN(2030+1,2026+1+dly_d1_m/12)-(MAX(2026,asof)+dly_d1_m/12)))</f>
        <v>1</v>
      </c>
      <c r="H215" s="30" t="n">
        <f aca="false">MAX(0,MIN(2030+1,2027+MAX(0,MIN(1,asof-2027)))-2027)+((1-dly_d1_s)*MAX(0,MIN(2030+1,2027+1+0)-(MAX(2027,asof)+0))+dly_d1_s*MAX(0,MIN(2030+1,2027+1+dly_d1_m/12)-(MAX(2027,asof)+dly_d1_m/12)))</f>
        <v>1</v>
      </c>
      <c r="I215" s="30" t="n">
        <f aca="false">MAX(0,MIN(2030+1,2028+MAX(0,MIN(1,asof-2028)))-2028)+((1-dly_d1_s)*MAX(0,MIN(2030+1,2028+1+0)-(MAX(2028,asof)+0))+dly_d1_s*MAX(0,MIN(2030+1,2028+1+dly_d1_m/12)-(MAX(2028,asof)+dly_d1_m/12)))</f>
        <v>1</v>
      </c>
      <c r="J215" s="30" t="n">
        <f aca="false">MAX(0,MIN(2030+1,2029+MAX(0,MIN(1,asof-2029)))-2029)+((1-dly_d1_s)*MAX(0,MIN(2030+1,2029+1+0)-(MAX(2029,asof)+0))+dly_d1_s*MAX(0,MIN(2030+1,2029+1+dly_d1_m/12)-(MAX(2029,asof)+dly_d1_m/12)))</f>
        <v>1</v>
      </c>
      <c r="K215" s="30" t="n">
        <f aca="false">MAX(0,MIN(2030+1,2030+MAX(0,MIN(1,asof-2030)))-2030)+((1-dly_d1_s)*MAX(0,MIN(2030+1,2030+1+0)-(MAX(2030,asof)+0))+dly_d1_s*MAX(0,MIN(2030+1,2030+1+dly_d1_m/12)-(MAX(2030,asof)+dly_d1_m/12)))</f>
        <v>0.825</v>
      </c>
      <c r="L215" s="30" t="n">
        <f aca="false">MAX(0,MIN(2030+1,2031+MAX(0,MIN(1,asof-2031)))-2031)+((1-dly_d1_s)*MAX(0,MIN(2030+1,2031+1+0)-(MAX(2031,asof)+0))+dly_d1_s*MAX(0,MIN(2030+1,2031+1+dly_d1_m/12)-(MAX(2031,asof)+dly_d1_m/12)))</f>
        <v>0</v>
      </c>
      <c r="M215" s="30" t="n">
        <f aca="false">MAX(0,MIN(2030+1,2032+MAX(0,MIN(1,asof-2032)))-2032)+((1-dly_d1_s)*MAX(0,MIN(2030+1,2032+1+0)-(MAX(2032,asof)+0))+dly_d1_s*MAX(0,MIN(2030+1,2032+1+dly_d1_m/12)-(MAX(2032,asof)+dly_d1_m/12)))</f>
        <v>0</v>
      </c>
    </row>
    <row r="216" customFormat="false" ht="17.15" hidden="false" customHeight="false" outlineLevel="0" collapsed="false">
      <c r="A216" s="0" t="s">
        <v>1756</v>
      </c>
      <c r="B216" s="0" t="n">
        <v>2031</v>
      </c>
      <c r="E216" s="30" t="n">
        <f aca="false">MAX(0,MIN(2031+1,2024+MAX(0,MIN(1,asof-2024)))-2024)+((1-dly_d1_s)*MAX(0,MIN(2031+1,2024+1+0)-(MAX(2024,asof)+0))+dly_d1_s*MAX(0,MIN(2031+1,2024+1+dly_d1_m/12)-(MAX(2024,asof)+dly_d1_m/12)))</f>
        <v>1</v>
      </c>
      <c r="F216" s="30" t="n">
        <f aca="false">MAX(0,MIN(2031+1,2025+MAX(0,MIN(1,asof-2025)))-2025)+((1-dly_d1_s)*MAX(0,MIN(2031+1,2025+1+0)-(MAX(2025,asof)+0))+dly_d1_s*MAX(0,MIN(2031+1,2025+1+dly_d1_m/12)-(MAX(2025,asof)+dly_d1_m/12)))</f>
        <v>1</v>
      </c>
      <c r="G216" s="30" t="n">
        <f aca="false">MAX(0,MIN(2031+1,2026+MAX(0,MIN(1,asof-2026)))-2026)+((1-dly_d1_s)*MAX(0,MIN(2031+1,2026+1+0)-(MAX(2026,asof)+0))+dly_d1_s*MAX(0,MIN(2031+1,2026+1+dly_d1_m/12)-(MAX(2026,asof)+dly_d1_m/12)))</f>
        <v>1</v>
      </c>
      <c r="H216" s="30" t="n">
        <f aca="false">MAX(0,MIN(2031+1,2027+MAX(0,MIN(1,asof-2027)))-2027)+((1-dly_d1_s)*MAX(0,MIN(2031+1,2027+1+0)-(MAX(2027,asof)+0))+dly_d1_s*MAX(0,MIN(2031+1,2027+1+dly_d1_m/12)-(MAX(2027,asof)+dly_d1_m/12)))</f>
        <v>1</v>
      </c>
      <c r="I216" s="30" t="n">
        <f aca="false">MAX(0,MIN(2031+1,2028+MAX(0,MIN(1,asof-2028)))-2028)+((1-dly_d1_s)*MAX(0,MIN(2031+1,2028+1+0)-(MAX(2028,asof)+0))+dly_d1_s*MAX(0,MIN(2031+1,2028+1+dly_d1_m/12)-(MAX(2028,asof)+dly_d1_m/12)))</f>
        <v>1</v>
      </c>
      <c r="J216" s="30" t="n">
        <f aca="false">MAX(0,MIN(2031+1,2029+MAX(0,MIN(1,asof-2029)))-2029)+((1-dly_d1_s)*MAX(0,MIN(2031+1,2029+1+0)-(MAX(2029,asof)+0))+dly_d1_s*MAX(0,MIN(2031+1,2029+1+dly_d1_m/12)-(MAX(2029,asof)+dly_d1_m/12)))</f>
        <v>1</v>
      </c>
      <c r="K216" s="30" t="n">
        <f aca="false">MAX(0,MIN(2031+1,2030+MAX(0,MIN(1,asof-2030)))-2030)+((1-dly_d1_s)*MAX(0,MIN(2031+1,2030+1+0)-(MAX(2030,asof)+0))+dly_d1_s*MAX(0,MIN(2031+1,2030+1+dly_d1_m/12)-(MAX(2030,asof)+dly_d1_m/12)))</f>
        <v>1</v>
      </c>
      <c r="L216" s="30" t="n">
        <f aca="false">MAX(0,MIN(2031+1,2031+MAX(0,MIN(1,asof-2031)))-2031)+((1-dly_d1_s)*MAX(0,MIN(2031+1,2031+1+0)-(MAX(2031,asof)+0))+dly_d1_s*MAX(0,MIN(2031+1,2031+1+dly_d1_m/12)-(MAX(2031,asof)+dly_d1_m/12)))</f>
        <v>0.825</v>
      </c>
      <c r="M216" s="30" t="n">
        <f aca="false">MAX(0,MIN(2031+1,2032+MAX(0,MIN(1,asof-2032)))-2032)+((1-dly_d1_s)*MAX(0,MIN(2031+1,2032+1+0)-(MAX(2032,asof)+0))+dly_d1_s*MAX(0,MIN(2031+1,2032+1+dly_d1_m/12)-(MAX(2032,asof)+dly_d1_m/12)))</f>
        <v>0</v>
      </c>
    </row>
    <row r="217" customFormat="false" ht="17.15" hidden="false" customHeight="false" outlineLevel="0" collapsed="false">
      <c r="A217" s="0" t="s">
        <v>1757</v>
      </c>
      <c r="B217" s="0" t="n">
        <v>2032</v>
      </c>
      <c r="E217" s="30" t="n">
        <f aca="false">MAX(0,MIN(2032+1,2024+MAX(0,MIN(1,asof-2024)))-2024)+((1-dly_d1_s)*MAX(0,MIN(2032+1,2024+1+0)-(MAX(2024,asof)+0))+dly_d1_s*MAX(0,MIN(2032+1,2024+1+dly_d1_m/12)-(MAX(2024,asof)+dly_d1_m/12)))</f>
        <v>1</v>
      </c>
      <c r="F217" s="30" t="n">
        <f aca="false">MAX(0,MIN(2032+1,2025+MAX(0,MIN(1,asof-2025)))-2025)+((1-dly_d1_s)*MAX(0,MIN(2032+1,2025+1+0)-(MAX(2025,asof)+0))+dly_d1_s*MAX(0,MIN(2032+1,2025+1+dly_d1_m/12)-(MAX(2025,asof)+dly_d1_m/12)))</f>
        <v>1</v>
      </c>
      <c r="G217" s="30" t="n">
        <f aca="false">MAX(0,MIN(2032+1,2026+MAX(0,MIN(1,asof-2026)))-2026)+((1-dly_d1_s)*MAX(0,MIN(2032+1,2026+1+0)-(MAX(2026,asof)+0))+dly_d1_s*MAX(0,MIN(2032+1,2026+1+dly_d1_m/12)-(MAX(2026,asof)+dly_d1_m/12)))</f>
        <v>1</v>
      </c>
      <c r="H217" s="30" t="n">
        <f aca="false">MAX(0,MIN(2032+1,2027+MAX(0,MIN(1,asof-2027)))-2027)+((1-dly_d1_s)*MAX(0,MIN(2032+1,2027+1+0)-(MAX(2027,asof)+0))+dly_d1_s*MAX(0,MIN(2032+1,2027+1+dly_d1_m/12)-(MAX(2027,asof)+dly_d1_m/12)))</f>
        <v>1</v>
      </c>
      <c r="I217" s="30" t="n">
        <f aca="false">MAX(0,MIN(2032+1,2028+MAX(0,MIN(1,asof-2028)))-2028)+((1-dly_d1_s)*MAX(0,MIN(2032+1,2028+1+0)-(MAX(2028,asof)+0))+dly_d1_s*MAX(0,MIN(2032+1,2028+1+dly_d1_m/12)-(MAX(2028,asof)+dly_d1_m/12)))</f>
        <v>1</v>
      </c>
      <c r="J217" s="30" t="n">
        <f aca="false">MAX(0,MIN(2032+1,2029+MAX(0,MIN(1,asof-2029)))-2029)+((1-dly_d1_s)*MAX(0,MIN(2032+1,2029+1+0)-(MAX(2029,asof)+0))+dly_d1_s*MAX(0,MIN(2032+1,2029+1+dly_d1_m/12)-(MAX(2029,asof)+dly_d1_m/12)))</f>
        <v>1</v>
      </c>
      <c r="K217" s="30" t="n">
        <f aca="false">MAX(0,MIN(2032+1,2030+MAX(0,MIN(1,asof-2030)))-2030)+((1-dly_d1_s)*MAX(0,MIN(2032+1,2030+1+0)-(MAX(2030,asof)+0))+dly_d1_s*MAX(0,MIN(2032+1,2030+1+dly_d1_m/12)-(MAX(2030,asof)+dly_d1_m/12)))</f>
        <v>1</v>
      </c>
      <c r="L217" s="30" t="n">
        <f aca="false">MAX(0,MIN(2032+1,2031+MAX(0,MIN(1,asof-2031)))-2031)+((1-dly_d1_s)*MAX(0,MIN(2032+1,2031+1+0)-(MAX(2031,asof)+0))+dly_d1_s*MAX(0,MIN(2032+1,2031+1+dly_d1_m/12)-(MAX(2031,asof)+dly_d1_m/12)))</f>
        <v>1</v>
      </c>
      <c r="M217" s="30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219" customFormat="false" ht="17.15" hidden="false" customHeight="false" outlineLevel="0" collapsed="false">
      <c r="A219" s="6" t="s">
        <v>1758</v>
      </c>
      <c r="B219" s="6" t="s">
        <v>1736</v>
      </c>
      <c r="C219" s="6"/>
      <c r="D219" s="6"/>
      <c r="E219" s="7" t="s">
        <v>27</v>
      </c>
      <c r="F219" s="7" t="s">
        <v>28</v>
      </c>
      <c r="G219" s="7" t="s">
        <v>29</v>
      </c>
      <c r="H219" s="7" t="s">
        <v>30</v>
      </c>
      <c r="I219" s="7" t="s">
        <v>31</v>
      </c>
      <c r="J219" s="7" t="s">
        <v>32</v>
      </c>
      <c r="K219" s="7" t="s">
        <v>33</v>
      </c>
      <c r="L219" s="7" t="s">
        <v>34</v>
      </c>
      <c r="M219" s="7" t="s">
        <v>35</v>
      </c>
    </row>
    <row r="220" customFormat="false" ht="17.15" hidden="false" customHeight="false" outlineLevel="0" collapsed="false">
      <c r="A220" s="0" t="s">
        <v>1759</v>
      </c>
      <c r="B220" s="0" t="n">
        <v>2023</v>
      </c>
      <c r="E220" s="30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220" s="30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220" s="30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220" s="30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220" s="30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220" s="30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220" s="30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220" s="30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220" s="30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221" customFormat="false" ht="17.15" hidden="false" customHeight="false" outlineLevel="0" collapsed="false">
      <c r="A221" s="0" t="s">
        <v>1760</v>
      </c>
      <c r="B221" s="0" t="n">
        <v>2024</v>
      </c>
      <c r="E221" s="30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221" s="30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221" s="30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221" s="30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221" s="30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221" s="30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221" s="30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221" s="30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221" s="30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222" customFormat="false" ht="17.15" hidden="false" customHeight="false" outlineLevel="0" collapsed="false">
      <c r="A222" s="0" t="s">
        <v>1761</v>
      </c>
      <c r="B222" s="0" t="n">
        <v>2025</v>
      </c>
      <c r="E222" s="30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222" s="30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222" s="30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222" s="30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222" s="30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222" s="30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222" s="30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222" s="30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222" s="30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223" customFormat="false" ht="17.15" hidden="false" customHeight="false" outlineLevel="0" collapsed="false">
      <c r="A223" s="0" t="s">
        <v>1762</v>
      </c>
      <c r="B223" s="0" t="n">
        <v>2026</v>
      </c>
      <c r="E223" s="30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223" s="30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223" s="30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223" s="30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223" s="30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223" s="30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223" s="30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223" s="30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223" s="30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224" customFormat="false" ht="17.15" hidden="false" customHeight="false" outlineLevel="0" collapsed="false">
      <c r="A224" s="0" t="s">
        <v>1763</v>
      </c>
      <c r="B224" s="0" t="n">
        <v>2027</v>
      </c>
      <c r="E224" s="30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224" s="30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224" s="30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224" s="30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224" s="30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224" s="30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224" s="30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224" s="30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224" s="30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225" customFormat="false" ht="17.15" hidden="false" customHeight="false" outlineLevel="0" collapsed="false">
      <c r="A225" s="0" t="s">
        <v>1764</v>
      </c>
      <c r="B225" s="0" t="n">
        <v>2028</v>
      </c>
      <c r="E225" s="30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225" s="30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225" s="30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225" s="30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225" s="30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225" s="30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225" s="30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225" s="30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225" s="30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226" customFormat="false" ht="17.15" hidden="false" customHeight="false" outlineLevel="0" collapsed="false">
      <c r="A226" s="0" t="s">
        <v>1765</v>
      </c>
      <c r="B226" s="0" t="n">
        <v>2029</v>
      </c>
      <c r="E226" s="30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226" s="30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226" s="30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226" s="30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226" s="30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226" s="30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226" s="30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226" s="30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226" s="30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227" customFormat="false" ht="17.15" hidden="false" customHeight="false" outlineLevel="0" collapsed="false">
      <c r="A227" s="0" t="s">
        <v>1766</v>
      </c>
      <c r="B227" s="0" t="n">
        <v>2030</v>
      </c>
      <c r="E227" s="30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227" s="30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227" s="30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227" s="30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227" s="30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227" s="30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227" s="30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227" s="30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227" s="30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228" customFormat="false" ht="17.15" hidden="false" customHeight="false" outlineLevel="0" collapsed="false">
      <c r="A228" s="0" t="s">
        <v>1767</v>
      </c>
      <c r="B228" s="0" t="n">
        <v>2031</v>
      </c>
      <c r="E228" s="30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228" s="30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228" s="30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228" s="30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228" s="30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228" s="30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228" s="30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228" s="30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228" s="30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229" customFormat="false" ht="17.15" hidden="false" customHeight="false" outlineLevel="0" collapsed="false">
      <c r="A229" s="0" t="s">
        <v>1768</v>
      </c>
      <c r="B229" s="0" t="n">
        <v>2032</v>
      </c>
      <c r="E229" s="30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229" s="30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229" s="30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229" s="30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229" s="30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229" s="30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229" s="30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229" s="30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229" s="30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231" customFormat="false" ht="17.15" hidden="false" customHeight="false" outlineLevel="0" collapsed="false">
      <c r="A231" s="8" t="s">
        <v>1769</v>
      </c>
    </row>
    <row r="232" customFormat="false" ht="15" hidden="false" customHeight="false" outlineLevel="0" collapsed="false">
      <c r="A232" s="6" t="s">
        <v>20</v>
      </c>
      <c r="B232" s="6" t="s">
        <v>1770</v>
      </c>
      <c r="C232" s="6"/>
      <c r="D232" s="7" t="s">
        <v>26</v>
      </c>
      <c r="E232" s="7" t="s">
        <v>27</v>
      </c>
      <c r="F232" s="7" t="s">
        <v>28</v>
      </c>
      <c r="G232" s="7" t="s">
        <v>29</v>
      </c>
      <c r="H232" s="7" t="s">
        <v>30</v>
      </c>
      <c r="I232" s="7" t="s">
        <v>31</v>
      </c>
      <c r="J232" s="7" t="s">
        <v>32</v>
      </c>
      <c r="K232" s="7" t="s">
        <v>33</v>
      </c>
      <c r="L232" s="7" t="s">
        <v>34</v>
      </c>
      <c r="M232" s="7" t="s">
        <v>35</v>
      </c>
    </row>
    <row r="233" customFormat="false" ht="15" hidden="false" customHeight="false" outlineLevel="0" collapsed="false">
      <c r="A233" s="5" t="s">
        <v>1771</v>
      </c>
      <c r="D233" s="25" t="n">
        <f aca="false">SUM($D$190:D190)</f>
        <v>0.630578355681972</v>
      </c>
      <c r="E233" s="25" t="n">
        <f aca="false">SUM($D$190:E190)</f>
        <v>4.58957736166105</v>
      </c>
      <c r="F233" s="25" t="n">
        <f aca="false">SUM($D$190:F190)</f>
        <v>14.6682106949944</v>
      </c>
      <c r="G233" s="25" t="n">
        <f aca="false">SUM($D$190:G190)</f>
        <v>14.6682106949944</v>
      </c>
      <c r="H233" s="25" t="n">
        <f aca="false">SUM($D$190:H190)</f>
        <v>14.6682106949944</v>
      </c>
      <c r="I233" s="25" t="n">
        <f aca="false">SUM($D$190:I190)</f>
        <v>14.6682106949944</v>
      </c>
      <c r="J233" s="25" t="n">
        <f aca="false">SUM($D$190:J190)</f>
        <v>14.6682106949944</v>
      </c>
      <c r="K233" s="25" t="n">
        <f aca="false">SUM($D$190:K190)</f>
        <v>14.6682106949944</v>
      </c>
      <c r="L233" s="25" t="n">
        <f aca="false">SUM($D$190:L190)</f>
        <v>14.6682106949944</v>
      </c>
      <c r="M233" s="25" t="n">
        <f aca="false">SUM($D$190:M190)</f>
        <v>14.6682106949944</v>
      </c>
    </row>
    <row r="234" customFormat="false" ht="15" hidden="false" customHeight="false" outlineLevel="0" collapsed="false">
      <c r="A234" s="5" t="s">
        <v>1772</v>
      </c>
      <c r="D234" s="25" t="n">
        <f aca="false">SUM($D$187:D187)</f>
        <v>0</v>
      </c>
      <c r="E234" s="25" t="n">
        <f aca="false">SUM($D$187:E187)</f>
        <v>0</v>
      </c>
      <c r="F234" s="25" t="n">
        <f aca="false">SUM($D$187:F187)</f>
        <v>0</v>
      </c>
      <c r="G234" s="25" t="n">
        <f aca="false">SUM($D$187:G187)</f>
        <v>3.11976412772586</v>
      </c>
      <c r="H234" s="25" t="n">
        <f aca="false">SUM($D$187:H187)</f>
        <v>3.11976412772586</v>
      </c>
      <c r="I234" s="25" t="n">
        <f aca="false">SUM($D$187:I187)</f>
        <v>3.11976412772586</v>
      </c>
      <c r="J234" s="25" t="n">
        <f aca="false">SUM($D$187:J187)</f>
        <v>3.11976412772586</v>
      </c>
      <c r="K234" s="25" t="n">
        <f aca="false">SUM($D$187:K187)</f>
        <v>3.11976412772586</v>
      </c>
      <c r="L234" s="25" t="n">
        <f aca="false">SUM($D$187:L187)</f>
        <v>3.11976412772586</v>
      </c>
      <c r="M234" s="25" t="n">
        <f aca="false">SUM($D$187:M187)</f>
        <v>3.11976412772586</v>
      </c>
    </row>
    <row r="235" customFormat="false" ht="15" hidden="false" customHeight="false" outlineLevel="0" collapsed="false">
      <c r="A235" s="5" t="s">
        <v>1773</v>
      </c>
      <c r="B235" s="0" t="s">
        <v>1774</v>
      </c>
      <c r="D235" s="25" t="n">
        <f aca="false">SUMPRODUCT($E$188:$M$188,$E$196:$M$196)</f>
        <v>0</v>
      </c>
      <c r="E235" s="25" t="n">
        <f aca="false">SUMPRODUCT($E$188:$M$188,$E$197:$M$197)</f>
        <v>1.61980834349181</v>
      </c>
      <c r="F235" s="25" t="n">
        <f aca="false">SUMPRODUCT($E$188:$M$188,$E$198:$M$198)</f>
        <v>10.347932638339</v>
      </c>
      <c r="G235" s="25" t="n">
        <f aca="false">SUMPRODUCT($E$188:$M$188,$E$199:$M$199)</f>
        <v>17.5345399716723</v>
      </c>
      <c r="H235" s="25" t="n">
        <f aca="false">SUMPRODUCT($E$188:$M$188,$E$200:$M$200)</f>
        <v>20.8035184295128</v>
      </c>
      <c r="I235" s="25" t="n">
        <f aca="false">SUMPRODUCT($E$188:$M$188,$E$201:$M$201)</f>
        <v>24.4902324904218</v>
      </c>
      <c r="J235" s="25" t="n">
        <f aca="false">SUMPRODUCT($E$188:$M$188,$E$202:$M$202)</f>
        <v>28.6402538214193</v>
      </c>
      <c r="K235" s="25" t="n">
        <f aca="false">SUMPRODUCT($E$188:$M$188,$E$203:$M$203)</f>
        <v>33.1663088434672</v>
      </c>
      <c r="L235" s="25" t="n">
        <f aca="false">SUMPRODUCT($E$188:$M$188,$E$204:$M$204)</f>
        <v>35.3201549973133</v>
      </c>
      <c r="M235" s="25" t="n">
        <f aca="false">SUMPRODUCT($E$188:$M$188,$E$205:$M$205)</f>
        <v>37.6893857665441</v>
      </c>
    </row>
    <row r="236" customFormat="false" ht="15" hidden="false" customHeight="false" outlineLevel="0" collapsed="false">
      <c r="A236" s="5" t="s">
        <v>1773</v>
      </c>
      <c r="B236" s="0" t="s">
        <v>1775</v>
      </c>
      <c r="D236" s="25" t="n">
        <f aca="false">SUMPRODUCT($E$188:$M$188,$E$208:$M$208)</f>
        <v>0</v>
      </c>
      <c r="E236" s="25" t="n">
        <f aca="false">SUMPRODUCT($E$188:$M$188,$E$209:$M$209)</f>
        <v>1.61980834349181</v>
      </c>
      <c r="F236" s="25" t="n">
        <f aca="false">SUMPRODUCT($E$188:$M$188,$E$210:$M$210)</f>
        <v>10.347932638339</v>
      </c>
      <c r="G236" s="25" t="n">
        <f aca="false">SUMPRODUCT($E$188:$M$188,$E$211:$M$211)</f>
        <v>17.0943602725057</v>
      </c>
      <c r="H236" s="25" t="n">
        <f aca="false">SUMPRODUCT($E$188:$M$188,$E$212:$M$212)</f>
        <v>20.2314471993907</v>
      </c>
      <c r="I236" s="25" t="n">
        <f aca="false">SUMPRODUCT($E$188:$M$188,$E$213:$M$213)</f>
        <v>23.8450575297627</v>
      </c>
      <c r="J236" s="25" t="n">
        <f aca="false">SUMPRODUCT($E$188:$M$188,$E$214:$M$214)</f>
        <v>27.9140000884947</v>
      </c>
      <c r="K236" s="25" t="n">
        <f aca="false">SUMPRODUCT($E$188:$M$188,$E$215:$M$215)</f>
        <v>32.3742492146088</v>
      </c>
      <c r="L236" s="25" t="n">
        <f aca="false">SUMPRODUCT($E$188:$M$188,$E$216:$M$216)</f>
        <v>34.9432319203902</v>
      </c>
      <c r="M236" s="25" t="n">
        <f aca="false">SUMPRODUCT($E$188:$M$188,$E$217:$M$217)</f>
        <v>37.2747703819287</v>
      </c>
    </row>
    <row r="237" customFormat="false" ht="15" hidden="false" customHeight="false" outlineLevel="0" collapsed="false">
      <c r="A237" s="5" t="s">
        <v>1773</v>
      </c>
      <c r="B237" s="0" t="s">
        <v>1776</v>
      </c>
      <c r="D237" s="25" t="n">
        <f aca="false">SUMPRODUCT($E$188:$M$188,$E$220:$M$220)</f>
        <v>0</v>
      </c>
      <c r="E237" s="25" t="n">
        <f aca="false">SUMPRODUCT($E$188:$M$188,$E$221:$M$221)</f>
        <v>1.61980834349181</v>
      </c>
      <c r="F237" s="25" t="n">
        <f aca="false">SUMPRODUCT($E$188:$M$188,$E$222:$M$222)</f>
        <v>10.347932638339</v>
      </c>
      <c r="G237" s="25" t="n">
        <f aca="false">SUMPRODUCT($E$188:$M$188,$E$223:$M$223)</f>
        <v>17.0943602725057</v>
      </c>
      <c r="H237" s="25" t="n">
        <f aca="false">SUMPRODUCT($E$188:$M$188,$E$224:$M$224)</f>
        <v>19.1526843083033</v>
      </c>
      <c r="I237" s="25" t="n">
        <f aca="false">SUMPRODUCT($E$188:$M$188,$E$225:$M$225)</f>
        <v>22.3996133976139</v>
      </c>
      <c r="J237" s="25" t="n">
        <f aca="false">SUMPRODUCT($E$188:$M$188,$E$226:$M$226)</f>
        <v>27.6559301042311</v>
      </c>
      <c r="K237" s="25" t="n">
        <f aca="false">SUMPRODUCT($E$188:$M$188,$E$227:$M$227)</f>
        <v>32.3742492146088</v>
      </c>
      <c r="L237" s="25" t="n">
        <f aca="false">SUMPRODUCT($E$188:$M$188,$E$228:$M$228)</f>
        <v>34.9432319203902</v>
      </c>
      <c r="M237" s="25" t="n">
        <f aca="false">SUMPRODUCT($E$188:$M$188,$E$229:$M$229)</f>
        <v>37.2747703819287</v>
      </c>
    </row>
    <row r="238" customFormat="false" ht="15" hidden="false" customHeight="false" outlineLevel="0" collapsed="false">
      <c r="A238" s="5" t="s">
        <v>1777</v>
      </c>
      <c r="B238" s="0" t="s">
        <v>1774</v>
      </c>
      <c r="D238" s="25" t="n">
        <f aca="false">SUMPRODUCT($L$5:$L$134,$Q$5:$Q$134,($M$5:$M$134&lt;=2023+1)*1)</f>
        <v>0</v>
      </c>
      <c r="E238" s="25" t="n">
        <f aca="false">SUMPRODUCT($L$5:$L$134,$Q$5:$Q$134,($M$5:$M$134&lt;=2024+1)*1)</f>
        <v>0</v>
      </c>
      <c r="F238" s="25" t="n">
        <f aca="false">SUMPRODUCT($L$5:$L$134,$Q$5:$Q$134,($M$5:$M$134&lt;=2025+1)*1)</f>
        <v>0.321</v>
      </c>
      <c r="G238" s="25" t="n">
        <f aca="false">SUMPRODUCT($L$5:$L$134,$Q$5:$Q$134,($M$5:$M$134&lt;=2026+1)*1)</f>
        <v>2.53</v>
      </c>
      <c r="H238" s="25" t="n">
        <f aca="false">SUMPRODUCT($L$5:$L$134,$Q$5:$Q$134,($M$5:$M$134&lt;=2027+1)*1)</f>
        <v>11.8641666666667</v>
      </c>
      <c r="I238" s="25" t="n">
        <f aca="false">SUMPRODUCT($L$5:$L$134,$Q$5:$Q$134,($M$5:$M$134&lt;=2028+1)*1)</f>
        <v>27.3935</v>
      </c>
      <c r="J238" s="25" t="n">
        <f aca="false">SUMPRODUCT($L$5:$L$134,$Q$5:$Q$134,($M$5:$M$134&lt;=2029+1)*1)</f>
        <v>29.7165</v>
      </c>
      <c r="K238" s="25" t="n">
        <f aca="false">SUMPRODUCT($L$5:$L$134,$Q$5:$Q$134,($M$5:$M$134&lt;=2030+1)*1)</f>
        <v>32.2095</v>
      </c>
      <c r="L238" s="25" t="n">
        <f aca="false">SUMPRODUCT($L$5:$L$134,$Q$5:$Q$134,($M$5:$M$134&lt;=2031+1)*1)</f>
        <v>33.6285</v>
      </c>
      <c r="M238" s="25" t="n">
        <f aca="false">SUMPRODUCT($L$5:$L$134,$Q$5:$Q$134,($M$5:$M$134&lt;=2032+1)*1)</f>
        <v>36.1945</v>
      </c>
    </row>
    <row r="239" customFormat="false" ht="15" hidden="false" customHeight="false" outlineLevel="0" collapsed="false">
      <c r="A239" s="5" t="s">
        <v>1777</v>
      </c>
      <c r="B239" s="0" t="s">
        <v>1775</v>
      </c>
      <c r="D239" s="25" t="n">
        <f aca="false">SUMPRODUCT($L$5:$L$134,$Q$5:$Q$134,((($J$5:$J$134&gt;0)+($J$5:$J$134&lt;=0)*(1-dly_d1_s))*($N$5:$N$134&lt;=2023+1)+($J$5:$J$134&lt;=0)*dly_d1_s*($O$5:$O$134&lt;=2023+1)))</f>
        <v>0</v>
      </c>
      <c r="E239" s="25" t="n">
        <f aca="false">SUMPRODUCT($L$5:$L$134,$Q$5:$Q$134,((($J$5:$J$134&gt;0)+($J$5:$J$134&lt;=0)*(1-dly_d1_s))*($N$5:$N$134&lt;=2024+1)+($J$5:$J$134&lt;=0)*dly_d1_s*($O$5:$O$134&lt;=2024+1)))</f>
        <v>0</v>
      </c>
      <c r="F239" s="25" t="n">
        <f aca="false">SUMPRODUCT($L$5:$L$134,$Q$5:$Q$134,((($J$5:$J$134&gt;0)+($J$5:$J$134&lt;=0)*(1-dly_d1_s))*($N$5:$N$134&lt;=2025+1)+($J$5:$J$134&lt;=0)*dly_d1_s*($O$5:$O$134&lt;=2025+1)))</f>
        <v>0.321</v>
      </c>
      <c r="G239" s="25" t="n">
        <f aca="false">SUMPRODUCT($L$5:$L$134,$Q$5:$Q$134,((($J$5:$J$134&gt;0)+($J$5:$J$134&lt;=0)*(1-dly_d1_s))*($N$5:$N$134&lt;=2026+1)+($J$5:$J$134&lt;=0)*dly_d1_s*($O$5:$O$134&lt;=2026+1)))</f>
        <v>2.1611</v>
      </c>
      <c r="H239" s="25" t="n">
        <f aca="false">SUMPRODUCT($L$5:$L$134,$Q$5:$Q$134,((($J$5:$J$134&gt;0)+($J$5:$J$134&lt;=0)*(1-dly_d1_s))*($N$5:$N$134&lt;=2027+1)+($J$5:$J$134&lt;=0)*dly_d1_s*($O$5:$O$134&lt;=2027+1)))</f>
        <v>9.93245833333333</v>
      </c>
      <c r="I239" s="25" t="n">
        <f aca="false">SUMPRODUCT($L$5:$L$134,$Q$5:$Q$134,((($J$5:$J$134&gt;0)+($J$5:$J$134&lt;=0)*(1-dly_d1_s))*($N$5:$N$134&lt;=2028+1)+($J$5:$J$134&lt;=0)*dly_d1_s*($O$5:$O$134&lt;=2028+1)))</f>
        <v>24.1453833333333</v>
      </c>
      <c r="J239" s="25" t="n">
        <f aca="false">SUMPRODUCT($L$5:$L$134,$Q$5:$Q$134,((($J$5:$J$134&gt;0)+($J$5:$J$134&lt;=0)*(1-dly_d1_s))*($N$5:$N$134&lt;=2029+1)+($J$5:$J$134&lt;=0)*dly_d1_s*($O$5:$O$134&lt;=2029+1)))</f>
        <v>28.92515</v>
      </c>
      <c r="K239" s="25" t="n">
        <f aca="false">SUMPRODUCT($L$5:$L$134,$Q$5:$Q$134,((($J$5:$J$134&gt;0)+($J$5:$J$134&lt;=0)*(1-dly_d1_s))*($N$5:$N$134&lt;=2030+1)+($J$5:$J$134&lt;=0)*dly_d1_s*($O$5:$O$134&lt;=2030+1)))</f>
        <v>31.33695</v>
      </c>
      <c r="L239" s="25" t="n">
        <f aca="false">SUMPRODUCT($L$5:$L$134,$Q$5:$Q$134,((($J$5:$J$134&gt;0)+($J$5:$J$134&lt;=0)*(1-dly_d1_s))*($N$5:$N$134&lt;=2031+1)+($J$5:$J$134&lt;=0)*dly_d1_s*($O$5:$O$134&lt;=2031+1)))</f>
        <v>33.13185</v>
      </c>
      <c r="M239" s="25" t="n">
        <f aca="false">SUMPRODUCT($L$5:$L$134,$Q$5:$Q$134,((($J$5:$J$134&gt;0)+($J$5:$J$134&lt;=0)*(1-dly_d1_s))*($N$5:$N$134&lt;=2032+1)+($J$5:$J$134&lt;=0)*dly_d1_s*($O$5:$O$134&lt;=2032+1)))</f>
        <v>35.2964</v>
      </c>
    </row>
    <row r="240" customFormat="false" ht="15" hidden="false" customHeight="false" outlineLevel="0" collapsed="false">
      <c r="A240" s="5" t="s">
        <v>1777</v>
      </c>
      <c r="B240" s="0" t="s">
        <v>1776</v>
      </c>
      <c r="D240" s="25" t="n">
        <f aca="false">SUMPRODUCT($L$5:$L$134,$Q$5:$Q$134,(1-dly_d2_bind*$R$5:$R$134)*((($J$5:$J$134&gt;0)+($J$5:$J$134&lt;=0)*(1-dly_d1_s))*($N$5:$N$134&lt;=2023+1)+($J$5:$J$134&lt;=0)*dly_d1_s*($O$5:$O$134&lt;=2023+1))+dly_d2_bind*$R$5:$R$134*((($J$5:$J$134&gt;0)+($J$5:$J$134&lt;=0)*(1-dly_d1_s))*($N$5:$N$134+dly_d2_m/12&lt;=2023+1)+($J$5:$J$134&lt;=0)*dly_d1_s*($O$5:$O$134+dly_d2_m/12&lt;=2023+1)))</f>
        <v>0</v>
      </c>
      <c r="E240" s="25" t="n">
        <f aca="false">SUMPRODUCT($L$5:$L$134,$Q$5:$Q$134,(1-dly_d2_bind*$R$5:$R$134)*((($J$5:$J$134&gt;0)+($J$5:$J$134&lt;=0)*(1-dly_d1_s))*($N$5:$N$134&lt;=2024+1)+($J$5:$J$134&lt;=0)*dly_d1_s*($O$5:$O$134&lt;=2024+1))+dly_d2_bind*$R$5:$R$134*((($J$5:$J$134&gt;0)+($J$5:$J$134&lt;=0)*(1-dly_d1_s))*($N$5:$N$134+dly_d2_m/12&lt;=2024+1)+($J$5:$J$134&lt;=0)*dly_d1_s*($O$5:$O$134+dly_d2_m/12&lt;=2024+1)))</f>
        <v>0</v>
      </c>
      <c r="F240" s="25" t="n">
        <f aca="false">SUMPRODUCT($L$5:$L$134,$Q$5:$Q$134,(1-dly_d2_bind*$R$5:$R$134)*((($J$5:$J$134&gt;0)+($J$5:$J$134&lt;=0)*(1-dly_d1_s))*($N$5:$N$134&lt;=2025+1)+($J$5:$J$134&lt;=0)*dly_d1_s*($O$5:$O$134&lt;=2025+1))+dly_d2_bind*$R$5:$R$134*((($J$5:$J$134&gt;0)+($J$5:$J$134&lt;=0)*(1-dly_d1_s))*($N$5:$N$134+dly_d2_m/12&lt;=2025+1)+($J$5:$J$134&lt;=0)*dly_d1_s*($O$5:$O$134+dly_d2_m/12&lt;=2025+1)))</f>
        <v>0.321</v>
      </c>
      <c r="G240" s="25" t="n">
        <f aca="false">SUMPRODUCT($L$5:$L$134,$Q$5:$Q$134,(1-dly_d2_bind*$R$5:$R$134)*((($J$5:$J$134&gt;0)+($J$5:$J$134&lt;=0)*(1-dly_d1_s))*($N$5:$N$134&lt;=2026+1)+($J$5:$J$134&lt;=0)*dly_d1_s*($O$5:$O$134&lt;=2026+1))+dly_d2_bind*$R$5:$R$134*((($J$5:$J$134&gt;0)+($J$5:$J$134&lt;=0)*(1-dly_d1_s))*($N$5:$N$134+dly_d2_m/12&lt;=2026+1)+($J$5:$J$134&lt;=0)*dly_d1_s*($O$5:$O$134+dly_d2_m/12&lt;=2026+1)))</f>
        <v>2.1611</v>
      </c>
      <c r="H240" s="25" t="n">
        <f aca="false">SUMPRODUCT($L$5:$L$134,$Q$5:$Q$134,(1-dly_d2_bind*$R$5:$R$134)*((($J$5:$J$134&gt;0)+($J$5:$J$134&lt;=0)*(1-dly_d1_s))*($N$5:$N$134&lt;=2027+1)+($J$5:$J$134&lt;=0)*dly_d1_s*($O$5:$O$134&lt;=2027+1))+dly_d2_bind*$R$5:$R$134*((($J$5:$J$134&gt;0)+($J$5:$J$134&lt;=0)*(1-dly_d1_s))*($N$5:$N$134+dly_d2_m/12&lt;=2027+1)+($J$5:$J$134&lt;=0)*dly_d1_s*($O$5:$O$134+dly_d2_m/12&lt;=2027+1)))</f>
        <v>7.021395</v>
      </c>
      <c r="I240" s="25" t="n">
        <f aca="false">SUMPRODUCT($L$5:$L$134,$Q$5:$Q$134,(1-dly_d2_bind*$R$5:$R$134)*((($J$5:$J$134&gt;0)+($J$5:$J$134&lt;=0)*(1-dly_d1_s))*($N$5:$N$134&lt;=2028+1)+($J$5:$J$134&lt;=0)*dly_d1_s*($O$5:$O$134&lt;=2028+1))+dly_d2_bind*$R$5:$R$134*((($J$5:$J$134&gt;0)+($J$5:$J$134&lt;=0)*(1-dly_d1_s))*($N$5:$N$134+dly_d2_m/12&lt;=2028+1)+($J$5:$J$134&lt;=0)*dly_d1_s*($O$5:$O$134+dly_d2_m/12&lt;=2028+1)))</f>
        <v>19.1799333333333</v>
      </c>
      <c r="J240" s="25" t="n">
        <f aca="false">SUMPRODUCT($L$5:$L$134,$Q$5:$Q$134,(1-dly_d2_bind*$R$5:$R$134)*((($J$5:$J$134&gt;0)+($J$5:$J$134&lt;=0)*(1-dly_d1_s))*($N$5:$N$134&lt;=2029+1)+($J$5:$J$134&lt;=0)*dly_d1_s*($O$5:$O$134&lt;=2029+1))+dly_d2_bind*$R$5:$R$134*((($J$5:$J$134&gt;0)+($J$5:$J$134&lt;=0)*(1-dly_d1_s))*($N$5:$N$134+dly_d2_m/12&lt;=2029+1)+($J$5:$J$134&lt;=0)*dly_d1_s*($O$5:$O$134+dly_d2_m/12&lt;=2029+1)))</f>
        <v>27.6474633333333</v>
      </c>
      <c r="K240" s="25" t="n">
        <f aca="false">SUMPRODUCT($L$5:$L$134,$Q$5:$Q$134,(1-dly_d2_bind*$R$5:$R$134)*((($J$5:$J$134&gt;0)+($J$5:$J$134&lt;=0)*(1-dly_d1_s))*($N$5:$N$134&lt;=2030+1)+($J$5:$J$134&lt;=0)*dly_d1_s*($O$5:$O$134&lt;=2030+1))+dly_d2_bind*$R$5:$R$134*((($J$5:$J$134&gt;0)+($J$5:$J$134&lt;=0)*(1-dly_d1_s))*($N$5:$N$134+dly_d2_m/12&lt;=2030+1)+($J$5:$J$134&lt;=0)*dly_d1_s*($O$5:$O$134+dly_d2_m/12&lt;=2030+1)))</f>
        <v>31.33695</v>
      </c>
      <c r="L240" s="25" t="n">
        <f aca="false">SUMPRODUCT($L$5:$L$134,$Q$5:$Q$134,(1-dly_d2_bind*$R$5:$R$134)*((($J$5:$J$134&gt;0)+($J$5:$J$134&lt;=0)*(1-dly_d1_s))*($N$5:$N$134&lt;=2031+1)+($J$5:$J$134&lt;=0)*dly_d1_s*($O$5:$O$134&lt;=2031+1))+dly_d2_bind*$R$5:$R$134*((($J$5:$J$134&gt;0)+($J$5:$J$134&lt;=0)*(1-dly_d1_s))*($N$5:$N$134+dly_d2_m/12&lt;=2031+1)+($J$5:$J$134&lt;=0)*dly_d1_s*($O$5:$O$134+dly_d2_m/12&lt;=2031+1)))</f>
        <v>33.13185</v>
      </c>
      <c r="M240" s="25" t="n">
        <f aca="false">SUMPRODUCT($L$5:$L$134,$Q$5:$Q$134,(1-dly_d2_bind*$R$5:$R$134)*((($J$5:$J$134&gt;0)+($J$5:$J$134&lt;=0)*(1-dly_d1_s))*($N$5:$N$134&lt;=2032+1)+($J$5:$J$134&lt;=0)*dly_d1_s*($O$5:$O$134&lt;=2032+1))+dly_d2_bind*$R$5:$R$134*((($J$5:$J$134&gt;0)+($J$5:$J$134&lt;=0)*(1-dly_d1_s))*($N$5:$N$134+dly_d2_m/12&lt;=2032+1)+($J$5:$J$134&lt;=0)*dly_d1_s*($O$5:$O$134+dly_d2_m/12&lt;=2032+1)))</f>
        <v>35.2964</v>
      </c>
    </row>
    <row r="241" customFormat="false" ht="17.15" hidden="false" customHeight="false" outlineLevel="0" collapsed="false">
      <c r="A241" s="22" t="s">
        <v>1778</v>
      </c>
      <c r="B241" s="21" t="s">
        <v>1774</v>
      </c>
      <c r="D241" s="26" t="n">
        <f aca="false">D233+D234+D235+D238</f>
        <v>0.630578355681972</v>
      </c>
      <c r="E241" s="26" t="n">
        <f aca="false">E233+E234+E235+E238</f>
        <v>6.20938570515285</v>
      </c>
      <c r="F241" s="26" t="n">
        <f aca="false">F233+F234+F235+F238</f>
        <v>25.3371433333333</v>
      </c>
      <c r="G241" s="26" t="n">
        <f aca="false">G233+G234+G235+G238</f>
        <v>37.8525147943925</v>
      </c>
      <c r="H241" s="26" t="n">
        <f aca="false">H233+H234+H235+H238</f>
        <v>50.4556599188997</v>
      </c>
      <c r="I241" s="26" t="n">
        <f aca="false">I233+I234+I235+I238</f>
        <v>69.6717073131421</v>
      </c>
      <c r="J241" s="26" t="n">
        <f aca="false">J233+J234+J235+J238</f>
        <v>76.1447286441395</v>
      </c>
      <c r="K241" s="26" t="n">
        <f aca="false">K233+K234+K235+K238</f>
        <v>83.1637836661874</v>
      </c>
      <c r="L241" s="26" t="n">
        <f aca="false">L233+L234+L235+L238</f>
        <v>86.7366298200336</v>
      </c>
      <c r="M241" s="26" t="n">
        <f aca="false">M233+M234+M235+M238</f>
        <v>91.6718605892643</v>
      </c>
    </row>
    <row r="242" customFormat="false" ht="17.15" hidden="false" customHeight="false" outlineLevel="0" collapsed="false">
      <c r="A242" s="22" t="s">
        <v>1778</v>
      </c>
      <c r="B242" s="21" t="s">
        <v>1775</v>
      </c>
      <c r="D242" s="26" t="n">
        <f aca="false">D233+D234+D236+D239</f>
        <v>0.630578355681972</v>
      </c>
      <c r="E242" s="26" t="n">
        <f aca="false">E233+E234+E236+E239</f>
        <v>6.20938570515285</v>
      </c>
      <c r="F242" s="26" t="n">
        <f aca="false">F233+F234+F236+F239</f>
        <v>25.3371433333333</v>
      </c>
      <c r="G242" s="26" t="n">
        <f aca="false">G233+G234+G236+G239</f>
        <v>37.043435095226</v>
      </c>
      <c r="H242" s="26" t="n">
        <f aca="false">H233+H234+H236+H239</f>
        <v>47.9518803554443</v>
      </c>
      <c r="I242" s="26" t="n">
        <f aca="false">I233+I234+I236+I239</f>
        <v>65.7784156858163</v>
      </c>
      <c r="J242" s="26" t="n">
        <f aca="false">J233+J234+J236+J239</f>
        <v>74.627124911215</v>
      </c>
      <c r="K242" s="26" t="n">
        <f aca="false">K233+K234+K236+K239</f>
        <v>81.499174037329</v>
      </c>
      <c r="L242" s="26" t="n">
        <f aca="false">L233+L234+L236+L239</f>
        <v>85.8630567431105</v>
      </c>
      <c r="M242" s="26" t="n">
        <f aca="false">M233+M234+M236+M239</f>
        <v>90.3591452046489</v>
      </c>
    </row>
    <row r="243" customFormat="false" ht="17.15" hidden="false" customHeight="false" outlineLevel="0" collapsed="false">
      <c r="A243" s="22" t="s">
        <v>1778</v>
      </c>
      <c r="B243" s="21" t="s">
        <v>1776</v>
      </c>
      <c r="D243" s="26" t="n">
        <f aca="false">D233+D234+D237+D240</f>
        <v>0.630578355681972</v>
      </c>
      <c r="E243" s="26" t="n">
        <f aca="false">E233+E234+E237+E240</f>
        <v>6.20938570515285</v>
      </c>
      <c r="F243" s="26" t="n">
        <f aca="false">F233+F234+F237+F240</f>
        <v>25.3371433333333</v>
      </c>
      <c r="G243" s="26" t="n">
        <f aca="false">G233+G234+G237+G240</f>
        <v>37.043435095226</v>
      </c>
      <c r="H243" s="26" t="n">
        <f aca="false">H233+H234+H237+H240</f>
        <v>43.9620541310236</v>
      </c>
      <c r="I243" s="26" t="n">
        <f aca="false">I233+I234+I237+I240</f>
        <v>59.3675215536675</v>
      </c>
      <c r="J243" s="26" t="n">
        <f aca="false">J233+J234+J237+J240</f>
        <v>73.0913682602847</v>
      </c>
      <c r="K243" s="26" t="n">
        <f aca="false">K233+K234+K237+K240</f>
        <v>81.499174037329</v>
      </c>
      <c r="L243" s="26" t="n">
        <f aca="false">L233+L234+L237+L240</f>
        <v>85.8630567431105</v>
      </c>
      <c r="M243" s="26" t="n">
        <f aca="false">M233+M234+M237+M240</f>
        <v>90.3591452046489</v>
      </c>
    </row>
    <row r="244" customFormat="false" ht="17.15" hidden="false" customHeight="false" outlineLevel="0" collapsed="false">
      <c r="A244" s="5" t="s">
        <v>1779</v>
      </c>
      <c r="B244" s="0" t="s">
        <v>1774</v>
      </c>
      <c r="D244" s="25" t="n">
        <f aca="false">0</f>
        <v>0</v>
      </c>
      <c r="E244" s="25" t="n">
        <f aca="false">E241-D241-E190</f>
        <v>1.61980834349181</v>
      </c>
      <c r="F244" s="25" t="n">
        <f aca="false">F241-E241-F190</f>
        <v>9.04912429484716</v>
      </c>
      <c r="G244" s="25" t="n">
        <f aca="false">G241-F241-G190</f>
        <v>12.5153714610592</v>
      </c>
      <c r="H244" s="25" t="n">
        <f aca="false">H241-G241-H190</f>
        <v>12.6031451245072</v>
      </c>
      <c r="I244" s="25" t="n">
        <f aca="false">I241-H241-I190</f>
        <v>19.2160473942424</v>
      </c>
      <c r="J244" s="25" t="n">
        <f aca="false">J241-I241-J190</f>
        <v>6.47302133099745</v>
      </c>
      <c r="K244" s="25" t="n">
        <f aca="false">K241-J241-K190</f>
        <v>7.01905502204789</v>
      </c>
      <c r="L244" s="25" t="n">
        <f aca="false">L241-K241-L190</f>
        <v>3.57284615384616</v>
      </c>
      <c r="M244" s="25" t="n">
        <f aca="false">M241-L241-M190</f>
        <v>4.93523076923077</v>
      </c>
    </row>
    <row r="245" customFormat="false" ht="17.15" hidden="false" customHeight="false" outlineLevel="0" collapsed="false">
      <c r="A245" s="5" t="s">
        <v>1779</v>
      </c>
      <c r="B245" s="0" t="s">
        <v>1775</v>
      </c>
      <c r="D245" s="25" t="n">
        <f aca="false">0</f>
        <v>0</v>
      </c>
      <c r="E245" s="25" t="n">
        <f aca="false">E242-D242-E190</f>
        <v>1.61980834349181</v>
      </c>
      <c r="F245" s="25" t="n">
        <f aca="false">F242-E242-F190</f>
        <v>9.04912429484716</v>
      </c>
      <c r="G245" s="25" t="n">
        <f aca="false">G242-F242-G190</f>
        <v>11.7062917618926</v>
      </c>
      <c r="H245" s="25" t="n">
        <f aca="false">H242-G242-H190</f>
        <v>10.9084452602183</v>
      </c>
      <c r="I245" s="25" t="n">
        <f aca="false">I242-H242-I190</f>
        <v>17.826535330372</v>
      </c>
      <c r="J245" s="25" t="n">
        <f aca="false">J242-I242-J190</f>
        <v>8.84870922539865</v>
      </c>
      <c r="K245" s="25" t="n">
        <f aca="false">K242-J242-K190</f>
        <v>6.87204912611408</v>
      </c>
      <c r="L245" s="25" t="n">
        <f aca="false">L242-K242-L190</f>
        <v>4.36388270578145</v>
      </c>
      <c r="M245" s="25" t="n">
        <f aca="false">M242-L242-M190</f>
        <v>4.49608846153846</v>
      </c>
    </row>
    <row r="246" customFormat="false" ht="17.15" hidden="false" customHeight="false" outlineLevel="0" collapsed="false">
      <c r="A246" s="5" t="s">
        <v>1779</v>
      </c>
      <c r="B246" s="0" t="s">
        <v>1776</v>
      </c>
      <c r="D246" s="25" t="n">
        <f aca="false">0</f>
        <v>0</v>
      </c>
      <c r="E246" s="25" t="n">
        <f aca="false">E243-D243-E190</f>
        <v>1.61980834349181</v>
      </c>
      <c r="F246" s="25" t="n">
        <f aca="false">F243-E243-F190</f>
        <v>9.04912429484716</v>
      </c>
      <c r="G246" s="25" t="n">
        <f aca="false">G243-F243-G190</f>
        <v>11.7062917618926</v>
      </c>
      <c r="H246" s="25" t="n">
        <f aca="false">H243-G243-H190</f>
        <v>6.9186190357976</v>
      </c>
      <c r="I246" s="25" t="n">
        <f aca="false">I243-H243-I190</f>
        <v>15.4054674226439</v>
      </c>
      <c r="J246" s="25" t="n">
        <f aca="false">J243-I243-J190</f>
        <v>13.7238467066172</v>
      </c>
      <c r="K246" s="25" t="n">
        <f aca="false">K243-J243-K190</f>
        <v>8.40780577704437</v>
      </c>
      <c r="L246" s="25" t="n">
        <f aca="false">L243-K243-L190</f>
        <v>4.36388270578145</v>
      </c>
      <c r="M246" s="25" t="n">
        <f aca="false">M243-L243-M190</f>
        <v>4.49608846153846</v>
      </c>
    </row>
    <row r="247" customFormat="false" ht="17.15" hidden="false" customHeight="false" outlineLevel="0" collapsed="false">
      <c r="A247" s="5" t="s">
        <v>1780</v>
      </c>
      <c r="B247" s="0" t="s">
        <v>1775</v>
      </c>
      <c r="D247" s="25" t="n">
        <f aca="false">D241-D242</f>
        <v>0</v>
      </c>
      <c r="E247" s="25" t="n">
        <f aca="false">E241-E242</f>
        <v>0</v>
      </c>
      <c r="F247" s="25" t="n">
        <f aca="false">F241-F242</f>
        <v>0</v>
      </c>
      <c r="G247" s="25" t="n">
        <f aca="false">G241-G242</f>
        <v>0.809079699166553</v>
      </c>
      <c r="H247" s="25" t="n">
        <f aca="false">H241-H242</f>
        <v>2.50377956345542</v>
      </c>
      <c r="I247" s="25" t="n">
        <f aca="false">I241-I242</f>
        <v>3.89329162732575</v>
      </c>
      <c r="J247" s="25" t="n">
        <f aca="false">J241-J242</f>
        <v>1.51760373292456</v>
      </c>
      <c r="K247" s="25" t="n">
        <f aca="false">K241-K242</f>
        <v>1.66460962885837</v>
      </c>
      <c r="L247" s="25" t="n">
        <f aca="false">L241-L242</f>
        <v>0.87357307692308</v>
      </c>
      <c r="M247" s="25" t="n">
        <f aca="false">M241-M242</f>
        <v>1.31271538461539</v>
      </c>
    </row>
    <row r="248" customFormat="false" ht="17.15" hidden="false" customHeight="false" outlineLevel="0" collapsed="false">
      <c r="A248" s="5" t="s">
        <v>1780</v>
      </c>
      <c r="B248" s="0" t="s">
        <v>1776</v>
      </c>
      <c r="D248" s="25" t="n">
        <f aca="false">D241-D243</f>
        <v>0</v>
      </c>
      <c r="E248" s="25" t="n">
        <f aca="false">E241-E243</f>
        <v>0</v>
      </c>
      <c r="F248" s="25" t="n">
        <f aca="false">F241-F243</f>
        <v>0</v>
      </c>
      <c r="G248" s="25" t="n">
        <f aca="false">G241-G243</f>
        <v>0.809079699166553</v>
      </c>
      <c r="H248" s="25" t="n">
        <f aca="false">H241-H243</f>
        <v>6.49360578787612</v>
      </c>
      <c r="I248" s="25" t="n">
        <f aca="false">I241-I243</f>
        <v>10.3041857594746</v>
      </c>
      <c r="J248" s="25" t="n">
        <f aca="false">J241-J243</f>
        <v>3.05336038385485</v>
      </c>
      <c r="K248" s="25" t="n">
        <f aca="false">K241-K243</f>
        <v>1.66460962885837</v>
      </c>
      <c r="L248" s="25" t="n">
        <f aca="false">L241-L243</f>
        <v>0.87357307692308</v>
      </c>
      <c r="M248" s="25" t="n">
        <f aca="false">M241-M243</f>
        <v>1.31271538461539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1781</v>
      </c>
    </row>
    <row r="2" customFormat="false" ht="17.15" hidden="false" customHeight="false" outlineLevel="0" collapsed="false">
      <c r="A2" s="5" t="s">
        <v>1782</v>
      </c>
    </row>
    <row r="3" customFormat="false" ht="15" hidden="false" customHeight="false" outlineLevel="0" collapsed="false">
      <c r="A3" s="6" t="s">
        <v>20</v>
      </c>
      <c r="B3" s="6" t="s">
        <v>1723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1783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1784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1785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1786</v>
      </c>
      <c r="C7" s="0" t="s">
        <v>395</v>
      </c>
      <c r="D7" s="30" t="n">
        <f aca="false">Players!D5*TK_CapexIT_H100+Players!D6*TK_CapexIT_GB200+Players!D7*TK_CapexIT_GB300+Players!D8*TK_CapexIT_VR200+Players!D9*TK_CapexIT_RU</f>
        <v>27.510214</v>
      </c>
      <c r="E7" s="30" t="n">
        <f aca="false">Players!E5*TK_CapexIT_H100+Players!E6*TK_CapexIT_GB200+Players!E7*TK_CapexIT_GB300+Players!E8*TK_CapexIT_VR200+Players!E9*TK_CapexIT_RU</f>
        <v>27.510214</v>
      </c>
      <c r="F7" s="30" t="n">
        <f aca="false">Players!F5*TK_CapexIT_H100+Players!F6*TK_CapexIT_GB200+Players!F7*TK_CapexIT_GB300+Players!F8*TK_CapexIT_VR200+Players!F9*TK_CapexIT_RU</f>
        <v>26.009088</v>
      </c>
      <c r="G7" s="30" t="n">
        <f aca="false">Players!G5*TK_CapexIT_H100+Players!G6*TK_CapexIT_GB200+Players!G7*TK_CapexIT_GB300+Players!G8*TK_CapexIT_VR200+Players!G9*TK_CapexIT_RU</f>
        <v>33.41403216</v>
      </c>
      <c r="H7" s="30" t="n">
        <f aca="false">Players!H5*TK_CapexIT_H100+Players!H6*TK_CapexIT_GB200+Players!H7*TK_CapexIT_GB300+Players!H8*TK_CapexIT_VR200+Players!H9*TK_CapexIT_RU</f>
        <v>38.3403893327246</v>
      </c>
      <c r="I7" s="30" t="n">
        <f aca="false">Players!I5*TK_CapexIT_H100+Players!I6*TK_CapexIT_GB200+Players!I7*TK_CapexIT_GB300+Players!I8*TK_CapexIT_VR200+Players!I9*TK_CapexIT_RU</f>
        <v>41.3326208898258</v>
      </c>
      <c r="J7" s="30" t="n">
        <f aca="false">Players!J5*TK_CapexIT_H100+Players!J6*TK_CapexIT_GB200+Players!J7*TK_CapexIT_GB300+Players!J8*TK_CapexIT_VR200+Players!J9*TK_CapexIT_RU</f>
        <v>41.3326208898258</v>
      </c>
      <c r="K7" s="30" t="n">
        <f aca="false">Players!K5*TK_CapexIT_H100+Players!K6*TK_CapexIT_GB200+Players!K7*TK_CapexIT_GB300+Players!K8*TK_CapexIT_VR200+Players!K9*TK_CapexIT_RU</f>
        <v>41.3326208898258</v>
      </c>
      <c r="L7" s="30" t="n">
        <f aca="false">Players!L5*TK_CapexIT_H100+Players!L6*TK_CapexIT_GB200+Players!L7*TK_CapexIT_GB300+Players!L8*TK_CapexIT_VR200+Players!L9*TK_CapexIT_RU</f>
        <v>41.3326208898258</v>
      </c>
      <c r="M7" s="30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1787</v>
      </c>
      <c r="C8" s="0" t="s">
        <v>395</v>
      </c>
      <c r="D8" s="30" t="n">
        <f aca="false">Players!D5*TK_CapexFacility_H100+Players!D6*TK_CapexFacility_GB200+Players!D7*TK_CapexFacility_GB300+Players!D8*TK_CapexFacility_VR200+Players!D9*TK_CapexFacility_RU</f>
        <v>12.67</v>
      </c>
      <c r="E8" s="30" t="n">
        <f aca="false">Players!E5*TK_CapexFacility_H100+Players!E6*TK_CapexFacility_GB200+Players!E7*TK_CapexFacility_GB300+Players!E8*TK_CapexFacility_VR200+Players!E9*TK_CapexFacility_RU</f>
        <v>12.67</v>
      </c>
      <c r="F8" s="30" t="n">
        <f aca="false">Players!F5*TK_CapexFacility_H100+Players!F6*TK_CapexFacility_GB200+Players!F7*TK_CapexFacility_GB300+Players!F8*TK_CapexFacility_VR200+Players!F9*TK_CapexFacility_RU</f>
        <v>12.67</v>
      </c>
      <c r="G8" s="30" t="n">
        <f aca="false">Players!G5*TK_CapexFacility_H100+Players!G6*TK_CapexFacility_GB200+Players!G7*TK_CapexFacility_GB300+Players!G8*TK_CapexFacility_VR200+Players!G9*TK_CapexFacility_RU</f>
        <v>12.67</v>
      </c>
      <c r="H8" s="30" t="n">
        <f aca="false">Players!H5*TK_CapexFacility_H100+Players!H6*TK_CapexFacility_GB200+Players!H7*TK_CapexFacility_GB300+Players!H8*TK_CapexFacility_VR200+Players!H9*TK_CapexFacility_RU</f>
        <v>12.67</v>
      </c>
      <c r="I8" s="30" t="n">
        <f aca="false">Players!I5*TK_CapexFacility_H100+Players!I6*TK_CapexFacility_GB200+Players!I7*TK_CapexFacility_GB300+Players!I8*TK_CapexFacility_VR200+Players!I9*TK_CapexFacility_RU</f>
        <v>12.67</v>
      </c>
      <c r="J8" s="30" t="n">
        <f aca="false">Players!J5*TK_CapexFacility_H100+Players!J6*TK_CapexFacility_GB200+Players!J7*TK_CapexFacility_GB300+Players!J8*TK_CapexFacility_VR200+Players!J9*TK_CapexFacility_RU</f>
        <v>12.67</v>
      </c>
      <c r="K8" s="30" t="n">
        <f aca="false">Players!K5*TK_CapexFacility_H100+Players!K6*TK_CapexFacility_GB200+Players!K7*TK_CapexFacility_GB300+Players!K8*TK_CapexFacility_VR200+Players!K9*TK_CapexFacility_RU</f>
        <v>12.67</v>
      </c>
      <c r="L8" s="30" t="n">
        <f aca="false">Players!L5*TK_CapexFacility_H100+Players!L6*TK_CapexFacility_GB200+Players!L7*TK_CapexFacility_GB300+Players!L8*TK_CapexFacility_VR200+Players!L9*TK_CapexFacility_RU</f>
        <v>12.67</v>
      </c>
      <c r="M8" s="30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1355</v>
      </c>
      <c r="B10" s="21" t="s">
        <v>728</v>
      </c>
      <c r="N10" s="21" t="s">
        <v>1788</v>
      </c>
    </row>
    <row r="11" customFormat="false" ht="17.15" hidden="false" customHeight="false" outlineLevel="0" collapsed="false">
      <c r="A11" s="5" t="s">
        <v>1789</v>
      </c>
      <c r="B11" s="0" t="s">
        <v>1358</v>
      </c>
      <c r="C11" s="0" t="s">
        <v>395</v>
      </c>
      <c r="D11" s="20" t="str">
        <f aca="false">IF(In!H124="","",In!H124)</f>
        <v/>
      </c>
      <c r="E11" s="31" t="n">
        <f aca="false">IF(In!I124="","",In!I124)</f>
        <v>44.477</v>
      </c>
      <c r="F11" s="31" t="n">
        <f aca="false">IF(In!J124="","",In!J124)</f>
        <v>64.551</v>
      </c>
      <c r="G11" s="31" t="n">
        <f aca="false">IF(In!K124="","",In!K124)</f>
        <v>115.948</v>
      </c>
      <c r="H11" s="31" t="n">
        <f aca="false">IF(In!L124="","",In!L124)</f>
        <v>192.827</v>
      </c>
      <c r="I11" s="31" t="n">
        <f aca="false">IF(In!M124="","",In!M124)</f>
        <v>216.787</v>
      </c>
      <c r="J11" s="31" t="n">
        <f aca="false">IF(In!N124="","",In!N124)</f>
        <v>251.173</v>
      </c>
      <c r="K11" s="20" t="str">
        <f aca="false">IF(In!O124="","",In!O124)</f>
        <v/>
      </c>
      <c r="L11" s="20" t="str">
        <f aca="false">IF(In!P124="","",In!P124)</f>
        <v/>
      </c>
      <c r="M11" s="20" t="str">
        <f aca="false">IF(In!Q124="","",In!Q124)</f>
        <v/>
      </c>
    </row>
    <row r="12" customFormat="false" ht="15" hidden="false" customHeight="false" outlineLevel="0" collapsed="false">
      <c r="A12" s="5" t="s">
        <v>1790</v>
      </c>
      <c r="B12" s="0" t="s">
        <v>1791</v>
      </c>
      <c r="C12" s="0" t="s">
        <v>40</v>
      </c>
      <c r="D12" s="27" t="n">
        <f aca="false">(D11&lt;&gt;"")</f>
        <v>0</v>
      </c>
      <c r="E12" s="27" t="n">
        <f aca="false">(E11&lt;&gt;"")+D12</f>
        <v>1</v>
      </c>
      <c r="F12" s="27" t="n">
        <f aca="false">(F11&lt;&gt;"")+E12</f>
        <v>2</v>
      </c>
      <c r="G12" s="27" t="n">
        <f aca="false">(G11&lt;&gt;"")+F12</f>
        <v>3</v>
      </c>
      <c r="H12" s="27" t="n">
        <f aca="false">(H11&lt;&gt;"")+G12</f>
        <v>4</v>
      </c>
      <c r="I12" s="27" t="n">
        <f aca="false">(I11&lt;&gt;"")+H12</f>
        <v>5</v>
      </c>
      <c r="J12" s="27" t="n">
        <f aca="false">(J11&lt;&gt;"")+I12</f>
        <v>6</v>
      </c>
      <c r="K12" s="27" t="n">
        <f aca="false">(K11&lt;&gt;"")+J12</f>
        <v>6</v>
      </c>
      <c r="L12" s="27" t="n">
        <f aca="false">(L11&lt;&gt;"")+K12</f>
        <v>6</v>
      </c>
      <c r="M12" s="27" t="n">
        <f aca="false">(M11&lt;&gt;"")+L12</f>
        <v>6</v>
      </c>
    </row>
    <row r="13" customFormat="false" ht="15" hidden="false" customHeight="false" outlineLevel="0" collapsed="false">
      <c r="A13" s="5" t="s">
        <v>1792</v>
      </c>
      <c r="B13" s="0" t="s">
        <v>1368</v>
      </c>
      <c r="C13" s="0" t="s">
        <v>395</v>
      </c>
      <c r="D13" s="32" t="n">
        <f aca="false">IF(D11&lt;&gt;"",D11,E13)</f>
        <v>44.477</v>
      </c>
      <c r="E13" s="32" t="n">
        <f aca="false">IF(E11&lt;&gt;"",E11,F13)</f>
        <v>44.477</v>
      </c>
      <c r="F13" s="32" t="n">
        <f aca="false">IF(F11&lt;&gt;"",F11,G13)</f>
        <v>64.551</v>
      </c>
      <c r="G13" s="32" t="n">
        <f aca="false">IF(G11&lt;&gt;"",G11,H13)</f>
        <v>115.948</v>
      </c>
      <c r="H13" s="32" t="n">
        <f aca="false">IF(H11&lt;&gt;"",H11,I13)</f>
        <v>192.827</v>
      </c>
      <c r="I13" s="32" t="n">
        <f aca="false">IF(I11&lt;&gt;"",I11,J13)</f>
        <v>216.787</v>
      </c>
      <c r="J13" s="32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1793</v>
      </c>
      <c r="B14" s="0" t="s">
        <v>1794</v>
      </c>
      <c r="C14" s="0" t="s">
        <v>395</v>
      </c>
      <c r="D14" s="33" t="str">
        <f aca="false">IF(D11&lt;&gt;"",D11,IF(0&gt;0,""*(1+cap_g_ext),""))</f>
        <v/>
      </c>
      <c r="E14" s="33" t="n">
        <f aca="false">IF(E11&lt;&gt;"",E11,IF(D12&gt;0,D14*(1+cap_g_ext),""))</f>
        <v>44.477</v>
      </c>
      <c r="F14" s="33" t="n">
        <f aca="false">IF(F11&lt;&gt;"",F11,IF(E12&gt;0,E14*(1+cap_g_ext),""))</f>
        <v>64.551</v>
      </c>
      <c r="G14" s="33" t="n">
        <f aca="false">IF(G11&lt;&gt;"",G11,IF(F12&gt;0,F14*(1+cap_g_ext),""))</f>
        <v>115.948</v>
      </c>
      <c r="H14" s="33" t="n">
        <f aca="false">IF(H11&lt;&gt;"",H11,IF(G12&gt;0,G14*(1+cap_g_ext),""))</f>
        <v>192.827</v>
      </c>
      <c r="I14" s="33" t="n">
        <f aca="false">IF(I11&lt;&gt;"",I11,IF(H12&gt;0,H14*(1+cap_g_ext),""))</f>
        <v>216.787</v>
      </c>
      <c r="J14" s="33" t="n">
        <f aca="false">IF(J11&lt;&gt;"",J11,IF(I12&gt;0,I14*(1+cap_g_ext),""))</f>
        <v>251.173</v>
      </c>
      <c r="K14" s="33" t="n">
        <f aca="false">IF(K11&lt;&gt;"",K11,IF(J12&gt;0,J14*(1+cap_g_ext),""))</f>
        <v>276.2903</v>
      </c>
      <c r="L14" s="33" t="n">
        <f aca="false">IF(L11&lt;&gt;"",L11,IF(K12&gt;0,K14*(1+cap_g_ext),""))</f>
        <v>303.91933</v>
      </c>
      <c r="M14" s="33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1795</v>
      </c>
      <c r="B15" s="0" t="s">
        <v>1796</v>
      </c>
      <c r="C15" s="0" t="s">
        <v>395</v>
      </c>
      <c r="D15" s="33" t="str">
        <f aca="false">IF(OR(D14="",AND(fye_msft&lt;12,E14="")),"",D14*fye_msft/12+IF(fye_msft&lt;12,E14,0)*(12-fye_msft)/12)</f>
        <v/>
      </c>
      <c r="E15" s="33" t="n">
        <f aca="false">IF(OR(E14="",AND(fye_msft&lt;12,F14="")),"",E14*fye_msft/12+IF(fye_msft&lt;12,F14,0)*(12-fye_msft)/12)</f>
        <v>54.514</v>
      </c>
      <c r="F15" s="33" t="n">
        <f aca="false">IF(OR(F14="",AND(fye_msft&lt;12,G14="")),"",F14*fye_msft/12+IF(fye_msft&lt;12,G14,0)*(12-fye_msft)/12)</f>
        <v>90.2495</v>
      </c>
      <c r="G15" s="33" t="n">
        <f aca="false">IF(OR(G14="",AND(fye_msft&lt;12,H14="")),"",G14*fye_msft/12+IF(fye_msft&lt;12,H14,0)*(12-fye_msft)/12)</f>
        <v>154.3875</v>
      </c>
      <c r="H15" s="33" t="n">
        <f aca="false">IF(OR(H14="",AND(fye_msft&lt;12,I14="")),"",H14*fye_msft/12+IF(fye_msft&lt;12,I14,0)*(12-fye_msft)/12)</f>
        <v>204.807</v>
      </c>
      <c r="I15" s="33" t="n">
        <f aca="false">IF(OR(I14="",AND(fye_msft&lt;12,J14="")),"",I14*fye_msft/12+IF(fye_msft&lt;12,J14,0)*(12-fye_msft)/12)</f>
        <v>233.98</v>
      </c>
      <c r="J15" s="33" t="n">
        <f aca="false">IF(OR(J14="",AND(fye_msft&lt;12,K14="")),"",J14*fye_msft/12+IF(fye_msft&lt;12,K14,0)*(12-fye_msft)/12)</f>
        <v>263.73165</v>
      </c>
      <c r="K15" s="33" t="n">
        <f aca="false">IF(OR(K14="",AND(fye_msft&lt;12,L14="")),"",K14*fye_msft/12+IF(fye_msft&lt;12,L14,0)*(12-fye_msft)/12)</f>
        <v>290.104815</v>
      </c>
      <c r="L15" s="33" t="n">
        <f aca="false">IF(OR(L14="",AND(fye_msft&lt;12,M14="")),"",L14*fye_msft/12+IF(fye_msft&lt;12,M14,0)*(12-fye_msft)/12)</f>
        <v>319.1152965</v>
      </c>
      <c r="M15" s="33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1797</v>
      </c>
      <c r="B16" s="0" t="s">
        <v>1798</v>
      </c>
      <c r="C16" s="0" t="s">
        <v>395</v>
      </c>
      <c r="D16" s="33" t="str">
        <f aca="false">IF(D15="","",D15*ai_sh)</f>
        <v/>
      </c>
      <c r="E16" s="33" t="n">
        <f aca="false">IF(E15="","",E15*ai_sh)</f>
        <v>46.3369</v>
      </c>
      <c r="F16" s="33" t="n">
        <f aca="false">IF(F15="","",F15*ai_sh)</f>
        <v>76.712075</v>
      </c>
      <c r="G16" s="33" t="n">
        <f aca="false">IF(G15="","",G15*ai_sh)</f>
        <v>131.229375</v>
      </c>
      <c r="H16" s="33" t="n">
        <f aca="false">IF(H15="","",H15*ai_sh)</f>
        <v>174.08595</v>
      </c>
      <c r="I16" s="33" t="n">
        <f aca="false">IF(I15="","",I15*ai_sh)</f>
        <v>198.883</v>
      </c>
      <c r="J16" s="33" t="n">
        <f aca="false">IF(J15="","",J15*ai_sh)</f>
        <v>224.1719025</v>
      </c>
      <c r="K16" s="33" t="n">
        <f aca="false">IF(K15="","",K15*ai_sh)</f>
        <v>246.58909275</v>
      </c>
      <c r="L16" s="33" t="n">
        <f aca="false">IF(L15="","",L15*ai_sh)</f>
        <v>271.248002025</v>
      </c>
      <c r="M16" s="33" t="n">
        <f aca="false">IF(M15="","",M15*ai_sh)</f>
        <v>298.3728022275</v>
      </c>
    </row>
    <row r="17" customFormat="false" ht="17.15" hidden="false" customHeight="false" outlineLevel="0" collapsed="false">
      <c r="A17" s="5" t="s">
        <v>1799</v>
      </c>
      <c r="B17" s="0" t="s">
        <v>1800</v>
      </c>
      <c r="C17" s="0" t="s">
        <v>395</v>
      </c>
      <c r="D17" s="30" t="n">
        <f aca="false">(1-Players!D38)*D$7+Players!D38*TK_NonNV_Hold_Maia*TK_CapexIT_VR200</f>
        <v>25.4337277924695</v>
      </c>
      <c r="E17" s="30" t="n">
        <f aca="false">(1-Players!E38)*E$7+Players!E38*TK_NonNV_Hold_Maia*TK_CapexIT_VR200</f>
        <v>25.4337277924695</v>
      </c>
      <c r="F17" s="30" t="n">
        <f aca="false">(1-Players!F38)*F$7+Players!F38*TK_NonNV_Hold_Maia*TK_CapexIT_VR200</f>
        <v>24.2901851177648</v>
      </c>
      <c r="G17" s="30" t="n">
        <f aca="false">(1-Players!G38)*G$7+Players!G38*TK_NonNV_Hold_Maia*TK_CapexIT_VR200</f>
        <v>29.9311970319981</v>
      </c>
      <c r="H17" s="30" t="n">
        <f aca="false">(1-Players!H38)*H$7+Players!H38*TK_NonNV_Hold_Maia*TK_CapexIT_VR200</f>
        <v>33.0020089706715</v>
      </c>
      <c r="I17" s="30" t="n">
        <f aca="false">(1-Players!I38)*I$7+Players!I38*TK_NonNV_Hold_Maia*TK_CapexIT_VR200</f>
        <v>35.2555042907785</v>
      </c>
      <c r="J17" s="30" t="n">
        <f aca="false">(1-Players!J38)*J$7+Players!J38*TK_NonNV_Hold_Maia*TK_CapexIT_VR200</f>
        <v>35.1976655218092</v>
      </c>
      <c r="K17" s="30" t="n">
        <f aca="false">(1-Players!K38)*K$7+Players!K38*TK_NonNV_Hold_Maia*TK_CapexIT_VR200</f>
        <v>35.1976655218092</v>
      </c>
      <c r="L17" s="30" t="n">
        <f aca="false">(1-Players!L38)*L$7+Players!L38*TK_NonNV_Hold_Maia*TK_CapexIT_VR200</f>
        <v>35.1976655218092</v>
      </c>
      <c r="M17" s="30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1801</v>
      </c>
      <c r="B18" s="0" t="s">
        <v>1802</v>
      </c>
      <c r="C18" s="0" t="s">
        <v>395</v>
      </c>
      <c r="D18" s="30" t="n">
        <f aca="false">(1-Players!D38)*D$8+Players!D38*TK_NonNV_Hold_Maia*TK_CapexFacility_VR200</f>
        <v>11.1609392244584</v>
      </c>
      <c r="E18" s="30" t="n">
        <f aca="false">(1-Players!E38)*E$8+Players!E38*TK_NonNV_Hold_Maia*TK_CapexFacility_VR200</f>
        <v>11.1609392244584</v>
      </c>
      <c r="F18" s="30" t="n">
        <f aca="false">(1-Players!F38)*F$8+Players!F38*TK_NonNV_Hold_Maia*TK_CapexFacility_VR200</f>
        <v>11.1609392244584</v>
      </c>
      <c r="G18" s="30" t="n">
        <f aca="false">(1-Players!G38)*G$8+Players!G38*TK_NonNV_Hold_Maia*TK_CapexFacility_VR200</f>
        <v>11.1609392244584</v>
      </c>
      <c r="H18" s="30" t="n">
        <f aca="false">(1-Players!H38)*H$8+Players!H38*TK_NonNV_Hold_Maia*TK_CapexFacility_VR200</f>
        <v>10.9398997029418</v>
      </c>
      <c r="I18" s="30" t="n">
        <f aca="false">(1-Players!I38)*I$8+Players!I38*TK_NonNV_Hold_Maia*TK_CapexFacility_VR200</f>
        <v>10.9619484555566</v>
      </c>
      <c r="J18" s="30" t="n">
        <f aca="false">(1-Players!J38)*J$8+Players!J38*TK_NonNV_Hold_Maia*TK_CapexFacility_VR200</f>
        <v>10.9456921278958</v>
      </c>
      <c r="K18" s="30" t="n">
        <f aca="false">(1-Players!K38)*K$8+Players!K38*TK_NonNV_Hold_Maia*TK_CapexFacility_VR200</f>
        <v>10.9456921278958</v>
      </c>
      <c r="L18" s="30" t="n">
        <f aca="false">(1-Players!L38)*L$8+Players!L38*TK_NonNV_Hold_Maia*TK_CapexFacility_VR200</f>
        <v>10.9456921278958</v>
      </c>
      <c r="M18" s="30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1803</v>
      </c>
      <c r="B19" s="0" t="s">
        <v>1804</v>
      </c>
      <c r="C19" s="0" t="s">
        <v>395</v>
      </c>
      <c r="D19" s="33" t="str">
        <f aca="false">IF(OR(D16="",D16="",D16=""),"",D17/(D17+D18)*D16+D18/(D17+D18)*(CapexGW!$D$4*D16+CapexGW!$E$4*D16+CapexGW!$F$4*D16))</f>
        <v/>
      </c>
      <c r="E19" s="33" t="str">
        <f aca="false">IF(OR(E16="",D16="",E16=""),"",E17/(E17+E18)*E16+E18/(E17+E18)*(CapexGW!$D$4*E16+CapexGW!$E$4*D16+CapexGW!$F$4*E16))</f>
        <v/>
      </c>
      <c r="F19" s="33" t="str">
        <f aca="false">IF(OR(F16="",E16="",D16=""),"",F17/(F17+F18)*F16+F18/(F17+F18)*(CapexGW!$D$4*F16+CapexGW!$E$4*E16+CapexGW!$F$4*D16))</f>
        <v/>
      </c>
      <c r="G19" s="33" t="n">
        <f aca="false">IF(OR(G16="",F16="",E16=""),"",G17/(G17+G18)*G16+G18/(G17+G18)*(CapexGW!$D$4*G16+CapexGW!$E$4*F16+CapexGW!$F$4*E16))</f>
        <v>112.29699318904</v>
      </c>
      <c r="H19" s="33" t="n">
        <f aca="false">IF(OR(H16="",G16="",F16=""),"",H17/(H17+H18)*H16+H18/(H17+H18)*(CapexGW!$D$4*H16+CapexGW!$E$4*G16+CapexGW!$F$4*F16))</f>
        <v>156.62986872582</v>
      </c>
      <c r="I19" s="33" t="n">
        <f aca="false">IF(OR(I16="",H16="",G16=""),"",I17/(I17+I18)*I16+I18/(I17+I18)*(CapexGW!$D$4*I16+CapexGW!$E$4*H16+CapexGW!$F$4*G16))</f>
        <v>187.919181422701</v>
      </c>
      <c r="J19" s="33" t="n">
        <f aca="false">IF(OR(J16="",I16="",H16=""),"",J17/(J17+J18)*J16+J18/(J17+J18)*(CapexGW!$D$4*J16+CapexGW!$E$4*I16+CapexGW!$F$4*H16))</f>
        <v>215.232046375117</v>
      </c>
      <c r="K19" s="33" t="n">
        <f aca="false">IF(OR(K16="",J16="",I16=""),"",K17/(K17+K18)*K16+K18/(K17+K18)*(CapexGW!$D$4*K16+CapexGW!$E$4*J16+CapexGW!$F$4*I16))</f>
        <v>238.27210081649</v>
      </c>
      <c r="L19" s="33" t="n">
        <f aca="false">IF(OR(L16="",K16="",J16=""),"",L17/(L17+L18)*L16+L18/(L17+L18)*(CapexGW!$D$4*L16+CapexGW!$E$4*K16+CapexGW!$F$4*J16))</f>
        <v>262.739850894371</v>
      </c>
      <c r="M19" s="33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1805</v>
      </c>
      <c r="B20" s="0" t="s">
        <v>1806</v>
      </c>
      <c r="C20" s="0" t="s">
        <v>82</v>
      </c>
      <c r="D20" s="26" t="str">
        <f aca="false">IF(D19="","",D19/(D17+D18))</f>
        <v/>
      </c>
      <c r="E20" s="26" t="str">
        <f aca="false">IF(E19="","",E19/(E17+E18))</f>
        <v/>
      </c>
      <c r="F20" s="26" t="str">
        <f aca="false">IF(F19="","",F19/(F17+F18))</f>
        <v/>
      </c>
      <c r="G20" s="26" t="n">
        <f aca="false">IF(G19="","",G19/(G17+G18))</f>
        <v>2.73280981276305</v>
      </c>
      <c r="H20" s="26" t="n">
        <f aca="false">IF(H19="","",H19/(H17+H18))</f>
        <v>3.56447576934396</v>
      </c>
      <c r="I20" s="26" t="n">
        <f aca="false">IF(I19="","",I19/(I17+I18))</f>
        <v>4.06597876464757</v>
      </c>
      <c r="J20" s="26" t="n">
        <f aca="false">IF(J19="","",J19/(J17+J18))</f>
        <v>4.6644209987717</v>
      </c>
      <c r="K20" s="26" t="n">
        <f aca="false">IF(K19="","",K19/(K17+K18))</f>
        <v>5.16373564804974</v>
      </c>
      <c r="L20" s="26" t="n">
        <f aca="false">IF(L19="","",L19/(L17+L18))</f>
        <v>5.69399073402824</v>
      </c>
      <c r="M20" s="26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1807</v>
      </c>
      <c r="B21" s="0" t="s">
        <v>1808</v>
      </c>
      <c r="C21" s="0" t="s">
        <v>82</v>
      </c>
      <c r="D21" s="20" t="n">
        <f aca="false">Players!D36</f>
        <v>0</v>
      </c>
      <c r="E21" s="28" t="n">
        <f aca="false">Players!E36</f>
        <v>0</v>
      </c>
      <c r="F21" s="28" t="n">
        <f aca="false">Players!F36</f>
        <v>2.13527</v>
      </c>
      <c r="G21" s="28" t="n">
        <f aca="false">Players!G36</f>
        <v>0.770955</v>
      </c>
      <c r="H21" s="28" t="n">
        <f aca="false">Players!H36</f>
        <v>1.04</v>
      </c>
      <c r="I21" s="28" t="n">
        <f aca="false">Players!I36</f>
        <v>1.67</v>
      </c>
      <c r="J21" s="28" t="n">
        <f aca="false">Players!J36</f>
        <v>0.144</v>
      </c>
      <c r="K21" s="28" t="n">
        <f aca="false">Players!K36</f>
        <v>0.144</v>
      </c>
      <c r="L21" s="28" t="n">
        <f aca="false">Players!L36</f>
        <v>0.269</v>
      </c>
      <c r="M21" s="28" t="n">
        <f aca="false">Players!M36</f>
        <v>2.566</v>
      </c>
    </row>
    <row r="22" customFormat="false" ht="17.15" hidden="false" customHeight="false" outlineLevel="0" collapsed="false">
      <c r="A22" s="5" t="s">
        <v>1809</v>
      </c>
      <c r="B22" s="0" t="s">
        <v>1810</v>
      </c>
      <c r="C22" s="0" t="s">
        <v>82</v>
      </c>
      <c r="D22" s="25" t="n">
        <f aca="false">IF(AND(2023&gt;=2027,D20&lt;&gt;""),D20,D21)</f>
        <v>0</v>
      </c>
      <c r="E22" s="25" t="n">
        <f aca="false">IF(AND(2024&gt;=2027,E20&lt;&gt;""),E20,E21)</f>
        <v>0</v>
      </c>
      <c r="F22" s="25" t="n">
        <f aca="false">IF(AND(2025&gt;=2027,F20&lt;&gt;""),F20,F21)</f>
        <v>2.13527</v>
      </c>
      <c r="G22" s="25" t="n">
        <f aca="false">IF(AND(2026&gt;=2027,G20&lt;&gt;""),G20,G21)</f>
        <v>0.770955</v>
      </c>
      <c r="H22" s="25" t="n">
        <f aca="false">IF(AND(2027&gt;=2027,H20&lt;&gt;""),H20,H21)</f>
        <v>3.56447576934396</v>
      </c>
      <c r="I22" s="25" t="n">
        <f aca="false">IF(AND(2028&gt;=2027,I20&lt;&gt;""),I20,I21)</f>
        <v>4.06597876464757</v>
      </c>
      <c r="J22" s="25" t="n">
        <f aca="false">IF(AND(2029&gt;=2027,J20&lt;&gt;""),J20,J21)</f>
        <v>4.6644209987717</v>
      </c>
      <c r="K22" s="25" t="n">
        <f aca="false">IF(AND(2030&gt;=2027,K20&lt;&gt;""),K20,K21)</f>
        <v>5.16373564804974</v>
      </c>
      <c r="L22" s="25" t="n">
        <f aca="false">IF(AND(2031&gt;=2027,L20&lt;&gt;""),L20,L21)</f>
        <v>5.69399073402824</v>
      </c>
      <c r="M22" s="25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1811</v>
      </c>
      <c r="B23" s="0" t="s">
        <v>1812</v>
      </c>
      <c r="C23" s="0" t="s">
        <v>82</v>
      </c>
      <c r="D23" s="25" t="n">
        <f aca="false">N(Players!D30)</f>
        <v>0</v>
      </c>
      <c r="E23" s="25" t="n">
        <f aca="false">IF(2024&gt;=2027,D23+E22,N(Players!E30))</f>
        <v>1.593775</v>
      </c>
      <c r="F23" s="25" t="n">
        <f aca="false">IF(2025&gt;=2027,E23+F22,N(Players!F30))</f>
        <v>3.729045</v>
      </c>
      <c r="G23" s="25" t="n">
        <f aca="false">IF(2026&gt;=2027,F23+G22,N(Players!G30))</f>
        <v>4.5</v>
      </c>
      <c r="H23" s="25" t="n">
        <f aca="false">IF(2027&gt;=2027,G23+H22,N(Players!H30))</f>
        <v>8.06447576934396</v>
      </c>
      <c r="I23" s="25" t="n">
        <f aca="false">IF(2028&gt;=2027,H23+I22,N(Players!I30))</f>
        <v>12.1304545339915</v>
      </c>
      <c r="J23" s="25" t="n">
        <f aca="false">IF(2029&gt;=2027,I23+J22,N(Players!J30))</f>
        <v>16.7948755327632</v>
      </c>
      <c r="K23" s="25" t="n">
        <f aca="false">IF(2030&gt;=2027,J23+K22,N(Players!K30))</f>
        <v>21.958611180813</v>
      </c>
      <c r="L23" s="25" t="n">
        <f aca="false">IF(2031&gt;=2027,K23+L22,N(Players!L30))</f>
        <v>27.6526019148412</v>
      </c>
      <c r="M23" s="25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1813</v>
      </c>
      <c r="B24" s="0" t="s">
        <v>1814</v>
      </c>
      <c r="C24" s="0" t="s">
        <v>82</v>
      </c>
      <c r="D24" s="25" t="str">
        <f aca="false">IF(D20="","",D20*ai_sh_lo/ai_sh)</f>
        <v/>
      </c>
      <c r="E24" s="25" t="str">
        <f aca="false">IF(E20="","",E20*ai_sh_lo/ai_sh)</f>
        <v/>
      </c>
      <c r="F24" s="25" t="str">
        <f aca="false">IF(F20="","",F20*ai_sh_lo/ai_sh)</f>
        <v/>
      </c>
      <c r="G24" s="25" t="n">
        <f aca="false">IF(G20="","",G20*ai_sh_lo/ai_sh)</f>
        <v>2.4113027759674</v>
      </c>
      <c r="H24" s="25" t="n">
        <f aca="false">IF(H20="","",H20*ai_sh_lo/ai_sh)</f>
        <v>3.1451256788329</v>
      </c>
      <c r="I24" s="25" t="n">
        <f aca="false">IF(I20="","",I20*ai_sh_lo/ai_sh)</f>
        <v>3.58762832174786</v>
      </c>
      <c r="J24" s="25" t="n">
        <f aca="false">IF(J20="","",J20*ai_sh_lo/ai_sh)</f>
        <v>4.1156655871515</v>
      </c>
      <c r="K24" s="25" t="n">
        <f aca="false">IF(K20="","",K20*ai_sh_lo/ai_sh)</f>
        <v>4.55623733651447</v>
      </c>
      <c r="L24" s="25" t="n">
        <f aca="false">IF(L20="","",L20*ai_sh_lo/ai_sh)</f>
        <v>5.02410947120139</v>
      </c>
      <c r="M24" s="25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1815</v>
      </c>
      <c r="B25" s="0" t="s">
        <v>1816</v>
      </c>
      <c r="C25" s="0" t="s">
        <v>82</v>
      </c>
      <c r="D25" s="25" t="str">
        <f aca="false">IF(D20="","",D20*ai_sh_hi/ai_sh)</f>
        <v/>
      </c>
      <c r="E25" s="25" t="str">
        <f aca="false">IF(E20="","",E20*ai_sh_hi/ai_sh)</f>
        <v/>
      </c>
      <c r="F25" s="25" t="str">
        <f aca="false">IF(F20="","",F20*ai_sh_hi/ai_sh)</f>
        <v/>
      </c>
      <c r="G25" s="25" t="n">
        <f aca="false">IF(G20="","",G20*ai_sh_hi/ai_sh)</f>
        <v>3.0543168495587</v>
      </c>
      <c r="H25" s="25" t="n">
        <f aca="false">IF(H20="","",H20*ai_sh_hi/ai_sh)</f>
        <v>3.98382585985501</v>
      </c>
      <c r="I25" s="25" t="n">
        <f aca="false">IF(I20="","",I20*ai_sh_hi/ai_sh)</f>
        <v>4.54432920754729</v>
      </c>
      <c r="J25" s="25" t="n">
        <f aca="false">IF(J20="","",J20*ai_sh_hi/ai_sh)</f>
        <v>5.2131764103919</v>
      </c>
      <c r="K25" s="25" t="n">
        <f aca="false">IF(K20="","",K20*ai_sh_hi/ai_sh)</f>
        <v>5.771233959585</v>
      </c>
      <c r="L25" s="25" t="n">
        <f aca="false">IF(L20="","",L20*ai_sh_hi/ai_sh)</f>
        <v>6.36387199685509</v>
      </c>
      <c r="M25" s="25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1817</v>
      </c>
      <c r="B26" s="0" t="s">
        <v>1818</v>
      </c>
      <c r="C26" s="0" t="s">
        <v>82</v>
      </c>
      <c r="D26" s="25" t="str">
        <f aca="false">IF(OR(D16="",D16="",D16=""),"",(D17/(D17+D18)*D16+D18/(D17+D18)*(CapexGW!$D$5*D16+CapexGW!$E$5*D16+CapexGW!$F$5*D16))/(D17+D18))</f>
        <v/>
      </c>
      <c r="E26" s="25" t="str">
        <f aca="false">IF(OR(E16="",D16="",E16=""),"",(E17/(E17+E18)*E16+E18/(E17+E18)*(CapexGW!$D$5*E16+CapexGW!$E$5*D16+CapexGW!$F$5*E16))/(E17+E18))</f>
        <v/>
      </c>
      <c r="F26" s="25" t="str">
        <f aca="false">IF(OR(F16="",E16="",D16=""),"",(F17/(F17+F18)*F16+F18/(F17+F18)*(CapexGW!$D$5*F16+CapexGW!$E$5*E16+CapexGW!$F$5*D16))/(F17+F18))</f>
        <v/>
      </c>
      <c r="G26" s="25" t="n">
        <f aca="false">IF(OR(G16="",F16="",E16=""),"",(G17/(G17+G18)*G16+G18/(G17+G18)*(CapexGW!$D$5*G16+CapexGW!$E$5*F16+CapexGW!$F$5*E16))/(G17+G18))</f>
        <v>2.83319556951972</v>
      </c>
      <c r="H26" s="25" t="n">
        <f aca="false">IF(OR(H16="",G16="",F16=""),"",(H17/(H17+H18)*H16+H18/(H17+H18)*(CapexGW!$D$5*H16+CapexGW!$E$5*G16+CapexGW!$F$5*F16))/(H17+H18))</f>
        <v>3.71891578944627</v>
      </c>
      <c r="I26" s="25" t="n">
        <f aca="false">IF(OR(I16="",H16="",G16=""),"",(I17/(I17+I18)*I16+I18/(I17+I18)*(CapexGW!$D$5*I16+CapexGW!$E$5*H16+CapexGW!$F$5*G16))/(I17+I18))</f>
        <v>4.17594597512608</v>
      </c>
      <c r="J26" s="25" t="n">
        <f aca="false">IF(OR(J16="",I16="",H16=""),"",(J17/(J17+J18)*J16+J18/(J17+J18)*(CapexGW!$D$5*J16+CapexGW!$E$5*I16+CapexGW!$F$5*H16))/(J17+J18))</f>
        <v>4.72815847521363</v>
      </c>
      <c r="K26" s="25" t="n">
        <f aca="false">IF(OR(K16="",J16="",I16=""),"",(K17/(K17+K18)*K16+K18/(K17+K18)*(CapexGW!$D$5*K16+CapexGW!$E$5*J16+CapexGW!$F$5*I16))/(K17+K18))</f>
        <v>5.22873736508205</v>
      </c>
      <c r="L26" s="25" t="n">
        <f aca="false">IF(OR(L16="",K16="",J16=""),"",(L17/(L17+L18)*L16+L18/(L17+L18)*(CapexGW!$D$5*L16+CapexGW!$E$5*K16+CapexGW!$F$5*J16))/(L17+L18))</f>
        <v>5.75161110159025</v>
      </c>
      <c r="M26" s="25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1819</v>
      </c>
      <c r="B27" s="0" t="s">
        <v>1820</v>
      </c>
      <c r="C27" s="0" t="s">
        <v>82</v>
      </c>
      <c r="D27" s="25" t="str">
        <f aca="false">IF(OR(D16="",D16="",D16=""),"",(D17/(D17+D18)*D16+D18/(D17+D18)*(CapexGW!$D$6*D16+CapexGW!$E$6*D16+CapexGW!$F$6*D16))/(D17+D18))</f>
        <v/>
      </c>
      <c r="E27" s="25" t="str">
        <f aca="false">IF(OR(E16="",D16="",E16=""),"",(E17/(E17+E18)*E16+E18/(E17+E18)*(CapexGW!$D$6*E16+CapexGW!$E$6*D16+CapexGW!$F$6*E16))/(E17+E18))</f>
        <v/>
      </c>
      <c r="F27" s="25" t="str">
        <f aca="false">IF(OR(F16="",E16="",D16=""),"",(F17/(F17+F18)*F16+F18/(F17+F18)*(CapexGW!$D$6*F16+CapexGW!$E$6*E16+CapexGW!$F$6*D16))/(F17+F18))</f>
        <v/>
      </c>
      <c r="G27" s="25" t="n">
        <f aca="false">IF(OR(G16="",F16="",E16=""),"",(G17/(G17+G18)*G16+G18/(G17+G18)*(CapexGW!$D$6*G16+CapexGW!$E$6*F16+CapexGW!$F$6*E16))/(G17+G18))</f>
        <v>2.63242405600638</v>
      </c>
      <c r="H27" s="25" t="n">
        <f aca="false">IF(OR(H16="",G16="",F16=""),"",(H17/(H17+H18)*H16+H18/(H17+H18)*(CapexGW!$D$6*H16+CapexGW!$E$6*G16+CapexGW!$F$6*F16))/(H17+H18))</f>
        <v>3.41003574924164</v>
      </c>
      <c r="I27" s="25" t="n">
        <f aca="false">IF(OR(I16="",H16="",G16=""),"",(I17/(I17+I18)*I16+I18/(I17+I18)*(CapexGW!$D$6*I16+CapexGW!$E$6*H16+CapexGW!$F$6*G16))/(I17+I18))</f>
        <v>3.95601155416906</v>
      </c>
      <c r="J27" s="25" t="n">
        <f aca="false">IF(OR(J16="",I16="",H16=""),"",(J17/(J17+J18)*J16+J18/(J17+J18)*(CapexGW!$D$6*J16+CapexGW!$E$6*I16+CapexGW!$F$6*H16))/(J17+J18))</f>
        <v>4.60068352232977</v>
      </c>
      <c r="K27" s="25" t="n">
        <f aca="false">IF(OR(K16="",J16="",I16=""),"",(K17/(K17+K18)*K16+K18/(K17+K18)*(CapexGW!$D$6*K16+CapexGW!$E$6*J16+CapexGW!$F$6*I16))/(K17+K18))</f>
        <v>5.09873393101743</v>
      </c>
      <c r="L27" s="25" t="n">
        <f aca="false">IF(OR(L16="",K16="",J16=""),"",(L17/(L17+L18)*L16+L18/(L17+L18)*(CapexGW!$D$6*L16+CapexGW!$E$6*K16+CapexGW!$F$6*J16))/(L17+L18))</f>
        <v>5.63637036646622</v>
      </c>
      <c r="M27" s="25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1391</v>
      </c>
      <c r="B29" s="21" t="s">
        <v>733</v>
      </c>
      <c r="N29" s="21" t="s">
        <v>1821</v>
      </c>
    </row>
    <row r="30" customFormat="false" ht="17.15" hidden="false" customHeight="false" outlineLevel="0" collapsed="false">
      <c r="A30" s="5" t="s">
        <v>1789</v>
      </c>
      <c r="B30" s="0" t="s">
        <v>1393</v>
      </c>
      <c r="C30" s="0" t="s">
        <v>395</v>
      </c>
      <c r="D30" s="20" t="str">
        <f aca="false">IF(In!H125="","",In!H125)</f>
        <v/>
      </c>
      <c r="E30" s="20" t="str">
        <f aca="false">IF(In!I125="","",In!I125)</f>
        <v/>
      </c>
      <c r="F30" s="31" t="n">
        <f aca="false">IF(In!J125="","",In!J125)</f>
        <v>91.447</v>
      </c>
      <c r="G30" s="31" t="n">
        <f aca="false">IF(In!K125="","",In!K125)</f>
        <v>200</v>
      </c>
      <c r="H30" s="31" t="n">
        <f aca="false">IF(In!L125="","",In!L125)</f>
        <v>300.979</v>
      </c>
      <c r="I30" s="31" t="n">
        <f aca="false">IF(In!M125="","",In!M125)</f>
        <v>339.451</v>
      </c>
      <c r="J30" s="20" t="str">
        <f aca="false">IF(In!N125="","",In!N125)</f>
        <v/>
      </c>
      <c r="K30" s="20" t="str">
        <f aca="false">IF(In!O125="","",In!O125)</f>
        <v/>
      </c>
      <c r="L30" s="20" t="str">
        <f aca="false">IF(In!P125="","",In!P125)</f>
        <v/>
      </c>
      <c r="M30" s="20" t="str">
        <f aca="false">IF(In!Q125="","",In!Q125)</f>
        <v/>
      </c>
    </row>
    <row r="31" customFormat="false" ht="15" hidden="false" customHeight="false" outlineLevel="0" collapsed="false">
      <c r="A31" s="5" t="s">
        <v>1790</v>
      </c>
      <c r="B31" s="0" t="s">
        <v>1822</v>
      </c>
      <c r="C31" s="0" t="s">
        <v>40</v>
      </c>
      <c r="D31" s="27" t="n">
        <f aca="false">(D30&lt;&gt;"")</f>
        <v>0</v>
      </c>
      <c r="E31" s="27" t="n">
        <f aca="false">(E30&lt;&gt;"")+D31</f>
        <v>0</v>
      </c>
      <c r="F31" s="27" t="n">
        <f aca="false">(F30&lt;&gt;"")+E31</f>
        <v>1</v>
      </c>
      <c r="G31" s="27" t="n">
        <f aca="false">(G30&lt;&gt;"")+F31</f>
        <v>2</v>
      </c>
      <c r="H31" s="27" t="n">
        <f aca="false">(H30&lt;&gt;"")+G31</f>
        <v>3</v>
      </c>
      <c r="I31" s="27" t="n">
        <f aca="false">(I30&lt;&gt;"")+H31</f>
        <v>4</v>
      </c>
      <c r="J31" s="27" t="n">
        <f aca="false">(J30&lt;&gt;"")+I31</f>
        <v>4</v>
      </c>
      <c r="K31" s="27" t="n">
        <f aca="false">(K30&lt;&gt;"")+J31</f>
        <v>4</v>
      </c>
      <c r="L31" s="27" t="n">
        <f aca="false">(L30&lt;&gt;"")+K31</f>
        <v>4</v>
      </c>
      <c r="M31" s="27" t="n">
        <f aca="false">(M30&lt;&gt;"")+L31</f>
        <v>4</v>
      </c>
    </row>
    <row r="32" customFormat="false" ht="15" hidden="false" customHeight="false" outlineLevel="0" collapsed="false">
      <c r="A32" s="5" t="s">
        <v>1792</v>
      </c>
      <c r="B32" s="0" t="s">
        <v>1398</v>
      </c>
      <c r="C32" s="0" t="s">
        <v>395</v>
      </c>
      <c r="D32" s="32" t="n">
        <f aca="false">IF(D30&lt;&gt;"",D30,E32)</f>
        <v>91.447</v>
      </c>
      <c r="E32" s="32" t="n">
        <f aca="false">IF(E30&lt;&gt;"",E30,F32)</f>
        <v>91.447</v>
      </c>
      <c r="F32" s="32" t="n">
        <f aca="false">IF(F30&lt;&gt;"",F30,G32)</f>
        <v>91.447</v>
      </c>
      <c r="G32" s="32" t="n">
        <f aca="false">IF(G30&lt;&gt;"",G30,H32)</f>
        <v>200</v>
      </c>
      <c r="H32" s="32" t="n">
        <f aca="false">IF(H30&lt;&gt;"",H30,I32)</f>
        <v>300.979</v>
      </c>
      <c r="I32" s="32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1793</v>
      </c>
      <c r="B33" s="0" t="s">
        <v>1823</v>
      </c>
      <c r="C33" s="0" t="s">
        <v>395</v>
      </c>
      <c r="D33" s="33" t="str">
        <f aca="false">IF(D30&lt;&gt;"",D30,IF(0&gt;0,""*(1+cap_g_ext),""))</f>
        <v/>
      </c>
      <c r="E33" s="33" t="str">
        <f aca="false">IF(E30&lt;&gt;"",E30,IF(D31&gt;0,D33*(1+cap_g_ext),""))</f>
        <v/>
      </c>
      <c r="F33" s="33" t="n">
        <f aca="false">IF(F30&lt;&gt;"",F30,IF(E31&gt;0,E33*(1+cap_g_ext),""))</f>
        <v>91.447</v>
      </c>
      <c r="G33" s="33" t="n">
        <f aca="false">IF(G30&lt;&gt;"",G30,IF(F31&gt;0,F33*(1+cap_g_ext),""))</f>
        <v>200</v>
      </c>
      <c r="H33" s="33" t="n">
        <f aca="false">IF(H30&lt;&gt;"",H30,IF(G31&gt;0,G33*(1+cap_g_ext),""))</f>
        <v>300.979</v>
      </c>
      <c r="I33" s="33" t="n">
        <f aca="false">IF(I30&lt;&gt;"",I30,IF(H31&gt;0,H33*(1+cap_g_ext),""))</f>
        <v>339.451</v>
      </c>
      <c r="J33" s="33" t="n">
        <f aca="false">IF(J30&lt;&gt;"",J30,IF(I31&gt;0,I33*(1+cap_g_ext),""))</f>
        <v>373.3961</v>
      </c>
      <c r="K33" s="33" t="n">
        <f aca="false">IF(K30&lt;&gt;"",K30,IF(J31&gt;0,J33*(1+cap_g_ext),""))</f>
        <v>410.73571</v>
      </c>
      <c r="L33" s="33" t="n">
        <f aca="false">IF(L30&lt;&gt;"",L30,IF(K31&gt;0,K33*(1+cap_g_ext),""))</f>
        <v>451.809281</v>
      </c>
      <c r="M33" s="33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1795</v>
      </c>
      <c r="B34" s="0" t="s">
        <v>1824</v>
      </c>
      <c r="C34" s="0" t="s">
        <v>395</v>
      </c>
      <c r="D34" s="33" t="str">
        <f aca="false">IF(OR(D33="",AND(fye_googl&lt;12,E33="")),"",D33*fye_googl/12+IF(fye_googl&lt;12,E33,0)*(12-fye_googl)/12)</f>
        <v/>
      </c>
      <c r="E34" s="33" t="str">
        <f aca="false">IF(OR(E33="",AND(fye_googl&lt;12,F33="")),"",E33*fye_googl/12+IF(fye_googl&lt;12,F33,0)*(12-fye_googl)/12)</f>
        <v/>
      </c>
      <c r="F34" s="33" t="n">
        <f aca="false">IF(OR(F33="",AND(fye_googl&lt;12,G33="")),"",F33*fye_googl/12+IF(fye_googl&lt;12,G33,0)*(12-fye_googl)/12)</f>
        <v>91.447</v>
      </c>
      <c r="G34" s="33" t="n">
        <f aca="false">IF(OR(G33="",AND(fye_googl&lt;12,H33="")),"",G33*fye_googl/12+IF(fye_googl&lt;12,H33,0)*(12-fye_googl)/12)</f>
        <v>200</v>
      </c>
      <c r="H34" s="33" t="n">
        <f aca="false">IF(OR(H33="",AND(fye_googl&lt;12,I33="")),"",H33*fye_googl/12+IF(fye_googl&lt;12,I33,0)*(12-fye_googl)/12)</f>
        <v>300.979</v>
      </c>
      <c r="I34" s="33" t="n">
        <f aca="false">IF(OR(I33="",AND(fye_googl&lt;12,J33="")),"",I33*fye_googl/12+IF(fye_googl&lt;12,J33,0)*(12-fye_googl)/12)</f>
        <v>339.451</v>
      </c>
      <c r="J34" s="33" t="n">
        <f aca="false">IF(OR(J33="",AND(fye_googl&lt;12,K33="")),"",J33*fye_googl/12+IF(fye_googl&lt;12,K33,0)*(12-fye_googl)/12)</f>
        <v>373.3961</v>
      </c>
      <c r="K34" s="33" t="n">
        <f aca="false">IF(OR(K33="",AND(fye_googl&lt;12,L33="")),"",K33*fye_googl/12+IF(fye_googl&lt;12,L33,0)*(12-fye_googl)/12)</f>
        <v>410.73571</v>
      </c>
      <c r="L34" s="33" t="n">
        <f aca="false">IF(OR(L33="",AND(fye_googl&lt;12,M33="")),"",L33*fye_googl/12+IF(fye_googl&lt;12,M33,0)*(12-fye_googl)/12)</f>
        <v>451.809281</v>
      </c>
      <c r="M34" s="33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1797</v>
      </c>
      <c r="B35" s="0" t="s">
        <v>1825</v>
      </c>
      <c r="C35" s="0" t="s">
        <v>395</v>
      </c>
      <c r="D35" s="33" t="str">
        <f aca="false">IF(D34="","",D34*ai_sh)</f>
        <v/>
      </c>
      <c r="E35" s="33" t="str">
        <f aca="false">IF(E34="","",E34*ai_sh)</f>
        <v/>
      </c>
      <c r="F35" s="33" t="n">
        <f aca="false">IF(F34="","",F34*ai_sh)</f>
        <v>77.72995</v>
      </c>
      <c r="G35" s="33" t="n">
        <f aca="false">IF(G34="","",G34*ai_sh)</f>
        <v>170</v>
      </c>
      <c r="H35" s="33" t="n">
        <f aca="false">IF(H34="","",H34*ai_sh)</f>
        <v>255.83215</v>
      </c>
      <c r="I35" s="33" t="n">
        <f aca="false">IF(I34="","",I34*ai_sh)</f>
        <v>288.53335</v>
      </c>
      <c r="J35" s="33" t="n">
        <f aca="false">IF(J34="","",J34*ai_sh)</f>
        <v>317.386685</v>
      </c>
      <c r="K35" s="33" t="n">
        <f aca="false">IF(K34="","",K34*ai_sh)</f>
        <v>349.1253535</v>
      </c>
      <c r="L35" s="33" t="n">
        <f aca="false">IF(L34="","",L34*ai_sh)</f>
        <v>384.03788885</v>
      </c>
      <c r="M35" s="33" t="n">
        <f aca="false">IF(M34="","",M34*ai_sh)</f>
        <v>422.441677735</v>
      </c>
    </row>
    <row r="36" customFormat="false" ht="17.15" hidden="false" customHeight="false" outlineLevel="0" collapsed="false">
      <c r="A36" s="5" t="s">
        <v>1799</v>
      </c>
      <c r="B36" s="0" t="s">
        <v>1826</v>
      </c>
      <c r="C36" s="0" t="s">
        <v>395</v>
      </c>
      <c r="D36" s="30" t="n">
        <f aca="false">(1-Players!D57)*D$7+Players!D57*TK_NonNV_Hold_TPU*TK_CapexIT_VR200</f>
        <v>26.6067889972</v>
      </c>
      <c r="E36" s="30" t="n">
        <f aca="false">(1-Players!E57)*E$7+Players!E57*TK_NonNV_Hold_TPU*TK_CapexIT_VR200</f>
        <v>26.6067889972</v>
      </c>
      <c r="F36" s="30" t="n">
        <f aca="false">(1-Players!F57)*F$7+Players!F57*TK_NonNV_Hold_TPU*TK_CapexIT_VR200</f>
        <v>26.2360108752</v>
      </c>
      <c r="G36" s="30" t="n">
        <f aca="false">(1-Players!G57)*G$7+Players!G57*TK_NonNV_Hold_TPU*TK_CapexIT_VR200</f>
        <v>28.06503208272</v>
      </c>
      <c r="H36" s="30" t="n">
        <f aca="false">(1-Players!H57)*H$7+Players!H57*TK_NonNV_Hold_TPU*TK_CapexIT_VR200</f>
        <v>29.281842304383</v>
      </c>
      <c r="I36" s="30" t="n">
        <f aca="false">(1-Players!I57)*I$7+Players!I57*TK_NonNV_Hold_TPU*TK_CapexIT_VR200</f>
        <v>30.020923498987</v>
      </c>
      <c r="J36" s="30" t="n">
        <f aca="false">(1-Players!J57)*J$7+Players!J57*TK_NonNV_Hold_TPU*TK_CapexIT_VR200</f>
        <v>30.020923498987</v>
      </c>
      <c r="K36" s="30" t="n">
        <f aca="false">(1-Players!K57)*K$7+Players!K57*TK_NonNV_Hold_TPU*TK_CapexIT_VR200</f>
        <v>30.020923498987</v>
      </c>
      <c r="L36" s="30" t="n">
        <f aca="false">(1-Players!L57)*L$7+Players!L57*TK_NonNV_Hold_TPU*TK_CapexIT_VR200</f>
        <v>30.020923498987</v>
      </c>
      <c r="M36" s="30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1801</v>
      </c>
      <c r="B37" s="0" t="s">
        <v>1827</v>
      </c>
      <c r="C37" s="0" t="s">
        <v>395</v>
      </c>
      <c r="D37" s="30" t="n">
        <f aca="false">(1-Players!D57)*D$8+Players!D57*TK_NonNV_Hold_TPU*TK_CapexFacility_VR200</f>
        <v>9.807847</v>
      </c>
      <c r="E37" s="30" t="n">
        <f aca="false">(1-Players!E57)*E$8+Players!E57*TK_NonNV_Hold_TPU*TK_CapexFacility_VR200</f>
        <v>9.807847</v>
      </c>
      <c r="F37" s="30" t="n">
        <f aca="false">(1-Players!F57)*F$8+Players!F57*TK_NonNV_Hold_TPU*TK_CapexFacility_VR200</f>
        <v>9.807847</v>
      </c>
      <c r="G37" s="30" t="n">
        <f aca="false">(1-Players!G57)*G$8+Players!G57*TK_NonNV_Hold_TPU*TK_CapexFacility_VR200</f>
        <v>9.807847</v>
      </c>
      <c r="H37" s="30" t="n">
        <f aca="false">(1-Players!H57)*H$8+Players!H57*TK_NonNV_Hold_TPU*TK_CapexFacility_VR200</f>
        <v>9.807847</v>
      </c>
      <c r="I37" s="30" t="n">
        <f aca="false">(1-Players!I57)*I$8+Players!I57*TK_NonNV_Hold_TPU*TK_CapexFacility_VR200</f>
        <v>9.807847</v>
      </c>
      <c r="J37" s="30" t="n">
        <f aca="false">(1-Players!J57)*J$8+Players!J57*TK_NonNV_Hold_TPU*TK_CapexFacility_VR200</f>
        <v>9.807847</v>
      </c>
      <c r="K37" s="30" t="n">
        <f aca="false">(1-Players!K57)*K$8+Players!K57*TK_NonNV_Hold_TPU*TK_CapexFacility_VR200</f>
        <v>9.807847</v>
      </c>
      <c r="L37" s="30" t="n">
        <f aca="false">(1-Players!L57)*L$8+Players!L57*TK_NonNV_Hold_TPU*TK_CapexFacility_VR200</f>
        <v>9.807847</v>
      </c>
      <c r="M37" s="30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1803</v>
      </c>
      <c r="B38" s="0" t="s">
        <v>1828</v>
      </c>
      <c r="C38" s="0" t="s">
        <v>395</v>
      </c>
      <c r="D38" s="33" t="str">
        <f aca="false">IF(OR(D35="",D35="",D35=""),"",D36/(D36+D37)*D35+D37/(D36+D37)*(CapexGW!$D$4*D35+CapexGW!$E$4*D35+CapexGW!$F$4*D35))</f>
        <v/>
      </c>
      <c r="E38" s="33" t="str">
        <f aca="false">IF(OR(E35="",D35="",E35=""),"",E36/(E36+E37)*E35+E37/(E36+E37)*(CapexGW!$D$4*E35+CapexGW!$E$4*D35+CapexGW!$F$4*E35))</f>
        <v/>
      </c>
      <c r="F38" s="33" t="str">
        <f aca="false">IF(OR(F35="",E35="",D35=""),"",F36/(F36+F37)*F35+F37/(F36+F37)*(CapexGW!$D$4*F35+CapexGW!$E$4*E35+CapexGW!$F$4*D35))</f>
        <v/>
      </c>
      <c r="G38" s="33" t="str">
        <f aca="false">IF(OR(G35="",F35="",E35=""),"",G36/(G36+G37)*G35+G37/(G36+G37)*(CapexGW!$D$4*G35+CapexGW!$E$4*F35+CapexGW!$F$4*E35))</f>
        <v/>
      </c>
      <c r="H38" s="33" t="n">
        <f aca="false">IF(OR(H35="",G35="",F35=""),"",H36/(H36+H37)*H35+H37/(H36+H37)*(CapexGW!$D$4*H35+CapexGW!$E$4*G35+CapexGW!$F$4*F35))</f>
        <v>222.720762202986</v>
      </c>
      <c r="I38" s="33" t="n">
        <f aca="false">IF(OR(I35="",H35="",G35=""),"",I36/(I36+I37)*I35+I37/(I36+I37)*(CapexGW!$D$4*I35+CapexGW!$E$4*H35+CapexGW!$F$4*G35))</f>
        <v>269.912572746136</v>
      </c>
      <c r="J38" s="33" t="n">
        <f aca="false">IF(OR(J35="",I35="",H35=""),"",J36/(J36+J37)*J35+J37/(J36+J37)*(CapexGW!$D$4*J35+CapexGW!$E$4*I35+CapexGW!$F$4*H35))</f>
        <v>306.255202086431</v>
      </c>
      <c r="K38" s="33" t="n">
        <f aca="false">IF(OR(K35="",J35="",I35=""),"",K36/(K36+K37)*K35+K37/(K36+K37)*(CapexGW!$D$4*K35+CapexGW!$E$4*J35+CapexGW!$F$4*I35))</f>
        <v>337.757125294133</v>
      </c>
      <c r="L38" s="33" t="n">
        <f aca="false">IF(OR(L35="",K35="",J35=""),"",L36/(L36+L37)*L35+L37/(L36+L37)*(CapexGW!$D$4*L35+CapexGW!$E$4*K35+CapexGW!$F$4*J35))</f>
        <v>371.532837823546</v>
      </c>
      <c r="M38" s="33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1805</v>
      </c>
      <c r="B39" s="0" t="s">
        <v>1829</v>
      </c>
      <c r="C39" s="0" t="s">
        <v>82</v>
      </c>
      <c r="D39" s="26" t="str">
        <f aca="false">IF(D38="","",D38/(D36+D37))</f>
        <v/>
      </c>
      <c r="E39" s="26" t="str">
        <f aca="false">IF(E38="","",E38/(E36+E37))</f>
        <v/>
      </c>
      <c r="F39" s="26" t="str">
        <f aca="false">IF(F38="","",F38/(F36+F37))</f>
        <v/>
      </c>
      <c r="G39" s="26" t="str">
        <f aca="false">IF(G38="","",G38/(G36+G37))</f>
        <v/>
      </c>
      <c r="H39" s="26" t="n">
        <f aca="false">IF(H38="","",H38/(H36+H37))</f>
        <v>5.69768565998842</v>
      </c>
      <c r="I39" s="26" t="n">
        <f aca="false">IF(I38="","",I38/(I36+I37))</f>
        <v>6.77682412398346</v>
      </c>
      <c r="J39" s="26" t="n">
        <f aca="false">IF(J38="","",J38/(J36+J37))</f>
        <v>7.68929590970478</v>
      </c>
      <c r="K39" s="26" t="n">
        <f aca="false">IF(K38="","",K38/(K36+K37))</f>
        <v>8.4802297701538</v>
      </c>
      <c r="L39" s="26" t="n">
        <f aca="false">IF(L38="","",L38/(L36+L37))</f>
        <v>9.32825274716918</v>
      </c>
      <c r="M39" s="26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1807</v>
      </c>
      <c r="B40" s="0" t="s">
        <v>1830</v>
      </c>
      <c r="C40" s="0" t="s">
        <v>82</v>
      </c>
      <c r="D40" s="20" t="n">
        <f aca="false">Players!D55</f>
        <v>0</v>
      </c>
      <c r="E40" s="28" t="n">
        <f aca="false">Players!E55</f>
        <v>1.32980834349181</v>
      </c>
      <c r="F40" s="28" t="n">
        <f aca="false">Players!F55</f>
        <v>2.40961330082622</v>
      </c>
      <c r="G40" s="28" t="n">
        <f aca="false">Players!G55</f>
        <v>1.29267912772586</v>
      </c>
      <c r="H40" s="28" t="n">
        <f aca="false">Players!H55</f>
        <v>1.626</v>
      </c>
      <c r="I40" s="28" t="n">
        <f aca="false">Players!I55</f>
        <v>0.833333333333334</v>
      </c>
      <c r="J40" s="28" t="n">
        <f aca="false">Players!J55</f>
        <v>0</v>
      </c>
      <c r="K40" s="28" t="n">
        <f aca="false">Players!K55</f>
        <v>1</v>
      </c>
      <c r="L40" s="28" t="n">
        <f aca="false">Players!L55</f>
        <v>0</v>
      </c>
      <c r="M40" s="28" t="n">
        <f aca="false">Players!M55</f>
        <v>0</v>
      </c>
    </row>
    <row r="41" customFormat="false" ht="17.15" hidden="false" customHeight="false" outlineLevel="0" collapsed="false">
      <c r="A41" s="5" t="s">
        <v>1809</v>
      </c>
      <c r="B41" s="0" t="s">
        <v>1831</v>
      </c>
      <c r="C41" s="0" t="s">
        <v>82</v>
      </c>
      <c r="D41" s="25" t="n">
        <f aca="false">IF(AND(2023&gt;=2027,D39&lt;&gt;""),D39,D40)</f>
        <v>0</v>
      </c>
      <c r="E41" s="25" t="n">
        <f aca="false">IF(AND(2024&gt;=2027,E39&lt;&gt;""),E39,E40)</f>
        <v>1.32980834349181</v>
      </c>
      <c r="F41" s="25" t="n">
        <f aca="false">IF(AND(2025&gt;=2027,F39&lt;&gt;""),F39,F40)</f>
        <v>2.40961330082622</v>
      </c>
      <c r="G41" s="25" t="n">
        <f aca="false">IF(AND(2026&gt;=2027,G39&lt;&gt;""),G39,G40)</f>
        <v>1.29267912772586</v>
      </c>
      <c r="H41" s="25" t="n">
        <f aca="false">IF(AND(2027&gt;=2027,H39&lt;&gt;""),H39,H40)</f>
        <v>5.69768565998842</v>
      </c>
      <c r="I41" s="25" t="n">
        <f aca="false">IF(AND(2028&gt;=2027,I39&lt;&gt;""),I39,I40)</f>
        <v>6.77682412398346</v>
      </c>
      <c r="J41" s="25" t="n">
        <f aca="false">IF(AND(2029&gt;=2027,J39&lt;&gt;""),J39,J40)</f>
        <v>7.68929590970478</v>
      </c>
      <c r="K41" s="25" t="n">
        <f aca="false">IF(AND(2030&gt;=2027,K39&lt;&gt;""),K39,K40)</f>
        <v>8.4802297701538</v>
      </c>
      <c r="L41" s="25" t="n">
        <f aca="false">IF(AND(2031&gt;=2027,L39&lt;&gt;""),L39,L40)</f>
        <v>9.32825274716918</v>
      </c>
      <c r="M41" s="25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1811</v>
      </c>
      <c r="B42" s="0" t="s">
        <v>1832</v>
      </c>
      <c r="C42" s="0" t="s">
        <v>82</v>
      </c>
      <c r="D42" s="25" t="n">
        <f aca="false">N(Players!D49)</f>
        <v>0.560578355681972</v>
      </c>
      <c r="E42" s="25" t="n">
        <f aca="false">IF(2024&gt;=2027,D42+E41,N(Players!E49))</f>
        <v>1.89038669917378</v>
      </c>
      <c r="F42" s="25" t="n">
        <f aca="false">IF(2025&gt;=2027,E42+F41,N(Players!F49))</f>
        <v>4.3</v>
      </c>
      <c r="G42" s="25" t="n">
        <f aca="false">IF(2026&gt;=2027,F42+G41,N(Players!G49))</f>
        <v>5.59267912772586</v>
      </c>
      <c r="H42" s="25" t="n">
        <f aca="false">IF(2027&gt;=2027,G42+H41,N(Players!H49))</f>
        <v>11.2903647877143</v>
      </c>
      <c r="I42" s="25" t="n">
        <f aca="false">IF(2028&gt;=2027,H42+I41,N(Players!I49))</f>
        <v>18.0671889116977</v>
      </c>
      <c r="J42" s="25" t="n">
        <f aca="false">IF(2029&gt;=2027,I42+J41,N(Players!J49))</f>
        <v>25.7564848214025</v>
      </c>
      <c r="K42" s="25" t="n">
        <f aca="false">IF(2030&gt;=2027,J42+K41,N(Players!K49))</f>
        <v>34.2367145915563</v>
      </c>
      <c r="L42" s="25" t="n">
        <f aca="false">IF(2031&gt;=2027,K42+L41,N(Players!L49))</f>
        <v>43.5649673387255</v>
      </c>
      <c r="M42" s="25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1813</v>
      </c>
      <c r="B43" s="0" t="s">
        <v>1833</v>
      </c>
      <c r="C43" s="0" t="s">
        <v>82</v>
      </c>
      <c r="D43" s="25" t="str">
        <f aca="false">IF(D39="","",D39*ai_sh_lo/ai_sh)</f>
        <v/>
      </c>
      <c r="E43" s="25" t="str">
        <f aca="false">IF(E39="","",E39*ai_sh_lo/ai_sh)</f>
        <v/>
      </c>
      <c r="F43" s="25" t="str">
        <f aca="false">IF(F39="","",F39*ai_sh_lo/ai_sh)</f>
        <v/>
      </c>
      <c r="G43" s="25" t="str">
        <f aca="false">IF(G39="","",G39*ai_sh_lo/ai_sh)</f>
        <v/>
      </c>
      <c r="H43" s="25" t="n">
        <f aca="false">IF(H39="","",H39*ai_sh_lo/ai_sh)</f>
        <v>5.02736969998979</v>
      </c>
      <c r="I43" s="25" t="n">
        <f aca="false">IF(I39="","",I39*ai_sh_lo/ai_sh)</f>
        <v>5.97955069763246</v>
      </c>
      <c r="J43" s="25" t="n">
        <f aca="false">IF(J39="","",J39*ai_sh_lo/ai_sh)</f>
        <v>6.78467286150421</v>
      </c>
      <c r="K43" s="25" t="n">
        <f aca="false">IF(K39="","",K39*ai_sh_lo/ai_sh)</f>
        <v>7.48255567954747</v>
      </c>
      <c r="L43" s="25" t="n">
        <f aca="false">IF(L39="","",L39*ai_sh_lo/ai_sh)</f>
        <v>8.23081124750222</v>
      </c>
      <c r="M43" s="25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1815</v>
      </c>
      <c r="B44" s="0" t="s">
        <v>1834</v>
      </c>
      <c r="C44" s="0" t="s">
        <v>82</v>
      </c>
      <c r="D44" s="25" t="str">
        <f aca="false">IF(D39="","",D39*ai_sh_hi/ai_sh)</f>
        <v/>
      </c>
      <c r="E44" s="25" t="str">
        <f aca="false">IF(E39="","",E39*ai_sh_hi/ai_sh)</f>
        <v/>
      </c>
      <c r="F44" s="25" t="str">
        <f aca="false">IF(F39="","",F39*ai_sh_hi/ai_sh)</f>
        <v/>
      </c>
      <c r="G44" s="25" t="str">
        <f aca="false">IF(G39="","",G39*ai_sh_hi/ai_sh)</f>
        <v/>
      </c>
      <c r="H44" s="25" t="n">
        <f aca="false">IF(H39="","",H39*ai_sh_hi/ai_sh)</f>
        <v>6.36800161998706</v>
      </c>
      <c r="I44" s="25" t="n">
        <f aca="false">IF(I39="","",I39*ai_sh_hi/ai_sh)</f>
        <v>7.57409755033445</v>
      </c>
      <c r="J44" s="25" t="n">
        <f aca="false">IF(J39="","",J39*ai_sh_hi/ai_sh)</f>
        <v>8.59391895790534</v>
      </c>
      <c r="K44" s="25" t="n">
        <f aca="false">IF(K39="","",K39*ai_sh_hi/ai_sh)</f>
        <v>9.47790386076013</v>
      </c>
      <c r="L44" s="25" t="n">
        <f aca="false">IF(L39="","",L39*ai_sh_hi/ai_sh)</f>
        <v>10.4256942468361</v>
      </c>
      <c r="M44" s="25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1817</v>
      </c>
      <c r="B45" s="0" t="s">
        <v>1835</v>
      </c>
      <c r="C45" s="0" t="s">
        <v>82</v>
      </c>
      <c r="D45" s="25" t="str">
        <f aca="false">IF(OR(D35="",D35="",D35=""),"",(D36/(D36+D37)*D35+D37/(D36+D37)*(CapexGW!$D$5*D35+CapexGW!$E$5*D35+CapexGW!$F$5*D35))/(D36+D37))</f>
        <v/>
      </c>
      <c r="E45" s="25" t="str">
        <f aca="false">IF(OR(E35="",D35="",E35=""),"",(E36/(E36+E37)*E35+E37/(E36+E37)*(CapexGW!$D$5*E35+CapexGW!$E$5*D35+CapexGW!$F$5*E35))/(E36+E37))</f>
        <v/>
      </c>
      <c r="F45" s="25" t="str">
        <f aca="false">IF(OR(F35="",E35="",D35=""),"",(F36/(F36+F37)*F35+F37/(F36+F37)*(CapexGW!$D$5*F35+CapexGW!$E$5*E35+CapexGW!$F$5*D35))/(F36+F37))</f>
        <v/>
      </c>
      <c r="G45" s="25" t="str">
        <f aca="false">IF(OR(G35="",F35="",E35=""),"",(G36/(G36+G37)*G35+G37/(G36+G37)*(CapexGW!$D$5*G35+CapexGW!$E$5*F35+CapexGW!$F$5*E35))/(G36+G37))</f>
        <v/>
      </c>
      <c r="H45" s="25" t="n">
        <f aca="false">IF(OR(H35="",G35="",F35=""),"",(H36/(H36+H37)*H35+H37/(H36+H37)*(CapexGW!$D$5*H35+CapexGW!$E$5*G35+CapexGW!$F$5*F35))/(H36+H37))</f>
        <v>5.99381402276187</v>
      </c>
      <c r="I45" s="25" t="n">
        <f aca="false">IF(OR(I35="",H35="",G35=""),"",(I36/(I36+I37)*I35+I37/(I36+I37)*(CapexGW!$D$5*I35+CapexGW!$E$5*H35+CapexGW!$F$5*G35))/(I36+I37))</f>
        <v>7.04216238453379</v>
      </c>
      <c r="J45" s="25" t="n">
        <f aca="false">IF(OR(J35="",I35="",H35=""),"",(J36/(J36+J37)*J35+J37/(J36+J37)*(CapexGW!$D$5*J35+CapexGW!$E$5*I35+CapexGW!$F$5*H35))/(J36+J37))</f>
        <v>7.79038716194428</v>
      </c>
      <c r="K45" s="25" t="n">
        <f aca="false">IF(OR(K35="",J35="",I35=""),"",(K36/(K36+K37)*K35+K37/(K36+K37)*(CapexGW!$D$5*K35+CapexGW!$E$5*J35+CapexGW!$F$5*I35))/(K36+K37))</f>
        <v>8.56942587813871</v>
      </c>
      <c r="L45" s="25" t="n">
        <f aca="false">IF(OR(L35="",K35="",J35=""),"",(L36/(L36+L37)*L35+L37/(L36+L37)*(CapexGW!$D$5*L35+CapexGW!$E$5*K35+CapexGW!$F$5*J35))/(L36+L37))</f>
        <v>9.42636846595258</v>
      </c>
      <c r="M45" s="25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1819</v>
      </c>
      <c r="B46" s="0" t="s">
        <v>1836</v>
      </c>
      <c r="C46" s="0" t="s">
        <v>82</v>
      </c>
      <c r="D46" s="25" t="str">
        <f aca="false">IF(OR(D35="",D35="",D35=""),"",(D36/(D36+D37)*D35+D37/(D36+D37)*(CapexGW!$D$6*D35+CapexGW!$E$6*D35+CapexGW!$F$6*D35))/(D36+D37))</f>
        <v/>
      </c>
      <c r="E46" s="25" t="str">
        <f aca="false">IF(OR(E35="",D35="",E35=""),"",(E36/(E36+E37)*E35+E37/(E36+E37)*(CapexGW!$D$6*E35+CapexGW!$E$6*D35+CapexGW!$F$6*E35))/(E36+E37))</f>
        <v/>
      </c>
      <c r="F46" s="25" t="str">
        <f aca="false">IF(OR(F35="",E35="",D35=""),"",(F36/(F36+F37)*F35+F37/(F36+F37)*(CapexGW!$D$6*F35+CapexGW!$E$6*E35+CapexGW!$F$6*D35))/(F36+F37))</f>
        <v/>
      </c>
      <c r="G46" s="25" t="str">
        <f aca="false">IF(OR(G35="",F35="",E35=""),"",(G36/(G36+G37)*G35+G37/(G36+G37)*(CapexGW!$D$6*G35+CapexGW!$E$6*F35+CapexGW!$F$6*E35))/(G36+G37))</f>
        <v/>
      </c>
      <c r="H46" s="25" t="n">
        <f aca="false">IF(OR(H35="",G35="",F35=""),"",(H36/(H36+H37)*H35+H37/(H36+H37)*(CapexGW!$D$6*H35+CapexGW!$E$6*G35+CapexGW!$F$6*F35))/(H36+H37))</f>
        <v>5.40155729721498</v>
      </c>
      <c r="I46" s="25" t="n">
        <f aca="false">IF(OR(I35="",H35="",G35=""),"",(I36/(I36+I37)*I35+I37/(I36+I37)*(CapexGW!$D$6*I35+CapexGW!$E$6*H35+CapexGW!$F$6*G35))/(I36+I37))</f>
        <v>6.51148586343312</v>
      </c>
      <c r="J46" s="25" t="n">
        <f aca="false">IF(OR(J35="",I35="",H35=""),"",(J36/(J36+J37)*J35+J37/(J36+J37)*(CapexGW!$D$6*J35+CapexGW!$E$6*I35+CapexGW!$F$6*H35))/(J36+J37))</f>
        <v>7.58820465746527</v>
      </c>
      <c r="K46" s="25" t="n">
        <f aca="false">IF(OR(K35="",J35="",I35=""),"",(K36/(K36+K37)*K35+K37/(K36+K37)*(CapexGW!$D$6*K35+CapexGW!$E$6*J35+CapexGW!$F$6*I35))/(K36+K37))</f>
        <v>8.3910336621689</v>
      </c>
      <c r="L46" s="25" t="n">
        <f aca="false">IF(OR(L35="",K35="",J35=""),"",(L36/(L36+L37)*L35+L37/(L36+L37)*(CapexGW!$D$6*L35+CapexGW!$E$6*K35+CapexGW!$F$6*J35))/(L36+L37))</f>
        <v>9.23013702838579</v>
      </c>
      <c r="M46" s="25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1410</v>
      </c>
      <c r="B48" s="21" t="s">
        <v>741</v>
      </c>
      <c r="N48" s="21" t="s">
        <v>1837</v>
      </c>
    </row>
    <row r="49" customFormat="false" ht="17.15" hidden="false" customHeight="false" outlineLevel="0" collapsed="false">
      <c r="A49" s="5" t="s">
        <v>1789</v>
      </c>
      <c r="B49" s="0" t="s">
        <v>1412</v>
      </c>
      <c r="C49" s="0" t="s">
        <v>395</v>
      </c>
      <c r="D49" s="20" t="str">
        <f aca="false">IF(In!H126="","",In!H126)</f>
        <v/>
      </c>
      <c r="E49" s="20" t="str">
        <f aca="false">IF(In!I126="","",In!I126)</f>
        <v/>
      </c>
      <c r="F49" s="31" t="n">
        <f aca="false">IF(In!J126="","",In!J126)</f>
        <v>128.32</v>
      </c>
      <c r="G49" s="31" t="n">
        <f aca="false">IF(In!K126="","",In!K126)</f>
        <v>220</v>
      </c>
      <c r="H49" s="31" t="n">
        <f aca="false">IF(In!L126="","",In!L126)</f>
        <v>275.063</v>
      </c>
      <c r="I49" s="31" t="n">
        <f aca="false">IF(In!M126="","",In!M126)</f>
        <v>292.927</v>
      </c>
      <c r="J49" s="20" t="str">
        <f aca="false">IF(In!N126="","",In!N126)</f>
        <v/>
      </c>
      <c r="K49" s="20" t="str">
        <f aca="false">IF(In!O126="","",In!O126)</f>
        <v/>
      </c>
      <c r="L49" s="20" t="str">
        <f aca="false">IF(In!P126="","",In!P126)</f>
        <v/>
      </c>
      <c r="M49" s="20" t="str">
        <f aca="false">IF(In!Q126="","",In!Q126)</f>
        <v/>
      </c>
    </row>
    <row r="50" customFormat="false" ht="15" hidden="false" customHeight="false" outlineLevel="0" collapsed="false">
      <c r="A50" s="5" t="s">
        <v>1790</v>
      </c>
      <c r="B50" s="0" t="s">
        <v>1838</v>
      </c>
      <c r="C50" s="0" t="s">
        <v>40</v>
      </c>
      <c r="D50" s="27" t="n">
        <f aca="false">(D49&lt;&gt;"")</f>
        <v>0</v>
      </c>
      <c r="E50" s="27" t="n">
        <f aca="false">(E49&lt;&gt;"")+D50</f>
        <v>0</v>
      </c>
      <c r="F50" s="27" t="n">
        <f aca="false">(F49&lt;&gt;"")+E50</f>
        <v>1</v>
      </c>
      <c r="G50" s="27" t="n">
        <f aca="false">(G49&lt;&gt;"")+F50</f>
        <v>2</v>
      </c>
      <c r="H50" s="27" t="n">
        <f aca="false">(H49&lt;&gt;"")+G50</f>
        <v>3</v>
      </c>
      <c r="I50" s="27" t="n">
        <f aca="false">(I49&lt;&gt;"")+H50</f>
        <v>4</v>
      </c>
      <c r="J50" s="27" t="n">
        <f aca="false">(J49&lt;&gt;"")+I50</f>
        <v>4</v>
      </c>
      <c r="K50" s="27" t="n">
        <f aca="false">(K49&lt;&gt;"")+J50</f>
        <v>4</v>
      </c>
      <c r="L50" s="27" t="n">
        <f aca="false">(L49&lt;&gt;"")+K50</f>
        <v>4</v>
      </c>
      <c r="M50" s="27" t="n">
        <f aca="false">(M49&lt;&gt;"")+L50</f>
        <v>4</v>
      </c>
    </row>
    <row r="51" customFormat="false" ht="15" hidden="false" customHeight="false" outlineLevel="0" collapsed="false">
      <c r="A51" s="5" t="s">
        <v>1792</v>
      </c>
      <c r="B51" s="0" t="s">
        <v>1417</v>
      </c>
      <c r="C51" s="0" t="s">
        <v>395</v>
      </c>
      <c r="D51" s="32" t="n">
        <f aca="false">IF(D49&lt;&gt;"",D49,E51)</f>
        <v>128.32</v>
      </c>
      <c r="E51" s="32" t="n">
        <f aca="false">IF(E49&lt;&gt;"",E49,F51)</f>
        <v>128.32</v>
      </c>
      <c r="F51" s="32" t="n">
        <f aca="false">IF(F49&lt;&gt;"",F49,G51)</f>
        <v>128.32</v>
      </c>
      <c r="G51" s="32" t="n">
        <f aca="false">IF(G49&lt;&gt;"",G49,H51)</f>
        <v>220</v>
      </c>
      <c r="H51" s="32" t="n">
        <f aca="false">IF(H49&lt;&gt;"",H49,I51)</f>
        <v>275.063</v>
      </c>
      <c r="I51" s="32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1793</v>
      </c>
      <c r="B52" s="0" t="s">
        <v>1839</v>
      </c>
      <c r="C52" s="0" t="s">
        <v>395</v>
      </c>
      <c r="D52" s="33" t="str">
        <f aca="false">IF(D49&lt;&gt;"",D49,IF(0&gt;0,""*(1+cap_g_ext),""))</f>
        <v/>
      </c>
      <c r="E52" s="33" t="str">
        <f aca="false">IF(E49&lt;&gt;"",E49,IF(D50&gt;0,D52*(1+cap_g_ext),""))</f>
        <v/>
      </c>
      <c r="F52" s="33" t="n">
        <f aca="false">IF(F49&lt;&gt;"",F49,IF(E50&gt;0,E52*(1+cap_g_ext),""))</f>
        <v>128.32</v>
      </c>
      <c r="G52" s="33" t="n">
        <f aca="false">IF(G49&lt;&gt;"",G49,IF(F50&gt;0,F52*(1+cap_g_ext),""))</f>
        <v>220</v>
      </c>
      <c r="H52" s="33" t="n">
        <f aca="false">IF(H49&lt;&gt;"",H49,IF(G50&gt;0,G52*(1+cap_g_ext),""))</f>
        <v>275.063</v>
      </c>
      <c r="I52" s="33" t="n">
        <f aca="false">IF(I49&lt;&gt;"",I49,IF(H50&gt;0,H52*(1+cap_g_ext),""))</f>
        <v>292.927</v>
      </c>
      <c r="J52" s="33" t="n">
        <f aca="false">IF(J49&lt;&gt;"",J49,IF(I50&gt;0,I52*(1+cap_g_ext),""))</f>
        <v>322.2197</v>
      </c>
      <c r="K52" s="33" t="n">
        <f aca="false">IF(K49&lt;&gt;"",K49,IF(J50&gt;0,J52*(1+cap_g_ext),""))</f>
        <v>354.44167</v>
      </c>
      <c r="L52" s="33" t="n">
        <f aca="false">IF(L49&lt;&gt;"",L49,IF(K50&gt;0,K52*(1+cap_g_ext),""))</f>
        <v>389.885837</v>
      </c>
      <c r="M52" s="33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1795</v>
      </c>
      <c r="B53" s="0" t="s">
        <v>1840</v>
      </c>
      <c r="C53" s="0" t="s">
        <v>395</v>
      </c>
      <c r="D53" s="33" t="str">
        <f aca="false">IF(OR(D52="",AND(fye_amzn&lt;12,E52="")),"",D52*fye_amzn/12+IF(fye_amzn&lt;12,E52,0)*(12-fye_amzn)/12)</f>
        <v/>
      </c>
      <c r="E53" s="33" t="str">
        <f aca="false">IF(OR(E52="",AND(fye_amzn&lt;12,F52="")),"",E52*fye_amzn/12+IF(fye_amzn&lt;12,F52,0)*(12-fye_amzn)/12)</f>
        <v/>
      </c>
      <c r="F53" s="33" t="n">
        <f aca="false">IF(OR(F52="",AND(fye_amzn&lt;12,G52="")),"",F52*fye_amzn/12+IF(fye_amzn&lt;12,G52,0)*(12-fye_amzn)/12)</f>
        <v>128.32</v>
      </c>
      <c r="G53" s="33" t="n">
        <f aca="false">IF(OR(G52="",AND(fye_amzn&lt;12,H52="")),"",G52*fye_amzn/12+IF(fye_amzn&lt;12,H52,0)*(12-fye_amzn)/12)</f>
        <v>220</v>
      </c>
      <c r="H53" s="33" t="n">
        <f aca="false">IF(OR(H52="",AND(fye_amzn&lt;12,I52="")),"",H52*fye_amzn/12+IF(fye_amzn&lt;12,I52,0)*(12-fye_amzn)/12)</f>
        <v>275.063</v>
      </c>
      <c r="I53" s="33" t="n">
        <f aca="false">IF(OR(I52="",AND(fye_amzn&lt;12,J52="")),"",I52*fye_amzn/12+IF(fye_amzn&lt;12,J52,0)*(12-fye_amzn)/12)</f>
        <v>292.927</v>
      </c>
      <c r="J53" s="33" t="n">
        <f aca="false">IF(OR(J52="",AND(fye_amzn&lt;12,K52="")),"",J52*fye_amzn/12+IF(fye_amzn&lt;12,K52,0)*(12-fye_amzn)/12)</f>
        <v>322.2197</v>
      </c>
      <c r="K53" s="33" t="n">
        <f aca="false">IF(OR(K52="",AND(fye_amzn&lt;12,L52="")),"",K52*fye_amzn/12+IF(fye_amzn&lt;12,L52,0)*(12-fye_amzn)/12)</f>
        <v>354.44167</v>
      </c>
      <c r="L53" s="33" t="n">
        <f aca="false">IF(OR(L52="",AND(fye_amzn&lt;12,M52="")),"",L52*fye_amzn/12+IF(fye_amzn&lt;12,M52,0)*(12-fye_amzn)/12)</f>
        <v>389.885837</v>
      </c>
      <c r="M53" s="33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1797</v>
      </c>
      <c r="B54" s="0" t="s">
        <v>1841</v>
      </c>
      <c r="C54" s="0" t="s">
        <v>395</v>
      </c>
      <c r="D54" s="33" t="str">
        <f aca="false">IF(D53="","",D53*ai_amzn)</f>
        <v/>
      </c>
      <c r="E54" s="33" t="str">
        <f aca="false">IF(E53="","",E53*ai_amzn)</f>
        <v/>
      </c>
      <c r="F54" s="33" t="n">
        <f aca="false">IF(F53="","",F53*ai_amzn)</f>
        <v>87.2576</v>
      </c>
      <c r="G54" s="33" t="n">
        <f aca="false">IF(G53="","",G53*ai_amzn)</f>
        <v>149.6</v>
      </c>
      <c r="H54" s="33" t="n">
        <f aca="false">IF(H53="","",H53*ai_amzn)</f>
        <v>187.04284</v>
      </c>
      <c r="I54" s="33" t="n">
        <f aca="false">IF(I53="","",I53*ai_amzn)</f>
        <v>199.19036</v>
      </c>
      <c r="J54" s="33" t="n">
        <f aca="false">IF(J53="","",J53*ai_amzn)</f>
        <v>219.109396</v>
      </c>
      <c r="K54" s="33" t="n">
        <f aca="false">IF(K53="","",K53*ai_amzn)</f>
        <v>241.0203356</v>
      </c>
      <c r="L54" s="33" t="n">
        <f aca="false">IF(L53="","",L53*ai_amzn)</f>
        <v>265.12236916</v>
      </c>
      <c r="M54" s="33" t="n">
        <f aca="false">IF(M53="","",M53*ai_amzn)</f>
        <v>291.634606076</v>
      </c>
    </row>
    <row r="55" customFormat="false" ht="17.15" hidden="false" customHeight="false" outlineLevel="0" collapsed="false">
      <c r="A55" s="5" t="s">
        <v>1799</v>
      </c>
      <c r="B55" s="0" t="s">
        <v>1842</v>
      </c>
      <c r="C55" s="0" t="s">
        <v>395</v>
      </c>
      <c r="D55" s="30" t="n">
        <f aca="false">(1-Players!D76)*D$7+Players!D76*TK_NonNV_Hold_Trn*TK_CapexIT_VR200</f>
        <v>24.4399126824</v>
      </c>
      <c r="E55" s="30" t="n">
        <f aca="false">(1-Players!E76)*E$7+Players!E76*TK_NonNV_Hold_Trn*TK_CapexIT_VR200</f>
        <v>24.4399126824</v>
      </c>
      <c r="F55" s="30" t="n">
        <f aca="false">(1-Players!F76)*F$7+Players!F76*TK_NonNV_Hold_Trn*TK_CapexIT_VR200</f>
        <v>23.9445411024</v>
      </c>
      <c r="G55" s="30" t="n">
        <f aca="false">(1-Players!G76)*G$7+Players!G76*TK_NonNV_Hold_Trn*TK_CapexIT_VR200</f>
        <v>26.3881726752</v>
      </c>
      <c r="H55" s="30" t="n">
        <f aca="false">(1-Players!H76)*H$7+Players!H76*TK_NonNV_Hold_Trn*TK_CapexIT_VR200</f>
        <v>28.0138705421991</v>
      </c>
      <c r="I55" s="30" t="n">
        <f aca="false">(1-Players!I76)*I$7+Players!I76*TK_NonNV_Hold_Trn*TK_CapexIT_VR200</f>
        <v>29.0013069560425</v>
      </c>
      <c r="J55" s="30" t="n">
        <f aca="false">(1-Players!J76)*J$7+Players!J76*TK_NonNV_Hold_Trn*TK_CapexIT_VR200</f>
        <v>29.0013069560425</v>
      </c>
      <c r="K55" s="30" t="n">
        <f aca="false">(1-Players!K76)*K$7+Players!K76*TK_NonNV_Hold_Trn*TK_CapexIT_VR200</f>
        <v>29.0013069560425</v>
      </c>
      <c r="L55" s="30" t="n">
        <f aca="false">(1-Players!L76)*L$7+Players!L76*TK_NonNV_Hold_Trn*TK_CapexIT_VR200</f>
        <v>29.0013069560425</v>
      </c>
      <c r="M55" s="30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1801</v>
      </c>
      <c r="B56" s="0" t="s">
        <v>1843</v>
      </c>
      <c r="C56" s="0" t="s">
        <v>395</v>
      </c>
      <c r="D56" s="30" t="n">
        <f aca="false">(1-Players!D76)*D$8+Players!D76*TK_NonNV_Hold_Trn*TK_CapexFacility_VR200</f>
        <v>9.359329</v>
      </c>
      <c r="E56" s="30" t="n">
        <f aca="false">(1-Players!E76)*E$8+Players!E76*TK_NonNV_Hold_Trn*TK_CapexFacility_VR200</f>
        <v>9.359329</v>
      </c>
      <c r="F56" s="30" t="n">
        <f aca="false">(1-Players!F76)*F$8+Players!F76*TK_NonNV_Hold_Trn*TK_CapexFacility_VR200</f>
        <v>9.359329</v>
      </c>
      <c r="G56" s="30" t="n">
        <f aca="false">(1-Players!G76)*G$8+Players!G76*TK_NonNV_Hold_Trn*TK_CapexFacility_VR200</f>
        <v>9.359329</v>
      </c>
      <c r="H56" s="30" t="n">
        <f aca="false">(1-Players!H76)*H$8+Players!H76*TK_NonNV_Hold_Trn*TK_CapexFacility_VR200</f>
        <v>9.359329</v>
      </c>
      <c r="I56" s="30" t="n">
        <f aca="false">(1-Players!I76)*I$8+Players!I76*TK_NonNV_Hold_Trn*TK_CapexFacility_VR200</f>
        <v>9.359329</v>
      </c>
      <c r="J56" s="30" t="n">
        <f aca="false">(1-Players!J76)*J$8+Players!J76*TK_NonNV_Hold_Trn*TK_CapexFacility_VR200</f>
        <v>9.359329</v>
      </c>
      <c r="K56" s="30" t="n">
        <f aca="false">(1-Players!K76)*K$8+Players!K76*TK_NonNV_Hold_Trn*TK_CapexFacility_VR200</f>
        <v>9.359329</v>
      </c>
      <c r="L56" s="30" t="n">
        <f aca="false">(1-Players!L76)*L$8+Players!L76*TK_NonNV_Hold_Trn*TK_CapexFacility_VR200</f>
        <v>9.359329</v>
      </c>
      <c r="M56" s="30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1803</v>
      </c>
      <c r="B57" s="0" t="s">
        <v>1844</v>
      </c>
      <c r="C57" s="0" t="s">
        <v>395</v>
      </c>
      <c r="D57" s="33" t="str">
        <f aca="false">IF(OR(D54="",D54="",D54=""),"",D55/(D55+D56)*D54+D56/(D55+D56)*(CapexGW!$D$4*D54+CapexGW!$E$4*D54+CapexGW!$F$4*D54))</f>
        <v/>
      </c>
      <c r="E57" s="33" t="str">
        <f aca="false">IF(OR(E54="",D54="",E54=""),"",E55/(E55+E56)*E54+E56/(E55+E56)*(CapexGW!$D$4*E54+CapexGW!$E$4*D54+CapexGW!$F$4*E54))</f>
        <v/>
      </c>
      <c r="F57" s="33" t="str">
        <f aca="false">IF(OR(F54="",E54="",D54=""),"",F55/(F55+F56)*F54+F56/(F55+F56)*(CapexGW!$D$4*F54+CapexGW!$E$4*E54+CapexGW!$F$4*D54))</f>
        <v/>
      </c>
      <c r="G57" s="33" t="str">
        <f aca="false">IF(OR(G54="",F54="",E54=""),"",G55/(G55+G56)*G54+G56/(G55+G56)*(CapexGW!$D$4*G54+CapexGW!$E$4*F54+CapexGW!$F$4*E54))</f>
        <v/>
      </c>
      <c r="H57" s="33" t="n">
        <f aca="false">IF(OR(H54="",G54="",F54=""),"",H55/(H55+H56)*H54+H56/(H55+H56)*(CapexGW!$D$4*H54+CapexGW!$E$4*G54+CapexGW!$F$4*F54))</f>
        <v>169.859901898753</v>
      </c>
      <c r="I57" s="33" t="n">
        <f aca="false">IF(OR(I54="",H54="",G54=""),"",I55/(I55+I56)*I54+I56/(I55+I56)*(CapexGW!$D$4*I54+CapexGW!$E$4*H54+CapexGW!$F$4*G54))</f>
        <v>191.658874712</v>
      </c>
      <c r="J57" s="33" t="n">
        <f aca="false">IF(OR(J54="",I54="",H54=""),"",J55/(J55+J56)*J54+J56/(J55+J56)*(CapexGW!$D$4*J54+CapexGW!$E$4*I54+CapexGW!$F$4*H54))</f>
        <v>212.767605168569</v>
      </c>
      <c r="K57" s="33" t="n">
        <f aca="false">IF(OR(K54="",J54="",I54=""),"",K55/(K55+K56)*K54+K56/(K55+K56)*(CapexGW!$D$4*K54+CapexGW!$E$4*J54+CapexGW!$F$4*I54))</f>
        <v>233.244497410019</v>
      </c>
      <c r="L57" s="33" t="n">
        <f aca="false">IF(OR(L54="",K54="",J54=""),"",L55/(L55+L56)*L54+L56/(L55+L56)*(CapexGW!$D$4*L54+CapexGW!$E$4*K54+CapexGW!$F$4*J54))</f>
        <v>256.568947151021</v>
      </c>
      <c r="M57" s="33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1805</v>
      </c>
      <c r="B58" s="0" t="s">
        <v>1845</v>
      </c>
      <c r="C58" s="0" t="s">
        <v>82</v>
      </c>
      <c r="D58" s="26" t="str">
        <f aca="false">IF(D57="","",D57/(D55+D56))</f>
        <v/>
      </c>
      <c r="E58" s="26" t="str">
        <f aca="false">IF(E57="","",E57/(E55+E56))</f>
        <v/>
      </c>
      <c r="F58" s="26" t="str">
        <f aca="false">IF(F57="","",F57/(F55+F56))</f>
        <v/>
      </c>
      <c r="G58" s="26" t="str">
        <f aca="false">IF(G57="","",G57/(G55+G56))</f>
        <v/>
      </c>
      <c r="H58" s="26" t="n">
        <f aca="false">IF(H57="","",H57/(H55+H56))</f>
        <v>4.54496548273742</v>
      </c>
      <c r="I58" s="26" t="n">
        <f aca="false">IF(I57="","",I57/(I55+I56))</f>
        <v>4.99623819927339</v>
      </c>
      <c r="J58" s="26" t="n">
        <f aca="false">IF(J57="","",J57/(J55+J56))</f>
        <v>5.54650880690247</v>
      </c>
      <c r="K58" s="26" t="n">
        <f aca="false">IF(K57="","",K57/(K55+K56))</f>
        <v>6.08030840983174</v>
      </c>
      <c r="L58" s="26" t="n">
        <f aca="false">IF(L57="","",L57/(L55+L56))</f>
        <v>6.68833925081491</v>
      </c>
      <c r="M58" s="26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1807</v>
      </c>
      <c r="B59" s="0" t="s">
        <v>1846</v>
      </c>
      <c r="C59" s="0" t="s">
        <v>82</v>
      </c>
      <c r="D59" s="20" t="n">
        <f aca="false">Players!D74</f>
        <v>0</v>
      </c>
      <c r="E59" s="28" t="n">
        <f aca="false">Players!E74</f>
        <v>0</v>
      </c>
      <c r="F59" s="28" t="n">
        <f aca="false">Players!F74</f>
        <v>1.38971599402093</v>
      </c>
      <c r="G59" s="28" t="n">
        <f aca="false">Players!G74</f>
        <v>0.527</v>
      </c>
      <c r="H59" s="28" t="n">
        <f aca="false">Players!H74</f>
        <v>0.364</v>
      </c>
      <c r="I59" s="28" t="n">
        <f aca="false">Players!I74</f>
        <v>1.744</v>
      </c>
      <c r="J59" s="28" t="n">
        <f aca="false">Players!J74</f>
        <v>0.0620000000000003</v>
      </c>
      <c r="K59" s="28" t="n">
        <f aca="false">Players!K74</f>
        <v>0</v>
      </c>
      <c r="L59" s="28" t="n">
        <f aca="false">Players!L74</f>
        <v>0</v>
      </c>
      <c r="M59" s="28" t="n">
        <f aca="false">Players!M74</f>
        <v>0</v>
      </c>
    </row>
    <row r="60" customFormat="false" ht="17.15" hidden="false" customHeight="false" outlineLevel="0" collapsed="false">
      <c r="A60" s="5" t="s">
        <v>1809</v>
      </c>
      <c r="B60" s="0" t="s">
        <v>1847</v>
      </c>
      <c r="C60" s="0" t="s">
        <v>82</v>
      </c>
      <c r="D60" s="25" t="n">
        <f aca="false">IF(AND(2023&gt;=2027,D58&lt;&gt;""),D58,D59)</f>
        <v>0</v>
      </c>
      <c r="E60" s="25" t="n">
        <f aca="false">IF(AND(2024&gt;=2027,E58&lt;&gt;""),E58,E59)</f>
        <v>0</v>
      </c>
      <c r="F60" s="25" t="n">
        <f aca="false">IF(AND(2025&gt;=2027,F58&lt;&gt;""),F58,F59)</f>
        <v>1.38971599402093</v>
      </c>
      <c r="G60" s="25" t="n">
        <f aca="false">IF(AND(2026&gt;=2027,G58&lt;&gt;""),G58,G59)</f>
        <v>0.527</v>
      </c>
      <c r="H60" s="25" t="n">
        <f aca="false">IF(AND(2027&gt;=2027,H58&lt;&gt;""),H58,H59)</f>
        <v>4.54496548273742</v>
      </c>
      <c r="I60" s="25" t="n">
        <f aca="false">IF(AND(2028&gt;=2027,I58&lt;&gt;""),I58,I59)</f>
        <v>4.99623819927339</v>
      </c>
      <c r="J60" s="25" t="n">
        <f aca="false">IF(AND(2029&gt;=2027,J58&lt;&gt;""),J58,J59)</f>
        <v>5.54650880690247</v>
      </c>
      <c r="K60" s="25" t="n">
        <f aca="false">IF(AND(2030&gt;=2027,K58&lt;&gt;""),K58,K59)</f>
        <v>6.08030840983174</v>
      </c>
      <c r="L60" s="25" t="n">
        <f aca="false">IF(AND(2031&gt;=2027,L58&lt;&gt;""),L58,L59)</f>
        <v>6.68833925081491</v>
      </c>
      <c r="M60" s="25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1811</v>
      </c>
      <c r="B61" s="0" t="s">
        <v>1848</v>
      </c>
      <c r="C61" s="0" t="s">
        <v>82</v>
      </c>
      <c r="D61" s="25" t="n">
        <f aca="false">N(Players!D68)</f>
        <v>0</v>
      </c>
      <c r="E61" s="25" t="n">
        <f aca="false">IF(2024&gt;=2027,D61+E60,N(Players!E68))</f>
        <v>0.810284005979073</v>
      </c>
      <c r="F61" s="25" t="n">
        <f aca="false">IF(2025&gt;=2027,E61+F60,N(Players!F68))</f>
        <v>2.2</v>
      </c>
      <c r="G61" s="25" t="n">
        <f aca="false">IF(2026&gt;=2027,F61+G60,N(Players!G68))</f>
        <v>2.727</v>
      </c>
      <c r="H61" s="25" t="n">
        <f aca="false">IF(2027&gt;=2027,G61+H60,N(Players!H68))</f>
        <v>7.27196548273742</v>
      </c>
      <c r="I61" s="25" t="n">
        <f aca="false">IF(2028&gt;=2027,H61+I60,N(Players!I68))</f>
        <v>12.2682036820108</v>
      </c>
      <c r="J61" s="25" t="n">
        <f aca="false">IF(2029&gt;=2027,I61+J60,N(Players!J68))</f>
        <v>17.8147124889133</v>
      </c>
      <c r="K61" s="25" t="n">
        <f aca="false">IF(2030&gt;=2027,J61+K60,N(Players!K68))</f>
        <v>23.895020898745</v>
      </c>
      <c r="L61" s="25" t="n">
        <f aca="false">IF(2031&gt;=2027,K61+L60,N(Players!L68))</f>
        <v>30.5833601495599</v>
      </c>
      <c r="M61" s="25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1813</v>
      </c>
      <c r="B62" s="0" t="s">
        <v>1849</v>
      </c>
      <c r="C62" s="0" t="s">
        <v>82</v>
      </c>
      <c r="D62" s="25" t="str">
        <f aca="false">IF(D58="","",D58*ai_amzn_lo/ai_amzn)</f>
        <v/>
      </c>
      <c r="E62" s="25" t="str">
        <f aca="false">IF(E58="","",E58*ai_amzn_lo/ai_amzn)</f>
        <v/>
      </c>
      <c r="F62" s="25" t="str">
        <f aca="false">IF(F58="","",F58*ai_amzn_lo/ai_amzn)</f>
        <v/>
      </c>
      <c r="G62" s="25" t="str">
        <f aca="false">IF(G58="","",G58*ai_amzn_lo/ai_amzn)</f>
        <v/>
      </c>
      <c r="H62" s="25" t="n">
        <f aca="false">IF(H58="","",H58*ai_amzn_lo/ai_amzn)</f>
        <v>4.0102636612389</v>
      </c>
      <c r="I62" s="25" t="n">
        <f aca="false">IF(I58="","",I58*ai_amzn_lo/ai_amzn)</f>
        <v>4.40844546994711</v>
      </c>
      <c r="J62" s="25" t="n">
        <f aca="false">IF(J58="","",J58*ai_amzn_lo/ai_amzn)</f>
        <v>4.89397835903159</v>
      </c>
      <c r="K62" s="25" t="n">
        <f aca="false">IF(K58="","",K58*ai_amzn_lo/ai_amzn)</f>
        <v>5.36497800867506</v>
      </c>
      <c r="L62" s="25" t="n">
        <f aca="false">IF(L58="","",L58*ai_amzn_lo/ai_amzn)</f>
        <v>5.90147580954257</v>
      </c>
      <c r="M62" s="25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1815</v>
      </c>
      <c r="B63" s="0" t="s">
        <v>1850</v>
      </c>
      <c r="C63" s="0" t="s">
        <v>82</v>
      </c>
      <c r="D63" s="25" t="str">
        <f aca="false">IF(D58="","",D58*ai_amzn_hi/ai_amzn)</f>
        <v/>
      </c>
      <c r="E63" s="25" t="str">
        <f aca="false">IF(E58="","",E58*ai_amzn_hi/ai_amzn)</f>
        <v/>
      </c>
      <c r="F63" s="25" t="str">
        <f aca="false">IF(F58="","",F58*ai_amzn_hi/ai_amzn)</f>
        <v/>
      </c>
      <c r="G63" s="25" t="str">
        <f aca="false">IF(G58="","",G58*ai_amzn_hi/ai_amzn)</f>
        <v/>
      </c>
      <c r="H63" s="25" t="n">
        <f aca="false">IF(H58="","",H58*ai_amzn_hi/ai_amzn)</f>
        <v>5.01282957654863</v>
      </c>
      <c r="I63" s="25" t="n">
        <f aca="false">IF(I58="","",I58*ai_amzn_hi/ai_amzn)</f>
        <v>5.51055683743389</v>
      </c>
      <c r="J63" s="25" t="n">
        <f aca="false">IF(J58="","",J58*ai_amzn_hi/ai_amzn)</f>
        <v>6.11747294878949</v>
      </c>
      <c r="K63" s="25" t="n">
        <f aca="false">IF(K58="","",K58*ai_amzn_hi/ai_amzn)</f>
        <v>6.70622251084383</v>
      </c>
      <c r="L63" s="25" t="n">
        <f aca="false">IF(L58="","",L58*ai_amzn_hi/ai_amzn)</f>
        <v>7.37684476192821</v>
      </c>
      <c r="M63" s="25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1817</v>
      </c>
      <c r="B64" s="0" t="s">
        <v>1851</v>
      </c>
      <c r="C64" s="0" t="s">
        <v>82</v>
      </c>
      <c r="D64" s="25" t="str">
        <f aca="false">IF(OR(D54="",D54="",D54=""),"",(D55/(D55+D56)*D54+D56/(D55+D56)*(CapexGW!$D$5*D54+CapexGW!$E$5*D54+CapexGW!$F$5*D54))/(D55+D56))</f>
        <v/>
      </c>
      <c r="E64" s="25" t="str">
        <f aca="false">IF(OR(E54="",D54="",E54=""),"",(E55/(E55+E56)*E54+E56/(E55+E56)*(CapexGW!$D$5*E54+CapexGW!$E$5*D54+CapexGW!$F$5*E54))/(E55+E56))</f>
        <v/>
      </c>
      <c r="F64" s="25" t="str">
        <f aca="false">IF(OR(F54="",E54="",D54=""),"",(F55/(F55+F56)*F54+F56/(F55+F56)*(CapexGW!$D$5*F54+CapexGW!$E$5*E54+CapexGW!$F$5*D54))/(F55+F56))</f>
        <v/>
      </c>
      <c r="G64" s="25" t="str">
        <f aca="false">IF(OR(G54="",F54="",E54=""),"",(G55/(G55+G56)*G54+G56/(G55+G56)*(CapexGW!$D$5*G54+CapexGW!$E$5*F54+CapexGW!$F$5*E54))/(G55+G56))</f>
        <v/>
      </c>
      <c r="H64" s="25" t="n">
        <f aca="false">IF(OR(H54="",G54="",F54=""),"",(H55/(H55+H56)*H54+H56/(H55+H56)*(CapexGW!$D$5*H54+CapexGW!$E$5*G54+CapexGW!$F$5*F54))/(H55+H56))</f>
        <v>4.75383625682402</v>
      </c>
      <c r="I64" s="25" t="n">
        <f aca="false">IF(OR(I54="",H54="",G54=""),"",(I55/(I55+I56)*I54+I56/(I55+I56)*(CapexGW!$D$5*I54+CapexGW!$E$5*H54+CapexGW!$F$5*G54))/(I55+I56))</f>
        <v>5.11531081756493</v>
      </c>
      <c r="J64" s="25" t="n">
        <f aca="false">IF(OR(J54="",I54="",H54=""),"",(J55/(J55+J56)*J54+J56/(J55+J56)*(CapexGW!$D$5*J54+CapexGW!$E$5*I54+CapexGW!$F$5*H54))/(J55+J56))</f>
        <v>5.58513934379948</v>
      </c>
      <c r="K64" s="25" t="n">
        <f aca="false">IF(OR(K54="",J54="",I54=""),"",(K55/(K55+K56)*K54+K56/(K55+K56)*(CapexGW!$D$5*K54+CapexGW!$E$5*J54+CapexGW!$F$5*I54))/(K55+K56))</f>
        <v>6.14365327817943</v>
      </c>
      <c r="L64" s="25" t="n">
        <f aca="false">IF(OR(L54="",K54="",J54=""),"",(L55/(L55+L56)*L54+L56/(L55+L56)*(CapexGW!$D$5*L54+CapexGW!$E$5*K54+CapexGW!$F$5*J54))/(L55+L56))</f>
        <v>6.75801860599737</v>
      </c>
      <c r="M64" s="25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1819</v>
      </c>
      <c r="B65" s="0" t="s">
        <v>1852</v>
      </c>
      <c r="C65" s="0" t="s">
        <v>82</v>
      </c>
      <c r="D65" s="25" t="str">
        <f aca="false">IF(OR(D54="",D54="",D54=""),"",(D55/(D55+D56)*D54+D56/(D55+D56)*(CapexGW!$D$6*D54+CapexGW!$E$6*D54+CapexGW!$F$6*D54))/(D55+D56))</f>
        <v/>
      </c>
      <c r="E65" s="25" t="str">
        <f aca="false">IF(OR(E54="",D54="",E54=""),"",(E55/(E55+E56)*E54+E56/(E55+E56)*(CapexGW!$D$6*E54+CapexGW!$E$6*D54+CapexGW!$F$6*E54))/(E55+E56))</f>
        <v/>
      </c>
      <c r="F65" s="25" t="str">
        <f aca="false">IF(OR(F54="",E54="",D54=""),"",(F55/(F55+F56)*F54+F56/(F55+F56)*(CapexGW!$D$6*F54+CapexGW!$E$6*E54+CapexGW!$F$6*D54))/(F55+F56))</f>
        <v/>
      </c>
      <c r="G65" s="25" t="str">
        <f aca="false">IF(OR(G54="",F54="",E54=""),"",(G55/(G55+G56)*G54+G56/(G55+G56)*(CapexGW!$D$6*G54+CapexGW!$E$6*F54+CapexGW!$F$6*E54))/(G55+G56))</f>
        <v/>
      </c>
      <c r="H65" s="25" t="n">
        <f aca="false">IF(OR(H54="",G54="",F54=""),"",(H55/(H55+H56)*H54+H56/(H55+H56)*(CapexGW!$D$6*H54+CapexGW!$E$6*G54+CapexGW!$F$6*F54))/(H55+H56))</f>
        <v>4.33609470865083</v>
      </c>
      <c r="I65" s="25" t="n">
        <f aca="false">IF(OR(I54="",H54="",G54=""),"",(I55/(I55+I56)*I54+I56/(I55+I56)*(CapexGW!$D$6*I54+CapexGW!$E$6*H54+CapexGW!$F$6*G54))/(I55+I56))</f>
        <v>4.87716558098185</v>
      </c>
      <c r="J65" s="25" t="n">
        <f aca="false">IF(OR(J54="",I54="",H54=""),"",(J55/(J55+J56)*J54+J56/(J55+J56)*(CapexGW!$D$6*J54+CapexGW!$E$6*I54+CapexGW!$F$6*H54))/(J55+J56))</f>
        <v>5.50787827000546</v>
      </c>
      <c r="K65" s="25" t="n">
        <f aca="false">IF(OR(K54="",J54="",I54=""),"",(K55/(K55+K56)*K54+K56/(K55+K56)*(CapexGW!$D$6*K54+CapexGW!$E$6*J54+CapexGW!$F$6*I54))/(K55+K56))</f>
        <v>6.01696354148405</v>
      </c>
      <c r="L65" s="25" t="n">
        <f aca="false">IF(OR(L54="",K54="",J54=""),"",(L55/(L55+L56)*L54+L56/(L55+L56)*(CapexGW!$D$6*L54+CapexGW!$E$6*K54+CapexGW!$F$6*J54))/(L55+L56))</f>
        <v>6.61865989563246</v>
      </c>
      <c r="M65" s="25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1429</v>
      </c>
      <c r="B67" s="21" t="s">
        <v>748</v>
      </c>
      <c r="N67" s="21" t="s">
        <v>1853</v>
      </c>
    </row>
    <row r="68" customFormat="false" ht="17.15" hidden="false" customHeight="false" outlineLevel="0" collapsed="false">
      <c r="A68" s="5" t="s">
        <v>1789</v>
      </c>
      <c r="B68" s="0" t="s">
        <v>1431</v>
      </c>
      <c r="C68" s="0" t="s">
        <v>395</v>
      </c>
      <c r="D68" s="20" t="str">
        <f aca="false">IF(In!H127="","",In!H127)</f>
        <v/>
      </c>
      <c r="E68" s="20" t="str">
        <f aca="false">IF(In!I127="","",In!I127)</f>
        <v/>
      </c>
      <c r="F68" s="20" t="str">
        <f aca="false">IF(In!J127="","",In!J127)</f>
        <v/>
      </c>
      <c r="G68" s="31" t="n">
        <f aca="false">IF(In!K127="","",In!K127)</f>
        <v>140</v>
      </c>
      <c r="H68" s="20" t="str">
        <f aca="false">IF(In!L127="","",In!L127)</f>
        <v/>
      </c>
      <c r="I68" s="20" t="str">
        <f aca="false">IF(In!M127="","",In!M127)</f>
        <v/>
      </c>
      <c r="J68" s="20" t="str">
        <f aca="false">IF(In!N127="","",In!N127)</f>
        <v/>
      </c>
      <c r="K68" s="20" t="str">
        <f aca="false">IF(In!O127="","",In!O127)</f>
        <v/>
      </c>
      <c r="L68" s="20" t="str">
        <f aca="false">IF(In!P127="","",In!P127)</f>
        <v/>
      </c>
      <c r="M68" s="20" t="str">
        <f aca="false">IF(In!Q127="","",In!Q127)</f>
        <v/>
      </c>
    </row>
    <row r="69" customFormat="false" ht="15" hidden="false" customHeight="false" outlineLevel="0" collapsed="false">
      <c r="A69" s="5" t="s">
        <v>1790</v>
      </c>
      <c r="B69" s="0" t="s">
        <v>1854</v>
      </c>
      <c r="C69" s="0" t="s">
        <v>40</v>
      </c>
      <c r="D69" s="27" t="n">
        <f aca="false">(D68&lt;&gt;"")</f>
        <v>0</v>
      </c>
      <c r="E69" s="27" t="n">
        <f aca="false">(E68&lt;&gt;"")+D69</f>
        <v>0</v>
      </c>
      <c r="F69" s="27" t="n">
        <f aca="false">(F68&lt;&gt;"")+E69</f>
        <v>0</v>
      </c>
      <c r="G69" s="27" t="n">
        <f aca="false">(G68&lt;&gt;"")+F69</f>
        <v>1</v>
      </c>
      <c r="H69" s="27" t="n">
        <f aca="false">(H68&lt;&gt;"")+G69</f>
        <v>1</v>
      </c>
      <c r="I69" s="27" t="n">
        <f aca="false">(I68&lt;&gt;"")+H69</f>
        <v>1</v>
      </c>
      <c r="J69" s="27" t="n">
        <f aca="false">(J68&lt;&gt;"")+I69</f>
        <v>1</v>
      </c>
      <c r="K69" s="27" t="n">
        <f aca="false">(K68&lt;&gt;"")+J69</f>
        <v>1</v>
      </c>
      <c r="L69" s="27" t="n">
        <f aca="false">(L68&lt;&gt;"")+K69</f>
        <v>1</v>
      </c>
      <c r="M69" s="27" t="n">
        <f aca="false">(M68&lt;&gt;"")+L69</f>
        <v>1</v>
      </c>
    </row>
    <row r="70" customFormat="false" ht="15" hidden="false" customHeight="false" outlineLevel="0" collapsed="false">
      <c r="A70" s="5" t="s">
        <v>1792</v>
      </c>
      <c r="B70" s="0" t="s">
        <v>1436</v>
      </c>
      <c r="C70" s="0" t="s">
        <v>395</v>
      </c>
      <c r="D70" s="32" t="n">
        <f aca="false">IF(D68&lt;&gt;"",D68,E70)</f>
        <v>140</v>
      </c>
      <c r="E70" s="32" t="n">
        <f aca="false">IF(E68&lt;&gt;"",E68,F70)</f>
        <v>140</v>
      </c>
      <c r="F70" s="32" t="n">
        <f aca="false">IF(F68&lt;&gt;"",F68,G70)</f>
        <v>140</v>
      </c>
      <c r="G70" s="32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1793</v>
      </c>
      <c r="B71" s="0" t="s">
        <v>1855</v>
      </c>
      <c r="C71" s="0" t="s">
        <v>395</v>
      </c>
      <c r="D71" s="33" t="str">
        <f aca="false">IF(D68&lt;&gt;"",D68,IF(0&gt;0,""*(1+cap_g_ext),""))</f>
        <v/>
      </c>
      <c r="E71" s="33" t="str">
        <f aca="false">IF(E68&lt;&gt;"",E68,IF(D69&gt;0,D71*(1+cap_g_ext),""))</f>
        <v/>
      </c>
      <c r="F71" s="33" t="str">
        <f aca="false">IF(F68&lt;&gt;"",F68,IF(E69&gt;0,E71*(1+cap_g_ext),""))</f>
        <v/>
      </c>
      <c r="G71" s="33" t="n">
        <f aca="false">IF(G68&lt;&gt;"",G68,IF(F69&gt;0,F71*(1+cap_g_ext),""))</f>
        <v>140</v>
      </c>
      <c r="H71" s="33" t="n">
        <f aca="false">IF(H68&lt;&gt;"",H68,IF(G69&gt;0,G71*(1+cap_g_ext),""))</f>
        <v>154</v>
      </c>
      <c r="I71" s="33" t="n">
        <f aca="false">IF(I68&lt;&gt;"",I68,IF(H69&gt;0,H71*(1+cap_g_ext),""))</f>
        <v>169.4</v>
      </c>
      <c r="J71" s="33" t="n">
        <f aca="false">IF(J68&lt;&gt;"",J68,IF(I69&gt;0,I71*(1+cap_g_ext),""))</f>
        <v>186.34</v>
      </c>
      <c r="K71" s="33" t="n">
        <f aca="false">IF(K68&lt;&gt;"",K68,IF(J69&gt;0,J71*(1+cap_g_ext),""))</f>
        <v>204.974</v>
      </c>
      <c r="L71" s="33" t="n">
        <f aca="false">IF(L68&lt;&gt;"",L68,IF(K69&gt;0,K71*(1+cap_g_ext),""))</f>
        <v>225.4714</v>
      </c>
      <c r="M71" s="33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1795</v>
      </c>
      <c r="B72" s="0" t="s">
        <v>1856</v>
      </c>
      <c r="C72" s="0" t="s">
        <v>395</v>
      </c>
      <c r="D72" s="33" t="str">
        <f aca="false">IF(OR(D71="",AND(fye_meta&lt;12,E71="")),"",D71*fye_meta/12+IF(fye_meta&lt;12,E71,0)*(12-fye_meta)/12)</f>
        <v/>
      </c>
      <c r="E72" s="33" t="str">
        <f aca="false">IF(OR(E71="",AND(fye_meta&lt;12,F71="")),"",E71*fye_meta/12+IF(fye_meta&lt;12,F71,0)*(12-fye_meta)/12)</f>
        <v/>
      </c>
      <c r="F72" s="33" t="str">
        <f aca="false">IF(OR(F71="",AND(fye_meta&lt;12,G71="")),"",F71*fye_meta/12+IF(fye_meta&lt;12,G71,0)*(12-fye_meta)/12)</f>
        <v/>
      </c>
      <c r="G72" s="33" t="n">
        <f aca="false">IF(OR(G71="",AND(fye_meta&lt;12,H71="")),"",G71*fye_meta/12+IF(fye_meta&lt;12,H71,0)*(12-fye_meta)/12)</f>
        <v>140</v>
      </c>
      <c r="H72" s="33" t="n">
        <f aca="false">IF(OR(H71="",AND(fye_meta&lt;12,I71="")),"",H71*fye_meta/12+IF(fye_meta&lt;12,I71,0)*(12-fye_meta)/12)</f>
        <v>154</v>
      </c>
      <c r="I72" s="33" t="n">
        <f aca="false">IF(OR(I71="",AND(fye_meta&lt;12,J71="")),"",I71*fye_meta/12+IF(fye_meta&lt;12,J71,0)*(12-fye_meta)/12)</f>
        <v>169.4</v>
      </c>
      <c r="J72" s="33" t="n">
        <f aca="false">IF(OR(J71="",AND(fye_meta&lt;12,K71="")),"",J71*fye_meta/12+IF(fye_meta&lt;12,K71,0)*(12-fye_meta)/12)</f>
        <v>186.34</v>
      </c>
      <c r="K72" s="33" t="n">
        <f aca="false">IF(OR(K71="",AND(fye_meta&lt;12,L71="")),"",K71*fye_meta/12+IF(fye_meta&lt;12,L71,0)*(12-fye_meta)/12)</f>
        <v>204.974</v>
      </c>
      <c r="L72" s="33" t="n">
        <f aca="false">IF(OR(L71="",AND(fye_meta&lt;12,M71="")),"",L71*fye_meta/12+IF(fye_meta&lt;12,M71,0)*(12-fye_meta)/12)</f>
        <v>225.4714</v>
      </c>
      <c r="M72" s="33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1797</v>
      </c>
      <c r="B73" s="0" t="s">
        <v>1857</v>
      </c>
      <c r="C73" s="0" t="s">
        <v>395</v>
      </c>
      <c r="D73" s="33" t="str">
        <f aca="false">IF(D72="","",D72*ai_sh)</f>
        <v/>
      </c>
      <c r="E73" s="33" t="str">
        <f aca="false">IF(E72="","",E72*ai_sh)</f>
        <v/>
      </c>
      <c r="F73" s="33" t="str">
        <f aca="false">IF(F72="","",F72*ai_sh)</f>
        <v/>
      </c>
      <c r="G73" s="33" t="n">
        <f aca="false">IF(G72="","",G72*ai_sh)</f>
        <v>119</v>
      </c>
      <c r="H73" s="33" t="n">
        <f aca="false">IF(H72="","",H72*ai_sh)</f>
        <v>130.9</v>
      </c>
      <c r="I73" s="33" t="n">
        <f aca="false">IF(I72="","",I72*ai_sh)</f>
        <v>143.99</v>
      </c>
      <c r="J73" s="33" t="n">
        <f aca="false">IF(J72="","",J72*ai_sh)</f>
        <v>158.389</v>
      </c>
      <c r="K73" s="33" t="n">
        <f aca="false">IF(K72="","",K72*ai_sh)</f>
        <v>174.2279</v>
      </c>
      <c r="L73" s="33" t="n">
        <f aca="false">IF(L72="","",L72*ai_sh)</f>
        <v>191.65069</v>
      </c>
      <c r="M73" s="33" t="n">
        <f aca="false">IF(M72="","",M72*ai_sh)</f>
        <v>210.815759</v>
      </c>
    </row>
    <row r="74" customFormat="false" ht="17.15" hidden="false" customHeight="false" outlineLevel="0" collapsed="false">
      <c r="A74" s="5" t="s">
        <v>1799</v>
      </c>
      <c r="B74" s="0" t="s">
        <v>1858</v>
      </c>
      <c r="C74" s="0" t="s">
        <v>395</v>
      </c>
      <c r="D74" s="30" t="n">
        <f aca="false">(1-Players!D95)*D$7+Players!D95*TK_NonNV_Hold_AMD*TK_CapexIT_VR200</f>
        <v>28.5674343946187</v>
      </c>
      <c r="E74" s="30" t="n">
        <f aca="false">(1-Players!E95)*E$7+Players!E95*TK_NonNV_Hold_AMD*TK_CapexIT_VR200</f>
        <v>28.5674343946187</v>
      </c>
      <c r="F74" s="30" t="n">
        <f aca="false">(1-Players!F95)*F$7+Players!F95*TK_NonNV_Hold_AMD*TK_CapexIT_VR200</f>
        <v>27.423891719914</v>
      </c>
      <c r="G74" s="30" t="n">
        <f aca="false">(1-Players!G95)*G$7+Players!G95*TK_NonNV_Hold_AMD*TK_CapexIT_VR200</f>
        <v>33.0649036341473</v>
      </c>
      <c r="H74" s="30" t="n">
        <f aca="false">(1-Players!H95)*H$7+Players!H95*TK_NonNV_Hold_AMD*TK_CapexIT_VR200</f>
        <v>36.5947249242921</v>
      </c>
      <c r="I74" s="30" t="n">
        <f aca="false">(1-Players!I95)*I$7+Players!I95*TK_NonNV_Hold_AMD*TK_CapexIT_VR200</f>
        <v>38.802433936281</v>
      </c>
      <c r="J74" s="30" t="n">
        <f aca="false">(1-Players!J95)*J$7+Players!J95*TK_NonNV_Hold_AMD*TK_CapexIT_VR200</f>
        <v>38.7783529603329</v>
      </c>
      <c r="K74" s="30" t="n">
        <f aca="false">(1-Players!K95)*K$7+Players!K95*TK_NonNV_Hold_AMD*TK_CapexIT_VR200</f>
        <v>38.7783529603329</v>
      </c>
      <c r="L74" s="30" t="n">
        <f aca="false">(1-Players!L95)*L$7+Players!L95*TK_NonNV_Hold_AMD*TK_CapexIT_VR200</f>
        <v>38.7783529603329</v>
      </c>
      <c r="M74" s="30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1801</v>
      </c>
      <c r="B75" s="0" t="s">
        <v>1859</v>
      </c>
      <c r="C75" s="0" t="s">
        <v>395</v>
      </c>
      <c r="D75" s="30" t="n">
        <f aca="false">(1-Players!D95)*D$8+Players!D95*TK_NonNV_Hold_AMD*TK_CapexFacility_VR200</f>
        <v>12.2172817673375</v>
      </c>
      <c r="E75" s="30" t="n">
        <f aca="false">(1-Players!E95)*E$8+Players!E95*TK_NonNV_Hold_AMD*TK_CapexFacility_VR200</f>
        <v>12.2172817673375</v>
      </c>
      <c r="F75" s="30" t="n">
        <f aca="false">(1-Players!F95)*F$8+Players!F95*TK_NonNV_Hold_AMD*TK_CapexFacility_VR200</f>
        <v>12.2172817673375</v>
      </c>
      <c r="G75" s="30" t="n">
        <f aca="false">(1-Players!G95)*G$8+Players!G95*TK_NonNV_Hold_AMD*TK_CapexFacility_VR200</f>
        <v>12.2172817673375</v>
      </c>
      <c r="H75" s="30" t="n">
        <f aca="false">(1-Players!H95)*H$8+Players!H95*TK_NonNV_Hold_AMD*TK_CapexFacility_VR200</f>
        <v>12.1509699108826</v>
      </c>
      <c r="I75" s="30" t="n">
        <f aca="false">(1-Players!I95)*I$8+Players!I95*TK_NonNV_Hold_AMD*TK_CapexFacility_VR200</f>
        <v>12.157584536667</v>
      </c>
      <c r="J75" s="30" t="n">
        <f aca="false">(1-Players!J95)*J$8+Players!J95*TK_NonNV_Hold_AMD*TK_CapexFacility_VR200</f>
        <v>12.1527076383687</v>
      </c>
      <c r="K75" s="30" t="n">
        <f aca="false">(1-Players!K95)*K$8+Players!K95*TK_NonNV_Hold_AMD*TK_CapexFacility_VR200</f>
        <v>12.1527076383687</v>
      </c>
      <c r="L75" s="30" t="n">
        <f aca="false">(1-Players!L95)*L$8+Players!L95*TK_NonNV_Hold_AMD*TK_CapexFacility_VR200</f>
        <v>12.1527076383687</v>
      </c>
      <c r="M75" s="30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1803</v>
      </c>
      <c r="B76" s="0" t="s">
        <v>1860</v>
      </c>
      <c r="C76" s="0" t="s">
        <v>395</v>
      </c>
      <c r="D76" s="33" t="str">
        <f aca="false">IF(OR(D73="",D73="",D73=""),"",D74/(D74+D75)*D73+D75/(D74+D75)*(CapexGW!$D$4*D73+CapexGW!$E$4*D73+CapexGW!$F$4*D73))</f>
        <v/>
      </c>
      <c r="E76" s="33" t="str">
        <f aca="false">IF(OR(E73="",D73="",E73=""),"",E74/(E74+E75)*E73+E75/(E74+E75)*(CapexGW!$D$4*E73+CapexGW!$E$4*D73+CapexGW!$F$4*E73))</f>
        <v/>
      </c>
      <c r="F76" s="33" t="str">
        <f aca="false">IF(OR(F73="",E73="",D73=""),"",F74/(F74+F75)*F73+F75/(F74+F75)*(CapexGW!$D$4*F73+CapexGW!$E$4*E73+CapexGW!$F$4*D73))</f>
        <v/>
      </c>
      <c r="G76" s="33" t="str">
        <f aca="false">IF(OR(G73="",F73="",E73=""),"",G74/(G74+G75)*G73+G75/(G74+G75)*(CapexGW!$D$4*G73+CapexGW!$E$4*F73+CapexGW!$F$4*E73))</f>
        <v/>
      </c>
      <c r="H76" s="33" t="str">
        <f aca="false">IF(OR(H73="",G73="",F73=""),"",H74/(H74+H75)*H73+H75/(H74+H75)*(CapexGW!$D$4*H73+CapexGW!$E$4*G73+CapexGW!$F$4*F73))</f>
        <v/>
      </c>
      <c r="I76" s="33" t="n">
        <f aca="false">IF(OR(I73="",H73="",G73=""),"",I74/(I74+I75)*I73+I75/(I74+I75)*(CapexGW!$D$4*I73+CapexGW!$E$4*H73+CapexGW!$F$4*G73))</f>
        <v>139.447607424122</v>
      </c>
      <c r="J76" s="33" t="n">
        <f aca="false">IF(OR(J73="",I73="",H73=""),"",J74/(J74+J75)*J73+J75/(J74+J75)*(CapexGW!$D$4*J73+CapexGW!$E$4*I73+CapexGW!$F$4*H73))</f>
        <v>153.391532721958</v>
      </c>
      <c r="K76" s="33" t="n">
        <f aca="false">IF(OR(K73="",J73="",I73=""),"",K74/(K74+K75)*K73+K75/(K74+K75)*(CapexGW!$D$4*K73+CapexGW!$E$4*J73+CapexGW!$F$4*I73))</f>
        <v>168.730685994154</v>
      </c>
      <c r="L76" s="33" t="n">
        <f aca="false">IF(OR(L73="",K73="",J73=""),"",L74/(L74+L75)*L73+L75/(L74+L75)*(CapexGW!$D$4*L73+CapexGW!$E$4*K73+CapexGW!$F$4*J73))</f>
        <v>185.603754593569</v>
      </c>
      <c r="M76" s="33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1805</v>
      </c>
      <c r="B77" s="0" t="s">
        <v>1861</v>
      </c>
      <c r="C77" s="0" t="s">
        <v>82</v>
      </c>
      <c r="D77" s="26" t="str">
        <f aca="false">IF(D76="","",D76/(D74+D75))</f>
        <v/>
      </c>
      <c r="E77" s="26" t="str">
        <f aca="false">IF(E76="","",E76/(E74+E75))</f>
        <v/>
      </c>
      <c r="F77" s="26" t="str">
        <f aca="false">IF(F76="","",F76/(F74+F75))</f>
        <v/>
      </c>
      <c r="G77" s="26" t="str">
        <f aca="false">IF(G76="","",G76/(G74+G75))</f>
        <v/>
      </c>
      <c r="H77" s="26" t="str">
        <f aca="false">IF(H76="","",H76/(H74+H75))</f>
        <v/>
      </c>
      <c r="I77" s="26" t="n">
        <f aca="false">IF(I76="","",I76/(I74+I75))</f>
        <v>2.73641202658016</v>
      </c>
      <c r="J77" s="26" t="n">
        <f aca="false">IF(J76="","",J76/(J74+J75))</f>
        <v>3.01174825182942</v>
      </c>
      <c r="K77" s="26" t="n">
        <f aca="false">IF(K76="","",K76/(K74+K75))</f>
        <v>3.31292307701236</v>
      </c>
      <c r="L77" s="26" t="n">
        <f aca="false">IF(L76="","",L76/(L74+L75))</f>
        <v>3.6442153847136</v>
      </c>
      <c r="M77" s="26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1807</v>
      </c>
      <c r="B78" s="0" t="s">
        <v>1862</v>
      </c>
      <c r="C78" s="0" t="s">
        <v>82</v>
      </c>
      <c r="D78" s="20" t="n">
        <f aca="false">Players!D93</f>
        <v>0</v>
      </c>
      <c r="E78" s="28" t="n">
        <f aca="false">Players!E93</f>
        <v>0</v>
      </c>
      <c r="F78" s="28" t="n">
        <f aca="false">Players!F93</f>
        <v>1.50812</v>
      </c>
      <c r="G78" s="28" t="n">
        <f aca="false">Players!G93</f>
        <v>0.676</v>
      </c>
      <c r="H78" s="28" t="n">
        <f aca="false">Players!H93</f>
        <v>0.615</v>
      </c>
      <c r="I78" s="28" t="n">
        <f aca="false">Players!I93</f>
        <v>2.99433333333333</v>
      </c>
      <c r="J78" s="28" t="n">
        <f aca="false">Players!J93</f>
        <v>0.968</v>
      </c>
      <c r="K78" s="28" t="n">
        <f aca="false">Players!K93</f>
        <v>0</v>
      </c>
      <c r="L78" s="28" t="n">
        <f aca="false">Players!L93</f>
        <v>0</v>
      </c>
      <c r="M78" s="28" t="n">
        <f aca="false">Players!M93</f>
        <v>0</v>
      </c>
    </row>
    <row r="79" customFormat="false" ht="17.15" hidden="false" customHeight="false" outlineLevel="0" collapsed="false">
      <c r="A79" s="5" t="s">
        <v>1809</v>
      </c>
      <c r="B79" s="0" t="s">
        <v>1863</v>
      </c>
      <c r="C79" s="0" t="s">
        <v>82</v>
      </c>
      <c r="D79" s="25" t="n">
        <f aca="false">IF(AND(2023&gt;=2027,D77&lt;&gt;""),D77,D78)</f>
        <v>0</v>
      </c>
      <c r="E79" s="25" t="n">
        <f aca="false">IF(AND(2024&gt;=2027,E77&lt;&gt;""),E77,E78)</f>
        <v>0</v>
      </c>
      <c r="F79" s="25" t="n">
        <f aca="false">IF(AND(2025&gt;=2027,F77&lt;&gt;""),F77,F78)</f>
        <v>1.50812</v>
      </c>
      <c r="G79" s="25" t="n">
        <f aca="false">IF(AND(2026&gt;=2027,G77&lt;&gt;""),G77,G78)</f>
        <v>0.676</v>
      </c>
      <c r="H79" s="25" t="n">
        <f aca="false">IF(AND(2027&gt;=2027,H77&lt;&gt;""),H77,H78)</f>
        <v>0.615</v>
      </c>
      <c r="I79" s="25" t="n">
        <f aca="false">IF(AND(2028&gt;=2027,I77&lt;&gt;""),I77,I78)</f>
        <v>2.73641202658016</v>
      </c>
      <c r="J79" s="25" t="n">
        <f aca="false">IF(AND(2029&gt;=2027,J77&lt;&gt;""),J77,J78)</f>
        <v>3.01174825182942</v>
      </c>
      <c r="K79" s="25" t="n">
        <f aca="false">IF(AND(2030&gt;=2027,K77&lt;&gt;""),K77,K78)</f>
        <v>3.31292307701236</v>
      </c>
      <c r="L79" s="25" t="n">
        <f aca="false">IF(AND(2031&gt;=2027,L77&lt;&gt;""),L77,L78)</f>
        <v>3.6442153847136</v>
      </c>
      <c r="M79" s="25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1811</v>
      </c>
      <c r="B80" s="0" t="s">
        <v>1864</v>
      </c>
      <c r="C80" s="0" t="s">
        <v>82</v>
      </c>
      <c r="D80" s="25" t="n">
        <f aca="false">N(Players!D87)</f>
        <v>0</v>
      </c>
      <c r="E80" s="25" t="n">
        <f aca="false">IF(2024&gt;=2027,D80+E79,N(Players!E87))</f>
        <v>0.968475</v>
      </c>
      <c r="F80" s="25" t="n">
        <f aca="false">IF(2025&gt;=2027,E80+F79,N(Players!F87))</f>
        <v>2.476595</v>
      </c>
      <c r="G80" s="25" t="n">
        <f aca="false">IF(2026&gt;=2027,F80+G79,N(Players!G87))</f>
        <v>3.152595</v>
      </c>
      <c r="H80" s="25" t="n">
        <f aca="false">IF(2027&gt;=2027,G80+H79,N(Players!H87))</f>
        <v>3.767595</v>
      </c>
      <c r="I80" s="25" t="n">
        <f aca="false">IF(2028&gt;=2027,H80+I79,N(Players!I87))</f>
        <v>6.50400702658016</v>
      </c>
      <c r="J80" s="25" t="n">
        <f aca="false">IF(2029&gt;=2027,I80+J79,N(Players!J87))</f>
        <v>9.51575527840958</v>
      </c>
      <c r="K80" s="25" t="n">
        <f aca="false">IF(2030&gt;=2027,J80+K79,N(Players!K87))</f>
        <v>12.8286783554219</v>
      </c>
      <c r="L80" s="25" t="n">
        <f aca="false">IF(2031&gt;=2027,K80+L79,N(Players!L87))</f>
        <v>16.4728937401355</v>
      </c>
      <c r="M80" s="25" t="n">
        <f aca="false">IF(2032&gt;=2027,L80+M79,N(Players!M87))</f>
        <v>20.4815306633205</v>
      </c>
    </row>
    <row r="81" customFormat="false" ht="17.15" hidden="false" customHeight="false" outlineLevel="0" collapsed="false">
      <c r="A81" s="5" t="s">
        <v>1813</v>
      </c>
      <c r="B81" s="0" t="s">
        <v>1865</v>
      </c>
      <c r="C81" s="0" t="s">
        <v>82</v>
      </c>
      <c r="D81" s="25" t="str">
        <f aca="false">IF(D77="","",D77*ai_sh_lo/ai_sh)</f>
        <v/>
      </c>
      <c r="E81" s="25" t="str">
        <f aca="false">IF(E77="","",E77*ai_sh_lo/ai_sh)</f>
        <v/>
      </c>
      <c r="F81" s="25" t="str">
        <f aca="false">IF(F77="","",F77*ai_sh_lo/ai_sh)</f>
        <v/>
      </c>
      <c r="G81" s="25" t="str">
        <f aca="false">IF(G77="","",G77*ai_sh_lo/ai_sh)</f>
        <v/>
      </c>
      <c r="H81" s="25" t="str">
        <f aca="false">IF(H77="","",H77*ai_sh_lo/ai_sh)</f>
        <v/>
      </c>
      <c r="I81" s="25" t="n">
        <f aca="false">IF(I77="","",I77*ai_sh_lo/ai_sh)</f>
        <v>2.41448119992367</v>
      </c>
      <c r="J81" s="25" t="n">
        <f aca="false">IF(J77="","",J77*ai_sh_lo/ai_sh)</f>
        <v>2.65742492808478</v>
      </c>
      <c r="K81" s="25" t="n">
        <f aca="false">IF(K77="","",K77*ai_sh_lo/ai_sh)</f>
        <v>2.92316742089326</v>
      </c>
      <c r="L81" s="25" t="n">
        <f aca="false">IF(L77="","",L77*ai_sh_lo/ai_sh)</f>
        <v>3.21548416298259</v>
      </c>
      <c r="M81" s="25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1815</v>
      </c>
      <c r="B82" s="0" t="s">
        <v>1866</v>
      </c>
      <c r="C82" s="0" t="s">
        <v>82</v>
      </c>
      <c r="D82" s="25" t="str">
        <f aca="false">IF(D77="","",D77*ai_sh_hi/ai_sh)</f>
        <v/>
      </c>
      <c r="E82" s="25" t="str">
        <f aca="false">IF(E77="","",E77*ai_sh_hi/ai_sh)</f>
        <v/>
      </c>
      <c r="F82" s="25" t="str">
        <f aca="false">IF(F77="","",F77*ai_sh_hi/ai_sh)</f>
        <v/>
      </c>
      <c r="G82" s="25" t="str">
        <f aca="false">IF(G77="","",G77*ai_sh_hi/ai_sh)</f>
        <v/>
      </c>
      <c r="H82" s="25" t="str">
        <f aca="false">IF(H77="","",H77*ai_sh_hi/ai_sh)</f>
        <v/>
      </c>
      <c r="I82" s="25" t="n">
        <f aca="false">IF(I77="","",I77*ai_sh_hi/ai_sh)</f>
        <v>3.05834285323665</v>
      </c>
      <c r="J82" s="25" t="n">
        <f aca="false">IF(J77="","",J77*ai_sh_hi/ai_sh)</f>
        <v>3.36607157557406</v>
      </c>
      <c r="K82" s="25" t="n">
        <f aca="false">IF(K77="","",K77*ai_sh_hi/ai_sh)</f>
        <v>3.70267873313146</v>
      </c>
      <c r="L82" s="25" t="n">
        <f aca="false">IF(L77="","",L77*ai_sh_hi/ai_sh)</f>
        <v>4.07294660644461</v>
      </c>
      <c r="M82" s="25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1817</v>
      </c>
      <c r="B83" s="0" t="s">
        <v>1867</v>
      </c>
      <c r="C83" s="0" t="s">
        <v>82</v>
      </c>
      <c r="D83" s="25" t="str">
        <f aca="false">IF(OR(D73="",D73="",D73=""),"",(D74/(D74+D75)*D73+D75/(D74+D75)*(CapexGW!$D$5*D73+CapexGW!$E$5*D73+CapexGW!$F$5*D73))/(D74+D75))</f>
        <v/>
      </c>
      <c r="E83" s="25" t="str">
        <f aca="false">IF(OR(E73="",D73="",E73=""),"",(E74/(E74+E75)*E73+E75/(E74+E75)*(CapexGW!$D$5*E73+CapexGW!$E$5*D73+CapexGW!$F$5*E73))/(E74+E75))</f>
        <v/>
      </c>
      <c r="F83" s="25" t="str">
        <f aca="false">IF(OR(F73="",E73="",D73=""),"",(F74/(F74+F75)*F73+F75/(F74+F75)*(CapexGW!$D$5*F73+CapexGW!$E$5*E73+CapexGW!$F$5*D73))/(F74+F75))</f>
        <v/>
      </c>
      <c r="G83" s="25" t="str">
        <f aca="false">IF(OR(G73="",F73="",E73=""),"",(G74/(G74+G75)*G73+G75/(G74+G75)*(CapexGW!$D$5*G73+CapexGW!$E$5*F73+CapexGW!$F$5*E73))/(G74+G75))</f>
        <v/>
      </c>
      <c r="H83" s="25" t="str">
        <f aca="false">IF(OR(H73="",G73="",F73=""),"",(H74/(H74+H75)*H73+H75/(H74+H75)*(CapexGW!$D$5*H73+CapexGW!$E$5*G73+CapexGW!$F$5*F73))/(H74+H75))</f>
        <v/>
      </c>
      <c r="I83" s="25" t="n">
        <f aca="false">IF(OR(I73="",H73="",G73=""),"",(I74/(I74+I75)*I73+I75/(I74+I75)*(CapexGW!$D$5*I73+CapexGW!$E$5*H73+CapexGW!$F$5*G73))/(I74+I75))</f>
        <v>2.76426715148981</v>
      </c>
      <c r="J83" s="25" t="n">
        <f aca="false">IF(OR(J73="",I73="",H73=""),"",(J74/(J74+J75)*J73+J75/(J74+J75)*(CapexGW!$D$5*J73+CapexGW!$E$5*I73+CapexGW!$F$5*H73))/(J74+J75))</f>
        <v>3.04241143665279</v>
      </c>
      <c r="K83" s="25" t="n">
        <f aca="false">IF(OR(K73="",J73="",I73=""),"",(K74/(K74+K75)*K73+K75/(K74+K75)*(CapexGW!$D$5*K73+CapexGW!$E$5*J73+CapexGW!$F$5*I73))/(K74+K75))</f>
        <v>3.34665258031807</v>
      </c>
      <c r="L83" s="25" t="n">
        <f aca="false">IF(OR(L73="",K73="",J73=""),"",(L74/(L74+L75)*L73+L75/(L74+L75)*(CapexGW!$D$5*L73+CapexGW!$E$5*K73+CapexGW!$F$5*J73))/(L74+L75))</f>
        <v>3.68131783834987</v>
      </c>
      <c r="M83" s="25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1819</v>
      </c>
      <c r="B84" s="0" t="s">
        <v>1868</v>
      </c>
      <c r="C84" s="0" t="s">
        <v>82</v>
      </c>
      <c r="D84" s="25" t="str">
        <f aca="false">IF(OR(D73="",D73="",D73=""),"",(D74/(D74+D75)*D73+D75/(D74+D75)*(CapexGW!$D$6*D73+CapexGW!$E$6*D73+CapexGW!$F$6*D73))/(D74+D75))</f>
        <v/>
      </c>
      <c r="E84" s="25" t="str">
        <f aca="false">IF(OR(E73="",D73="",E73=""),"",(E74/(E74+E75)*E73+E75/(E74+E75)*(CapexGW!$D$6*E73+CapexGW!$E$6*D73+CapexGW!$F$6*E73))/(E74+E75))</f>
        <v/>
      </c>
      <c r="F84" s="25" t="str">
        <f aca="false">IF(OR(F73="",E73="",D73=""),"",(F74/(F74+F75)*F73+F75/(F74+F75)*(CapexGW!$D$6*F73+CapexGW!$E$6*E73+CapexGW!$F$6*D73))/(F74+F75))</f>
        <v/>
      </c>
      <c r="G84" s="25" t="str">
        <f aca="false">IF(OR(G73="",F73="",E73=""),"",(G74/(G74+G75)*G73+G75/(G74+G75)*(CapexGW!$D$6*G73+CapexGW!$E$6*F73+CapexGW!$F$6*E73))/(G74+G75))</f>
        <v/>
      </c>
      <c r="H84" s="25" t="str">
        <f aca="false">IF(OR(H73="",G73="",F73=""),"",(H74/(H74+H75)*H73+H75/(H74+H75)*(CapexGW!$D$6*H73+CapexGW!$E$6*G73+CapexGW!$F$6*F73))/(H74+H75))</f>
        <v/>
      </c>
      <c r="I84" s="25" t="n">
        <f aca="false">IF(OR(I73="",H73="",G73=""),"",(I74/(I74+I75)*I73+I75/(I74+I75)*(CapexGW!$D$6*I73+CapexGW!$E$6*H73+CapexGW!$F$6*G73))/(I74+I75))</f>
        <v>2.70855690167051</v>
      </c>
      <c r="J84" s="25" t="n">
        <f aca="false">IF(OR(J73="",I73="",H73=""),"",(J74/(J74+J75)*J73+J75/(J74+J75)*(CapexGW!$D$6*J73+CapexGW!$E$6*I73+CapexGW!$F$6*H73))/(J74+J75))</f>
        <v>2.98108506700605</v>
      </c>
      <c r="K84" s="25" t="n">
        <f aca="false">IF(OR(K73="",J73="",I73=""),"",(K74/(K74+K75)*K73+K75/(K74+K75)*(CapexGW!$D$6*K73+CapexGW!$E$6*J73+CapexGW!$F$6*I73))/(K74+K75))</f>
        <v>3.27919357370666</v>
      </c>
      <c r="L84" s="25" t="n">
        <f aca="false">IF(OR(L73="",K73="",J73=""),"",(L74/(L74+L75)*L73+L75/(L74+L75)*(CapexGW!$D$6*L73+CapexGW!$E$6*K73+CapexGW!$F$6*J73))/(L74+L75))</f>
        <v>3.60711293107732</v>
      </c>
      <c r="M84" s="25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1448</v>
      </c>
      <c r="B86" s="21" t="s">
        <v>752</v>
      </c>
      <c r="N86" s="21" t="s">
        <v>1869</v>
      </c>
    </row>
    <row r="87" customFormat="false" ht="17.15" hidden="false" customHeight="false" outlineLevel="0" collapsed="false">
      <c r="A87" s="5" t="s">
        <v>1789</v>
      </c>
      <c r="B87" s="0" t="s">
        <v>1450</v>
      </c>
      <c r="C87" s="0" t="s">
        <v>395</v>
      </c>
      <c r="D87" s="20" t="str">
        <f aca="false">IF(In!H128="","",In!H128)</f>
        <v/>
      </c>
      <c r="E87" s="20" t="str">
        <f aca="false">IF(In!I128="","",In!I128)</f>
        <v/>
      </c>
      <c r="F87" s="31" t="n">
        <f aca="false">IF(In!J128="","",In!J128)</f>
        <v>21.215</v>
      </c>
      <c r="G87" s="31" t="n">
        <f aca="false">IF(In!K128="","",In!K128)</f>
        <v>55.663</v>
      </c>
      <c r="H87" s="31" t="n">
        <f aca="false">IF(In!L128="","",In!L128)</f>
        <v>92.5</v>
      </c>
      <c r="I87" s="31" t="n">
        <f aca="false">IF(In!M128="","",In!M128)</f>
        <v>100.962</v>
      </c>
      <c r="J87" s="31" t="n">
        <f aca="false">IF(In!N128="","",In!N128)</f>
        <v>84.848</v>
      </c>
      <c r="K87" s="20" t="str">
        <f aca="false">IF(In!O128="","",In!O128)</f>
        <v/>
      </c>
      <c r="L87" s="20" t="str">
        <f aca="false">IF(In!P128="","",In!P128)</f>
        <v/>
      </c>
      <c r="M87" s="20" t="str">
        <f aca="false">IF(In!Q128="","",In!Q128)</f>
        <v/>
      </c>
    </row>
    <row r="88" customFormat="false" ht="15" hidden="false" customHeight="false" outlineLevel="0" collapsed="false">
      <c r="A88" s="5" t="s">
        <v>1790</v>
      </c>
      <c r="B88" s="0" t="s">
        <v>1870</v>
      </c>
      <c r="C88" s="0" t="s">
        <v>40</v>
      </c>
      <c r="D88" s="27" t="n">
        <f aca="false">(D87&lt;&gt;"")</f>
        <v>0</v>
      </c>
      <c r="E88" s="27" t="n">
        <f aca="false">(E87&lt;&gt;"")+D88</f>
        <v>0</v>
      </c>
      <c r="F88" s="27" t="n">
        <f aca="false">(F87&lt;&gt;"")+E88</f>
        <v>1</v>
      </c>
      <c r="G88" s="27" t="n">
        <f aca="false">(G87&lt;&gt;"")+F88</f>
        <v>2</v>
      </c>
      <c r="H88" s="27" t="n">
        <f aca="false">(H87&lt;&gt;"")+G88</f>
        <v>3</v>
      </c>
      <c r="I88" s="27" t="n">
        <f aca="false">(I87&lt;&gt;"")+H88</f>
        <v>4</v>
      </c>
      <c r="J88" s="27" t="n">
        <f aca="false">(J87&lt;&gt;"")+I88</f>
        <v>5</v>
      </c>
      <c r="K88" s="27" t="n">
        <f aca="false">(K87&lt;&gt;"")+J88</f>
        <v>5</v>
      </c>
      <c r="L88" s="27" t="n">
        <f aca="false">(L87&lt;&gt;"")+K88</f>
        <v>5</v>
      </c>
      <c r="M88" s="27" t="n">
        <f aca="false">(M87&lt;&gt;"")+L88</f>
        <v>5</v>
      </c>
    </row>
    <row r="89" customFormat="false" ht="15" hidden="false" customHeight="false" outlineLevel="0" collapsed="false">
      <c r="A89" s="5" t="s">
        <v>1792</v>
      </c>
      <c r="B89" s="0" t="s">
        <v>1455</v>
      </c>
      <c r="C89" s="0" t="s">
        <v>395</v>
      </c>
      <c r="D89" s="32" t="n">
        <f aca="false">IF(D87&lt;&gt;"",D87,E89)</f>
        <v>21.215</v>
      </c>
      <c r="E89" s="32" t="n">
        <f aca="false">IF(E87&lt;&gt;"",E87,F89)</f>
        <v>21.215</v>
      </c>
      <c r="F89" s="32" t="n">
        <f aca="false">IF(F87&lt;&gt;"",F87,G89)</f>
        <v>21.215</v>
      </c>
      <c r="G89" s="32" t="n">
        <f aca="false">IF(G87&lt;&gt;"",G87,H89)</f>
        <v>55.663</v>
      </c>
      <c r="H89" s="32" t="n">
        <f aca="false">IF(H87&lt;&gt;"",H87,I89)</f>
        <v>92.5</v>
      </c>
      <c r="I89" s="32" t="n">
        <f aca="false">IF(I87&lt;&gt;"",I87,J89)</f>
        <v>100.962</v>
      </c>
      <c r="J89" s="32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1793</v>
      </c>
      <c r="B90" s="0" t="s">
        <v>1871</v>
      </c>
      <c r="C90" s="0" t="s">
        <v>395</v>
      </c>
      <c r="D90" s="33" t="str">
        <f aca="false">IF(D87&lt;&gt;"",D87,IF(0&gt;0,""*(1+cap_g_ext),""))</f>
        <v/>
      </c>
      <c r="E90" s="33" t="str">
        <f aca="false">IF(E87&lt;&gt;"",E87,IF(D88&gt;0,D90*(1+cap_g_ext),""))</f>
        <v/>
      </c>
      <c r="F90" s="33" t="n">
        <f aca="false">IF(F87&lt;&gt;"",F87,IF(E88&gt;0,E90*(1+cap_g_ext),""))</f>
        <v>21.215</v>
      </c>
      <c r="G90" s="33" t="n">
        <f aca="false">IF(G87&lt;&gt;"",G87,IF(F88&gt;0,F90*(1+cap_g_ext),""))</f>
        <v>55.663</v>
      </c>
      <c r="H90" s="33" t="n">
        <f aca="false">IF(H87&lt;&gt;"",H87,IF(G88&gt;0,G90*(1+cap_g_ext),""))</f>
        <v>92.5</v>
      </c>
      <c r="I90" s="33" t="n">
        <f aca="false">IF(I87&lt;&gt;"",I87,IF(H88&gt;0,H90*(1+cap_g_ext),""))</f>
        <v>100.962</v>
      </c>
      <c r="J90" s="33" t="n">
        <f aca="false">IF(J87&lt;&gt;"",J87,IF(I88&gt;0,I90*(1+cap_g_ext),""))</f>
        <v>84.848</v>
      </c>
      <c r="K90" s="33" t="n">
        <f aca="false">IF(K87&lt;&gt;"",K87,IF(J88&gt;0,J90*(1+cap_g_ext),""))</f>
        <v>93.3328</v>
      </c>
      <c r="L90" s="33" t="n">
        <f aca="false">IF(L87&lt;&gt;"",L87,IF(K88&gt;0,K90*(1+cap_g_ext),""))</f>
        <v>102.66608</v>
      </c>
      <c r="M90" s="33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1795</v>
      </c>
      <c r="B91" s="0" t="s">
        <v>1872</v>
      </c>
      <c r="C91" s="0" t="s">
        <v>395</v>
      </c>
      <c r="D91" s="33" t="str">
        <f aca="false">IF(OR(D90="",AND(fye_orcl&lt;12,E90="")),"",D90*fye_orcl/12+IF(fye_orcl&lt;12,E90,0)*(12-fye_orcl)/12)</f>
        <v/>
      </c>
      <c r="E91" s="33" t="str">
        <f aca="false">IF(OR(E90="",AND(fye_orcl&lt;12,F90="")),"",E90*fye_orcl/12+IF(fye_orcl&lt;12,F90,0)*(12-fye_orcl)/12)</f>
        <v/>
      </c>
      <c r="F91" s="33" t="n">
        <f aca="false">IF(OR(F90="",AND(fye_orcl&lt;12,G90="")),"",F90*fye_orcl/12+IF(fye_orcl&lt;12,G90,0)*(12-fye_orcl)/12)</f>
        <v>41.3096666666667</v>
      </c>
      <c r="G91" s="33" t="n">
        <f aca="false">IF(OR(G90="",AND(fye_orcl&lt;12,H90="")),"",G90*fye_orcl/12+IF(fye_orcl&lt;12,H90,0)*(12-fye_orcl)/12)</f>
        <v>77.15125</v>
      </c>
      <c r="H91" s="33" t="n">
        <f aca="false">IF(OR(H90="",AND(fye_orcl&lt;12,I90="")),"",H90*fye_orcl/12+IF(fye_orcl&lt;12,I90,0)*(12-fye_orcl)/12)</f>
        <v>97.4361666666667</v>
      </c>
      <c r="I91" s="33" t="n">
        <f aca="false">IF(OR(I90="",AND(fye_orcl&lt;12,J90="")),"",I90*fye_orcl/12+IF(fye_orcl&lt;12,J90,0)*(12-fye_orcl)/12)</f>
        <v>91.5621666666667</v>
      </c>
      <c r="J91" s="33" t="n">
        <f aca="false">IF(OR(J90="",AND(fye_orcl&lt;12,K90="")),"",J90*fye_orcl/12+IF(fye_orcl&lt;12,K90,0)*(12-fye_orcl)/12)</f>
        <v>89.7974666666667</v>
      </c>
      <c r="K91" s="33" t="n">
        <f aca="false">IF(OR(K90="",AND(fye_orcl&lt;12,L90="")),"",K90*fye_orcl/12+IF(fye_orcl&lt;12,L90,0)*(12-fye_orcl)/12)</f>
        <v>98.7772133333334</v>
      </c>
      <c r="L91" s="33" t="n">
        <f aca="false">IF(OR(L90="",AND(fye_orcl&lt;12,M90="")),"",L90*fye_orcl/12+IF(fye_orcl&lt;12,M90,0)*(12-fye_orcl)/12)</f>
        <v>108.654934666667</v>
      </c>
      <c r="M91" s="33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1797</v>
      </c>
      <c r="B92" s="0" t="s">
        <v>1873</v>
      </c>
      <c r="C92" s="0" t="s">
        <v>395</v>
      </c>
      <c r="D92" s="33" t="str">
        <f aca="false">IF(D91="","",D91*ai_sh)</f>
        <v/>
      </c>
      <c r="E92" s="33" t="str">
        <f aca="false">IF(E91="","",E91*ai_sh)</f>
        <v/>
      </c>
      <c r="F92" s="33" t="n">
        <f aca="false">IF(F91="","",F91*ai_sh)</f>
        <v>35.1132166666667</v>
      </c>
      <c r="G92" s="33" t="n">
        <f aca="false">IF(G91="","",G91*ai_sh)</f>
        <v>65.5785625</v>
      </c>
      <c r="H92" s="33" t="n">
        <f aca="false">IF(H91="","",H91*ai_sh)</f>
        <v>82.8207416666667</v>
      </c>
      <c r="I92" s="33" t="n">
        <f aca="false">IF(I91="","",I91*ai_sh)</f>
        <v>77.8278416666667</v>
      </c>
      <c r="J92" s="33" t="n">
        <f aca="false">IF(J91="","",J91*ai_sh)</f>
        <v>76.3278466666667</v>
      </c>
      <c r="K92" s="33" t="n">
        <f aca="false">IF(K91="","",K91*ai_sh)</f>
        <v>83.9606313333333</v>
      </c>
      <c r="L92" s="33" t="n">
        <f aca="false">IF(L91="","",L91*ai_sh)</f>
        <v>92.3566944666667</v>
      </c>
      <c r="M92" s="33" t="n">
        <f aca="false">IF(M91="","",M91*ai_sh)</f>
        <v>101.592363913333</v>
      </c>
    </row>
    <row r="93" customFormat="false" ht="17.15" hidden="false" customHeight="false" outlineLevel="0" collapsed="false">
      <c r="A93" s="5" t="s">
        <v>1799</v>
      </c>
      <c r="B93" s="0" t="s">
        <v>1874</v>
      </c>
      <c r="C93" s="0" t="s">
        <v>395</v>
      </c>
      <c r="D93" s="30" t="n">
        <f aca="false">(1-Players!D114)*D$7+Players!D114*TK_NonNV_Hold_AMD*TK_CapexIT_VR200</f>
        <v>28.5674343946187</v>
      </c>
      <c r="E93" s="30" t="n">
        <f aca="false">(1-Players!E114)*E$7+Players!E114*TK_NonNV_Hold_AMD*TK_CapexIT_VR200</f>
        <v>28.5674343946187</v>
      </c>
      <c r="F93" s="30" t="n">
        <f aca="false">(1-Players!F114)*F$7+Players!F114*TK_NonNV_Hold_AMD*TK_CapexIT_VR200</f>
        <v>27.423891719914</v>
      </c>
      <c r="G93" s="30" t="n">
        <f aca="false">(1-Players!G114)*G$7+Players!G114*TK_NonNV_Hold_AMD*TK_CapexIT_VR200</f>
        <v>33.0649036341473</v>
      </c>
      <c r="H93" s="30" t="n">
        <f aca="false">(1-Players!H114)*H$7+Players!H114*TK_NonNV_Hold_AMD*TK_CapexIT_VR200</f>
        <v>36.5947249242921</v>
      </c>
      <c r="I93" s="30" t="n">
        <f aca="false">(1-Players!I114)*I$7+Players!I114*TK_NonNV_Hold_AMD*TK_CapexIT_VR200</f>
        <v>38.802433936281</v>
      </c>
      <c r="J93" s="30" t="n">
        <f aca="false">(1-Players!J114)*J$7+Players!J114*TK_NonNV_Hold_AMD*TK_CapexIT_VR200</f>
        <v>38.7783529603329</v>
      </c>
      <c r="K93" s="30" t="n">
        <f aca="false">(1-Players!K114)*K$7+Players!K114*TK_NonNV_Hold_AMD*TK_CapexIT_VR200</f>
        <v>38.7783529603329</v>
      </c>
      <c r="L93" s="30" t="n">
        <f aca="false">(1-Players!L114)*L$7+Players!L114*TK_NonNV_Hold_AMD*TK_CapexIT_VR200</f>
        <v>38.7783529603329</v>
      </c>
      <c r="M93" s="30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1801</v>
      </c>
      <c r="B94" s="0" t="s">
        <v>1875</v>
      </c>
      <c r="C94" s="0" t="s">
        <v>395</v>
      </c>
      <c r="D94" s="30" t="n">
        <f aca="false">(1-Players!D114)*D$8+Players!D114*TK_NonNV_Hold_AMD*TK_CapexFacility_VR200</f>
        <v>12.2172817673375</v>
      </c>
      <c r="E94" s="30" t="n">
        <f aca="false">(1-Players!E114)*E$8+Players!E114*TK_NonNV_Hold_AMD*TK_CapexFacility_VR200</f>
        <v>12.2172817673375</v>
      </c>
      <c r="F94" s="30" t="n">
        <f aca="false">(1-Players!F114)*F$8+Players!F114*TK_NonNV_Hold_AMD*TK_CapexFacility_VR200</f>
        <v>12.2172817673375</v>
      </c>
      <c r="G94" s="30" t="n">
        <f aca="false">(1-Players!G114)*G$8+Players!G114*TK_NonNV_Hold_AMD*TK_CapexFacility_VR200</f>
        <v>12.2172817673375</v>
      </c>
      <c r="H94" s="30" t="n">
        <f aca="false">(1-Players!H114)*H$8+Players!H114*TK_NonNV_Hold_AMD*TK_CapexFacility_VR200</f>
        <v>12.1509699108826</v>
      </c>
      <c r="I94" s="30" t="n">
        <f aca="false">(1-Players!I114)*I$8+Players!I114*TK_NonNV_Hold_AMD*TK_CapexFacility_VR200</f>
        <v>12.157584536667</v>
      </c>
      <c r="J94" s="30" t="n">
        <f aca="false">(1-Players!J114)*J$8+Players!J114*TK_NonNV_Hold_AMD*TK_CapexFacility_VR200</f>
        <v>12.1527076383687</v>
      </c>
      <c r="K94" s="30" t="n">
        <f aca="false">(1-Players!K114)*K$8+Players!K114*TK_NonNV_Hold_AMD*TK_CapexFacility_VR200</f>
        <v>12.1527076383687</v>
      </c>
      <c r="L94" s="30" t="n">
        <f aca="false">(1-Players!L114)*L$8+Players!L114*TK_NonNV_Hold_AMD*TK_CapexFacility_VR200</f>
        <v>12.1527076383687</v>
      </c>
      <c r="M94" s="30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1803</v>
      </c>
      <c r="B95" s="0" t="s">
        <v>1876</v>
      </c>
      <c r="C95" s="0" t="s">
        <v>395</v>
      </c>
      <c r="D95" s="33" t="str">
        <f aca="false">IF(OR(D92="",D92="",D92=""),"",D93/(D93+D94)*D92+D94/(D93+D94)*(CapexGW!$D$4*D92+CapexGW!$E$4*D92+CapexGW!$F$4*D92))</f>
        <v/>
      </c>
      <c r="E95" s="33" t="str">
        <f aca="false">IF(OR(E92="",D92="",E92=""),"",E93/(E93+E94)*E92+E94/(E93+E94)*(CapexGW!$D$4*E92+CapexGW!$E$4*D92+CapexGW!$F$4*E92))</f>
        <v/>
      </c>
      <c r="F95" s="33" t="str">
        <f aca="false">IF(OR(F92="",E92="",D92=""),"",F93/(F93+F94)*F92+F94/(F93+F94)*(CapexGW!$D$4*F92+CapexGW!$E$4*E92+CapexGW!$F$4*D92))</f>
        <v/>
      </c>
      <c r="G95" s="33" t="str">
        <f aca="false">IF(OR(G92="",F92="",E92=""),"",G93/(G93+G94)*G92+G94/(G93+G94)*(CapexGW!$D$4*G92+CapexGW!$E$4*F92+CapexGW!$F$4*E92))</f>
        <v/>
      </c>
      <c r="H95" s="33" t="n">
        <f aca="false">IF(OR(H92="",G92="",F92=""),"",H93/(H93+H94)*H92+H94/(H93+H94)*(CapexGW!$D$4*H92+CapexGW!$E$4*G92+CapexGW!$F$4*F92))</f>
        <v>74.7256483079768</v>
      </c>
      <c r="I95" s="33" t="n">
        <f aca="false">IF(OR(I92="",H92="",G92=""),"",I93/(I93+I94)*I92+I94/(I93+I94)*(CapexGW!$D$4*I92+CapexGW!$E$4*H92+CapexGW!$F$4*G92))</f>
        <v>76.9622607093551</v>
      </c>
      <c r="J95" s="33" t="n">
        <f aca="false">IF(OR(J92="",I92="",H92=""),"",J93/(J93+J94)*J92+J94/(J93+J94)*(CapexGW!$D$4*J92+CapexGW!$E$4*I92+CapexGW!$F$4*H92))</f>
        <v>77.2814421172012</v>
      </c>
      <c r="K95" s="33" t="n">
        <f aca="false">IF(OR(K92="",J92="",I92=""),"",K93/(K93+K94)*K92+K94/(K93+K94)*(CapexGW!$D$4*K92+CapexGW!$E$4*J92+CapexGW!$F$4*I92))</f>
        <v>82.3183230996079</v>
      </c>
      <c r="L95" s="33" t="n">
        <f aca="false">IF(OR(L92="",K92="",J92=""),"",L93/(L93+L94)*L92+L94/(L93+L94)*(CapexGW!$D$4*L92+CapexGW!$E$4*K92+CapexGW!$F$4*J92))</f>
        <v>89.4426691334345</v>
      </c>
      <c r="M95" s="33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1805</v>
      </c>
      <c r="B96" s="0" t="s">
        <v>1877</v>
      </c>
      <c r="C96" s="0" t="s">
        <v>82</v>
      </c>
      <c r="D96" s="26" t="str">
        <f aca="false">IF(D95="","",D95/(D93+D94))</f>
        <v/>
      </c>
      <c r="E96" s="26" t="str">
        <f aca="false">IF(E95="","",E95/(E93+E94))</f>
        <v/>
      </c>
      <c r="F96" s="26" t="str">
        <f aca="false">IF(F95="","",F95/(F93+F94))</f>
        <v/>
      </c>
      <c r="G96" s="26" t="str">
        <f aca="false">IF(G95="","",G95/(G93+G94))</f>
        <v/>
      </c>
      <c r="H96" s="26" t="n">
        <f aca="false">IF(H95="","",H95/(H93+H94))</f>
        <v>1.53296918960021</v>
      </c>
      <c r="I96" s="26" t="n">
        <f aca="false">IF(I95="","",I95/(I93+I94))</f>
        <v>1.51024789659781</v>
      </c>
      <c r="J96" s="26" t="n">
        <f aca="false">IF(J95="","",J95/(J93+J94))</f>
        <v>1.51737350859666</v>
      </c>
      <c r="K96" s="26" t="n">
        <f aca="false">IF(K95="","",K95/(K93+K94))</f>
        <v>1.61626956383678</v>
      </c>
      <c r="L96" s="26" t="n">
        <f aca="false">IF(L95="","",L95/(L93+L94))</f>
        <v>1.75615170942886</v>
      </c>
      <c r="M96" s="26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1807</v>
      </c>
      <c r="B97" s="0" t="s">
        <v>1878</v>
      </c>
      <c r="C97" s="0" t="s">
        <v>82</v>
      </c>
      <c r="D97" s="20" t="n">
        <f aca="false">Players!D112</f>
        <v>0</v>
      </c>
      <c r="E97" s="28" t="n">
        <f aca="false">Players!E112</f>
        <v>0</v>
      </c>
      <c r="F97" s="28" t="n">
        <f aca="false">Players!F112</f>
        <v>0.816405</v>
      </c>
      <c r="G97" s="28" t="n">
        <f aca="false">Players!G112</f>
        <v>1.54613</v>
      </c>
      <c r="H97" s="28" t="n">
        <f aca="false">Players!H112</f>
        <v>0.944166666666667</v>
      </c>
      <c r="I97" s="28" t="n">
        <f aca="false">Players!I112</f>
        <v>4.91166666666667</v>
      </c>
      <c r="J97" s="28" t="n">
        <f aca="false">Players!J112</f>
        <v>0</v>
      </c>
      <c r="K97" s="28" t="n">
        <f aca="false">Players!K112</f>
        <v>0</v>
      </c>
      <c r="L97" s="28" t="n">
        <f aca="false">Players!L112</f>
        <v>0</v>
      </c>
      <c r="M97" s="28" t="n">
        <f aca="false">Players!M112</f>
        <v>0</v>
      </c>
    </row>
    <row r="98" customFormat="false" ht="17.15" hidden="false" customHeight="false" outlineLevel="0" collapsed="false">
      <c r="A98" s="5" t="s">
        <v>1809</v>
      </c>
      <c r="B98" s="0" t="s">
        <v>1879</v>
      </c>
      <c r="C98" s="0" t="s">
        <v>82</v>
      </c>
      <c r="D98" s="25" t="n">
        <f aca="false">IF(AND(2023&gt;=2027,D96&lt;&gt;""),D96,D97)</f>
        <v>0</v>
      </c>
      <c r="E98" s="25" t="n">
        <f aca="false">IF(AND(2024&gt;=2027,E96&lt;&gt;""),E96,E97)</f>
        <v>0</v>
      </c>
      <c r="F98" s="25" t="n">
        <f aca="false">IF(AND(2025&gt;=2027,F96&lt;&gt;""),F96,F97)</f>
        <v>0.816405</v>
      </c>
      <c r="G98" s="25" t="n">
        <f aca="false">IF(AND(2026&gt;=2027,G96&lt;&gt;""),G96,G97)</f>
        <v>1.54613</v>
      </c>
      <c r="H98" s="25" t="n">
        <f aca="false">IF(AND(2027&gt;=2027,H96&lt;&gt;""),H96,H97)</f>
        <v>1.53296918960021</v>
      </c>
      <c r="I98" s="25" t="n">
        <f aca="false">IF(AND(2028&gt;=2027,I96&lt;&gt;""),I96,I97)</f>
        <v>1.51024789659781</v>
      </c>
      <c r="J98" s="25" t="n">
        <f aca="false">IF(AND(2029&gt;=2027,J96&lt;&gt;""),J96,J97)</f>
        <v>1.51737350859666</v>
      </c>
      <c r="K98" s="25" t="n">
        <f aca="false">IF(AND(2030&gt;=2027,K96&lt;&gt;""),K96,K97)</f>
        <v>1.61626956383678</v>
      </c>
      <c r="L98" s="25" t="n">
        <f aca="false">IF(AND(2031&gt;=2027,L96&lt;&gt;""),L96,L97)</f>
        <v>1.75615170942886</v>
      </c>
      <c r="M98" s="25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1811</v>
      </c>
      <c r="B99" s="0" t="s">
        <v>1880</v>
      </c>
      <c r="C99" s="0" t="s">
        <v>82</v>
      </c>
      <c r="D99" s="25" t="n">
        <f aca="false">N(Players!D106)</f>
        <v>0</v>
      </c>
      <c r="E99" s="25" t="n">
        <f aca="false">IF(2024&gt;=2027,D99+E98,N(Players!E106))</f>
        <v>0.386465</v>
      </c>
      <c r="F99" s="25" t="n">
        <f aca="false">IF(2025&gt;=2027,E99+F98,N(Players!F106))</f>
        <v>1.20287</v>
      </c>
      <c r="G99" s="25" t="n">
        <f aca="false">IF(2026&gt;=2027,F99+G98,N(Players!G106))</f>
        <v>2.749</v>
      </c>
      <c r="H99" s="25" t="n">
        <f aca="false">IF(2027&gt;=2027,G99+H98,N(Players!H106))</f>
        <v>4.28196918960021</v>
      </c>
      <c r="I99" s="25" t="n">
        <f aca="false">IF(2028&gt;=2027,H99+I98,N(Players!I106))</f>
        <v>5.79221708619802</v>
      </c>
      <c r="J99" s="25" t="n">
        <f aca="false">IF(2029&gt;=2027,I99+J98,N(Players!J106))</f>
        <v>7.30959059479468</v>
      </c>
      <c r="K99" s="25" t="n">
        <f aca="false">IF(2030&gt;=2027,J99+K98,N(Players!K106))</f>
        <v>8.92586015863146</v>
      </c>
      <c r="L99" s="25" t="n">
        <f aca="false">IF(2031&gt;=2027,K99+L98,N(Players!L106))</f>
        <v>10.6820118680603</v>
      </c>
      <c r="M99" s="25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1813</v>
      </c>
      <c r="B100" s="0" t="s">
        <v>1881</v>
      </c>
      <c r="C100" s="0" t="s">
        <v>82</v>
      </c>
      <c r="D100" s="25" t="str">
        <f aca="false">IF(D96="","",D96*ai_sh_lo/ai_sh)</f>
        <v/>
      </c>
      <c r="E100" s="25" t="str">
        <f aca="false">IF(E96="","",E96*ai_sh_lo/ai_sh)</f>
        <v/>
      </c>
      <c r="F100" s="25" t="str">
        <f aca="false">IF(F96="","",F96*ai_sh_lo/ai_sh)</f>
        <v/>
      </c>
      <c r="G100" s="25" t="str">
        <f aca="false">IF(G96="","",G96*ai_sh_lo/ai_sh)</f>
        <v/>
      </c>
      <c r="H100" s="25" t="n">
        <f aca="false">IF(H96="","",H96*ai_sh_lo/ai_sh)</f>
        <v>1.35261987317666</v>
      </c>
      <c r="I100" s="25" t="n">
        <f aca="false">IF(I96="","",I96*ai_sh_lo/ai_sh)</f>
        <v>1.33257167346866</v>
      </c>
      <c r="J100" s="25" t="n">
        <f aca="false">IF(J96="","",J96*ai_sh_lo/ai_sh)</f>
        <v>1.33885897817353</v>
      </c>
      <c r="K100" s="25" t="n">
        <f aca="false">IF(K96="","",K96*ai_sh_lo/ai_sh)</f>
        <v>1.42612020338539</v>
      </c>
      <c r="L100" s="25" t="n">
        <f aca="false">IF(L96="","",L96*ai_sh_lo/ai_sh)</f>
        <v>1.54954562596664</v>
      </c>
      <c r="M100" s="25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1815</v>
      </c>
      <c r="B101" s="0" t="s">
        <v>1882</v>
      </c>
      <c r="C101" s="0" t="s">
        <v>82</v>
      </c>
      <c r="D101" s="25" t="str">
        <f aca="false">IF(D96="","",D96*ai_sh_hi/ai_sh)</f>
        <v/>
      </c>
      <c r="E101" s="25" t="str">
        <f aca="false">IF(E96="","",E96*ai_sh_hi/ai_sh)</f>
        <v/>
      </c>
      <c r="F101" s="25" t="str">
        <f aca="false">IF(F96="","",F96*ai_sh_hi/ai_sh)</f>
        <v/>
      </c>
      <c r="G101" s="25" t="str">
        <f aca="false">IF(G96="","",G96*ai_sh_hi/ai_sh)</f>
        <v/>
      </c>
      <c r="H101" s="25" t="n">
        <f aca="false">IF(H96="","",H96*ai_sh_hi/ai_sh)</f>
        <v>1.71331850602376</v>
      </c>
      <c r="I101" s="25" t="n">
        <f aca="false">IF(I96="","",I96*ai_sh_hi/ai_sh)</f>
        <v>1.68792411972696</v>
      </c>
      <c r="J101" s="25" t="n">
        <f aca="false">IF(J96="","",J96*ai_sh_hi/ai_sh)</f>
        <v>1.6958880390198</v>
      </c>
      <c r="K101" s="25" t="n">
        <f aca="false">IF(K96="","",K96*ai_sh_hi/ai_sh)</f>
        <v>1.80641892428816</v>
      </c>
      <c r="L101" s="25" t="n">
        <f aca="false">IF(L96="","",L96*ai_sh_hi/ai_sh)</f>
        <v>1.96275779289107</v>
      </c>
      <c r="M101" s="25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1817</v>
      </c>
      <c r="B102" s="0" t="s">
        <v>1883</v>
      </c>
      <c r="C102" s="0" t="s">
        <v>82</v>
      </c>
      <c r="D102" s="25" t="str">
        <f aca="false">IF(OR(D92="",D92="",D92=""),"",(D93/(D93+D94)*D92+D94/(D93+D94)*(CapexGW!$D$5*D92+CapexGW!$E$5*D92+CapexGW!$F$5*D92))/(D93+D94))</f>
        <v/>
      </c>
      <c r="E102" s="25" t="str">
        <f aca="false">IF(OR(E92="",D92="",E92=""),"",(E93/(E93+E94)*E92+E94/(E93+E94)*(CapexGW!$D$5*E92+CapexGW!$E$5*D92+CapexGW!$F$5*E92))/(E93+E94))</f>
        <v/>
      </c>
      <c r="F102" s="25" t="str">
        <f aca="false">IF(OR(F92="",E92="",D92=""),"",(F93/(F93+F94)*F92+F94/(F93+F94)*(CapexGW!$D$5*F92+CapexGW!$E$5*E92+CapexGW!$F$5*D92))/(F93+F94))</f>
        <v/>
      </c>
      <c r="G102" s="25" t="str">
        <f aca="false">IF(OR(G92="",F92="",E92=""),"",(G93/(G93+G94)*G92+G94/(G93+G94)*(CapexGW!$D$5*G92+CapexGW!$E$5*F92+CapexGW!$F$5*E92))/(G93+G94))</f>
        <v/>
      </c>
      <c r="H102" s="25" t="n">
        <f aca="false">IF(OR(H92="",G92="",F92=""),"",(H93/(H93+H94)*H92+H94/(H93+H94)*(CapexGW!$D$5*H92+CapexGW!$E$5*G92+CapexGW!$F$5*F92))/(H93+H94))</f>
        <v>1.61086507742391</v>
      </c>
      <c r="I102" s="25" t="n">
        <f aca="false">IF(OR(I92="",H92="",G92=""),"",(I93/(I93+I94)*I92+I94/(I93+I94)*(CapexGW!$D$5*I92+CapexGW!$E$5*H92+CapexGW!$F$5*G92))/(I93+I94))</f>
        <v>1.5506078171358</v>
      </c>
      <c r="J102" s="25" t="n">
        <f aca="false">IF(OR(J92="",I92="",H92=""),"",(J93/(J93+J94)*J92+J94/(J93+J94)*(CapexGW!$D$5*J92+CapexGW!$E$5*I92+CapexGW!$F$5*H92))/(J93+J94))</f>
        <v>1.50567769381404</v>
      </c>
      <c r="K102" s="25" t="n">
        <f aca="false">IF(OR(K92="",J92="",I92=""),"",(K93/(K93+K94)*K92+K94/(K93+K94)*(CapexGW!$D$5*K92+CapexGW!$E$5*J92+CapexGW!$F$5*I92))/(K93+K94))</f>
        <v>1.61275584161224</v>
      </c>
      <c r="L102" s="25" t="n">
        <f aca="false">IF(OR(L92="",K92="",J92=""),"",(L93/(L93+L94)*L92+L94/(L93+L94)*(CapexGW!$D$5*L92+CapexGW!$E$5*K92+CapexGW!$F$5*J92))/(L93+L94))</f>
        <v>1.77403142577347</v>
      </c>
      <c r="M102" s="25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1819</v>
      </c>
      <c r="B103" s="0" t="s">
        <v>1884</v>
      </c>
      <c r="C103" s="0" t="s">
        <v>82</v>
      </c>
      <c r="D103" s="25" t="str">
        <f aca="false">IF(OR(D92="",D92="",D92=""),"",(D93/(D93+D94)*D92+D94/(D93+D94)*(CapexGW!$D$6*D92+CapexGW!$E$6*D92+CapexGW!$F$6*D92))/(D93+D94))</f>
        <v/>
      </c>
      <c r="E103" s="25" t="str">
        <f aca="false">IF(OR(E92="",D92="",E92=""),"",(E93/(E93+E94)*E92+E94/(E93+E94)*(CapexGW!$D$6*E92+CapexGW!$E$6*D92+CapexGW!$F$6*E92))/(E93+E94))</f>
        <v/>
      </c>
      <c r="F103" s="25" t="str">
        <f aca="false">IF(OR(F92="",E92="",D92=""),"",(F93/(F93+F94)*F92+F94/(F93+F94)*(CapexGW!$D$6*F92+CapexGW!$E$6*E92+CapexGW!$F$6*D92))/(F93+F94))</f>
        <v/>
      </c>
      <c r="G103" s="25" t="str">
        <f aca="false">IF(OR(G92="",F92="",E92=""),"",(G93/(G93+G94)*G92+G94/(G93+G94)*(CapexGW!$D$6*G92+CapexGW!$E$6*F92+CapexGW!$F$6*E92))/(G93+G94))</f>
        <v/>
      </c>
      <c r="H103" s="25" t="n">
        <f aca="false">IF(OR(H92="",G92="",F92=""),"",(H93/(H93+H94)*H92+H94/(H93+H94)*(CapexGW!$D$6*H92+CapexGW!$E$6*G92+CapexGW!$F$6*F92))/(H93+H94))</f>
        <v>1.45507330177651</v>
      </c>
      <c r="I103" s="25" t="n">
        <f aca="false">IF(OR(I92="",H92="",G92=""),"",(I93/(I93+I94)*I92+I94/(I93+I94)*(CapexGW!$D$6*I92+CapexGW!$E$6*H92+CapexGW!$F$6*G92))/(I93+I94))</f>
        <v>1.46988797605982</v>
      </c>
      <c r="J103" s="25" t="n">
        <f aca="false">IF(OR(J92="",I92="",H92=""),"",(J93/(J93+J94)*J92+J94/(J93+J94)*(CapexGW!$D$6*J92+CapexGW!$E$6*I92+CapexGW!$F$6*H92))/(J93+J94))</f>
        <v>1.52906932337929</v>
      </c>
      <c r="K103" s="25" t="n">
        <f aca="false">IF(OR(K92="",J92="",I92=""),"",(K93/(K93+K94)*K92+K94/(K93+K94)*(CapexGW!$D$6*K92+CapexGW!$E$6*J92+CapexGW!$F$6*I92))/(K93+K94))</f>
        <v>1.61978328606131</v>
      </c>
      <c r="L103" s="25" t="n">
        <f aca="false">IF(OR(L92="",K92="",J92=""),"",(L93/(L93+L94)*L92+L94/(L93+L94)*(CapexGW!$D$6*L92+CapexGW!$E$6*K92+CapexGW!$F$6*J92))/(L93+L94))</f>
        <v>1.73827199308424</v>
      </c>
      <c r="M103" s="25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1467</v>
      </c>
      <c r="B105" s="21" t="s">
        <v>842</v>
      </c>
      <c r="N105" s="21" t="s">
        <v>1885</v>
      </c>
    </row>
    <row r="106" customFormat="false" ht="17.15" hidden="false" customHeight="false" outlineLevel="0" collapsed="false">
      <c r="A106" s="5" t="s">
        <v>1789</v>
      </c>
      <c r="B106" s="0" t="s">
        <v>1469</v>
      </c>
      <c r="C106" s="0" t="s">
        <v>395</v>
      </c>
      <c r="D106" s="20" t="str">
        <f aca="false">IF(In!H129="","",In!H129)</f>
        <v/>
      </c>
      <c r="E106" s="20" t="str">
        <f aca="false">IF(In!I129="","",In!I129)</f>
        <v/>
      </c>
      <c r="F106" s="20" t="str">
        <f aca="false">IF(In!J129="","",In!J129)</f>
        <v/>
      </c>
      <c r="G106" s="31" t="n">
        <f aca="false">IF(In!K129="","",In!K129)</f>
        <v>37</v>
      </c>
      <c r="H106" s="31" t="n">
        <f aca="false">IF(In!L129="","",In!L129)</f>
        <v>46.476</v>
      </c>
      <c r="I106" s="31" t="n">
        <f aca="false">IF(In!M129="","",In!M129)</f>
        <v>50.129</v>
      </c>
      <c r="J106" s="20" t="str">
        <f aca="false">IF(In!N129="","",In!N129)</f>
        <v/>
      </c>
      <c r="K106" s="20" t="str">
        <f aca="false">IF(In!O129="","",In!O129)</f>
        <v/>
      </c>
      <c r="L106" s="20" t="str">
        <f aca="false">IF(In!P129="","",In!P129)</f>
        <v/>
      </c>
      <c r="M106" s="20" t="str">
        <f aca="false">IF(In!Q129="","",In!Q129)</f>
        <v/>
      </c>
    </row>
    <row r="107" customFormat="false" ht="15" hidden="false" customHeight="false" outlineLevel="0" collapsed="false">
      <c r="A107" s="5" t="s">
        <v>1790</v>
      </c>
      <c r="B107" s="0" t="s">
        <v>1886</v>
      </c>
      <c r="C107" s="0" t="s">
        <v>40</v>
      </c>
      <c r="D107" s="27" t="n">
        <f aca="false">(D106&lt;&gt;"")</f>
        <v>0</v>
      </c>
      <c r="E107" s="27" t="n">
        <f aca="false">(E106&lt;&gt;"")+D107</f>
        <v>0</v>
      </c>
      <c r="F107" s="27" t="n">
        <f aca="false">(F106&lt;&gt;"")+E107</f>
        <v>0</v>
      </c>
      <c r="G107" s="27" t="n">
        <f aca="false">(G106&lt;&gt;"")+F107</f>
        <v>1</v>
      </c>
      <c r="H107" s="27" t="n">
        <f aca="false">(H106&lt;&gt;"")+G107</f>
        <v>2</v>
      </c>
      <c r="I107" s="27" t="n">
        <f aca="false">(I106&lt;&gt;"")+H107</f>
        <v>3</v>
      </c>
      <c r="J107" s="27" t="n">
        <f aca="false">(J106&lt;&gt;"")+I107</f>
        <v>3</v>
      </c>
      <c r="K107" s="27" t="n">
        <f aca="false">(K106&lt;&gt;"")+J107</f>
        <v>3</v>
      </c>
      <c r="L107" s="27" t="n">
        <f aca="false">(L106&lt;&gt;"")+K107</f>
        <v>3</v>
      </c>
      <c r="M107" s="27" t="n">
        <f aca="false">(M106&lt;&gt;"")+L107</f>
        <v>3</v>
      </c>
    </row>
    <row r="108" customFormat="false" ht="15" hidden="false" customHeight="false" outlineLevel="0" collapsed="false">
      <c r="A108" s="5" t="s">
        <v>1792</v>
      </c>
      <c r="B108" s="0" t="s">
        <v>1474</v>
      </c>
      <c r="C108" s="0" t="s">
        <v>395</v>
      </c>
      <c r="D108" s="32" t="n">
        <f aca="false">IF(D106&lt;&gt;"",D106,E108)</f>
        <v>37</v>
      </c>
      <c r="E108" s="32" t="n">
        <f aca="false">IF(E106&lt;&gt;"",E106,F108)</f>
        <v>37</v>
      </c>
      <c r="F108" s="32" t="n">
        <f aca="false">IF(F106&lt;&gt;"",F106,G108)</f>
        <v>37</v>
      </c>
      <c r="G108" s="32" t="n">
        <f aca="false">IF(G106&lt;&gt;"",G106,H108)</f>
        <v>37</v>
      </c>
      <c r="H108" s="32" t="n">
        <f aca="false">IF(H106&lt;&gt;"",H106,I108)</f>
        <v>46.476</v>
      </c>
      <c r="I108" s="32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1793</v>
      </c>
      <c r="B109" s="0" t="s">
        <v>1887</v>
      </c>
      <c r="C109" s="0" t="s">
        <v>395</v>
      </c>
      <c r="D109" s="33" t="str">
        <f aca="false">IF(D106&lt;&gt;"",D106,IF(0&gt;0,""*(1+cap_g_ext),""))</f>
        <v/>
      </c>
      <c r="E109" s="33" t="str">
        <f aca="false">IF(E106&lt;&gt;"",E106,IF(D107&gt;0,D109*(1+cap_g_ext),""))</f>
        <v/>
      </c>
      <c r="F109" s="33" t="str">
        <f aca="false">IF(F106&lt;&gt;"",F106,IF(E107&gt;0,E109*(1+cap_g_ext),""))</f>
        <v/>
      </c>
      <c r="G109" s="33" t="n">
        <f aca="false">IF(G106&lt;&gt;"",G106,IF(F107&gt;0,F109*(1+cap_g_ext),""))</f>
        <v>37</v>
      </c>
      <c r="H109" s="33" t="n">
        <f aca="false">IF(H106&lt;&gt;"",H106,IF(G107&gt;0,G109*(1+cap_g_ext),""))</f>
        <v>46.476</v>
      </c>
      <c r="I109" s="33" t="n">
        <f aca="false">IF(I106&lt;&gt;"",I106,IF(H107&gt;0,H109*(1+cap_g_ext),""))</f>
        <v>50.129</v>
      </c>
      <c r="J109" s="33" t="n">
        <f aca="false">IF(J106&lt;&gt;"",J106,IF(I107&gt;0,I109*(1+cap_g_ext),""))</f>
        <v>55.1419</v>
      </c>
      <c r="K109" s="33" t="n">
        <f aca="false">IF(K106&lt;&gt;"",K106,IF(J107&gt;0,J109*(1+cap_g_ext),""))</f>
        <v>60.65609</v>
      </c>
      <c r="L109" s="33" t="n">
        <f aca="false">IF(L106&lt;&gt;"",L106,IF(K107&gt;0,K109*(1+cap_g_ext),""))</f>
        <v>66.721699</v>
      </c>
      <c r="M109" s="33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1795</v>
      </c>
      <c r="B110" s="0" t="s">
        <v>1888</v>
      </c>
      <c r="C110" s="0" t="s">
        <v>395</v>
      </c>
      <c r="D110" s="33" t="str">
        <f aca="false">IF(OR(D109="",AND(fye_crwv&lt;12,E109="")),"",D109*fye_crwv/12+IF(fye_crwv&lt;12,E109,0)*(12-fye_crwv)/12)</f>
        <v/>
      </c>
      <c r="E110" s="33" t="str">
        <f aca="false">IF(OR(E109="",AND(fye_crwv&lt;12,F109="")),"",E109*fye_crwv/12+IF(fye_crwv&lt;12,F109,0)*(12-fye_crwv)/12)</f>
        <v/>
      </c>
      <c r="F110" s="33" t="str">
        <f aca="false">IF(OR(F109="",AND(fye_crwv&lt;12,G109="")),"",F109*fye_crwv/12+IF(fye_crwv&lt;12,G109,0)*(12-fye_crwv)/12)</f>
        <v/>
      </c>
      <c r="G110" s="33" t="n">
        <f aca="false">IF(OR(G109="",AND(fye_crwv&lt;12,H109="")),"",G109*fye_crwv/12+IF(fye_crwv&lt;12,H109,0)*(12-fye_crwv)/12)</f>
        <v>37</v>
      </c>
      <c r="H110" s="33" t="n">
        <f aca="false">IF(OR(H109="",AND(fye_crwv&lt;12,I109="")),"",H109*fye_crwv/12+IF(fye_crwv&lt;12,I109,0)*(12-fye_crwv)/12)</f>
        <v>46.476</v>
      </c>
      <c r="I110" s="33" t="n">
        <f aca="false">IF(OR(I109="",AND(fye_crwv&lt;12,J109="")),"",I109*fye_crwv/12+IF(fye_crwv&lt;12,J109,0)*(12-fye_crwv)/12)</f>
        <v>50.129</v>
      </c>
      <c r="J110" s="33" t="n">
        <f aca="false">IF(OR(J109="",AND(fye_crwv&lt;12,K109="")),"",J109*fye_crwv/12+IF(fye_crwv&lt;12,K109,0)*(12-fye_crwv)/12)</f>
        <v>55.1419</v>
      </c>
      <c r="K110" s="33" t="n">
        <f aca="false">IF(OR(K109="",AND(fye_crwv&lt;12,L109="")),"",K109*fye_crwv/12+IF(fye_crwv&lt;12,L109,0)*(12-fye_crwv)/12)</f>
        <v>60.65609</v>
      </c>
      <c r="L110" s="33" t="n">
        <f aca="false">IF(OR(L109="",AND(fye_crwv&lt;12,M109="")),"",L109*fye_crwv/12+IF(fye_crwv&lt;12,M109,0)*(12-fye_crwv)/12)</f>
        <v>66.721699</v>
      </c>
      <c r="M110" s="33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1797</v>
      </c>
      <c r="B111" s="0" t="s">
        <v>1889</v>
      </c>
      <c r="C111" s="0" t="s">
        <v>395</v>
      </c>
      <c r="D111" s="33" t="str">
        <f aca="false">IF(D110="","",D110*ai_sh)</f>
        <v/>
      </c>
      <c r="E111" s="33" t="str">
        <f aca="false">IF(E110="","",E110*ai_sh)</f>
        <v/>
      </c>
      <c r="F111" s="33" t="str">
        <f aca="false">IF(F110="","",F110*ai_sh)</f>
        <v/>
      </c>
      <c r="G111" s="33" t="n">
        <f aca="false">IF(G110="","",G110*ai_sh)</f>
        <v>31.45</v>
      </c>
      <c r="H111" s="33" t="n">
        <f aca="false">IF(H110="","",H110*ai_sh)</f>
        <v>39.5046</v>
      </c>
      <c r="I111" s="33" t="n">
        <f aca="false">IF(I110="","",I110*ai_sh)</f>
        <v>42.60965</v>
      </c>
      <c r="J111" s="33" t="n">
        <f aca="false">IF(J110="","",J110*ai_sh)</f>
        <v>46.870615</v>
      </c>
      <c r="K111" s="33" t="n">
        <f aca="false">IF(K110="","",K110*ai_sh)</f>
        <v>51.5576765</v>
      </c>
      <c r="L111" s="33" t="n">
        <f aca="false">IF(L110="","",L110*ai_sh)</f>
        <v>56.71344415</v>
      </c>
      <c r="M111" s="33" t="n">
        <f aca="false">IF(M110="","",M110*ai_sh)</f>
        <v>62.384788565</v>
      </c>
    </row>
    <row r="112" customFormat="false" ht="17.15" hidden="false" customHeight="false" outlineLevel="0" collapsed="false">
      <c r="A112" s="5" t="s">
        <v>1799</v>
      </c>
      <c r="B112" s="0" t="s">
        <v>1890</v>
      </c>
      <c r="C112" s="0" t="s">
        <v>395</v>
      </c>
      <c r="D112" s="30" t="n">
        <f aca="false">(1-Players!D133)*D$7+Players!D133*TK_NonNV_Hold_AMD*TK_CapexIT_VR200</f>
        <v>27.510214</v>
      </c>
      <c r="E112" s="30" t="n">
        <f aca="false">(1-Players!E133)*E$7+Players!E133*TK_NonNV_Hold_AMD*TK_CapexIT_VR200</f>
        <v>27.510214</v>
      </c>
      <c r="F112" s="30" t="n">
        <f aca="false">(1-Players!F133)*F$7+Players!F133*TK_NonNV_Hold_AMD*TK_CapexIT_VR200</f>
        <v>26.009088</v>
      </c>
      <c r="G112" s="30" t="n">
        <f aca="false">(1-Players!G133)*G$7+Players!G133*TK_NonNV_Hold_AMD*TK_CapexIT_VR200</f>
        <v>33.41403216</v>
      </c>
      <c r="H112" s="30" t="n">
        <f aca="false">(1-Players!H133)*H$7+Players!H133*TK_NonNV_Hold_AMD*TK_CapexIT_VR200</f>
        <v>38.3403893327246</v>
      </c>
      <c r="I112" s="30" t="n">
        <f aca="false">(1-Players!I133)*I$7+Players!I133*TK_NonNV_Hold_AMD*TK_CapexIT_VR200</f>
        <v>41.3326208898258</v>
      </c>
      <c r="J112" s="30" t="n">
        <f aca="false">(1-Players!J133)*J$7+Players!J133*TK_NonNV_Hold_AMD*TK_CapexIT_VR200</f>
        <v>41.3326208898258</v>
      </c>
      <c r="K112" s="30" t="n">
        <f aca="false">(1-Players!K133)*K$7+Players!K133*TK_NonNV_Hold_AMD*TK_CapexIT_VR200</f>
        <v>41.3326208898258</v>
      </c>
      <c r="L112" s="30" t="n">
        <f aca="false">(1-Players!L133)*L$7+Players!L133*TK_NonNV_Hold_AMD*TK_CapexIT_VR200</f>
        <v>41.3326208898258</v>
      </c>
      <c r="M112" s="30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1801</v>
      </c>
      <c r="B113" s="0" t="s">
        <v>1891</v>
      </c>
      <c r="C113" s="0" t="s">
        <v>395</v>
      </c>
      <c r="D113" s="30" t="n">
        <f aca="false">(1-Players!D133)*D$8+Players!D133*TK_NonNV_Hold_AMD*TK_CapexFacility_VR200</f>
        <v>12.67</v>
      </c>
      <c r="E113" s="30" t="n">
        <f aca="false">(1-Players!E133)*E$8+Players!E133*TK_NonNV_Hold_AMD*TK_CapexFacility_VR200</f>
        <v>12.67</v>
      </c>
      <c r="F113" s="30" t="n">
        <f aca="false">(1-Players!F133)*F$8+Players!F133*TK_NonNV_Hold_AMD*TK_CapexFacility_VR200</f>
        <v>12.67</v>
      </c>
      <c r="G113" s="30" t="n">
        <f aca="false">(1-Players!G133)*G$8+Players!G133*TK_NonNV_Hold_AMD*TK_CapexFacility_VR200</f>
        <v>12.67</v>
      </c>
      <c r="H113" s="30" t="n">
        <f aca="false">(1-Players!H133)*H$8+Players!H133*TK_NonNV_Hold_AMD*TK_CapexFacility_VR200</f>
        <v>12.67</v>
      </c>
      <c r="I113" s="30" t="n">
        <f aca="false">(1-Players!I133)*I$8+Players!I133*TK_NonNV_Hold_AMD*TK_CapexFacility_VR200</f>
        <v>12.67</v>
      </c>
      <c r="J113" s="30" t="n">
        <f aca="false">(1-Players!J133)*J$8+Players!J133*TK_NonNV_Hold_AMD*TK_CapexFacility_VR200</f>
        <v>12.67</v>
      </c>
      <c r="K113" s="30" t="n">
        <f aca="false">(1-Players!K133)*K$8+Players!K133*TK_NonNV_Hold_AMD*TK_CapexFacility_VR200</f>
        <v>12.67</v>
      </c>
      <c r="L113" s="30" t="n">
        <f aca="false">(1-Players!L133)*L$8+Players!L133*TK_NonNV_Hold_AMD*TK_CapexFacility_VR200</f>
        <v>12.67</v>
      </c>
      <c r="M113" s="30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1803</v>
      </c>
      <c r="B114" s="0" t="s">
        <v>1892</v>
      </c>
      <c r="C114" s="0" t="s">
        <v>395</v>
      </c>
      <c r="D114" s="33" t="str">
        <f aca="false">IF(OR(D111="",D111="",D111=""),"",D112/(D112+D113)*D111+D113/(D112+D113)*(CapexGW!$D$4*D111+CapexGW!$E$4*D111+CapexGW!$F$4*D111))</f>
        <v/>
      </c>
      <c r="E114" s="33" t="str">
        <f aca="false">IF(OR(E111="",D111="",E111=""),"",E112/(E112+E113)*E111+E113/(E112+E113)*(CapexGW!$D$4*E111+CapexGW!$E$4*D111+CapexGW!$F$4*E111))</f>
        <v/>
      </c>
      <c r="F114" s="33" t="str">
        <f aca="false">IF(OR(F111="",E111="",D111=""),"",F112/(F112+F113)*F111+F113/(F112+F113)*(CapexGW!$D$4*F111+CapexGW!$E$4*E111+CapexGW!$F$4*D111))</f>
        <v/>
      </c>
      <c r="G114" s="33" t="str">
        <f aca="false">IF(OR(G111="",F111="",E111=""),"",G112/(G112+G113)*G111+G113/(G112+G113)*(CapexGW!$D$4*G111+CapexGW!$E$4*F111+CapexGW!$F$4*E111))</f>
        <v/>
      </c>
      <c r="H114" s="33" t="str">
        <f aca="false">IF(OR(H111="",G111="",F111=""),"",H112/(H112+H113)*H111+H113/(H112+H113)*(CapexGW!$D$4*H111+CapexGW!$E$4*G111+CapexGW!$F$4*F111))</f>
        <v/>
      </c>
      <c r="I114" s="33" t="n">
        <f aca="false">IF(OR(I111="",H111="",G111=""),"",I112/(I112+I113)*I111+I113/(I112+I113)*(CapexGW!$D$4*I111+CapexGW!$E$4*H111+CapexGW!$F$4*G111))</f>
        <v>40.9362705785759</v>
      </c>
      <c r="J114" s="33" t="n">
        <f aca="false">IF(OR(J111="",I111="",H111=""),"",J112/(J112+J113)*J111+J113/(J112+J113)*(CapexGW!$D$4*J111+CapexGW!$E$4*I111+CapexGW!$F$4*H111))</f>
        <v>45.5066641937924</v>
      </c>
      <c r="K114" s="33" t="n">
        <f aca="false">IF(OR(K111="",J111="",I111=""),"",K112/(K112+K113)*K111+K113/(K112+K113)*(CapexGW!$D$4*K111+CapexGW!$E$4*J111+CapexGW!$F$4*I111))</f>
        <v>49.9581563090036</v>
      </c>
      <c r="L114" s="33" t="n">
        <f aca="false">IF(OR(L111="",K111="",J111=""),"",L112/(L112+L113)*L111+L113/(L112+L113)*(CapexGW!$D$4*L111+CapexGW!$E$4*K111+CapexGW!$F$4*J111))</f>
        <v>54.953971939904</v>
      </c>
      <c r="M114" s="33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1805</v>
      </c>
      <c r="B115" s="0" t="s">
        <v>1893</v>
      </c>
      <c r="C115" s="0" t="s">
        <v>82</v>
      </c>
      <c r="D115" s="26" t="str">
        <f aca="false">IF(D114="","",D114/(D112+D113))</f>
        <v/>
      </c>
      <c r="E115" s="26" t="str">
        <f aca="false">IF(E114="","",E114/(E112+E113))</f>
        <v/>
      </c>
      <c r="F115" s="26" t="str">
        <f aca="false">IF(F114="","",F114/(F112+F113))</f>
        <v/>
      </c>
      <c r="G115" s="26" t="str">
        <f aca="false">IF(G114="","",G114/(G112+G113))</f>
        <v/>
      </c>
      <c r="H115" s="26" t="str">
        <f aca="false">IF(H114="","",H114/(H112+H113))</f>
        <v/>
      </c>
      <c r="I115" s="26" t="n">
        <f aca="false">IF(I114="","",I114/(I112+I113))</f>
        <v>0.758042293208187</v>
      </c>
      <c r="J115" s="26" t="n">
        <f aca="false">IF(J114="","",J114/(J112+J113))</f>
        <v>0.842675104355277</v>
      </c>
      <c r="K115" s="26" t="n">
        <f aca="false">IF(K114="","",K114/(K112+K113))</f>
        <v>0.925106142735673</v>
      </c>
      <c r="L115" s="26" t="n">
        <f aca="false">IF(L114="","",L114/(L112+L113))</f>
        <v>1.01761675700924</v>
      </c>
      <c r="M115" s="26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1807</v>
      </c>
      <c r="B116" s="0" t="s">
        <v>1894</v>
      </c>
      <c r="C116" s="0" t="s">
        <v>82</v>
      </c>
      <c r="D116" s="20" t="n">
        <f aca="false">Players!D131</f>
        <v>0</v>
      </c>
      <c r="E116" s="28" t="n">
        <f aca="false">Players!E131</f>
        <v>0.29</v>
      </c>
      <c r="F116" s="28" t="n">
        <f aca="false">Players!F131</f>
        <v>0.49</v>
      </c>
      <c r="G116" s="28" t="n">
        <f aca="false">Players!G131</f>
        <v>1</v>
      </c>
      <c r="H116" s="28" t="n">
        <f aca="false">Players!H131</f>
        <v>1.5375</v>
      </c>
      <c r="I116" s="28" t="n">
        <f aca="false">Players!I131</f>
        <v>1.5375</v>
      </c>
      <c r="J116" s="28" t="n">
        <f aca="false">Players!J131</f>
        <v>1.5375</v>
      </c>
      <c r="K116" s="28" t="n">
        <f aca="false">Players!K131</f>
        <v>1.5375</v>
      </c>
      <c r="L116" s="28" t="n">
        <f aca="false">Players!L131</f>
        <v>0</v>
      </c>
      <c r="M116" s="28" t="n">
        <f aca="false">Players!M131</f>
        <v>0</v>
      </c>
    </row>
    <row r="117" customFormat="false" ht="17.15" hidden="false" customHeight="false" outlineLevel="0" collapsed="false">
      <c r="A117" s="5" t="s">
        <v>1809</v>
      </c>
      <c r="B117" s="0" t="s">
        <v>1895</v>
      </c>
      <c r="C117" s="0" t="s">
        <v>82</v>
      </c>
      <c r="D117" s="25" t="n">
        <f aca="false">IF(AND(2023&gt;=2027,D115&lt;&gt;""),D115,D116)</f>
        <v>0</v>
      </c>
      <c r="E117" s="25" t="n">
        <f aca="false">IF(AND(2024&gt;=2027,E115&lt;&gt;""),E115,E116)</f>
        <v>0.29</v>
      </c>
      <c r="F117" s="25" t="n">
        <f aca="false">IF(AND(2025&gt;=2027,F115&lt;&gt;""),F115,F116)</f>
        <v>0.49</v>
      </c>
      <c r="G117" s="25" t="n">
        <f aca="false">IF(AND(2026&gt;=2027,G115&lt;&gt;""),G115,G116)</f>
        <v>1</v>
      </c>
      <c r="H117" s="25" t="n">
        <f aca="false">IF(AND(2027&gt;=2027,H115&lt;&gt;""),H115,H116)</f>
        <v>1.5375</v>
      </c>
      <c r="I117" s="25" t="n">
        <f aca="false">IF(AND(2028&gt;=2027,I115&lt;&gt;""),I115,I116)</f>
        <v>0.758042293208187</v>
      </c>
      <c r="J117" s="25" t="n">
        <f aca="false">IF(AND(2029&gt;=2027,J115&lt;&gt;""),J115,J116)</f>
        <v>0.842675104355277</v>
      </c>
      <c r="K117" s="25" t="n">
        <f aca="false">IF(AND(2030&gt;=2027,K115&lt;&gt;""),K115,K116)</f>
        <v>0.925106142735673</v>
      </c>
      <c r="L117" s="25" t="n">
        <f aca="false">IF(AND(2031&gt;=2027,L115&lt;&gt;""),L115,L116)</f>
        <v>1.01761675700924</v>
      </c>
      <c r="M117" s="25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1811</v>
      </c>
      <c r="B118" s="0" t="s">
        <v>1896</v>
      </c>
      <c r="C118" s="0" t="s">
        <v>82</v>
      </c>
      <c r="D118" s="25" t="n">
        <f aca="false">N(Players!D125)</f>
        <v>0.07</v>
      </c>
      <c r="E118" s="25" t="n">
        <f aca="false">IF(2024&gt;=2027,D118+E117,N(Players!E125))</f>
        <v>0.36</v>
      </c>
      <c r="F118" s="25" t="n">
        <f aca="false">IF(2025&gt;=2027,E118+F117,N(Players!F125))</f>
        <v>0.85</v>
      </c>
      <c r="G118" s="25" t="n">
        <f aca="false">IF(2026&gt;=2027,F118+G117,N(Players!G125))</f>
        <v>1.85</v>
      </c>
      <c r="H118" s="25" t="n">
        <f aca="false">IF(2027&gt;=2027,G118+H117,N(Players!H125))</f>
        <v>3.3875</v>
      </c>
      <c r="I118" s="25" t="n">
        <f aca="false">IF(2028&gt;=2027,H118+I117,N(Players!I125))</f>
        <v>4.14554229320819</v>
      </c>
      <c r="J118" s="25" t="n">
        <f aca="false">IF(2029&gt;=2027,I118+J117,N(Players!J125))</f>
        <v>4.98821739756346</v>
      </c>
      <c r="K118" s="25" t="n">
        <f aca="false">IF(2030&gt;=2027,J118+K117,N(Players!K125))</f>
        <v>5.91332354029914</v>
      </c>
      <c r="L118" s="25" t="n">
        <f aca="false">IF(2031&gt;=2027,K118+L117,N(Players!L125))</f>
        <v>6.93094029730838</v>
      </c>
      <c r="M118" s="25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1813</v>
      </c>
      <c r="B119" s="0" t="s">
        <v>1897</v>
      </c>
      <c r="C119" s="0" t="s">
        <v>82</v>
      </c>
      <c r="D119" s="25" t="str">
        <f aca="false">IF(D115="","",D115*ai_sh_lo/ai_sh)</f>
        <v/>
      </c>
      <c r="E119" s="25" t="str">
        <f aca="false">IF(E115="","",E115*ai_sh_lo/ai_sh)</f>
        <v/>
      </c>
      <c r="F119" s="25" t="str">
        <f aca="false">IF(F115="","",F115*ai_sh_lo/ai_sh)</f>
        <v/>
      </c>
      <c r="G119" s="25" t="str">
        <f aca="false">IF(G115="","",G115*ai_sh_lo/ai_sh)</f>
        <v/>
      </c>
      <c r="H119" s="25" t="str">
        <f aca="false">IF(H115="","",H115*ai_sh_lo/ai_sh)</f>
        <v/>
      </c>
      <c r="I119" s="25" t="n">
        <f aca="false">IF(I115="","",I115*ai_sh_lo/ai_sh)</f>
        <v>0.668860846948401</v>
      </c>
      <c r="J119" s="25" t="n">
        <f aca="false">IF(J115="","",J115*ai_sh_lo/ai_sh)</f>
        <v>0.743536856784068</v>
      </c>
      <c r="K119" s="25" t="n">
        <f aca="false">IF(K115="","",K115*ai_sh_lo/ai_sh)</f>
        <v>0.816270125943241</v>
      </c>
      <c r="L119" s="25" t="n">
        <f aca="false">IF(L115="","",L115*ai_sh_lo/ai_sh)</f>
        <v>0.897897138537565</v>
      </c>
      <c r="M119" s="25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1815</v>
      </c>
      <c r="B120" s="0" t="s">
        <v>1898</v>
      </c>
      <c r="C120" s="0" t="s">
        <v>82</v>
      </c>
      <c r="D120" s="25" t="str">
        <f aca="false">IF(D115="","",D115*ai_sh_hi/ai_sh)</f>
        <v/>
      </c>
      <c r="E120" s="25" t="str">
        <f aca="false">IF(E115="","",E115*ai_sh_hi/ai_sh)</f>
        <v/>
      </c>
      <c r="F120" s="25" t="str">
        <f aca="false">IF(F115="","",F115*ai_sh_hi/ai_sh)</f>
        <v/>
      </c>
      <c r="G120" s="25" t="str">
        <f aca="false">IF(G115="","",G115*ai_sh_hi/ai_sh)</f>
        <v/>
      </c>
      <c r="H120" s="25" t="str">
        <f aca="false">IF(H115="","",H115*ai_sh_hi/ai_sh)</f>
        <v/>
      </c>
      <c r="I120" s="25" t="n">
        <f aca="false">IF(I115="","",I115*ai_sh_hi/ai_sh)</f>
        <v>0.847223739467974</v>
      </c>
      <c r="J120" s="25" t="n">
        <f aca="false">IF(J115="","",J115*ai_sh_hi/ai_sh)</f>
        <v>0.941813351926486</v>
      </c>
      <c r="K120" s="25" t="n">
        <f aca="false">IF(K115="","",K115*ai_sh_hi/ai_sh)</f>
        <v>1.0339421595281</v>
      </c>
      <c r="L120" s="25" t="n">
        <f aca="false">IF(L115="","",L115*ai_sh_hi/ai_sh)</f>
        <v>1.13733637548092</v>
      </c>
      <c r="M120" s="25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1817</v>
      </c>
      <c r="B121" s="0" t="s">
        <v>1899</v>
      </c>
      <c r="C121" s="0" t="s">
        <v>82</v>
      </c>
      <c r="D121" s="25" t="str">
        <f aca="false">IF(OR(D111="",D111="",D111=""),"",(D112/(D112+D113)*D111+D113/(D112+D113)*(CapexGW!$D$5*D111+CapexGW!$E$5*D111+CapexGW!$F$5*D111))/(D112+D113))</f>
        <v/>
      </c>
      <c r="E121" s="25" t="str">
        <f aca="false">IF(OR(E111="",D111="",E111=""),"",(E112/(E112+E113)*E111+E113/(E112+E113)*(CapexGW!$D$5*E111+CapexGW!$E$5*D111+CapexGW!$F$5*E111))/(E112+E113))</f>
        <v/>
      </c>
      <c r="F121" s="25" t="str">
        <f aca="false">IF(OR(F111="",E111="",D111=""),"",(F112/(F112+F113)*F111+F113/(F112+F113)*(CapexGW!$D$5*F111+CapexGW!$E$5*E111+CapexGW!$F$5*D111))/(F112+F113))</f>
        <v/>
      </c>
      <c r="G121" s="25" t="str">
        <f aca="false">IF(OR(G111="",F111="",E111=""),"",(G112/(G112+G113)*G111+G113/(G112+G113)*(CapexGW!$D$5*G111+CapexGW!$E$5*F111+CapexGW!$F$5*E111))/(G112+G113))</f>
        <v/>
      </c>
      <c r="H121" s="25" t="str">
        <f aca="false">IF(OR(H111="",G111="",F111=""),"",(H112/(H112+H113)*H111+H113/(H112+H113)*(CapexGW!$D$5*H111+CapexGW!$E$5*G111+CapexGW!$F$5*F111))/(H112+H113))</f>
        <v/>
      </c>
      <c r="I121" s="25" t="n">
        <f aca="false">IF(OR(I111="",H111="",G111=""),"",(I112/(I112+I113)*I111+I113/(I112+I113)*(CapexGW!$D$5*I111+CapexGW!$E$5*H111+CapexGW!$F$5*G111))/(I112+I113))</f>
        <v>0.775539185621652</v>
      </c>
      <c r="J121" s="25" t="n">
        <f aca="false">IF(OR(J111="",I111="",H111=""),"",(J112/(J112+J113)*J111+J113/(J112+J113)*(CapexGW!$D$5*J111+CapexGW!$E$5*I111+CapexGW!$F$5*H111))/(J112+J113))</f>
        <v>0.849420160073553</v>
      </c>
      <c r="K121" s="25" t="n">
        <f aca="false">IF(OR(K111="",J111="",I111=""),"",(K112/(K112+K113)*K111+K113/(K112+K113)*(CapexGW!$D$5*K111+CapexGW!$E$5*J111+CapexGW!$F$5*I111))/(K112+K113))</f>
        <v>0.934362176080909</v>
      </c>
      <c r="L121" s="25" t="n">
        <f aca="false">IF(OR(L111="",K111="",J111=""),"",(L112/(L112+L113)*L111+L113/(L112+L113)*(CapexGW!$D$5*L111+CapexGW!$E$5*K111+CapexGW!$F$5*J111))/(L112+L113))</f>
        <v>1.027798393689</v>
      </c>
      <c r="M121" s="25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1819</v>
      </c>
      <c r="B122" s="0" t="s">
        <v>1900</v>
      </c>
      <c r="C122" s="0" t="s">
        <v>82</v>
      </c>
      <c r="D122" s="25" t="str">
        <f aca="false">IF(OR(D111="",D111="",D111=""),"",(D112/(D112+D113)*D111+D113/(D112+D113)*(CapexGW!$D$6*D111+CapexGW!$E$6*D111+CapexGW!$F$6*D111))/(D112+D113))</f>
        <v/>
      </c>
      <c r="E122" s="25" t="str">
        <f aca="false">IF(OR(E111="",D111="",E111=""),"",(E112/(E112+E113)*E111+E113/(E112+E113)*(CapexGW!$D$6*E111+CapexGW!$E$6*D111+CapexGW!$F$6*E111))/(E112+E113))</f>
        <v/>
      </c>
      <c r="F122" s="25" t="str">
        <f aca="false">IF(OR(F111="",E111="",D111=""),"",(F112/(F112+F113)*F111+F113/(F112+F113)*(CapexGW!$D$6*F111+CapexGW!$E$6*E111+CapexGW!$F$6*D111))/(F112+F113))</f>
        <v/>
      </c>
      <c r="G122" s="25" t="str">
        <f aca="false">IF(OR(G111="",F111="",E111=""),"",(G112/(G112+G113)*G111+G113/(G112+G113)*(CapexGW!$D$6*G111+CapexGW!$E$6*F111+CapexGW!$F$6*E111))/(G112+G113))</f>
        <v/>
      </c>
      <c r="H122" s="25" t="str">
        <f aca="false">IF(OR(H111="",G111="",F111=""),"",(H112/(H112+H113)*H111+H113/(H112+H113)*(CapexGW!$D$6*H111+CapexGW!$E$6*G111+CapexGW!$F$6*F111))/(H112+H113))</f>
        <v/>
      </c>
      <c r="I122" s="25" t="n">
        <f aca="false">IF(OR(I111="",H111="",G111=""),"",(I112/(I112+I113)*I111+I113/(I112+I113)*(CapexGW!$D$6*I111+CapexGW!$E$6*H111+CapexGW!$F$6*G111))/(I112+I113))</f>
        <v>0.740545400794723</v>
      </c>
      <c r="J122" s="25" t="n">
        <f aca="false">IF(OR(J111="",I111="",H111=""),"",(J112/(J112+J113)*J111+J113/(J112+J113)*(CapexGW!$D$6*J111+CapexGW!$E$6*I111+CapexGW!$F$6*H111))/(J112+J113))</f>
        <v>0.835930048637001</v>
      </c>
      <c r="K122" s="25" t="n">
        <f aca="false">IF(OR(K111="",J111="",I111=""),"",(K112/(K112+K113)*K111+K113/(K112+K113)*(CapexGW!$D$6*K111+CapexGW!$E$6*J111+CapexGW!$F$6*I111))/(K112+K113))</f>
        <v>0.915850109390436</v>
      </c>
      <c r="L122" s="25" t="n">
        <f aca="false">IF(OR(L111="",K111="",J111=""),"",(L112/(L112+L113)*L111+L113/(L112+L113)*(CapexGW!$D$6*L111+CapexGW!$E$6*K111+CapexGW!$F$6*J111))/(L112+L113))</f>
        <v>1.00743512032948</v>
      </c>
      <c r="M122" s="25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1486</v>
      </c>
      <c r="B124" s="21" t="s">
        <v>873</v>
      </c>
      <c r="N124" s="21" t="s">
        <v>1901</v>
      </c>
    </row>
    <row r="125" customFormat="false" ht="17.15" hidden="false" customHeight="false" outlineLevel="0" collapsed="false">
      <c r="A125" s="5" t="s">
        <v>1789</v>
      </c>
      <c r="B125" s="0" t="s">
        <v>1488</v>
      </c>
      <c r="C125" s="0" t="s">
        <v>395</v>
      </c>
      <c r="D125" s="20" t="str">
        <f aca="false">IF(In!H130="","",In!H130)</f>
        <v/>
      </c>
      <c r="E125" s="20" t="str">
        <f aca="false">IF(In!I130="","",In!I130)</f>
        <v/>
      </c>
      <c r="F125" s="31" t="n">
        <f aca="false">IF(In!J130="","",In!J130)</f>
        <v>4.066</v>
      </c>
      <c r="G125" s="31" t="n">
        <f aca="false">IF(In!K130="","",In!K130)</f>
        <v>22.5</v>
      </c>
      <c r="H125" s="31" t="n">
        <f aca="false">IF(In!L130="","",In!L130)</f>
        <v>27.243</v>
      </c>
      <c r="I125" s="31" t="n">
        <f aca="false">IF(In!M130="","",In!M130)</f>
        <v>38.39</v>
      </c>
      <c r="J125" s="20" t="str">
        <f aca="false">IF(In!N130="","",In!N130)</f>
        <v/>
      </c>
      <c r="K125" s="20" t="str">
        <f aca="false">IF(In!O130="","",In!O130)</f>
        <v/>
      </c>
      <c r="L125" s="20" t="str">
        <f aca="false">IF(In!P130="","",In!P130)</f>
        <v/>
      </c>
      <c r="M125" s="20" t="str">
        <f aca="false">IF(In!Q130="","",In!Q130)</f>
        <v/>
      </c>
    </row>
    <row r="126" customFormat="false" ht="15" hidden="false" customHeight="false" outlineLevel="0" collapsed="false">
      <c r="A126" s="5" t="s">
        <v>1790</v>
      </c>
      <c r="B126" s="0" t="s">
        <v>1902</v>
      </c>
      <c r="C126" s="0" t="s">
        <v>40</v>
      </c>
      <c r="D126" s="27" t="n">
        <f aca="false">(D125&lt;&gt;"")</f>
        <v>0</v>
      </c>
      <c r="E126" s="27" t="n">
        <f aca="false">(E125&lt;&gt;"")+D126</f>
        <v>0</v>
      </c>
      <c r="F126" s="27" t="n">
        <f aca="false">(F125&lt;&gt;"")+E126</f>
        <v>1</v>
      </c>
      <c r="G126" s="27" t="n">
        <f aca="false">(G125&lt;&gt;"")+F126</f>
        <v>2</v>
      </c>
      <c r="H126" s="27" t="n">
        <f aca="false">(H125&lt;&gt;"")+G126</f>
        <v>3</v>
      </c>
      <c r="I126" s="27" t="n">
        <f aca="false">(I125&lt;&gt;"")+H126</f>
        <v>4</v>
      </c>
      <c r="J126" s="27" t="n">
        <f aca="false">(J125&lt;&gt;"")+I126</f>
        <v>4</v>
      </c>
      <c r="K126" s="27" t="n">
        <f aca="false">(K125&lt;&gt;"")+J126</f>
        <v>4</v>
      </c>
      <c r="L126" s="27" t="n">
        <f aca="false">(L125&lt;&gt;"")+K126</f>
        <v>4</v>
      </c>
      <c r="M126" s="27" t="n">
        <f aca="false">(M125&lt;&gt;"")+L126</f>
        <v>4</v>
      </c>
    </row>
    <row r="127" customFormat="false" ht="15" hidden="false" customHeight="false" outlineLevel="0" collapsed="false">
      <c r="A127" s="5" t="s">
        <v>1792</v>
      </c>
      <c r="B127" s="0" t="s">
        <v>1493</v>
      </c>
      <c r="C127" s="0" t="s">
        <v>395</v>
      </c>
      <c r="D127" s="32" t="n">
        <f aca="false">IF(D125&lt;&gt;"",D125,E127)</f>
        <v>4.066</v>
      </c>
      <c r="E127" s="32" t="n">
        <f aca="false">IF(E125&lt;&gt;"",E125,F127)</f>
        <v>4.066</v>
      </c>
      <c r="F127" s="32" t="n">
        <f aca="false">IF(F125&lt;&gt;"",F125,G127)</f>
        <v>4.066</v>
      </c>
      <c r="G127" s="32" t="n">
        <f aca="false">IF(G125&lt;&gt;"",G125,H127)</f>
        <v>22.5</v>
      </c>
      <c r="H127" s="32" t="n">
        <f aca="false">IF(H125&lt;&gt;"",H125,I127)</f>
        <v>27.243</v>
      </c>
      <c r="I127" s="32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1793</v>
      </c>
      <c r="B128" s="0" t="s">
        <v>1903</v>
      </c>
      <c r="C128" s="0" t="s">
        <v>395</v>
      </c>
      <c r="D128" s="33" t="str">
        <f aca="false">IF(D125&lt;&gt;"",D125,IF(0&gt;0,""*(1+cap_g_ext),""))</f>
        <v/>
      </c>
      <c r="E128" s="33" t="str">
        <f aca="false">IF(E125&lt;&gt;"",E125,IF(D126&gt;0,D128*(1+cap_g_ext),""))</f>
        <v/>
      </c>
      <c r="F128" s="33" t="n">
        <f aca="false">IF(F125&lt;&gt;"",F125,IF(E126&gt;0,E128*(1+cap_g_ext),""))</f>
        <v>4.066</v>
      </c>
      <c r="G128" s="33" t="n">
        <f aca="false">IF(G125&lt;&gt;"",G125,IF(F126&gt;0,F128*(1+cap_g_ext),""))</f>
        <v>22.5</v>
      </c>
      <c r="H128" s="33" t="n">
        <f aca="false">IF(H125&lt;&gt;"",H125,IF(G126&gt;0,G128*(1+cap_g_ext),""))</f>
        <v>27.243</v>
      </c>
      <c r="I128" s="33" t="n">
        <f aca="false">IF(I125&lt;&gt;"",I125,IF(H126&gt;0,H128*(1+cap_g_ext),""))</f>
        <v>38.39</v>
      </c>
      <c r="J128" s="33" t="n">
        <f aca="false">IF(J125&lt;&gt;"",J125,IF(I126&gt;0,I128*(1+cap_g_ext),""))</f>
        <v>42.229</v>
      </c>
      <c r="K128" s="33" t="n">
        <f aca="false">IF(K125&lt;&gt;"",K125,IF(J126&gt;0,J128*(1+cap_g_ext),""))</f>
        <v>46.4519</v>
      </c>
      <c r="L128" s="33" t="n">
        <f aca="false">IF(L125&lt;&gt;"",L125,IF(K126&gt;0,K128*(1+cap_g_ext),""))</f>
        <v>51.09709</v>
      </c>
      <c r="M128" s="33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1795</v>
      </c>
      <c r="B129" s="0" t="s">
        <v>1904</v>
      </c>
      <c r="C129" s="0" t="s">
        <v>395</v>
      </c>
      <c r="D129" s="33" t="str">
        <f aca="false">IF(OR(D128="",AND(fye_nbis&lt;12,E128="")),"",D128*fye_nbis/12+IF(fye_nbis&lt;12,E128,0)*(12-fye_nbis)/12)</f>
        <v/>
      </c>
      <c r="E129" s="33" t="str">
        <f aca="false">IF(OR(E128="",AND(fye_nbis&lt;12,F128="")),"",E128*fye_nbis/12+IF(fye_nbis&lt;12,F128,0)*(12-fye_nbis)/12)</f>
        <v/>
      </c>
      <c r="F129" s="33" t="n">
        <f aca="false">IF(OR(F128="",AND(fye_nbis&lt;12,G128="")),"",F128*fye_nbis/12+IF(fye_nbis&lt;12,G128,0)*(12-fye_nbis)/12)</f>
        <v>4.066</v>
      </c>
      <c r="G129" s="33" t="n">
        <f aca="false">IF(OR(G128="",AND(fye_nbis&lt;12,H128="")),"",G128*fye_nbis/12+IF(fye_nbis&lt;12,H128,0)*(12-fye_nbis)/12)</f>
        <v>22.5</v>
      </c>
      <c r="H129" s="33" t="n">
        <f aca="false">IF(OR(H128="",AND(fye_nbis&lt;12,I128="")),"",H128*fye_nbis/12+IF(fye_nbis&lt;12,I128,0)*(12-fye_nbis)/12)</f>
        <v>27.243</v>
      </c>
      <c r="I129" s="33" t="n">
        <f aca="false">IF(OR(I128="",AND(fye_nbis&lt;12,J128="")),"",I128*fye_nbis/12+IF(fye_nbis&lt;12,J128,0)*(12-fye_nbis)/12)</f>
        <v>38.39</v>
      </c>
      <c r="J129" s="33" t="n">
        <f aca="false">IF(OR(J128="",AND(fye_nbis&lt;12,K128="")),"",J128*fye_nbis/12+IF(fye_nbis&lt;12,K128,0)*(12-fye_nbis)/12)</f>
        <v>42.229</v>
      </c>
      <c r="K129" s="33" t="n">
        <f aca="false">IF(OR(K128="",AND(fye_nbis&lt;12,L128="")),"",K128*fye_nbis/12+IF(fye_nbis&lt;12,L128,0)*(12-fye_nbis)/12)</f>
        <v>46.4519</v>
      </c>
      <c r="L129" s="33" t="n">
        <f aca="false">IF(OR(L128="",AND(fye_nbis&lt;12,M128="")),"",L128*fye_nbis/12+IF(fye_nbis&lt;12,M128,0)*(12-fye_nbis)/12)</f>
        <v>51.09709</v>
      </c>
      <c r="M129" s="33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1797</v>
      </c>
      <c r="B130" s="0" t="s">
        <v>1905</v>
      </c>
      <c r="C130" s="0" t="s">
        <v>395</v>
      </c>
      <c r="D130" s="33" t="str">
        <f aca="false">IF(D129="","",D129*ai_sh)</f>
        <v/>
      </c>
      <c r="E130" s="33" t="str">
        <f aca="false">IF(E129="","",E129*ai_sh)</f>
        <v/>
      </c>
      <c r="F130" s="33" t="n">
        <f aca="false">IF(F129="","",F129*ai_sh)</f>
        <v>3.4561</v>
      </c>
      <c r="G130" s="33" t="n">
        <f aca="false">IF(G129="","",G129*ai_sh)</f>
        <v>19.125</v>
      </c>
      <c r="H130" s="33" t="n">
        <f aca="false">IF(H129="","",H129*ai_sh)</f>
        <v>23.15655</v>
      </c>
      <c r="I130" s="33" t="n">
        <f aca="false">IF(I129="","",I129*ai_sh)</f>
        <v>32.6315</v>
      </c>
      <c r="J130" s="33" t="n">
        <f aca="false">IF(J129="","",J129*ai_sh)</f>
        <v>35.89465</v>
      </c>
      <c r="K130" s="33" t="n">
        <f aca="false">IF(K129="","",K129*ai_sh)</f>
        <v>39.484115</v>
      </c>
      <c r="L130" s="33" t="n">
        <f aca="false">IF(L129="","",L129*ai_sh)</f>
        <v>43.4325265</v>
      </c>
      <c r="M130" s="33" t="n">
        <f aca="false">IF(M129="","",M129*ai_sh)</f>
        <v>47.77577915</v>
      </c>
    </row>
    <row r="131" customFormat="false" ht="17.15" hidden="false" customHeight="false" outlineLevel="0" collapsed="false">
      <c r="A131" s="5" t="s">
        <v>1799</v>
      </c>
      <c r="B131" s="0" t="s">
        <v>1906</v>
      </c>
      <c r="C131" s="0" t="s">
        <v>395</v>
      </c>
      <c r="D131" s="30" t="n">
        <f aca="false">(1-Players!D152)*D$7+Players!D152*TK_NonNV_Hold_AMD*TK_CapexIT_VR200</f>
        <v>27.510214</v>
      </c>
      <c r="E131" s="30" t="n">
        <f aca="false">(1-Players!E152)*E$7+Players!E152*TK_NonNV_Hold_AMD*TK_CapexIT_VR200</f>
        <v>27.510214</v>
      </c>
      <c r="F131" s="30" t="n">
        <f aca="false">(1-Players!F152)*F$7+Players!F152*TK_NonNV_Hold_AMD*TK_CapexIT_VR200</f>
        <v>26.009088</v>
      </c>
      <c r="G131" s="30" t="n">
        <f aca="false">(1-Players!G152)*G$7+Players!G152*TK_NonNV_Hold_AMD*TK_CapexIT_VR200</f>
        <v>33.41403216</v>
      </c>
      <c r="H131" s="30" t="n">
        <f aca="false">(1-Players!H152)*H$7+Players!H152*TK_NonNV_Hold_AMD*TK_CapexIT_VR200</f>
        <v>38.3403893327246</v>
      </c>
      <c r="I131" s="30" t="n">
        <f aca="false">(1-Players!I152)*I$7+Players!I152*TK_NonNV_Hold_AMD*TK_CapexIT_VR200</f>
        <v>41.3326208898258</v>
      </c>
      <c r="J131" s="30" t="n">
        <f aca="false">(1-Players!J152)*J$7+Players!J152*TK_NonNV_Hold_AMD*TK_CapexIT_VR200</f>
        <v>41.3326208898258</v>
      </c>
      <c r="K131" s="30" t="n">
        <f aca="false">(1-Players!K152)*K$7+Players!K152*TK_NonNV_Hold_AMD*TK_CapexIT_VR200</f>
        <v>41.3326208898258</v>
      </c>
      <c r="L131" s="30" t="n">
        <f aca="false">(1-Players!L152)*L$7+Players!L152*TK_NonNV_Hold_AMD*TK_CapexIT_VR200</f>
        <v>41.3326208898258</v>
      </c>
      <c r="M131" s="30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1801</v>
      </c>
      <c r="B132" s="0" t="s">
        <v>1907</v>
      </c>
      <c r="C132" s="0" t="s">
        <v>395</v>
      </c>
      <c r="D132" s="30" t="n">
        <f aca="false">(1-Players!D152)*D$8+Players!D152*TK_NonNV_Hold_AMD*TK_CapexFacility_VR200</f>
        <v>12.67</v>
      </c>
      <c r="E132" s="30" t="n">
        <f aca="false">(1-Players!E152)*E$8+Players!E152*TK_NonNV_Hold_AMD*TK_CapexFacility_VR200</f>
        <v>12.67</v>
      </c>
      <c r="F132" s="30" t="n">
        <f aca="false">(1-Players!F152)*F$8+Players!F152*TK_NonNV_Hold_AMD*TK_CapexFacility_VR200</f>
        <v>12.67</v>
      </c>
      <c r="G132" s="30" t="n">
        <f aca="false">(1-Players!G152)*G$8+Players!G152*TK_NonNV_Hold_AMD*TK_CapexFacility_VR200</f>
        <v>12.67</v>
      </c>
      <c r="H132" s="30" t="n">
        <f aca="false">(1-Players!H152)*H$8+Players!H152*TK_NonNV_Hold_AMD*TK_CapexFacility_VR200</f>
        <v>12.67</v>
      </c>
      <c r="I132" s="30" t="n">
        <f aca="false">(1-Players!I152)*I$8+Players!I152*TK_NonNV_Hold_AMD*TK_CapexFacility_VR200</f>
        <v>12.67</v>
      </c>
      <c r="J132" s="30" t="n">
        <f aca="false">(1-Players!J152)*J$8+Players!J152*TK_NonNV_Hold_AMD*TK_CapexFacility_VR200</f>
        <v>12.67</v>
      </c>
      <c r="K132" s="30" t="n">
        <f aca="false">(1-Players!K152)*K$8+Players!K152*TK_NonNV_Hold_AMD*TK_CapexFacility_VR200</f>
        <v>12.67</v>
      </c>
      <c r="L132" s="30" t="n">
        <f aca="false">(1-Players!L152)*L$8+Players!L152*TK_NonNV_Hold_AMD*TK_CapexFacility_VR200</f>
        <v>12.67</v>
      </c>
      <c r="M132" s="30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1803</v>
      </c>
      <c r="B133" s="0" t="s">
        <v>1908</v>
      </c>
      <c r="C133" s="0" t="s">
        <v>395</v>
      </c>
      <c r="D133" s="33" t="str">
        <f aca="false">IF(OR(D130="",D130="",D130=""),"",D131/(D131+D132)*D130+D132/(D131+D132)*(CapexGW!$D$4*D130+CapexGW!$E$4*D130+CapexGW!$F$4*D130))</f>
        <v/>
      </c>
      <c r="E133" s="33" t="str">
        <f aca="false">IF(OR(E130="",D130="",E130=""),"",E131/(E131+E132)*E130+E132/(E131+E132)*(CapexGW!$D$4*E130+CapexGW!$E$4*D130+CapexGW!$F$4*E130))</f>
        <v/>
      </c>
      <c r="F133" s="33" t="str">
        <f aca="false">IF(OR(F130="",E130="",D130=""),"",F131/(F131+F132)*F130+F132/(F131+F132)*(CapexGW!$D$4*F130+CapexGW!$E$4*E130+CapexGW!$F$4*D130))</f>
        <v/>
      </c>
      <c r="G133" s="33" t="str">
        <f aca="false">IF(OR(G130="",F130="",E130=""),"",G131/(G131+G132)*G130+G132/(G131+G132)*(CapexGW!$D$4*G130+CapexGW!$E$4*F130+CapexGW!$F$4*E130))</f>
        <v/>
      </c>
      <c r="H133" s="33" t="n">
        <f aca="false">IF(OR(H130="",G130="",F130=""),"",H131/(H131+H132)*H130+H132/(H131+H132)*(CapexGW!$D$4*H130+CapexGW!$E$4*G130+CapexGW!$F$4*F130))</f>
        <v>20.2092637321112</v>
      </c>
      <c r="I133" s="33" t="n">
        <f aca="false">IF(OR(I130="",H130="",G130=""),"",I131/(I131+I132)*I130+I132/(I131+I132)*(CapexGW!$D$4*I130+CapexGW!$E$4*H130+CapexGW!$F$4*G130))</f>
        <v>29.9355662962077</v>
      </c>
      <c r="J133" s="33" t="n">
        <f aca="false">IF(OR(J130="",I130="",H130=""),"",J131/(J131+J132)*J130+J132/(J131+J132)*(CapexGW!$D$4*J130+CapexGW!$E$4*I130+CapexGW!$F$4*H130))</f>
        <v>34.0175574241266</v>
      </c>
      <c r="K133" s="33" t="n">
        <f aca="false">IF(OR(K130="",J130="",I130=""),"",K131/(K131+K132)*K130+K132/(K131+K132)*(CapexGW!$D$4*K130+CapexGW!$E$4*J130+CapexGW!$F$4*I130))</f>
        <v>38.2591637715224</v>
      </c>
      <c r="L133" s="33" t="n">
        <f aca="false">IF(OR(L130="",K130="",J130=""),"",L131/(L131+L132)*L130+L132/(L131+L132)*(CapexGW!$D$4*L130+CapexGW!$E$4*K130+CapexGW!$F$4*J130))</f>
        <v>42.0850801486747</v>
      </c>
      <c r="M133" s="33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1805</v>
      </c>
      <c r="B134" s="0" t="s">
        <v>1909</v>
      </c>
      <c r="C134" s="0" t="s">
        <v>82</v>
      </c>
      <c r="D134" s="26" t="str">
        <f aca="false">IF(D133="","",D133/(D131+D132))</f>
        <v/>
      </c>
      <c r="E134" s="26" t="str">
        <f aca="false">IF(E133="","",E133/(E131+E132))</f>
        <v/>
      </c>
      <c r="F134" s="26" t="str">
        <f aca="false">IF(F133="","",F133/(F131+F132))</f>
        <v/>
      </c>
      <c r="G134" s="26" t="str">
        <f aca="false">IF(G133="","",G133/(G131+G132))</f>
        <v/>
      </c>
      <c r="H134" s="26" t="n">
        <f aca="false">IF(H133="","",H133/(H131+H132))</f>
        <v>0.396179366526544</v>
      </c>
      <c r="I134" s="26" t="n">
        <f aca="false">IF(I133="","",I133/(I131+I132))</f>
        <v>0.554335434150153</v>
      </c>
      <c r="J134" s="26" t="n">
        <f aca="false">IF(J133="","",J133/(J131+J132))</f>
        <v>0.629924193744744</v>
      </c>
      <c r="K134" s="26" t="n">
        <f aca="false">IF(K133="","",K133/(K131+K132))</f>
        <v>0.708468647282461</v>
      </c>
      <c r="L134" s="26" t="n">
        <f aca="false">IF(L133="","",L133/(L131+L132))</f>
        <v>0.779315512010707</v>
      </c>
      <c r="M134" s="26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1807</v>
      </c>
      <c r="B135" s="0" t="s">
        <v>1910</v>
      </c>
      <c r="C135" s="0" t="s">
        <v>82</v>
      </c>
      <c r="D135" s="20" t="n">
        <f aca="false">Players!D150</f>
        <v>0</v>
      </c>
      <c r="E135" s="28" t="n">
        <f aca="false">Players!E150</f>
        <v>0</v>
      </c>
      <c r="F135" s="28" t="n">
        <f aca="false">Players!F150</f>
        <v>0</v>
      </c>
      <c r="G135" s="28" t="n">
        <f aca="false">Players!G150</f>
        <v>0.73</v>
      </c>
      <c r="H135" s="28" t="n">
        <f aca="false">Players!H150</f>
        <v>0.403</v>
      </c>
      <c r="I135" s="28" t="n">
        <f aca="false">Players!I150</f>
        <v>0</v>
      </c>
      <c r="J135" s="28" t="n">
        <f aca="false">Players!J150</f>
        <v>0</v>
      </c>
      <c r="K135" s="28" t="n">
        <f aca="false">Players!K150</f>
        <v>0</v>
      </c>
      <c r="L135" s="28" t="n">
        <f aca="false">Players!L150</f>
        <v>0</v>
      </c>
      <c r="M135" s="28" t="n">
        <f aca="false">Players!M150</f>
        <v>0</v>
      </c>
    </row>
    <row r="136" customFormat="false" ht="17.15" hidden="false" customHeight="false" outlineLevel="0" collapsed="false">
      <c r="A136" s="5" t="s">
        <v>1809</v>
      </c>
      <c r="B136" s="0" t="s">
        <v>1911</v>
      </c>
      <c r="C136" s="0" t="s">
        <v>82</v>
      </c>
      <c r="D136" s="25" t="n">
        <f aca="false">IF(AND(2023&gt;=2027,D134&lt;&gt;""),D134,D135)</f>
        <v>0</v>
      </c>
      <c r="E136" s="25" t="n">
        <f aca="false">IF(AND(2024&gt;=2027,E134&lt;&gt;""),E134,E135)</f>
        <v>0</v>
      </c>
      <c r="F136" s="25" t="n">
        <f aca="false">IF(AND(2025&gt;=2027,F134&lt;&gt;""),F134,F135)</f>
        <v>0</v>
      </c>
      <c r="G136" s="25" t="n">
        <f aca="false">IF(AND(2026&gt;=2027,G134&lt;&gt;""),G134,G135)</f>
        <v>0.73</v>
      </c>
      <c r="H136" s="25" t="n">
        <f aca="false">IF(AND(2027&gt;=2027,H134&lt;&gt;""),H134,H135)</f>
        <v>0.396179366526544</v>
      </c>
      <c r="I136" s="25" t="n">
        <f aca="false">IF(AND(2028&gt;=2027,I134&lt;&gt;""),I134,I135)</f>
        <v>0.554335434150153</v>
      </c>
      <c r="J136" s="25" t="n">
        <f aca="false">IF(AND(2029&gt;=2027,J134&lt;&gt;""),J134,J135)</f>
        <v>0.629924193744744</v>
      </c>
      <c r="K136" s="25" t="n">
        <f aca="false">IF(AND(2030&gt;=2027,K134&lt;&gt;""),K134,K135)</f>
        <v>0.708468647282461</v>
      </c>
      <c r="L136" s="25" t="n">
        <f aca="false">IF(AND(2031&gt;=2027,L134&lt;&gt;""),L134,L135)</f>
        <v>0.779315512010707</v>
      </c>
      <c r="M136" s="25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1811</v>
      </c>
      <c r="B137" s="0" t="s">
        <v>1912</v>
      </c>
      <c r="C137" s="0" t="s">
        <v>82</v>
      </c>
      <c r="D137" s="25" t="n">
        <f aca="false">N(Players!D144)</f>
        <v>0</v>
      </c>
      <c r="E137" s="25" t="n">
        <f aca="false">IF(2024&gt;=2027,D137+E136,N(Players!E144))</f>
        <v>0</v>
      </c>
      <c r="F137" s="25" t="n">
        <f aca="false">IF(2025&gt;=2027,E137+F136,N(Players!F144))</f>
        <v>0.17</v>
      </c>
      <c r="G137" s="25" t="n">
        <f aca="false">IF(2026&gt;=2027,F137+G136,N(Players!G144))</f>
        <v>0.9</v>
      </c>
      <c r="H137" s="25" t="n">
        <f aca="false">IF(2027&gt;=2027,G137+H136,N(Players!H144))</f>
        <v>1.29617936652654</v>
      </c>
      <c r="I137" s="25" t="n">
        <f aca="false">IF(2028&gt;=2027,H137+I136,N(Players!I144))</f>
        <v>1.8505148006767</v>
      </c>
      <c r="J137" s="25" t="n">
        <f aca="false">IF(2029&gt;=2027,I137+J136,N(Players!J144))</f>
        <v>2.48043899442144</v>
      </c>
      <c r="K137" s="25" t="n">
        <f aca="false">IF(2030&gt;=2027,J137+K136,N(Players!K144))</f>
        <v>3.1889076417039</v>
      </c>
      <c r="L137" s="25" t="n">
        <f aca="false">IF(2031&gt;=2027,K137+L136,N(Players!L144))</f>
        <v>3.96822315371461</v>
      </c>
      <c r="M137" s="25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1813</v>
      </c>
      <c r="B138" s="0" t="s">
        <v>1913</v>
      </c>
      <c r="C138" s="0" t="s">
        <v>82</v>
      </c>
      <c r="D138" s="25" t="str">
        <f aca="false">IF(D134="","",D134*ai_sh_lo/ai_sh)</f>
        <v/>
      </c>
      <c r="E138" s="25" t="str">
        <f aca="false">IF(E134="","",E134*ai_sh_lo/ai_sh)</f>
        <v/>
      </c>
      <c r="F138" s="25" t="str">
        <f aca="false">IF(F134="","",F134*ai_sh_lo/ai_sh)</f>
        <v/>
      </c>
      <c r="G138" s="25" t="str">
        <f aca="false">IF(G134="","",G134*ai_sh_lo/ai_sh)</f>
        <v/>
      </c>
      <c r="H138" s="25" t="n">
        <f aca="false">IF(H134="","",H134*ai_sh_lo/ai_sh)</f>
        <v>0.349570029288127</v>
      </c>
      <c r="I138" s="25" t="n">
        <f aca="false">IF(I134="","",I134*ai_sh_lo/ai_sh)</f>
        <v>0.489119500720723</v>
      </c>
      <c r="J138" s="25" t="n">
        <f aca="false">IF(J134="","",J134*ai_sh_lo/ai_sh)</f>
        <v>0.555815465068891</v>
      </c>
      <c r="K138" s="25" t="n">
        <f aca="false">IF(K134="","",K134*ai_sh_lo/ai_sh)</f>
        <v>0.625119394660995</v>
      </c>
      <c r="L138" s="25" t="n">
        <f aca="false">IF(L134="","",L134*ai_sh_lo/ai_sh)</f>
        <v>0.687631334127094</v>
      </c>
      <c r="M138" s="25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1815</v>
      </c>
      <c r="B139" s="0" t="s">
        <v>1914</v>
      </c>
      <c r="C139" s="0" t="s">
        <v>82</v>
      </c>
      <c r="D139" s="25" t="str">
        <f aca="false">IF(D134="","",D134*ai_sh_hi/ai_sh)</f>
        <v/>
      </c>
      <c r="E139" s="25" t="str">
        <f aca="false">IF(E134="","",E134*ai_sh_hi/ai_sh)</f>
        <v/>
      </c>
      <c r="F139" s="25" t="str">
        <f aca="false">IF(F134="","",F134*ai_sh_hi/ai_sh)</f>
        <v/>
      </c>
      <c r="G139" s="25" t="str">
        <f aca="false">IF(G134="","",G134*ai_sh_hi/ai_sh)</f>
        <v/>
      </c>
      <c r="H139" s="25" t="n">
        <f aca="false">IF(H134="","",H134*ai_sh_hi/ai_sh)</f>
        <v>0.442788703764961</v>
      </c>
      <c r="I139" s="25" t="n">
        <f aca="false">IF(I134="","",I134*ai_sh_hi/ai_sh)</f>
        <v>0.619551367579582</v>
      </c>
      <c r="J139" s="25" t="n">
        <f aca="false">IF(J134="","",J134*ai_sh_hi/ai_sh)</f>
        <v>0.704032922420596</v>
      </c>
      <c r="K139" s="25" t="n">
        <f aca="false">IF(K134="","",K134*ai_sh_hi/ai_sh)</f>
        <v>0.791817899903927</v>
      </c>
      <c r="L139" s="25" t="n">
        <f aca="false">IF(L134="","",L134*ai_sh_hi/ai_sh)</f>
        <v>0.870999689894319</v>
      </c>
      <c r="M139" s="25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1817</v>
      </c>
      <c r="B140" s="0" t="s">
        <v>1915</v>
      </c>
      <c r="C140" s="0" t="s">
        <v>82</v>
      </c>
      <c r="D140" s="25" t="str">
        <f aca="false">IF(OR(D130="",D130="",D130=""),"",(D131/(D131+D132)*D130+D132/(D131+D132)*(CapexGW!$D$5*D130+CapexGW!$E$5*D130+CapexGW!$F$5*D130))/(D131+D132))</f>
        <v/>
      </c>
      <c r="E140" s="25" t="str">
        <f aca="false">IF(OR(E130="",D130="",E130=""),"",(E131/(E131+E132)*E130+E132/(E131+E132)*(CapexGW!$D$5*E130+CapexGW!$E$5*D130+CapexGW!$F$5*E130))/(E131+E132))</f>
        <v/>
      </c>
      <c r="F140" s="25" t="str">
        <f aca="false">IF(OR(F130="",E130="",D130=""),"",(F131/(F131+F132)*F130+F132/(F131+F132)*(CapexGW!$D$5*F130+CapexGW!$E$5*E130+CapexGW!$F$5*D130))/(F131+F132))</f>
        <v/>
      </c>
      <c r="G140" s="25" t="str">
        <f aca="false">IF(OR(G130="",F130="",E130=""),"",(G131/(G131+G132)*G130+G132/(G131+G132)*(CapexGW!$D$5*G130+CapexGW!$E$5*F130+CapexGW!$F$5*E130))/(G131+G132))</f>
        <v/>
      </c>
      <c r="H140" s="25" t="n">
        <f aca="false">IF(OR(H130="",G130="",F130=""),"",(H131/(H131+H132)*H130+H132/(H131+H132)*(CapexGW!$D$5*H130+CapexGW!$E$5*G130+CapexGW!$F$5*F130))/(H131+H132))</f>
        <v>0.434327021988487</v>
      </c>
      <c r="I140" s="25" t="n">
        <f aca="false">IF(OR(I130="",H130="",G130=""),"",(I131/(I131+I132)*I130+I132/(I131+I132)*(CapexGW!$D$5*I130+CapexGW!$E$5*H130+CapexGW!$F$5*G130))/(I131+I132))</f>
        <v>0.563093112571118</v>
      </c>
      <c r="J140" s="25" t="n">
        <f aca="false">IF(OR(J130="",I130="",H130=""),"",(J131/(J131+J132)*J130+J132/(J131+J132)*(CapexGW!$D$5*J130+CapexGW!$E$5*I130+CapexGW!$F$5*H130))/(J131+J132))</f>
        <v>0.650506492154715</v>
      </c>
      <c r="K140" s="25" t="n">
        <f aca="false">IF(OR(K130="",J130="",I130=""),"",(K131/(K131+K132)*K130+K132/(K131+K132)*(CapexGW!$D$5*K130+CapexGW!$E$5*J130+CapexGW!$F$5*I130))/(K131+K132))</f>
        <v>0.715557141370187</v>
      </c>
      <c r="L140" s="25" t="n">
        <f aca="false">IF(OR(L130="",K130="",J130=""),"",(L131/(L131+L132)*L130+L132/(L131+L132)*(CapexGW!$D$5*L130+CapexGW!$E$5*K130+CapexGW!$F$5*J130))/(L131+L132))</f>
        <v>0.787112855507205</v>
      </c>
      <c r="M140" s="25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1819</v>
      </c>
      <c r="B141" s="0" t="s">
        <v>1916</v>
      </c>
      <c r="C141" s="0" t="s">
        <v>82</v>
      </c>
      <c r="D141" s="25" t="str">
        <f aca="false">IF(OR(D130="",D130="",D130=""),"",(D131/(D131+D132)*D130+D132/(D131+D132)*(CapexGW!$D$6*D130+CapexGW!$E$6*D130+CapexGW!$F$6*D130))/(D131+D132))</f>
        <v/>
      </c>
      <c r="E141" s="25" t="str">
        <f aca="false">IF(OR(E130="",D130="",E130=""),"",(E131/(E131+E132)*E130+E132/(E131+E132)*(CapexGW!$D$6*E130+CapexGW!$E$6*D130+CapexGW!$F$6*E130))/(E131+E132))</f>
        <v/>
      </c>
      <c r="F141" s="25" t="str">
        <f aca="false">IF(OR(F130="",E130="",D130=""),"",(F131/(F131+F132)*F130+F132/(F131+F132)*(CapexGW!$D$6*F130+CapexGW!$E$6*E130+CapexGW!$F$6*D130))/(F131+F132))</f>
        <v/>
      </c>
      <c r="G141" s="25" t="str">
        <f aca="false">IF(OR(G130="",F130="",E130=""),"",(G131/(G131+G132)*G130+G132/(G131+G132)*(CapexGW!$D$6*G130+CapexGW!$E$6*F130+CapexGW!$F$6*E130))/(G131+G132))</f>
        <v/>
      </c>
      <c r="H141" s="25" t="n">
        <f aca="false">IF(OR(H130="",G130="",F130=""),"",(H131/(H131+H132)*H130+H132/(H131+H132)*(CapexGW!$D$6*H130+CapexGW!$E$6*G130+CapexGW!$F$6*F130))/(H131+H132))</f>
        <v>0.358031711064601</v>
      </c>
      <c r="I141" s="25" t="n">
        <f aca="false">IF(OR(I130="",H130="",G130=""),"",(I131/(I131+I132)*I130+I132/(I131+I132)*(CapexGW!$D$6*I130+CapexGW!$E$6*H130+CapexGW!$F$6*G130))/(I131+I132))</f>
        <v>0.545577755729188</v>
      </c>
      <c r="J141" s="25" t="n">
        <f aca="false">IF(OR(J130="",I130="",H130=""),"",(J131/(J131+J132)*J130+J132/(J131+J132)*(CapexGW!$D$6*J130+CapexGW!$E$6*I130+CapexGW!$F$6*H130))/(J131+J132))</f>
        <v>0.609341895334772</v>
      </c>
      <c r="K141" s="25" t="n">
        <f aca="false">IF(OR(K130="",J130="",I130=""),"",(K131/(K131+K132)*K130+K132/(K131+K132)*(CapexGW!$D$6*K130+CapexGW!$E$6*J130+CapexGW!$F$6*I130))/(K131+K132))</f>
        <v>0.701380153194735</v>
      </c>
      <c r="L141" s="25" t="n">
        <f aca="false">IF(OR(L130="",K130="",J130=""),"",(L131/(L131+L132)*L130+L132/(L131+L132)*(CapexGW!$D$6*L130+CapexGW!$E$6*K130+CapexGW!$F$6*J130))/(L131+L132))</f>
        <v>0.771518168514208</v>
      </c>
      <c r="M141" s="25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2" t="s">
        <v>1917</v>
      </c>
    </row>
    <row r="144" customFormat="false" ht="17.15" hidden="false" customHeight="false" outlineLevel="0" collapsed="false">
      <c r="A144" s="5" t="s">
        <v>1918</v>
      </c>
      <c r="D144" s="25" t="n">
        <f aca="false">IF(D20="",D21,D20)+IF(D39="",D40,D39)+IF(D58="",D59,D58)+IF(D77="",D78,D77)+IF(D96="",D97,D96)+IF(D115="",D116,D115)+IF(D134="",D135,D134)</f>
        <v>0</v>
      </c>
      <c r="E144" s="25" t="n">
        <f aca="false">IF(E20="",E21,E20)+IF(E39="",E40,E39)+IF(E58="",E59,E58)+IF(E77="",E78,E77)+IF(E96="",E97,E96)+IF(E115="",E116,E115)+IF(E134="",E135,E134)</f>
        <v>1.61980834349181</v>
      </c>
      <c r="F144" s="25" t="n">
        <f aca="false">IF(F20="",F21,F20)+IF(F39="",F40,F39)+IF(F58="",F59,F58)+IF(F77="",F78,F77)+IF(F96="",F97,F96)+IF(F115="",F116,F115)+IF(F134="",F135,F134)</f>
        <v>8.74912429484715</v>
      </c>
      <c r="G144" s="25" t="n">
        <f aca="false">IF(G20="",G21,G20)+IF(G39="",G40,G39)+IF(G58="",G59,G58)+IF(G77="",G78,G77)+IF(G96="",G97,G96)+IF(G115="",G116,G115)+IF(G134="",G135,G134)</f>
        <v>8.50461894048891</v>
      </c>
      <c r="H144" s="25" t="n">
        <f aca="false">IF(H20="",H21,H20)+IF(H39="",H40,H39)+IF(H58="",H59,H58)+IF(H77="",H78,H77)+IF(H96="",H97,H96)+IF(H115="",H116,H115)+IF(H134="",H135,H134)</f>
        <v>17.8887754681966</v>
      </c>
      <c r="I144" s="25" t="n">
        <f aca="false">IF(I20="",I21,I20)+IF(I39="",I40,I39)+IF(I58="",I59,I58)+IF(I77="",I78,I77)+IF(I96="",I97,I96)+IF(I115="",I116,I115)+IF(I134="",I135,I134)</f>
        <v>21.3980787384407</v>
      </c>
      <c r="J144" s="25" t="n">
        <f aca="false">IF(J20="",J21,J20)+IF(J39="",J40,J39)+IF(J58="",J59,J58)+IF(J77="",J78,J77)+IF(J96="",J97,J96)+IF(J115="",J116,J115)+IF(J134="",J135,J134)</f>
        <v>23.901946773905</v>
      </c>
      <c r="K144" s="25" t="n">
        <f aca="false">IF(K20="",K21,K20)+IF(K39="",K40,K39)+IF(K58="",K59,K58)+IF(K77="",K78,K77)+IF(K96="",K97,K96)+IF(K115="",K116,K115)+IF(K134="",K135,K134)</f>
        <v>26.2870412589026</v>
      </c>
      <c r="L144" s="25" t="n">
        <f aca="false">IF(L20="",L21,L20)+IF(L39="",L40,L39)+IF(L58="",L59,L58)+IF(L77="",L78,L77)+IF(L96="",L97,L96)+IF(L115="",L116,L115)+IF(L134="",L135,L134)</f>
        <v>28.9078820951747</v>
      </c>
      <c r="M144" s="25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1919</v>
      </c>
      <c r="D145" s="25" t="n">
        <f aca="false">D21+D40+D59+D78+D97+D116+D135</f>
        <v>0</v>
      </c>
      <c r="E145" s="25" t="n">
        <f aca="false">E21+E40+E59+E78+E97+E116+E135</f>
        <v>1.61980834349181</v>
      </c>
      <c r="F145" s="25" t="n">
        <f aca="false">F21+F40+F59+F78+F97+F116+F135</f>
        <v>8.74912429484715</v>
      </c>
      <c r="G145" s="25" t="n">
        <f aca="false">G21+G40+G59+G78+G97+G116+G135</f>
        <v>6.54276412772586</v>
      </c>
      <c r="H145" s="25" t="n">
        <f aca="false">H21+H40+H59+H78+H97+H116+H135</f>
        <v>6.52966666666667</v>
      </c>
      <c r="I145" s="25" t="n">
        <f aca="false">I21+I40+I59+I78+I97+I116+I135</f>
        <v>13.6908333333333</v>
      </c>
      <c r="J145" s="25" t="n">
        <f aca="false">J21+J40+J59+J78+J97+J116+J135</f>
        <v>2.7115</v>
      </c>
      <c r="K145" s="25" t="n">
        <f aca="false">K21+K40+K59+K78+K97+K116+K135</f>
        <v>2.6815</v>
      </c>
      <c r="L145" s="25" t="n">
        <f aca="false">L21+L40+L59+L78+L97+L116+L135</f>
        <v>0.269</v>
      </c>
      <c r="M145" s="25" t="n">
        <f aca="false">M21+M40+M59+M78+M97+M116+M135</f>
        <v>2.566</v>
      </c>
    </row>
    <row r="146" customFormat="false" ht="17.15" hidden="false" customHeight="false" outlineLevel="0" collapsed="false">
      <c r="A146" s="5" t="s">
        <v>1920</v>
      </c>
      <c r="D146" s="25" t="n">
        <f aca="false">IF(AND(2023&gt;=2027,2023&lt;=2029),D144-D145,0)</f>
        <v>0</v>
      </c>
      <c r="E146" s="25" t="n">
        <f aca="false">IF(AND(2024&gt;=2027,2024&lt;=2029),E144-E145,0)</f>
        <v>0</v>
      </c>
      <c r="F146" s="25" t="n">
        <f aca="false">IF(AND(2025&gt;=2027,2025&lt;=2029),F144-F145,0)</f>
        <v>0</v>
      </c>
      <c r="G146" s="25" t="n">
        <f aca="false">IF(AND(2026&gt;=2027,2026&lt;=2029),G144-G145,0)</f>
        <v>0</v>
      </c>
      <c r="H146" s="25" t="n">
        <f aca="false">IF(AND(2027&gt;=2027,2027&lt;=2029),H144-H145,0)</f>
        <v>11.3591088015299</v>
      </c>
      <c r="I146" s="25" t="n">
        <f aca="false">IF(AND(2028&gt;=2027,2028&lt;=2029),I144-I145,0)</f>
        <v>7.70724540510739</v>
      </c>
      <c r="J146" s="25" t="n">
        <f aca="false">IF(AND(2029&gt;=2027,2029&lt;=2029),J144-J145,0)</f>
        <v>21.190446773905</v>
      </c>
      <c r="K146" s="25" t="n">
        <f aca="false">IF(AND(2030&gt;=2027,2030&lt;=2029),K144-K145,0)</f>
        <v>0</v>
      </c>
      <c r="L146" s="25" t="n">
        <f aca="false">IF(AND(2031&gt;=2027,2031&lt;=2029),L144-L145,0)</f>
        <v>0</v>
      </c>
      <c r="M146" s="25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1921</v>
      </c>
      <c r="D147" s="25" t="n">
        <f aca="false">IF(D24="",D21,D24)+IF(D43="",D40,D43)+IF(D62="",D59,D62)+IF(D81="",D78,D81)+IF(D100="",D97,D100)+IF(D119="",D116,D119)+IF(D138="",D135,D138)</f>
        <v>0</v>
      </c>
      <c r="E147" s="25" t="n">
        <f aca="false">IF(E24="",E21,E24)+IF(E43="",E40,E43)+IF(E62="",E59,E62)+IF(E81="",E78,E81)+IF(E100="",E97,E100)+IF(E119="",E116,E119)+IF(E138="",E135,E138)</f>
        <v>1.61980834349181</v>
      </c>
      <c r="F147" s="25" t="n">
        <f aca="false">IF(F24="",F21,F24)+IF(F43="",F40,F43)+IF(F62="",F59,F62)+IF(F81="",F78,F81)+IF(F100="",F97,F100)+IF(F119="",F116,F119)+IF(F138="",F135,F138)</f>
        <v>8.74912429484715</v>
      </c>
      <c r="G147" s="25" t="n">
        <f aca="false">IF(G24="",G21,G24)+IF(G43="",G40,G43)+IF(G62="",G59,G62)+IF(G81="",G78,G81)+IF(G100="",G97,G100)+IF(G119="",G116,G119)+IF(G138="",G135,G138)</f>
        <v>8.18311190369325</v>
      </c>
      <c r="H147" s="25" t="n">
        <f aca="false">IF(H24="",H21,H24)+IF(H43="",H40,H43)+IF(H62="",H59,H62)+IF(H81="",H78,H81)+IF(H100="",H97,H100)+IF(H119="",H116,H119)+IF(H138="",H135,H138)</f>
        <v>16.0374489425264</v>
      </c>
      <c r="I147" s="25" t="n">
        <f aca="false">IF(I24="",I21,I24)+IF(I43="",I40,I43)+IF(I62="",I59,I62)+IF(I81="",I78,I81)+IF(I100="",I97,I100)+IF(I119="",I116,I119)+IF(I138="",I135,I138)</f>
        <v>18.8806577103889</v>
      </c>
      <c r="J147" s="25" t="n">
        <f aca="false">IF(J24="",J21,J24)+IF(J43="",J40,J43)+IF(J62="",J59,J62)+IF(J81="",J78,J81)+IF(J100="",J97,J100)+IF(J119="",J116,J119)+IF(J138="",J135,J138)</f>
        <v>21.0899530357986</v>
      </c>
      <c r="K147" s="25" t="n">
        <f aca="false">IF(K24="",K21,K24)+IF(K43="",K40,K43)+IF(K62="",K59,K62)+IF(K81="",K78,K81)+IF(K100="",K97,K100)+IF(K119="",K116,K119)+IF(K138="",K135,K138)</f>
        <v>23.1944481696199</v>
      </c>
      <c r="L147" s="25" t="n">
        <f aca="false">IF(L24="",L21,L24)+IF(L43="",L40,L43)+IF(L62="",L59,L62)+IF(L81="",L78,L81)+IF(L100="",L97,L100)+IF(L119="",L116,L119)+IF(L138="",L135,L138)</f>
        <v>25.5069547898601</v>
      </c>
      <c r="M147" s="25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1922</v>
      </c>
      <c r="D148" s="25" t="n">
        <f aca="false">IF(D25="",D21,D25)+IF(D44="",D40,D44)+IF(D63="",D59,D63)+IF(D82="",D78,D82)+IF(D101="",D97,D101)+IF(D120="",D116,D120)+IF(D139="",D135,D139)</f>
        <v>0</v>
      </c>
      <c r="E148" s="25" t="n">
        <f aca="false">IF(E25="",E21,E25)+IF(E44="",E40,E44)+IF(E63="",E59,E63)+IF(E82="",E78,E82)+IF(E101="",E97,E101)+IF(E120="",E116,E120)+IF(E139="",E135,E139)</f>
        <v>1.61980834349181</v>
      </c>
      <c r="F148" s="25" t="n">
        <f aca="false">IF(F25="",F21,F25)+IF(F44="",F40,F44)+IF(F63="",F59,F63)+IF(F82="",F78,F82)+IF(F101="",F97,F101)+IF(F120="",F116,F120)+IF(F139="",F135,F139)</f>
        <v>8.74912429484715</v>
      </c>
      <c r="G148" s="25" t="n">
        <f aca="false">IF(G25="",G21,G25)+IF(G44="",G40,G44)+IF(G63="",G59,G63)+IF(G82="",G78,G82)+IF(G101="",G97,G101)+IF(G120="",G116,G120)+IF(G139="",G135,G139)</f>
        <v>8.82612597728456</v>
      </c>
      <c r="H148" s="25" t="n">
        <f aca="false">IF(H25="",H21,H25)+IF(H44="",H40,H44)+IF(H63="",H59,H63)+IF(H82="",H78,H82)+IF(H101="",H97,H101)+IF(H120="",H116,H120)+IF(H139="",H135,H139)</f>
        <v>19.6732642661794</v>
      </c>
      <c r="I148" s="25" t="n">
        <f aca="false">IF(I25="",I21,I25)+IF(I44="",I40,I44)+IF(I63="",I59,I63)+IF(I82="",I78,I82)+IF(I101="",I97,I101)+IF(I120="",I116,I120)+IF(I139="",I135,I139)</f>
        <v>23.8420256753268</v>
      </c>
      <c r="J148" s="25" t="n">
        <f aca="false">IF(J25="",J21,J25)+IF(J44="",J40,J44)+IF(J63="",J59,J63)+IF(J82="",J78,J82)+IF(J101="",J97,J101)+IF(J120="",J116,J120)+IF(J139="",J135,J139)</f>
        <v>26.6323742060277</v>
      </c>
      <c r="K148" s="25" t="n">
        <f aca="false">IF(K25="",K21,K25)+IF(K44="",K40,K44)+IF(K63="",K59,K63)+IF(K82="",K78,K82)+IF(K101="",K97,K101)+IF(K120="",K116,K120)+IF(K139="",K135,K139)</f>
        <v>29.2902180480406</v>
      </c>
      <c r="L148" s="25" t="n">
        <f aca="false">IF(L25="",L21,L25)+IF(L44="",L40,L44)+IF(L63="",L59,L63)+IF(L82="",L78,L82)+IF(L101="",L97,L101)+IF(L120="",L116,L120)+IF(L139="",L135,L139)</f>
        <v>32.2104514703304</v>
      </c>
      <c r="M148" s="25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1923</v>
      </c>
      <c r="D149" s="25" t="n">
        <f aca="false">IF(D26="",D21,D26)+IF(D45="",D40,D45)+IF(D64="",D59,D64)+IF(D83="",D78,D83)+IF(D102="",D97,D102)+IF(D121="",D116,D121)+IF(D140="",D135,D140)</f>
        <v>0</v>
      </c>
      <c r="E149" s="25" t="n">
        <f aca="false">IF(E26="",E21,E26)+IF(E45="",E40,E45)+IF(E64="",E59,E64)+IF(E83="",E78,E83)+IF(E102="",E97,E102)+IF(E121="",E116,E121)+IF(E140="",E135,E140)</f>
        <v>1.61980834349181</v>
      </c>
      <c r="F149" s="25" t="n">
        <f aca="false">IF(F26="",F21,F26)+IF(F45="",F40,F45)+IF(F64="",F59,F64)+IF(F83="",F78,F83)+IF(F102="",F97,F102)+IF(F121="",F116,F121)+IF(F140="",F135,F140)</f>
        <v>8.74912429484715</v>
      </c>
      <c r="G149" s="25" t="n">
        <f aca="false">IF(G26="",G21,G26)+IF(G45="",G40,G45)+IF(G64="",G59,G64)+IF(G83="",G78,G83)+IF(G102="",G97,G102)+IF(G121="",G116,G121)+IF(G140="",G135,G140)</f>
        <v>8.60500469724557</v>
      </c>
      <c r="H149" s="25" t="n">
        <f aca="false">IF(H26="",H21,H26)+IF(H45="",H40,H45)+IF(H64="",H59,H64)+IF(H83="",H78,H83)+IF(H102="",H97,H102)+IF(H121="",H116,H121)+IF(H140="",H135,H140)</f>
        <v>18.6642581684446</v>
      </c>
      <c r="I149" s="25" t="n">
        <f aca="false">IF(I26="",I21,I26)+IF(I45="",I40,I45)+IF(I64="",I59,I64)+IF(I83="",I78,I83)+IF(I102="",I97,I102)+IF(I121="",I116,I121)+IF(I140="",I135,I140)</f>
        <v>21.9869264440432</v>
      </c>
      <c r="J149" s="25" t="n">
        <f aca="false">IF(J26="",J21,J26)+IF(J45="",J40,J45)+IF(J64="",J59,J64)+IF(J83="",J78,J83)+IF(J102="",J97,J102)+IF(J121="",J116,J121)+IF(J140="",J135,J140)</f>
        <v>24.1517007636525</v>
      </c>
      <c r="K149" s="25" t="n">
        <f aca="false">IF(K26="",K21,K26)+IF(K45="",K40,K45)+IF(K64="",K59,K64)+IF(K83="",K78,K83)+IF(K102="",K97,K102)+IF(K121="",K116,K121)+IF(K140="",K135,K140)</f>
        <v>26.5511442607816</v>
      </c>
      <c r="L149" s="25" t="n">
        <f aca="false">IF(L26="",L21,L26)+IF(L45="",L40,L45)+IF(L64="",L59,L64)+IF(L83="",L78,L83)+IF(L102="",L97,L102)+IF(L121="",L116,L121)+IF(L140="",L135,L140)</f>
        <v>29.2062586868597</v>
      </c>
      <c r="M149" s="25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1924</v>
      </c>
      <c r="D150" s="25" t="n">
        <f aca="false">IF(D27="",D21,D27)+IF(D46="",D40,D46)+IF(D65="",D59,D65)+IF(D84="",D78,D84)+IF(D103="",D97,D103)+IF(D122="",D116,D122)+IF(D141="",D135,D141)</f>
        <v>0</v>
      </c>
      <c r="E150" s="25" t="n">
        <f aca="false">IF(E27="",E21,E27)+IF(E46="",E40,E46)+IF(E65="",E59,E65)+IF(E84="",E78,E84)+IF(E103="",E97,E103)+IF(E122="",E116,E122)+IF(E141="",E135,E141)</f>
        <v>1.61980834349181</v>
      </c>
      <c r="F150" s="25" t="n">
        <f aca="false">IF(F27="",F21,F27)+IF(F46="",F40,F46)+IF(F65="",F59,F65)+IF(F84="",F78,F84)+IF(F103="",F97,F103)+IF(F122="",F116,F122)+IF(F141="",F135,F141)</f>
        <v>8.74912429484715</v>
      </c>
      <c r="G150" s="25" t="n">
        <f aca="false">IF(G27="",G21,G27)+IF(G46="",G40,G46)+IF(G65="",G59,G65)+IF(G84="",G78,G84)+IF(G103="",G97,G103)+IF(G122="",G116,G122)+IF(G141="",G135,G141)</f>
        <v>8.40423318373224</v>
      </c>
      <c r="H150" s="25" t="n">
        <f aca="false">IF(H27="",H21,H27)+IF(H46="",H40,H46)+IF(H65="",H59,H65)+IF(H84="",H78,H84)+IF(H103="",H97,H103)+IF(H122="",H116,H122)+IF(H141="",H135,H141)</f>
        <v>17.1132927679486</v>
      </c>
      <c r="I150" s="25" t="n">
        <f aca="false">IF(I27="",I21,I27)+IF(I46="",I40,I46)+IF(I65="",I59,I65)+IF(I84="",I78,I84)+IF(I103="",I97,I103)+IF(I122="",I116,I122)+IF(I141="",I135,I141)</f>
        <v>20.8092310328383</v>
      </c>
      <c r="J150" s="25" t="n">
        <f aca="false">IF(J27="",J21,J27)+IF(J46="",J40,J46)+IF(J65="",J59,J65)+IF(J84="",J78,J84)+IF(J103="",J97,J103)+IF(J122="",J116,J122)+IF(J141="",J135,J141)</f>
        <v>23.6521927841576</v>
      </c>
      <c r="K150" s="25" t="n">
        <f aca="false">IF(K27="",K21,K27)+IF(K46="",K40,K46)+IF(K65="",K59,K65)+IF(K84="",K78,K84)+IF(K103="",K97,K103)+IF(K122="",K116,K122)+IF(K141="",K135,K141)</f>
        <v>26.0229382570235</v>
      </c>
      <c r="L150" s="25" t="n">
        <f aca="false">IF(L27="",L21,L27)+IF(L46="",L40,L46)+IF(L65="",L59,L65)+IF(L84="",L78,L84)+IF(L103="",L97,L103)+IF(L122="",L116,L122)+IF(L141="",L135,L141)</f>
        <v>28.6095055034897</v>
      </c>
      <c r="M150" s="25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1925</v>
      </c>
    </row>
    <row r="2" customFormat="false" ht="17.15" hidden="false" customHeight="false" outlineLevel="0" collapsed="false">
      <c r="A2" s="5" t="s">
        <v>1926</v>
      </c>
    </row>
    <row r="3" customFormat="false" ht="15" hidden="false" customHeight="false" outlineLevel="0" collapsed="false">
      <c r="A3" s="6" t="s">
        <v>20</v>
      </c>
      <c r="B3" s="6" t="s">
        <v>1770</v>
      </c>
      <c r="C3" s="6" t="s">
        <v>1927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1928</v>
      </c>
      <c r="C4" s="0" t="s">
        <v>1774</v>
      </c>
      <c r="D4" s="25" t="n">
        <f aca="false">Pipeline!D244</f>
        <v>0</v>
      </c>
      <c r="E4" s="25" t="n">
        <f aca="false">Pipeline!E244</f>
        <v>1.61980834349181</v>
      </c>
      <c r="F4" s="25" t="n">
        <f aca="false">Pipeline!F244</f>
        <v>9.04912429484716</v>
      </c>
      <c r="G4" s="25" t="n">
        <f aca="false">Pipeline!G244</f>
        <v>12.5153714610592</v>
      </c>
      <c r="H4" s="25" t="n">
        <f aca="false">Pipeline!H244</f>
        <v>12.6031451245072</v>
      </c>
      <c r="I4" s="25" t="n">
        <f aca="false">Pipeline!I244</f>
        <v>19.2160473942424</v>
      </c>
      <c r="J4" s="25" t="n">
        <f aca="false">Pipeline!J244</f>
        <v>6.47302133099745</v>
      </c>
      <c r="K4" s="25" t="n">
        <f aca="false">Pipeline!K244</f>
        <v>7.01905502204789</v>
      </c>
      <c r="L4" s="25" t="n">
        <f aca="false">Pipeline!L244</f>
        <v>3.57284615384616</v>
      </c>
      <c r="M4" s="25" t="n">
        <f aca="false">Pipeline!M244</f>
        <v>4.93523076923077</v>
      </c>
    </row>
    <row r="5" customFormat="false" ht="17.15" hidden="false" customHeight="false" outlineLevel="0" collapsed="false">
      <c r="A5" s="5" t="s">
        <v>1929</v>
      </c>
      <c r="C5" s="0" t="s">
        <v>1774</v>
      </c>
      <c r="D5" s="25" t="n">
        <f aca="false">CapexGW!D146</f>
        <v>0</v>
      </c>
      <c r="E5" s="25" t="n">
        <f aca="false">CapexGW!E146</f>
        <v>0</v>
      </c>
      <c r="F5" s="25" t="n">
        <f aca="false">CapexGW!F146</f>
        <v>0</v>
      </c>
      <c r="G5" s="25" t="n">
        <f aca="false">CapexGW!G146</f>
        <v>0</v>
      </c>
      <c r="H5" s="25" t="n">
        <f aca="false">CapexGW!H146</f>
        <v>11.3591088015299</v>
      </c>
      <c r="I5" s="25" t="n">
        <f aca="false">CapexGW!I146</f>
        <v>7.70724540510739</v>
      </c>
      <c r="J5" s="25" t="n">
        <f aca="false">CapexGW!J146</f>
        <v>21.190446773905</v>
      </c>
      <c r="K5" s="25" t="n">
        <f aca="false">CapexGW!K146</f>
        <v>0</v>
      </c>
      <c r="L5" s="25" t="n">
        <f aca="false">CapexGW!L146</f>
        <v>0</v>
      </c>
      <c r="M5" s="25" t="n">
        <f aca="false">CapexGW!M146</f>
        <v>0</v>
      </c>
    </row>
    <row r="6" customFormat="false" ht="15" hidden="false" customHeight="false" outlineLevel="0" collapsed="false">
      <c r="A6" s="5" t="s">
        <v>1930</v>
      </c>
      <c r="D6" s="25" t="n">
        <f aca="false">Pipeline!D190</f>
        <v>0.630578355681972</v>
      </c>
      <c r="E6" s="25" t="n">
        <f aca="false">Pipeline!E190</f>
        <v>3.95899900597907</v>
      </c>
      <c r="F6" s="25" t="n">
        <f aca="false">Pipeline!F190</f>
        <v>10.0786333333333</v>
      </c>
      <c r="G6" s="25" t="n">
        <f aca="false">Pipeline!G190</f>
        <v>0</v>
      </c>
      <c r="H6" s="25" t="n">
        <f aca="false">Pipeline!H190</f>
        <v>0</v>
      </c>
      <c r="I6" s="25" t="n">
        <f aca="false">Pipeline!I190</f>
        <v>0</v>
      </c>
      <c r="J6" s="25" t="n">
        <f aca="false">Pipeline!J190</f>
        <v>0</v>
      </c>
      <c r="K6" s="25" t="n">
        <f aca="false">Pipeline!K190</f>
        <v>0</v>
      </c>
      <c r="L6" s="25" t="n">
        <f aca="false">Pipeline!L190</f>
        <v>0</v>
      </c>
      <c r="M6" s="25" t="n">
        <f aca="false">Pipeline!M190</f>
        <v>0</v>
      </c>
    </row>
    <row r="8" customFormat="false" ht="15" hidden="false" customHeight="false" outlineLevel="0" collapsed="false">
      <c r="A8" s="34" t="s">
        <v>1931</v>
      </c>
    </row>
    <row r="9" customFormat="false" ht="17.15" hidden="false" customHeight="false" outlineLevel="0" collapsed="false">
      <c r="A9" s="22" t="s">
        <v>1932</v>
      </c>
    </row>
    <row r="10" customFormat="false" ht="17.15" hidden="false" customHeight="false" outlineLevel="0" collapsed="false">
      <c r="A10" s="5" t="s">
        <v>1933</v>
      </c>
      <c r="B10" s="0" t="s">
        <v>1934</v>
      </c>
      <c r="C10" s="0" t="s">
        <v>1774</v>
      </c>
      <c r="D10" s="25" t="n">
        <f aca="false">0</f>
        <v>0</v>
      </c>
      <c r="E10" s="25" t="n">
        <f aca="false">(E$4+E$5)</f>
        <v>1.61980834349181</v>
      </c>
      <c r="F10" s="25" t="n">
        <f aca="false">(F$4+F$5)</f>
        <v>9.04912429484716</v>
      </c>
      <c r="G10" s="25" t="n">
        <f aca="false">(G$4+G$5)</f>
        <v>12.5153714610592</v>
      </c>
      <c r="H10" s="25" t="n">
        <f aca="false">(H$4+H$5)</f>
        <v>23.9622539260371</v>
      </c>
      <c r="I10" s="25" t="n">
        <f aca="false">(I$4+I$5)*SIL_In!$I$27</f>
        <v>26.9232927993497</v>
      </c>
      <c r="J10" s="25" t="n">
        <f aca="false">(J$4+J$5)*SIL_In!$J$27</f>
        <v>27.6634681049025</v>
      </c>
      <c r="K10" s="25" t="n">
        <f aca="false">(Pipeline!J241+SUM($E$12:J12))*K11</f>
        <v>28.071624456532</v>
      </c>
      <c r="L10" s="25" t="n">
        <f aca="false">(Pipeline!K241+SUM($E$12:K12))*L11</f>
        <v>24.6443743325068</v>
      </c>
      <c r="M10" s="25" t="n">
        <f aca="false">(Pipeline!L241+SUM($E$12:L12))*M11</f>
        <v>16.9117528413721</v>
      </c>
    </row>
    <row r="11" customFormat="false" ht="17.15" hidden="false" customHeight="false" outlineLevel="0" collapsed="false">
      <c r="A11" s="5" t="s">
        <v>1935</v>
      </c>
      <c r="B11" s="0" t="s">
        <v>1934</v>
      </c>
      <c r="D11" s="24" t="str">
        <f aca="false">""</f>
        <v/>
      </c>
      <c r="E11" s="24" t="str">
        <f aca="false">""</f>
        <v/>
      </c>
      <c r="F11" s="24" t="str">
        <f aca="false">""</f>
        <v/>
      </c>
      <c r="G11" s="24" t="str">
        <f aca="false">""</f>
        <v/>
      </c>
      <c r="H11" s="24" t="str">
        <f aca="false">""</f>
        <v/>
      </c>
      <c r="I11" s="24" t="str">
        <f aca="false">""</f>
        <v/>
      </c>
      <c r="J11" s="24" t="n">
        <f aca="false">IFERROR(J10/(Pipeline!I241+SUM($E$12:I12)),g_lt)</f>
        <v>0.311742984139184</v>
      </c>
      <c r="K11" s="24" t="n">
        <f aca="false">$J$11+(g_lt-$J$11)*(2030-2029)/3</f>
        <v>0.241161989426123</v>
      </c>
      <c r="L11" s="24" t="n">
        <f aca="false">$J$11+(g_lt-$J$11)*(2031-2029)/3</f>
        <v>0.170580994713061</v>
      </c>
      <c r="M11" s="24" t="n">
        <f aca="false">$J$11+(g_lt-$J$11)*(2032-2029)/3</f>
        <v>0.1</v>
      </c>
    </row>
    <row r="12" customFormat="false" ht="17.15" hidden="false" customHeight="false" outlineLevel="0" collapsed="false">
      <c r="A12" s="5" t="s">
        <v>1936</v>
      </c>
      <c r="B12" s="0" t="s">
        <v>1934</v>
      </c>
      <c r="D12" s="25" t="n">
        <f aca="false">0</f>
        <v>0</v>
      </c>
      <c r="E12" s="25" t="n">
        <f aca="false">E10-E$4</f>
        <v>0</v>
      </c>
      <c r="F12" s="25" t="n">
        <f aca="false">F10-F$4</f>
        <v>0</v>
      </c>
      <c r="G12" s="25" t="n">
        <f aca="false">G10-G$4</f>
        <v>0</v>
      </c>
      <c r="H12" s="25" t="n">
        <f aca="false">H10-H$4</f>
        <v>11.3591088015299</v>
      </c>
      <c r="I12" s="25" t="n">
        <f aca="false">I10-I$4</f>
        <v>7.70724540510739</v>
      </c>
      <c r="J12" s="25" t="n">
        <f aca="false">J10-J$4</f>
        <v>21.190446773905</v>
      </c>
      <c r="K12" s="25" t="n">
        <f aca="false">K10-K$4</f>
        <v>21.0525694344841</v>
      </c>
      <c r="L12" s="25" t="n">
        <f aca="false">L10-L$4</f>
        <v>21.0715281786607</v>
      </c>
      <c r="M12" s="25" t="n">
        <f aca="false">M10-M$4</f>
        <v>11.9765220721413</v>
      </c>
    </row>
    <row r="13" customFormat="false" ht="17.15" hidden="false" customHeight="false" outlineLevel="0" collapsed="false">
      <c r="A13" s="22" t="s">
        <v>1778</v>
      </c>
      <c r="B13" s="21" t="s">
        <v>1934</v>
      </c>
      <c r="C13" s="21" t="s">
        <v>1774</v>
      </c>
      <c r="D13" s="26" t="n">
        <f aca="false">Pipeline!D241+SUMPRODUCT($E$12:$M$12,Pipeline!$E$196:$M$196)</f>
        <v>0.630578355681972</v>
      </c>
      <c r="E13" s="26" t="n">
        <f aca="false">Pipeline!E241+SUMPRODUCT($E$12:$M$12,Pipeline!$E$197:$M$197)</f>
        <v>6.20938570515285</v>
      </c>
      <c r="F13" s="26" t="n">
        <f aca="false">Pipeline!F241+SUMPRODUCT($E$12:$M$12,Pipeline!$E$198:$M$198)</f>
        <v>25.3371433333333</v>
      </c>
      <c r="G13" s="26" t="n">
        <f aca="false">Pipeline!G241+SUMPRODUCT($E$12:$M$12,Pipeline!$E$199:$M$199)</f>
        <v>37.8525147943925</v>
      </c>
      <c r="H13" s="26" t="n">
        <f aca="false">Pipeline!H241+SUMPRODUCT($E$12:$M$12,Pipeline!$E$200:$M$200)</f>
        <v>61.8147687204296</v>
      </c>
      <c r="I13" s="26" t="n">
        <f aca="false">Pipeline!I241+SUMPRODUCT($E$12:$M$12,Pipeline!$E$201:$M$201)</f>
        <v>88.7380615197793</v>
      </c>
      <c r="J13" s="26" t="n">
        <f aca="false">Pipeline!J241+SUMPRODUCT($E$12:$M$12,Pipeline!$E$202:$M$202)</f>
        <v>116.401529624682</v>
      </c>
      <c r="K13" s="26" t="n">
        <f aca="false">Pipeline!K241+SUMPRODUCT($E$12:$M$12,Pipeline!$E$203:$M$203)</f>
        <v>144.473154081214</v>
      </c>
      <c r="L13" s="26" t="n">
        <f aca="false">Pipeline!L241+SUMPRODUCT($E$12:$M$12,Pipeline!$E$204:$M$204)</f>
        <v>169.117528413721</v>
      </c>
      <c r="M13" s="26" t="n">
        <f aca="false">Pipeline!M241+SUMPRODUCT($E$12:$M$12,Pipeline!$E$205:$M$205)</f>
        <v>186.029281255093</v>
      </c>
    </row>
    <row r="14" customFormat="false" ht="17.15" hidden="false" customHeight="false" outlineLevel="0" collapsed="false">
      <c r="A14" s="22" t="s">
        <v>1778</v>
      </c>
      <c r="B14" s="21" t="s">
        <v>1934</v>
      </c>
      <c r="C14" s="21" t="s">
        <v>1775</v>
      </c>
      <c r="D14" s="26" t="n">
        <f aca="false">Pipeline!D242+SUMPRODUCT($E$12:$M$12,Pipeline!$E$208:$M$208)</f>
        <v>0.630578355681972</v>
      </c>
      <c r="E14" s="26" t="n">
        <f aca="false">Pipeline!E242+SUMPRODUCT($E$12:$M$12,Pipeline!$E$209:$M$209)</f>
        <v>6.20938570515285</v>
      </c>
      <c r="F14" s="26" t="n">
        <f aca="false">Pipeline!F242+SUMPRODUCT($E$12:$M$12,Pipeline!$E$210:$M$210)</f>
        <v>25.3371433333333</v>
      </c>
      <c r="G14" s="26" t="n">
        <f aca="false">Pipeline!G242+SUMPRODUCT($E$12:$M$12,Pipeline!$E$211:$M$211)</f>
        <v>37.043435095226</v>
      </c>
      <c r="H14" s="26" t="n">
        <f aca="false">Pipeline!H242+SUMPRODUCT($E$12:$M$12,Pipeline!$E$212:$M$212)</f>
        <v>57.3231451167064</v>
      </c>
      <c r="I14" s="26" t="n">
        <f aca="false">Pipeline!I242+SUMPRODUCT($E$12:$M$12,Pipeline!$E$213:$M$213)</f>
        <v>83.4960019465598</v>
      </c>
      <c r="J14" s="26" t="n">
        <f aca="false">Pipeline!J242+SUMPRODUCT($E$12:$M$12,Pipeline!$E$214:$M$214)</f>
        <v>111.175597706324</v>
      </c>
      <c r="K14" s="26" t="n">
        <f aca="false">Pipeline!K242+SUMPRODUCT($E$12:$M$12,Pipeline!$E$215:$M$215)</f>
        <v>139.124344801321</v>
      </c>
      <c r="L14" s="26" t="n">
        <f aca="false">Pipeline!L242+SUMPRODUCT($E$12:$M$12,Pipeline!$E$216:$M$216)</f>
        <v>164.556437905532</v>
      </c>
      <c r="M14" s="26" t="n">
        <f aca="false">Pipeline!M242+SUMPRODUCT($E$12:$M$12,Pipeline!$E$217:$M$217)</f>
        <v>182.620674507853</v>
      </c>
    </row>
    <row r="15" customFormat="false" ht="17.15" hidden="false" customHeight="false" outlineLevel="0" collapsed="false">
      <c r="A15" s="22" t="s">
        <v>1778</v>
      </c>
      <c r="B15" s="21" t="s">
        <v>1934</v>
      </c>
      <c r="C15" s="21" t="s">
        <v>1776</v>
      </c>
      <c r="D15" s="26" t="n">
        <f aca="false">Pipeline!D243+SUMPRODUCT($E$12:$M$12,Pipeline!$E$220:$M$220)</f>
        <v>0.630578355681972</v>
      </c>
      <c r="E15" s="26" t="n">
        <f aca="false">Pipeline!E243+SUMPRODUCT($E$12:$M$12,Pipeline!$E$221:$M$221)</f>
        <v>6.20938570515285</v>
      </c>
      <c r="F15" s="26" t="n">
        <f aca="false">Pipeline!F243+SUMPRODUCT($E$12:$M$12,Pipeline!$E$222:$M$222)</f>
        <v>25.3371433333333</v>
      </c>
      <c r="G15" s="26" t="n">
        <f aca="false">Pipeline!G243+SUMPRODUCT($E$12:$M$12,Pipeline!$E$223:$M$223)</f>
        <v>37.043435095226</v>
      </c>
      <c r="H15" s="26" t="n">
        <f aca="false">Pipeline!H243+SUMPRODUCT($E$12:$M$12,Pipeline!$E$224:$M$224)</f>
        <v>49.5848129877809</v>
      </c>
      <c r="I15" s="26" t="n">
        <f aca="false">Pipeline!I243+SUMPRODUCT($E$12:$M$12,Pipeline!$E$225:$M$225)</f>
        <v>73.7465792146185</v>
      </c>
      <c r="J15" s="26" t="n">
        <f aca="false">Pipeline!J243+SUMPRODUCT($E$12:$M$12,Pipeline!$E$226:$M$226)</f>
        <v>109.100333877036</v>
      </c>
      <c r="K15" s="26" t="n">
        <f aca="false">Pipeline!K243+SUMPRODUCT($E$12:$M$12,Pipeline!$E$227:$M$227)</f>
        <v>139.124344801321</v>
      </c>
      <c r="L15" s="26" t="n">
        <f aca="false">Pipeline!L243+SUMPRODUCT($E$12:$M$12,Pipeline!$E$228:$M$228)</f>
        <v>164.556437905532</v>
      </c>
      <c r="M15" s="26" t="n">
        <f aca="false">Pipeline!M243+SUMPRODUCT($E$12:$M$12,Pipeline!$E$229:$M$229)</f>
        <v>182.620674507853</v>
      </c>
    </row>
    <row r="16" customFormat="false" ht="17.15" hidden="false" customHeight="false" outlineLevel="0" collapsed="false">
      <c r="A16" s="5" t="s">
        <v>1669</v>
      </c>
      <c r="B16" s="0" t="s">
        <v>1934</v>
      </c>
      <c r="C16" s="0" t="s">
        <v>1774</v>
      </c>
      <c r="D16" s="25" t="str">
        <f aca="false">""</f>
        <v/>
      </c>
      <c r="E16" s="25" t="n">
        <f aca="false">(D13+E13)/2</f>
        <v>3.41998203041741</v>
      </c>
      <c r="F16" s="25" t="n">
        <f aca="false">(E13+F13)/2</f>
        <v>15.7732645192431</v>
      </c>
      <c r="G16" s="25" t="n">
        <f aca="false">(F13+G13)/2</f>
        <v>31.5948290638629</v>
      </c>
      <c r="H16" s="25" t="n">
        <f aca="false">(G13+H13)/2</f>
        <v>49.8336417574111</v>
      </c>
      <c r="I16" s="25" t="n">
        <f aca="false">(H13+I13)/2</f>
        <v>75.2764151201045</v>
      </c>
      <c r="J16" s="25" t="n">
        <f aca="false">(I13+J13)/2</f>
        <v>102.569795572231</v>
      </c>
      <c r="K16" s="25" t="n">
        <f aca="false">(J13+K13)/2</f>
        <v>130.437341852948</v>
      </c>
      <c r="L16" s="25" t="n">
        <f aca="false">(K13+L13)/2</f>
        <v>156.795341247467</v>
      </c>
      <c r="M16" s="25" t="n">
        <f aca="false">(L13+M13)/2</f>
        <v>177.573404834407</v>
      </c>
    </row>
    <row r="17" customFormat="false" ht="17.15" hidden="false" customHeight="false" outlineLevel="0" collapsed="false">
      <c r="A17" s="5" t="s">
        <v>1669</v>
      </c>
      <c r="B17" s="0" t="s">
        <v>1934</v>
      </c>
      <c r="C17" s="0" t="s">
        <v>1775</v>
      </c>
      <c r="D17" s="25" t="str">
        <f aca="false">""</f>
        <v/>
      </c>
      <c r="E17" s="25" t="n">
        <f aca="false">(D14+E14)/2</f>
        <v>3.41998203041741</v>
      </c>
      <c r="F17" s="25" t="n">
        <f aca="false">(E14+F14)/2</f>
        <v>15.7732645192431</v>
      </c>
      <c r="G17" s="25" t="n">
        <f aca="false">(F14+G14)/2</f>
        <v>31.1902892142797</v>
      </c>
      <c r="H17" s="25" t="n">
        <f aca="false">(G14+H14)/2</f>
        <v>47.1832901059662</v>
      </c>
      <c r="I17" s="25" t="n">
        <f aca="false">(H14+I14)/2</f>
        <v>70.4095735316331</v>
      </c>
      <c r="J17" s="25" t="n">
        <f aca="false">(I14+J14)/2</f>
        <v>97.3357998264418</v>
      </c>
      <c r="K17" s="25" t="n">
        <f aca="false">(J14+K14)/2</f>
        <v>125.149971253822</v>
      </c>
      <c r="L17" s="25" t="n">
        <f aca="false">(K14+L14)/2</f>
        <v>151.840391353426</v>
      </c>
      <c r="M17" s="25" t="n">
        <f aca="false">(L14+M14)/2</f>
        <v>173.588556206692</v>
      </c>
    </row>
    <row r="18" customFormat="false" ht="17.15" hidden="false" customHeight="false" outlineLevel="0" collapsed="false">
      <c r="A18" s="5" t="s">
        <v>1669</v>
      </c>
      <c r="B18" s="0" t="s">
        <v>1934</v>
      </c>
      <c r="C18" s="0" t="s">
        <v>1776</v>
      </c>
      <c r="D18" s="25" t="str">
        <f aca="false">""</f>
        <v/>
      </c>
      <c r="E18" s="25" t="n">
        <f aca="false">(D15+E15)/2</f>
        <v>3.41998203041741</v>
      </c>
      <c r="F18" s="25" t="n">
        <f aca="false">(E15+F15)/2</f>
        <v>15.7732645192431</v>
      </c>
      <c r="G18" s="25" t="n">
        <f aca="false">(F15+G15)/2</f>
        <v>31.1902892142797</v>
      </c>
      <c r="H18" s="25" t="n">
        <f aca="false">(G15+H15)/2</f>
        <v>43.3141240415034</v>
      </c>
      <c r="I18" s="25" t="n">
        <f aca="false">(H15+I15)/2</f>
        <v>61.6656961011997</v>
      </c>
      <c r="J18" s="25" t="n">
        <f aca="false">(I15+J15)/2</f>
        <v>91.4234565458273</v>
      </c>
      <c r="K18" s="25" t="n">
        <f aca="false">(J15+K15)/2</f>
        <v>124.112339339178</v>
      </c>
      <c r="L18" s="25" t="n">
        <f aca="false">(K15+L15)/2</f>
        <v>151.840391353426</v>
      </c>
      <c r="M18" s="25" t="n">
        <f aca="false">(L15+M15)/2</f>
        <v>173.588556206692</v>
      </c>
    </row>
    <row r="19" customFormat="false" ht="17.15" hidden="false" customHeight="false" outlineLevel="0" collapsed="false">
      <c r="A19" s="5" t="s">
        <v>1779</v>
      </c>
      <c r="B19" s="0" t="s">
        <v>1934</v>
      </c>
      <c r="C19" s="0" t="s">
        <v>1774</v>
      </c>
      <c r="D19" s="25" t="n">
        <f aca="false">0</f>
        <v>0</v>
      </c>
      <c r="E19" s="25" t="n">
        <f aca="false">E13-D13-E$6</f>
        <v>1.61980834349181</v>
      </c>
      <c r="F19" s="25" t="n">
        <f aca="false">F13-E13-F$6</f>
        <v>9.04912429484716</v>
      </c>
      <c r="G19" s="25" t="n">
        <f aca="false">G13-F13-G$6</f>
        <v>12.5153714610592</v>
      </c>
      <c r="H19" s="25" t="n">
        <f aca="false">H13-G13-H$6</f>
        <v>23.9622539260371</v>
      </c>
      <c r="I19" s="25" t="n">
        <f aca="false">I13-H13-I$6</f>
        <v>26.9232927993498</v>
      </c>
      <c r="J19" s="25" t="n">
        <f aca="false">J13-I13-J$6</f>
        <v>27.6634681049025</v>
      </c>
      <c r="K19" s="25" t="n">
        <f aca="false">K13-J13-K$6</f>
        <v>28.071624456532</v>
      </c>
      <c r="L19" s="25" t="n">
        <f aca="false">L13-K13-L$6</f>
        <v>24.6443743325068</v>
      </c>
      <c r="M19" s="25" t="n">
        <f aca="false">M13-L13-M$6</f>
        <v>16.9117528413721</v>
      </c>
    </row>
    <row r="20" customFormat="false" ht="17.15" hidden="false" customHeight="false" outlineLevel="0" collapsed="false">
      <c r="A20" s="5" t="s">
        <v>1779</v>
      </c>
      <c r="B20" s="0" t="s">
        <v>1934</v>
      </c>
      <c r="C20" s="0" t="s">
        <v>1775</v>
      </c>
      <c r="D20" s="25" t="n">
        <f aca="false">0</f>
        <v>0</v>
      </c>
      <c r="E20" s="25" t="n">
        <f aca="false">E14-D14-E$6</f>
        <v>1.61980834349181</v>
      </c>
      <c r="F20" s="25" t="n">
        <f aca="false">F14-E14-F$6</f>
        <v>9.04912429484716</v>
      </c>
      <c r="G20" s="25" t="n">
        <f aca="false">G14-F14-G$6</f>
        <v>11.7062917618926</v>
      </c>
      <c r="H20" s="25" t="n">
        <f aca="false">H14-G14-H$6</f>
        <v>20.2797100214805</v>
      </c>
      <c r="I20" s="25" t="n">
        <f aca="false">I14-H14-I$6</f>
        <v>26.1728568298534</v>
      </c>
      <c r="J20" s="25" t="n">
        <f aca="false">J14-I14-J$6</f>
        <v>27.6795957597641</v>
      </c>
      <c r="K20" s="25" t="n">
        <f aca="false">K14-J14-K$6</f>
        <v>27.9487470949969</v>
      </c>
      <c r="L20" s="25" t="n">
        <f aca="false">L14-K14-L$6</f>
        <v>25.4320931042112</v>
      </c>
      <c r="M20" s="25" t="n">
        <f aca="false">M14-L14-M$6</f>
        <v>18.0642366023206</v>
      </c>
    </row>
    <row r="21" customFormat="false" ht="17.15" hidden="false" customHeight="false" outlineLevel="0" collapsed="false">
      <c r="A21" s="5" t="s">
        <v>1779</v>
      </c>
      <c r="B21" s="0" t="s">
        <v>1934</v>
      </c>
      <c r="C21" s="0" t="s">
        <v>1776</v>
      </c>
      <c r="D21" s="25" t="n">
        <f aca="false">0</f>
        <v>0</v>
      </c>
      <c r="E21" s="25" t="n">
        <f aca="false">E15-D15-E$6</f>
        <v>1.61980834349181</v>
      </c>
      <c r="F21" s="25" t="n">
        <f aca="false">F15-E15-F$6</f>
        <v>9.04912429484716</v>
      </c>
      <c r="G21" s="25" t="n">
        <f aca="false">G15-F15-G$6</f>
        <v>11.7062917618926</v>
      </c>
      <c r="H21" s="25" t="n">
        <f aca="false">H15-G15-H$6</f>
        <v>12.5413778925549</v>
      </c>
      <c r="I21" s="25" t="n">
        <f aca="false">I15-H15-I$6</f>
        <v>24.1617662268376</v>
      </c>
      <c r="J21" s="25" t="n">
        <f aca="false">J15-I15-J$6</f>
        <v>35.3537546624176</v>
      </c>
      <c r="K21" s="25" t="n">
        <f aca="false">K15-J15-K$6</f>
        <v>30.0240109242847</v>
      </c>
      <c r="L21" s="25" t="n">
        <f aca="false">L15-K15-L$6</f>
        <v>25.4320931042112</v>
      </c>
      <c r="M21" s="25" t="n">
        <f aca="false">M15-L15-M$6</f>
        <v>18.0642366023206</v>
      </c>
    </row>
    <row r="22" customFormat="false" ht="17.15" hidden="false" customHeight="false" outlineLevel="0" collapsed="false">
      <c r="A22" s="5" t="s">
        <v>1780</v>
      </c>
      <c r="B22" s="0" t="s">
        <v>1934</v>
      </c>
      <c r="C22" s="0" t="s">
        <v>1775</v>
      </c>
      <c r="D22" s="25" t="n">
        <f aca="false">D13-D14</f>
        <v>0</v>
      </c>
      <c r="E22" s="25" t="n">
        <f aca="false">E13-E14</f>
        <v>0</v>
      </c>
      <c r="F22" s="25" t="n">
        <f aca="false">F13-F14</f>
        <v>0</v>
      </c>
      <c r="G22" s="25" t="n">
        <f aca="false">G13-G14</f>
        <v>0.809079699166553</v>
      </c>
      <c r="H22" s="25" t="n">
        <f aca="false">H13-H14</f>
        <v>4.49162360372316</v>
      </c>
      <c r="I22" s="25" t="n">
        <f aca="false">I13-I14</f>
        <v>5.24205957321955</v>
      </c>
      <c r="J22" s="25" t="n">
        <f aca="false">J13-J14</f>
        <v>5.22593191835794</v>
      </c>
      <c r="K22" s="25" t="n">
        <f aca="false">K13-K14</f>
        <v>5.34880927989309</v>
      </c>
      <c r="L22" s="25" t="n">
        <f aca="false">L13-L14</f>
        <v>4.56109050818867</v>
      </c>
      <c r="M22" s="25" t="n">
        <f aca="false">M13-M14</f>
        <v>3.4086067472401</v>
      </c>
    </row>
    <row r="23" customFormat="false" ht="17.15" hidden="false" customHeight="false" outlineLevel="0" collapsed="false">
      <c r="A23" s="5" t="s">
        <v>1780</v>
      </c>
      <c r="B23" s="0" t="s">
        <v>1934</v>
      </c>
      <c r="C23" s="0" t="s">
        <v>1776</v>
      </c>
      <c r="D23" s="25" t="n">
        <f aca="false">D13-D15</f>
        <v>0</v>
      </c>
      <c r="E23" s="25" t="n">
        <f aca="false">E13-E15</f>
        <v>0</v>
      </c>
      <c r="F23" s="25" t="n">
        <f aca="false">F13-F15</f>
        <v>0</v>
      </c>
      <c r="G23" s="25" t="n">
        <f aca="false">G13-G15</f>
        <v>0.809079699166553</v>
      </c>
      <c r="H23" s="25" t="n">
        <f aca="false">H13-H15</f>
        <v>12.2299557326487</v>
      </c>
      <c r="I23" s="25" t="n">
        <f aca="false">I13-I15</f>
        <v>14.9914823051609</v>
      </c>
      <c r="J23" s="25" t="n">
        <f aca="false">J13-J15</f>
        <v>7.30119574764576</v>
      </c>
      <c r="K23" s="25" t="n">
        <f aca="false">K13-K15</f>
        <v>5.34880927989309</v>
      </c>
      <c r="L23" s="25" t="n">
        <f aca="false">L13-L15</f>
        <v>4.56109050818867</v>
      </c>
      <c r="M23" s="25" t="n">
        <f aca="false">M13-M15</f>
        <v>3.4086067472401</v>
      </c>
    </row>
    <row r="25" customFormat="false" ht="17.15" hidden="false" customHeight="false" outlineLevel="0" collapsed="false">
      <c r="A25" s="22" t="s">
        <v>1937</v>
      </c>
    </row>
    <row r="26" customFormat="false" ht="17.15" hidden="false" customHeight="false" outlineLevel="0" collapsed="false">
      <c r="A26" s="5" t="s">
        <v>1933</v>
      </c>
      <c r="B26" s="0" t="s">
        <v>1938</v>
      </c>
      <c r="C26" s="0" t="s">
        <v>1774</v>
      </c>
      <c r="D26" s="25" t="n">
        <f aca="false">0</f>
        <v>0</v>
      </c>
      <c r="E26" s="25" t="n">
        <f aca="false">(E$4+E$5)</f>
        <v>1.61980834349181</v>
      </c>
      <c r="F26" s="25" t="n">
        <f aca="false">(F$4+F$5)</f>
        <v>9.04912429484716</v>
      </c>
      <c r="G26" s="25" t="n">
        <f aca="false">(G$4+G$5)</f>
        <v>12.5153714610592</v>
      </c>
      <c r="H26" s="25" t="n">
        <f aca="false">(H$4+H$5)</f>
        <v>23.9622539260371</v>
      </c>
      <c r="I26" s="25" t="n">
        <f aca="false">(I$4+I$5)*SIL_In!$I$28</f>
        <v>21.5386342394798</v>
      </c>
      <c r="J26" s="25" t="n">
        <f aca="false">(J$4+J$5)*SIL_In!$J$28</f>
        <v>23.5139478891671</v>
      </c>
      <c r="K26" s="25" t="n">
        <f aca="false">(Pipeline!J241+SUM($E$28:J28))*K27</f>
        <v>23.6603912321806</v>
      </c>
      <c r="L26" s="25" t="n">
        <f aca="false">(Pipeline!K241+SUM($E$28:K28))*L27</f>
        <v>20.9757835743525</v>
      </c>
      <c r="M26" s="25" t="n">
        <f aca="false">(Pipeline!L241+SUM($E$28:L28))*M27</f>
        <v>15.150352565561</v>
      </c>
    </row>
    <row r="27" customFormat="false" ht="17.15" hidden="false" customHeight="false" outlineLevel="0" collapsed="false">
      <c r="A27" s="5" t="s">
        <v>1935</v>
      </c>
      <c r="B27" s="0" t="s">
        <v>1938</v>
      </c>
      <c r="D27" s="24" t="str">
        <f aca="false">""</f>
        <v/>
      </c>
      <c r="E27" s="24" t="str">
        <f aca="false">""</f>
        <v/>
      </c>
      <c r="F27" s="24" t="str">
        <f aca="false">""</f>
        <v/>
      </c>
      <c r="G27" s="24" t="str">
        <f aca="false">""</f>
        <v/>
      </c>
      <c r="H27" s="24" t="str">
        <f aca="false">""</f>
        <v/>
      </c>
      <c r="I27" s="24" t="str">
        <f aca="false">""</f>
        <v/>
      </c>
      <c r="J27" s="24" t="n">
        <f aca="false">IFERROR(J26/(Pipeline!I241+SUM($E$28:I28)),g_lt)</f>
        <v>0.282099435106167</v>
      </c>
      <c r="K27" s="24" t="n">
        <f aca="false">$J$27+(g_lt-$J$27)*(2030-2029)/3</f>
        <v>0.221399623404111</v>
      </c>
      <c r="L27" s="24" t="n">
        <f aca="false">$J$27+(g_lt-$J$27)*(2031-2029)/3</f>
        <v>0.160699811702056</v>
      </c>
      <c r="M27" s="24" t="n">
        <f aca="false">$J$27+(g_lt-$J$27)*(2032-2029)/3</f>
        <v>0.1</v>
      </c>
    </row>
    <row r="28" customFormat="false" ht="17.15" hidden="false" customHeight="false" outlineLevel="0" collapsed="false">
      <c r="A28" s="5" t="s">
        <v>1936</v>
      </c>
      <c r="B28" s="0" t="s">
        <v>1938</v>
      </c>
      <c r="D28" s="25" t="n">
        <f aca="false">0</f>
        <v>0</v>
      </c>
      <c r="E28" s="25" t="n">
        <f aca="false">E26-E$4</f>
        <v>0</v>
      </c>
      <c r="F28" s="25" t="n">
        <f aca="false">F26-F$4</f>
        <v>0</v>
      </c>
      <c r="G28" s="25" t="n">
        <f aca="false">G26-G$4</f>
        <v>0</v>
      </c>
      <c r="H28" s="25" t="n">
        <f aca="false">H26-H$4</f>
        <v>11.3591088015299</v>
      </c>
      <c r="I28" s="25" t="n">
        <f aca="false">I26-I$4</f>
        <v>2.32258684523745</v>
      </c>
      <c r="J28" s="25" t="n">
        <f aca="false">J26-J$4</f>
        <v>17.0409265581697</v>
      </c>
      <c r="K28" s="25" t="n">
        <f aca="false">K26-K$4</f>
        <v>16.6413362101327</v>
      </c>
      <c r="L28" s="25" t="n">
        <f aca="false">L26-L$4</f>
        <v>17.4029374205063</v>
      </c>
      <c r="M28" s="25" t="n">
        <f aca="false">M26-M$4</f>
        <v>10.2151217963302</v>
      </c>
    </row>
    <row r="29" customFormat="false" ht="17.15" hidden="false" customHeight="false" outlineLevel="0" collapsed="false">
      <c r="A29" s="22" t="s">
        <v>1778</v>
      </c>
      <c r="B29" s="21" t="s">
        <v>1938</v>
      </c>
      <c r="C29" s="21" t="s">
        <v>1774</v>
      </c>
      <c r="D29" s="26" t="n">
        <f aca="false">Pipeline!D241+SUMPRODUCT($E$28:$M$28,Pipeline!$E$196:$M$196)</f>
        <v>0.630578355681972</v>
      </c>
      <c r="E29" s="26" t="n">
        <f aca="false">Pipeline!E241+SUMPRODUCT($E$28:$M$28,Pipeline!$E$197:$M$197)</f>
        <v>6.20938570515285</v>
      </c>
      <c r="F29" s="26" t="n">
        <f aca="false">Pipeline!F241+SUMPRODUCT($E$28:$M$28,Pipeline!$E$198:$M$198)</f>
        <v>25.3371433333333</v>
      </c>
      <c r="G29" s="26" t="n">
        <f aca="false">Pipeline!G241+SUMPRODUCT($E$28:$M$28,Pipeline!$E$199:$M$199)</f>
        <v>37.8525147943925</v>
      </c>
      <c r="H29" s="26" t="n">
        <f aca="false">Pipeline!H241+SUMPRODUCT($E$28:$M$28,Pipeline!$E$200:$M$200)</f>
        <v>61.8147687204296</v>
      </c>
      <c r="I29" s="26" t="n">
        <f aca="false">Pipeline!I241+SUMPRODUCT($E$28:$M$28,Pipeline!$E$201:$M$201)</f>
        <v>83.3534029599094</v>
      </c>
      <c r="J29" s="26" t="n">
        <f aca="false">Pipeline!J241+SUMPRODUCT($E$28:$M$28,Pipeline!$E$202:$M$202)</f>
        <v>106.867350849077</v>
      </c>
      <c r="K29" s="26" t="n">
        <f aca="false">Pipeline!K241+SUMPRODUCT($E$28:$M$28,Pipeline!$E$203:$M$203)</f>
        <v>130.527742081257</v>
      </c>
      <c r="L29" s="26" t="n">
        <f aca="false">Pipeline!L241+SUMPRODUCT($E$28:$M$28,Pipeline!$E$204:$M$204)</f>
        <v>151.50352565561</v>
      </c>
      <c r="M29" s="26" t="n">
        <f aca="false">Pipeline!M241+SUMPRODUCT($E$28:$M$28,Pipeline!$E$205:$M$205)</f>
        <v>166.653878221171</v>
      </c>
    </row>
    <row r="30" customFormat="false" ht="17.15" hidden="false" customHeight="false" outlineLevel="0" collapsed="false">
      <c r="A30" s="22" t="s">
        <v>1778</v>
      </c>
      <c r="B30" s="21" t="s">
        <v>1938</v>
      </c>
      <c r="C30" s="21" t="s">
        <v>1775</v>
      </c>
      <c r="D30" s="26" t="n">
        <f aca="false">Pipeline!D242+SUMPRODUCT($E$28:$M$28,Pipeline!$E$208:$M$208)</f>
        <v>0.630578355681972</v>
      </c>
      <c r="E30" s="26" t="n">
        <f aca="false">Pipeline!E242+SUMPRODUCT($E$28:$M$28,Pipeline!$E$209:$M$209)</f>
        <v>6.20938570515285</v>
      </c>
      <c r="F30" s="26" t="n">
        <f aca="false">Pipeline!F242+SUMPRODUCT($E$28:$M$28,Pipeline!$E$210:$M$210)</f>
        <v>25.3371433333333</v>
      </c>
      <c r="G30" s="26" t="n">
        <f aca="false">Pipeline!G242+SUMPRODUCT($E$28:$M$28,Pipeline!$E$211:$M$211)</f>
        <v>37.043435095226</v>
      </c>
      <c r="H30" s="26" t="n">
        <f aca="false">Pipeline!H242+SUMPRODUCT($E$28:$M$28,Pipeline!$E$212:$M$212)</f>
        <v>57.3231451167064</v>
      </c>
      <c r="I30" s="26" t="n">
        <f aca="false">Pipeline!I242+SUMPRODUCT($E$28:$M$28,Pipeline!$E$213:$M$213)</f>
        <v>79.0536586346671</v>
      </c>
      <c r="J30" s="26" t="n">
        <f aca="false">Pipeline!J242+SUMPRODUCT($E$28:$M$28,Pipeline!$E$214:$M$214)</f>
        <v>102.367584968472</v>
      </c>
      <c r="K30" s="26" t="n">
        <f aca="false">Pipeline!K242+SUMPRODUCT($E$28:$M$28,Pipeline!$E$215:$M$215)</f>
        <v>125.950898615625</v>
      </c>
      <c r="L30" s="26" t="n">
        <f aca="false">Pipeline!L242+SUMPRODUCT($E$28:$M$28,Pipeline!$E$216:$M$216)</f>
        <v>147.584438530098</v>
      </c>
      <c r="M30" s="26" t="n">
        <f aca="false">Pipeline!M242+SUMPRODUCT($E$28:$M$28,Pipeline!$E$217:$M$217)</f>
        <v>163.553516522197</v>
      </c>
    </row>
    <row r="31" customFormat="false" ht="17.15" hidden="false" customHeight="false" outlineLevel="0" collapsed="false">
      <c r="A31" s="22" t="s">
        <v>1778</v>
      </c>
      <c r="B31" s="21" t="s">
        <v>1938</v>
      </c>
      <c r="C31" s="21" t="s">
        <v>1776</v>
      </c>
      <c r="D31" s="26" t="n">
        <f aca="false">Pipeline!D243+SUMPRODUCT($E$28:$M$28,Pipeline!$E$220:$M$220)</f>
        <v>0.630578355681972</v>
      </c>
      <c r="E31" s="26" t="n">
        <f aca="false">Pipeline!E243+SUMPRODUCT($E$28:$M$28,Pipeline!$E$221:$M$221)</f>
        <v>6.20938570515285</v>
      </c>
      <c r="F31" s="26" t="n">
        <f aca="false">Pipeline!F243+SUMPRODUCT($E$28:$M$28,Pipeline!$E$222:$M$222)</f>
        <v>25.3371433333333</v>
      </c>
      <c r="G31" s="26" t="n">
        <f aca="false">Pipeline!G243+SUMPRODUCT($E$28:$M$28,Pipeline!$E$223:$M$223)</f>
        <v>37.043435095226</v>
      </c>
      <c r="H31" s="26" t="n">
        <f aca="false">Pipeline!H243+SUMPRODUCT($E$28:$M$28,Pipeline!$E$224:$M$224)</f>
        <v>49.5848129877809</v>
      </c>
      <c r="I31" s="26" t="n">
        <f aca="false">Pipeline!I243+SUMPRODUCT($E$28:$M$28,Pipeline!$E$225:$M$225)</f>
        <v>71.0811732274828</v>
      </c>
      <c r="J31" s="26" t="n">
        <f aca="false">Pipeline!J243+SUMPRODUCT($E$28:$M$28,Pipeline!$E$226:$M$226)</f>
        <v>100.669247238375</v>
      </c>
      <c r="K31" s="26" t="n">
        <f aca="false">Pipeline!K243+SUMPRODUCT($E$28:$M$28,Pipeline!$E$227:$M$227)</f>
        <v>125.950898615625</v>
      </c>
      <c r="L31" s="26" t="n">
        <f aca="false">Pipeline!L243+SUMPRODUCT($E$28:$M$28,Pipeline!$E$228:$M$228)</f>
        <v>147.584438530098</v>
      </c>
      <c r="M31" s="26" t="n">
        <f aca="false">Pipeline!M243+SUMPRODUCT($E$28:$M$28,Pipeline!$E$229:$M$229)</f>
        <v>163.553516522197</v>
      </c>
    </row>
    <row r="32" customFormat="false" ht="17.15" hidden="false" customHeight="false" outlineLevel="0" collapsed="false">
      <c r="A32" s="5" t="s">
        <v>1669</v>
      </c>
      <c r="B32" s="0" t="s">
        <v>1938</v>
      </c>
      <c r="C32" s="0" t="s">
        <v>1774</v>
      </c>
      <c r="D32" s="25" t="str">
        <f aca="false">""</f>
        <v/>
      </c>
      <c r="E32" s="25" t="n">
        <f aca="false">(D29+E29)/2</f>
        <v>3.41998203041741</v>
      </c>
      <c r="F32" s="25" t="n">
        <f aca="false">(E29+F29)/2</f>
        <v>15.7732645192431</v>
      </c>
      <c r="G32" s="25" t="n">
        <f aca="false">(F29+G29)/2</f>
        <v>31.5948290638629</v>
      </c>
      <c r="H32" s="25" t="n">
        <f aca="false">(G29+H29)/2</f>
        <v>49.8336417574111</v>
      </c>
      <c r="I32" s="25" t="n">
        <f aca="false">(H29+I29)/2</f>
        <v>72.5840858401695</v>
      </c>
      <c r="J32" s="25" t="n">
        <f aca="false">(I29+J29)/2</f>
        <v>95.1103769044929</v>
      </c>
      <c r="K32" s="25" t="n">
        <f aca="false">(J29+K29)/2</f>
        <v>118.697546465167</v>
      </c>
      <c r="L32" s="25" t="n">
        <f aca="false">(K29+L29)/2</f>
        <v>141.015633868433</v>
      </c>
      <c r="M32" s="25" t="n">
        <f aca="false">(L29+M29)/2</f>
        <v>159.07870193839</v>
      </c>
    </row>
    <row r="33" customFormat="false" ht="17.15" hidden="false" customHeight="false" outlineLevel="0" collapsed="false">
      <c r="A33" s="5" t="s">
        <v>1669</v>
      </c>
      <c r="B33" s="0" t="s">
        <v>1938</v>
      </c>
      <c r="C33" s="0" t="s">
        <v>1775</v>
      </c>
      <c r="D33" s="25" t="str">
        <f aca="false">""</f>
        <v/>
      </c>
      <c r="E33" s="25" t="n">
        <f aca="false">(D30+E30)/2</f>
        <v>3.41998203041741</v>
      </c>
      <c r="F33" s="25" t="n">
        <f aca="false">(E30+F30)/2</f>
        <v>15.7732645192431</v>
      </c>
      <c r="G33" s="25" t="n">
        <f aca="false">(F30+G30)/2</f>
        <v>31.1902892142797</v>
      </c>
      <c r="H33" s="25" t="n">
        <f aca="false">(G30+H30)/2</f>
        <v>47.1832901059662</v>
      </c>
      <c r="I33" s="25" t="n">
        <f aca="false">(H30+I30)/2</f>
        <v>68.1884018756868</v>
      </c>
      <c r="J33" s="25" t="n">
        <f aca="false">(I30+J30)/2</f>
        <v>90.7106218015697</v>
      </c>
      <c r="K33" s="25" t="n">
        <f aca="false">(J30+K30)/2</f>
        <v>114.159241792049</v>
      </c>
      <c r="L33" s="25" t="n">
        <f aca="false">(K30+L30)/2</f>
        <v>136.767668572862</v>
      </c>
      <c r="M33" s="25" t="n">
        <f aca="false">(L30+M30)/2</f>
        <v>155.568977526148</v>
      </c>
    </row>
    <row r="34" customFormat="false" ht="17.15" hidden="false" customHeight="false" outlineLevel="0" collapsed="false">
      <c r="A34" s="5" t="s">
        <v>1669</v>
      </c>
      <c r="B34" s="0" t="s">
        <v>1938</v>
      </c>
      <c r="C34" s="0" t="s">
        <v>1776</v>
      </c>
      <c r="D34" s="25" t="str">
        <f aca="false">""</f>
        <v/>
      </c>
      <c r="E34" s="25" t="n">
        <f aca="false">(D31+E31)/2</f>
        <v>3.41998203041741</v>
      </c>
      <c r="F34" s="25" t="n">
        <f aca="false">(E31+F31)/2</f>
        <v>15.7732645192431</v>
      </c>
      <c r="G34" s="25" t="n">
        <f aca="false">(F31+G31)/2</f>
        <v>31.1902892142797</v>
      </c>
      <c r="H34" s="25" t="n">
        <f aca="false">(G31+H31)/2</f>
        <v>43.3141240415034</v>
      </c>
      <c r="I34" s="25" t="n">
        <f aca="false">(H31+I31)/2</f>
        <v>60.3329931076319</v>
      </c>
      <c r="J34" s="25" t="n">
        <f aca="false">(I31+J31)/2</f>
        <v>85.8752102329291</v>
      </c>
      <c r="K34" s="25" t="n">
        <f aca="false">(J31+K31)/2</f>
        <v>113.310072927</v>
      </c>
      <c r="L34" s="25" t="n">
        <f aca="false">(K31+L31)/2</f>
        <v>136.767668572862</v>
      </c>
      <c r="M34" s="25" t="n">
        <f aca="false">(L31+M31)/2</f>
        <v>155.568977526148</v>
      </c>
    </row>
    <row r="35" customFormat="false" ht="17.15" hidden="false" customHeight="false" outlineLevel="0" collapsed="false">
      <c r="A35" s="5" t="s">
        <v>1779</v>
      </c>
      <c r="B35" s="0" t="s">
        <v>1938</v>
      </c>
      <c r="C35" s="0" t="s">
        <v>1774</v>
      </c>
      <c r="D35" s="25" t="n">
        <f aca="false">0</f>
        <v>0</v>
      </c>
      <c r="E35" s="25" t="n">
        <f aca="false">E29-D29-E$6</f>
        <v>1.61980834349181</v>
      </c>
      <c r="F35" s="25" t="n">
        <f aca="false">F29-E29-F$6</f>
        <v>9.04912429484716</v>
      </c>
      <c r="G35" s="25" t="n">
        <f aca="false">G29-F29-G$6</f>
        <v>12.5153714610592</v>
      </c>
      <c r="H35" s="25" t="n">
        <f aca="false">H29-G29-H$6</f>
        <v>23.9622539260371</v>
      </c>
      <c r="I35" s="25" t="n">
        <f aca="false">I29-H29-I$6</f>
        <v>21.5386342394798</v>
      </c>
      <c r="J35" s="25" t="n">
        <f aca="false">J29-I29-J$6</f>
        <v>23.5139478891671</v>
      </c>
      <c r="K35" s="25" t="n">
        <f aca="false">K29-J29-K$6</f>
        <v>23.6603912321806</v>
      </c>
      <c r="L35" s="25" t="n">
        <f aca="false">L29-K29-L$6</f>
        <v>20.9757835743525</v>
      </c>
      <c r="M35" s="25" t="n">
        <f aca="false">M29-L29-M$6</f>
        <v>15.150352565561</v>
      </c>
    </row>
    <row r="36" customFormat="false" ht="17.15" hidden="false" customHeight="false" outlineLevel="0" collapsed="false">
      <c r="A36" s="5" t="s">
        <v>1779</v>
      </c>
      <c r="B36" s="0" t="s">
        <v>1938</v>
      </c>
      <c r="C36" s="0" t="s">
        <v>1775</v>
      </c>
      <c r="D36" s="25" t="n">
        <f aca="false">0</f>
        <v>0</v>
      </c>
      <c r="E36" s="25" t="n">
        <f aca="false">E30-D30-E$6</f>
        <v>1.61980834349181</v>
      </c>
      <c r="F36" s="25" t="n">
        <f aca="false">F30-E30-F$6</f>
        <v>9.04912429484716</v>
      </c>
      <c r="G36" s="25" t="n">
        <f aca="false">G30-F30-G$6</f>
        <v>11.7062917618926</v>
      </c>
      <c r="H36" s="25" t="n">
        <f aca="false">H30-G30-H$6</f>
        <v>20.2797100214805</v>
      </c>
      <c r="I36" s="25" t="n">
        <f aca="false">I30-H30-I$6</f>
        <v>21.7305135179606</v>
      </c>
      <c r="J36" s="25" t="n">
        <f aca="false">J30-I30-J$6</f>
        <v>23.3139263338052</v>
      </c>
      <c r="K36" s="25" t="n">
        <f aca="false">K30-J30-K$6</f>
        <v>23.5833136471532</v>
      </c>
      <c r="L36" s="25" t="n">
        <f aca="false">L30-K30-L$6</f>
        <v>21.6335399144724</v>
      </c>
      <c r="M36" s="25" t="n">
        <f aca="false">M30-L30-M$6</f>
        <v>15.9690779920995</v>
      </c>
    </row>
    <row r="37" customFormat="false" ht="17.15" hidden="false" customHeight="false" outlineLevel="0" collapsed="false">
      <c r="A37" s="5" t="s">
        <v>1779</v>
      </c>
      <c r="B37" s="0" t="s">
        <v>1938</v>
      </c>
      <c r="C37" s="0" t="s">
        <v>1776</v>
      </c>
      <c r="D37" s="25" t="n">
        <f aca="false">0</f>
        <v>0</v>
      </c>
      <c r="E37" s="25" t="n">
        <f aca="false">E31-D31-E$6</f>
        <v>1.61980834349181</v>
      </c>
      <c r="F37" s="25" t="n">
        <f aca="false">F31-E31-F$6</f>
        <v>9.04912429484716</v>
      </c>
      <c r="G37" s="25" t="n">
        <f aca="false">G31-F31-G$6</f>
        <v>11.7062917618926</v>
      </c>
      <c r="H37" s="25" t="n">
        <f aca="false">H31-G31-H$6</f>
        <v>12.5413778925549</v>
      </c>
      <c r="I37" s="25" t="n">
        <f aca="false">I31-H31-I$6</f>
        <v>21.496360239702</v>
      </c>
      <c r="J37" s="25" t="n">
        <f aca="false">J31-I31-J$6</f>
        <v>29.5880740108925</v>
      </c>
      <c r="K37" s="25" t="n">
        <f aca="false">K31-J31-K$6</f>
        <v>25.2816513772501</v>
      </c>
      <c r="L37" s="25" t="n">
        <f aca="false">L31-K31-L$6</f>
        <v>21.6335399144724</v>
      </c>
      <c r="M37" s="25" t="n">
        <f aca="false">M31-L31-M$6</f>
        <v>15.9690779920995</v>
      </c>
    </row>
    <row r="38" customFormat="false" ht="17.15" hidden="false" customHeight="false" outlineLevel="0" collapsed="false">
      <c r="A38" s="5" t="s">
        <v>1780</v>
      </c>
      <c r="B38" s="0" t="s">
        <v>1938</v>
      </c>
      <c r="C38" s="0" t="s">
        <v>1775</v>
      </c>
      <c r="D38" s="25" t="n">
        <f aca="false">D29-D30</f>
        <v>0</v>
      </c>
      <c r="E38" s="25" t="n">
        <f aca="false">E29-E30</f>
        <v>0</v>
      </c>
      <c r="F38" s="25" t="n">
        <f aca="false">F29-F30</f>
        <v>0</v>
      </c>
      <c r="G38" s="25" t="n">
        <f aca="false">G29-G30</f>
        <v>0.809079699166553</v>
      </c>
      <c r="H38" s="25" t="n">
        <f aca="false">H29-H30</f>
        <v>4.49162360372316</v>
      </c>
      <c r="I38" s="25" t="n">
        <f aca="false">I29-I30</f>
        <v>4.2997443252423</v>
      </c>
      <c r="J38" s="25" t="n">
        <f aca="false">J29-J30</f>
        <v>4.49976588060426</v>
      </c>
      <c r="K38" s="25" t="n">
        <f aca="false">K29-K30</f>
        <v>4.57684346563158</v>
      </c>
      <c r="L38" s="25" t="n">
        <f aca="false">L29-L30</f>
        <v>3.91908712551171</v>
      </c>
      <c r="M38" s="25" t="n">
        <f aca="false">M29-M30</f>
        <v>3.10036169897316</v>
      </c>
    </row>
    <row r="39" customFormat="false" ht="17.15" hidden="false" customHeight="false" outlineLevel="0" collapsed="false">
      <c r="A39" s="5" t="s">
        <v>1780</v>
      </c>
      <c r="B39" s="0" t="s">
        <v>1938</v>
      </c>
      <c r="C39" s="0" t="s">
        <v>1776</v>
      </c>
      <c r="D39" s="25" t="n">
        <f aca="false">D29-D31</f>
        <v>0</v>
      </c>
      <c r="E39" s="25" t="n">
        <f aca="false">E29-E31</f>
        <v>0</v>
      </c>
      <c r="F39" s="25" t="n">
        <f aca="false">F29-F31</f>
        <v>0</v>
      </c>
      <c r="G39" s="25" t="n">
        <f aca="false">G29-G31</f>
        <v>0.809079699166553</v>
      </c>
      <c r="H39" s="25" t="n">
        <f aca="false">H29-H31</f>
        <v>12.2299557326487</v>
      </c>
      <c r="I39" s="25" t="n">
        <f aca="false">I29-I31</f>
        <v>12.2722297324266</v>
      </c>
      <c r="J39" s="25" t="n">
        <f aca="false">J29-J31</f>
        <v>6.19810361070117</v>
      </c>
      <c r="K39" s="25" t="n">
        <f aca="false">K29-K31</f>
        <v>4.57684346563158</v>
      </c>
      <c r="L39" s="25" t="n">
        <f aca="false">L29-L31</f>
        <v>3.91908712551171</v>
      </c>
      <c r="M39" s="25" t="n">
        <f aca="false">M29-M31</f>
        <v>3.10036169897316</v>
      </c>
    </row>
    <row r="41" customFormat="false" ht="17.15" hidden="false" customHeight="false" outlineLevel="0" collapsed="false">
      <c r="A41" s="22" t="s">
        <v>1939</v>
      </c>
    </row>
    <row r="42" customFormat="false" ht="17.15" hidden="false" customHeight="false" outlineLevel="0" collapsed="false">
      <c r="A42" s="5" t="s">
        <v>1933</v>
      </c>
      <c r="B42" s="0" t="s">
        <v>1940</v>
      </c>
      <c r="C42" s="0" t="s">
        <v>1774</v>
      </c>
      <c r="D42" s="25" t="n">
        <f aca="false">0</f>
        <v>0</v>
      </c>
      <c r="E42" s="25" t="n">
        <f aca="false">(E$4+E$5)</f>
        <v>1.61980834349181</v>
      </c>
      <c r="F42" s="25" t="n">
        <f aca="false">(F$4+F$5)</f>
        <v>9.04912429484716</v>
      </c>
      <c r="G42" s="25" t="n">
        <f aca="false">(G$4+G$5)</f>
        <v>12.5153714610592</v>
      </c>
      <c r="H42" s="25" t="n">
        <f aca="false">(H$4+H$5)</f>
        <v>23.9622539260371</v>
      </c>
      <c r="I42" s="25" t="n">
        <f aca="false">(I$4+I$5)*SIL_In!$I$29</f>
        <v>16.1539756796098</v>
      </c>
      <c r="J42" s="25" t="n">
        <f aca="false">(J$4+J$5)*SIL_In!$J$29</f>
        <v>16.5980808629415</v>
      </c>
      <c r="K42" s="25" t="n">
        <f aca="false">(Pipeline!J241+SUM($E$44:J44))*K43</f>
        <v>16.5732278061264</v>
      </c>
      <c r="L42" s="25" t="n">
        <f aca="false">(Pipeline!K241+SUM($E$44:K44))*L43</f>
        <v>15.2958799646954</v>
      </c>
      <c r="M42" s="25" t="n">
        <f aca="false">(Pipeline!L241+SUM($E$44:L44))*M43</f>
        <v>12.6435933033803</v>
      </c>
    </row>
    <row r="43" customFormat="false" ht="17.15" hidden="false" customHeight="false" outlineLevel="0" collapsed="false">
      <c r="A43" s="5" t="s">
        <v>1935</v>
      </c>
      <c r="B43" s="0" t="s">
        <v>1940</v>
      </c>
      <c r="D43" s="24" t="str">
        <f aca="false">""</f>
        <v/>
      </c>
      <c r="E43" s="24" t="str">
        <f aca="false">""</f>
        <v/>
      </c>
      <c r="F43" s="24" t="str">
        <f aca="false">""</f>
        <v/>
      </c>
      <c r="G43" s="24" t="str">
        <f aca="false">""</f>
        <v/>
      </c>
      <c r="H43" s="24" t="str">
        <f aca="false">""</f>
        <v/>
      </c>
      <c r="I43" s="24" t="str">
        <f aca="false">""</f>
        <v/>
      </c>
      <c r="J43" s="24" t="n">
        <f aca="false">IFERROR(J42/(Pipeline!I241+SUM($E$44:I44)),g_lt)</f>
        <v>0.21288121273033</v>
      </c>
      <c r="K43" s="24" t="n">
        <f aca="false">$J$43+(g_lt-$J$43)*(2030-2029)/3</f>
        <v>0.17525414182022</v>
      </c>
      <c r="L43" s="24" t="n">
        <f aca="false">$J$43+(g_lt-$J$43)*(2031-2029)/3</f>
        <v>0.13762707091011</v>
      </c>
      <c r="M43" s="24" t="n">
        <f aca="false">$J$43+(g_lt-$J$43)*(2032-2029)/3</f>
        <v>0.1</v>
      </c>
    </row>
    <row r="44" customFormat="false" ht="17.15" hidden="false" customHeight="false" outlineLevel="0" collapsed="false">
      <c r="A44" s="5" t="s">
        <v>1936</v>
      </c>
      <c r="B44" s="0" t="s">
        <v>1940</v>
      </c>
      <c r="D44" s="25" t="n">
        <f aca="false">0</f>
        <v>0</v>
      </c>
      <c r="E44" s="25" t="n">
        <f aca="false">E42-E$4</f>
        <v>0</v>
      </c>
      <c r="F44" s="25" t="n">
        <f aca="false">F42-F$4</f>
        <v>0</v>
      </c>
      <c r="G44" s="25" t="n">
        <f aca="false">G42-G$4</f>
        <v>0</v>
      </c>
      <c r="H44" s="25" t="n">
        <f aca="false">H42-H$4</f>
        <v>11.3591088015299</v>
      </c>
      <c r="I44" s="25" t="n">
        <f aca="false">I42-I$4</f>
        <v>-3.06207171463251</v>
      </c>
      <c r="J44" s="25" t="n">
        <f aca="false">J42-J$4</f>
        <v>10.125059531944</v>
      </c>
      <c r="K44" s="25" t="n">
        <f aca="false">K42-K$4</f>
        <v>9.55417278407851</v>
      </c>
      <c r="L44" s="25" t="n">
        <f aca="false">L42-L$4</f>
        <v>11.7230338108493</v>
      </c>
      <c r="M44" s="25" t="n">
        <f aca="false">M42-M$4</f>
        <v>7.7083625341495</v>
      </c>
    </row>
    <row r="45" customFormat="false" ht="17.15" hidden="false" customHeight="false" outlineLevel="0" collapsed="false">
      <c r="A45" s="22" t="s">
        <v>1778</v>
      </c>
      <c r="B45" s="21" t="s">
        <v>1940</v>
      </c>
      <c r="C45" s="21" t="s">
        <v>1774</v>
      </c>
      <c r="D45" s="26" t="n">
        <f aca="false">Pipeline!D241+SUMPRODUCT($E$44:$M$44,Pipeline!$E$196:$M$196)</f>
        <v>0.630578355681972</v>
      </c>
      <c r="E45" s="26" t="n">
        <f aca="false">Pipeline!E241+SUMPRODUCT($E$44:$M$44,Pipeline!$E$197:$M$197)</f>
        <v>6.20938570515285</v>
      </c>
      <c r="F45" s="26" t="n">
        <f aca="false">Pipeline!F241+SUMPRODUCT($E$44:$M$44,Pipeline!$E$198:$M$198)</f>
        <v>25.3371433333333</v>
      </c>
      <c r="G45" s="26" t="n">
        <f aca="false">Pipeline!G241+SUMPRODUCT($E$44:$M$44,Pipeline!$E$199:$M$199)</f>
        <v>37.8525147943925</v>
      </c>
      <c r="H45" s="26" t="n">
        <f aca="false">Pipeline!H241+SUMPRODUCT($E$44:$M$44,Pipeline!$E$200:$M$200)</f>
        <v>61.8147687204296</v>
      </c>
      <c r="I45" s="26" t="n">
        <f aca="false">Pipeline!I241+SUMPRODUCT($E$44:$M$44,Pipeline!$E$201:$M$201)</f>
        <v>77.9687444000394</v>
      </c>
      <c r="J45" s="26" t="n">
        <f aca="false">Pipeline!J241+SUMPRODUCT($E$44:$M$44,Pipeline!$E$202:$M$202)</f>
        <v>94.5668252629809</v>
      </c>
      <c r="K45" s="26" t="n">
        <f aca="false">Pipeline!K241+SUMPRODUCT($E$44:$M$44,Pipeline!$E$203:$M$203)</f>
        <v>111.140053069107</v>
      </c>
      <c r="L45" s="26" t="n">
        <f aca="false">Pipeline!L241+SUMPRODUCT($E$44:$M$44,Pipeline!$E$204:$M$204)</f>
        <v>126.435933033803</v>
      </c>
      <c r="M45" s="26" t="n">
        <f aca="false">Pipeline!M241+SUMPRODUCT($E$44:$M$44,Pipeline!$E$205:$M$205)</f>
        <v>139.079526337183</v>
      </c>
    </row>
    <row r="46" customFormat="false" ht="17.15" hidden="false" customHeight="false" outlineLevel="0" collapsed="false">
      <c r="A46" s="22" t="s">
        <v>1778</v>
      </c>
      <c r="B46" s="21" t="s">
        <v>1940</v>
      </c>
      <c r="C46" s="21" t="s">
        <v>1775</v>
      </c>
      <c r="D46" s="26" t="n">
        <f aca="false">Pipeline!D242+SUMPRODUCT($E$44:$M$44,Pipeline!$E$208:$M$208)</f>
        <v>0.630578355681972</v>
      </c>
      <c r="E46" s="26" t="n">
        <f aca="false">Pipeline!E242+SUMPRODUCT($E$44:$M$44,Pipeline!$E$209:$M$209)</f>
        <v>6.20938570515285</v>
      </c>
      <c r="F46" s="26" t="n">
        <f aca="false">Pipeline!F242+SUMPRODUCT($E$44:$M$44,Pipeline!$E$210:$M$210)</f>
        <v>25.3371433333333</v>
      </c>
      <c r="G46" s="26" t="n">
        <f aca="false">Pipeline!G242+SUMPRODUCT($E$44:$M$44,Pipeline!$E$211:$M$211)</f>
        <v>37.043435095226</v>
      </c>
      <c r="H46" s="26" t="n">
        <f aca="false">Pipeline!H242+SUMPRODUCT($E$44:$M$44,Pipeline!$E$212:$M$212)</f>
        <v>57.3231451167064</v>
      </c>
      <c r="I46" s="26" t="n">
        <f aca="false">Pipeline!I242+SUMPRODUCT($E$44:$M$44,Pipeline!$E$213:$M$213)</f>
        <v>74.6113153227744</v>
      </c>
      <c r="J46" s="26" t="n">
        <f aca="false">Pipeline!J242+SUMPRODUCT($E$44:$M$44,Pipeline!$E$214:$M$214)</f>
        <v>91.2773361119662</v>
      </c>
      <c r="K46" s="26" t="n">
        <f aca="false">Pipeline!K242+SUMPRODUCT($E$44:$M$44,Pipeline!$E$215:$M$215)</f>
        <v>107.803463203035</v>
      </c>
      <c r="L46" s="26" t="n">
        <f aca="false">Pipeline!L242+SUMPRODUCT($E$44:$M$44,Pipeline!$E$216:$M$216)</f>
        <v>123.510829039981</v>
      </c>
      <c r="M46" s="26" t="n">
        <f aca="false">Pipeline!M242+SUMPRODUCT($E$44:$M$44,Pipeline!$E$217:$M$217)</f>
        <v>136.417847509091</v>
      </c>
    </row>
    <row r="47" customFormat="false" ht="17.15" hidden="false" customHeight="false" outlineLevel="0" collapsed="false">
      <c r="A47" s="22" t="s">
        <v>1778</v>
      </c>
      <c r="B47" s="21" t="s">
        <v>1940</v>
      </c>
      <c r="C47" s="21" t="s">
        <v>1776</v>
      </c>
      <c r="D47" s="26" t="n">
        <f aca="false">Pipeline!D243+SUMPRODUCT($E$44:$M$44,Pipeline!$E$220:$M$220)</f>
        <v>0.630578355681972</v>
      </c>
      <c r="E47" s="26" t="n">
        <f aca="false">Pipeline!E243+SUMPRODUCT($E$44:$M$44,Pipeline!$E$221:$M$221)</f>
        <v>6.20938570515285</v>
      </c>
      <c r="F47" s="26" t="n">
        <f aca="false">Pipeline!F243+SUMPRODUCT($E$44:$M$44,Pipeline!$E$222:$M$222)</f>
        <v>25.3371433333333</v>
      </c>
      <c r="G47" s="26" t="n">
        <f aca="false">Pipeline!G243+SUMPRODUCT($E$44:$M$44,Pipeline!$E$223:$M$223)</f>
        <v>37.043435095226</v>
      </c>
      <c r="H47" s="26" t="n">
        <f aca="false">Pipeline!H243+SUMPRODUCT($E$44:$M$44,Pipeline!$E$224:$M$224)</f>
        <v>49.5848129877809</v>
      </c>
      <c r="I47" s="26" t="n">
        <f aca="false">Pipeline!I243+SUMPRODUCT($E$44:$M$44,Pipeline!$E$225:$M$225)</f>
        <v>68.4157672403472</v>
      </c>
      <c r="J47" s="26" t="n">
        <f aca="false">Pipeline!J243+SUMPRODUCT($E$44:$M$44,Pipeline!$E$226:$M$226)</f>
        <v>89.9559244810602</v>
      </c>
      <c r="K47" s="26" t="n">
        <f aca="false">Pipeline!K243+SUMPRODUCT($E$44:$M$44,Pipeline!$E$227:$M$227)</f>
        <v>107.803463203035</v>
      </c>
      <c r="L47" s="26" t="n">
        <f aca="false">Pipeline!L243+SUMPRODUCT($E$44:$M$44,Pipeline!$E$228:$M$228)</f>
        <v>123.510829039981</v>
      </c>
      <c r="M47" s="26" t="n">
        <f aca="false">Pipeline!M243+SUMPRODUCT($E$44:$M$44,Pipeline!$E$229:$M$229)</f>
        <v>136.417847509091</v>
      </c>
    </row>
    <row r="48" customFormat="false" ht="17.15" hidden="false" customHeight="false" outlineLevel="0" collapsed="false">
      <c r="A48" s="5" t="s">
        <v>1669</v>
      </c>
      <c r="B48" s="0" t="s">
        <v>1940</v>
      </c>
      <c r="C48" s="0" t="s">
        <v>1774</v>
      </c>
      <c r="D48" s="25" t="str">
        <f aca="false">""</f>
        <v/>
      </c>
      <c r="E48" s="25" t="n">
        <f aca="false">(D45+E45)/2</f>
        <v>3.41998203041741</v>
      </c>
      <c r="F48" s="25" t="n">
        <f aca="false">(E45+F45)/2</f>
        <v>15.7732645192431</v>
      </c>
      <c r="G48" s="25" t="n">
        <f aca="false">(F45+G45)/2</f>
        <v>31.5948290638629</v>
      </c>
      <c r="H48" s="25" t="n">
        <f aca="false">(G45+H45)/2</f>
        <v>49.8336417574111</v>
      </c>
      <c r="I48" s="25" t="n">
        <f aca="false">(H45+I45)/2</f>
        <v>69.8917565602345</v>
      </c>
      <c r="J48" s="25" t="n">
        <f aca="false">(I45+J45)/2</f>
        <v>86.2677848315102</v>
      </c>
      <c r="K48" s="25" t="n">
        <f aca="false">(J45+K45)/2</f>
        <v>102.853439166044</v>
      </c>
      <c r="L48" s="25" t="n">
        <f aca="false">(K45+L45)/2</f>
        <v>118.787993051455</v>
      </c>
      <c r="M48" s="25" t="n">
        <f aca="false">(L45+M45)/2</f>
        <v>132.757729685493</v>
      </c>
    </row>
    <row r="49" customFormat="false" ht="17.15" hidden="false" customHeight="false" outlineLevel="0" collapsed="false">
      <c r="A49" s="5" t="s">
        <v>1669</v>
      </c>
      <c r="B49" s="0" t="s">
        <v>1940</v>
      </c>
      <c r="C49" s="0" t="s">
        <v>1775</v>
      </c>
      <c r="D49" s="25" t="str">
        <f aca="false">""</f>
        <v/>
      </c>
      <c r="E49" s="25" t="n">
        <f aca="false">(D46+E46)/2</f>
        <v>3.41998203041741</v>
      </c>
      <c r="F49" s="25" t="n">
        <f aca="false">(E46+F46)/2</f>
        <v>15.7732645192431</v>
      </c>
      <c r="G49" s="25" t="n">
        <f aca="false">(F46+G46)/2</f>
        <v>31.1902892142797</v>
      </c>
      <c r="H49" s="25" t="n">
        <f aca="false">(G46+H46)/2</f>
        <v>47.1832901059662</v>
      </c>
      <c r="I49" s="25" t="n">
        <f aca="false">(H46+I46)/2</f>
        <v>65.9672302197404</v>
      </c>
      <c r="J49" s="25" t="n">
        <f aca="false">(I46+J46)/2</f>
        <v>82.9443257173703</v>
      </c>
      <c r="K49" s="25" t="n">
        <f aca="false">(J46+K46)/2</f>
        <v>99.5403996575007</v>
      </c>
      <c r="L49" s="25" t="n">
        <f aca="false">(K46+L46)/2</f>
        <v>115.657146121508</v>
      </c>
      <c r="M49" s="25" t="n">
        <f aca="false">(L46+M46)/2</f>
        <v>129.964338274536</v>
      </c>
    </row>
    <row r="50" customFormat="false" ht="17.15" hidden="false" customHeight="false" outlineLevel="0" collapsed="false">
      <c r="A50" s="5" t="s">
        <v>1669</v>
      </c>
      <c r="B50" s="0" t="s">
        <v>1940</v>
      </c>
      <c r="C50" s="0" t="s">
        <v>1776</v>
      </c>
      <c r="D50" s="25" t="str">
        <f aca="false">""</f>
        <v/>
      </c>
      <c r="E50" s="25" t="n">
        <f aca="false">(D47+E47)/2</f>
        <v>3.41998203041741</v>
      </c>
      <c r="F50" s="25" t="n">
        <f aca="false">(E47+F47)/2</f>
        <v>15.7732645192431</v>
      </c>
      <c r="G50" s="25" t="n">
        <f aca="false">(F47+G47)/2</f>
        <v>31.1902892142797</v>
      </c>
      <c r="H50" s="25" t="n">
        <f aca="false">(G47+H47)/2</f>
        <v>43.3141240415034</v>
      </c>
      <c r="I50" s="25" t="n">
        <f aca="false">(H47+I47)/2</f>
        <v>59.000290114064</v>
      </c>
      <c r="J50" s="25" t="n">
        <f aca="false">(I47+J47)/2</f>
        <v>79.1858458607037</v>
      </c>
      <c r="K50" s="25" t="n">
        <f aca="false">(J47+K47)/2</f>
        <v>98.8796938420477</v>
      </c>
      <c r="L50" s="25" t="n">
        <f aca="false">(K47+L47)/2</f>
        <v>115.657146121508</v>
      </c>
      <c r="M50" s="25" t="n">
        <f aca="false">(L47+M47)/2</f>
        <v>129.964338274536</v>
      </c>
    </row>
    <row r="51" customFormat="false" ht="17.15" hidden="false" customHeight="false" outlineLevel="0" collapsed="false">
      <c r="A51" s="5" t="s">
        <v>1779</v>
      </c>
      <c r="B51" s="0" t="s">
        <v>1940</v>
      </c>
      <c r="C51" s="0" t="s">
        <v>1774</v>
      </c>
      <c r="D51" s="25" t="n">
        <f aca="false">0</f>
        <v>0</v>
      </c>
      <c r="E51" s="25" t="n">
        <f aca="false">E45-D45-E$6</f>
        <v>1.61980834349181</v>
      </c>
      <c r="F51" s="25" t="n">
        <f aca="false">F45-E45-F$6</f>
        <v>9.04912429484716</v>
      </c>
      <c r="G51" s="25" t="n">
        <f aca="false">G45-F45-G$6</f>
        <v>12.5153714610592</v>
      </c>
      <c r="H51" s="25" t="n">
        <f aca="false">H45-G45-H$6</f>
        <v>23.9622539260371</v>
      </c>
      <c r="I51" s="25" t="n">
        <f aca="false">I45-H45-I$6</f>
        <v>16.1539756796098</v>
      </c>
      <c r="J51" s="25" t="n">
        <f aca="false">J45-I45-J$6</f>
        <v>16.5980808629415</v>
      </c>
      <c r="K51" s="25" t="n">
        <f aca="false">K45-J45-K$6</f>
        <v>16.5732278061264</v>
      </c>
      <c r="L51" s="25" t="n">
        <f aca="false">L45-K45-L$6</f>
        <v>15.2958799646954</v>
      </c>
      <c r="M51" s="25" t="n">
        <f aca="false">M45-L45-M$6</f>
        <v>12.6435933033803</v>
      </c>
    </row>
    <row r="52" customFormat="false" ht="17.15" hidden="false" customHeight="false" outlineLevel="0" collapsed="false">
      <c r="A52" s="5" t="s">
        <v>1779</v>
      </c>
      <c r="B52" s="0" t="s">
        <v>1940</v>
      </c>
      <c r="C52" s="0" t="s">
        <v>1775</v>
      </c>
      <c r="D52" s="25" t="n">
        <f aca="false">0</f>
        <v>0</v>
      </c>
      <c r="E52" s="25" t="n">
        <f aca="false">E46-D46-E$6</f>
        <v>1.61980834349181</v>
      </c>
      <c r="F52" s="25" t="n">
        <f aca="false">F46-E46-F$6</f>
        <v>9.04912429484716</v>
      </c>
      <c r="G52" s="25" t="n">
        <f aca="false">G46-F46-G$6</f>
        <v>11.7062917618926</v>
      </c>
      <c r="H52" s="25" t="n">
        <f aca="false">H46-G46-H$6</f>
        <v>20.2797100214805</v>
      </c>
      <c r="I52" s="25" t="n">
        <f aca="false">I46-H46-I$6</f>
        <v>17.2881702060679</v>
      </c>
      <c r="J52" s="25" t="n">
        <f aca="false">J46-I46-J$6</f>
        <v>16.6660207891918</v>
      </c>
      <c r="K52" s="25" t="n">
        <f aca="false">K46-J46-K$6</f>
        <v>16.5261270910691</v>
      </c>
      <c r="L52" s="25" t="n">
        <f aca="false">L46-K46-L$6</f>
        <v>15.7073658369458</v>
      </c>
      <c r="M52" s="25" t="n">
        <f aca="false">M46-L46-M$6</f>
        <v>12.9070184691104</v>
      </c>
    </row>
    <row r="53" customFormat="false" ht="17.15" hidden="false" customHeight="false" outlineLevel="0" collapsed="false">
      <c r="A53" s="5" t="s">
        <v>1779</v>
      </c>
      <c r="B53" s="0" t="s">
        <v>1940</v>
      </c>
      <c r="C53" s="0" t="s">
        <v>1776</v>
      </c>
      <c r="D53" s="25" t="n">
        <f aca="false">0</f>
        <v>0</v>
      </c>
      <c r="E53" s="25" t="n">
        <f aca="false">E47-D47-E$6</f>
        <v>1.61980834349181</v>
      </c>
      <c r="F53" s="25" t="n">
        <f aca="false">F47-E47-F$6</f>
        <v>9.04912429484716</v>
      </c>
      <c r="G53" s="25" t="n">
        <f aca="false">G47-F47-G$6</f>
        <v>11.7062917618926</v>
      </c>
      <c r="H53" s="25" t="n">
        <f aca="false">H47-G47-H$6</f>
        <v>12.5413778925549</v>
      </c>
      <c r="I53" s="25" t="n">
        <f aca="false">I47-H47-I$6</f>
        <v>18.8309542525663</v>
      </c>
      <c r="J53" s="25" t="n">
        <f aca="false">J47-I47-J$6</f>
        <v>21.5401572407129</v>
      </c>
      <c r="K53" s="25" t="n">
        <f aca="false">K47-J47-K$6</f>
        <v>17.8475387219751</v>
      </c>
      <c r="L53" s="25" t="n">
        <f aca="false">L47-K47-L$6</f>
        <v>15.7073658369458</v>
      </c>
      <c r="M53" s="25" t="n">
        <f aca="false">M47-L47-M$6</f>
        <v>12.9070184691104</v>
      </c>
    </row>
    <row r="54" customFormat="false" ht="17.15" hidden="false" customHeight="false" outlineLevel="0" collapsed="false">
      <c r="A54" s="5" t="s">
        <v>1780</v>
      </c>
      <c r="B54" s="0" t="s">
        <v>1940</v>
      </c>
      <c r="C54" s="0" t="s">
        <v>1775</v>
      </c>
      <c r="D54" s="25" t="n">
        <f aca="false">D45-D46</f>
        <v>0</v>
      </c>
      <c r="E54" s="25" t="n">
        <f aca="false">E45-E46</f>
        <v>0</v>
      </c>
      <c r="F54" s="25" t="n">
        <f aca="false">F45-F46</f>
        <v>0</v>
      </c>
      <c r="G54" s="25" t="n">
        <f aca="false">G45-G46</f>
        <v>0.809079699166553</v>
      </c>
      <c r="H54" s="25" t="n">
        <f aca="false">H45-H46</f>
        <v>4.49162360372316</v>
      </c>
      <c r="I54" s="25" t="n">
        <f aca="false">I45-I46</f>
        <v>3.35742907726505</v>
      </c>
      <c r="J54" s="25" t="n">
        <f aca="false">J45-J46</f>
        <v>3.28948915101476</v>
      </c>
      <c r="K54" s="25" t="n">
        <f aca="false">K45-K46</f>
        <v>3.3365898660721</v>
      </c>
      <c r="L54" s="25" t="n">
        <f aca="false">L45-L46</f>
        <v>2.92510399382169</v>
      </c>
      <c r="M54" s="25" t="n">
        <f aca="false">M45-M46</f>
        <v>2.66167882809154</v>
      </c>
    </row>
    <row r="55" customFormat="false" ht="17.15" hidden="false" customHeight="false" outlineLevel="0" collapsed="false">
      <c r="A55" s="5" t="s">
        <v>1780</v>
      </c>
      <c r="B55" s="0" t="s">
        <v>1940</v>
      </c>
      <c r="C55" s="0" t="s">
        <v>1776</v>
      </c>
      <c r="D55" s="25" t="n">
        <f aca="false">D45-D47</f>
        <v>0</v>
      </c>
      <c r="E55" s="25" t="n">
        <f aca="false">E45-E47</f>
        <v>0</v>
      </c>
      <c r="F55" s="25" t="n">
        <f aca="false">F45-F47</f>
        <v>0</v>
      </c>
      <c r="G55" s="25" t="n">
        <f aca="false">G45-G47</f>
        <v>0.809079699166553</v>
      </c>
      <c r="H55" s="25" t="n">
        <f aca="false">H45-H47</f>
        <v>12.2299557326487</v>
      </c>
      <c r="I55" s="25" t="n">
        <f aca="false">I45-I47</f>
        <v>9.55297715969222</v>
      </c>
      <c r="J55" s="25" t="n">
        <f aca="false">J45-J47</f>
        <v>4.61090078192078</v>
      </c>
      <c r="K55" s="25" t="n">
        <f aca="false">K45-K47</f>
        <v>3.3365898660721</v>
      </c>
      <c r="L55" s="25" t="n">
        <f aca="false">L45-L47</f>
        <v>2.92510399382169</v>
      </c>
      <c r="M55" s="25" t="n">
        <f aca="false">M45-M47</f>
        <v>2.66167882809154</v>
      </c>
    </row>
    <row r="57" customFormat="false" ht="19.4" hidden="false" customHeight="false" outlineLevel="0" collapsed="false">
      <c r="A57" s="35" t="s">
        <v>1941</v>
      </c>
    </row>
    <row r="58" customFormat="false" ht="17.15" hidden="false" customHeight="false" outlineLevel="0" collapsed="false">
      <c r="A58" s="22" t="s">
        <v>1942</v>
      </c>
    </row>
    <row r="59" customFormat="false" ht="17.15" hidden="false" customHeight="false" outlineLevel="0" collapsed="false">
      <c r="A59" s="5" t="s">
        <v>1933</v>
      </c>
      <c r="B59" s="0" t="s">
        <v>1934</v>
      </c>
      <c r="C59" s="0" t="s">
        <v>1774</v>
      </c>
      <c r="D59" s="25" t="n">
        <f aca="false">0</f>
        <v>0</v>
      </c>
      <c r="E59" s="25" t="n">
        <f aca="false">E$4</f>
        <v>1.61980834349181</v>
      </c>
      <c r="F59" s="25" t="n">
        <f aca="false">F$4</f>
        <v>9.04912429484716</v>
      </c>
      <c r="G59" s="25" t="n">
        <f aca="false">G$4</f>
        <v>12.5153714610592</v>
      </c>
      <c r="H59" s="25" t="n">
        <f aca="false">H$4</f>
        <v>12.6031451245072</v>
      </c>
      <c r="I59" s="25" t="n">
        <f aca="false">I$4*SIL_In!$I$27</f>
        <v>19.2160473942424</v>
      </c>
      <c r="J59" s="25" t="n">
        <f aca="false">J$4*SIL_In!$J$27</f>
        <v>6.47302133099745</v>
      </c>
      <c r="K59" s="25" t="n">
        <f aca="false">(Pipeline!J241+SUM($E$61:J61))*K60</f>
        <v>7.25443315391217</v>
      </c>
      <c r="L59" s="25" t="n">
        <f aca="false">(Pipeline!K241+SUM($E$61:K61))*L60</f>
        <v>8.14274553776248</v>
      </c>
      <c r="M59" s="25" t="n">
        <f aca="false">(Pipeline!L241+SUM($E$61:L61))*M60</f>
        <v>9.15419073358142</v>
      </c>
    </row>
    <row r="60" customFormat="false" ht="17.15" hidden="false" customHeight="false" outlineLevel="0" collapsed="false">
      <c r="A60" s="5" t="s">
        <v>1935</v>
      </c>
      <c r="B60" s="0" t="s">
        <v>1934</v>
      </c>
      <c r="D60" s="24" t="str">
        <f aca="false">""</f>
        <v/>
      </c>
      <c r="E60" s="24" t="str">
        <f aca="false">""</f>
        <v/>
      </c>
      <c r="F60" s="24" t="str">
        <f aca="false">""</f>
        <v/>
      </c>
      <c r="G60" s="24" t="str">
        <f aca="false">""</f>
        <v/>
      </c>
      <c r="H60" s="24" t="str">
        <f aca="false">""</f>
        <v/>
      </c>
      <c r="I60" s="24" t="str">
        <f aca="false">""</f>
        <v/>
      </c>
      <c r="J60" s="24" t="n">
        <f aca="false">IFERROR(J59/(Pipeline!I241+SUM($E$61:I61)),g_lt)</f>
        <v>0.0929074595790257</v>
      </c>
      <c r="K60" s="24" t="n">
        <f aca="false">$J$60+(g_lt-$J$60)*(2030-2029)/3</f>
        <v>0.0952716397193505</v>
      </c>
      <c r="L60" s="24" t="n">
        <f aca="false">$J$60+(g_lt-$J$60)*(2031-2029)/3</f>
        <v>0.0976358198596752</v>
      </c>
      <c r="M60" s="24" t="n">
        <f aca="false">$J$60+(g_lt-$J$60)*(2032-2029)/3</f>
        <v>0.1</v>
      </c>
    </row>
    <row r="61" customFormat="false" ht="17.15" hidden="false" customHeight="false" outlineLevel="0" collapsed="false">
      <c r="A61" s="5" t="s">
        <v>1936</v>
      </c>
      <c r="B61" s="0" t="s">
        <v>1934</v>
      </c>
      <c r="D61" s="25" t="n">
        <f aca="false">0</f>
        <v>0</v>
      </c>
      <c r="E61" s="25" t="n">
        <f aca="false">E59-E$4</f>
        <v>0</v>
      </c>
      <c r="F61" s="25" t="n">
        <f aca="false">F59-F$4</f>
        <v>0</v>
      </c>
      <c r="G61" s="25" t="n">
        <f aca="false">G59-G$4</f>
        <v>0</v>
      </c>
      <c r="H61" s="25" t="n">
        <f aca="false">H59-H$4</f>
        <v>0</v>
      </c>
      <c r="I61" s="25" t="n">
        <f aca="false">I59-I$4</f>
        <v>0</v>
      </c>
      <c r="J61" s="25" t="n">
        <f aca="false">J59-J$4</f>
        <v>0</v>
      </c>
      <c r="K61" s="25" t="n">
        <f aca="false">K59-K$4</f>
        <v>0.235378131864271</v>
      </c>
      <c r="L61" s="25" t="n">
        <f aca="false">L59-L$4</f>
        <v>4.56989938391632</v>
      </c>
      <c r="M61" s="25" t="n">
        <f aca="false">M59-M$4</f>
        <v>4.21895996435065</v>
      </c>
    </row>
    <row r="62" customFormat="false" ht="17.15" hidden="false" customHeight="false" outlineLevel="0" collapsed="false">
      <c r="A62" s="22" t="s">
        <v>1778</v>
      </c>
      <c r="B62" s="21" t="s">
        <v>1934</v>
      </c>
      <c r="C62" s="21" t="s">
        <v>1774</v>
      </c>
      <c r="D62" s="26" t="n">
        <f aca="false">Pipeline!D241+SUMPRODUCT($E$61:$M$61,Pipeline!$E$196:$M$196)</f>
        <v>0.630578355681972</v>
      </c>
      <c r="E62" s="26" t="n">
        <f aca="false">Pipeline!E241+SUMPRODUCT($E$61:$M$61,Pipeline!$E$197:$M$197)</f>
        <v>6.20938570515285</v>
      </c>
      <c r="F62" s="26" t="n">
        <f aca="false">Pipeline!F241+SUMPRODUCT($E$61:$M$61,Pipeline!$E$198:$M$198)</f>
        <v>25.3371433333333</v>
      </c>
      <c r="G62" s="26" t="n">
        <f aca="false">Pipeline!G241+SUMPRODUCT($E$61:$M$61,Pipeline!$E$199:$M$199)</f>
        <v>37.8525147943925</v>
      </c>
      <c r="H62" s="26" t="n">
        <f aca="false">Pipeline!H241+SUMPRODUCT($E$61:$M$61,Pipeline!$E$200:$M$200)</f>
        <v>50.4556599188997</v>
      </c>
      <c r="I62" s="26" t="n">
        <f aca="false">Pipeline!I241+SUMPRODUCT($E$61:$M$61,Pipeline!$E$201:$M$201)</f>
        <v>69.6717073131421</v>
      </c>
      <c r="J62" s="26" t="n">
        <f aca="false">Pipeline!J241+SUMPRODUCT($E$61:$M$61,Pipeline!$E$202:$M$202)</f>
        <v>76.1447286441395</v>
      </c>
      <c r="K62" s="26" t="n">
        <f aca="false">Pipeline!K241+SUMPRODUCT($E$61:$M$61,Pipeline!$E$203:$M$203)</f>
        <v>83.3991617980517</v>
      </c>
      <c r="L62" s="26" t="n">
        <f aca="false">Pipeline!L241+SUMPRODUCT($E$61:$M$61,Pipeline!$E$204:$M$204)</f>
        <v>91.5419073358142</v>
      </c>
      <c r="M62" s="26" t="n">
        <f aca="false">Pipeline!M241+SUMPRODUCT($E$61:$M$61,Pipeline!$E$205:$M$205)</f>
        <v>100.696098069396</v>
      </c>
    </row>
    <row r="63" customFormat="false" ht="17.15" hidden="false" customHeight="false" outlineLevel="0" collapsed="false">
      <c r="A63" s="22" t="s">
        <v>1778</v>
      </c>
      <c r="B63" s="21" t="s">
        <v>1934</v>
      </c>
      <c r="C63" s="21" t="s">
        <v>1775</v>
      </c>
      <c r="D63" s="26" t="n">
        <f aca="false">Pipeline!D242+SUMPRODUCT($E$61:$M$61,Pipeline!$E$208:$M$208)</f>
        <v>0.630578355681972</v>
      </c>
      <c r="E63" s="26" t="n">
        <f aca="false">Pipeline!E242+SUMPRODUCT($E$61:$M$61,Pipeline!$E$209:$M$209)</f>
        <v>6.20938570515285</v>
      </c>
      <c r="F63" s="26" t="n">
        <f aca="false">Pipeline!F242+SUMPRODUCT($E$61:$M$61,Pipeline!$E$210:$M$210)</f>
        <v>25.3371433333333</v>
      </c>
      <c r="G63" s="26" t="n">
        <f aca="false">Pipeline!G242+SUMPRODUCT($E$61:$M$61,Pipeline!$E$211:$M$211)</f>
        <v>37.043435095226</v>
      </c>
      <c r="H63" s="26" t="n">
        <f aca="false">Pipeline!H242+SUMPRODUCT($E$61:$M$61,Pipeline!$E$212:$M$212)</f>
        <v>47.9518803554443</v>
      </c>
      <c r="I63" s="26" t="n">
        <f aca="false">Pipeline!I242+SUMPRODUCT($E$61:$M$61,Pipeline!$E$213:$M$213)</f>
        <v>65.7784156858163</v>
      </c>
      <c r="J63" s="26" t="n">
        <f aca="false">Pipeline!J242+SUMPRODUCT($E$61:$M$61,Pipeline!$E$214:$M$214)</f>
        <v>74.627124911215</v>
      </c>
      <c r="K63" s="26" t="n">
        <f aca="false">Pipeline!K242+SUMPRODUCT($E$61:$M$61,Pipeline!$E$215:$M$215)</f>
        <v>81.6933609961171</v>
      </c>
      <c r="L63" s="26" t="n">
        <f aca="false">Pipeline!L242+SUMPRODUCT($E$61:$M$61,Pipeline!$E$216:$M$216)</f>
        <v>89.8686018667057</v>
      </c>
      <c r="M63" s="26" t="n">
        <f aca="false">Pipeline!M242+SUMPRODUCT($E$61:$M$61,Pipeline!$E$217:$M$217)</f>
        <v>98.6450646910188</v>
      </c>
    </row>
    <row r="64" customFormat="false" ht="17.15" hidden="false" customHeight="false" outlineLevel="0" collapsed="false">
      <c r="A64" s="22" t="s">
        <v>1778</v>
      </c>
      <c r="B64" s="21" t="s">
        <v>1934</v>
      </c>
      <c r="C64" s="21" t="s">
        <v>1776</v>
      </c>
      <c r="D64" s="26" t="n">
        <f aca="false">Pipeline!D243+SUMPRODUCT($E$61:$M$61,Pipeline!$E$220:$M$220)</f>
        <v>0.630578355681972</v>
      </c>
      <c r="E64" s="26" t="n">
        <f aca="false">Pipeline!E243+SUMPRODUCT($E$61:$M$61,Pipeline!$E$221:$M$221)</f>
        <v>6.20938570515285</v>
      </c>
      <c r="F64" s="26" t="n">
        <f aca="false">Pipeline!F243+SUMPRODUCT($E$61:$M$61,Pipeline!$E$222:$M$222)</f>
        <v>25.3371433333333</v>
      </c>
      <c r="G64" s="26" t="n">
        <f aca="false">Pipeline!G243+SUMPRODUCT($E$61:$M$61,Pipeline!$E$223:$M$223)</f>
        <v>37.043435095226</v>
      </c>
      <c r="H64" s="26" t="n">
        <f aca="false">Pipeline!H243+SUMPRODUCT($E$61:$M$61,Pipeline!$E$224:$M$224)</f>
        <v>43.9620541310236</v>
      </c>
      <c r="I64" s="26" t="n">
        <f aca="false">Pipeline!I243+SUMPRODUCT($E$61:$M$61,Pipeline!$E$225:$M$225)</f>
        <v>59.3675215536675</v>
      </c>
      <c r="J64" s="26" t="n">
        <f aca="false">Pipeline!J243+SUMPRODUCT($E$61:$M$61,Pipeline!$E$226:$M$226)</f>
        <v>73.0913682602847</v>
      </c>
      <c r="K64" s="26" t="n">
        <f aca="false">Pipeline!K243+SUMPRODUCT($E$61:$M$61,Pipeline!$E$227:$M$227)</f>
        <v>81.6933609961171</v>
      </c>
      <c r="L64" s="26" t="n">
        <f aca="false">Pipeline!L243+SUMPRODUCT($E$61:$M$61,Pipeline!$E$228:$M$228)</f>
        <v>89.8686018667057</v>
      </c>
      <c r="M64" s="26" t="n">
        <f aca="false">Pipeline!M243+SUMPRODUCT($E$61:$M$61,Pipeline!$E$229:$M$229)</f>
        <v>98.6450646910188</v>
      </c>
    </row>
    <row r="65" customFormat="false" ht="17.15" hidden="false" customHeight="false" outlineLevel="0" collapsed="false">
      <c r="A65" s="5" t="s">
        <v>1669</v>
      </c>
      <c r="B65" s="0" t="s">
        <v>1934</v>
      </c>
      <c r="C65" s="0" t="s">
        <v>1774</v>
      </c>
      <c r="D65" s="25" t="str">
        <f aca="false">""</f>
        <v/>
      </c>
      <c r="E65" s="25" t="n">
        <f aca="false">(D62+E62)/2</f>
        <v>3.41998203041741</v>
      </c>
      <c r="F65" s="25" t="n">
        <f aca="false">(E62+F62)/2</f>
        <v>15.7732645192431</v>
      </c>
      <c r="G65" s="25" t="n">
        <f aca="false">(F62+G62)/2</f>
        <v>31.5948290638629</v>
      </c>
      <c r="H65" s="25" t="n">
        <f aca="false">(G62+H62)/2</f>
        <v>44.1540873566461</v>
      </c>
      <c r="I65" s="25" t="n">
        <f aca="false">(H62+I62)/2</f>
        <v>60.0636836160209</v>
      </c>
      <c r="J65" s="25" t="n">
        <f aca="false">(I62+J62)/2</f>
        <v>72.9082179786408</v>
      </c>
      <c r="K65" s="25" t="n">
        <f aca="false">(J62+K62)/2</f>
        <v>79.7719452210956</v>
      </c>
      <c r="L65" s="25" t="n">
        <f aca="false">(K62+L62)/2</f>
        <v>87.4705345669329</v>
      </c>
      <c r="M65" s="25" t="n">
        <f aca="false">(L62+M62)/2</f>
        <v>96.1190027026049</v>
      </c>
    </row>
    <row r="66" customFormat="false" ht="17.15" hidden="false" customHeight="false" outlineLevel="0" collapsed="false">
      <c r="A66" s="5" t="s">
        <v>1669</v>
      </c>
      <c r="B66" s="0" t="s">
        <v>1934</v>
      </c>
      <c r="C66" s="0" t="s">
        <v>1775</v>
      </c>
      <c r="D66" s="25" t="str">
        <f aca="false">""</f>
        <v/>
      </c>
      <c r="E66" s="25" t="n">
        <f aca="false">(D63+E63)/2</f>
        <v>3.41998203041741</v>
      </c>
      <c r="F66" s="25" t="n">
        <f aca="false">(E63+F63)/2</f>
        <v>15.7732645192431</v>
      </c>
      <c r="G66" s="25" t="n">
        <f aca="false">(F63+G63)/2</f>
        <v>31.1902892142797</v>
      </c>
      <c r="H66" s="25" t="n">
        <f aca="false">(G63+H63)/2</f>
        <v>42.4976577253351</v>
      </c>
      <c r="I66" s="25" t="n">
        <f aca="false">(H63+I63)/2</f>
        <v>56.8651480206303</v>
      </c>
      <c r="J66" s="25" t="n">
        <f aca="false">(I63+J63)/2</f>
        <v>70.2027702985156</v>
      </c>
      <c r="K66" s="25" t="n">
        <f aca="false">(J63+K63)/2</f>
        <v>78.160242953666</v>
      </c>
      <c r="L66" s="25" t="n">
        <f aca="false">(K63+L63)/2</f>
        <v>85.7809814314114</v>
      </c>
      <c r="M66" s="25" t="n">
        <f aca="false">(L63+M63)/2</f>
        <v>94.2568332788623</v>
      </c>
    </row>
    <row r="67" customFormat="false" ht="17.15" hidden="false" customHeight="false" outlineLevel="0" collapsed="false">
      <c r="A67" s="5" t="s">
        <v>1669</v>
      </c>
      <c r="B67" s="0" t="s">
        <v>1934</v>
      </c>
      <c r="C67" s="0" t="s">
        <v>1776</v>
      </c>
      <c r="D67" s="25" t="str">
        <f aca="false">""</f>
        <v/>
      </c>
      <c r="E67" s="25" t="n">
        <f aca="false">(D64+E64)/2</f>
        <v>3.41998203041741</v>
      </c>
      <c r="F67" s="25" t="n">
        <f aca="false">(E64+F64)/2</f>
        <v>15.7732645192431</v>
      </c>
      <c r="G67" s="25" t="n">
        <f aca="false">(F64+G64)/2</f>
        <v>31.1902892142797</v>
      </c>
      <c r="H67" s="25" t="n">
        <f aca="false">(G64+H64)/2</f>
        <v>40.5027446131248</v>
      </c>
      <c r="I67" s="25" t="n">
        <f aca="false">(H64+I64)/2</f>
        <v>51.6647878423455</v>
      </c>
      <c r="J67" s="25" t="n">
        <f aca="false">(I64+J64)/2</f>
        <v>66.2294449069761</v>
      </c>
      <c r="K67" s="25" t="n">
        <f aca="false">(J64+K64)/2</f>
        <v>77.3923646282009</v>
      </c>
      <c r="L67" s="25" t="n">
        <f aca="false">(K64+L64)/2</f>
        <v>85.7809814314114</v>
      </c>
      <c r="M67" s="25" t="n">
        <f aca="false">(L64+M64)/2</f>
        <v>94.2568332788623</v>
      </c>
    </row>
    <row r="68" customFormat="false" ht="17.15" hidden="false" customHeight="false" outlineLevel="0" collapsed="false">
      <c r="A68" s="5" t="s">
        <v>1779</v>
      </c>
      <c r="B68" s="0" t="s">
        <v>1934</v>
      </c>
      <c r="C68" s="0" t="s">
        <v>1774</v>
      </c>
      <c r="D68" s="25" t="n">
        <f aca="false">0</f>
        <v>0</v>
      </c>
      <c r="E68" s="25" t="n">
        <f aca="false">E62-D62-E$6</f>
        <v>1.61980834349181</v>
      </c>
      <c r="F68" s="25" t="n">
        <f aca="false">F62-E62-F$6</f>
        <v>9.04912429484716</v>
      </c>
      <c r="G68" s="25" t="n">
        <f aca="false">G62-F62-G$6</f>
        <v>12.5153714610592</v>
      </c>
      <c r="H68" s="25" t="n">
        <f aca="false">H62-G62-H$6</f>
        <v>12.6031451245072</v>
      </c>
      <c r="I68" s="25" t="n">
        <f aca="false">I62-H62-I$6</f>
        <v>19.2160473942424</v>
      </c>
      <c r="J68" s="25" t="n">
        <f aca="false">J62-I62-J$6</f>
        <v>6.47302133099745</v>
      </c>
      <c r="K68" s="25" t="n">
        <f aca="false">K62-J62-K$6</f>
        <v>7.25443315391216</v>
      </c>
      <c r="L68" s="25" t="n">
        <f aca="false">L62-K62-L$6</f>
        <v>8.14274553776249</v>
      </c>
      <c r="M68" s="25" t="n">
        <f aca="false">M62-L62-M$6</f>
        <v>9.1541907335814</v>
      </c>
    </row>
    <row r="69" customFormat="false" ht="17.15" hidden="false" customHeight="false" outlineLevel="0" collapsed="false">
      <c r="A69" s="5" t="s">
        <v>1779</v>
      </c>
      <c r="B69" s="0" t="s">
        <v>1934</v>
      </c>
      <c r="C69" s="0" t="s">
        <v>1775</v>
      </c>
      <c r="D69" s="25" t="n">
        <f aca="false">0</f>
        <v>0</v>
      </c>
      <c r="E69" s="25" t="n">
        <f aca="false">E63-D63-E$6</f>
        <v>1.61980834349181</v>
      </c>
      <c r="F69" s="25" t="n">
        <f aca="false">F63-E63-F$6</f>
        <v>9.04912429484716</v>
      </c>
      <c r="G69" s="25" t="n">
        <f aca="false">G63-F63-G$6</f>
        <v>11.7062917618926</v>
      </c>
      <c r="H69" s="25" t="n">
        <f aca="false">H63-G63-H$6</f>
        <v>10.9084452602183</v>
      </c>
      <c r="I69" s="25" t="n">
        <f aca="false">I63-H63-I$6</f>
        <v>17.826535330372</v>
      </c>
      <c r="J69" s="25" t="n">
        <f aca="false">J63-I63-J$6</f>
        <v>8.84870922539865</v>
      </c>
      <c r="K69" s="25" t="n">
        <f aca="false">K63-J63-K$6</f>
        <v>7.0662360849021</v>
      </c>
      <c r="L69" s="25" t="n">
        <f aca="false">L63-K63-L$6</f>
        <v>8.17524087058867</v>
      </c>
      <c r="M69" s="25" t="n">
        <f aca="false">M63-L63-M$6</f>
        <v>8.7764628243131</v>
      </c>
    </row>
    <row r="70" customFormat="false" ht="17.15" hidden="false" customHeight="false" outlineLevel="0" collapsed="false">
      <c r="A70" s="5" t="s">
        <v>1779</v>
      </c>
      <c r="B70" s="0" t="s">
        <v>1934</v>
      </c>
      <c r="C70" s="0" t="s">
        <v>1776</v>
      </c>
      <c r="D70" s="25" t="n">
        <f aca="false">0</f>
        <v>0</v>
      </c>
      <c r="E70" s="25" t="n">
        <f aca="false">E64-D64-E$6</f>
        <v>1.61980834349181</v>
      </c>
      <c r="F70" s="25" t="n">
        <f aca="false">F64-E64-F$6</f>
        <v>9.04912429484716</v>
      </c>
      <c r="G70" s="25" t="n">
        <f aca="false">G64-F64-G$6</f>
        <v>11.7062917618926</v>
      </c>
      <c r="H70" s="25" t="n">
        <f aca="false">H64-G64-H$6</f>
        <v>6.9186190357976</v>
      </c>
      <c r="I70" s="25" t="n">
        <f aca="false">I64-H64-I$6</f>
        <v>15.4054674226439</v>
      </c>
      <c r="J70" s="25" t="n">
        <f aca="false">J64-I64-J$6</f>
        <v>13.7238467066172</v>
      </c>
      <c r="K70" s="25" t="n">
        <f aca="false">K64-J64-K$6</f>
        <v>8.6019927358324</v>
      </c>
      <c r="L70" s="25" t="n">
        <f aca="false">L64-K64-L$6</f>
        <v>8.17524087058867</v>
      </c>
      <c r="M70" s="25" t="n">
        <f aca="false">M64-L64-M$6</f>
        <v>8.7764628243131</v>
      </c>
    </row>
    <row r="71" customFormat="false" ht="17.15" hidden="false" customHeight="false" outlineLevel="0" collapsed="false">
      <c r="A71" s="5" t="s">
        <v>1780</v>
      </c>
      <c r="B71" s="0" t="s">
        <v>1934</v>
      </c>
      <c r="C71" s="0" t="s">
        <v>1775</v>
      </c>
      <c r="D71" s="25" t="n">
        <f aca="false">D62-D63</f>
        <v>0</v>
      </c>
      <c r="E71" s="25" t="n">
        <f aca="false">E62-E63</f>
        <v>0</v>
      </c>
      <c r="F71" s="25" t="n">
        <f aca="false">F62-F63</f>
        <v>0</v>
      </c>
      <c r="G71" s="25" t="n">
        <f aca="false">G62-G63</f>
        <v>0.809079699166553</v>
      </c>
      <c r="H71" s="25" t="n">
        <f aca="false">H62-H63</f>
        <v>2.50377956345542</v>
      </c>
      <c r="I71" s="25" t="n">
        <f aca="false">I62-I63</f>
        <v>3.89329162732575</v>
      </c>
      <c r="J71" s="25" t="n">
        <f aca="false">J62-J63</f>
        <v>1.51760373292456</v>
      </c>
      <c r="K71" s="25" t="n">
        <f aca="false">K62-K63</f>
        <v>1.70580080193461</v>
      </c>
      <c r="L71" s="25" t="n">
        <f aca="false">L62-L63</f>
        <v>1.67330546910844</v>
      </c>
      <c r="M71" s="25" t="n">
        <f aca="false">M62-M63</f>
        <v>2.05103337837674</v>
      </c>
    </row>
    <row r="72" customFormat="false" ht="17.15" hidden="false" customHeight="false" outlineLevel="0" collapsed="false">
      <c r="A72" s="5" t="s">
        <v>1780</v>
      </c>
      <c r="B72" s="0" t="s">
        <v>1934</v>
      </c>
      <c r="C72" s="0" t="s">
        <v>1776</v>
      </c>
      <c r="D72" s="25" t="n">
        <f aca="false">D62-D64</f>
        <v>0</v>
      </c>
      <c r="E72" s="25" t="n">
        <f aca="false">E62-E64</f>
        <v>0</v>
      </c>
      <c r="F72" s="25" t="n">
        <f aca="false">F62-F64</f>
        <v>0</v>
      </c>
      <c r="G72" s="25" t="n">
        <f aca="false">G62-G64</f>
        <v>0.809079699166553</v>
      </c>
      <c r="H72" s="25" t="n">
        <f aca="false">H62-H64</f>
        <v>6.49360578787612</v>
      </c>
      <c r="I72" s="25" t="n">
        <f aca="false">I62-I64</f>
        <v>10.3041857594746</v>
      </c>
      <c r="J72" s="25" t="n">
        <f aca="false">J62-J64</f>
        <v>3.05336038385485</v>
      </c>
      <c r="K72" s="25" t="n">
        <f aca="false">K62-K64</f>
        <v>1.70580080193461</v>
      </c>
      <c r="L72" s="25" t="n">
        <f aca="false">L62-L64</f>
        <v>1.67330546910844</v>
      </c>
      <c r="M72" s="25" t="n">
        <f aca="false">M62-M64</f>
        <v>2.05103337837674</v>
      </c>
    </row>
    <row r="74" customFormat="false" ht="17.15" hidden="false" customHeight="false" outlineLevel="0" collapsed="false">
      <c r="A74" s="22" t="s">
        <v>1943</v>
      </c>
    </row>
    <row r="75" customFormat="false" ht="17.15" hidden="false" customHeight="false" outlineLevel="0" collapsed="false">
      <c r="A75" s="5" t="s">
        <v>1933</v>
      </c>
      <c r="B75" s="0" t="s">
        <v>1938</v>
      </c>
      <c r="C75" s="0" t="s">
        <v>1774</v>
      </c>
      <c r="D75" s="25" t="n">
        <f aca="false">0</f>
        <v>0</v>
      </c>
      <c r="E75" s="25" t="n">
        <f aca="false">E$4</f>
        <v>1.61980834349181</v>
      </c>
      <c r="F75" s="25" t="n">
        <f aca="false">F$4</f>
        <v>9.04912429484716</v>
      </c>
      <c r="G75" s="25" t="n">
        <f aca="false">G$4</f>
        <v>12.5153714610592</v>
      </c>
      <c r="H75" s="25" t="n">
        <f aca="false">H$4</f>
        <v>12.6031451245072</v>
      </c>
      <c r="I75" s="25" t="n">
        <f aca="false">I$4*SIL_In!$I$28</f>
        <v>15.3728379153939</v>
      </c>
      <c r="J75" s="25" t="n">
        <f aca="false">J$4*SIL_In!$J$28</f>
        <v>5.50206813134784</v>
      </c>
      <c r="K75" s="25" t="n">
        <f aca="false">(Pipeline!J241+SUM($E$77:J77))*K76</f>
        <v>6.3523130030897</v>
      </c>
      <c r="L75" s="25" t="n">
        <f aca="false">(Pipeline!K241+SUM($E$77:K77))*L76</f>
        <v>7.3431517069633</v>
      </c>
      <c r="M75" s="25" t="n">
        <f aca="false">(Pipeline!L241+SUM($E$77:L77))*M76</f>
        <v>8.50260306756944</v>
      </c>
    </row>
    <row r="76" customFormat="false" ht="17.15" hidden="false" customHeight="false" outlineLevel="0" collapsed="false">
      <c r="A76" s="5" t="s">
        <v>1935</v>
      </c>
      <c r="B76" s="0" t="s">
        <v>1938</v>
      </c>
      <c r="D76" s="24" t="str">
        <f aca="false">""</f>
        <v/>
      </c>
      <c r="E76" s="24" t="str">
        <f aca="false">""</f>
        <v/>
      </c>
      <c r="F76" s="24" t="str">
        <f aca="false">""</f>
        <v/>
      </c>
      <c r="G76" s="24" t="str">
        <f aca="false">""</f>
        <v/>
      </c>
      <c r="H76" s="24" t="str">
        <f aca="false">""</f>
        <v/>
      </c>
      <c r="I76" s="24" t="str">
        <f aca="false">""</f>
        <v/>
      </c>
      <c r="J76" s="24" t="n">
        <f aca="false">IFERROR(J75/(Pipeline!I241+SUM($E$77:I77)),g_lt)</f>
        <v>0.083581857589974</v>
      </c>
      <c r="K76" s="24" t="n">
        <f aca="false">$J$76+(g_lt-$J$76)*(2030-2029)/3</f>
        <v>0.0890545717266493</v>
      </c>
      <c r="L76" s="24" t="n">
        <f aca="false">$J$76+(g_lt-$J$76)*(2031-2029)/3</f>
        <v>0.0945272858633247</v>
      </c>
      <c r="M76" s="24" t="n">
        <f aca="false">$J$76+(g_lt-$J$76)*(2032-2029)/3</f>
        <v>0.1</v>
      </c>
    </row>
    <row r="77" customFormat="false" ht="17.15" hidden="false" customHeight="false" outlineLevel="0" collapsed="false">
      <c r="A77" s="5" t="s">
        <v>1936</v>
      </c>
      <c r="B77" s="0" t="s">
        <v>1938</v>
      </c>
      <c r="D77" s="25" t="n">
        <f aca="false">0</f>
        <v>0</v>
      </c>
      <c r="E77" s="25" t="n">
        <f aca="false">E75-E$4</f>
        <v>0</v>
      </c>
      <c r="F77" s="25" t="n">
        <f aca="false">F75-F$4</f>
        <v>0</v>
      </c>
      <c r="G77" s="25" t="n">
        <f aca="false">G75-G$4</f>
        <v>0</v>
      </c>
      <c r="H77" s="25" t="n">
        <f aca="false">H75-H$4</f>
        <v>0</v>
      </c>
      <c r="I77" s="25" t="n">
        <f aca="false">I75-I$4</f>
        <v>-3.84320947884847</v>
      </c>
      <c r="J77" s="25" t="n">
        <f aca="false">J75-J$4</f>
        <v>-0.970953199649618</v>
      </c>
      <c r="K77" s="25" t="n">
        <f aca="false">K75-K$4</f>
        <v>-0.666742018958191</v>
      </c>
      <c r="L77" s="25" t="n">
        <f aca="false">L75-L$4</f>
        <v>3.77030555311714</v>
      </c>
      <c r="M77" s="25" t="n">
        <f aca="false">M75-M$4</f>
        <v>3.56737229833867</v>
      </c>
    </row>
    <row r="78" customFormat="false" ht="17.15" hidden="false" customHeight="false" outlineLevel="0" collapsed="false">
      <c r="A78" s="22" t="s">
        <v>1778</v>
      </c>
      <c r="B78" s="21" t="s">
        <v>1938</v>
      </c>
      <c r="C78" s="21" t="s">
        <v>1774</v>
      </c>
      <c r="D78" s="26" t="n">
        <f aca="false">Pipeline!D241+SUMPRODUCT($E$77:$M$77,Pipeline!$E$196:$M$196)</f>
        <v>0.630578355681972</v>
      </c>
      <c r="E78" s="26" t="n">
        <f aca="false">Pipeline!E241+SUMPRODUCT($E$77:$M$77,Pipeline!$E$197:$M$197)</f>
        <v>6.20938570515285</v>
      </c>
      <c r="F78" s="26" t="n">
        <f aca="false">Pipeline!F241+SUMPRODUCT($E$77:$M$77,Pipeline!$E$198:$M$198)</f>
        <v>25.3371433333333</v>
      </c>
      <c r="G78" s="26" t="n">
        <f aca="false">Pipeline!G241+SUMPRODUCT($E$77:$M$77,Pipeline!$E$199:$M$199)</f>
        <v>37.8525147943925</v>
      </c>
      <c r="H78" s="26" t="n">
        <f aca="false">Pipeline!H241+SUMPRODUCT($E$77:$M$77,Pipeline!$E$200:$M$200)</f>
        <v>50.4556599188997</v>
      </c>
      <c r="I78" s="26" t="n">
        <f aca="false">Pipeline!I241+SUMPRODUCT($E$77:$M$77,Pipeline!$E$201:$M$201)</f>
        <v>65.8284978342936</v>
      </c>
      <c r="J78" s="26" t="n">
        <f aca="false">Pipeline!J241+SUMPRODUCT($E$77:$M$77,Pipeline!$E$202:$M$202)</f>
        <v>71.3305659656414</v>
      </c>
      <c r="K78" s="26" t="n">
        <f aca="false">Pipeline!K241+SUMPRODUCT($E$77:$M$77,Pipeline!$E$203:$M$203)</f>
        <v>77.6828789687311</v>
      </c>
      <c r="L78" s="26" t="n">
        <f aca="false">Pipeline!L241+SUMPRODUCT($E$77:$M$77,Pipeline!$E$204:$M$204)</f>
        <v>85.0260306756944</v>
      </c>
      <c r="M78" s="26" t="n">
        <f aca="false">Pipeline!M241+SUMPRODUCT($E$77:$M$77,Pipeline!$E$205:$M$205)</f>
        <v>93.5286337432639</v>
      </c>
    </row>
    <row r="79" customFormat="false" ht="17.15" hidden="false" customHeight="false" outlineLevel="0" collapsed="false">
      <c r="A79" s="22" t="s">
        <v>1778</v>
      </c>
      <c r="B79" s="21" t="s">
        <v>1938</v>
      </c>
      <c r="C79" s="21" t="s">
        <v>1775</v>
      </c>
      <c r="D79" s="26" t="n">
        <f aca="false">Pipeline!D242+SUMPRODUCT($E$77:$M$77,Pipeline!$E$208:$M$208)</f>
        <v>0.630578355681972</v>
      </c>
      <c r="E79" s="26" t="n">
        <f aca="false">Pipeline!E242+SUMPRODUCT($E$77:$M$77,Pipeline!$E$209:$M$209)</f>
        <v>6.20938570515285</v>
      </c>
      <c r="F79" s="26" t="n">
        <f aca="false">Pipeline!F242+SUMPRODUCT($E$77:$M$77,Pipeline!$E$210:$M$210)</f>
        <v>25.3371433333333</v>
      </c>
      <c r="G79" s="26" t="n">
        <f aca="false">Pipeline!G242+SUMPRODUCT($E$77:$M$77,Pipeline!$E$211:$M$211)</f>
        <v>37.043435095226</v>
      </c>
      <c r="H79" s="26" t="n">
        <f aca="false">Pipeline!H242+SUMPRODUCT($E$77:$M$77,Pipeline!$E$212:$M$212)</f>
        <v>47.9518803554443</v>
      </c>
      <c r="I79" s="26" t="n">
        <f aca="false">Pipeline!I242+SUMPRODUCT($E$77:$M$77,Pipeline!$E$213:$M$213)</f>
        <v>62.6077678657663</v>
      </c>
      <c r="J79" s="26" t="n">
        <f aca="false">Pipeline!J242+SUMPRODUCT($E$77:$M$77,Pipeline!$E$214:$M$214)</f>
        <v>69.9828790426555</v>
      </c>
      <c r="K79" s="26" t="n">
        <f aca="false">Pipeline!K242+SUMPRODUCT($E$77:$M$77,Pipeline!$E$215:$M$215)</f>
        <v>76.1349491931904</v>
      </c>
      <c r="L79" s="26" t="n">
        <f aca="false">Pipeline!L242+SUMPRODUCT($E$77:$M$77,Pipeline!$E$216:$M$216)</f>
        <v>83.4926541269758</v>
      </c>
      <c r="M79" s="26" t="n">
        <f aca="false">Pipeline!M242+SUMPRODUCT($E$77:$M$77,Pipeline!$E$217:$M$217)</f>
        <v>91.5916282064392</v>
      </c>
    </row>
    <row r="80" customFormat="false" ht="17.15" hidden="false" customHeight="false" outlineLevel="0" collapsed="false">
      <c r="A80" s="22" t="s">
        <v>1778</v>
      </c>
      <c r="B80" s="21" t="s">
        <v>1938</v>
      </c>
      <c r="C80" s="21" t="s">
        <v>1776</v>
      </c>
      <c r="D80" s="26" t="n">
        <f aca="false">Pipeline!D243+SUMPRODUCT($E$77:$M$77,Pipeline!$E$220:$M$220)</f>
        <v>0.630578355681972</v>
      </c>
      <c r="E80" s="26" t="n">
        <f aca="false">Pipeline!E243+SUMPRODUCT($E$77:$M$77,Pipeline!$E$221:$M$221)</f>
        <v>6.20938570515285</v>
      </c>
      <c r="F80" s="26" t="n">
        <f aca="false">Pipeline!F243+SUMPRODUCT($E$77:$M$77,Pipeline!$E$222:$M$222)</f>
        <v>25.3371433333333</v>
      </c>
      <c r="G80" s="26" t="n">
        <f aca="false">Pipeline!G243+SUMPRODUCT($E$77:$M$77,Pipeline!$E$223:$M$223)</f>
        <v>37.043435095226</v>
      </c>
      <c r="H80" s="26" t="n">
        <f aca="false">Pipeline!H243+SUMPRODUCT($E$77:$M$77,Pipeline!$E$224:$M$224)</f>
        <v>43.9620541310236</v>
      </c>
      <c r="I80" s="26" t="n">
        <f aca="false">Pipeline!I243+SUMPRODUCT($E$77:$M$77,Pipeline!$E$225:$M$225)</f>
        <v>57.4651328616375</v>
      </c>
      <c r="J80" s="26" t="n">
        <f aca="false">Pipeline!J243+SUMPRODUCT($E$77:$M$77,Pipeline!$E$226:$M$226)</f>
        <v>68.7161470552447</v>
      </c>
      <c r="K80" s="26" t="n">
        <f aca="false">Pipeline!K243+SUMPRODUCT($E$77:$M$77,Pipeline!$E$227:$M$227)</f>
        <v>76.1349491931904</v>
      </c>
      <c r="L80" s="26" t="n">
        <f aca="false">Pipeline!L243+SUMPRODUCT($E$77:$M$77,Pipeline!$E$228:$M$228)</f>
        <v>83.4926541269758</v>
      </c>
      <c r="M80" s="26" t="n">
        <f aca="false">Pipeline!M243+SUMPRODUCT($E$77:$M$77,Pipeline!$E$229:$M$229)</f>
        <v>91.5916282064392</v>
      </c>
    </row>
    <row r="81" customFormat="false" ht="17.15" hidden="false" customHeight="false" outlineLevel="0" collapsed="false">
      <c r="A81" s="5" t="s">
        <v>1669</v>
      </c>
      <c r="B81" s="0" t="s">
        <v>1938</v>
      </c>
      <c r="C81" s="0" t="s">
        <v>1774</v>
      </c>
      <c r="D81" s="25" t="str">
        <f aca="false">""</f>
        <v/>
      </c>
      <c r="E81" s="25" t="n">
        <f aca="false">(D78+E78)/2</f>
        <v>3.41998203041741</v>
      </c>
      <c r="F81" s="25" t="n">
        <f aca="false">(E78+F78)/2</f>
        <v>15.7732645192431</v>
      </c>
      <c r="G81" s="25" t="n">
        <f aca="false">(F78+G78)/2</f>
        <v>31.5948290638629</v>
      </c>
      <c r="H81" s="25" t="n">
        <f aca="false">(G78+H78)/2</f>
        <v>44.1540873566461</v>
      </c>
      <c r="I81" s="25" t="n">
        <f aca="false">(H78+I78)/2</f>
        <v>58.1420788765966</v>
      </c>
      <c r="J81" s="25" t="n">
        <f aca="false">(I78+J78)/2</f>
        <v>68.5795318999675</v>
      </c>
      <c r="K81" s="25" t="n">
        <f aca="false">(J78+K78)/2</f>
        <v>74.5067224671863</v>
      </c>
      <c r="L81" s="25" t="n">
        <f aca="false">(K78+L78)/2</f>
        <v>81.3544548222128</v>
      </c>
      <c r="M81" s="25" t="n">
        <f aca="false">(L78+M78)/2</f>
        <v>89.2773322094791</v>
      </c>
    </row>
    <row r="82" customFormat="false" ht="17.15" hidden="false" customHeight="false" outlineLevel="0" collapsed="false">
      <c r="A82" s="5" t="s">
        <v>1669</v>
      </c>
      <c r="B82" s="0" t="s">
        <v>1938</v>
      </c>
      <c r="C82" s="0" t="s">
        <v>1775</v>
      </c>
      <c r="D82" s="25" t="str">
        <f aca="false">""</f>
        <v/>
      </c>
      <c r="E82" s="25" t="n">
        <f aca="false">(D79+E79)/2</f>
        <v>3.41998203041741</v>
      </c>
      <c r="F82" s="25" t="n">
        <f aca="false">(E79+F79)/2</f>
        <v>15.7732645192431</v>
      </c>
      <c r="G82" s="25" t="n">
        <f aca="false">(F79+G79)/2</f>
        <v>31.1902892142797</v>
      </c>
      <c r="H82" s="25" t="n">
        <f aca="false">(G79+H79)/2</f>
        <v>42.4976577253351</v>
      </c>
      <c r="I82" s="25" t="n">
        <f aca="false">(H79+I79)/2</f>
        <v>55.2798241106053</v>
      </c>
      <c r="J82" s="25" t="n">
        <f aca="false">(I79+J79)/2</f>
        <v>66.2953234542109</v>
      </c>
      <c r="K82" s="25" t="n">
        <f aca="false">(J79+K79)/2</f>
        <v>73.058914117923</v>
      </c>
      <c r="L82" s="25" t="n">
        <f aca="false">(K79+L79)/2</f>
        <v>79.8138016600831</v>
      </c>
      <c r="M82" s="25" t="n">
        <f aca="false">(L79+M79)/2</f>
        <v>87.5421411667075</v>
      </c>
    </row>
    <row r="83" customFormat="false" ht="17.15" hidden="false" customHeight="false" outlineLevel="0" collapsed="false">
      <c r="A83" s="5" t="s">
        <v>1669</v>
      </c>
      <c r="B83" s="0" t="s">
        <v>1938</v>
      </c>
      <c r="C83" s="0" t="s">
        <v>1776</v>
      </c>
      <c r="D83" s="25" t="str">
        <f aca="false">""</f>
        <v/>
      </c>
      <c r="E83" s="25" t="n">
        <f aca="false">(D80+E80)/2</f>
        <v>3.41998203041741</v>
      </c>
      <c r="F83" s="25" t="n">
        <f aca="false">(E80+F80)/2</f>
        <v>15.7732645192431</v>
      </c>
      <c r="G83" s="25" t="n">
        <f aca="false">(F80+G80)/2</f>
        <v>31.1902892142797</v>
      </c>
      <c r="H83" s="25" t="n">
        <f aca="false">(G80+H80)/2</f>
        <v>40.5027446131248</v>
      </c>
      <c r="I83" s="25" t="n">
        <f aca="false">(H80+I80)/2</f>
        <v>50.7135934963305</v>
      </c>
      <c r="J83" s="25" t="n">
        <f aca="false">(I80+J80)/2</f>
        <v>63.0906399584411</v>
      </c>
      <c r="K83" s="25" t="n">
        <f aca="false">(J80+K80)/2</f>
        <v>72.4255481242175</v>
      </c>
      <c r="L83" s="25" t="n">
        <f aca="false">(K80+L80)/2</f>
        <v>79.8138016600831</v>
      </c>
      <c r="M83" s="25" t="n">
        <f aca="false">(L80+M80)/2</f>
        <v>87.5421411667075</v>
      </c>
    </row>
    <row r="84" customFormat="false" ht="17.15" hidden="false" customHeight="false" outlineLevel="0" collapsed="false">
      <c r="A84" s="5" t="s">
        <v>1779</v>
      </c>
      <c r="B84" s="0" t="s">
        <v>1938</v>
      </c>
      <c r="C84" s="0" t="s">
        <v>1774</v>
      </c>
      <c r="D84" s="25" t="n">
        <f aca="false">0</f>
        <v>0</v>
      </c>
      <c r="E84" s="25" t="n">
        <f aca="false">E78-D78-E$6</f>
        <v>1.61980834349181</v>
      </c>
      <c r="F84" s="25" t="n">
        <f aca="false">F78-E78-F$6</f>
        <v>9.04912429484716</v>
      </c>
      <c r="G84" s="25" t="n">
        <f aca="false">G78-F78-G$6</f>
        <v>12.5153714610592</v>
      </c>
      <c r="H84" s="25" t="n">
        <f aca="false">H78-G78-H$6</f>
        <v>12.6031451245072</v>
      </c>
      <c r="I84" s="25" t="n">
        <f aca="false">I78-H78-I$6</f>
        <v>15.3728379153939</v>
      </c>
      <c r="J84" s="25" t="n">
        <f aca="false">J78-I78-J$6</f>
        <v>5.50206813134783</v>
      </c>
      <c r="K84" s="25" t="n">
        <f aca="false">K78-J78-K$6</f>
        <v>6.35231300308971</v>
      </c>
      <c r="L84" s="25" t="n">
        <f aca="false">L78-K78-L$6</f>
        <v>7.3431517069633</v>
      </c>
      <c r="M84" s="25" t="n">
        <f aca="false">M78-L78-M$6</f>
        <v>8.50260306756944</v>
      </c>
    </row>
    <row r="85" customFormat="false" ht="17.15" hidden="false" customHeight="false" outlineLevel="0" collapsed="false">
      <c r="A85" s="5" t="s">
        <v>1779</v>
      </c>
      <c r="B85" s="0" t="s">
        <v>1938</v>
      </c>
      <c r="C85" s="0" t="s">
        <v>1775</v>
      </c>
      <c r="D85" s="25" t="n">
        <f aca="false">0</f>
        <v>0</v>
      </c>
      <c r="E85" s="25" t="n">
        <f aca="false">E79-D79-E$6</f>
        <v>1.61980834349181</v>
      </c>
      <c r="F85" s="25" t="n">
        <f aca="false">F79-E79-F$6</f>
        <v>9.04912429484716</v>
      </c>
      <c r="G85" s="25" t="n">
        <f aca="false">G79-F79-G$6</f>
        <v>11.7062917618926</v>
      </c>
      <c r="H85" s="25" t="n">
        <f aca="false">H79-G79-H$6</f>
        <v>10.9084452602183</v>
      </c>
      <c r="I85" s="25" t="n">
        <f aca="false">I79-H79-I$6</f>
        <v>14.655887510322</v>
      </c>
      <c r="J85" s="25" t="n">
        <f aca="false">J79-I79-J$6</f>
        <v>7.37511117688923</v>
      </c>
      <c r="K85" s="25" t="n">
        <f aca="false">K79-J79-K$6</f>
        <v>6.1520701505349</v>
      </c>
      <c r="L85" s="25" t="n">
        <f aca="false">L79-K79-L$6</f>
        <v>7.3577049337854</v>
      </c>
      <c r="M85" s="25" t="n">
        <f aca="false">M79-L79-M$6</f>
        <v>8.09897407946338</v>
      </c>
    </row>
    <row r="86" customFormat="false" ht="17.15" hidden="false" customHeight="false" outlineLevel="0" collapsed="false">
      <c r="A86" s="5" t="s">
        <v>1779</v>
      </c>
      <c r="B86" s="0" t="s">
        <v>1938</v>
      </c>
      <c r="C86" s="0" t="s">
        <v>1776</v>
      </c>
      <c r="D86" s="25" t="n">
        <f aca="false">0</f>
        <v>0</v>
      </c>
      <c r="E86" s="25" t="n">
        <f aca="false">E80-D80-E$6</f>
        <v>1.61980834349181</v>
      </c>
      <c r="F86" s="25" t="n">
        <f aca="false">F80-E80-F$6</f>
        <v>9.04912429484716</v>
      </c>
      <c r="G86" s="25" t="n">
        <f aca="false">G80-F80-G$6</f>
        <v>11.7062917618926</v>
      </c>
      <c r="H86" s="25" t="n">
        <f aca="false">H80-G80-H$6</f>
        <v>6.9186190357976</v>
      </c>
      <c r="I86" s="25" t="n">
        <f aca="false">I80-H80-I$6</f>
        <v>13.5030787306139</v>
      </c>
      <c r="J86" s="25" t="n">
        <f aca="false">J80-I80-J$6</f>
        <v>11.2510141936071</v>
      </c>
      <c r="K86" s="25" t="n">
        <f aca="false">K80-J80-K$6</f>
        <v>7.41880213794579</v>
      </c>
      <c r="L86" s="25" t="n">
        <f aca="false">L80-K80-L$6</f>
        <v>7.3577049337854</v>
      </c>
      <c r="M86" s="25" t="n">
        <f aca="false">M80-L80-M$6</f>
        <v>8.09897407946338</v>
      </c>
    </row>
    <row r="87" customFormat="false" ht="17.15" hidden="false" customHeight="false" outlineLevel="0" collapsed="false">
      <c r="A87" s="5" t="s">
        <v>1780</v>
      </c>
      <c r="B87" s="0" t="s">
        <v>1938</v>
      </c>
      <c r="C87" s="0" t="s">
        <v>1775</v>
      </c>
      <c r="D87" s="25" t="n">
        <f aca="false">D78-D79</f>
        <v>0</v>
      </c>
      <c r="E87" s="25" t="n">
        <f aca="false">E78-E79</f>
        <v>0</v>
      </c>
      <c r="F87" s="25" t="n">
        <f aca="false">F78-F79</f>
        <v>0</v>
      </c>
      <c r="G87" s="25" t="n">
        <f aca="false">G78-G79</f>
        <v>0.809079699166553</v>
      </c>
      <c r="H87" s="25" t="n">
        <f aca="false">H78-H79</f>
        <v>2.50377956345542</v>
      </c>
      <c r="I87" s="25" t="n">
        <f aca="false">I78-I79</f>
        <v>3.22072996852727</v>
      </c>
      <c r="J87" s="25" t="n">
        <f aca="false">J78-J79</f>
        <v>1.34768692298587</v>
      </c>
      <c r="K87" s="25" t="n">
        <f aca="false">K78-K79</f>
        <v>1.54792977554068</v>
      </c>
      <c r="L87" s="25" t="n">
        <f aca="false">L78-L79</f>
        <v>1.53337654871858</v>
      </c>
      <c r="M87" s="25" t="n">
        <f aca="false">M78-M79</f>
        <v>1.93700553682464</v>
      </c>
    </row>
    <row r="88" customFormat="false" ht="17.15" hidden="false" customHeight="false" outlineLevel="0" collapsed="false">
      <c r="A88" s="5" t="s">
        <v>1780</v>
      </c>
      <c r="B88" s="0" t="s">
        <v>1938</v>
      </c>
      <c r="C88" s="0" t="s">
        <v>1776</v>
      </c>
      <c r="D88" s="25" t="n">
        <f aca="false">D78-D80</f>
        <v>0</v>
      </c>
      <c r="E88" s="25" t="n">
        <f aca="false">E78-E80</f>
        <v>0</v>
      </c>
      <c r="F88" s="25" t="n">
        <f aca="false">F78-F80</f>
        <v>0</v>
      </c>
      <c r="G88" s="25" t="n">
        <f aca="false">G78-G80</f>
        <v>0.809079699166553</v>
      </c>
      <c r="H88" s="25" t="n">
        <f aca="false">H78-H80</f>
        <v>6.49360578787612</v>
      </c>
      <c r="I88" s="25" t="n">
        <f aca="false">I78-I80</f>
        <v>8.36336497265608</v>
      </c>
      <c r="J88" s="25" t="n">
        <f aca="false">J78-J80</f>
        <v>2.61441891039676</v>
      </c>
      <c r="K88" s="25" t="n">
        <f aca="false">K78-K80</f>
        <v>1.54792977554068</v>
      </c>
      <c r="L88" s="25" t="n">
        <f aca="false">L78-L80</f>
        <v>1.53337654871858</v>
      </c>
      <c r="M88" s="25" t="n">
        <f aca="false">M78-M80</f>
        <v>1.93700553682464</v>
      </c>
    </row>
    <row r="90" customFormat="false" ht="17.15" hidden="false" customHeight="false" outlineLevel="0" collapsed="false">
      <c r="A90" s="22" t="s">
        <v>1944</v>
      </c>
    </row>
    <row r="91" customFormat="false" ht="17.15" hidden="false" customHeight="false" outlineLevel="0" collapsed="false">
      <c r="A91" s="5" t="s">
        <v>1933</v>
      </c>
      <c r="B91" s="0" t="s">
        <v>1940</v>
      </c>
      <c r="C91" s="0" t="s">
        <v>1774</v>
      </c>
      <c r="D91" s="25" t="n">
        <f aca="false">0</f>
        <v>0</v>
      </c>
      <c r="E91" s="25" t="n">
        <f aca="false">E$4</f>
        <v>1.61980834349181</v>
      </c>
      <c r="F91" s="25" t="n">
        <f aca="false">F$4</f>
        <v>9.04912429484716</v>
      </c>
      <c r="G91" s="25" t="n">
        <f aca="false">G$4</f>
        <v>12.5153714610592</v>
      </c>
      <c r="H91" s="25" t="n">
        <f aca="false">H$4</f>
        <v>12.6031451245072</v>
      </c>
      <c r="I91" s="25" t="n">
        <f aca="false">I$4*SIL_In!$I$29</f>
        <v>11.5296284365454</v>
      </c>
      <c r="J91" s="25" t="n">
        <f aca="false">J$4*SIL_In!$J$29</f>
        <v>3.88381279859847</v>
      </c>
      <c r="K91" s="25" t="n">
        <f aca="false">(Pipeline!J241+SUM($E$93:J93))*K92</f>
        <v>4.94707730103095</v>
      </c>
      <c r="L91" s="25" t="n">
        <f aca="false">(Pipeline!K241+SUM($E$93:K93))*L92</f>
        <v>6.2001218846959</v>
      </c>
      <c r="M91" s="25" t="n">
        <f aca="false">(Pipeline!L241+SUM($E$93:L93))*M92</f>
        <v>7.70163003397704</v>
      </c>
    </row>
    <row r="92" customFormat="false" ht="17.15" hidden="false" customHeight="false" outlineLevel="0" collapsed="false">
      <c r="A92" s="5" t="s">
        <v>1935</v>
      </c>
      <c r="B92" s="0" t="s">
        <v>1940</v>
      </c>
      <c r="D92" s="24" t="str">
        <f aca="false">""</f>
        <v/>
      </c>
      <c r="E92" s="24" t="str">
        <f aca="false">""</f>
        <v/>
      </c>
      <c r="F92" s="24" t="str">
        <f aca="false">""</f>
        <v/>
      </c>
      <c r="G92" s="24" t="str">
        <f aca="false">""</f>
        <v/>
      </c>
      <c r="H92" s="24" t="str">
        <f aca="false">""</f>
        <v/>
      </c>
      <c r="I92" s="24" t="str">
        <f aca="false">""</f>
        <v/>
      </c>
      <c r="J92" s="24" t="n">
        <f aca="false">IFERROR(J91/(Pipeline!I241+SUM($E$93:I93)),g_lt)</f>
        <v>0.0626570094556525</v>
      </c>
      <c r="K92" s="24" t="n">
        <f aca="false">$J$92+(g_lt-$J$92)*(2030-2029)/3</f>
        <v>0.075104672970435</v>
      </c>
      <c r="L92" s="24" t="n">
        <f aca="false">$J$92+(g_lt-$J$92)*(2031-2029)/3</f>
        <v>0.0875523364852175</v>
      </c>
      <c r="M92" s="24" t="n">
        <f aca="false">$J$92+(g_lt-$J$92)*(2032-2029)/3</f>
        <v>0.1</v>
      </c>
    </row>
    <row r="93" customFormat="false" ht="17.15" hidden="false" customHeight="false" outlineLevel="0" collapsed="false">
      <c r="A93" s="5" t="s">
        <v>1936</v>
      </c>
      <c r="B93" s="0" t="s">
        <v>1940</v>
      </c>
      <c r="D93" s="25" t="n">
        <f aca="false">0</f>
        <v>0</v>
      </c>
      <c r="E93" s="25" t="n">
        <f aca="false">E91-E$4</f>
        <v>0</v>
      </c>
      <c r="F93" s="25" t="n">
        <f aca="false">F91-F$4</f>
        <v>0</v>
      </c>
      <c r="G93" s="25" t="n">
        <f aca="false">G91-G$4</f>
        <v>0</v>
      </c>
      <c r="H93" s="25" t="n">
        <f aca="false">H91-H$4</f>
        <v>0</v>
      </c>
      <c r="I93" s="25" t="n">
        <f aca="false">I91-I$4</f>
        <v>-7.68641895769694</v>
      </c>
      <c r="J93" s="25" t="n">
        <f aca="false">J91-J$4</f>
        <v>-2.58920853239898</v>
      </c>
      <c r="K93" s="25" t="n">
        <f aca="false">K91-K$4</f>
        <v>-2.07197772101695</v>
      </c>
      <c r="L93" s="25" t="n">
        <f aca="false">L91-L$4</f>
        <v>2.62727573084974</v>
      </c>
      <c r="M93" s="25" t="n">
        <f aca="false">M91-M$4</f>
        <v>2.76639926474627</v>
      </c>
    </row>
    <row r="94" customFormat="false" ht="17.15" hidden="false" customHeight="false" outlineLevel="0" collapsed="false">
      <c r="A94" s="22" t="s">
        <v>1778</v>
      </c>
      <c r="B94" s="21" t="s">
        <v>1940</v>
      </c>
      <c r="C94" s="21" t="s">
        <v>1774</v>
      </c>
      <c r="D94" s="26" t="n">
        <f aca="false">Pipeline!D241+SUMPRODUCT($E$93:$M$93,Pipeline!$E$196:$M$196)</f>
        <v>0.630578355681972</v>
      </c>
      <c r="E94" s="26" t="n">
        <f aca="false">Pipeline!E241+SUMPRODUCT($E$93:$M$93,Pipeline!$E$197:$M$197)</f>
        <v>6.20938570515285</v>
      </c>
      <c r="F94" s="26" t="n">
        <f aca="false">Pipeline!F241+SUMPRODUCT($E$93:$M$93,Pipeline!$E$198:$M$198)</f>
        <v>25.3371433333333</v>
      </c>
      <c r="G94" s="26" t="n">
        <f aca="false">Pipeline!G241+SUMPRODUCT($E$93:$M$93,Pipeline!$E$199:$M$199)</f>
        <v>37.8525147943925</v>
      </c>
      <c r="H94" s="26" t="n">
        <f aca="false">Pipeline!H241+SUMPRODUCT($E$93:$M$93,Pipeline!$E$200:$M$200)</f>
        <v>50.4556599188997</v>
      </c>
      <c r="I94" s="26" t="n">
        <f aca="false">Pipeline!I241+SUMPRODUCT($E$93:$M$93,Pipeline!$E$201:$M$201)</f>
        <v>61.9852883554451</v>
      </c>
      <c r="J94" s="26" t="n">
        <f aca="false">Pipeline!J241+SUMPRODUCT($E$93:$M$93,Pipeline!$E$202:$M$202)</f>
        <v>65.8691011540436</v>
      </c>
      <c r="K94" s="26" t="n">
        <f aca="false">Pipeline!K241+SUMPRODUCT($E$93:$M$93,Pipeline!$E$203:$M$203)</f>
        <v>70.8161784550745</v>
      </c>
      <c r="L94" s="26" t="n">
        <f aca="false">Pipeline!L241+SUMPRODUCT($E$93:$M$93,Pipeline!$E$204:$M$204)</f>
        <v>77.0163003397704</v>
      </c>
      <c r="M94" s="26" t="n">
        <f aca="false">Pipeline!M241+SUMPRODUCT($E$93:$M$93,Pipeline!$E$205:$M$205)</f>
        <v>84.7179303737475</v>
      </c>
    </row>
    <row r="95" customFormat="false" ht="17.15" hidden="false" customHeight="false" outlineLevel="0" collapsed="false">
      <c r="A95" s="22" t="s">
        <v>1778</v>
      </c>
      <c r="B95" s="21" t="s">
        <v>1940</v>
      </c>
      <c r="C95" s="21" t="s">
        <v>1775</v>
      </c>
      <c r="D95" s="26" t="n">
        <f aca="false">Pipeline!D242+SUMPRODUCT($E$93:$M$93,Pipeline!$E$208:$M$208)</f>
        <v>0.630578355681972</v>
      </c>
      <c r="E95" s="26" t="n">
        <f aca="false">Pipeline!E242+SUMPRODUCT($E$93:$M$93,Pipeline!$E$209:$M$209)</f>
        <v>6.20938570515285</v>
      </c>
      <c r="F95" s="26" t="n">
        <f aca="false">Pipeline!F242+SUMPRODUCT($E$93:$M$93,Pipeline!$E$210:$M$210)</f>
        <v>25.3371433333333</v>
      </c>
      <c r="G95" s="26" t="n">
        <f aca="false">Pipeline!G242+SUMPRODUCT($E$93:$M$93,Pipeline!$E$211:$M$211)</f>
        <v>37.043435095226</v>
      </c>
      <c r="H95" s="26" t="n">
        <f aca="false">Pipeline!H242+SUMPRODUCT($E$93:$M$93,Pipeline!$E$212:$M$212)</f>
        <v>47.9518803554443</v>
      </c>
      <c r="I95" s="26" t="n">
        <f aca="false">Pipeline!I242+SUMPRODUCT($E$93:$M$93,Pipeline!$E$213:$M$213)</f>
        <v>59.4371200457163</v>
      </c>
      <c r="J95" s="26" t="n">
        <f aca="false">Pipeline!J242+SUMPRODUCT($E$93:$M$93,Pipeline!$E$214:$M$214)</f>
        <v>64.8046089142889</v>
      </c>
      <c r="K95" s="26" t="n">
        <f aca="false">Pipeline!K242+SUMPRODUCT($E$93:$M$93,Pipeline!$E$215:$M$215)</f>
        <v>69.5141649273941</v>
      </c>
      <c r="L95" s="26" t="n">
        <f aca="false">Pipeline!L242+SUMPRODUCT($E$93:$M$93,Pipeline!$E$216:$M$216)</f>
        <v>75.6829540099487</v>
      </c>
      <c r="M95" s="26" t="n">
        <f aca="false">Pipeline!M242+SUMPRODUCT($E$93:$M$93,Pipeline!$E$217:$M$217)</f>
        <v>82.9210951178015</v>
      </c>
    </row>
    <row r="96" customFormat="false" ht="17.15" hidden="false" customHeight="false" outlineLevel="0" collapsed="false">
      <c r="A96" s="22" t="s">
        <v>1778</v>
      </c>
      <c r="B96" s="21" t="s">
        <v>1940</v>
      </c>
      <c r="C96" s="21" t="s">
        <v>1776</v>
      </c>
      <c r="D96" s="26" t="n">
        <f aca="false">Pipeline!D243+SUMPRODUCT($E$93:$M$93,Pipeline!$E$220:$M$220)</f>
        <v>0.630578355681972</v>
      </c>
      <c r="E96" s="26" t="n">
        <f aca="false">Pipeline!E243+SUMPRODUCT($E$93:$M$93,Pipeline!$E$221:$M$221)</f>
        <v>6.20938570515285</v>
      </c>
      <c r="F96" s="26" t="n">
        <f aca="false">Pipeline!F243+SUMPRODUCT($E$93:$M$93,Pipeline!$E$222:$M$222)</f>
        <v>25.3371433333333</v>
      </c>
      <c r="G96" s="26" t="n">
        <f aca="false">Pipeline!G243+SUMPRODUCT($E$93:$M$93,Pipeline!$E$223:$M$223)</f>
        <v>37.043435095226</v>
      </c>
      <c r="H96" s="26" t="n">
        <f aca="false">Pipeline!H243+SUMPRODUCT($E$93:$M$93,Pipeline!$E$224:$M$224)</f>
        <v>43.9620541310236</v>
      </c>
      <c r="I96" s="26" t="n">
        <f aca="false">Pipeline!I243+SUMPRODUCT($E$93:$M$93,Pipeline!$E$225:$M$225)</f>
        <v>55.5627441696075</v>
      </c>
      <c r="J96" s="26" t="n">
        <f aca="false">Pipeline!J243+SUMPRODUCT($E$93:$M$93,Pipeline!$E$226:$M$226)</f>
        <v>63.8069015903973</v>
      </c>
      <c r="K96" s="26" t="n">
        <f aca="false">Pipeline!K243+SUMPRODUCT($E$93:$M$93,Pipeline!$E$227:$M$227)</f>
        <v>69.5141649273941</v>
      </c>
      <c r="L96" s="26" t="n">
        <f aca="false">Pipeline!L243+SUMPRODUCT($E$93:$M$93,Pipeline!$E$228:$M$228)</f>
        <v>75.6829540099487</v>
      </c>
      <c r="M96" s="26" t="n">
        <f aca="false">Pipeline!M243+SUMPRODUCT($E$93:$M$93,Pipeline!$E$229:$M$229)</f>
        <v>82.9210951178015</v>
      </c>
    </row>
    <row r="97" customFormat="false" ht="17.15" hidden="false" customHeight="false" outlineLevel="0" collapsed="false">
      <c r="A97" s="5" t="s">
        <v>1669</v>
      </c>
      <c r="B97" s="0" t="s">
        <v>1940</v>
      </c>
      <c r="C97" s="0" t="s">
        <v>1774</v>
      </c>
      <c r="D97" s="25" t="str">
        <f aca="false">""</f>
        <v/>
      </c>
      <c r="E97" s="25" t="n">
        <f aca="false">(D94+E94)/2</f>
        <v>3.41998203041741</v>
      </c>
      <c r="F97" s="25" t="n">
        <f aca="false">(E94+F94)/2</f>
        <v>15.7732645192431</v>
      </c>
      <c r="G97" s="25" t="n">
        <f aca="false">(F94+G94)/2</f>
        <v>31.5948290638629</v>
      </c>
      <c r="H97" s="25" t="n">
        <f aca="false">(G94+H94)/2</f>
        <v>44.1540873566461</v>
      </c>
      <c r="I97" s="25" t="n">
        <f aca="false">(H94+I94)/2</f>
        <v>56.2204741371724</v>
      </c>
      <c r="J97" s="25" t="n">
        <f aca="false">(I94+J94)/2</f>
        <v>63.9271947547443</v>
      </c>
      <c r="K97" s="25" t="n">
        <f aca="false">(J94+K94)/2</f>
        <v>68.342639804559</v>
      </c>
      <c r="L97" s="25" t="n">
        <f aca="false">(K94+L94)/2</f>
        <v>73.9162393974225</v>
      </c>
      <c r="M97" s="25" t="n">
        <f aca="false">(L94+M94)/2</f>
        <v>80.8671153567589</v>
      </c>
    </row>
    <row r="98" customFormat="false" ht="17.15" hidden="false" customHeight="false" outlineLevel="0" collapsed="false">
      <c r="A98" s="5" t="s">
        <v>1669</v>
      </c>
      <c r="B98" s="0" t="s">
        <v>1940</v>
      </c>
      <c r="C98" s="0" t="s">
        <v>1775</v>
      </c>
      <c r="D98" s="25" t="str">
        <f aca="false">""</f>
        <v/>
      </c>
      <c r="E98" s="25" t="n">
        <f aca="false">(D95+E95)/2</f>
        <v>3.41998203041741</v>
      </c>
      <c r="F98" s="25" t="n">
        <f aca="false">(E95+F95)/2</f>
        <v>15.7732645192431</v>
      </c>
      <c r="G98" s="25" t="n">
        <f aca="false">(F95+G95)/2</f>
        <v>31.1902892142797</v>
      </c>
      <c r="H98" s="25" t="n">
        <f aca="false">(G95+H95)/2</f>
        <v>42.4976577253351</v>
      </c>
      <c r="I98" s="25" t="n">
        <f aca="false">(H95+I95)/2</f>
        <v>53.6945002005803</v>
      </c>
      <c r="J98" s="25" t="n">
        <f aca="false">(I95+J95)/2</f>
        <v>62.1208644800026</v>
      </c>
      <c r="K98" s="25" t="n">
        <f aca="false">(J95+K95)/2</f>
        <v>67.1593869208415</v>
      </c>
      <c r="L98" s="25" t="n">
        <f aca="false">(K95+L95)/2</f>
        <v>72.5985594686714</v>
      </c>
      <c r="M98" s="25" t="n">
        <f aca="false">(L95+M95)/2</f>
        <v>79.3020245638751</v>
      </c>
    </row>
    <row r="99" customFormat="false" ht="17.15" hidden="false" customHeight="false" outlineLevel="0" collapsed="false">
      <c r="A99" s="5" t="s">
        <v>1669</v>
      </c>
      <c r="B99" s="0" t="s">
        <v>1940</v>
      </c>
      <c r="C99" s="0" t="s">
        <v>1776</v>
      </c>
      <c r="D99" s="25" t="str">
        <f aca="false">""</f>
        <v/>
      </c>
      <c r="E99" s="25" t="n">
        <f aca="false">(D96+E96)/2</f>
        <v>3.41998203041741</v>
      </c>
      <c r="F99" s="25" t="n">
        <f aca="false">(E96+F96)/2</f>
        <v>15.7732645192431</v>
      </c>
      <c r="G99" s="25" t="n">
        <f aca="false">(F96+G96)/2</f>
        <v>31.1902892142797</v>
      </c>
      <c r="H99" s="25" t="n">
        <f aca="false">(G96+H96)/2</f>
        <v>40.5027446131248</v>
      </c>
      <c r="I99" s="25" t="n">
        <f aca="false">(H96+I96)/2</f>
        <v>49.7623991503155</v>
      </c>
      <c r="J99" s="25" t="n">
        <f aca="false">(I96+J96)/2</f>
        <v>59.6848228800024</v>
      </c>
      <c r="K99" s="25" t="n">
        <f aca="false">(J96+K96)/2</f>
        <v>66.6605332588957</v>
      </c>
      <c r="L99" s="25" t="n">
        <f aca="false">(K96+L96)/2</f>
        <v>72.5985594686714</v>
      </c>
      <c r="M99" s="25" t="n">
        <f aca="false">(L96+M96)/2</f>
        <v>79.3020245638751</v>
      </c>
    </row>
    <row r="100" customFormat="false" ht="17.15" hidden="false" customHeight="false" outlineLevel="0" collapsed="false">
      <c r="A100" s="5" t="s">
        <v>1779</v>
      </c>
      <c r="B100" s="0" t="s">
        <v>1940</v>
      </c>
      <c r="C100" s="0" t="s">
        <v>1774</v>
      </c>
      <c r="D100" s="25" t="n">
        <f aca="false">0</f>
        <v>0</v>
      </c>
      <c r="E100" s="25" t="n">
        <f aca="false">E94-D94-E$6</f>
        <v>1.61980834349181</v>
      </c>
      <c r="F100" s="25" t="n">
        <f aca="false">F94-E94-F$6</f>
        <v>9.04912429484716</v>
      </c>
      <c r="G100" s="25" t="n">
        <f aca="false">G94-F94-G$6</f>
        <v>12.5153714610592</v>
      </c>
      <c r="H100" s="25" t="n">
        <f aca="false">H94-G94-H$6</f>
        <v>12.6031451245072</v>
      </c>
      <c r="I100" s="25" t="n">
        <f aca="false">I94-H94-I$6</f>
        <v>11.5296284365454</v>
      </c>
      <c r="J100" s="25" t="n">
        <f aca="false">J94-I94-J$6</f>
        <v>3.88381279859847</v>
      </c>
      <c r="K100" s="25" t="n">
        <f aca="false">K94-J94-K$6</f>
        <v>4.94707730103094</v>
      </c>
      <c r="L100" s="25" t="n">
        <f aca="false">L94-K94-L$6</f>
        <v>6.2001218846959</v>
      </c>
      <c r="M100" s="25" t="n">
        <f aca="false">M94-L94-M$6</f>
        <v>7.70163003397704</v>
      </c>
    </row>
    <row r="101" customFormat="false" ht="17.15" hidden="false" customHeight="false" outlineLevel="0" collapsed="false">
      <c r="A101" s="5" t="s">
        <v>1779</v>
      </c>
      <c r="B101" s="0" t="s">
        <v>1940</v>
      </c>
      <c r="C101" s="0" t="s">
        <v>1775</v>
      </c>
      <c r="D101" s="25" t="n">
        <f aca="false">0</f>
        <v>0</v>
      </c>
      <c r="E101" s="25" t="n">
        <f aca="false">E95-D95-E$6</f>
        <v>1.61980834349181</v>
      </c>
      <c r="F101" s="25" t="n">
        <f aca="false">F95-E95-F$6</f>
        <v>9.04912429484716</v>
      </c>
      <c r="G101" s="25" t="n">
        <f aca="false">G95-F95-G$6</f>
        <v>11.7062917618926</v>
      </c>
      <c r="H101" s="25" t="n">
        <f aca="false">H95-G95-H$6</f>
        <v>10.9084452602183</v>
      </c>
      <c r="I101" s="25" t="n">
        <f aca="false">I95-H95-I$6</f>
        <v>11.485239690272</v>
      </c>
      <c r="J101" s="25" t="n">
        <f aca="false">J95-I95-J$6</f>
        <v>5.36748886857253</v>
      </c>
      <c r="K101" s="25" t="n">
        <f aca="false">K95-J95-K$6</f>
        <v>4.70955601310527</v>
      </c>
      <c r="L101" s="25" t="n">
        <f aca="false">L95-K95-L$6</f>
        <v>6.16878908255453</v>
      </c>
      <c r="M101" s="25" t="n">
        <f aca="false">M95-L95-M$6</f>
        <v>7.23814110785284</v>
      </c>
    </row>
    <row r="102" customFormat="false" ht="17.15" hidden="false" customHeight="false" outlineLevel="0" collapsed="false">
      <c r="A102" s="5" t="s">
        <v>1779</v>
      </c>
      <c r="B102" s="0" t="s">
        <v>1940</v>
      </c>
      <c r="C102" s="0" t="s">
        <v>1776</v>
      </c>
      <c r="D102" s="25" t="n">
        <f aca="false">0</f>
        <v>0</v>
      </c>
      <c r="E102" s="25" t="n">
        <f aca="false">E96-D96-E$6</f>
        <v>1.61980834349181</v>
      </c>
      <c r="F102" s="25" t="n">
        <f aca="false">F96-E96-F$6</f>
        <v>9.04912429484716</v>
      </c>
      <c r="G102" s="25" t="n">
        <f aca="false">G96-F96-G$6</f>
        <v>11.7062917618926</v>
      </c>
      <c r="H102" s="25" t="n">
        <f aca="false">H96-G96-H$6</f>
        <v>6.9186190357976</v>
      </c>
      <c r="I102" s="25" t="n">
        <f aca="false">I96-H96-I$6</f>
        <v>11.6006900385839</v>
      </c>
      <c r="J102" s="25" t="n">
        <f aca="false">J96-I96-J$6</f>
        <v>8.24415742078983</v>
      </c>
      <c r="K102" s="25" t="n">
        <f aca="false">K96-J96-K$6</f>
        <v>5.70726333699678</v>
      </c>
      <c r="L102" s="25" t="n">
        <f aca="false">L96-K96-L$6</f>
        <v>6.16878908255453</v>
      </c>
      <c r="M102" s="25" t="n">
        <f aca="false">M96-L96-M$6</f>
        <v>7.23814110785284</v>
      </c>
    </row>
    <row r="103" customFormat="false" ht="17.15" hidden="false" customHeight="false" outlineLevel="0" collapsed="false">
      <c r="A103" s="5" t="s">
        <v>1780</v>
      </c>
      <c r="B103" s="0" t="s">
        <v>1940</v>
      </c>
      <c r="C103" s="0" t="s">
        <v>1775</v>
      </c>
      <c r="D103" s="25" t="n">
        <f aca="false">D94-D95</f>
        <v>0</v>
      </c>
      <c r="E103" s="25" t="n">
        <f aca="false">E94-E95</f>
        <v>0</v>
      </c>
      <c r="F103" s="25" t="n">
        <f aca="false">F94-F95</f>
        <v>0</v>
      </c>
      <c r="G103" s="25" t="n">
        <f aca="false">G94-G95</f>
        <v>0.809079699166553</v>
      </c>
      <c r="H103" s="25" t="n">
        <f aca="false">H94-H95</f>
        <v>2.50377956345542</v>
      </c>
      <c r="I103" s="25" t="n">
        <f aca="false">I94-I95</f>
        <v>2.54816830972879</v>
      </c>
      <c r="J103" s="25" t="n">
        <f aca="false">J94-J95</f>
        <v>1.06449223975473</v>
      </c>
      <c r="K103" s="25" t="n">
        <f aca="false">K94-K95</f>
        <v>1.3020135276804</v>
      </c>
      <c r="L103" s="25" t="n">
        <f aca="false">L94-L95</f>
        <v>1.33334632982178</v>
      </c>
      <c r="M103" s="25" t="n">
        <f aca="false">M94-M95</f>
        <v>1.79683525594598</v>
      </c>
    </row>
    <row r="104" customFormat="false" ht="17.15" hidden="false" customHeight="false" outlineLevel="0" collapsed="false">
      <c r="A104" s="5" t="s">
        <v>1780</v>
      </c>
      <c r="B104" s="0" t="s">
        <v>1940</v>
      </c>
      <c r="C104" s="0" t="s">
        <v>1776</v>
      </c>
      <c r="D104" s="25" t="n">
        <f aca="false">D94-D96</f>
        <v>0</v>
      </c>
      <c r="E104" s="25" t="n">
        <f aca="false">E94-E96</f>
        <v>0</v>
      </c>
      <c r="F104" s="25" t="n">
        <f aca="false">F94-F96</f>
        <v>0</v>
      </c>
      <c r="G104" s="25" t="n">
        <f aca="false">G94-G96</f>
        <v>0.809079699166553</v>
      </c>
      <c r="H104" s="25" t="n">
        <f aca="false">H94-H96</f>
        <v>6.49360578787612</v>
      </c>
      <c r="I104" s="25" t="n">
        <f aca="false">I94-I96</f>
        <v>6.42254418583759</v>
      </c>
      <c r="J104" s="25" t="n">
        <f aca="false">J94-J96</f>
        <v>2.06219956364624</v>
      </c>
      <c r="K104" s="25" t="n">
        <f aca="false">K94-K96</f>
        <v>1.3020135276804</v>
      </c>
      <c r="L104" s="25" t="n">
        <f aca="false">L94-L96</f>
        <v>1.33334632982178</v>
      </c>
      <c r="M104" s="25" t="n">
        <f aca="false">M94-M96</f>
        <v>1.79683525594598</v>
      </c>
    </row>
    <row r="106" customFormat="false" ht="17.15" hidden="false" customHeight="false" outlineLevel="0" collapsed="false">
      <c r="A106" s="22" t="s">
        <v>1945</v>
      </c>
      <c r="D106" s="30" t="n">
        <f aca="false">IF(2023&lt;=2026,1,IF(D19&lt;=0,1,MIN(1,MAX(0,D68)/D19)))</f>
        <v>1</v>
      </c>
      <c r="E106" s="30" t="n">
        <f aca="false">IF(2024&lt;=2026,1,IF(E19&lt;=0,1,MIN(1,MAX(0,E68)/E19)))</f>
        <v>1</v>
      </c>
      <c r="F106" s="30" t="n">
        <f aca="false">IF(2025&lt;=2026,1,IF(F19&lt;=0,1,MIN(1,MAX(0,F68)/F19)))</f>
        <v>1</v>
      </c>
      <c r="G106" s="30" t="n">
        <f aca="false">IF(2026&lt;=2026,1,IF(G19&lt;=0,1,MIN(1,MAX(0,G68)/G19)))</f>
        <v>1</v>
      </c>
      <c r="H106" s="30" t="n">
        <f aca="false">IF(2027&lt;=2026,1,IF(H19&lt;=0,1,MIN(1,MAX(0,H68)/H19)))</f>
        <v>0.525958249311963</v>
      </c>
      <c r="I106" s="30" t="n">
        <f aca="false">IF(2028&lt;=2026,1,IF(I19&lt;=0,1,MIN(1,MAX(0,I68)/I19)))</f>
        <v>0.713733180315391</v>
      </c>
      <c r="J106" s="30" t="n">
        <f aca="false">IF(2029&lt;=2026,1,IF(J19&lt;=0,1,MIN(1,MAX(0,J68)/J19)))</f>
        <v>0.233991678355409</v>
      </c>
      <c r="K106" s="30" t="n">
        <f aca="false">IF(2030&lt;=2026,1,IF(K19&lt;=0,1,MIN(1,MAX(0,K68)/K19)))</f>
        <v>0.258425840839579</v>
      </c>
      <c r="L106" s="30" t="n">
        <f aca="false">IF(2031&lt;=2026,1,IF(L19&lt;=0,1,MIN(1,MAX(0,L68)/L19)))</f>
        <v>0.330409911320894</v>
      </c>
      <c r="M106" s="30" t="n">
        <f aca="false">IF(2032&lt;=2026,1,IF(M19&lt;=0,1,MIN(1,MAX(0,M68)/M19)))</f>
        <v>0.541291657904735</v>
      </c>
    </row>
    <row r="107" customFormat="false" ht="17.15" hidden="false" customHeight="false" outlineLevel="0" collapsed="false">
      <c r="A107" s="22" t="s">
        <v>1946</v>
      </c>
      <c r="D107" s="30" t="n">
        <f aca="false">IF(2023&lt;=2026,1,IF(D19&lt;=0,1,MIN(1,MAX(0,D68+Pipeline!D192)/D19)))</f>
        <v>1</v>
      </c>
      <c r="E107" s="30" t="n">
        <f aca="false">IF(2024&lt;=2026,1,IF(E19&lt;=0,1,MIN(1,MAX(0,E68+Pipeline!E192)/E19)))</f>
        <v>1</v>
      </c>
      <c r="F107" s="30" t="n">
        <f aca="false">IF(2025&lt;=2026,1,IF(F19&lt;=0,1,MIN(1,MAX(0,F68+Pipeline!F192)/F19)))</f>
        <v>1</v>
      </c>
      <c r="G107" s="30" t="n">
        <f aca="false">IF(2026&lt;=2026,1,IF(G19&lt;=0,1,MIN(1,MAX(0,G68+Pipeline!G192)/G19)))</f>
        <v>1</v>
      </c>
      <c r="H107" s="30" t="n">
        <f aca="false">IF(2027&lt;=2026,1,IF(H19&lt;=0,1,MIN(1,MAX(0,H68+Pipeline!H192)/H19)))</f>
        <v>0.532913632857314</v>
      </c>
      <c r="I107" s="30" t="n">
        <f aca="false">IF(2028&lt;=2026,1,IF(I19&lt;=0,1,MIN(1,MAX(0,I68+Pipeline!I192)/I19)))</f>
        <v>0.719923606869408</v>
      </c>
      <c r="J107" s="30" t="n">
        <f aca="false">IF(2029&lt;=2026,1,IF(J19&lt;=0,1,MIN(1,MAX(0,J68+Pipeline!J192)/J19)))</f>
        <v>0.256584651789902</v>
      </c>
      <c r="K107" s="30" t="n">
        <f aca="false">IF(2030&lt;=2026,1,IF(K19&lt;=0,1,MIN(1,MAX(0,K68+Pipeline!K192)/K19)))</f>
        <v>0.280690316519203</v>
      </c>
      <c r="L107" s="30" t="n">
        <f aca="false">IF(2031&lt;=2026,1,IF(L19&lt;=0,1,MIN(1,MAX(0,L68+Pipeline!L192)/L19)))</f>
        <v>0.355770668772772</v>
      </c>
      <c r="M107" s="30" t="n">
        <f aca="false">IF(2032&lt;=2026,1,IF(M19&lt;=0,1,MIN(1,MAX(0,M68+Pipeline!M192)/M19)))</f>
        <v>0.578248205570866</v>
      </c>
    </row>
    <row r="109" customFormat="false" ht="17.15" hidden="false" customHeight="false" outlineLevel="0" collapsed="false">
      <c r="A109" s="22" t="s">
        <v>1947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1948</v>
      </c>
    </row>
    <row r="2" customFormat="false" ht="17.15" hidden="false" customHeight="false" outlineLevel="0" collapsed="false">
      <c r="A2" s="5" t="s">
        <v>1949</v>
      </c>
    </row>
    <row r="3" customFormat="false" ht="15" hidden="false" customHeight="false" outlineLevel="0" collapsed="false">
      <c r="A3" s="6" t="s">
        <v>20</v>
      </c>
      <c r="B3" s="6" t="s">
        <v>1950</v>
      </c>
      <c r="C3" s="6" t="s">
        <v>21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8" t="s">
        <v>1951</v>
      </c>
      <c r="B4" s="21" t="s">
        <v>1952</v>
      </c>
      <c r="D4" s="25" t="n">
        <f aca="false">Pipeline!D241</f>
        <v>0.630578355681972</v>
      </c>
      <c r="E4" s="25" t="n">
        <f aca="false">Pipeline!E241</f>
        <v>6.20938570515285</v>
      </c>
      <c r="F4" s="25" t="n">
        <f aca="false">Pipeline!F241</f>
        <v>25.3371433333333</v>
      </c>
      <c r="G4" s="25" t="n">
        <f aca="false">Pipeline!G241</f>
        <v>37.8525147943925</v>
      </c>
      <c r="H4" s="25" t="n">
        <f aca="false">Pipeline!H241</f>
        <v>50.4556599188997</v>
      </c>
      <c r="I4" s="25" t="n">
        <f aca="false">Pipeline!I241</f>
        <v>69.6717073131421</v>
      </c>
      <c r="J4" s="25" t="n">
        <f aca="false">Pipeline!J241</f>
        <v>76.1447286441395</v>
      </c>
      <c r="K4" s="25" t="n">
        <f aca="false">Pipeline!K241</f>
        <v>83.1637836661874</v>
      </c>
      <c r="L4" s="25" t="n">
        <f aca="false">Pipeline!L241</f>
        <v>86.7366298200336</v>
      </c>
      <c r="M4" s="25" t="n">
        <f aca="false">Pipeline!M241</f>
        <v>91.6718605892643</v>
      </c>
    </row>
    <row r="5" customFormat="false" ht="17.15" hidden="false" customHeight="false" outlineLevel="0" collapsed="false">
      <c r="A5" s="5" t="s">
        <v>1953</v>
      </c>
      <c r="B5" s="0" t="s">
        <v>1954</v>
      </c>
      <c r="D5" s="25" t="n">
        <f aca="false">Players!D308</f>
        <v>0.578431531897603</v>
      </c>
      <c r="E5" s="25" t="n">
        <f aca="false">Players!E308</f>
        <v>5.60426250610571</v>
      </c>
      <c r="F5" s="25" t="n">
        <f aca="false">Players!F308</f>
        <v>19.0820516666667</v>
      </c>
      <c r="G5" s="25" t="n">
        <f aca="false">Players!G308</f>
        <v>34.5858481277259</v>
      </c>
      <c r="H5" s="25" t="n">
        <f aca="false">Players!H308</f>
        <v>50.4556599188997</v>
      </c>
      <c r="I5" s="25" t="n">
        <f aca="false">Players!I308</f>
        <v>69.6717073131421</v>
      </c>
      <c r="J5" s="25" t="n">
        <f aca="false">Players!J308</f>
        <v>76.1447286441395</v>
      </c>
      <c r="K5" s="25" t="n">
        <f aca="false">Players!K308</f>
        <v>83.1637836661874</v>
      </c>
      <c r="L5" s="25" t="n">
        <f aca="false">Players!L308</f>
        <v>86.7366298200336</v>
      </c>
      <c r="M5" s="25" t="n">
        <f aca="false">Players!M308</f>
        <v>91.6718605892643</v>
      </c>
    </row>
    <row r="6" customFormat="false" ht="17.15" hidden="false" customHeight="false" outlineLevel="0" collapsed="false">
      <c r="A6" s="5" t="s">
        <v>1955</v>
      </c>
      <c r="B6" s="0" t="s">
        <v>1956</v>
      </c>
      <c r="D6" s="25" t="n">
        <f aca="false">Players!D309</f>
        <v>0.708798591358526</v>
      </c>
      <c r="E6" s="25" t="n">
        <f aca="false">Players!E309</f>
        <v>6.98708195813313</v>
      </c>
      <c r="F6" s="25" t="n">
        <f aca="false">Players!F309</f>
        <v>30.295708</v>
      </c>
      <c r="G6" s="25" t="n">
        <f aca="false">Players!G309</f>
        <v>41.2191814610592</v>
      </c>
      <c r="H6" s="25" t="n">
        <f aca="false">Players!H309</f>
        <v>50.4556599188997</v>
      </c>
      <c r="I6" s="25" t="n">
        <f aca="false">Players!I309</f>
        <v>69.6717073131421</v>
      </c>
      <c r="J6" s="25" t="n">
        <f aca="false">Players!J309</f>
        <v>76.1447286441395</v>
      </c>
      <c r="K6" s="25" t="n">
        <f aca="false">Players!K309</f>
        <v>83.1637836661874</v>
      </c>
      <c r="L6" s="25" t="n">
        <f aca="false">Players!L309</f>
        <v>86.7366298200336</v>
      </c>
      <c r="M6" s="25" t="n">
        <f aca="false">Players!M309</f>
        <v>91.6718605892643</v>
      </c>
    </row>
    <row r="7" customFormat="false" ht="17.15" hidden="false" customHeight="false" outlineLevel="0" collapsed="false">
      <c r="A7" s="8" t="s">
        <v>1957</v>
      </c>
      <c r="B7" s="21" t="s">
        <v>1958</v>
      </c>
      <c r="D7" s="25" t="n">
        <f aca="false">D4-N(Players!D277)</f>
        <v>0.630578355681972</v>
      </c>
      <c r="E7" s="25" t="n">
        <f aca="false">E4-N(Players!E277)</f>
        <v>6.20938570515285</v>
      </c>
      <c r="F7" s="25" t="n">
        <f aca="false">F4-N(Players!F277)</f>
        <v>17.00381</v>
      </c>
      <c r="G7" s="25" t="n">
        <f aca="false">G4-N(Players!G277)</f>
        <v>26.1858481277259</v>
      </c>
      <c r="H7" s="25" t="n">
        <f aca="false">H4-N(Players!H277)</f>
        <v>36.7994887943925</v>
      </c>
      <c r="I7" s="25" t="n">
        <f aca="false">I4-N(Players!I277)</f>
        <v>53.7343221277259</v>
      </c>
      <c r="J7" s="25" t="n">
        <f aca="false">J4-N(Players!J277)</f>
        <v>57.5948221277259</v>
      </c>
      <c r="K7" s="25" t="n">
        <f aca="false">K4-N(Players!K277)</f>
        <v>61.6253221277259</v>
      </c>
      <c r="L7" s="25" t="n">
        <f aca="false">L4-N(Players!L277)</f>
        <v>63.0443221277259</v>
      </c>
      <c r="M7" s="25" t="n">
        <f aca="false">M4-N(Players!M277)</f>
        <v>65.6103221277259</v>
      </c>
    </row>
    <row r="8" customFormat="false" ht="17.15" hidden="false" customHeight="false" outlineLevel="0" collapsed="false">
      <c r="A8" s="5" t="s">
        <v>1959</v>
      </c>
      <c r="B8" s="0" t="s">
        <v>1960</v>
      </c>
      <c r="D8" s="25" t="n">
        <f aca="false">D5-N(Players!D279)</f>
        <v>0.578431531897603</v>
      </c>
      <c r="E8" s="25" t="n">
        <f aca="false">E5-N(Players!E279)</f>
        <v>5.60426250610571</v>
      </c>
      <c r="F8" s="25" t="n">
        <f aca="false">F5-N(Players!F279)</f>
        <v>12.415385</v>
      </c>
      <c r="G8" s="25" t="n">
        <f aca="false">G5-N(Players!G279)</f>
        <v>24.5858481277259</v>
      </c>
      <c r="H8" s="25" t="n">
        <f aca="false">H5-N(Players!H279)</f>
        <v>36.7994887943925</v>
      </c>
      <c r="I8" s="25" t="n">
        <f aca="false">I5-N(Players!I279)</f>
        <v>53.7343221277259</v>
      </c>
      <c r="J8" s="25" t="n">
        <f aca="false">J5-N(Players!J279)</f>
        <v>57.5948221277259</v>
      </c>
      <c r="K8" s="25" t="n">
        <f aca="false">K5-N(Players!K279)</f>
        <v>61.6253221277259</v>
      </c>
      <c r="L8" s="25" t="n">
        <f aca="false">L5-N(Players!L279)</f>
        <v>63.0443221277259</v>
      </c>
      <c r="M8" s="25" t="n">
        <f aca="false">M5-N(Players!M279)</f>
        <v>65.6103221277259</v>
      </c>
    </row>
    <row r="9" customFormat="false" ht="17.15" hidden="false" customHeight="false" outlineLevel="0" collapsed="false">
      <c r="A9" s="5" t="s">
        <v>1961</v>
      </c>
      <c r="B9" s="0" t="s">
        <v>1962</v>
      </c>
      <c r="D9" s="25" t="n">
        <f aca="false">D6-N(Players!D280)</f>
        <v>0.708798591358526</v>
      </c>
      <c r="E9" s="25" t="n">
        <f aca="false">E6-N(Players!E280)</f>
        <v>6.98708195813313</v>
      </c>
      <c r="F9" s="25" t="n">
        <f aca="false">F6-N(Players!F280)</f>
        <v>20.295708</v>
      </c>
      <c r="G9" s="25" t="n">
        <f aca="false">G6-N(Players!G280)</f>
        <v>27.8858481277259</v>
      </c>
      <c r="H9" s="25" t="n">
        <f aca="false">H6-N(Players!H280)</f>
        <v>36.7994887943925</v>
      </c>
      <c r="I9" s="25" t="n">
        <f aca="false">I6-N(Players!I280)</f>
        <v>53.7343221277259</v>
      </c>
      <c r="J9" s="25" t="n">
        <f aca="false">J6-N(Players!J280)</f>
        <v>57.5948221277259</v>
      </c>
      <c r="K9" s="25" t="n">
        <f aca="false">K6-N(Players!K280)</f>
        <v>61.6253221277259</v>
      </c>
      <c r="L9" s="25" t="n">
        <f aca="false">L6-N(Players!L280)</f>
        <v>63.0443221277259</v>
      </c>
      <c r="M9" s="25" t="n">
        <f aca="false">M6-N(Players!M280)</f>
        <v>65.6103221277259</v>
      </c>
    </row>
    <row r="10" customFormat="false" ht="17.15" hidden="false" customHeight="false" outlineLevel="0" collapsed="false">
      <c r="A10" s="5" t="s">
        <v>1963</v>
      </c>
      <c r="D10" s="27" t="n">
        <f aca="false">Players!D316</f>
        <v>2</v>
      </c>
      <c r="E10" s="27" t="n">
        <f aca="false">Players!E316</f>
        <v>7</v>
      </c>
      <c r="F10" s="27" t="n">
        <f aca="false">Players!F316</f>
        <v>15</v>
      </c>
      <c r="G10" s="27" t="n">
        <f aca="false">Players!G316</f>
        <v>15</v>
      </c>
      <c r="H10" s="27" t="n">
        <f aca="false">Players!H316</f>
        <v>15</v>
      </c>
      <c r="I10" s="27" t="n">
        <f aca="false">Players!I316</f>
        <v>15</v>
      </c>
      <c r="J10" s="27" t="n">
        <f aca="false">Players!J316</f>
        <v>15</v>
      </c>
      <c r="K10" s="27" t="n">
        <f aca="false">Players!K316</f>
        <v>15</v>
      </c>
      <c r="L10" s="27" t="n">
        <f aca="false">Players!L316</f>
        <v>15</v>
      </c>
      <c r="M10" s="27" t="n">
        <f aca="false">Players!M316</f>
        <v>15</v>
      </c>
    </row>
    <row r="12" customFormat="false" ht="17.15" hidden="false" customHeight="false" outlineLevel="0" collapsed="false">
      <c r="A12" s="8" t="s">
        <v>1964</v>
      </c>
      <c r="B12" s="21" t="s">
        <v>480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1965</v>
      </c>
      <c r="D13" s="20" t="str">
        <f aca="false">IF(In!H159="","",In!H159)</f>
        <v/>
      </c>
      <c r="E13" s="20" t="str">
        <f aca="false">IF(In!I159="","",In!I159)</f>
        <v/>
      </c>
      <c r="F13" s="36" t="n">
        <f aca="false">IF(In!J159="","",In!J159)</f>
        <v>30</v>
      </c>
      <c r="G13" s="20" t="str">
        <f aca="false">IF(In!K159="","",In!K159)</f>
        <v/>
      </c>
      <c r="H13" s="20" t="str">
        <f aca="false">IF(In!L159="","",In!L159)</f>
        <v/>
      </c>
      <c r="I13" s="20" t="str">
        <f aca="false">IF(In!M159="","",In!M159)</f>
        <v/>
      </c>
      <c r="J13" s="20" t="str">
        <f aca="false">IF(In!N159="","",In!N159)</f>
        <v/>
      </c>
      <c r="K13" s="20" t="str">
        <f aca="false">IF(In!O159="","",In!O159)</f>
        <v/>
      </c>
      <c r="L13" s="20" t="str">
        <f aca="false">IF(In!P159="","",In!P159)</f>
        <v/>
      </c>
      <c r="M13" s="20" t="str">
        <f aca="false">IF(In!Q159="","",In!Q159)</f>
        <v/>
      </c>
    </row>
    <row r="14" customFormat="false" ht="17.15" hidden="false" customHeight="false" outlineLevel="0" collapsed="false">
      <c r="A14" s="5" t="s">
        <v>1966</v>
      </c>
      <c r="D14" s="25" t="str">
        <f aca="false">IF(D13="","",IF(In!$C$159="設施",D13/Players!D$13,D13))</f>
        <v/>
      </c>
      <c r="E14" s="25" t="str">
        <f aca="false">IF(E13="","",IF(In!$C$159="設施",E13/Players!E$13,E13))</f>
        <v/>
      </c>
      <c r="F14" s="25" t="n">
        <f aca="false">IF(F13="","",IF(In!$C$159="設施",F13/Players!F$13,F13))</f>
        <v>25</v>
      </c>
      <c r="G14" s="25" t="str">
        <f aca="false">IF(G13="","",IF(In!$C$159="設施",G13/Players!G$13,G13))</f>
        <v/>
      </c>
      <c r="H14" s="25" t="str">
        <f aca="false">IF(H13="","",IF(In!$C$159="設施",H13/Players!H$13,H13))</f>
        <v/>
      </c>
      <c r="I14" s="25" t="str">
        <f aca="false">IF(I13="","",IF(In!$C$159="設施",I13/Players!I$13,I13))</f>
        <v/>
      </c>
      <c r="J14" s="25" t="str">
        <f aca="false">IF(J13="","",IF(In!$C$159="設施",J13/Players!J$13,J13))</f>
        <v/>
      </c>
      <c r="K14" s="25" t="str">
        <f aca="false">IF(K13="","",IF(In!$C$159="設施",K13/Players!K$13,K13))</f>
        <v/>
      </c>
      <c r="L14" s="25" t="str">
        <f aca="false">IF(L13="","",IF(In!$C$159="設施",L13/Players!L$13,L13))</f>
        <v/>
      </c>
      <c r="M14" s="25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1967</v>
      </c>
      <c r="D15" s="30" t="str">
        <f aca="false">IF(OR(D14="",N(D14)=0),"",D$4/D14)</f>
        <v/>
      </c>
      <c r="E15" s="30" t="str">
        <f aca="false">IF(OR(E14="",N(E14)=0),"",E$4/E14)</f>
        <v/>
      </c>
      <c r="F15" s="30" t="n">
        <f aca="false">IF(OR(F14="",N(F14)=0),"",F$4/F14)</f>
        <v>1.01348573333333</v>
      </c>
      <c r="G15" s="30" t="str">
        <f aca="false">IF(OR(G14="",N(G14)=0),"",G$4/G14)</f>
        <v/>
      </c>
      <c r="H15" s="30" t="str">
        <f aca="false">IF(OR(H14="",N(H14)=0),"",H$4/H14)</f>
        <v/>
      </c>
      <c r="I15" s="30" t="str">
        <f aca="false">IF(OR(I14="",N(I14)=0),"",I$4/I14)</f>
        <v/>
      </c>
      <c r="J15" s="30" t="str">
        <f aca="false">IF(OR(J14="",N(J14)=0),"",J$4/J14)</f>
        <v/>
      </c>
      <c r="K15" s="30" t="str">
        <f aca="false">IF(OR(K14="",N(K14)=0),"",K$4/K14)</f>
        <v/>
      </c>
      <c r="L15" s="30" t="str">
        <f aca="false">IF(OR(L14="",N(L14)=0),"",L$4/L14)</f>
        <v/>
      </c>
      <c r="M15" s="30" t="str">
        <f aca="false">IF(OR(M14="",N(M14)=0),"",M$4/M14)</f>
        <v/>
      </c>
    </row>
    <row r="16" customFormat="false" ht="17.15" hidden="false" customHeight="false" outlineLevel="0" collapsed="false">
      <c r="A16" s="5" t="s">
        <v>1968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1969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1970</v>
      </c>
    </row>
    <row r="18" customFormat="false" ht="17.15" hidden="false" customHeight="false" outlineLevel="0" collapsed="false">
      <c r="A18" s="5" t="s">
        <v>1971</v>
      </c>
      <c r="D18" s="30" t="str">
        <f aca="false">IF(OR(D14="",N(D14)=0),"",D$7/D14)</f>
        <v/>
      </c>
      <c r="E18" s="30" t="str">
        <f aca="false">IF(OR(E14="",N(E14)=0),"",E$7/E14)</f>
        <v/>
      </c>
      <c r="F18" s="30" t="n">
        <f aca="false">IF(OR(F14="",N(F14)=0),"",F$7/F14)</f>
        <v>0.6801524</v>
      </c>
      <c r="G18" s="30" t="str">
        <f aca="false">IF(OR(G14="",N(G14)=0),"",G$7/G14)</f>
        <v/>
      </c>
      <c r="H18" s="30" t="str">
        <f aca="false">IF(OR(H14="",N(H14)=0),"",H$7/H14)</f>
        <v/>
      </c>
      <c r="I18" s="30" t="str">
        <f aca="false">IF(OR(I14="",N(I14)=0),"",I$7/I14)</f>
        <v/>
      </c>
      <c r="J18" s="30" t="str">
        <f aca="false">IF(OR(J14="",N(J14)=0),"",J$7/J14)</f>
        <v/>
      </c>
      <c r="K18" s="30" t="str">
        <f aca="false">IF(OR(K14="",N(K14)=0),"",K$7/K14)</f>
        <v/>
      </c>
      <c r="L18" s="30" t="str">
        <f aca="false">IF(OR(L14="",N(L14)=0),"",L$7/L14)</f>
        <v/>
      </c>
      <c r="M18" s="30" t="str">
        <f aca="false">IF(OR(M14="",N(M14)=0),"",M$7/M14)</f>
        <v/>
      </c>
    </row>
    <row r="19" customFormat="false" ht="17.15" hidden="false" customHeight="false" outlineLevel="0" collapsed="false">
      <c r="A19" s="5" t="s">
        <v>1972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1973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1970</v>
      </c>
    </row>
    <row r="22" customFormat="false" ht="17.15" hidden="false" customHeight="false" outlineLevel="0" collapsed="false">
      <c r="A22" s="8" t="s">
        <v>1974</v>
      </c>
      <c r="B22" s="21" t="s">
        <v>483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1965</v>
      </c>
      <c r="D23" s="20" t="str">
        <f aca="false">IF(In!H160="","",In!H160)</f>
        <v/>
      </c>
      <c r="E23" s="20" t="str">
        <f aca="false">IF(In!I160="","",In!I160)</f>
        <v/>
      </c>
      <c r="F23" s="36" t="n">
        <f aca="false">IF(In!J160="","",In!J160)</f>
        <v>31</v>
      </c>
      <c r="G23" s="20" t="str">
        <f aca="false">IF(In!K160="","",In!K160)</f>
        <v/>
      </c>
      <c r="H23" s="20" t="str">
        <f aca="false">IF(In!L160="","",In!L160)</f>
        <v/>
      </c>
      <c r="I23" s="20" t="str">
        <f aca="false">IF(In!M160="","",In!M160)</f>
        <v/>
      </c>
      <c r="J23" s="20" t="str">
        <f aca="false">IF(In!N160="","",In!N160)</f>
        <v/>
      </c>
      <c r="K23" s="20" t="str">
        <f aca="false">IF(In!O160="","",In!O160)</f>
        <v/>
      </c>
      <c r="L23" s="20" t="str">
        <f aca="false">IF(In!P160="","",In!P160)</f>
        <v/>
      </c>
      <c r="M23" s="20" t="str">
        <f aca="false">IF(In!Q160="","",In!Q160)</f>
        <v/>
      </c>
    </row>
    <row r="24" customFormat="false" ht="17.15" hidden="false" customHeight="false" outlineLevel="0" collapsed="false">
      <c r="A24" s="5" t="s">
        <v>1966</v>
      </c>
      <c r="D24" s="25" t="str">
        <f aca="false">IF(D23="","",IF(In!$C$160="設施",D23/Players!D$13,D23))</f>
        <v/>
      </c>
      <c r="E24" s="25" t="str">
        <f aca="false">IF(E23="","",IF(In!$C$160="設施",E23/Players!E$13,E23))</f>
        <v/>
      </c>
      <c r="F24" s="25" t="n">
        <f aca="false">IF(F23="","",IF(In!$C$160="設施",F23/Players!F$13,F23))</f>
        <v>25.8333333333333</v>
      </c>
      <c r="G24" s="25" t="str">
        <f aca="false">IF(G23="","",IF(In!$C$160="設施",G23/Players!G$13,G23))</f>
        <v/>
      </c>
      <c r="H24" s="25" t="str">
        <f aca="false">IF(H23="","",IF(In!$C$160="設施",H23/Players!H$13,H23))</f>
        <v/>
      </c>
      <c r="I24" s="25" t="str">
        <f aca="false">IF(I23="","",IF(In!$C$160="設施",I23/Players!I$13,I23))</f>
        <v/>
      </c>
      <c r="J24" s="25" t="str">
        <f aca="false">IF(J23="","",IF(In!$C$160="設施",J23/Players!J$13,J23))</f>
        <v/>
      </c>
      <c r="K24" s="25" t="str">
        <f aca="false">IF(K23="","",IF(In!$C$160="設施",K23/Players!K$13,K23))</f>
        <v/>
      </c>
      <c r="L24" s="25" t="str">
        <f aca="false">IF(L23="","",IF(In!$C$160="設施",L23/Players!L$13,L23))</f>
        <v/>
      </c>
      <c r="M24" s="25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1967</v>
      </c>
      <c r="D25" s="30" t="str">
        <f aca="false">IF(OR(D24="",N(D24)=0),"",D$4/D24)</f>
        <v/>
      </c>
      <c r="E25" s="30" t="str">
        <f aca="false">IF(OR(E24="",N(E24)=0),"",E$4/E24)</f>
        <v/>
      </c>
      <c r="F25" s="30" t="n">
        <f aca="false">IF(OR(F24="",N(F24)=0),"",F$4/F24)</f>
        <v>0.980792645161291</v>
      </c>
      <c r="G25" s="30" t="str">
        <f aca="false">IF(OR(G24="",N(G24)=0),"",G$4/G24)</f>
        <v/>
      </c>
      <c r="H25" s="30" t="str">
        <f aca="false">IF(OR(H24="",N(H24)=0),"",H$4/H24)</f>
        <v/>
      </c>
      <c r="I25" s="30" t="str">
        <f aca="false">IF(OR(I24="",N(I24)=0),"",I$4/I24)</f>
        <v/>
      </c>
      <c r="J25" s="30" t="str">
        <f aca="false">IF(OR(J24="",N(J24)=0),"",J$4/J24)</f>
        <v/>
      </c>
      <c r="K25" s="30" t="str">
        <f aca="false">IF(OR(K24="",N(K24)=0),"",K$4/K24)</f>
        <v/>
      </c>
      <c r="L25" s="30" t="str">
        <f aca="false">IF(OR(L24="",N(L24)=0),"",L$4/L24)</f>
        <v/>
      </c>
      <c r="M25" s="30" t="str">
        <f aca="false">IF(OR(M24="",N(M24)=0),"",M$4/M24)</f>
        <v/>
      </c>
    </row>
    <row r="26" customFormat="false" ht="17.15" hidden="false" customHeight="false" outlineLevel="0" collapsed="false">
      <c r="A26" s="5" t="s">
        <v>1968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1969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1970</v>
      </c>
    </row>
    <row r="28" customFormat="false" ht="17.15" hidden="false" customHeight="false" outlineLevel="0" collapsed="false">
      <c r="A28" s="5" t="s">
        <v>1971</v>
      </c>
      <c r="D28" s="30" t="str">
        <f aca="false">IF(OR(D24="",N(D24)=0),"",D$7/D24)</f>
        <v/>
      </c>
      <c r="E28" s="30" t="str">
        <f aca="false">IF(OR(E24="",N(E24)=0),"",E$7/E24)</f>
        <v/>
      </c>
      <c r="F28" s="30" t="n">
        <f aca="false">IF(OR(F24="",N(F24)=0),"",F$7/F24)</f>
        <v>0.658212</v>
      </c>
      <c r="G28" s="30" t="str">
        <f aca="false">IF(OR(G24="",N(G24)=0),"",G$7/G24)</f>
        <v/>
      </c>
      <c r="H28" s="30" t="str">
        <f aca="false">IF(OR(H24="",N(H24)=0),"",H$7/H24)</f>
        <v/>
      </c>
      <c r="I28" s="30" t="str">
        <f aca="false">IF(OR(I24="",N(I24)=0),"",I$7/I24)</f>
        <v/>
      </c>
      <c r="J28" s="30" t="str">
        <f aca="false">IF(OR(J24="",N(J24)=0),"",J$7/J24)</f>
        <v/>
      </c>
      <c r="K28" s="30" t="str">
        <f aca="false">IF(OR(K24="",N(K24)=0),"",K$7/K24)</f>
        <v/>
      </c>
      <c r="L28" s="30" t="str">
        <f aca="false">IF(OR(L24="",N(L24)=0),"",L$7/L24)</f>
        <v/>
      </c>
      <c r="M28" s="30" t="str">
        <f aca="false">IF(OR(M24="",N(M24)=0),"",M$7/M24)</f>
        <v/>
      </c>
    </row>
    <row r="29" customFormat="false" ht="17.15" hidden="false" customHeight="false" outlineLevel="0" collapsed="false">
      <c r="A29" s="5" t="s">
        <v>1972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1973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1970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1975</v>
      </c>
    </row>
    <row r="2" customFormat="false" ht="17.15" hidden="false" customHeight="false" outlineLevel="0" collapsed="false">
      <c r="A2" s="0" t="s">
        <v>1976</v>
      </c>
    </row>
    <row r="3" customFormat="false" ht="15" hidden="false" customHeight="false" outlineLevel="0" collapsed="false">
      <c r="A3" s="6" t="s">
        <v>20</v>
      </c>
      <c r="B3" s="6" t="s">
        <v>1723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1977</v>
      </c>
    </row>
    <row r="4" customFormat="false" ht="17.15" hidden="false" customHeight="false" outlineLevel="0" collapsed="false">
      <c r="A4" s="22" t="s">
        <v>1978</v>
      </c>
    </row>
    <row r="5" customFormat="false" ht="17.15" hidden="false" customHeight="false" outlineLevel="0" collapsed="false">
      <c r="A5" s="0" t="s">
        <v>1979</v>
      </c>
      <c r="D5" s="30" t="n">
        <f aca="false">MAX(0,1-lag_bldg/12)</f>
        <v>0</v>
      </c>
    </row>
    <row r="6" customFormat="false" ht="17.15" hidden="false" customHeight="false" outlineLevel="0" collapsed="false">
      <c r="A6" s="0" t="s">
        <v>1980</v>
      </c>
      <c r="D6" s="30" t="n">
        <f aca="false">MAX(0,MIN(lag_bldg/12,2-lag_bldg/12))</f>
        <v>0.5</v>
      </c>
    </row>
    <row r="7" customFormat="false" ht="17.15" hidden="false" customHeight="false" outlineLevel="0" collapsed="false">
      <c r="A7" s="0" t="s">
        <v>1981</v>
      </c>
      <c r="D7" s="30" t="n">
        <f aca="false">MAX(0,MIN(1,lag_bldg/12-1))</f>
        <v>0.5</v>
      </c>
    </row>
    <row r="8" customFormat="false" ht="17.15" hidden="false" customHeight="false" outlineLevel="0" collapsed="false">
      <c r="A8" s="0" t="s">
        <v>1982</v>
      </c>
      <c r="D8" s="30" t="n">
        <f aca="false">Players!D5*TK_CapexIT_H100+Players!D6*TK_CapexIT_GB200+Players!D7*TK_CapexIT_GB300+Players!D8*TK_CapexIT_VR200+Players!D9*TK_CapexIT_RU</f>
        <v>27.510214</v>
      </c>
      <c r="E8" s="30" t="n">
        <f aca="false">Players!E5*TK_CapexIT_H100+Players!E6*TK_CapexIT_GB200+Players!E7*TK_CapexIT_GB300+Players!E8*TK_CapexIT_VR200+Players!E9*TK_CapexIT_RU</f>
        <v>27.510214</v>
      </c>
      <c r="F8" s="30" t="n">
        <f aca="false">Players!F5*TK_CapexIT_H100+Players!F6*TK_CapexIT_GB200+Players!F7*TK_CapexIT_GB300+Players!F8*TK_CapexIT_VR200+Players!F9*TK_CapexIT_RU</f>
        <v>26.009088</v>
      </c>
      <c r="G8" s="30" t="n">
        <f aca="false">Players!G5*TK_CapexIT_H100+Players!G6*TK_CapexIT_GB200+Players!G7*TK_CapexIT_GB300+Players!G8*TK_CapexIT_VR200+Players!G9*TK_CapexIT_RU</f>
        <v>33.41403216</v>
      </c>
      <c r="H8" s="30" t="n">
        <f aca="false">Players!H5*TK_CapexIT_H100+Players!H6*TK_CapexIT_GB200+Players!H7*TK_CapexIT_GB300+Players!H8*TK_CapexIT_VR200+Players!H9*TK_CapexIT_RU</f>
        <v>38.3403893327246</v>
      </c>
      <c r="I8" s="30" t="n">
        <f aca="false">Players!I5*TK_CapexIT_H100+Players!I6*TK_CapexIT_GB200+Players!I7*TK_CapexIT_GB300+Players!I8*TK_CapexIT_VR200+Players!I9*TK_CapexIT_RU</f>
        <v>41.3326208898258</v>
      </c>
      <c r="J8" s="30" t="n">
        <f aca="false">Players!J5*TK_CapexIT_H100+Players!J6*TK_CapexIT_GB200+Players!J7*TK_CapexIT_GB300+Players!J8*TK_CapexIT_VR200+Players!J9*TK_CapexIT_RU</f>
        <v>41.3326208898258</v>
      </c>
      <c r="K8" s="30" t="n">
        <f aca="false">Players!K5*TK_CapexIT_H100+Players!K6*TK_CapexIT_GB200+Players!K7*TK_CapexIT_GB300+Players!K8*TK_CapexIT_VR200+Players!K9*TK_CapexIT_RU</f>
        <v>41.3326208898258</v>
      </c>
      <c r="L8" s="30" t="n">
        <f aca="false">Players!L5*TK_CapexIT_H100+Players!L6*TK_CapexIT_GB200+Players!L7*TK_CapexIT_GB300+Players!L8*TK_CapexIT_VR200+Players!L9*TK_CapexIT_RU</f>
        <v>41.3326208898258</v>
      </c>
      <c r="M8" s="30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1983</v>
      </c>
      <c r="D9" s="30" t="n">
        <f aca="false">Players!D5*TK_CapexFacility_H100+Players!D6*TK_CapexFacility_GB200+Players!D7*TK_CapexFacility_GB300+Players!D8*TK_CapexFacility_VR200+Players!D9*TK_CapexFacility_RU</f>
        <v>12.67</v>
      </c>
      <c r="E9" s="30" t="n">
        <f aca="false">Players!E5*TK_CapexFacility_H100+Players!E6*TK_CapexFacility_GB200+Players!E7*TK_CapexFacility_GB300+Players!E8*TK_CapexFacility_VR200+Players!E9*TK_CapexFacility_RU</f>
        <v>12.67</v>
      </c>
      <c r="F9" s="30" t="n">
        <f aca="false">Players!F5*TK_CapexFacility_H100+Players!F6*TK_CapexFacility_GB200+Players!F7*TK_CapexFacility_GB300+Players!F8*TK_CapexFacility_VR200+Players!F9*TK_CapexFacility_RU</f>
        <v>12.67</v>
      </c>
      <c r="G9" s="30" t="n">
        <f aca="false">Players!G5*TK_CapexFacility_H100+Players!G6*TK_CapexFacility_GB200+Players!G7*TK_CapexFacility_GB300+Players!G8*TK_CapexFacility_VR200+Players!G9*TK_CapexFacility_RU</f>
        <v>12.67</v>
      </c>
      <c r="H9" s="30" t="n">
        <f aca="false">Players!H5*TK_CapexFacility_H100+Players!H6*TK_CapexFacility_GB200+Players!H7*TK_CapexFacility_GB300+Players!H8*TK_CapexFacility_VR200+Players!H9*TK_CapexFacility_RU</f>
        <v>12.67</v>
      </c>
      <c r="I9" s="30" t="n">
        <f aca="false">Players!I5*TK_CapexFacility_H100+Players!I6*TK_CapexFacility_GB200+Players!I7*TK_CapexFacility_GB300+Players!I8*TK_CapexFacility_VR200+Players!I9*TK_CapexFacility_RU</f>
        <v>12.67</v>
      </c>
      <c r="J9" s="30" t="n">
        <f aca="false">Players!J5*TK_CapexFacility_H100+Players!J6*TK_CapexFacility_GB200+Players!J7*TK_CapexFacility_GB300+Players!J8*TK_CapexFacility_VR200+Players!J9*TK_CapexFacility_RU</f>
        <v>12.67</v>
      </c>
      <c r="K9" s="30" t="n">
        <f aca="false">Players!K5*TK_CapexFacility_H100+Players!K6*TK_CapexFacility_GB200+Players!K7*TK_CapexFacility_GB300+Players!K8*TK_CapexFacility_VR200+Players!K9*TK_CapexFacility_RU</f>
        <v>12.67</v>
      </c>
      <c r="L9" s="30" t="n">
        <f aca="false">Players!L5*TK_CapexFacility_H100+Players!L6*TK_CapexFacility_GB200+Players!L7*TK_CapexFacility_GB300+Players!L8*TK_CapexFacility_VR200+Players!L9*TK_CapexFacility_RU</f>
        <v>12.67</v>
      </c>
      <c r="M9" s="30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1355</v>
      </c>
      <c r="B11" s="21" t="s">
        <v>728</v>
      </c>
      <c r="N11" s="5" t="s">
        <v>1984</v>
      </c>
    </row>
    <row r="12" customFormat="false" ht="17.15" hidden="false" customHeight="false" outlineLevel="0" collapsed="false">
      <c r="A12" s="5" t="s">
        <v>1985</v>
      </c>
      <c r="C12" s="0" t="s">
        <v>395</v>
      </c>
      <c r="D12" s="33" t="n">
        <f aca="false">Players!D36*((1-Players!D38)*D$8+Players!D38*TK_NonNV_Hold_Maia*TK_CapexIT_VR200)</f>
        <v>0</v>
      </c>
      <c r="E12" s="33" t="n">
        <f aca="false">Players!E36*((1-Players!E38)*E$8+Players!E38*TK_NonNV_Hold_Maia*TK_CapexIT_VR200)</f>
        <v>0</v>
      </c>
      <c r="F12" s="33" t="n">
        <f aca="false">Players!F36*((1-Players!F38)*F$8+Players!F38*TK_NonNV_Hold_Maia*TK_CapexIT_VR200)</f>
        <v>51.8661035764096</v>
      </c>
      <c r="G12" s="33" t="n">
        <f aca="false">Players!G36*((1-Players!G38)*G$8+Players!G38*TK_NonNV_Hold_Maia*TK_CapexIT_VR200)</f>
        <v>23.0756060078041</v>
      </c>
      <c r="H12" s="33" t="n">
        <f aca="false">Players!H36*((1-Players!H38)*H$8+Players!H38*TK_NonNV_Hold_Maia*TK_CapexIT_VR200)</f>
        <v>34.3220893294984</v>
      </c>
      <c r="I12" s="33" t="n">
        <f aca="false">Players!I36*((1-Players!I38)*I$8+Players!I38*TK_NonNV_Hold_Maia*TK_CapexIT_VR200)</f>
        <v>58.8766921656001</v>
      </c>
      <c r="J12" s="33" t="n">
        <f aca="false">Players!J36*((1-Players!J38)*J$8+Players!J38*TK_NonNV_Hold_Maia*TK_CapexIT_VR200)</f>
        <v>5.06846383514053</v>
      </c>
      <c r="K12" s="33" t="n">
        <f aca="false">Players!K36*((1-Players!K38)*K$8+Players!K38*TK_NonNV_Hold_Maia*TK_CapexIT_VR200)</f>
        <v>5.06846383514053</v>
      </c>
      <c r="L12" s="33" t="n">
        <f aca="false">Players!L36*((1-Players!L38)*L$8+Players!L38*TK_NonNV_Hold_Maia*TK_CapexIT_VR200)</f>
        <v>9.46817202536668</v>
      </c>
      <c r="M12" s="33" t="n">
        <f aca="false">Players!M36*((1-Players!M38)*M$8+Players!M38*TK_NonNV_Hold_Maia*TK_CapexIT_VR200)</f>
        <v>90.3172097289624</v>
      </c>
    </row>
    <row r="13" customFormat="false" ht="15" hidden="false" customHeight="false" outlineLevel="0" collapsed="false">
      <c r="A13" s="5" t="s">
        <v>1986</v>
      </c>
      <c r="C13" s="0" t="s">
        <v>395</v>
      </c>
      <c r="D13" s="33" t="n">
        <f aca="false">Players!D36*((1-Players!D38)*D$9+Players!D38*TK_NonNV_Hold_Maia*TK_CapexFacility_VR200)</f>
        <v>0</v>
      </c>
      <c r="E13" s="33" t="n">
        <f aca="false">Players!E36*((1-Players!E38)*E$9+Players!E38*TK_NonNV_Hold_Maia*TK_CapexFacility_VR200)</f>
        <v>0</v>
      </c>
      <c r="F13" s="33" t="n">
        <f aca="false">Players!F36*((1-Players!F38)*F$9+Players!F38*TK_NonNV_Hold_Maia*TK_CapexFacility_VR200)</f>
        <v>23.8316186978092</v>
      </c>
      <c r="G13" s="33" t="n">
        <f aca="false">Players!G36*((1-Players!G38)*G$9+Players!G38*TK_NonNV_Hold_Maia*TK_CapexFacility_VR200)</f>
        <v>8.6045818997923</v>
      </c>
      <c r="H13" s="33" t="n">
        <f aca="false">Players!H36*((1-Players!H38)*H$9+Players!H38*TK_NonNV_Hold_Maia*TK_CapexFacility_VR200)</f>
        <v>11.3774956910595</v>
      </c>
      <c r="I13" s="33" t="n">
        <f aca="false">Players!I36*((1-Players!I38)*I$9+Players!I38*TK_NonNV_Hold_Maia*TK_CapexFacility_VR200)</f>
        <v>18.3064539207795</v>
      </c>
      <c r="J13" s="33" t="n">
        <f aca="false">Players!J36*((1-Players!J38)*J$9+Players!J38*TK_NonNV_Hold_Maia*TK_CapexFacility_VR200)</f>
        <v>1.576179666417</v>
      </c>
      <c r="K13" s="33" t="n">
        <f aca="false">Players!K36*((1-Players!K38)*K$9+Players!K38*TK_NonNV_Hold_Maia*TK_CapexFacility_VR200)</f>
        <v>1.576179666417</v>
      </c>
      <c r="L13" s="33" t="n">
        <f aca="false">Players!L36*((1-Players!L38)*L$9+Players!L38*TK_NonNV_Hold_Maia*TK_CapexFacility_VR200)</f>
        <v>2.94439118240397</v>
      </c>
      <c r="M13" s="33" t="n">
        <f aca="false">Players!M36*((1-Players!M38)*M$9+Players!M38*TK_NonNV_Hold_Maia*TK_CapexFacility_VR200)</f>
        <v>28.0866460001806</v>
      </c>
    </row>
    <row r="14" customFormat="false" ht="17.15" hidden="false" customHeight="false" outlineLevel="0" collapsed="false">
      <c r="A14" s="5" t="s">
        <v>1987</v>
      </c>
      <c r="C14" s="0" t="s">
        <v>395</v>
      </c>
      <c r="D14" s="33" t="n">
        <f aca="false">D13*$D$5+E13*$D$6+F13*$D$7</f>
        <v>11.9158093489046</v>
      </c>
      <c r="E14" s="33" t="n">
        <f aca="false">E13*$D$5+F13*$D$6+G13*$D$7</f>
        <v>16.2181002988008</v>
      </c>
      <c r="F14" s="33" t="n">
        <f aca="false">F13*$D$5+G13*$D$6+H13*$D$7</f>
        <v>9.9910387954259</v>
      </c>
      <c r="G14" s="33" t="n">
        <f aca="false">G13*$D$5+H13*$D$6+I13*$D$7</f>
        <v>14.8419748059195</v>
      </c>
      <c r="H14" s="33" t="n">
        <f aca="false">H13*$D$5+I13*$D$6+J13*$D$7</f>
        <v>9.94131679359823</v>
      </c>
      <c r="I14" s="33" t="n">
        <f aca="false">I13*$D$5+J13*$D$6+K13*$D$7</f>
        <v>1.576179666417</v>
      </c>
      <c r="J14" s="33" t="n">
        <f aca="false">J13*$D$5+K13*$D$6+L13*$D$7</f>
        <v>2.26028542441049</v>
      </c>
      <c r="K14" s="33" t="n">
        <f aca="false">K13*$D$5+L13*$D$6+M13*$D$7</f>
        <v>15.5155185912923</v>
      </c>
      <c r="L14" s="33" t="n">
        <f aca="false">L13*$D$5+M13*$D$6</f>
        <v>14.0433230000903</v>
      </c>
      <c r="M14" s="33" t="n">
        <f aca="false">M13*$D$5</f>
        <v>0</v>
      </c>
    </row>
    <row r="15" customFormat="false" ht="17.15" hidden="false" customHeight="false" outlineLevel="0" collapsed="false">
      <c r="A15" s="5" t="s">
        <v>1988</v>
      </c>
      <c r="C15" s="0" t="s">
        <v>395</v>
      </c>
      <c r="D15" s="33" t="n">
        <f aca="false">D12+D14</f>
        <v>11.9158093489046</v>
      </c>
      <c r="E15" s="33" t="n">
        <f aca="false">E12+E14</f>
        <v>16.2181002988008</v>
      </c>
      <c r="F15" s="33" t="n">
        <f aca="false">F12+F14</f>
        <v>61.8571423718355</v>
      </c>
      <c r="G15" s="33" t="n">
        <f aca="false">G12+G14</f>
        <v>37.9175808137235</v>
      </c>
      <c r="H15" s="33" t="n">
        <f aca="false">H12+H14</f>
        <v>44.2634061230966</v>
      </c>
      <c r="I15" s="33" t="n">
        <f aca="false">I12+I14</f>
        <v>60.4528718320171</v>
      </c>
      <c r="J15" s="33" t="n">
        <f aca="false">J12+J14</f>
        <v>7.32874925955101</v>
      </c>
      <c r="K15" s="33" t="n">
        <f aca="false">K12+K14</f>
        <v>20.5839824264328</v>
      </c>
      <c r="L15" s="33" t="n">
        <f aca="false">L12+L14</f>
        <v>23.511495025457</v>
      </c>
      <c r="M15" s="33" t="n">
        <f aca="false">M12+M14</f>
        <v>90.3172097289624</v>
      </c>
    </row>
    <row r="16" customFormat="false" ht="17.15" hidden="false" customHeight="false" outlineLevel="0" collapsed="false">
      <c r="A16" s="5" t="s">
        <v>1989</v>
      </c>
      <c r="C16" s="0" t="s">
        <v>395</v>
      </c>
      <c r="D16" s="33" t="n">
        <f aca="false">D15*fye_msft/12+N(In!H140)</f>
        <v>5.9579046744523</v>
      </c>
      <c r="E16" s="33" t="n">
        <f aca="false">E15*fye_msft/12+D15*(12-fye_msft)/12+N(In!I140)</f>
        <v>14.0669548238527</v>
      </c>
      <c r="F16" s="33" t="n">
        <f aca="false">F15*fye_msft/12+E15*(12-fye_msft)/12+N(In!J140)</f>
        <v>39.0376213353181</v>
      </c>
      <c r="G16" s="33" t="n">
        <f aca="false">G15*fye_msft/12+F15*(12-fye_msft)/12+N(In!K140)</f>
        <v>49.8873615927795</v>
      </c>
      <c r="H16" s="33" t="n">
        <f aca="false">H15*fye_msft/12+G15*(12-fye_msft)/12+N(In!L140)</f>
        <v>41.0904934684101</v>
      </c>
      <c r="I16" s="33" t="n">
        <f aca="false">I15*fye_msft/12+H15*(12-fye_msft)/12+N(In!M140)</f>
        <v>52.3581389775569</v>
      </c>
      <c r="J16" s="33" t="n">
        <f aca="false">J15*fye_msft/12+I15*(12-fye_msft)/12+N(In!N140)</f>
        <v>33.8908105457841</v>
      </c>
      <c r="K16" s="33" t="n">
        <f aca="false">K15*fye_msft/12+J15*(12-fye_msft)/12+N(In!O140)</f>
        <v>13.9563658429919</v>
      </c>
      <c r="L16" s="33" t="n">
        <f aca="false">L15*fye_msft/12+K15*(12-fye_msft)/12+N(In!P140)</f>
        <v>22.0477387259449</v>
      </c>
      <c r="M16" s="33" t="n">
        <f aca="false">M15*fye_msft/12+L15*(12-fye_msft)/12+N(In!Q140)</f>
        <v>56.9143523772097</v>
      </c>
    </row>
    <row r="17" customFormat="false" ht="17.15" hidden="false" customHeight="false" outlineLevel="0" collapsed="false">
      <c r="A17" s="5" t="s">
        <v>1990</v>
      </c>
      <c r="C17" s="0" t="s">
        <v>395</v>
      </c>
      <c r="D17" s="20" t="str">
        <f aca="false">IF(In!H124="","",In!H124)</f>
        <v/>
      </c>
      <c r="E17" s="31" t="n">
        <f aca="false">IF(In!I124="","",In!I124)</f>
        <v>44.477</v>
      </c>
      <c r="F17" s="31" t="n">
        <f aca="false">IF(In!J124="","",In!J124)</f>
        <v>64.551</v>
      </c>
      <c r="G17" s="31" t="n">
        <f aca="false">IF(In!K124="","",In!K124)</f>
        <v>115.948</v>
      </c>
      <c r="H17" s="31" t="n">
        <f aca="false">IF(In!L124="","",In!L124)</f>
        <v>192.827</v>
      </c>
      <c r="I17" s="31" t="n">
        <f aca="false">IF(In!M124="","",In!M124)</f>
        <v>216.787</v>
      </c>
      <c r="J17" s="31" t="n">
        <f aca="false">IF(In!N124="","",In!N124)</f>
        <v>251.173</v>
      </c>
      <c r="K17" s="20" t="str">
        <f aca="false">IF(In!O124="","",In!O124)</f>
        <v/>
      </c>
      <c r="L17" s="20" t="str">
        <f aca="false">IF(In!P124="","",In!P124)</f>
        <v/>
      </c>
      <c r="M17" s="20" t="str">
        <f aca="false">IF(In!Q124="","",In!Q124)</f>
        <v/>
      </c>
    </row>
    <row r="18" customFormat="false" ht="17.15" hidden="false" customHeight="false" outlineLevel="0" collapsed="false">
      <c r="A18" s="5" t="s">
        <v>1991</v>
      </c>
      <c r="C18" s="0" t="s">
        <v>41</v>
      </c>
      <c r="D18" s="30" t="str">
        <f aca="false">IF(OR(D17="",N(D17)=0),"",D16/D17)</f>
        <v/>
      </c>
      <c r="E18" s="30" t="n">
        <f aca="false">IF(OR(E17="",N(E17)=0),"",E16/E17)</f>
        <v>0.316274812236722</v>
      </c>
      <c r="F18" s="30" t="n">
        <f aca="false">IF(OR(F17="",N(F17)=0),"",F16/F17)</f>
        <v>0.604756259938934</v>
      </c>
      <c r="G18" s="30" t="n">
        <f aca="false">IF(OR(G17="",N(G17)=0),"",G16/G17)</f>
        <v>0.430256335536443</v>
      </c>
      <c r="H18" s="30" t="n">
        <f aca="false">IF(OR(H17="",N(H17)=0),"",H16/H17)</f>
        <v>0.213095123962983</v>
      </c>
      <c r="I18" s="30" t="n">
        <f aca="false">IF(OR(I17="",N(I17)=0),"",I16/I17)</f>
        <v>0.241518813293956</v>
      </c>
      <c r="J18" s="30" t="n">
        <f aca="false">IF(OR(J17="",N(J17)=0),"",J16/J17)</f>
        <v>0.134930149919713</v>
      </c>
      <c r="K18" s="30" t="str">
        <f aca="false">IF(OR(K17="",N(K17)=0),"",K16/K17)</f>
        <v/>
      </c>
      <c r="L18" s="30" t="str">
        <f aca="false">IF(OR(L17="",N(L17)=0),"",L16/L17)</f>
        <v/>
      </c>
      <c r="M18" s="30" t="str">
        <f aca="false">IF(OR(M17="",N(M17)=0),"",M16/M17)</f>
        <v/>
      </c>
    </row>
    <row r="19" customFormat="false" ht="15" hidden="false" customHeight="false" outlineLevel="0" collapsed="false">
      <c r="A19" s="5" t="s">
        <v>1992</v>
      </c>
      <c r="C19" s="0" t="s">
        <v>40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1391</v>
      </c>
      <c r="B21" s="21" t="s">
        <v>733</v>
      </c>
      <c r="N21" s="21" t="s">
        <v>1993</v>
      </c>
    </row>
    <row r="22" customFormat="false" ht="17.15" hidden="false" customHeight="false" outlineLevel="0" collapsed="false">
      <c r="A22" s="5" t="s">
        <v>1985</v>
      </c>
      <c r="C22" s="0" t="s">
        <v>395</v>
      </c>
      <c r="D22" s="33" t="n">
        <f aca="false">Players!D55*((1-Players!D57)*D$8+Players!D57*TK_NonNV_Hold_TPU*TK_CapexIT_VR200)</f>
        <v>0</v>
      </c>
      <c r="E22" s="33" t="n">
        <f aca="false">Players!E55*((1-Players!E57)*E$8+Players!E57*TK_NonNV_Hold_TPU*TK_CapexIT_VR200)</f>
        <v>35.3819300020025</v>
      </c>
      <c r="F22" s="33" t="n">
        <f aca="false">Players!F55*((1-Players!F57)*F$8+Players!F57*TK_NonNV_Hold_TPU*TK_CapexIT_VR200)</f>
        <v>63.2186407655033</v>
      </c>
      <c r="G22" s="33" t="n">
        <f aca="false">Players!G55*((1-Players!G57)*G$8+Players!G57*TK_NonNV_Hold_TPU*TK_CapexIT_VR200)</f>
        <v>36.2790811922887</v>
      </c>
      <c r="H22" s="33" t="n">
        <f aca="false">Players!H55*((1-Players!H57)*H$8+Players!H57*TK_NonNV_Hold_TPU*TK_CapexIT_VR200)</f>
        <v>47.6122755869267</v>
      </c>
      <c r="I22" s="33" t="n">
        <f aca="false">Players!I55*((1-Players!I57)*I$8+Players!I57*TK_NonNV_Hold_TPU*TK_CapexIT_VR200)</f>
        <v>25.0174362491558</v>
      </c>
      <c r="J22" s="33" t="n">
        <f aca="false">Players!J55*((1-Players!J57)*J$8+Players!J57*TK_NonNV_Hold_TPU*TK_CapexIT_VR200)</f>
        <v>0</v>
      </c>
      <c r="K22" s="33" t="n">
        <f aca="false">Players!K55*((1-Players!K57)*K$8+Players!K57*TK_NonNV_Hold_TPU*TK_CapexIT_VR200)</f>
        <v>30.020923498987</v>
      </c>
      <c r="L22" s="33" t="n">
        <f aca="false">Players!L55*((1-Players!L57)*L$8+Players!L57*TK_NonNV_Hold_TPU*TK_CapexIT_VR200)</f>
        <v>0</v>
      </c>
      <c r="M22" s="33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1986</v>
      </c>
      <c r="C23" s="0" t="s">
        <v>395</v>
      </c>
      <c r="D23" s="33" t="n">
        <f aca="false">Players!D55*((1-Players!D57)*D$9+Players!D57*TK_NonNV_Hold_TPU*TK_CapexFacility_VR200)</f>
        <v>0</v>
      </c>
      <c r="E23" s="33" t="n">
        <f aca="false">Players!E55*((1-Players!E57)*E$9+Players!E57*TK_NonNV_Hold_TPU*TK_CapexFacility_VR200)</f>
        <v>13.0425567722911</v>
      </c>
      <c r="F23" s="33" t="n">
        <f aca="false">Players!F55*((1-Players!F57)*F$9+Players!F57*TK_NonNV_Hold_TPU*TK_CapexFacility_VR200)</f>
        <v>23.6331185836686</v>
      </c>
      <c r="G23" s="33" t="n">
        <f aca="false">Players!G55*((1-Players!G57)*G$9+Players!G57*TK_NonNV_Hold_TPU*TK_CapexFacility_VR200)</f>
        <v>12.6783991048287</v>
      </c>
      <c r="H23" s="33" t="n">
        <f aca="false">Players!H55*((1-Players!H57)*H$9+Players!H57*TK_NonNV_Hold_TPU*TK_CapexFacility_VR200)</f>
        <v>15.947559222</v>
      </c>
      <c r="I23" s="33" t="n">
        <f aca="false">Players!I55*((1-Players!I57)*I$9+Players!I57*TK_NonNV_Hold_TPU*TK_CapexFacility_VR200)</f>
        <v>8.17320583333334</v>
      </c>
      <c r="J23" s="33" t="n">
        <f aca="false">Players!J55*((1-Players!J57)*J$9+Players!J57*TK_NonNV_Hold_TPU*TK_CapexFacility_VR200)</f>
        <v>0</v>
      </c>
      <c r="K23" s="33" t="n">
        <f aca="false">Players!K55*((1-Players!K57)*K$9+Players!K57*TK_NonNV_Hold_TPU*TK_CapexFacility_VR200)</f>
        <v>9.807847</v>
      </c>
      <c r="L23" s="33" t="n">
        <f aca="false">Players!L55*((1-Players!L57)*L$9+Players!L57*TK_NonNV_Hold_TPU*TK_CapexFacility_VR200)</f>
        <v>0</v>
      </c>
      <c r="M23" s="33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1987</v>
      </c>
      <c r="C24" s="0" t="s">
        <v>395</v>
      </c>
      <c r="D24" s="33" t="n">
        <f aca="false">D23*$D$5+E23*$D$6+F23*$D$7</f>
        <v>18.3378376779798</v>
      </c>
      <c r="E24" s="33" t="n">
        <f aca="false">E23*$D$5+F23*$D$6+G23*$D$7</f>
        <v>18.1557588442486</v>
      </c>
      <c r="F24" s="33" t="n">
        <f aca="false">F23*$D$5+G23*$D$6+H23*$D$7</f>
        <v>14.3129791634143</v>
      </c>
      <c r="G24" s="33" t="n">
        <f aca="false">G23*$D$5+H23*$D$6+I23*$D$7</f>
        <v>12.0603825276667</v>
      </c>
      <c r="H24" s="33" t="n">
        <f aca="false">H23*$D$5+I23*$D$6+J23*$D$7</f>
        <v>4.08660291666667</v>
      </c>
      <c r="I24" s="33" t="n">
        <f aca="false">I23*$D$5+J23*$D$6+K23*$D$7</f>
        <v>4.9039235</v>
      </c>
      <c r="J24" s="33" t="n">
        <f aca="false">J23*$D$5+K23*$D$6+L23*$D$7</f>
        <v>4.9039235</v>
      </c>
      <c r="K24" s="33" t="n">
        <f aca="false">K23*$D$5+L23*$D$6+M23*$D$7</f>
        <v>0</v>
      </c>
      <c r="L24" s="33" t="n">
        <f aca="false">L23*$D$5+M23*$D$6</f>
        <v>0</v>
      </c>
      <c r="M24" s="33" t="n">
        <f aca="false">M23*$D$5</f>
        <v>0</v>
      </c>
    </row>
    <row r="25" customFormat="false" ht="17.15" hidden="false" customHeight="false" outlineLevel="0" collapsed="false">
      <c r="A25" s="5" t="s">
        <v>1988</v>
      </c>
      <c r="C25" s="0" t="s">
        <v>395</v>
      </c>
      <c r="D25" s="33" t="n">
        <f aca="false">D22+D24</f>
        <v>18.3378376779798</v>
      </c>
      <c r="E25" s="33" t="n">
        <f aca="false">E22+E24</f>
        <v>53.5376888462511</v>
      </c>
      <c r="F25" s="33" t="n">
        <f aca="false">F22+F24</f>
        <v>77.5316199289177</v>
      </c>
      <c r="G25" s="33" t="n">
        <f aca="false">G22+G24</f>
        <v>48.3394637199554</v>
      </c>
      <c r="H25" s="33" t="n">
        <f aca="false">H22+H24</f>
        <v>51.6988785035934</v>
      </c>
      <c r="I25" s="33" t="n">
        <f aca="false">I22+I24</f>
        <v>29.9213597491558</v>
      </c>
      <c r="J25" s="33" t="n">
        <f aca="false">J22+J24</f>
        <v>4.9039235</v>
      </c>
      <c r="K25" s="33" t="n">
        <f aca="false">K22+K24</f>
        <v>30.020923498987</v>
      </c>
      <c r="L25" s="33" t="n">
        <f aca="false">L22+L24</f>
        <v>0</v>
      </c>
      <c r="M25" s="33" t="n">
        <f aca="false">M22+M24</f>
        <v>0</v>
      </c>
    </row>
    <row r="26" customFormat="false" ht="17.15" hidden="false" customHeight="false" outlineLevel="0" collapsed="false">
      <c r="A26" s="5" t="s">
        <v>1989</v>
      </c>
      <c r="C26" s="0" t="s">
        <v>395</v>
      </c>
      <c r="D26" s="33" t="n">
        <f aca="false">D25*fye_googl/12+N(In!H141)</f>
        <v>18.3378376779798</v>
      </c>
      <c r="E26" s="33" t="n">
        <f aca="false">E25*fye_googl/12+D25*(12-fye_googl)/12+N(In!I141)</f>
        <v>53.5376888462511</v>
      </c>
      <c r="F26" s="33" t="n">
        <f aca="false">F25*fye_googl/12+E25*(12-fye_googl)/12+N(In!J141)</f>
        <v>77.5316199289177</v>
      </c>
      <c r="G26" s="33" t="n">
        <f aca="false">G25*fye_googl/12+F25*(12-fye_googl)/12+N(In!K141)</f>
        <v>48.3394637199554</v>
      </c>
      <c r="H26" s="33" t="n">
        <f aca="false">H25*fye_googl/12+G25*(12-fye_googl)/12+N(In!L141)</f>
        <v>51.6988785035934</v>
      </c>
      <c r="I26" s="33" t="n">
        <f aca="false">I25*fye_googl/12+H25*(12-fye_googl)/12+N(In!M141)</f>
        <v>29.9213597491558</v>
      </c>
      <c r="J26" s="33" t="n">
        <f aca="false">J25*fye_googl/12+I25*(12-fye_googl)/12+N(In!N141)</f>
        <v>4.9039235</v>
      </c>
      <c r="K26" s="33" t="n">
        <f aca="false">K25*fye_googl/12+J25*(12-fye_googl)/12+N(In!O141)</f>
        <v>30.020923498987</v>
      </c>
      <c r="L26" s="33" t="n">
        <f aca="false">L25*fye_googl/12+K25*(12-fye_googl)/12+N(In!P141)</f>
        <v>0</v>
      </c>
      <c r="M26" s="33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1990</v>
      </c>
      <c r="C27" s="0" t="s">
        <v>395</v>
      </c>
      <c r="D27" s="20" t="str">
        <f aca="false">IF(In!H125="","",In!H125)</f>
        <v/>
      </c>
      <c r="E27" s="20" t="str">
        <f aca="false">IF(In!I125="","",In!I125)</f>
        <v/>
      </c>
      <c r="F27" s="31" t="n">
        <f aca="false">IF(In!J125="","",In!J125)</f>
        <v>91.447</v>
      </c>
      <c r="G27" s="31" t="n">
        <f aca="false">IF(In!K125="","",In!K125)</f>
        <v>200</v>
      </c>
      <c r="H27" s="31" t="n">
        <f aca="false">IF(In!L125="","",In!L125)</f>
        <v>300.979</v>
      </c>
      <c r="I27" s="31" t="n">
        <f aca="false">IF(In!M125="","",In!M125)</f>
        <v>339.451</v>
      </c>
      <c r="J27" s="20" t="str">
        <f aca="false">IF(In!N125="","",In!N125)</f>
        <v/>
      </c>
      <c r="K27" s="20" t="str">
        <f aca="false">IF(In!O125="","",In!O125)</f>
        <v/>
      </c>
      <c r="L27" s="20" t="str">
        <f aca="false">IF(In!P125="","",In!P125)</f>
        <v/>
      </c>
      <c r="M27" s="20" t="str">
        <f aca="false">IF(In!Q125="","",In!Q125)</f>
        <v/>
      </c>
    </row>
    <row r="28" customFormat="false" ht="17.15" hidden="false" customHeight="false" outlineLevel="0" collapsed="false">
      <c r="A28" s="5" t="s">
        <v>1991</v>
      </c>
      <c r="C28" s="0" t="s">
        <v>41</v>
      </c>
      <c r="D28" s="30" t="str">
        <f aca="false">IF(OR(D27="",N(D27)=0),"",D26/D27)</f>
        <v/>
      </c>
      <c r="E28" s="30" t="str">
        <f aca="false">IF(OR(E27="",N(E27)=0),"",E26/E27)</f>
        <v/>
      </c>
      <c r="F28" s="30" t="n">
        <f aca="false">IF(OR(F27="",N(F27)=0),"",F26/F27)</f>
        <v>0.847831201995885</v>
      </c>
      <c r="G28" s="30" t="n">
        <f aca="false">IF(OR(G27="",N(G27)=0),"",G26/G27)</f>
        <v>0.241697318599777</v>
      </c>
      <c r="H28" s="30" t="n">
        <f aca="false">IF(OR(H27="",N(H27)=0),"",H26/H27)</f>
        <v>0.171769055328091</v>
      </c>
      <c r="I28" s="30" t="n">
        <f aca="false">IF(OR(I27="",N(I27)=0),"",I26/I27)</f>
        <v>0.0881463296592316</v>
      </c>
      <c r="J28" s="30" t="str">
        <f aca="false">IF(OR(J27="",N(J27)=0),"",J26/J27)</f>
        <v/>
      </c>
      <c r="K28" s="30" t="str">
        <f aca="false">IF(OR(K27="",N(K27)=0),"",K26/K27)</f>
        <v/>
      </c>
      <c r="L28" s="30" t="str">
        <f aca="false">IF(OR(L27="",N(L27)=0),"",L26/L27)</f>
        <v/>
      </c>
      <c r="M28" s="30" t="str">
        <f aca="false">IF(OR(M27="",N(M27)=0),"",M26/M27)</f>
        <v/>
      </c>
    </row>
    <row r="29" customFormat="false" ht="15" hidden="false" customHeight="false" outlineLevel="0" collapsed="false">
      <c r="A29" s="5" t="s">
        <v>1992</v>
      </c>
      <c r="C29" s="0" t="s">
        <v>40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1410</v>
      </c>
      <c r="B31" s="21" t="s">
        <v>741</v>
      </c>
      <c r="N31" s="5" t="s">
        <v>1994</v>
      </c>
    </row>
    <row r="32" customFormat="false" ht="17.15" hidden="false" customHeight="false" outlineLevel="0" collapsed="false">
      <c r="A32" s="5" t="s">
        <v>1985</v>
      </c>
      <c r="C32" s="0" t="s">
        <v>395</v>
      </c>
      <c r="D32" s="33" t="n">
        <f aca="false">Players!D74*((1-Players!D76)*D$8+Players!D76*TK_NonNV_Hold_Trn*TK_CapexIT_VR200)</f>
        <v>0</v>
      </c>
      <c r="E32" s="33" t="n">
        <f aca="false">Players!E74*((1-Players!E76)*E$8+Players!E76*TK_NonNV_Hold_Trn*TK_CapexIT_VR200)</f>
        <v>0</v>
      </c>
      <c r="F32" s="33" t="n">
        <f aca="false">Players!F74*((1-Players!F76)*F$8+Players!F76*TK_NonNV_Hold_Trn*TK_CapexIT_VR200)</f>
        <v>33.2761117394968</v>
      </c>
      <c r="G32" s="33" t="n">
        <f aca="false">Players!G74*((1-Players!G76)*G$8+Players!G76*TK_NonNV_Hold_Trn*TK_CapexIT_VR200)</f>
        <v>13.9065669998304</v>
      </c>
      <c r="H32" s="33" t="n">
        <f aca="false">Players!H74*((1-Players!H76)*H$8+Players!H76*TK_NonNV_Hold_Trn*TK_CapexIT_VR200)</f>
        <v>10.1970488773605</v>
      </c>
      <c r="I32" s="33" t="n">
        <f aca="false">Players!I74*((1-Players!I76)*I$8+Players!I76*TK_NonNV_Hold_Trn*TK_CapexIT_VR200)</f>
        <v>50.5782793313381</v>
      </c>
      <c r="J32" s="33" t="n">
        <f aca="false">Players!J74*((1-Players!J76)*J$8+Players!J76*TK_NonNV_Hold_Trn*TK_CapexIT_VR200)</f>
        <v>1.79808103127464</v>
      </c>
      <c r="K32" s="33" t="n">
        <f aca="false">Players!K74*((1-Players!K76)*K$8+Players!K76*TK_NonNV_Hold_Trn*TK_CapexIT_VR200)</f>
        <v>0</v>
      </c>
      <c r="L32" s="33" t="n">
        <f aca="false">Players!L74*((1-Players!L76)*L$8+Players!L76*TK_NonNV_Hold_Trn*TK_CapexIT_VR200)</f>
        <v>0</v>
      </c>
      <c r="M32" s="33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1986</v>
      </c>
      <c r="C33" s="0" t="s">
        <v>395</v>
      </c>
      <c r="D33" s="33" t="n">
        <f aca="false">Players!D74*((1-Players!D76)*D$9+Players!D76*TK_NonNV_Hold_Trn*TK_CapexFacility_VR200)</f>
        <v>0</v>
      </c>
      <c r="E33" s="33" t="n">
        <f aca="false">Players!E74*((1-Players!E76)*E$9+Players!E76*TK_NonNV_Hold_Trn*TK_CapexFacility_VR200)</f>
        <v>0</v>
      </c>
      <c r="F33" s="33" t="n">
        <f aca="false">Players!F74*((1-Players!F76)*F$9+Players!F76*TK_NonNV_Hold_Trn*TK_CapexFacility_VR200)</f>
        <v>13.0068092046039</v>
      </c>
      <c r="G33" s="33" t="n">
        <f aca="false">Players!G74*((1-Players!G76)*G$9+Players!G76*TK_NonNV_Hold_Trn*TK_CapexFacility_VR200)</f>
        <v>4.932366383</v>
      </c>
      <c r="H33" s="33" t="n">
        <f aca="false">Players!H74*((1-Players!H76)*H$9+Players!H76*TK_NonNV_Hold_Trn*TK_CapexFacility_VR200)</f>
        <v>3.406795756</v>
      </c>
      <c r="I33" s="33" t="n">
        <f aca="false">Players!I74*((1-Players!I76)*I$9+Players!I76*TK_NonNV_Hold_Trn*TK_CapexFacility_VR200)</f>
        <v>16.322669776</v>
      </c>
      <c r="J33" s="33" t="n">
        <f aca="false">Players!J74*((1-Players!J76)*J$9+Players!J76*TK_NonNV_Hold_Trn*TK_CapexFacility_VR200)</f>
        <v>0.580278398000003</v>
      </c>
      <c r="K33" s="33" t="n">
        <f aca="false">Players!K74*((1-Players!K76)*K$9+Players!K76*TK_NonNV_Hold_Trn*TK_CapexFacility_VR200)</f>
        <v>0</v>
      </c>
      <c r="L33" s="33" t="n">
        <f aca="false">Players!L74*((1-Players!L76)*L$9+Players!L76*TK_NonNV_Hold_Trn*TK_CapexFacility_VR200)</f>
        <v>0</v>
      </c>
      <c r="M33" s="33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1987</v>
      </c>
      <c r="C34" s="0" t="s">
        <v>395</v>
      </c>
      <c r="D34" s="33" t="n">
        <f aca="false">D33*$D$5+E33*$D$6+F33*$D$7</f>
        <v>6.50340460230194</v>
      </c>
      <c r="E34" s="33" t="n">
        <f aca="false">E33*$D$5+F33*$D$6+G33*$D$7</f>
        <v>8.96958779380194</v>
      </c>
      <c r="F34" s="33" t="n">
        <f aca="false">F33*$D$5+G33*$D$6+H33*$D$7</f>
        <v>4.1695810695</v>
      </c>
      <c r="G34" s="33" t="n">
        <f aca="false">G33*$D$5+H33*$D$6+I33*$D$7</f>
        <v>9.864732766</v>
      </c>
      <c r="H34" s="33" t="n">
        <f aca="false">H33*$D$5+I33*$D$6+J33*$D$7</f>
        <v>8.451474087</v>
      </c>
      <c r="I34" s="33" t="n">
        <f aca="false">I33*$D$5+J33*$D$6+K33*$D$7</f>
        <v>0.290139199000001</v>
      </c>
      <c r="J34" s="33" t="n">
        <f aca="false">J33*$D$5+K33*$D$6+L33*$D$7</f>
        <v>0</v>
      </c>
      <c r="K34" s="33" t="n">
        <f aca="false">K33*$D$5+L33*$D$6+M33*$D$7</f>
        <v>0</v>
      </c>
      <c r="L34" s="33" t="n">
        <f aca="false">L33*$D$5+M33*$D$6</f>
        <v>0</v>
      </c>
      <c r="M34" s="33" t="n">
        <f aca="false">M33*$D$5</f>
        <v>0</v>
      </c>
    </row>
    <row r="35" customFormat="false" ht="17.15" hidden="false" customHeight="false" outlineLevel="0" collapsed="false">
      <c r="A35" s="5" t="s">
        <v>1988</v>
      </c>
      <c r="C35" s="0" t="s">
        <v>395</v>
      </c>
      <c r="D35" s="33" t="n">
        <f aca="false">D32+D34</f>
        <v>6.50340460230194</v>
      </c>
      <c r="E35" s="33" t="n">
        <f aca="false">E32+E34</f>
        <v>8.96958779380194</v>
      </c>
      <c r="F35" s="33" t="n">
        <f aca="false">F32+F34</f>
        <v>37.4456928089967</v>
      </c>
      <c r="G35" s="33" t="n">
        <f aca="false">G32+G34</f>
        <v>23.7712997658304</v>
      </c>
      <c r="H35" s="33" t="n">
        <f aca="false">H32+H34</f>
        <v>18.6485229643605</v>
      </c>
      <c r="I35" s="33" t="n">
        <f aca="false">I32+I34</f>
        <v>50.8684185303381</v>
      </c>
      <c r="J35" s="33" t="n">
        <f aca="false">J32+J34</f>
        <v>1.79808103127464</v>
      </c>
      <c r="K35" s="33" t="n">
        <f aca="false">K32+K34</f>
        <v>0</v>
      </c>
      <c r="L35" s="33" t="n">
        <f aca="false">L32+L34</f>
        <v>0</v>
      </c>
      <c r="M35" s="33" t="n">
        <f aca="false">M32+M34</f>
        <v>0</v>
      </c>
    </row>
    <row r="36" customFormat="false" ht="17.15" hidden="false" customHeight="false" outlineLevel="0" collapsed="false">
      <c r="A36" s="5" t="s">
        <v>1989</v>
      </c>
      <c r="C36" s="0" t="s">
        <v>395</v>
      </c>
      <c r="D36" s="33" t="n">
        <f aca="false">D35*fye_amzn/12+N(In!H142)</f>
        <v>6.50340460230194</v>
      </c>
      <c r="E36" s="33" t="n">
        <f aca="false">E35*fye_amzn/12+D35*(12-fye_amzn)/12+N(In!I142)</f>
        <v>8.96958779380194</v>
      </c>
      <c r="F36" s="33" t="n">
        <f aca="false">F35*fye_amzn/12+E35*(12-fye_amzn)/12+N(In!J142)</f>
        <v>37.4456928089967</v>
      </c>
      <c r="G36" s="33" t="n">
        <f aca="false">G35*fye_amzn/12+F35*(12-fye_amzn)/12+N(In!K142)</f>
        <v>23.7712997658304</v>
      </c>
      <c r="H36" s="33" t="n">
        <f aca="false">H35*fye_amzn/12+G35*(12-fye_amzn)/12+N(In!L142)</f>
        <v>18.6485229643605</v>
      </c>
      <c r="I36" s="33" t="n">
        <f aca="false">I35*fye_amzn/12+H35*(12-fye_amzn)/12+N(In!M142)</f>
        <v>50.8684185303381</v>
      </c>
      <c r="J36" s="33" t="n">
        <f aca="false">J35*fye_amzn/12+I35*(12-fye_amzn)/12+N(In!N142)</f>
        <v>1.79808103127464</v>
      </c>
      <c r="K36" s="33" t="n">
        <f aca="false">K35*fye_amzn/12+J35*(12-fye_amzn)/12+N(In!O142)</f>
        <v>0</v>
      </c>
      <c r="L36" s="33" t="n">
        <f aca="false">L35*fye_amzn/12+K35*(12-fye_amzn)/12+N(In!P142)</f>
        <v>0</v>
      </c>
      <c r="M36" s="33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1990</v>
      </c>
      <c r="C37" s="0" t="s">
        <v>395</v>
      </c>
      <c r="D37" s="20" t="str">
        <f aca="false">IF(In!H126="","",In!H126)</f>
        <v/>
      </c>
      <c r="E37" s="20" t="str">
        <f aca="false">IF(In!I126="","",In!I126)</f>
        <v/>
      </c>
      <c r="F37" s="31" t="n">
        <f aca="false">IF(In!J126="","",In!J126)</f>
        <v>128.32</v>
      </c>
      <c r="G37" s="31" t="n">
        <f aca="false">IF(In!K126="","",In!K126)</f>
        <v>220</v>
      </c>
      <c r="H37" s="31" t="n">
        <f aca="false">IF(In!L126="","",In!L126)</f>
        <v>275.063</v>
      </c>
      <c r="I37" s="31" t="n">
        <f aca="false">IF(In!M126="","",In!M126)</f>
        <v>292.927</v>
      </c>
      <c r="J37" s="20" t="str">
        <f aca="false">IF(In!N126="","",In!N126)</f>
        <v/>
      </c>
      <c r="K37" s="20" t="str">
        <f aca="false">IF(In!O126="","",In!O126)</f>
        <v/>
      </c>
      <c r="L37" s="20" t="str">
        <f aca="false">IF(In!P126="","",In!P126)</f>
        <v/>
      </c>
      <c r="M37" s="20" t="str">
        <f aca="false">IF(In!Q126="","",In!Q126)</f>
        <v/>
      </c>
    </row>
    <row r="38" customFormat="false" ht="17.15" hidden="false" customHeight="false" outlineLevel="0" collapsed="false">
      <c r="A38" s="5" t="s">
        <v>1991</v>
      </c>
      <c r="C38" s="0" t="s">
        <v>41</v>
      </c>
      <c r="D38" s="30" t="str">
        <f aca="false">IF(OR(D37="",N(D37)=0),"",D36/D37)</f>
        <v/>
      </c>
      <c r="E38" s="30" t="str">
        <f aca="false">IF(OR(E37="",N(E37)=0),"",E36/E37)</f>
        <v/>
      </c>
      <c r="F38" s="30" t="n">
        <f aca="false">IF(OR(F37="",N(F37)=0),"",F36/F37)</f>
        <v>0.291814937725972</v>
      </c>
      <c r="G38" s="30" t="n">
        <f aca="false">IF(OR(G37="",N(G37)=0),"",G36/G37)</f>
        <v>0.108051362571956</v>
      </c>
      <c r="H38" s="30" t="n">
        <f aca="false">IF(OR(H37="",N(H37)=0),"",H36/H37)</f>
        <v>0.0677972790392036</v>
      </c>
      <c r="I38" s="30" t="n">
        <f aca="false">IF(OR(I37="",N(I37)=0),"",I36/I37)</f>
        <v>0.173655615666491</v>
      </c>
      <c r="J38" s="30" t="str">
        <f aca="false">IF(OR(J37="",N(J37)=0),"",J36/J37)</f>
        <v/>
      </c>
      <c r="K38" s="30" t="str">
        <f aca="false">IF(OR(K37="",N(K37)=0),"",K36/K37)</f>
        <v/>
      </c>
      <c r="L38" s="30" t="str">
        <f aca="false">IF(OR(L37="",N(L37)=0),"",L36/L37)</f>
        <v/>
      </c>
      <c r="M38" s="30" t="str">
        <f aca="false">IF(OR(M37="",N(M37)=0),"",M36/M37)</f>
        <v/>
      </c>
    </row>
    <row r="39" customFormat="false" ht="15" hidden="false" customHeight="false" outlineLevel="0" collapsed="false">
      <c r="A39" s="5" t="s">
        <v>1992</v>
      </c>
      <c r="C39" s="0" t="s">
        <v>40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1429</v>
      </c>
      <c r="B41" s="21" t="s">
        <v>748</v>
      </c>
      <c r="N41" s="21" t="s">
        <v>1995</v>
      </c>
    </row>
    <row r="42" customFormat="false" ht="17.15" hidden="false" customHeight="false" outlineLevel="0" collapsed="false">
      <c r="A42" s="5" t="s">
        <v>1985</v>
      </c>
      <c r="C42" s="0" t="s">
        <v>395</v>
      </c>
      <c r="D42" s="33" t="n">
        <f aca="false">Players!D93*((1-Players!D95)*D$8+Players!D95*TK_NonNV_Hold_AMD*TK_CapexIT_VR200)</f>
        <v>0</v>
      </c>
      <c r="E42" s="33" t="n">
        <f aca="false">Players!E93*((1-Players!E95)*E$8+Players!E95*TK_NonNV_Hold_AMD*TK_CapexIT_VR200)</f>
        <v>0</v>
      </c>
      <c r="F42" s="33" t="n">
        <f aca="false">Players!F93*((1-Players!F95)*F$8+Players!F95*TK_NonNV_Hold_AMD*TK_CapexIT_VR200)</f>
        <v>41.3585195806367</v>
      </c>
      <c r="G42" s="33" t="n">
        <f aca="false">Players!G93*((1-Players!G95)*G$8+Players!G95*TK_NonNV_Hold_AMD*TK_CapexIT_VR200)</f>
        <v>22.3518748566836</v>
      </c>
      <c r="H42" s="33" t="n">
        <f aca="false">Players!H93*((1-Players!H95)*H$8+Players!H95*TK_NonNV_Hold_AMD*TK_CapexIT_VR200)</f>
        <v>22.5057558284397</v>
      </c>
      <c r="I42" s="33" t="n">
        <f aca="false">Players!I93*((1-Players!I95)*I$8+Players!I95*TK_NonNV_Hold_AMD*TK_CapexIT_VR200)</f>
        <v>116.187421349871</v>
      </c>
      <c r="J42" s="33" t="n">
        <f aca="false">Players!J93*((1-Players!J95)*J$8+Players!J95*TK_NonNV_Hold_AMD*TK_CapexIT_VR200)</f>
        <v>37.5374456656022</v>
      </c>
      <c r="K42" s="33" t="n">
        <f aca="false">Players!K93*((1-Players!K95)*K$8+Players!K95*TK_NonNV_Hold_AMD*TK_CapexIT_VR200)</f>
        <v>0</v>
      </c>
      <c r="L42" s="33" t="n">
        <f aca="false">Players!L93*((1-Players!L95)*L$8+Players!L95*TK_NonNV_Hold_AMD*TK_CapexIT_VR200)</f>
        <v>0</v>
      </c>
      <c r="M42" s="33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1986</v>
      </c>
      <c r="C43" s="0" t="s">
        <v>395</v>
      </c>
      <c r="D43" s="33" t="n">
        <f aca="false">Players!D93*((1-Players!D95)*D$9+Players!D95*TK_NonNV_Hold_AMD*TK_CapexFacility_VR200)</f>
        <v>0</v>
      </c>
      <c r="E43" s="33" t="n">
        <f aca="false">Players!E93*((1-Players!E95)*E$9+Players!E95*TK_NonNV_Hold_AMD*TK_CapexFacility_VR200)</f>
        <v>0</v>
      </c>
      <c r="F43" s="33" t="n">
        <f aca="false">Players!F93*((1-Players!F95)*F$9+Players!F95*TK_NonNV_Hold_AMD*TK_CapexFacility_VR200)</f>
        <v>18.4251269789571</v>
      </c>
      <c r="G43" s="33" t="n">
        <f aca="false">Players!G93*((1-Players!G95)*G$9+Players!G95*TK_NonNV_Hold_AMD*TK_CapexFacility_VR200)</f>
        <v>8.25888247472016</v>
      </c>
      <c r="H43" s="33" t="n">
        <f aca="false">Players!H93*((1-Players!H95)*H$9+Players!H95*TK_NonNV_Hold_AMD*TK_CapexFacility_VR200)</f>
        <v>7.47284649519277</v>
      </c>
      <c r="I43" s="33" t="n">
        <f aca="false">Players!I93*((1-Players!I95)*I$9+Players!I95*TK_NonNV_Hold_AMD*TK_CapexFacility_VR200)</f>
        <v>36.4038606309598</v>
      </c>
      <c r="J43" s="33" t="n">
        <f aca="false">Players!J93*((1-Players!J95)*J$9+Players!J95*TK_NonNV_Hold_AMD*TK_CapexFacility_VR200)</f>
        <v>11.7638209939409</v>
      </c>
      <c r="K43" s="33" t="n">
        <f aca="false">Players!K93*((1-Players!K95)*K$9+Players!K95*TK_NonNV_Hold_AMD*TK_CapexFacility_VR200)</f>
        <v>0</v>
      </c>
      <c r="L43" s="33" t="n">
        <f aca="false">Players!L93*((1-Players!L95)*L$9+Players!L95*TK_NonNV_Hold_AMD*TK_CapexFacility_VR200)</f>
        <v>0</v>
      </c>
      <c r="M43" s="33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1987</v>
      </c>
      <c r="C44" s="0" t="s">
        <v>395</v>
      </c>
      <c r="D44" s="33" t="n">
        <f aca="false">D43*$D$5+E43*$D$6+F43*$D$7</f>
        <v>9.21256348947853</v>
      </c>
      <c r="E44" s="33" t="n">
        <f aca="false">E43*$D$5+F43*$D$6+G43*$D$7</f>
        <v>13.3420047268386</v>
      </c>
      <c r="F44" s="33" t="n">
        <f aca="false">F43*$D$5+G43*$D$6+H43*$D$7</f>
        <v>7.86586448495646</v>
      </c>
      <c r="G44" s="33" t="n">
        <f aca="false">G43*$D$5+H43*$D$6+I43*$D$7</f>
        <v>21.9383535630763</v>
      </c>
      <c r="H44" s="33" t="n">
        <f aca="false">H43*$D$5+I43*$D$6+J43*$D$7</f>
        <v>24.0838408124504</v>
      </c>
      <c r="I44" s="33" t="n">
        <f aca="false">I43*$D$5+J43*$D$6+K43*$D$7</f>
        <v>5.88191049697047</v>
      </c>
      <c r="J44" s="33" t="n">
        <f aca="false">J43*$D$5+K43*$D$6+L43*$D$7</f>
        <v>0</v>
      </c>
      <c r="K44" s="33" t="n">
        <f aca="false">K43*$D$5+L43*$D$6+M43*$D$7</f>
        <v>0</v>
      </c>
      <c r="L44" s="33" t="n">
        <f aca="false">L43*$D$5+M43*$D$6</f>
        <v>0</v>
      </c>
      <c r="M44" s="33" t="n">
        <f aca="false">M43*$D$5</f>
        <v>0</v>
      </c>
    </row>
    <row r="45" customFormat="false" ht="17.15" hidden="false" customHeight="false" outlineLevel="0" collapsed="false">
      <c r="A45" s="5" t="s">
        <v>1988</v>
      </c>
      <c r="C45" s="0" t="s">
        <v>395</v>
      </c>
      <c r="D45" s="33" t="n">
        <f aca="false">D42+D44</f>
        <v>9.21256348947853</v>
      </c>
      <c r="E45" s="33" t="n">
        <f aca="false">E42+E44</f>
        <v>13.3420047268386</v>
      </c>
      <c r="F45" s="33" t="n">
        <f aca="false">F42+F44</f>
        <v>49.2243840655931</v>
      </c>
      <c r="G45" s="33" t="n">
        <f aca="false">G42+G44</f>
        <v>44.2902284197598</v>
      </c>
      <c r="H45" s="33" t="n">
        <f aca="false">H42+H44</f>
        <v>46.58959664089</v>
      </c>
      <c r="I45" s="33" t="n">
        <f aca="false">I42+I44</f>
        <v>122.069331846841</v>
      </c>
      <c r="J45" s="33" t="n">
        <f aca="false">J42+J44</f>
        <v>37.5374456656022</v>
      </c>
      <c r="K45" s="33" t="n">
        <f aca="false">K42+K44</f>
        <v>0</v>
      </c>
      <c r="L45" s="33" t="n">
        <f aca="false">L42+L44</f>
        <v>0</v>
      </c>
      <c r="M45" s="33" t="n">
        <f aca="false">M42+M44</f>
        <v>0</v>
      </c>
    </row>
    <row r="46" customFormat="false" ht="17.15" hidden="false" customHeight="false" outlineLevel="0" collapsed="false">
      <c r="A46" s="5" t="s">
        <v>1989</v>
      </c>
      <c r="C46" s="0" t="s">
        <v>395</v>
      </c>
      <c r="D46" s="33" t="n">
        <f aca="false">D45*fye_meta/12+N(In!H143)</f>
        <v>9.21256348947853</v>
      </c>
      <c r="E46" s="33" t="n">
        <f aca="false">E45*fye_meta/12+D45*(12-fye_meta)/12+N(In!I143)</f>
        <v>13.3420047268386</v>
      </c>
      <c r="F46" s="33" t="n">
        <f aca="false">F45*fye_meta/12+E45*(12-fye_meta)/12+N(In!J143)</f>
        <v>49.2243840655931</v>
      </c>
      <c r="G46" s="33" t="n">
        <f aca="false">G45*fye_meta/12+F45*(12-fye_meta)/12+N(In!K143)</f>
        <v>44.2902284197598</v>
      </c>
      <c r="H46" s="33" t="n">
        <f aca="false">H45*fye_meta/12+G45*(12-fye_meta)/12+N(In!L143)</f>
        <v>46.58959664089</v>
      </c>
      <c r="I46" s="33" t="n">
        <f aca="false">I45*fye_meta/12+H45*(12-fye_meta)/12+N(In!M143)</f>
        <v>122.069331846841</v>
      </c>
      <c r="J46" s="33" t="n">
        <f aca="false">J45*fye_meta/12+I45*(12-fye_meta)/12+N(In!N143)</f>
        <v>37.5374456656022</v>
      </c>
      <c r="K46" s="33" t="n">
        <f aca="false">K45*fye_meta/12+J45*(12-fye_meta)/12+N(In!O143)</f>
        <v>0</v>
      </c>
      <c r="L46" s="33" t="n">
        <f aca="false">L45*fye_meta/12+K45*(12-fye_meta)/12+N(In!P143)</f>
        <v>0</v>
      </c>
      <c r="M46" s="33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1990</v>
      </c>
      <c r="C47" s="0" t="s">
        <v>395</v>
      </c>
      <c r="D47" s="20" t="str">
        <f aca="false">IF(In!H127="","",In!H127)</f>
        <v/>
      </c>
      <c r="E47" s="20" t="str">
        <f aca="false">IF(In!I127="","",In!I127)</f>
        <v/>
      </c>
      <c r="F47" s="20" t="str">
        <f aca="false">IF(In!J127="","",In!J127)</f>
        <v/>
      </c>
      <c r="G47" s="31" t="n">
        <f aca="false">IF(In!K127="","",In!K127)</f>
        <v>140</v>
      </c>
      <c r="H47" s="20" t="str">
        <f aca="false">IF(In!L127="","",In!L127)</f>
        <v/>
      </c>
      <c r="I47" s="20" t="str">
        <f aca="false">IF(In!M127="","",In!M127)</f>
        <v/>
      </c>
      <c r="J47" s="20" t="str">
        <f aca="false">IF(In!N127="","",In!N127)</f>
        <v/>
      </c>
      <c r="K47" s="20" t="str">
        <f aca="false">IF(In!O127="","",In!O127)</f>
        <v/>
      </c>
      <c r="L47" s="20" t="str">
        <f aca="false">IF(In!P127="","",In!P127)</f>
        <v/>
      </c>
      <c r="M47" s="20" t="str">
        <f aca="false">IF(In!Q127="","",In!Q127)</f>
        <v/>
      </c>
    </row>
    <row r="48" customFormat="false" ht="17.15" hidden="false" customHeight="false" outlineLevel="0" collapsed="false">
      <c r="A48" s="5" t="s">
        <v>1991</v>
      </c>
      <c r="C48" s="0" t="s">
        <v>41</v>
      </c>
      <c r="D48" s="30" t="str">
        <f aca="false">IF(OR(D47="",N(D47)=0),"",D46/D47)</f>
        <v/>
      </c>
      <c r="E48" s="30" t="str">
        <f aca="false">IF(OR(E47="",N(E47)=0),"",E46/E47)</f>
        <v/>
      </c>
      <c r="F48" s="30" t="str">
        <f aca="false">IF(OR(F47="",N(F47)=0),"",F46/F47)</f>
        <v/>
      </c>
      <c r="G48" s="30" t="n">
        <f aca="false">IF(OR(G47="",N(G47)=0),"",G46/G47)</f>
        <v>0.316358774426856</v>
      </c>
      <c r="H48" s="30" t="str">
        <f aca="false">IF(OR(H47="",N(H47)=0),"",H46/H47)</f>
        <v/>
      </c>
      <c r="I48" s="30" t="str">
        <f aca="false">IF(OR(I47="",N(I47)=0),"",I46/I47)</f>
        <v/>
      </c>
      <c r="J48" s="30" t="str">
        <f aca="false">IF(OR(J47="",N(J47)=0),"",J46/J47)</f>
        <v/>
      </c>
      <c r="K48" s="30" t="str">
        <f aca="false">IF(OR(K47="",N(K47)=0),"",K46/K47)</f>
        <v/>
      </c>
      <c r="L48" s="30" t="str">
        <f aca="false">IF(OR(L47="",N(L47)=0),"",L46/L47)</f>
        <v/>
      </c>
      <c r="M48" s="30" t="str">
        <f aca="false">IF(OR(M47="",N(M47)=0),"",M46/M47)</f>
        <v/>
      </c>
    </row>
    <row r="49" customFormat="false" ht="15" hidden="false" customHeight="false" outlineLevel="0" collapsed="false">
      <c r="A49" s="5" t="s">
        <v>1992</v>
      </c>
      <c r="C49" s="0" t="s">
        <v>40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1448</v>
      </c>
      <c r="B51" s="21" t="s">
        <v>752</v>
      </c>
      <c r="N51" s="21" t="s">
        <v>1996</v>
      </c>
    </row>
    <row r="52" customFormat="false" ht="17.15" hidden="false" customHeight="false" outlineLevel="0" collapsed="false">
      <c r="A52" s="5" t="s">
        <v>1985</v>
      </c>
      <c r="C52" s="0" t="s">
        <v>395</v>
      </c>
      <c r="D52" s="33" t="n">
        <f aca="false">Players!D112*((1-Players!D114)*D$8+Players!D114*TK_NonNV_Hold_AMD*TK_CapexIT_VR200)</f>
        <v>0</v>
      </c>
      <c r="E52" s="33" t="n">
        <f aca="false">Players!E112*((1-Players!E114)*E$8+Players!E114*TK_NonNV_Hold_AMD*TK_CapexIT_VR200)</f>
        <v>0</v>
      </c>
      <c r="F52" s="33" t="n">
        <f aca="false">Players!F112*((1-Players!F114)*F$8+Players!F114*TK_NonNV_Hold_AMD*TK_CapexIT_VR200)</f>
        <v>22.3890023195964</v>
      </c>
      <c r="G52" s="33" t="n">
        <f aca="false">Players!G112*((1-Players!G114)*G$8+Players!G114*TK_NonNV_Hold_AMD*TK_CapexIT_VR200)</f>
        <v>51.1226394558641</v>
      </c>
      <c r="H52" s="33" t="n">
        <f aca="false">Players!H112*((1-Players!H114)*H$8+Players!H114*TK_NonNV_Hold_AMD*TK_CapexIT_VR200)</f>
        <v>34.5515194493525</v>
      </c>
      <c r="I52" s="33" t="n">
        <f aca="false">Players!I112*((1-Players!I114)*I$8+Players!I114*TK_NonNV_Hold_AMD*TK_CapexIT_VR200)</f>
        <v>190.584621350367</v>
      </c>
      <c r="J52" s="33" t="n">
        <f aca="false">Players!J112*((1-Players!J114)*J$8+Players!J114*TK_NonNV_Hold_AMD*TK_CapexIT_VR200)</f>
        <v>0</v>
      </c>
      <c r="K52" s="33" t="n">
        <f aca="false">Players!K112*((1-Players!K114)*K$8+Players!K114*TK_NonNV_Hold_AMD*TK_CapexIT_VR200)</f>
        <v>0</v>
      </c>
      <c r="L52" s="33" t="n">
        <f aca="false">Players!L112*((1-Players!L114)*L$8+Players!L114*TK_NonNV_Hold_AMD*TK_CapexIT_VR200)</f>
        <v>0</v>
      </c>
      <c r="M52" s="33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1986</v>
      </c>
      <c r="C53" s="0" t="s">
        <v>395</v>
      </c>
      <c r="D53" s="33" t="n">
        <f aca="false">Players!D112*((1-Players!D114)*D$9+Players!D114*TK_NonNV_Hold_AMD*TK_CapexFacility_VR200)</f>
        <v>0</v>
      </c>
      <c r="E53" s="33" t="n">
        <f aca="false">Players!E112*((1-Players!E114)*E$9+Players!E114*TK_NonNV_Hold_AMD*TK_CapexFacility_VR200)</f>
        <v>0</v>
      </c>
      <c r="F53" s="33" t="n">
        <f aca="false">Players!F112*((1-Players!F114)*F$9+Players!F114*TK_NonNV_Hold_AMD*TK_CapexFacility_VR200)</f>
        <v>9.97424992126318</v>
      </c>
      <c r="G53" s="33" t="n">
        <f aca="false">Players!G112*((1-Players!G114)*G$9+Players!G114*TK_NonNV_Hold_AMD*TK_CapexFacility_VR200)</f>
        <v>18.8895058589335</v>
      </c>
      <c r="H53" s="33" t="n">
        <f aca="false">Players!H112*((1-Players!H114)*H$9+Players!H114*TK_NonNV_Hold_AMD*TK_CapexFacility_VR200)</f>
        <v>11.4725407575249</v>
      </c>
      <c r="I53" s="33" t="n">
        <f aca="false">Players!I112*((1-Players!I114)*I$9+Players!I114*TK_NonNV_Hold_AMD*TK_CapexFacility_VR200)</f>
        <v>59.7140027159293</v>
      </c>
      <c r="J53" s="33" t="n">
        <f aca="false">Players!J112*((1-Players!J114)*J$9+Players!J114*TK_NonNV_Hold_AMD*TK_CapexFacility_VR200)</f>
        <v>0</v>
      </c>
      <c r="K53" s="33" t="n">
        <f aca="false">Players!K112*((1-Players!K114)*K$9+Players!K114*TK_NonNV_Hold_AMD*TK_CapexFacility_VR200)</f>
        <v>0</v>
      </c>
      <c r="L53" s="33" t="n">
        <f aca="false">Players!L112*((1-Players!L114)*L$9+Players!L114*TK_NonNV_Hold_AMD*TK_CapexFacility_VR200)</f>
        <v>0</v>
      </c>
      <c r="M53" s="33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1987</v>
      </c>
      <c r="C54" s="0" t="s">
        <v>395</v>
      </c>
      <c r="D54" s="33" t="n">
        <f aca="false">D53*$D$5+E53*$D$6+F53*$D$7</f>
        <v>4.98712496063159</v>
      </c>
      <c r="E54" s="33" t="n">
        <f aca="false">E53*$D$5+F53*$D$6+G53*$D$7</f>
        <v>14.4318778900984</v>
      </c>
      <c r="F54" s="33" t="n">
        <f aca="false">F53*$D$5+G53*$D$6+H53*$D$7</f>
        <v>15.1810233082292</v>
      </c>
      <c r="G54" s="33" t="n">
        <f aca="false">G53*$D$5+H53*$D$6+I53*$D$7</f>
        <v>35.5932717367271</v>
      </c>
      <c r="H54" s="33" t="n">
        <f aca="false">H53*$D$5+I53*$D$6+J53*$D$7</f>
        <v>29.8570013579646</v>
      </c>
      <c r="I54" s="33" t="n">
        <f aca="false">I53*$D$5+J53*$D$6+K53*$D$7</f>
        <v>0</v>
      </c>
      <c r="J54" s="33" t="n">
        <f aca="false">J53*$D$5+K53*$D$6+L53*$D$7</f>
        <v>0</v>
      </c>
      <c r="K54" s="33" t="n">
        <f aca="false">K53*$D$5+L53*$D$6+M53*$D$7</f>
        <v>0</v>
      </c>
      <c r="L54" s="33" t="n">
        <f aca="false">L53*$D$5+M53*$D$6</f>
        <v>0</v>
      </c>
      <c r="M54" s="33" t="n">
        <f aca="false">M53*$D$5</f>
        <v>0</v>
      </c>
    </row>
    <row r="55" customFormat="false" ht="17.15" hidden="false" customHeight="false" outlineLevel="0" collapsed="false">
      <c r="A55" s="5" t="s">
        <v>1988</v>
      </c>
      <c r="C55" s="0" t="s">
        <v>395</v>
      </c>
      <c r="D55" s="33" t="n">
        <f aca="false">D52+D54</f>
        <v>4.98712496063159</v>
      </c>
      <c r="E55" s="33" t="n">
        <f aca="false">E52+E54</f>
        <v>14.4318778900984</v>
      </c>
      <c r="F55" s="33" t="n">
        <f aca="false">F52+F54</f>
        <v>37.5700256278256</v>
      </c>
      <c r="G55" s="33" t="n">
        <f aca="false">G52+G54</f>
        <v>86.7159111925912</v>
      </c>
      <c r="H55" s="33" t="n">
        <f aca="false">H52+H54</f>
        <v>64.4085208073171</v>
      </c>
      <c r="I55" s="33" t="n">
        <f aca="false">I52+I54</f>
        <v>190.584621350367</v>
      </c>
      <c r="J55" s="33" t="n">
        <f aca="false">J52+J54</f>
        <v>0</v>
      </c>
      <c r="K55" s="33" t="n">
        <f aca="false">K52+K54</f>
        <v>0</v>
      </c>
      <c r="L55" s="33" t="n">
        <f aca="false">L52+L54</f>
        <v>0</v>
      </c>
      <c r="M55" s="33" t="n">
        <f aca="false">M52+M54</f>
        <v>0</v>
      </c>
    </row>
    <row r="56" customFormat="false" ht="17.15" hidden="false" customHeight="false" outlineLevel="0" collapsed="false">
      <c r="A56" s="5" t="s">
        <v>1989</v>
      </c>
      <c r="C56" s="0" t="s">
        <v>395</v>
      </c>
      <c r="D56" s="33" t="n">
        <f aca="false">D55*fye_orcl/12+N(In!H144)</f>
        <v>2.0779687335965</v>
      </c>
      <c r="E56" s="33" t="n">
        <f aca="false">E55*fye_orcl/12+D55*(12-fye_orcl)/12+N(In!I144)</f>
        <v>8.92243868124275</v>
      </c>
      <c r="F56" s="33" t="n">
        <f aca="false">F55*fye_orcl/12+E55*(12-fye_orcl)/12+N(In!J144)</f>
        <v>24.0727727808181</v>
      </c>
      <c r="G56" s="33" t="n">
        <f aca="false">G55*fye_orcl/12+F55*(12-fye_orcl)/12+N(In!K144)</f>
        <v>58.047477946478</v>
      </c>
      <c r="H56" s="33" t="n">
        <f aca="false">H55*fye_orcl/12+G55*(12-fye_orcl)/12+N(In!L144)</f>
        <v>77.421165198727</v>
      </c>
      <c r="I56" s="33" t="n">
        <f aca="false">I55*fye_orcl/12+H55*(12-fye_orcl)/12+N(In!M144)</f>
        <v>116.981896033588</v>
      </c>
      <c r="J56" s="33" t="n">
        <f aca="false">J55*fye_orcl/12+I55*(12-fye_orcl)/12+N(In!N144)</f>
        <v>111.174362454381</v>
      </c>
      <c r="K56" s="33" t="n">
        <f aca="false">K55*fye_orcl/12+J55*(12-fye_orcl)/12+N(In!O144)</f>
        <v>0</v>
      </c>
      <c r="L56" s="33" t="n">
        <f aca="false">L55*fye_orcl/12+K55*(12-fye_orcl)/12+N(In!P144)</f>
        <v>0</v>
      </c>
      <c r="M56" s="33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1990</v>
      </c>
      <c r="C57" s="0" t="s">
        <v>395</v>
      </c>
      <c r="D57" s="20" t="str">
        <f aca="false">IF(In!H128="","",In!H128)</f>
        <v/>
      </c>
      <c r="E57" s="20" t="str">
        <f aca="false">IF(In!I128="","",In!I128)</f>
        <v/>
      </c>
      <c r="F57" s="31" t="n">
        <f aca="false">IF(In!J128="","",In!J128)</f>
        <v>21.215</v>
      </c>
      <c r="G57" s="31" t="n">
        <f aca="false">IF(In!K128="","",In!K128)</f>
        <v>55.663</v>
      </c>
      <c r="H57" s="31" t="n">
        <f aca="false">IF(In!L128="","",In!L128)</f>
        <v>92.5</v>
      </c>
      <c r="I57" s="31" t="n">
        <f aca="false">IF(In!M128="","",In!M128)</f>
        <v>100.962</v>
      </c>
      <c r="J57" s="31" t="n">
        <f aca="false">IF(In!N128="","",In!N128)</f>
        <v>84.848</v>
      </c>
      <c r="K57" s="20" t="str">
        <f aca="false">IF(In!O128="","",In!O128)</f>
        <v/>
      </c>
      <c r="L57" s="20" t="str">
        <f aca="false">IF(In!P128="","",In!P128)</f>
        <v/>
      </c>
      <c r="M57" s="20" t="str">
        <f aca="false">IF(In!Q128="","",In!Q128)</f>
        <v/>
      </c>
    </row>
    <row r="58" customFormat="false" ht="17.15" hidden="false" customHeight="false" outlineLevel="0" collapsed="false">
      <c r="A58" s="5" t="s">
        <v>1991</v>
      </c>
      <c r="C58" s="0" t="s">
        <v>41</v>
      </c>
      <c r="D58" s="30" t="str">
        <f aca="false">IF(OR(D57="",N(D57)=0),"",D56/D57)</f>
        <v/>
      </c>
      <c r="E58" s="30" t="str">
        <f aca="false">IF(OR(E57="",N(E57)=0),"",E56/E57)</f>
        <v/>
      </c>
      <c r="F58" s="30" t="n">
        <f aca="false">IF(OR(F57="",N(F57)=0),"",F56/F57)</f>
        <v>1.1347052925203</v>
      </c>
      <c r="G58" s="30" t="n">
        <f aca="false">IF(OR(G57="",N(G57)=0),"",G56/G57)</f>
        <v>1.04283775481878</v>
      </c>
      <c r="H58" s="30" t="n">
        <f aca="false">IF(OR(H57="",N(H57)=0),"",H56/H57)</f>
        <v>0.836985569715968</v>
      </c>
      <c r="I58" s="30" t="n">
        <f aca="false">IF(OR(I57="",N(I57)=0),"",I56/I57)</f>
        <v>1.15867253059159</v>
      </c>
      <c r="J58" s="30" t="n">
        <f aca="false">IF(OR(J57="",N(J57)=0),"",J56/J57)</f>
        <v>1.31027675907954</v>
      </c>
      <c r="K58" s="30" t="str">
        <f aca="false">IF(OR(K57="",N(K57)=0),"",K56/K57)</f>
        <v/>
      </c>
      <c r="L58" s="30" t="str">
        <f aca="false">IF(OR(L57="",N(L57)=0),"",L56/L57)</f>
        <v/>
      </c>
      <c r="M58" s="30" t="str">
        <f aca="false">IF(OR(M57="",N(M57)=0),"",M56/M57)</f>
        <v/>
      </c>
    </row>
    <row r="59" customFormat="false" ht="15" hidden="false" customHeight="false" outlineLevel="0" collapsed="false">
      <c r="A59" s="5" t="s">
        <v>1992</v>
      </c>
      <c r="C59" s="0" t="s">
        <v>40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1467</v>
      </c>
      <c r="B61" s="21" t="s">
        <v>842</v>
      </c>
      <c r="N61" s="5" t="s">
        <v>1997</v>
      </c>
    </row>
    <row r="62" customFormat="false" ht="17.15" hidden="false" customHeight="false" outlineLevel="0" collapsed="false">
      <c r="A62" s="5" t="s">
        <v>1985</v>
      </c>
      <c r="C62" s="0" t="s">
        <v>395</v>
      </c>
      <c r="D62" s="33" t="n">
        <f aca="false">Players!D131*((1-Players!D133)*D$8+Players!D133*TK_NonNV_Hold_AMD*TK_CapexIT_VR200)</f>
        <v>0</v>
      </c>
      <c r="E62" s="33" t="n">
        <f aca="false">Players!E131*((1-Players!E133)*E$8+Players!E133*TK_NonNV_Hold_AMD*TK_CapexIT_VR200)</f>
        <v>7.97796206</v>
      </c>
      <c r="F62" s="33" t="n">
        <f aca="false">Players!F131*((1-Players!F133)*F$8+Players!F133*TK_NonNV_Hold_AMD*TK_CapexIT_VR200)</f>
        <v>12.74445312</v>
      </c>
      <c r="G62" s="33" t="n">
        <f aca="false">Players!G131*((1-Players!G133)*G$8+Players!G133*TK_NonNV_Hold_AMD*TK_CapexIT_VR200)</f>
        <v>33.41403216</v>
      </c>
      <c r="H62" s="33" t="n">
        <f aca="false">Players!H131*((1-Players!H133)*H$8+Players!H133*TK_NonNV_Hold_AMD*TK_CapexIT_VR200)</f>
        <v>58.9483485990641</v>
      </c>
      <c r="I62" s="33" t="n">
        <f aca="false">Players!I131*((1-Players!I133)*I$8+Players!I133*TK_NonNV_Hold_AMD*TK_CapexIT_VR200)</f>
        <v>63.5489046181072</v>
      </c>
      <c r="J62" s="33" t="n">
        <f aca="false">Players!J131*((1-Players!J133)*J$8+Players!J133*TK_NonNV_Hold_AMD*TK_CapexIT_VR200)</f>
        <v>63.5489046181072</v>
      </c>
      <c r="K62" s="33" t="n">
        <f aca="false">Players!K131*((1-Players!K133)*K$8+Players!K133*TK_NonNV_Hold_AMD*TK_CapexIT_VR200)</f>
        <v>63.5489046181072</v>
      </c>
      <c r="L62" s="33" t="n">
        <f aca="false">Players!L131*((1-Players!L133)*L$8+Players!L133*TK_NonNV_Hold_AMD*TK_CapexIT_VR200)</f>
        <v>0</v>
      </c>
      <c r="M62" s="33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1986</v>
      </c>
      <c r="C63" s="0" t="s">
        <v>395</v>
      </c>
      <c r="D63" s="33" t="n">
        <f aca="false">Players!D131*((1-Players!D133)*D$9+Players!D133*TK_NonNV_Hold_AMD*TK_CapexFacility_VR200)</f>
        <v>0</v>
      </c>
      <c r="E63" s="33" t="n">
        <f aca="false">Players!E131*((1-Players!E133)*E$9+Players!E133*TK_NonNV_Hold_AMD*TK_CapexFacility_VR200)</f>
        <v>3.6743</v>
      </c>
      <c r="F63" s="33" t="n">
        <f aca="false">Players!F131*((1-Players!F133)*F$9+Players!F133*TK_NonNV_Hold_AMD*TK_CapexFacility_VR200)</f>
        <v>6.2083</v>
      </c>
      <c r="G63" s="33" t="n">
        <f aca="false">Players!G131*((1-Players!G133)*G$9+Players!G133*TK_NonNV_Hold_AMD*TK_CapexFacility_VR200)</f>
        <v>12.67</v>
      </c>
      <c r="H63" s="33" t="n">
        <f aca="false">Players!H131*((1-Players!H133)*H$9+Players!H133*TK_NonNV_Hold_AMD*TK_CapexFacility_VR200)</f>
        <v>19.480125</v>
      </c>
      <c r="I63" s="33" t="n">
        <f aca="false">Players!I131*((1-Players!I133)*I$9+Players!I133*TK_NonNV_Hold_AMD*TK_CapexFacility_VR200)</f>
        <v>19.480125</v>
      </c>
      <c r="J63" s="33" t="n">
        <f aca="false">Players!J131*((1-Players!J133)*J$9+Players!J133*TK_NonNV_Hold_AMD*TK_CapexFacility_VR200)</f>
        <v>19.480125</v>
      </c>
      <c r="K63" s="33" t="n">
        <f aca="false">Players!K131*((1-Players!K133)*K$9+Players!K133*TK_NonNV_Hold_AMD*TK_CapexFacility_VR200)</f>
        <v>19.480125</v>
      </c>
      <c r="L63" s="33" t="n">
        <f aca="false">Players!L131*((1-Players!L133)*L$9+Players!L133*TK_NonNV_Hold_AMD*TK_CapexFacility_VR200)</f>
        <v>0</v>
      </c>
      <c r="M63" s="33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1987</v>
      </c>
      <c r="C64" s="0" t="s">
        <v>395</v>
      </c>
      <c r="D64" s="33" t="n">
        <f aca="false">D63*$D$5+E63*$D$6+F63*$D$7</f>
        <v>4.9413</v>
      </c>
      <c r="E64" s="33" t="n">
        <f aca="false">E63*$D$5+F63*$D$6+G63*$D$7</f>
        <v>9.43915</v>
      </c>
      <c r="F64" s="33" t="n">
        <f aca="false">F63*$D$5+G63*$D$6+H63*$D$7</f>
        <v>16.0750625</v>
      </c>
      <c r="G64" s="33" t="n">
        <f aca="false">G63*$D$5+H63*$D$6+I63*$D$7</f>
        <v>19.480125</v>
      </c>
      <c r="H64" s="33" t="n">
        <f aca="false">H63*$D$5+I63*$D$6+J63*$D$7</f>
        <v>19.480125</v>
      </c>
      <c r="I64" s="33" t="n">
        <f aca="false">I63*$D$5+J63*$D$6+K63*$D$7</f>
        <v>19.480125</v>
      </c>
      <c r="J64" s="33" t="n">
        <f aca="false">J63*$D$5+K63*$D$6+L63*$D$7</f>
        <v>9.7400625</v>
      </c>
      <c r="K64" s="33" t="n">
        <f aca="false">K63*$D$5+L63*$D$6+M63*$D$7</f>
        <v>0</v>
      </c>
      <c r="L64" s="33" t="n">
        <f aca="false">L63*$D$5+M63*$D$6</f>
        <v>0</v>
      </c>
      <c r="M64" s="33" t="n">
        <f aca="false">M63*$D$5</f>
        <v>0</v>
      </c>
    </row>
    <row r="65" customFormat="false" ht="17.15" hidden="false" customHeight="false" outlineLevel="0" collapsed="false">
      <c r="A65" s="5" t="s">
        <v>1988</v>
      </c>
      <c r="C65" s="0" t="s">
        <v>395</v>
      </c>
      <c r="D65" s="33" t="n">
        <f aca="false">D62+D64</f>
        <v>4.9413</v>
      </c>
      <c r="E65" s="33" t="n">
        <f aca="false">E62+E64</f>
        <v>17.41711206</v>
      </c>
      <c r="F65" s="33" t="n">
        <f aca="false">F62+F64</f>
        <v>28.81951562</v>
      </c>
      <c r="G65" s="33" t="n">
        <f aca="false">G62+G64</f>
        <v>52.89415716</v>
      </c>
      <c r="H65" s="33" t="n">
        <f aca="false">H62+H64</f>
        <v>78.4284735990641</v>
      </c>
      <c r="I65" s="33" t="n">
        <f aca="false">I62+I64</f>
        <v>83.0290296181072</v>
      </c>
      <c r="J65" s="33" t="n">
        <f aca="false">J62+J64</f>
        <v>73.2889671181072</v>
      </c>
      <c r="K65" s="33" t="n">
        <f aca="false">K62+K64</f>
        <v>63.5489046181072</v>
      </c>
      <c r="L65" s="33" t="n">
        <f aca="false">L62+L64</f>
        <v>0</v>
      </c>
      <c r="M65" s="33" t="n">
        <f aca="false">M62+M64</f>
        <v>0</v>
      </c>
    </row>
    <row r="66" customFormat="false" ht="17.15" hidden="false" customHeight="false" outlineLevel="0" collapsed="false">
      <c r="A66" s="5" t="s">
        <v>1989</v>
      </c>
      <c r="C66" s="0" t="s">
        <v>395</v>
      </c>
      <c r="D66" s="33" t="n">
        <f aca="false">D65*fye_crwv/12+N(In!H145)</f>
        <v>4.9413</v>
      </c>
      <c r="E66" s="33" t="n">
        <f aca="false">E65*fye_crwv/12+D65*(12-fye_crwv)/12+N(In!I145)</f>
        <v>17.41711206</v>
      </c>
      <c r="F66" s="33" t="n">
        <f aca="false">F65*fye_crwv/12+E65*(12-fye_crwv)/12+N(In!J145)</f>
        <v>28.81951562</v>
      </c>
      <c r="G66" s="33" t="n">
        <f aca="false">G65*fye_crwv/12+F65*(12-fye_crwv)/12+N(In!K145)</f>
        <v>52.89415716</v>
      </c>
      <c r="H66" s="33" t="n">
        <f aca="false">H65*fye_crwv/12+G65*(12-fye_crwv)/12+N(In!L145)</f>
        <v>78.4284735990641</v>
      </c>
      <c r="I66" s="33" t="n">
        <f aca="false">I65*fye_crwv/12+H65*(12-fye_crwv)/12+N(In!M145)</f>
        <v>83.0290296181072</v>
      </c>
      <c r="J66" s="33" t="n">
        <f aca="false">J65*fye_crwv/12+I65*(12-fye_crwv)/12+N(In!N145)</f>
        <v>73.2889671181072</v>
      </c>
      <c r="K66" s="33" t="n">
        <f aca="false">K65*fye_crwv/12+J65*(12-fye_crwv)/12+N(In!O145)</f>
        <v>63.5489046181072</v>
      </c>
      <c r="L66" s="33" t="n">
        <f aca="false">L65*fye_crwv/12+K65*(12-fye_crwv)/12+N(In!P145)</f>
        <v>0</v>
      </c>
      <c r="M66" s="33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1990</v>
      </c>
      <c r="C67" s="0" t="s">
        <v>395</v>
      </c>
      <c r="D67" s="20" t="str">
        <f aca="false">IF(In!H129="","",In!H129)</f>
        <v/>
      </c>
      <c r="E67" s="20" t="str">
        <f aca="false">IF(In!I129="","",In!I129)</f>
        <v/>
      </c>
      <c r="F67" s="20" t="str">
        <f aca="false">IF(In!J129="","",In!J129)</f>
        <v/>
      </c>
      <c r="G67" s="31" t="n">
        <f aca="false">IF(In!K129="","",In!K129)</f>
        <v>37</v>
      </c>
      <c r="H67" s="31" t="n">
        <f aca="false">IF(In!L129="","",In!L129)</f>
        <v>46.476</v>
      </c>
      <c r="I67" s="31" t="n">
        <f aca="false">IF(In!M129="","",In!M129)</f>
        <v>50.129</v>
      </c>
      <c r="J67" s="20" t="str">
        <f aca="false">IF(In!N129="","",In!N129)</f>
        <v/>
      </c>
      <c r="K67" s="20" t="str">
        <f aca="false">IF(In!O129="","",In!O129)</f>
        <v/>
      </c>
      <c r="L67" s="20" t="str">
        <f aca="false">IF(In!P129="","",In!P129)</f>
        <v/>
      </c>
      <c r="M67" s="20" t="str">
        <f aca="false">IF(In!Q129="","",In!Q129)</f>
        <v/>
      </c>
    </row>
    <row r="68" customFormat="false" ht="17.15" hidden="false" customHeight="false" outlineLevel="0" collapsed="false">
      <c r="A68" s="5" t="s">
        <v>1991</v>
      </c>
      <c r="C68" s="0" t="s">
        <v>41</v>
      </c>
      <c r="D68" s="30" t="str">
        <f aca="false">IF(OR(D67="",N(D67)=0),"",D66/D67)</f>
        <v/>
      </c>
      <c r="E68" s="30" t="str">
        <f aca="false">IF(OR(E67="",N(E67)=0),"",E66/E67)</f>
        <v/>
      </c>
      <c r="F68" s="30" t="str">
        <f aca="false">IF(OR(F67="",N(F67)=0),"",F66/F67)</f>
        <v/>
      </c>
      <c r="G68" s="30" t="n">
        <f aca="false">IF(OR(G67="",N(G67)=0),"",G66/G67)</f>
        <v>1.42957181513514</v>
      </c>
      <c r="H68" s="30" t="n">
        <f aca="false">IF(OR(H67="",N(H67)=0),"",H66/H67)</f>
        <v>1.68750481106515</v>
      </c>
      <c r="I68" s="30" t="n">
        <f aca="false">IF(OR(I67="",N(I67)=0),"",I66/I67)</f>
        <v>1.65630731947789</v>
      </c>
      <c r="J68" s="30" t="str">
        <f aca="false">IF(OR(J67="",N(J67)=0),"",J66/J67)</f>
        <v/>
      </c>
      <c r="K68" s="30" t="str">
        <f aca="false">IF(OR(K67="",N(K67)=0),"",K66/K67)</f>
        <v/>
      </c>
      <c r="L68" s="30" t="str">
        <f aca="false">IF(OR(L67="",N(L67)=0),"",L66/L67)</f>
        <v/>
      </c>
      <c r="M68" s="30" t="str">
        <f aca="false">IF(OR(M67="",N(M67)=0),"",M66/M67)</f>
        <v/>
      </c>
    </row>
    <row r="69" customFormat="false" ht="15" hidden="false" customHeight="false" outlineLevel="0" collapsed="false">
      <c r="A69" s="5" t="s">
        <v>1992</v>
      </c>
      <c r="C69" s="0" t="s">
        <v>40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1486</v>
      </c>
      <c r="B71" s="21" t="s">
        <v>873</v>
      </c>
      <c r="N71" s="5" t="s">
        <v>1998</v>
      </c>
    </row>
    <row r="72" customFormat="false" ht="17.15" hidden="false" customHeight="false" outlineLevel="0" collapsed="false">
      <c r="A72" s="5" t="s">
        <v>1985</v>
      </c>
      <c r="C72" s="0" t="s">
        <v>395</v>
      </c>
      <c r="D72" s="33" t="n">
        <f aca="false">Players!D150*((1-Players!D152)*D$8+Players!D152*TK_NonNV_Hold_AMD*TK_CapexIT_VR200)</f>
        <v>0</v>
      </c>
      <c r="E72" s="33" t="n">
        <f aca="false">Players!E150*((1-Players!E152)*E$8+Players!E152*TK_NonNV_Hold_AMD*TK_CapexIT_VR200)</f>
        <v>0</v>
      </c>
      <c r="F72" s="33" t="n">
        <f aca="false">Players!F150*((1-Players!F152)*F$8+Players!F152*TK_NonNV_Hold_AMD*TK_CapexIT_VR200)</f>
        <v>0</v>
      </c>
      <c r="G72" s="33" t="n">
        <f aca="false">Players!G150*((1-Players!G152)*G$8+Players!G152*TK_NonNV_Hold_AMD*TK_CapexIT_VR200)</f>
        <v>24.3922434768</v>
      </c>
      <c r="H72" s="33" t="n">
        <f aca="false">Players!H150*((1-Players!H152)*H$8+Players!H152*TK_NonNV_Hold_AMD*TK_CapexIT_VR200)</f>
        <v>15.451176901088</v>
      </c>
      <c r="I72" s="33" t="n">
        <f aca="false">Players!I150*((1-Players!I152)*I$8+Players!I152*TK_NonNV_Hold_AMD*TK_CapexIT_VR200)</f>
        <v>0</v>
      </c>
      <c r="J72" s="33" t="n">
        <f aca="false">Players!J150*((1-Players!J152)*J$8+Players!J152*TK_NonNV_Hold_AMD*TK_CapexIT_VR200)</f>
        <v>0</v>
      </c>
      <c r="K72" s="33" t="n">
        <f aca="false">Players!K150*((1-Players!K152)*K$8+Players!K152*TK_NonNV_Hold_AMD*TK_CapexIT_VR200)</f>
        <v>0</v>
      </c>
      <c r="L72" s="33" t="n">
        <f aca="false">Players!L150*((1-Players!L152)*L$8+Players!L152*TK_NonNV_Hold_AMD*TK_CapexIT_VR200)</f>
        <v>0</v>
      </c>
      <c r="M72" s="33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1986</v>
      </c>
      <c r="C73" s="0" t="s">
        <v>395</v>
      </c>
      <c r="D73" s="33" t="n">
        <f aca="false">Players!D150*((1-Players!D152)*D$9+Players!D152*TK_NonNV_Hold_AMD*TK_CapexFacility_VR200)</f>
        <v>0</v>
      </c>
      <c r="E73" s="33" t="n">
        <f aca="false">Players!E150*((1-Players!E152)*E$9+Players!E152*TK_NonNV_Hold_AMD*TK_CapexFacility_VR200)</f>
        <v>0</v>
      </c>
      <c r="F73" s="33" t="n">
        <f aca="false">Players!F150*((1-Players!F152)*F$9+Players!F152*TK_NonNV_Hold_AMD*TK_CapexFacility_VR200)</f>
        <v>0</v>
      </c>
      <c r="G73" s="33" t="n">
        <f aca="false">Players!G150*((1-Players!G152)*G$9+Players!G152*TK_NonNV_Hold_AMD*TK_CapexFacility_VR200)</f>
        <v>9.2491</v>
      </c>
      <c r="H73" s="33" t="n">
        <f aca="false">Players!H150*((1-Players!H152)*H$9+Players!H152*TK_NonNV_Hold_AMD*TK_CapexFacility_VR200)</f>
        <v>5.10601</v>
      </c>
      <c r="I73" s="33" t="n">
        <f aca="false">Players!I150*((1-Players!I152)*I$9+Players!I152*TK_NonNV_Hold_AMD*TK_CapexFacility_VR200)</f>
        <v>0</v>
      </c>
      <c r="J73" s="33" t="n">
        <f aca="false">Players!J150*((1-Players!J152)*J$9+Players!J152*TK_NonNV_Hold_AMD*TK_CapexFacility_VR200)</f>
        <v>0</v>
      </c>
      <c r="K73" s="33" t="n">
        <f aca="false">Players!K150*((1-Players!K152)*K$9+Players!K152*TK_NonNV_Hold_AMD*TK_CapexFacility_VR200)</f>
        <v>0</v>
      </c>
      <c r="L73" s="33" t="n">
        <f aca="false">Players!L150*((1-Players!L152)*L$9+Players!L152*TK_NonNV_Hold_AMD*TK_CapexFacility_VR200)</f>
        <v>0</v>
      </c>
      <c r="M73" s="33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1987</v>
      </c>
      <c r="C74" s="0" t="s">
        <v>395</v>
      </c>
      <c r="D74" s="33" t="n">
        <f aca="false">D73*$D$5+E73*$D$6+F73*$D$7</f>
        <v>0</v>
      </c>
      <c r="E74" s="33" t="n">
        <f aca="false">E73*$D$5+F73*$D$6+G73*$D$7</f>
        <v>4.62455</v>
      </c>
      <c r="F74" s="33" t="n">
        <f aca="false">F73*$D$5+G73*$D$6+H73*$D$7</f>
        <v>7.177555</v>
      </c>
      <c r="G74" s="33" t="n">
        <f aca="false">G73*$D$5+H73*$D$6+I73*$D$7</f>
        <v>2.553005</v>
      </c>
      <c r="H74" s="33" t="n">
        <f aca="false">H73*$D$5+I73*$D$6+J73*$D$7</f>
        <v>0</v>
      </c>
      <c r="I74" s="33" t="n">
        <f aca="false">I73*$D$5+J73*$D$6+K73*$D$7</f>
        <v>0</v>
      </c>
      <c r="J74" s="33" t="n">
        <f aca="false">J73*$D$5+K73*$D$6+L73*$D$7</f>
        <v>0</v>
      </c>
      <c r="K74" s="33" t="n">
        <f aca="false">K73*$D$5+L73*$D$6+M73*$D$7</f>
        <v>0</v>
      </c>
      <c r="L74" s="33" t="n">
        <f aca="false">L73*$D$5+M73*$D$6</f>
        <v>0</v>
      </c>
      <c r="M74" s="33" t="n">
        <f aca="false">M73*$D$5</f>
        <v>0</v>
      </c>
    </row>
    <row r="75" customFormat="false" ht="17.15" hidden="false" customHeight="false" outlineLevel="0" collapsed="false">
      <c r="A75" s="5" t="s">
        <v>1988</v>
      </c>
      <c r="C75" s="0" t="s">
        <v>395</v>
      </c>
      <c r="D75" s="33" t="n">
        <f aca="false">D72+D74</f>
        <v>0</v>
      </c>
      <c r="E75" s="33" t="n">
        <f aca="false">E72+E74</f>
        <v>4.62455</v>
      </c>
      <c r="F75" s="33" t="n">
        <f aca="false">F72+F74</f>
        <v>7.177555</v>
      </c>
      <c r="G75" s="33" t="n">
        <f aca="false">G72+G74</f>
        <v>26.9452484768</v>
      </c>
      <c r="H75" s="33" t="n">
        <f aca="false">H72+H74</f>
        <v>15.451176901088</v>
      </c>
      <c r="I75" s="33" t="n">
        <f aca="false">I72+I74</f>
        <v>0</v>
      </c>
      <c r="J75" s="33" t="n">
        <f aca="false">J72+J74</f>
        <v>0</v>
      </c>
      <c r="K75" s="33" t="n">
        <f aca="false">K72+K74</f>
        <v>0</v>
      </c>
      <c r="L75" s="33" t="n">
        <f aca="false">L72+L74</f>
        <v>0</v>
      </c>
      <c r="M75" s="33" t="n">
        <f aca="false">M72+M74</f>
        <v>0</v>
      </c>
    </row>
    <row r="76" customFormat="false" ht="17.15" hidden="false" customHeight="false" outlineLevel="0" collapsed="false">
      <c r="A76" s="5" t="s">
        <v>1989</v>
      </c>
      <c r="C76" s="0" t="s">
        <v>395</v>
      </c>
      <c r="D76" s="33" t="n">
        <f aca="false">D75*fye_nbis/12+N(In!H146)</f>
        <v>0</v>
      </c>
      <c r="E76" s="33" t="n">
        <f aca="false">E75*fye_nbis/12+D75*(12-fye_nbis)/12+N(In!I146)</f>
        <v>4.62455</v>
      </c>
      <c r="F76" s="33" t="n">
        <f aca="false">F75*fye_nbis/12+E75*(12-fye_nbis)/12+N(In!J146)</f>
        <v>7.177555</v>
      </c>
      <c r="G76" s="33" t="n">
        <f aca="false">G75*fye_nbis/12+F75*(12-fye_nbis)/12+N(In!K146)</f>
        <v>26.9452484768</v>
      </c>
      <c r="H76" s="33" t="n">
        <f aca="false">H75*fye_nbis/12+G75*(12-fye_nbis)/12+N(In!L146)</f>
        <v>15.451176901088</v>
      </c>
      <c r="I76" s="33" t="n">
        <f aca="false">I75*fye_nbis/12+H75*(12-fye_nbis)/12+N(In!M146)</f>
        <v>0</v>
      </c>
      <c r="J76" s="33" t="n">
        <f aca="false">J75*fye_nbis/12+I75*(12-fye_nbis)/12+N(In!N146)</f>
        <v>0</v>
      </c>
      <c r="K76" s="33" t="n">
        <f aca="false">K75*fye_nbis/12+J75*(12-fye_nbis)/12+N(In!O146)</f>
        <v>0</v>
      </c>
      <c r="L76" s="33" t="n">
        <f aca="false">L75*fye_nbis/12+K75*(12-fye_nbis)/12+N(In!P146)</f>
        <v>0</v>
      </c>
      <c r="M76" s="33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1990</v>
      </c>
      <c r="C77" s="0" t="s">
        <v>395</v>
      </c>
      <c r="D77" s="20" t="str">
        <f aca="false">IF(In!H130="","",In!H130)</f>
        <v/>
      </c>
      <c r="E77" s="20" t="str">
        <f aca="false">IF(In!I130="","",In!I130)</f>
        <v/>
      </c>
      <c r="F77" s="31" t="n">
        <f aca="false">IF(In!J130="","",In!J130)</f>
        <v>4.066</v>
      </c>
      <c r="G77" s="31" t="n">
        <f aca="false">IF(In!K130="","",In!K130)</f>
        <v>22.5</v>
      </c>
      <c r="H77" s="31" t="n">
        <f aca="false">IF(In!L130="","",In!L130)</f>
        <v>27.243</v>
      </c>
      <c r="I77" s="31" t="n">
        <f aca="false">IF(In!M130="","",In!M130)</f>
        <v>38.39</v>
      </c>
      <c r="J77" s="20" t="str">
        <f aca="false">IF(In!N130="","",In!N130)</f>
        <v/>
      </c>
      <c r="K77" s="20" t="str">
        <f aca="false">IF(In!O130="","",In!O130)</f>
        <v/>
      </c>
      <c r="L77" s="20" t="str">
        <f aca="false">IF(In!P130="","",In!P130)</f>
        <v/>
      </c>
      <c r="M77" s="20" t="str">
        <f aca="false">IF(In!Q130="","",In!Q130)</f>
        <v/>
      </c>
    </row>
    <row r="78" customFormat="false" ht="17.15" hidden="false" customHeight="false" outlineLevel="0" collapsed="false">
      <c r="A78" s="5" t="s">
        <v>1991</v>
      </c>
      <c r="C78" s="0" t="s">
        <v>41</v>
      </c>
      <c r="D78" s="30" t="str">
        <f aca="false">IF(OR(D77="",N(D77)=0),"",D76/D77)</f>
        <v/>
      </c>
      <c r="E78" s="30" t="str">
        <f aca="false">IF(OR(E77="",N(E77)=0),"",E76/E77)</f>
        <v/>
      </c>
      <c r="F78" s="30" t="n">
        <f aca="false">IF(OR(F77="",N(F77)=0),"",F76/F77)</f>
        <v>1.76526192818495</v>
      </c>
      <c r="G78" s="30" t="n">
        <f aca="false">IF(OR(G77="",N(G77)=0),"",G76/G77)</f>
        <v>1.19756659896889</v>
      </c>
      <c r="H78" s="30" t="n">
        <f aca="false">IF(OR(H77="",N(H77)=0),"",H76/H77)</f>
        <v>0.567161358921118</v>
      </c>
      <c r="I78" s="30" t="n">
        <f aca="false">IF(OR(I77="",N(I77)=0),"",I76/I77)</f>
        <v>0</v>
      </c>
      <c r="J78" s="30" t="str">
        <f aca="false">IF(OR(J77="",N(J77)=0),"",J76/J77)</f>
        <v/>
      </c>
      <c r="K78" s="30" t="str">
        <f aca="false">IF(OR(K77="",N(K77)=0),"",K76/K77)</f>
        <v/>
      </c>
      <c r="L78" s="30" t="str">
        <f aca="false">IF(OR(L77="",N(L77)=0),"",L76/L77)</f>
        <v/>
      </c>
      <c r="M78" s="30" t="str">
        <f aca="false">IF(OR(M77="",N(M77)=0),"",M76/M77)</f>
        <v/>
      </c>
    </row>
    <row r="79" customFormat="false" ht="15" hidden="false" customHeight="false" outlineLevel="0" collapsed="false">
      <c r="A79" s="5" t="s">
        <v>1992</v>
      </c>
      <c r="C79" s="0" t="s">
        <v>40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證據不足（帶外）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1505</v>
      </c>
      <c r="B81" s="21" t="s">
        <v>1506</v>
      </c>
      <c r="N81" s="5" t="s">
        <v>1999</v>
      </c>
    </row>
    <row r="82" customFormat="false" ht="17.15" hidden="false" customHeight="false" outlineLevel="0" collapsed="false">
      <c r="A82" s="5" t="s">
        <v>1985</v>
      </c>
      <c r="C82" s="0" t="s">
        <v>395</v>
      </c>
      <c r="D82" s="33" t="n">
        <f aca="false">Players!D169*((1-Players!D171)*D$8+Players!D171*TK_NonNV_Hold_AMD*TK_CapexIT_VR200)</f>
        <v>0</v>
      </c>
      <c r="E82" s="33" t="n">
        <f aca="false">Players!E169*((1-Players!E171)*E$8+Players!E171*TK_NonNV_Hold_AMD*TK_CapexIT_VR200)</f>
        <v>0</v>
      </c>
      <c r="F82" s="33" t="n">
        <f aca="false">Players!F169*((1-Players!F171)*F$8+Players!F171*TK_NonNV_Hold_AMD*TK_CapexIT_VR200)</f>
        <v>0</v>
      </c>
      <c r="G82" s="33" t="n">
        <f aca="false">Players!G169*((1-Players!G171)*G$8+Players!G171*TK_NonNV_Hold_AMD*TK_CapexIT_VR200)</f>
        <v>0.30319892781984</v>
      </c>
      <c r="H82" s="33" t="n">
        <f aca="false">Players!H169*((1-Players!H171)*H$8+Players!H171*TK_NonNV_Hold_AMD*TK_CapexIT_VR200)</f>
        <v>0.0756839285427982</v>
      </c>
      <c r="I82" s="33" t="n">
        <f aca="false">Players!I169*((1-Players!I171)*I$8+Players!I171*TK_NonNV_Hold_AMD*TK_CapexIT_VR200)</f>
        <v>0</v>
      </c>
      <c r="J82" s="33" t="n">
        <f aca="false">Players!J169*((1-Players!J171)*J$8+Players!J171*TK_NonNV_Hold_AMD*TK_CapexIT_VR200)</f>
        <v>0</v>
      </c>
      <c r="K82" s="33" t="n">
        <f aca="false">Players!K169*((1-Players!K171)*K$8+Players!K171*TK_NonNV_Hold_AMD*TK_CapexIT_VR200)</f>
        <v>0</v>
      </c>
      <c r="L82" s="33" t="n">
        <f aca="false">Players!L169*((1-Players!L171)*L$8+Players!L171*TK_NonNV_Hold_AMD*TK_CapexIT_VR200)</f>
        <v>0</v>
      </c>
      <c r="M82" s="33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1986</v>
      </c>
      <c r="C83" s="0" t="s">
        <v>395</v>
      </c>
      <c r="D83" s="33" t="n">
        <f aca="false">Players!D169*((1-Players!D171)*D$9+Players!D171*TK_NonNV_Hold_AMD*TK_CapexFacility_VR200)</f>
        <v>0</v>
      </c>
      <c r="E83" s="33" t="n">
        <f aca="false">Players!E169*((1-Players!E171)*E$9+Players!E171*TK_NonNV_Hold_AMD*TK_CapexFacility_VR200)</f>
        <v>0</v>
      </c>
      <c r="F83" s="33" t="n">
        <f aca="false">Players!F169*((1-Players!F171)*F$9+Players!F171*TK_NonNV_Hold_AMD*TK_CapexFacility_VR200)</f>
        <v>0</v>
      </c>
      <c r="G83" s="33" t="n">
        <f aca="false">Players!G169*((1-Players!G171)*G$9+Players!G171*TK_NonNV_Hold_AMD*TK_CapexFacility_VR200)</f>
        <v>0.11496758</v>
      </c>
      <c r="H83" s="33" t="n">
        <f aca="false">Players!H169*((1-Players!H171)*H$9+Players!H171*TK_NonNV_Hold_AMD*TK_CapexFacility_VR200)</f>
        <v>0.02501058</v>
      </c>
      <c r="I83" s="33" t="n">
        <f aca="false">Players!I169*((1-Players!I171)*I$9+Players!I171*TK_NonNV_Hold_AMD*TK_CapexFacility_VR200)</f>
        <v>0</v>
      </c>
      <c r="J83" s="33" t="n">
        <f aca="false">Players!J169*((1-Players!J171)*J$9+Players!J171*TK_NonNV_Hold_AMD*TK_CapexFacility_VR200)</f>
        <v>0</v>
      </c>
      <c r="K83" s="33" t="n">
        <f aca="false">Players!K169*((1-Players!K171)*K$9+Players!K171*TK_NonNV_Hold_AMD*TK_CapexFacility_VR200)</f>
        <v>0</v>
      </c>
      <c r="L83" s="33" t="n">
        <f aca="false">Players!L169*((1-Players!L171)*L$9+Players!L171*TK_NonNV_Hold_AMD*TK_CapexFacility_VR200)</f>
        <v>0</v>
      </c>
      <c r="M83" s="33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1987</v>
      </c>
      <c r="C84" s="0" t="s">
        <v>395</v>
      </c>
      <c r="D84" s="33" t="n">
        <f aca="false">D83*$D$5+E83*$D$6+F83*$D$7</f>
        <v>0</v>
      </c>
      <c r="E84" s="33" t="n">
        <f aca="false">E83*$D$5+F83*$D$6+G83*$D$7</f>
        <v>0.05748379</v>
      </c>
      <c r="F84" s="33" t="n">
        <f aca="false">F83*$D$5+G83*$D$6+H83*$D$7</f>
        <v>0.06998908</v>
      </c>
      <c r="G84" s="33" t="n">
        <f aca="false">G83*$D$5+H83*$D$6+I83*$D$7</f>
        <v>0.01250529</v>
      </c>
      <c r="H84" s="33" t="n">
        <f aca="false">H83*$D$5+I83*$D$6+J83*$D$7</f>
        <v>0</v>
      </c>
      <c r="I84" s="33" t="n">
        <f aca="false">I83*$D$5+J83*$D$6+K83*$D$7</f>
        <v>0</v>
      </c>
      <c r="J84" s="33" t="n">
        <f aca="false">J83*$D$5+K83*$D$6+L83*$D$7</f>
        <v>0</v>
      </c>
      <c r="K84" s="33" t="n">
        <f aca="false">K83*$D$5+L83*$D$6+M83*$D$7</f>
        <v>0</v>
      </c>
      <c r="L84" s="33" t="n">
        <f aca="false">L83*$D$5+M83*$D$6</f>
        <v>0</v>
      </c>
      <c r="M84" s="33" t="n">
        <f aca="false">M83*$D$5</f>
        <v>0</v>
      </c>
    </row>
    <row r="85" customFormat="false" ht="17.15" hidden="false" customHeight="false" outlineLevel="0" collapsed="false">
      <c r="A85" s="5" t="s">
        <v>1988</v>
      </c>
      <c r="C85" s="0" t="s">
        <v>395</v>
      </c>
      <c r="D85" s="33" t="n">
        <f aca="false">D82+D84</f>
        <v>0</v>
      </c>
      <c r="E85" s="33" t="n">
        <f aca="false">E82+E84</f>
        <v>0.05748379</v>
      </c>
      <c r="F85" s="33" t="n">
        <f aca="false">F82+F84</f>
        <v>0.06998908</v>
      </c>
      <c r="G85" s="33" t="n">
        <f aca="false">G82+G84</f>
        <v>0.31570421781984</v>
      </c>
      <c r="H85" s="33" t="n">
        <f aca="false">H82+H84</f>
        <v>0.0756839285427982</v>
      </c>
      <c r="I85" s="33" t="n">
        <f aca="false">I82+I84</f>
        <v>0</v>
      </c>
      <c r="J85" s="33" t="n">
        <f aca="false">J82+J84</f>
        <v>0</v>
      </c>
      <c r="K85" s="33" t="n">
        <f aca="false">K82+K84</f>
        <v>0</v>
      </c>
      <c r="L85" s="33" t="n">
        <f aca="false">L82+L84</f>
        <v>0</v>
      </c>
      <c r="M85" s="33" t="n">
        <f aca="false">M82+M84</f>
        <v>0</v>
      </c>
    </row>
    <row r="86" customFormat="false" ht="17.15" hidden="false" customHeight="false" outlineLevel="0" collapsed="false">
      <c r="A86" s="5" t="s">
        <v>1989</v>
      </c>
      <c r="C86" s="0" t="s">
        <v>395</v>
      </c>
      <c r="D86" s="33" t="n">
        <f aca="false">D85*fye_wyfi/12+N(In!H147)</f>
        <v>0</v>
      </c>
      <c r="E86" s="33" t="n">
        <f aca="false">E85*fye_wyfi/12+D85*(12-fye_wyfi)/12+N(In!I147)</f>
        <v>0.05748379</v>
      </c>
      <c r="F86" s="33" t="n">
        <f aca="false">F85*fye_wyfi/12+E85*(12-fye_wyfi)/12+N(In!J147)</f>
        <v>0.06998908</v>
      </c>
      <c r="G86" s="33" t="n">
        <f aca="false">G85*fye_wyfi/12+F85*(12-fye_wyfi)/12+N(In!K147)</f>
        <v>0.31570421781984</v>
      </c>
      <c r="H86" s="33" t="n">
        <f aca="false">H85*fye_wyfi/12+G85*(12-fye_wyfi)/12+N(In!L147)</f>
        <v>0.0756839285427982</v>
      </c>
      <c r="I86" s="33" t="n">
        <f aca="false">I85*fye_wyfi/12+H85*(12-fye_wyfi)/12+N(In!M147)</f>
        <v>0</v>
      </c>
      <c r="J86" s="33" t="n">
        <f aca="false">J85*fye_wyfi/12+I85*(12-fye_wyfi)/12+N(In!N147)</f>
        <v>0</v>
      </c>
      <c r="K86" s="33" t="n">
        <f aca="false">K85*fye_wyfi/12+J85*(12-fye_wyfi)/12+N(In!O147)</f>
        <v>0</v>
      </c>
      <c r="L86" s="33" t="n">
        <f aca="false">L85*fye_wyfi/12+K85*(12-fye_wyfi)/12+N(In!P147)</f>
        <v>0</v>
      </c>
      <c r="M86" s="33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1990</v>
      </c>
      <c r="C87" s="0" t="s">
        <v>395</v>
      </c>
      <c r="D87" s="20" t="str">
        <f aca="false">IF(In!H131="","",In!H131)</f>
        <v/>
      </c>
      <c r="E87" s="20" t="str">
        <f aca="false">IF(In!I131="","",In!I131)</f>
        <v/>
      </c>
      <c r="F87" s="20" t="str">
        <f aca="false">IF(In!J131="","",In!J131)</f>
        <v/>
      </c>
      <c r="G87" s="20" t="str">
        <f aca="false">IF(In!K131="","",In!K131)</f>
        <v/>
      </c>
      <c r="H87" s="20" t="str">
        <f aca="false">IF(In!L131="","",In!L131)</f>
        <v/>
      </c>
      <c r="I87" s="20" t="str">
        <f aca="false">IF(In!M131="","",In!M131)</f>
        <v/>
      </c>
      <c r="J87" s="20" t="str">
        <f aca="false">IF(In!N131="","",In!N131)</f>
        <v/>
      </c>
      <c r="K87" s="20" t="str">
        <f aca="false">IF(In!O131="","",In!O131)</f>
        <v/>
      </c>
      <c r="L87" s="20" t="str">
        <f aca="false">IF(In!P131="","",In!P131)</f>
        <v/>
      </c>
      <c r="M87" s="20" t="str">
        <f aca="false">IF(In!Q131="","",In!Q131)</f>
        <v/>
      </c>
    </row>
    <row r="88" customFormat="false" ht="17.15" hidden="false" customHeight="false" outlineLevel="0" collapsed="false">
      <c r="A88" s="5" t="s">
        <v>1991</v>
      </c>
      <c r="C88" s="0" t="s">
        <v>41</v>
      </c>
      <c r="D88" s="30" t="str">
        <f aca="false">IF(OR(D87="",N(D87)=0),"",D86/D87)</f>
        <v/>
      </c>
      <c r="E88" s="30" t="str">
        <f aca="false">IF(OR(E87="",N(E87)=0),"",E86/E87)</f>
        <v/>
      </c>
      <c r="F88" s="30" t="str">
        <f aca="false">IF(OR(F87="",N(F87)=0),"",F86/F87)</f>
        <v/>
      </c>
      <c r="G88" s="30" t="str">
        <f aca="false">IF(OR(G87="",N(G87)=0),"",G86/G87)</f>
        <v/>
      </c>
      <c r="H88" s="30" t="str">
        <f aca="false">IF(OR(H87="",N(H87)=0),"",H86/H87)</f>
        <v/>
      </c>
      <c r="I88" s="30" t="str">
        <f aca="false">IF(OR(I87="",N(I87)=0),"",I86/I87)</f>
        <v/>
      </c>
      <c r="J88" s="30" t="str">
        <f aca="false">IF(OR(J87="",N(J87)=0),"",J86/J87)</f>
        <v/>
      </c>
      <c r="K88" s="30" t="str">
        <f aca="false">IF(OR(K87="",N(K87)=0),"",K86/K87)</f>
        <v/>
      </c>
      <c r="L88" s="30" t="str">
        <f aca="false">IF(OR(L87="",N(L87)=0),"",L86/L87)</f>
        <v/>
      </c>
      <c r="M88" s="30" t="str">
        <f aca="false">IF(OR(M87="",N(M87)=0),"",M86/M87)</f>
        <v/>
      </c>
    </row>
    <row r="89" customFormat="false" ht="15" hidden="false" customHeight="false" outlineLevel="0" collapsed="false">
      <c r="A89" s="5" t="s">
        <v>1992</v>
      </c>
      <c r="C89" s="0" t="s">
        <v>40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1525</v>
      </c>
      <c r="B91" s="21" t="s">
        <v>757</v>
      </c>
      <c r="N91" s="21" t="s">
        <v>2000</v>
      </c>
    </row>
    <row r="92" customFormat="false" ht="17.15" hidden="false" customHeight="false" outlineLevel="0" collapsed="false">
      <c r="A92" s="5" t="s">
        <v>1985</v>
      </c>
      <c r="C92" s="0" t="s">
        <v>395</v>
      </c>
      <c r="D92" s="33" t="n">
        <f aca="false">Players!D188*((1-Players!D190)*D$8+Players!D190*TK_NonNV_Hold_AMD*TK_CapexIT_VR200)</f>
        <v>0</v>
      </c>
      <c r="E92" s="33" t="n">
        <f aca="false">Players!E188*((1-Players!E190)*E$8+Players!E190*TK_NonNV_Hold_AMD*TK_CapexIT_VR200)</f>
        <v>0</v>
      </c>
      <c r="F92" s="33" t="n">
        <f aca="false">Players!F188*((1-Players!F190)*F$8+Players!F190*TK_NonNV_Hold_AMD*TK_CapexIT_VR200)</f>
        <v>0</v>
      </c>
      <c r="G92" s="33" t="n">
        <f aca="false">Players!G188*((1-Players!G190)*G$8+Players!G190*TK_NonNV_Hold_AMD*TK_CapexIT_VR200)</f>
        <v>47.788748795232</v>
      </c>
      <c r="H92" s="33" t="n">
        <f aca="false">Players!H188*((1-Players!H190)*H$8+Players!H190*TK_NonNV_Hold_AMD*TK_CapexIT_VR200)</f>
        <v>22.4291277596439</v>
      </c>
      <c r="I92" s="33" t="n">
        <f aca="false">Players!I188*((1-Players!I190)*I$8+Players!I190*TK_NonNV_Hold_AMD*TK_CapexIT_VR200)</f>
        <v>0</v>
      </c>
      <c r="J92" s="33" t="n">
        <f aca="false">Players!J188*((1-Players!J190)*J$8+Players!J190*TK_NonNV_Hold_AMD*TK_CapexIT_VR200)</f>
        <v>0</v>
      </c>
      <c r="K92" s="33" t="n">
        <f aca="false">Players!K188*((1-Players!K190)*K$8+Players!K190*TK_NonNV_Hold_AMD*TK_CapexIT_VR200)</f>
        <v>0</v>
      </c>
      <c r="L92" s="33" t="n">
        <f aca="false">Players!L188*((1-Players!L190)*L$8+Players!L190*TK_NonNV_Hold_AMD*TK_CapexIT_VR200)</f>
        <v>0</v>
      </c>
      <c r="M92" s="33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1986</v>
      </c>
      <c r="C93" s="0" t="s">
        <v>395</v>
      </c>
      <c r="D93" s="33" t="n">
        <f aca="false">Players!D188*((1-Players!D190)*D$9+Players!D190*TK_NonNV_Hold_AMD*TK_CapexFacility_VR200)</f>
        <v>0</v>
      </c>
      <c r="E93" s="33" t="n">
        <f aca="false">Players!E188*((1-Players!E190)*E$9+Players!E190*TK_NonNV_Hold_AMD*TK_CapexFacility_VR200)</f>
        <v>0</v>
      </c>
      <c r="F93" s="33" t="n">
        <f aca="false">Players!F188*((1-Players!F190)*F$9+Players!F190*TK_NonNV_Hold_AMD*TK_CapexFacility_VR200)</f>
        <v>0</v>
      </c>
      <c r="G93" s="33" t="n">
        <f aca="false">Players!G188*((1-Players!G190)*G$9+Players!G190*TK_NonNV_Hold_AMD*TK_CapexFacility_VR200)</f>
        <v>18.120634</v>
      </c>
      <c r="H93" s="33" t="n">
        <f aca="false">Players!H188*((1-Players!H190)*H$9+Players!H190*TK_NonNV_Hold_AMD*TK_CapexFacility_VR200)</f>
        <v>7.41195</v>
      </c>
      <c r="I93" s="33" t="n">
        <f aca="false">Players!I188*((1-Players!I190)*I$9+Players!I190*TK_NonNV_Hold_AMD*TK_CapexFacility_VR200)</f>
        <v>0</v>
      </c>
      <c r="J93" s="33" t="n">
        <f aca="false">Players!J188*((1-Players!J190)*J$9+Players!J190*TK_NonNV_Hold_AMD*TK_CapexFacility_VR200)</f>
        <v>0</v>
      </c>
      <c r="K93" s="33" t="n">
        <f aca="false">Players!K188*((1-Players!K190)*K$9+Players!K190*TK_NonNV_Hold_AMD*TK_CapexFacility_VR200)</f>
        <v>0</v>
      </c>
      <c r="L93" s="33" t="n">
        <f aca="false">Players!L188*((1-Players!L190)*L$9+Players!L190*TK_NonNV_Hold_AMD*TK_CapexFacility_VR200)</f>
        <v>0</v>
      </c>
      <c r="M93" s="33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1987</v>
      </c>
      <c r="C94" s="0" t="s">
        <v>395</v>
      </c>
      <c r="D94" s="33" t="n">
        <f aca="false">D93*$D$5+E93*$D$6+F93*$D$7</f>
        <v>0</v>
      </c>
      <c r="E94" s="33" t="n">
        <f aca="false">E93*$D$5+F93*$D$6+G93*$D$7</f>
        <v>9.060317</v>
      </c>
      <c r="F94" s="33" t="n">
        <f aca="false">F93*$D$5+G93*$D$6+H93*$D$7</f>
        <v>12.766292</v>
      </c>
      <c r="G94" s="33" t="n">
        <f aca="false">G93*$D$5+H93*$D$6+I93*$D$7</f>
        <v>3.705975</v>
      </c>
      <c r="H94" s="33" t="n">
        <f aca="false">H93*$D$5+I93*$D$6+J93*$D$7</f>
        <v>0</v>
      </c>
      <c r="I94" s="33" t="n">
        <f aca="false">I93*$D$5+J93*$D$6+K93*$D$7</f>
        <v>0</v>
      </c>
      <c r="J94" s="33" t="n">
        <f aca="false">J93*$D$5+K93*$D$6+L93*$D$7</f>
        <v>0</v>
      </c>
      <c r="K94" s="33" t="n">
        <f aca="false">K93*$D$5+L93*$D$6+M93*$D$7</f>
        <v>0</v>
      </c>
      <c r="L94" s="33" t="n">
        <f aca="false">L93*$D$5+M93*$D$6</f>
        <v>0</v>
      </c>
      <c r="M94" s="33" t="n">
        <f aca="false">M93*$D$5</f>
        <v>0</v>
      </c>
    </row>
    <row r="95" customFormat="false" ht="17.15" hidden="false" customHeight="false" outlineLevel="0" collapsed="false">
      <c r="A95" s="5" t="s">
        <v>1988</v>
      </c>
      <c r="C95" s="0" t="s">
        <v>395</v>
      </c>
      <c r="D95" s="33" t="n">
        <f aca="false">D92+D94</f>
        <v>0</v>
      </c>
      <c r="E95" s="33" t="n">
        <f aca="false">E92+E94</f>
        <v>9.060317</v>
      </c>
      <c r="F95" s="33" t="n">
        <f aca="false">F92+F94</f>
        <v>12.766292</v>
      </c>
      <c r="G95" s="33" t="n">
        <f aca="false">G92+G94</f>
        <v>51.494723795232</v>
      </c>
      <c r="H95" s="33" t="n">
        <f aca="false">H92+H94</f>
        <v>22.4291277596439</v>
      </c>
      <c r="I95" s="33" t="n">
        <f aca="false">I92+I94</f>
        <v>0</v>
      </c>
      <c r="J95" s="33" t="n">
        <f aca="false">J92+J94</f>
        <v>0</v>
      </c>
      <c r="K95" s="33" t="n">
        <f aca="false">K92+K94</f>
        <v>0</v>
      </c>
      <c r="L95" s="33" t="n">
        <f aca="false">L92+L94</f>
        <v>0</v>
      </c>
      <c r="M95" s="33" t="n">
        <f aca="false">M92+M94</f>
        <v>0</v>
      </c>
    </row>
    <row r="96" customFormat="false" ht="17.15" hidden="false" customHeight="false" outlineLevel="0" collapsed="false">
      <c r="A96" s="5" t="s">
        <v>1989</v>
      </c>
      <c r="C96" s="0" t="s">
        <v>395</v>
      </c>
      <c r="D96" s="33" t="n">
        <f aca="false">D95*12/12+N(In!H148)</f>
        <v>0</v>
      </c>
      <c r="E96" s="33" t="n">
        <f aca="false">E95*12/12+D95*(12-12)/12+N(In!I148)</f>
        <v>9.060317</v>
      </c>
      <c r="F96" s="33" t="n">
        <f aca="false">F95*12/12+E95*(12-12)/12+N(In!J148)</f>
        <v>12.766292</v>
      </c>
      <c r="G96" s="33" t="n">
        <f aca="false">G95*12/12+F95*(12-12)/12+N(In!K148)</f>
        <v>51.494723795232</v>
      </c>
      <c r="H96" s="33" t="n">
        <f aca="false">H95*12/12+G95*(12-12)/12+N(In!L148)</f>
        <v>22.4291277596439</v>
      </c>
      <c r="I96" s="33" t="n">
        <f aca="false">I95*12/12+H95*(12-12)/12+N(In!M148)</f>
        <v>0</v>
      </c>
      <c r="J96" s="33" t="n">
        <f aca="false">J95*12/12+I95*(12-12)/12+N(In!N148)</f>
        <v>0</v>
      </c>
      <c r="K96" s="33" t="n">
        <f aca="false">K95*12/12+J95*(12-12)/12+N(In!O148)</f>
        <v>0</v>
      </c>
      <c r="L96" s="33" t="n">
        <f aca="false">L95*12/12+K95*(12-12)/12+N(In!P148)</f>
        <v>0</v>
      </c>
      <c r="M96" s="33" t="n">
        <f aca="false">M95*12/12+L95*(12-12)/12+N(In!Q148)</f>
        <v>0</v>
      </c>
    </row>
    <row r="97" customFormat="false" ht="17.15" hidden="false" customHeight="false" outlineLevel="0" collapsed="false">
      <c r="A97" s="5" t="s">
        <v>1990</v>
      </c>
      <c r="C97" s="0" t="s">
        <v>395</v>
      </c>
      <c r="D97" s="20" t="str">
        <f aca="false">IF(In!H132="","",In!H132)</f>
        <v/>
      </c>
      <c r="E97" s="20" t="str">
        <f aca="false">IF(In!I132="","",In!I132)</f>
        <v/>
      </c>
      <c r="F97" s="20" t="str">
        <f aca="false">IF(In!J132="","",In!J132)</f>
        <v/>
      </c>
      <c r="G97" s="20" t="str">
        <f aca="false">IF(In!K132="","",In!K132)</f>
        <v/>
      </c>
      <c r="H97" s="20" t="str">
        <f aca="false">IF(In!L132="","",In!L132)</f>
        <v/>
      </c>
      <c r="I97" s="20" t="str">
        <f aca="false">IF(In!M132="","",In!M132)</f>
        <v/>
      </c>
      <c r="J97" s="20" t="str">
        <f aca="false">IF(In!N132="","",In!N132)</f>
        <v/>
      </c>
      <c r="K97" s="20" t="str">
        <f aca="false">IF(In!O132="","",In!O132)</f>
        <v/>
      </c>
      <c r="L97" s="20" t="str">
        <f aca="false">IF(In!P132="","",In!P132)</f>
        <v/>
      </c>
      <c r="M97" s="20" t="str">
        <f aca="false">IF(In!Q132="","",In!Q132)</f>
        <v/>
      </c>
    </row>
    <row r="98" customFormat="false" ht="17.15" hidden="false" customHeight="false" outlineLevel="0" collapsed="false">
      <c r="A98" s="5" t="s">
        <v>1991</v>
      </c>
      <c r="C98" s="0" t="s">
        <v>41</v>
      </c>
      <c r="D98" s="30" t="str">
        <f aca="false">IF(OR(D97="",N(D97)=0),"",D96/D97)</f>
        <v/>
      </c>
      <c r="E98" s="30" t="str">
        <f aca="false">IF(OR(E97="",N(E97)=0),"",E96/E97)</f>
        <v/>
      </c>
      <c r="F98" s="30" t="str">
        <f aca="false">IF(OR(F97="",N(F97)=0),"",F96/F97)</f>
        <v/>
      </c>
      <c r="G98" s="30" t="str">
        <f aca="false">IF(OR(G97="",N(G97)=0),"",G96/G97)</f>
        <v/>
      </c>
      <c r="H98" s="30" t="str">
        <f aca="false">IF(OR(H97="",N(H97)=0),"",H96/H97)</f>
        <v/>
      </c>
      <c r="I98" s="30" t="str">
        <f aca="false">IF(OR(I97="",N(I97)=0),"",I96/I97)</f>
        <v/>
      </c>
      <c r="J98" s="30" t="str">
        <f aca="false">IF(OR(J97="",N(J97)=0),"",J96/J97)</f>
        <v/>
      </c>
      <c r="K98" s="30" t="str">
        <f aca="false">IF(OR(K97="",N(K97)=0),"",K96/K97)</f>
        <v/>
      </c>
      <c r="L98" s="30" t="str">
        <f aca="false">IF(OR(L97="",N(L97)=0),"",L96/L97)</f>
        <v/>
      </c>
      <c r="M98" s="30" t="str">
        <f aca="false">IF(OR(M97="",N(M97)=0),"",M96/M97)</f>
        <v/>
      </c>
    </row>
    <row r="99" customFormat="false" ht="15" hidden="false" customHeight="false" outlineLevel="0" collapsed="false">
      <c r="A99" s="5" t="s">
        <v>1992</v>
      </c>
      <c r="C99" s="0" t="s">
        <v>40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1544</v>
      </c>
      <c r="B101" s="21" t="s">
        <v>753</v>
      </c>
      <c r="N101" s="5" t="s">
        <v>2001</v>
      </c>
    </row>
    <row r="102" customFormat="false" ht="17.15" hidden="false" customHeight="false" outlineLevel="0" collapsed="false">
      <c r="A102" s="5" t="s">
        <v>1985</v>
      </c>
      <c r="C102" s="0" t="s">
        <v>395</v>
      </c>
      <c r="D102" s="33" t="n">
        <f aca="false">Players!D207*((1-Players!D209)*D$8+Players!D209*TK_NonNV_Hold_OAI*TK_CapexIT_VR200)</f>
        <v>0</v>
      </c>
      <c r="E102" s="33" t="n">
        <f aca="false">Players!E207*((1-Players!E209)*E$8+Players!E209*TK_NonNV_Hold_OAI*TK_CapexIT_VR200)</f>
        <v>0</v>
      </c>
      <c r="F102" s="33" t="n">
        <f aca="false">Players!F207*((1-Players!F209)*F$8+Players!F209*TK_NonNV_Hold_OAI*TK_CapexIT_VR200)</f>
        <v>0</v>
      </c>
      <c r="G102" s="33" t="n">
        <f aca="false">Players!G207*((1-Players!G209)*G$8+Players!G209*TK_NonNV_Hold_OAI*TK_CapexIT_VR200)</f>
        <v>0</v>
      </c>
      <c r="H102" s="33" t="n">
        <f aca="false">Players!H207*((1-Players!H209)*H$8+Players!H209*TK_NonNV_Hold_OAI*TK_CapexIT_VR200)</f>
        <v>18.8345324493676</v>
      </c>
      <c r="I102" s="33" t="n">
        <f aca="false">Players!I207*((1-Players!I209)*I$8+Players!I209*TK_NonNV_Hold_OAI*TK_CapexIT_VR200)</f>
        <v>47.6781834780054</v>
      </c>
      <c r="J102" s="33" t="n">
        <f aca="false">Players!J207*((1-Players!J209)*J$8+Players!J209*TK_NonNV_Hold_OAI*TK_CapexIT_VR200)</f>
        <v>43.9685832847277</v>
      </c>
      <c r="K102" s="33" t="n">
        <f aca="false">Players!K207*((1-Players!K209)*K$8+Players!K209*TK_NonNV_Hold_OAI*TK_CapexIT_VR200)</f>
        <v>43.9685832847277</v>
      </c>
      <c r="L102" s="33" t="n">
        <f aca="false">Players!L207*((1-Players!L209)*L$8+Players!L209*TK_NonNV_Hold_OAI*TK_CapexIT_VR200)</f>
        <v>44.0068501109111</v>
      </c>
      <c r="M102" s="33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1986</v>
      </c>
      <c r="C103" s="0" t="s">
        <v>395</v>
      </c>
      <c r="D103" s="33" t="n">
        <f aca="false">Players!D207*((1-Players!D209)*D$9+Players!D209*TK_NonNV_Hold_OAI*TK_CapexFacility_VR200)</f>
        <v>0</v>
      </c>
      <c r="E103" s="33" t="n">
        <f aca="false">Players!E207*((1-Players!E209)*E$9+Players!E209*TK_NonNV_Hold_OAI*TK_CapexFacility_VR200)</f>
        <v>0</v>
      </c>
      <c r="F103" s="33" t="n">
        <f aca="false">Players!F207*((1-Players!F209)*F$9+Players!F209*TK_NonNV_Hold_OAI*TK_CapexFacility_VR200)</f>
        <v>0</v>
      </c>
      <c r="G103" s="33" t="n">
        <f aca="false">Players!G207*((1-Players!G209)*G$9+Players!G209*TK_NonNV_Hold_OAI*TK_CapexFacility_VR200)</f>
        <v>0</v>
      </c>
      <c r="H103" s="33" t="n">
        <f aca="false">Players!H207*((1-Players!H209)*H$9+Players!H209*TK_NonNV_Hold_OAI*TK_CapexFacility_VR200)</f>
        <v>6.25249505797426</v>
      </c>
      <c r="I103" s="33" t="n">
        <f aca="false">Players!I207*((1-Players!I209)*I$9+Players!I209*TK_NonNV_Hold_OAI*TK_CapexFacility_VR200)</f>
        <v>14.9235403308672</v>
      </c>
      <c r="J103" s="33" t="n">
        <f aca="false">Players!J207*((1-Players!J209)*J$9+Players!J209*TK_NonNV_Hold_OAI*TK_CapexFacility_VR200)</f>
        <v>13.7653381019809</v>
      </c>
      <c r="K103" s="33" t="n">
        <f aca="false">Players!K207*((1-Players!K209)*K$9+Players!K209*TK_NonNV_Hold_OAI*TK_CapexFacility_VR200)</f>
        <v>13.7653381019809</v>
      </c>
      <c r="L103" s="33" t="n">
        <f aca="false">Players!L207*((1-Players!L209)*L$9+Players!L209*TK_NonNV_Hold_OAI*TK_CapexFacility_VR200)</f>
        <v>13.7773183788321</v>
      </c>
      <c r="M103" s="33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1987</v>
      </c>
      <c r="C104" s="0" t="s">
        <v>395</v>
      </c>
      <c r="D104" s="33" t="n">
        <f aca="false">D103*$D$5+E103*$D$6+F103*$D$7</f>
        <v>0</v>
      </c>
      <c r="E104" s="33" t="n">
        <f aca="false">E103*$D$5+F103*$D$6+G103*$D$7</f>
        <v>0</v>
      </c>
      <c r="F104" s="33" t="n">
        <f aca="false">F103*$D$5+G103*$D$6+H103*$D$7</f>
        <v>3.12624752898713</v>
      </c>
      <c r="G104" s="33" t="n">
        <f aca="false">G103*$D$5+H103*$D$6+I103*$D$7</f>
        <v>10.5880176944207</v>
      </c>
      <c r="H104" s="33" t="n">
        <f aca="false">H103*$D$5+I103*$D$6+J103*$D$7</f>
        <v>14.344439216424</v>
      </c>
      <c r="I104" s="33" t="n">
        <f aca="false">I103*$D$5+J103*$D$6+K103*$D$7</f>
        <v>13.7653381019809</v>
      </c>
      <c r="J104" s="33" t="n">
        <f aca="false">J103*$D$5+K103*$D$6+L103*$D$7</f>
        <v>13.7713282404065</v>
      </c>
      <c r="K104" s="33" t="n">
        <f aca="false">K103*$D$5+L103*$D$6+M103*$D$7</f>
        <v>6.88865918941603</v>
      </c>
      <c r="L104" s="33" t="n">
        <f aca="false">L103*$D$5+M103*$D$6</f>
        <v>0</v>
      </c>
      <c r="M104" s="33" t="n">
        <f aca="false">M103*$D$5</f>
        <v>0</v>
      </c>
    </row>
    <row r="105" customFormat="false" ht="17.15" hidden="false" customHeight="false" outlineLevel="0" collapsed="false">
      <c r="A105" s="5" t="s">
        <v>1988</v>
      </c>
      <c r="C105" s="0" t="s">
        <v>395</v>
      </c>
      <c r="D105" s="33" t="n">
        <f aca="false">D102+D104</f>
        <v>0</v>
      </c>
      <c r="E105" s="33" t="n">
        <f aca="false">E102+E104</f>
        <v>0</v>
      </c>
      <c r="F105" s="33" t="n">
        <f aca="false">F102+F104</f>
        <v>3.12624752898713</v>
      </c>
      <c r="G105" s="33" t="n">
        <f aca="false">G102+G104</f>
        <v>10.5880176944207</v>
      </c>
      <c r="H105" s="33" t="n">
        <f aca="false">H102+H104</f>
        <v>33.1789716657917</v>
      </c>
      <c r="I105" s="33" t="n">
        <f aca="false">I102+I104</f>
        <v>61.4435215799864</v>
      </c>
      <c r="J105" s="33" t="n">
        <f aca="false">J102+J104</f>
        <v>57.7399115251342</v>
      </c>
      <c r="K105" s="33" t="n">
        <f aca="false">K102+K104</f>
        <v>50.8572424741437</v>
      </c>
      <c r="L105" s="33" t="n">
        <f aca="false">L102+L104</f>
        <v>44.0068501109111</v>
      </c>
      <c r="M105" s="33" t="n">
        <f aca="false">M102+M104</f>
        <v>0</v>
      </c>
    </row>
    <row r="106" customFormat="false" ht="17.15" hidden="false" customHeight="false" outlineLevel="0" collapsed="false">
      <c r="A106" s="5" t="s">
        <v>1989</v>
      </c>
      <c r="C106" s="0" t="s">
        <v>395</v>
      </c>
      <c r="D106" s="33" t="n">
        <f aca="false">D105*12/12+N(In!H149)</f>
        <v>0</v>
      </c>
      <c r="E106" s="33" t="n">
        <f aca="false">E105*12/12+D105*(12-12)/12+N(In!I149)</f>
        <v>0</v>
      </c>
      <c r="F106" s="33" t="n">
        <f aca="false">F105*12/12+E105*(12-12)/12+N(In!J149)</f>
        <v>3.12624752898713</v>
      </c>
      <c r="G106" s="33" t="n">
        <f aca="false">G105*12/12+F105*(12-12)/12+N(In!K149)</f>
        <v>10.5880176944207</v>
      </c>
      <c r="H106" s="33" t="n">
        <f aca="false">H105*12/12+G105*(12-12)/12+N(In!L149)</f>
        <v>33.1789716657917</v>
      </c>
      <c r="I106" s="33" t="n">
        <f aca="false">I105*12/12+H105*(12-12)/12+N(In!M149)</f>
        <v>61.4435215799864</v>
      </c>
      <c r="J106" s="33" t="n">
        <f aca="false">J105*12/12+I105*(12-12)/12+N(In!N149)</f>
        <v>57.7399115251342</v>
      </c>
      <c r="K106" s="33" t="n">
        <f aca="false">K105*12/12+J105*(12-12)/12+N(In!O149)</f>
        <v>50.8572424741437</v>
      </c>
      <c r="L106" s="33" t="n">
        <f aca="false">L105*12/12+K105*(12-12)/12+N(In!P149)</f>
        <v>44.0068501109111</v>
      </c>
      <c r="M106" s="33" t="n">
        <f aca="false">M105*12/12+L105*(12-12)/12+N(In!Q149)</f>
        <v>0</v>
      </c>
    </row>
    <row r="107" customFormat="false" ht="17.15" hidden="false" customHeight="false" outlineLevel="0" collapsed="false">
      <c r="A107" s="5" t="s">
        <v>1990</v>
      </c>
      <c r="C107" s="0" t="s">
        <v>395</v>
      </c>
      <c r="D107" s="20" t="str">
        <f aca="false">IF(In!H133="","",In!H133)</f>
        <v/>
      </c>
      <c r="E107" s="20" t="str">
        <f aca="false">IF(In!I133="","",In!I133)</f>
        <v/>
      </c>
      <c r="F107" s="20" t="str">
        <f aca="false">IF(In!J133="","",In!J133)</f>
        <v/>
      </c>
      <c r="G107" s="20" t="str">
        <f aca="false">IF(In!K133="","",In!K133)</f>
        <v/>
      </c>
      <c r="H107" s="20" t="str">
        <f aca="false">IF(In!L133="","",In!L133)</f>
        <v/>
      </c>
      <c r="I107" s="20" t="str">
        <f aca="false">IF(In!M133="","",In!M133)</f>
        <v/>
      </c>
      <c r="J107" s="20" t="str">
        <f aca="false">IF(In!N133="","",In!N133)</f>
        <v/>
      </c>
      <c r="K107" s="20" t="str">
        <f aca="false">IF(In!O133="","",In!O133)</f>
        <v/>
      </c>
      <c r="L107" s="20" t="str">
        <f aca="false">IF(In!P133="","",In!P133)</f>
        <v/>
      </c>
      <c r="M107" s="20" t="str">
        <f aca="false">IF(In!Q133="","",In!Q133)</f>
        <v/>
      </c>
    </row>
    <row r="108" customFormat="false" ht="17.15" hidden="false" customHeight="false" outlineLevel="0" collapsed="false">
      <c r="A108" s="5" t="s">
        <v>1991</v>
      </c>
      <c r="C108" s="0" t="s">
        <v>41</v>
      </c>
      <c r="D108" s="30" t="str">
        <f aca="false">IF(OR(D107="",N(D107)=0),"",D106/D107)</f>
        <v/>
      </c>
      <c r="E108" s="30" t="str">
        <f aca="false">IF(OR(E107="",N(E107)=0),"",E106/E107)</f>
        <v/>
      </c>
      <c r="F108" s="30" t="str">
        <f aca="false">IF(OR(F107="",N(F107)=0),"",F106/F107)</f>
        <v/>
      </c>
      <c r="G108" s="30" t="str">
        <f aca="false">IF(OR(G107="",N(G107)=0),"",G106/G107)</f>
        <v/>
      </c>
      <c r="H108" s="30" t="str">
        <f aca="false">IF(OR(H107="",N(H107)=0),"",H106/H107)</f>
        <v/>
      </c>
      <c r="I108" s="30" t="str">
        <f aca="false">IF(OR(I107="",N(I107)=0),"",I106/I107)</f>
        <v/>
      </c>
      <c r="J108" s="30" t="str">
        <f aca="false">IF(OR(J107="",N(J107)=0),"",J106/J107)</f>
        <v/>
      </c>
      <c r="K108" s="30" t="str">
        <f aca="false">IF(OR(K107="",N(K107)=0),"",K106/K107)</f>
        <v/>
      </c>
      <c r="L108" s="30" t="str">
        <f aca="false">IF(OR(L107="",N(L107)=0),"",L106/L107)</f>
        <v/>
      </c>
      <c r="M108" s="30" t="str">
        <f aca="false">IF(OR(M107="",N(M107)=0),"",M106/M107)</f>
        <v/>
      </c>
    </row>
    <row r="109" customFormat="false" ht="15" hidden="false" customHeight="false" outlineLevel="0" collapsed="false">
      <c r="A109" s="5" t="s">
        <v>1992</v>
      </c>
      <c r="C109" s="0" t="s">
        <v>40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1563</v>
      </c>
      <c r="B111" s="21" t="s">
        <v>737</v>
      </c>
      <c r="N111" s="5" t="s">
        <v>2001</v>
      </c>
    </row>
    <row r="112" customFormat="false" ht="17.15" hidden="false" customHeight="false" outlineLevel="0" collapsed="false">
      <c r="A112" s="5" t="s">
        <v>1985</v>
      </c>
      <c r="C112" s="0" t="s">
        <v>395</v>
      </c>
      <c r="D112" s="33" t="n">
        <f aca="false">Players!D226*((1-Players!D228)*D$8+Players!D228*TK_NonNV_Hold_TPU*TK_CapexIT_VR200)</f>
        <v>0</v>
      </c>
      <c r="E112" s="33" t="n">
        <f aca="false">Players!E226*((1-Players!E228)*E$8+Players!E228*TK_NonNV_Hold_TPU*TK_CapexIT_VR200)</f>
        <v>0</v>
      </c>
      <c r="F112" s="33" t="n">
        <f aca="false">Players!F226*((1-Players!F228)*F$8+Players!F228*TK_NonNV_Hold_TPU*TK_CapexIT_VR200)</f>
        <v>0</v>
      </c>
      <c r="G112" s="33" t="n">
        <f aca="false">Players!G226*((1-Players!G228)*G$8+Players!G228*TK_NonNV_Hold_TPU*TK_CapexIT_VR200)</f>
        <v>0</v>
      </c>
      <c r="H112" s="33" t="n">
        <f aca="false">Players!H226*((1-Players!H228)*H$8+Players!H228*TK_NonNV_Hold_TPU*TK_CapexIT_VR200)</f>
        <v>0</v>
      </c>
      <c r="I112" s="33" t="n">
        <f aca="false">Players!I226*((1-Players!I228)*I$8+Players!I228*TK_NonNV_Hold_TPU*TK_CapexIT_VR200)</f>
        <v>0</v>
      </c>
      <c r="J112" s="33" t="n">
        <f aca="false">Players!J226*((1-Players!J228)*J$8+Players!J228*TK_NonNV_Hold_TPU*TK_CapexIT_VR200)</f>
        <v>0</v>
      </c>
      <c r="K112" s="33" t="n">
        <f aca="false">Players!K226*((1-Players!K228)*K$8+Players!K228*TK_NonNV_Hold_TPU*TK_CapexIT_VR200)</f>
        <v>0</v>
      </c>
      <c r="L112" s="33" t="n">
        <f aca="false">Players!L226*((1-Players!L228)*L$8+Players!L228*TK_NonNV_Hold_TPU*TK_CapexIT_VR200)</f>
        <v>0</v>
      </c>
      <c r="M112" s="33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1986</v>
      </c>
      <c r="C113" s="0" t="s">
        <v>395</v>
      </c>
      <c r="D113" s="33" t="n">
        <f aca="false">Players!D226*((1-Players!D228)*D$9+Players!D228*TK_NonNV_Hold_TPU*TK_CapexFacility_VR200)</f>
        <v>0</v>
      </c>
      <c r="E113" s="33" t="n">
        <f aca="false">Players!E226*((1-Players!E228)*E$9+Players!E228*TK_NonNV_Hold_TPU*TK_CapexFacility_VR200)</f>
        <v>0</v>
      </c>
      <c r="F113" s="33" t="n">
        <f aca="false">Players!F226*((1-Players!F228)*F$9+Players!F228*TK_NonNV_Hold_TPU*TK_CapexFacility_VR200)</f>
        <v>0</v>
      </c>
      <c r="G113" s="33" t="n">
        <f aca="false">Players!G226*((1-Players!G228)*G$9+Players!G228*TK_NonNV_Hold_TPU*TK_CapexFacility_VR200)</f>
        <v>0</v>
      </c>
      <c r="H113" s="33" t="n">
        <f aca="false">Players!H226*((1-Players!H228)*H$9+Players!H228*TK_NonNV_Hold_TPU*TK_CapexFacility_VR200)</f>
        <v>0</v>
      </c>
      <c r="I113" s="33" t="n">
        <f aca="false">Players!I226*((1-Players!I228)*I$9+Players!I228*TK_NonNV_Hold_TPU*TK_CapexFacility_VR200)</f>
        <v>0</v>
      </c>
      <c r="J113" s="33" t="n">
        <f aca="false">Players!J226*((1-Players!J228)*J$9+Players!J228*TK_NonNV_Hold_TPU*TK_CapexFacility_VR200)</f>
        <v>0</v>
      </c>
      <c r="K113" s="33" t="n">
        <f aca="false">Players!K226*((1-Players!K228)*K$9+Players!K228*TK_NonNV_Hold_TPU*TK_CapexFacility_VR200)</f>
        <v>0</v>
      </c>
      <c r="L113" s="33" t="n">
        <f aca="false">Players!L226*((1-Players!L228)*L$9+Players!L228*TK_NonNV_Hold_TPU*TK_CapexFacility_VR200)</f>
        <v>0</v>
      </c>
      <c r="M113" s="33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1987</v>
      </c>
      <c r="C114" s="0" t="s">
        <v>395</v>
      </c>
      <c r="D114" s="33" t="n">
        <f aca="false">D113*$D$5+E113*$D$6+F113*$D$7</f>
        <v>0</v>
      </c>
      <c r="E114" s="33" t="n">
        <f aca="false">E113*$D$5+F113*$D$6+G113*$D$7</f>
        <v>0</v>
      </c>
      <c r="F114" s="33" t="n">
        <f aca="false">F113*$D$5+G113*$D$6+H113*$D$7</f>
        <v>0</v>
      </c>
      <c r="G114" s="33" t="n">
        <f aca="false">G113*$D$5+H113*$D$6+I113*$D$7</f>
        <v>0</v>
      </c>
      <c r="H114" s="33" t="n">
        <f aca="false">H113*$D$5+I113*$D$6+J113*$D$7</f>
        <v>0</v>
      </c>
      <c r="I114" s="33" t="n">
        <f aca="false">I113*$D$5+J113*$D$6+K113*$D$7</f>
        <v>0</v>
      </c>
      <c r="J114" s="33" t="n">
        <f aca="false">J113*$D$5+K113*$D$6+L113*$D$7</f>
        <v>0</v>
      </c>
      <c r="K114" s="33" t="n">
        <f aca="false">K113*$D$5+L113*$D$6+M113*$D$7</f>
        <v>0</v>
      </c>
      <c r="L114" s="33" t="n">
        <f aca="false">L113*$D$5+M113*$D$6</f>
        <v>0</v>
      </c>
      <c r="M114" s="33" t="n">
        <f aca="false">M113*$D$5</f>
        <v>0</v>
      </c>
    </row>
    <row r="115" customFormat="false" ht="17.15" hidden="false" customHeight="false" outlineLevel="0" collapsed="false">
      <c r="A115" s="5" t="s">
        <v>1988</v>
      </c>
      <c r="C115" s="0" t="s">
        <v>395</v>
      </c>
      <c r="D115" s="33" t="n">
        <f aca="false">D112+D114</f>
        <v>0</v>
      </c>
      <c r="E115" s="33" t="n">
        <f aca="false">E112+E114</f>
        <v>0</v>
      </c>
      <c r="F115" s="33" t="n">
        <f aca="false">F112+F114</f>
        <v>0</v>
      </c>
      <c r="G115" s="33" t="n">
        <f aca="false">G112+G114</f>
        <v>0</v>
      </c>
      <c r="H115" s="33" t="n">
        <f aca="false">H112+H114</f>
        <v>0</v>
      </c>
      <c r="I115" s="33" t="n">
        <f aca="false">I112+I114</f>
        <v>0</v>
      </c>
      <c r="J115" s="33" t="n">
        <f aca="false">J112+J114</f>
        <v>0</v>
      </c>
      <c r="K115" s="33" t="n">
        <f aca="false">K112+K114</f>
        <v>0</v>
      </c>
      <c r="L115" s="33" t="n">
        <f aca="false">L112+L114</f>
        <v>0</v>
      </c>
      <c r="M115" s="33" t="n">
        <f aca="false">M112+M114</f>
        <v>0</v>
      </c>
    </row>
    <row r="116" customFormat="false" ht="17.15" hidden="false" customHeight="false" outlineLevel="0" collapsed="false">
      <c r="A116" s="5" t="s">
        <v>1989</v>
      </c>
      <c r="C116" s="0" t="s">
        <v>395</v>
      </c>
      <c r="D116" s="33" t="n">
        <f aca="false">D115*12/12+N(In!H150)</f>
        <v>0</v>
      </c>
      <c r="E116" s="33" t="n">
        <f aca="false">E115*12/12+D115*(12-12)/12+N(In!I150)</f>
        <v>0</v>
      </c>
      <c r="F116" s="33" t="n">
        <f aca="false">F115*12/12+E115*(12-12)/12+N(In!J150)</f>
        <v>0</v>
      </c>
      <c r="G116" s="33" t="n">
        <f aca="false">G115*12/12+F115*(12-12)/12+N(In!K150)</f>
        <v>0</v>
      </c>
      <c r="H116" s="33" t="n">
        <f aca="false">H115*12/12+G115*(12-12)/12+N(In!L150)</f>
        <v>0</v>
      </c>
      <c r="I116" s="33" t="n">
        <f aca="false">I115*12/12+H115*(12-12)/12+N(In!M150)</f>
        <v>0</v>
      </c>
      <c r="J116" s="33" t="n">
        <f aca="false">J115*12/12+I115*(12-12)/12+N(In!N150)</f>
        <v>0</v>
      </c>
      <c r="K116" s="33" t="n">
        <f aca="false">K115*12/12+J115*(12-12)/12+N(In!O150)</f>
        <v>0</v>
      </c>
      <c r="L116" s="33" t="n">
        <f aca="false">L115*12/12+K115*(12-12)/12+N(In!P150)</f>
        <v>0</v>
      </c>
      <c r="M116" s="33" t="n">
        <f aca="false">M115*12/12+L115*(12-12)/12+N(In!Q150)</f>
        <v>0</v>
      </c>
    </row>
    <row r="117" customFormat="false" ht="17.15" hidden="false" customHeight="false" outlineLevel="0" collapsed="false">
      <c r="A117" s="5" t="s">
        <v>1990</v>
      </c>
      <c r="C117" s="0" t="s">
        <v>395</v>
      </c>
      <c r="D117" s="20" t="str">
        <f aca="false">IF(In!H134="","",In!H134)</f>
        <v/>
      </c>
      <c r="E117" s="20" t="str">
        <f aca="false">IF(In!I134="","",In!I134)</f>
        <v/>
      </c>
      <c r="F117" s="20" t="str">
        <f aca="false">IF(In!J134="","",In!J134)</f>
        <v/>
      </c>
      <c r="G117" s="20" t="str">
        <f aca="false">IF(In!K134="","",In!K134)</f>
        <v/>
      </c>
      <c r="H117" s="20" t="str">
        <f aca="false">IF(In!L134="","",In!L134)</f>
        <v/>
      </c>
      <c r="I117" s="20" t="str">
        <f aca="false">IF(In!M134="","",In!M134)</f>
        <v/>
      </c>
      <c r="J117" s="20" t="str">
        <f aca="false">IF(In!N134="","",In!N134)</f>
        <v/>
      </c>
      <c r="K117" s="20" t="str">
        <f aca="false">IF(In!O134="","",In!O134)</f>
        <v/>
      </c>
      <c r="L117" s="20" t="str">
        <f aca="false">IF(In!P134="","",In!P134)</f>
        <v/>
      </c>
      <c r="M117" s="20" t="str">
        <f aca="false">IF(In!Q134="","",In!Q134)</f>
        <v/>
      </c>
    </row>
    <row r="118" customFormat="false" ht="17.15" hidden="false" customHeight="false" outlineLevel="0" collapsed="false">
      <c r="A118" s="5" t="s">
        <v>1991</v>
      </c>
      <c r="C118" s="0" t="s">
        <v>41</v>
      </c>
      <c r="D118" s="30" t="str">
        <f aca="false">IF(OR(D117="",N(D117)=0),"",D116/D117)</f>
        <v/>
      </c>
      <c r="E118" s="30" t="str">
        <f aca="false">IF(OR(E117="",N(E117)=0),"",E116/E117)</f>
        <v/>
      </c>
      <c r="F118" s="30" t="str">
        <f aca="false">IF(OR(F117="",N(F117)=0),"",F116/F117)</f>
        <v/>
      </c>
      <c r="G118" s="30" t="str">
        <f aca="false">IF(OR(G117="",N(G117)=0),"",G116/G117)</f>
        <v/>
      </c>
      <c r="H118" s="30" t="str">
        <f aca="false">IF(OR(H117="",N(H117)=0),"",H116/H117)</f>
        <v/>
      </c>
      <c r="I118" s="30" t="str">
        <f aca="false">IF(OR(I117="",N(I117)=0),"",I116/I117)</f>
        <v/>
      </c>
      <c r="J118" s="30" t="str">
        <f aca="false">IF(OR(J117="",N(J117)=0),"",J116/J117)</f>
        <v/>
      </c>
      <c r="K118" s="30" t="str">
        <f aca="false">IF(OR(K117="",N(K117)=0),"",K116/K117)</f>
        <v/>
      </c>
      <c r="L118" s="30" t="str">
        <f aca="false">IF(OR(L117="",N(L117)=0),"",L116/L117)</f>
        <v/>
      </c>
      <c r="M118" s="30" t="str">
        <f aca="false">IF(OR(M117="",N(M117)=0),"",M116/M117)</f>
        <v/>
      </c>
    </row>
    <row r="119" customFormat="false" ht="15" hidden="false" customHeight="false" outlineLevel="0" collapsed="false">
      <c r="A119" s="5" t="s">
        <v>1992</v>
      </c>
      <c r="C119" s="0" t="s">
        <v>40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2" t="s">
        <v>1582</v>
      </c>
      <c r="B121" s="21" t="s">
        <v>767</v>
      </c>
      <c r="N121" s="5" t="s">
        <v>2001</v>
      </c>
    </row>
    <row r="122" customFormat="false" ht="17.15" hidden="false" customHeight="false" outlineLevel="0" collapsed="false">
      <c r="A122" s="5" t="s">
        <v>1985</v>
      </c>
      <c r="C122" s="0" t="s">
        <v>395</v>
      </c>
      <c r="D122" s="33" t="n">
        <f aca="false">Players!D245*((1-Players!D247)*D$8+Players!D247*TK_NonNV_Hold_AMD*TK_CapexIT_VR200)</f>
        <v>0</v>
      </c>
      <c r="E122" s="33" t="n">
        <f aca="false">Players!E245*((1-Players!E247)*E$8+Players!E247*TK_NonNV_Hold_AMD*TK_CapexIT_VR200)</f>
        <v>0</v>
      </c>
      <c r="F122" s="33" t="n">
        <f aca="false">Players!F245*((1-Players!F247)*F$8+Players!F247*TK_NonNV_Hold_AMD*TK_CapexIT_VR200)</f>
        <v>8.2271675159742</v>
      </c>
      <c r="G122" s="33" t="n">
        <f aca="false">Players!G245*((1-Players!G247)*G$8+Players!G247*TK_NonNV_Hold_AMD*TK_CapexIT_VR200)</f>
        <v>26.4519229073178</v>
      </c>
      <c r="H122" s="33" t="n">
        <f aca="false">Players!H245*((1-Players!H247)*H$8+Players!H247*TK_NonNV_Hold_AMD*TK_CapexIT_VR200)</f>
        <v>53.9772192633309</v>
      </c>
      <c r="I122" s="33" t="n">
        <f aca="false">Players!I245*((1-Players!I247)*I$8+Players!I247*TK_NonNV_Hold_AMD*TK_CapexIT_VR200)</f>
        <v>73.8410317807427</v>
      </c>
      <c r="J122" s="33" t="n">
        <f aca="false">Players!J245*((1-Players!J247)*J$8+Players!J247*TK_NonNV_Hold_AMD*TK_CapexIT_VR200)</f>
        <v>0</v>
      </c>
      <c r="K122" s="33" t="n">
        <f aca="false">Players!K245*((1-Players!K247)*K$8+Players!K247*TK_NonNV_Hold_AMD*TK_CapexIT_VR200)</f>
        <v>0</v>
      </c>
      <c r="L122" s="33" t="n">
        <f aca="false">Players!L245*((1-Players!L247)*L$8+Players!L247*TK_NonNV_Hold_AMD*TK_CapexIT_VR200)</f>
        <v>0</v>
      </c>
      <c r="M122" s="33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1986</v>
      </c>
      <c r="C123" s="0" t="s">
        <v>395</v>
      </c>
      <c r="D123" s="33" t="n">
        <f aca="false">Players!D245*((1-Players!D247)*D$9+Players!D247*TK_NonNV_Hold_AMD*TK_CapexFacility_VR200)</f>
        <v>0</v>
      </c>
      <c r="E123" s="33" t="n">
        <f aca="false">Players!E245*((1-Players!E247)*E$9+Players!E247*TK_NonNV_Hold_AMD*TK_CapexFacility_VR200)</f>
        <v>0</v>
      </c>
      <c r="F123" s="33" t="n">
        <f aca="false">Players!F245*((1-Players!F247)*F$9+Players!F247*TK_NonNV_Hold_AMD*TK_CapexFacility_VR200)</f>
        <v>3.66518453020125</v>
      </c>
      <c r="G123" s="33" t="n">
        <f aca="false">Players!G245*((1-Players!G247)*G$9+Players!G247*TK_NonNV_Hold_AMD*TK_CapexFacility_VR200)</f>
        <v>9.77382541387001</v>
      </c>
      <c r="H123" s="33" t="n">
        <f aca="false">Players!H245*((1-Players!H247)*H$9+Players!H247*TK_NonNV_Hold_AMD*TK_CapexFacility_VR200)</f>
        <v>17.9226806185518</v>
      </c>
      <c r="I123" s="33" t="n">
        <f aca="false">Players!I245*((1-Players!I247)*I$9+Players!I247*TK_NonNV_Hold_AMD*TK_CapexFacility_VR200)</f>
        <v>23.1358833732772</v>
      </c>
      <c r="J123" s="33" t="n">
        <f aca="false">Players!J245*((1-Players!J247)*J$9+Players!J247*TK_NonNV_Hold_AMD*TK_CapexFacility_VR200)</f>
        <v>0</v>
      </c>
      <c r="K123" s="33" t="n">
        <f aca="false">Players!K245*((1-Players!K247)*K$9+Players!K247*TK_NonNV_Hold_AMD*TK_CapexFacility_VR200)</f>
        <v>0</v>
      </c>
      <c r="L123" s="33" t="n">
        <f aca="false">Players!L245*((1-Players!L247)*L$9+Players!L247*TK_NonNV_Hold_AMD*TK_CapexFacility_VR200)</f>
        <v>0</v>
      </c>
      <c r="M123" s="33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1987</v>
      </c>
      <c r="C124" s="0" t="s">
        <v>395</v>
      </c>
      <c r="D124" s="33" t="n">
        <f aca="false">D123*$D$5+E123*$D$6+F123*$D$7</f>
        <v>1.83259226510063</v>
      </c>
      <c r="E124" s="33" t="n">
        <f aca="false">E123*$D$5+F123*$D$6+G123*$D$7</f>
        <v>6.71950497203563</v>
      </c>
      <c r="F124" s="33" t="n">
        <f aca="false">F123*$D$5+G123*$D$6+H123*$D$7</f>
        <v>13.8482530162109</v>
      </c>
      <c r="G124" s="33" t="n">
        <f aca="false">G123*$D$5+H123*$D$6+I123*$D$7</f>
        <v>20.5292819959145</v>
      </c>
      <c r="H124" s="33" t="n">
        <f aca="false">H123*$D$5+I123*$D$6+J123*$D$7</f>
        <v>11.5679416866386</v>
      </c>
      <c r="I124" s="33" t="n">
        <f aca="false">I123*$D$5+J123*$D$6+K123*$D$7</f>
        <v>0</v>
      </c>
      <c r="J124" s="33" t="n">
        <f aca="false">J123*$D$5+K123*$D$6+L123*$D$7</f>
        <v>0</v>
      </c>
      <c r="K124" s="33" t="n">
        <f aca="false">K123*$D$5+L123*$D$6+M123*$D$7</f>
        <v>0</v>
      </c>
      <c r="L124" s="33" t="n">
        <f aca="false">L123*$D$5+M123*$D$6</f>
        <v>0</v>
      </c>
      <c r="M124" s="33" t="n">
        <f aca="false">M123*$D$5</f>
        <v>0</v>
      </c>
    </row>
    <row r="125" customFormat="false" ht="17.15" hidden="false" customHeight="false" outlineLevel="0" collapsed="false">
      <c r="A125" s="5" t="s">
        <v>1988</v>
      </c>
      <c r="C125" s="0" t="s">
        <v>395</v>
      </c>
      <c r="D125" s="33" t="n">
        <f aca="false">D122+D124</f>
        <v>1.83259226510063</v>
      </c>
      <c r="E125" s="33" t="n">
        <f aca="false">E122+E124</f>
        <v>6.71950497203563</v>
      </c>
      <c r="F125" s="33" t="n">
        <f aca="false">F122+F124</f>
        <v>22.0754205321851</v>
      </c>
      <c r="G125" s="33" t="n">
        <f aca="false">G122+G124</f>
        <v>46.9812049032323</v>
      </c>
      <c r="H125" s="33" t="n">
        <f aca="false">H122+H124</f>
        <v>65.5451609499695</v>
      </c>
      <c r="I125" s="33" t="n">
        <f aca="false">I122+I124</f>
        <v>73.8410317807427</v>
      </c>
      <c r="J125" s="33" t="n">
        <f aca="false">J122+J124</f>
        <v>0</v>
      </c>
      <c r="K125" s="33" t="n">
        <f aca="false">K122+K124</f>
        <v>0</v>
      </c>
      <c r="L125" s="33" t="n">
        <f aca="false">L122+L124</f>
        <v>0</v>
      </c>
      <c r="M125" s="33" t="n">
        <f aca="false">M122+M124</f>
        <v>0</v>
      </c>
    </row>
    <row r="126" customFormat="false" ht="17.15" hidden="false" customHeight="false" outlineLevel="0" collapsed="false">
      <c r="A126" s="5" t="s">
        <v>1989</v>
      </c>
      <c r="C126" s="0" t="s">
        <v>395</v>
      </c>
      <c r="D126" s="33" t="n">
        <f aca="false">D125*12/12+N(In!H151)</f>
        <v>1.83259226510063</v>
      </c>
      <c r="E126" s="33" t="n">
        <f aca="false">E125*12/12+D125*(12-12)/12+N(In!I151)</f>
        <v>6.71950497203563</v>
      </c>
      <c r="F126" s="33" t="n">
        <f aca="false">F125*12/12+E125*(12-12)/12+N(In!J151)</f>
        <v>22.0754205321851</v>
      </c>
      <c r="G126" s="33" t="n">
        <f aca="false">G125*12/12+F125*(12-12)/12+N(In!K151)</f>
        <v>46.9812049032323</v>
      </c>
      <c r="H126" s="33" t="n">
        <f aca="false">H125*12/12+G125*(12-12)/12+N(In!L151)</f>
        <v>65.5451609499695</v>
      </c>
      <c r="I126" s="33" t="n">
        <f aca="false">I125*12/12+H125*(12-12)/12+N(In!M151)</f>
        <v>73.8410317807427</v>
      </c>
      <c r="J126" s="33" t="n">
        <f aca="false">J125*12/12+I125*(12-12)/12+N(In!N151)</f>
        <v>0</v>
      </c>
      <c r="K126" s="33" t="n">
        <f aca="false">K125*12/12+J125*(12-12)/12+N(In!O151)</f>
        <v>0</v>
      </c>
      <c r="L126" s="33" t="n">
        <f aca="false">L125*12/12+K125*(12-12)/12+N(In!P151)</f>
        <v>0</v>
      </c>
      <c r="M126" s="33" t="n">
        <f aca="false">M125*12/12+L125*(12-12)/12+N(In!Q151)</f>
        <v>0</v>
      </c>
    </row>
    <row r="127" customFormat="false" ht="17.15" hidden="false" customHeight="false" outlineLevel="0" collapsed="false">
      <c r="A127" s="5" t="s">
        <v>1990</v>
      </c>
      <c r="C127" s="0" t="s">
        <v>395</v>
      </c>
      <c r="D127" s="20" t="str">
        <f aca="false">IF(In!H135="","",In!H135)</f>
        <v/>
      </c>
      <c r="E127" s="20" t="str">
        <f aca="false">IF(In!I135="","",In!I135)</f>
        <v/>
      </c>
      <c r="F127" s="20" t="str">
        <f aca="false">IF(In!J135="","",In!J135)</f>
        <v/>
      </c>
      <c r="G127" s="20" t="str">
        <f aca="false">IF(In!K135="","",In!K135)</f>
        <v/>
      </c>
      <c r="H127" s="20" t="str">
        <f aca="false">IF(In!L135="","",In!L135)</f>
        <v/>
      </c>
      <c r="I127" s="20" t="str">
        <f aca="false">IF(In!M135="","",In!M135)</f>
        <v/>
      </c>
      <c r="J127" s="20" t="str">
        <f aca="false">IF(In!N135="","",In!N135)</f>
        <v/>
      </c>
      <c r="K127" s="20" t="str">
        <f aca="false">IF(In!O135="","",In!O135)</f>
        <v/>
      </c>
      <c r="L127" s="20" t="str">
        <f aca="false">IF(In!P135="","",In!P135)</f>
        <v/>
      </c>
      <c r="M127" s="20" t="str">
        <f aca="false">IF(In!Q135="","",In!Q135)</f>
        <v/>
      </c>
    </row>
    <row r="128" customFormat="false" ht="17.15" hidden="false" customHeight="false" outlineLevel="0" collapsed="false">
      <c r="A128" s="5" t="s">
        <v>1991</v>
      </c>
      <c r="C128" s="0" t="s">
        <v>41</v>
      </c>
      <c r="D128" s="30" t="str">
        <f aca="false">IF(OR(D127="",N(D127)=0),"",D126/D127)</f>
        <v/>
      </c>
      <c r="E128" s="30" t="str">
        <f aca="false">IF(OR(E127="",N(E127)=0),"",E126/E127)</f>
        <v/>
      </c>
      <c r="F128" s="30" t="str">
        <f aca="false">IF(OR(F127="",N(F127)=0),"",F126/F127)</f>
        <v/>
      </c>
      <c r="G128" s="30" t="str">
        <f aca="false">IF(OR(G127="",N(G127)=0),"",G126/G127)</f>
        <v/>
      </c>
      <c r="H128" s="30" t="str">
        <f aca="false">IF(OR(H127="",N(H127)=0),"",H126/H127)</f>
        <v/>
      </c>
      <c r="I128" s="30" t="str">
        <f aca="false">IF(OR(I127="",N(I127)=0),"",I126/I127)</f>
        <v/>
      </c>
      <c r="J128" s="30" t="str">
        <f aca="false">IF(OR(J127="",N(J127)=0),"",J126/J127)</f>
        <v/>
      </c>
      <c r="K128" s="30" t="str">
        <f aca="false">IF(OR(K127="",N(K127)=0),"",K126/K127)</f>
        <v/>
      </c>
      <c r="L128" s="30" t="str">
        <f aca="false">IF(OR(L127="",N(L127)=0),"",L126/L127)</f>
        <v/>
      </c>
      <c r="M128" s="30" t="str">
        <f aca="false">IF(OR(M127="",N(M127)=0),"",M126/M127)</f>
        <v/>
      </c>
    </row>
    <row r="129" customFormat="false" ht="15" hidden="false" customHeight="false" outlineLevel="0" collapsed="false">
      <c r="A129" s="5" t="s">
        <v>1992</v>
      </c>
      <c r="C129" s="0" t="s">
        <v>40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2" t="s">
        <v>1601</v>
      </c>
      <c r="B131" s="21" t="s">
        <v>866</v>
      </c>
      <c r="N131" s="5" t="s">
        <v>2001</v>
      </c>
    </row>
    <row r="132" customFormat="false" ht="17.15" hidden="false" customHeight="false" outlineLevel="0" collapsed="false">
      <c r="A132" s="5" t="s">
        <v>1985</v>
      </c>
      <c r="C132" s="0" t="s">
        <v>395</v>
      </c>
      <c r="D132" s="33" t="n">
        <f aca="false">Players!D264*((1-Players!D266)*D$8+Players!D266*TK_NonNV_Hold_AMD*TK_CapexIT_VR200)</f>
        <v>0</v>
      </c>
      <c r="E132" s="33" t="n">
        <f aca="false">Players!E264*((1-Players!E266)*E$8+Players!E266*TK_NonNV_Hold_AMD*TK_CapexIT_VR200)</f>
        <v>0</v>
      </c>
      <c r="F132" s="33" t="n">
        <f aca="false">Players!F264*((1-Players!F266)*F$8+Players!F266*TK_NonNV_Hold_AMD*TK_CapexIT_VR200)</f>
        <v>0</v>
      </c>
      <c r="G132" s="33" t="n">
        <f aca="false">Players!G264*((1-Players!G266)*G$8+Players!G266*TK_NonNV_Hold_AMD*TK_CapexIT_VR200)</f>
        <v>13.2259614536589</v>
      </c>
      <c r="H132" s="33" t="n">
        <f aca="false">Players!H264*((1-Players!H266)*H$8+Players!H266*TK_NonNV_Hold_AMD*TK_CapexIT_VR200)</f>
        <v>54.8920873864382</v>
      </c>
      <c r="I132" s="33" t="n">
        <f aca="false">Players!I264*((1-Players!I266)*I$8+Players!I266*TK_NonNV_Hold_AMD*TK_CapexIT_VR200)</f>
        <v>3.72503365788298</v>
      </c>
      <c r="J132" s="33" t="n">
        <f aca="false">Players!J264*((1-Players!J266)*J$8+Players!J266*TK_NonNV_Hold_AMD*TK_CapexIT_VR200)</f>
        <v>0</v>
      </c>
      <c r="K132" s="33" t="n">
        <f aca="false">Players!K264*((1-Players!K266)*K$8+Players!K266*TK_NonNV_Hold_AMD*TK_CapexIT_VR200)</f>
        <v>7.75567059206659</v>
      </c>
      <c r="L132" s="33" t="n">
        <f aca="false">Players!L264*((1-Players!L266)*L$8+Players!L266*TK_NonNV_Hold_AMD*TK_CapexIT_VR200)</f>
        <v>0</v>
      </c>
      <c r="M132" s="33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1986</v>
      </c>
      <c r="C133" s="0" t="s">
        <v>395</v>
      </c>
      <c r="D133" s="33" t="n">
        <f aca="false">Players!D264*((1-Players!D266)*D$9+Players!D266*TK_NonNV_Hold_AMD*TK_CapexFacility_VR200)</f>
        <v>0</v>
      </c>
      <c r="E133" s="33" t="n">
        <f aca="false">Players!E264*((1-Players!E266)*E$9+Players!E266*TK_NonNV_Hold_AMD*TK_CapexFacility_VR200)</f>
        <v>0</v>
      </c>
      <c r="F133" s="33" t="n">
        <f aca="false">Players!F264*((1-Players!F266)*F$9+Players!F266*TK_NonNV_Hold_AMD*TK_CapexFacility_VR200)</f>
        <v>0</v>
      </c>
      <c r="G133" s="33" t="n">
        <f aca="false">Players!G264*((1-Players!G266)*G$9+Players!G266*TK_NonNV_Hold_AMD*TK_CapexFacility_VR200)</f>
        <v>4.886912706935</v>
      </c>
      <c r="H133" s="33" t="n">
        <f aca="false">Players!H264*((1-Players!H266)*H$9+Players!H266*TK_NonNV_Hold_AMD*TK_CapexFacility_VR200)</f>
        <v>18.2264548663238</v>
      </c>
      <c r="I133" s="33" t="n">
        <f aca="false">Players!I264*((1-Players!I266)*I$9+Players!I266*TK_NonNV_Hold_AMD*TK_CapexFacility_VR200)</f>
        <v>1.16712811552003</v>
      </c>
      <c r="J133" s="33" t="n">
        <f aca="false">Players!J264*((1-Players!J266)*J$9+Players!J266*TK_NonNV_Hold_AMD*TK_CapexFacility_VR200)</f>
        <v>0</v>
      </c>
      <c r="K133" s="33" t="n">
        <f aca="false">Players!K264*((1-Players!K266)*K$9+Players!K266*TK_NonNV_Hold_AMD*TK_CapexFacility_VR200)</f>
        <v>2.43054152767375</v>
      </c>
      <c r="L133" s="33" t="n">
        <f aca="false">Players!L264*((1-Players!L266)*L$9+Players!L266*TK_NonNV_Hold_AMD*TK_CapexFacility_VR200)</f>
        <v>0</v>
      </c>
      <c r="M133" s="33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1987</v>
      </c>
      <c r="C134" s="0" t="s">
        <v>395</v>
      </c>
      <c r="D134" s="33" t="n">
        <f aca="false">D133*$D$5+E133*$D$6+F133*$D$7</f>
        <v>0</v>
      </c>
      <c r="E134" s="33" t="n">
        <f aca="false">E133*$D$5+F133*$D$6+G133*$D$7</f>
        <v>2.4434563534675</v>
      </c>
      <c r="F134" s="33" t="n">
        <f aca="false">F133*$D$5+G133*$D$6+H133*$D$7</f>
        <v>11.5566837866294</v>
      </c>
      <c r="G134" s="33" t="n">
        <f aca="false">G133*$D$5+H133*$D$6+I133*$D$7</f>
        <v>9.69679149092193</v>
      </c>
      <c r="H134" s="33" t="n">
        <f aca="false">H133*$D$5+I133*$D$6+J133*$D$7</f>
        <v>0.583564057760015</v>
      </c>
      <c r="I134" s="33" t="n">
        <f aca="false">I133*$D$5+J133*$D$6+K133*$D$7</f>
        <v>1.21527076383688</v>
      </c>
      <c r="J134" s="33" t="n">
        <f aca="false">J133*$D$5+K133*$D$6+L133*$D$7</f>
        <v>1.21527076383688</v>
      </c>
      <c r="K134" s="33" t="n">
        <f aca="false">K133*$D$5+L133*$D$6+M133*$D$7</f>
        <v>0</v>
      </c>
      <c r="L134" s="33" t="n">
        <f aca="false">L133*$D$5+M133*$D$6</f>
        <v>0</v>
      </c>
      <c r="M134" s="33" t="n">
        <f aca="false">M133*$D$5</f>
        <v>0</v>
      </c>
    </row>
    <row r="135" customFormat="false" ht="17.15" hidden="false" customHeight="false" outlineLevel="0" collapsed="false">
      <c r="A135" s="5" t="s">
        <v>1988</v>
      </c>
      <c r="C135" s="0" t="s">
        <v>395</v>
      </c>
      <c r="D135" s="33" t="n">
        <f aca="false">D132+D134</f>
        <v>0</v>
      </c>
      <c r="E135" s="33" t="n">
        <f aca="false">E132+E134</f>
        <v>2.4434563534675</v>
      </c>
      <c r="F135" s="33" t="n">
        <f aca="false">F132+F134</f>
        <v>11.5566837866294</v>
      </c>
      <c r="G135" s="33" t="n">
        <f aca="false">G132+G134</f>
        <v>22.9227529445808</v>
      </c>
      <c r="H135" s="33" t="n">
        <f aca="false">H132+H134</f>
        <v>55.4756514441982</v>
      </c>
      <c r="I135" s="33" t="n">
        <f aca="false">I132+I134</f>
        <v>4.94030442171985</v>
      </c>
      <c r="J135" s="33" t="n">
        <f aca="false">J132+J134</f>
        <v>1.21527076383688</v>
      </c>
      <c r="K135" s="33" t="n">
        <f aca="false">K132+K134</f>
        <v>7.75567059206659</v>
      </c>
      <c r="L135" s="33" t="n">
        <f aca="false">L132+L134</f>
        <v>0</v>
      </c>
      <c r="M135" s="33" t="n">
        <f aca="false">M132+M134</f>
        <v>0</v>
      </c>
    </row>
    <row r="136" customFormat="false" ht="17.15" hidden="false" customHeight="false" outlineLevel="0" collapsed="false">
      <c r="A136" s="5" t="s">
        <v>1989</v>
      </c>
      <c r="C136" s="0" t="s">
        <v>395</v>
      </c>
      <c r="D136" s="33" t="n">
        <f aca="false">D135*12/12+N(In!H152)</f>
        <v>0</v>
      </c>
      <c r="E136" s="33" t="n">
        <f aca="false">E135*12/12+D135*(12-12)/12+N(In!I152)</f>
        <v>2.4434563534675</v>
      </c>
      <c r="F136" s="33" t="n">
        <f aca="false">F135*12/12+E135*(12-12)/12+N(In!J152)</f>
        <v>11.5566837866294</v>
      </c>
      <c r="G136" s="33" t="n">
        <f aca="false">G135*12/12+F135*(12-12)/12+N(In!K152)</f>
        <v>22.9227529445808</v>
      </c>
      <c r="H136" s="33" t="n">
        <f aca="false">H135*12/12+G135*(12-12)/12+N(In!L152)</f>
        <v>55.4756514441982</v>
      </c>
      <c r="I136" s="33" t="n">
        <f aca="false">I135*12/12+H135*(12-12)/12+N(In!M152)</f>
        <v>4.94030442171985</v>
      </c>
      <c r="J136" s="33" t="n">
        <f aca="false">J135*12/12+I135*(12-12)/12+N(In!N152)</f>
        <v>1.21527076383688</v>
      </c>
      <c r="K136" s="33" t="n">
        <f aca="false">K135*12/12+J135*(12-12)/12+N(In!O152)</f>
        <v>7.75567059206659</v>
      </c>
      <c r="L136" s="33" t="n">
        <f aca="false">L135*12/12+K135*(12-12)/12+N(In!P152)</f>
        <v>0</v>
      </c>
      <c r="M136" s="33" t="n">
        <f aca="false">M135*12/12+L135*(12-12)/12+N(In!Q152)</f>
        <v>0</v>
      </c>
    </row>
    <row r="137" customFormat="false" ht="17.15" hidden="false" customHeight="false" outlineLevel="0" collapsed="false">
      <c r="A137" s="5" t="s">
        <v>1990</v>
      </c>
      <c r="C137" s="0" t="s">
        <v>395</v>
      </c>
      <c r="D137" s="20" t="str">
        <f aca="false">IF(In!H136="","",In!H136)</f>
        <v/>
      </c>
      <c r="E137" s="20" t="str">
        <f aca="false">IF(In!I136="","",In!I136)</f>
        <v/>
      </c>
      <c r="F137" s="20" t="str">
        <f aca="false">IF(In!J136="","",In!J136)</f>
        <v/>
      </c>
      <c r="G137" s="20" t="str">
        <f aca="false">IF(In!K136="","",In!K136)</f>
        <v/>
      </c>
      <c r="H137" s="20" t="str">
        <f aca="false">IF(In!L136="","",In!L136)</f>
        <v/>
      </c>
      <c r="I137" s="20" t="str">
        <f aca="false">IF(In!M136="","",In!M136)</f>
        <v/>
      </c>
      <c r="J137" s="20" t="str">
        <f aca="false">IF(In!N136="","",In!N136)</f>
        <v/>
      </c>
      <c r="K137" s="20" t="str">
        <f aca="false">IF(In!O136="","",In!O136)</f>
        <v/>
      </c>
      <c r="L137" s="20" t="str">
        <f aca="false">IF(In!P136="","",In!P136)</f>
        <v/>
      </c>
      <c r="M137" s="20" t="str">
        <f aca="false">IF(In!Q136="","",In!Q136)</f>
        <v/>
      </c>
    </row>
    <row r="138" customFormat="false" ht="17.15" hidden="false" customHeight="false" outlineLevel="0" collapsed="false">
      <c r="A138" s="5" t="s">
        <v>1991</v>
      </c>
      <c r="C138" s="0" t="s">
        <v>41</v>
      </c>
      <c r="D138" s="30" t="str">
        <f aca="false">IF(OR(D137="",N(D137)=0),"",D136/D137)</f>
        <v/>
      </c>
      <c r="E138" s="30" t="str">
        <f aca="false">IF(OR(E137="",N(E137)=0),"",E136/E137)</f>
        <v/>
      </c>
      <c r="F138" s="30" t="str">
        <f aca="false">IF(OR(F137="",N(F137)=0),"",F136/F137)</f>
        <v/>
      </c>
      <c r="G138" s="30" t="str">
        <f aca="false">IF(OR(G137="",N(G137)=0),"",G136/G137)</f>
        <v/>
      </c>
      <c r="H138" s="30" t="str">
        <f aca="false">IF(OR(H137="",N(H137)=0),"",H136/H137)</f>
        <v/>
      </c>
      <c r="I138" s="30" t="str">
        <f aca="false">IF(OR(I137="",N(I137)=0),"",I136/I137)</f>
        <v/>
      </c>
      <c r="J138" s="30" t="str">
        <f aca="false">IF(OR(J137="",N(J137)=0),"",J136/J137)</f>
        <v/>
      </c>
      <c r="K138" s="30" t="str">
        <f aca="false">IF(OR(K137="",N(K137)=0),"",K136/K137)</f>
        <v/>
      </c>
      <c r="L138" s="30" t="str">
        <f aca="false">IF(OR(L137="",N(L137)=0),"",L136/L137)</f>
        <v/>
      </c>
      <c r="M138" s="30" t="str">
        <f aca="false">IF(OR(M137="",N(M137)=0),"",M136/M137)</f>
        <v/>
      </c>
    </row>
    <row r="139" customFormat="false" ht="15" hidden="false" customHeight="false" outlineLevel="0" collapsed="false">
      <c r="A139" s="5" t="s">
        <v>1992</v>
      </c>
      <c r="C139" s="0" t="s">
        <v>40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2" t="s">
        <v>1620</v>
      </c>
      <c r="B141" s="21" t="s">
        <v>774</v>
      </c>
      <c r="N141" s="5" t="s">
        <v>2001</v>
      </c>
    </row>
    <row r="142" customFormat="false" ht="17.15" hidden="false" customHeight="false" outlineLevel="0" collapsed="false">
      <c r="A142" s="5" t="s">
        <v>1985</v>
      </c>
      <c r="C142" s="0" t="s">
        <v>395</v>
      </c>
      <c r="D142" s="33" t="n">
        <f aca="false">Players!D283*((1-Players!D285)*D$8+Players!D285*TK_NonNV_Hold_Ascend*TK_CapexIT_VR200)</f>
        <v>0</v>
      </c>
      <c r="E142" s="33" t="n">
        <f aca="false">Players!E283*((1-Players!E285)*E$8+Players!E285*TK_NonNV_Hold_Ascend*TK_CapexIT_VR200)</f>
        <v>0</v>
      </c>
      <c r="F142" s="33" t="n">
        <f aca="false">Players!F283*((1-Players!F285)*F$8+Players!F285*TK_NonNV_Hold_Ascend*TK_CapexIT_VR200)</f>
        <v>0</v>
      </c>
      <c r="G142" s="33" t="n">
        <f aca="false">Players!G283*((1-Players!G285)*G$8+Players!G285*TK_NonNV_Hold_Ascend*TK_CapexIT_VR200)</f>
        <v>101.262898012446</v>
      </c>
      <c r="H142" s="33" t="n">
        <f aca="false">Players!H283*((1-Players!H285)*H$8+Players!H285*TK_NonNV_Hold_Ascend*TK_CapexIT_VR200)</f>
        <v>66.6787474513408</v>
      </c>
      <c r="I142" s="33" t="n">
        <f aca="false">Players!I283*((1-Players!I285)*I$8+Players!I285*TK_NonNV_Hold_Ascend*TK_CapexIT_VR200)</f>
        <v>81.5812529383301</v>
      </c>
      <c r="J142" s="33" t="n">
        <f aca="false">Players!J283*((1-Players!J285)*J$8+Players!J285*TK_NonNV_Hold_Ascend*TK_CapexIT_VR200)</f>
        <v>93.2910265931512</v>
      </c>
      <c r="K142" s="33" t="n">
        <f aca="false">Players!K283*((1-Players!K285)*K$8+Players!K285*TK_NonNV_Hold_Ascend*TK_CapexIT_VR200)</f>
        <v>106.718885977677</v>
      </c>
      <c r="L142" s="33" t="n">
        <f aca="false">Players!L283*((1-Players!L285)*L$8+Players!L285*TK_NonNV_Hold_Ascend*TK_CapexIT_VR200)</f>
        <v>76.9121064895964</v>
      </c>
      <c r="M142" s="33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1986</v>
      </c>
      <c r="C143" s="0" t="s">
        <v>395</v>
      </c>
      <c r="D143" s="33" t="n">
        <f aca="false">Players!D283*((1-Players!D285)*D$9+Players!D285*TK_NonNV_Hold_Ascend*TK_CapexFacility_VR200)</f>
        <v>0</v>
      </c>
      <c r="E143" s="33" t="n">
        <f aca="false">Players!E283*((1-Players!E285)*E$9+Players!E285*TK_NonNV_Hold_Ascend*TK_CapexFacility_VR200)</f>
        <v>0</v>
      </c>
      <c r="F143" s="33" t="n">
        <f aca="false">Players!F283*((1-Players!F285)*F$9+Players!F285*TK_NonNV_Hold_Ascend*TK_CapexFacility_VR200)</f>
        <v>0</v>
      </c>
      <c r="G143" s="33" t="n">
        <f aca="false">Players!G283*((1-Players!G285)*G$9+Players!G285*TK_NonNV_Hold_Ascend*TK_CapexFacility_VR200)</f>
        <v>37.7061510067084</v>
      </c>
      <c r="H143" s="33" t="n">
        <f aca="false">Players!H283*((1-Players!H285)*H$9+Players!H285*TK_NonNV_Hold_Ascend*TK_CapexFacility_VR200)</f>
        <v>22.1091834526816</v>
      </c>
      <c r="I143" s="33" t="n">
        <f aca="false">Players!I283*((1-Players!I285)*I$9+Players!I285*TK_NonNV_Hold_Ascend*TK_CapexFacility_VR200)</f>
        <v>25.3961940717697</v>
      </c>
      <c r="J143" s="33" t="n">
        <f aca="false">Players!J283*((1-Players!J285)*J$9+Players!J285*TK_NonNV_Hold_Ascend*TK_CapexFacility_VR200)</f>
        <v>29.0463332763666</v>
      </c>
      <c r="K143" s="33" t="n">
        <f aca="false">Players!K283*((1-Players!K285)*K$9+Players!K285*TK_NonNV_Hold_Ascend*TK_CapexFacility_VR200)</f>
        <v>33.2271220736865</v>
      </c>
      <c r="L143" s="33" t="n">
        <f aca="false">Players!L283*((1-Players!L285)*L$9+Players!L285*TK_NonNV_Hold_Ascend*TK_CapexFacility_VR200)</f>
        <v>23.9467262786904</v>
      </c>
      <c r="M143" s="33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1987</v>
      </c>
      <c r="C144" s="0" t="s">
        <v>395</v>
      </c>
      <c r="D144" s="33" t="n">
        <f aca="false">D143*$D$5+E143*$D$6+F143*$D$7</f>
        <v>0</v>
      </c>
      <c r="E144" s="33" t="n">
        <f aca="false">E143*$D$5+F143*$D$6+G143*$D$7</f>
        <v>18.8530755033542</v>
      </c>
      <c r="F144" s="33" t="n">
        <f aca="false">F143*$D$5+G143*$D$6+H143*$D$7</f>
        <v>29.907667229695</v>
      </c>
      <c r="G144" s="33" t="n">
        <f aca="false">G143*$D$5+H143*$D$6+I143*$D$7</f>
        <v>23.7526887622257</v>
      </c>
      <c r="H144" s="33" t="n">
        <f aca="false">H143*$D$5+I143*$D$6+J143*$D$7</f>
        <v>27.2212636740682</v>
      </c>
      <c r="I144" s="33" t="n">
        <f aca="false">I143*$D$5+J143*$D$6+K143*$D$7</f>
        <v>31.1367276750266</v>
      </c>
      <c r="J144" s="33" t="n">
        <f aca="false">J143*$D$5+K143*$D$6+L143*$D$7</f>
        <v>28.5869241761884</v>
      </c>
      <c r="K144" s="33" t="n">
        <f aca="false">K143*$D$5+L143*$D$6+M143*$D$7</f>
        <v>25.1440625926249</v>
      </c>
      <c r="L144" s="33" t="n">
        <f aca="false">L143*$D$5+M143*$D$6</f>
        <v>13.1706994532797</v>
      </c>
      <c r="M144" s="33" t="n">
        <f aca="false">M143*$D$5</f>
        <v>0</v>
      </c>
    </row>
    <row r="145" customFormat="false" ht="17.15" hidden="false" customHeight="false" outlineLevel="0" collapsed="false">
      <c r="A145" s="5" t="s">
        <v>1988</v>
      </c>
      <c r="C145" s="0" t="s">
        <v>395</v>
      </c>
      <c r="D145" s="33" t="n">
        <f aca="false">D142+D144</f>
        <v>0</v>
      </c>
      <c r="E145" s="33" t="n">
        <f aca="false">E142+E144</f>
        <v>18.8530755033542</v>
      </c>
      <c r="F145" s="33" t="n">
        <f aca="false">F142+F144</f>
        <v>29.907667229695</v>
      </c>
      <c r="G145" s="33" t="n">
        <f aca="false">G142+G144</f>
        <v>125.015586774671</v>
      </c>
      <c r="H145" s="33" t="n">
        <f aca="false">H142+H144</f>
        <v>93.900011125409</v>
      </c>
      <c r="I145" s="33" t="n">
        <f aca="false">I142+I144</f>
        <v>112.717980613357</v>
      </c>
      <c r="J145" s="33" t="n">
        <f aca="false">J142+J144</f>
        <v>121.87795076934</v>
      </c>
      <c r="K145" s="33" t="n">
        <f aca="false">K142+K144</f>
        <v>131.862948570302</v>
      </c>
      <c r="L145" s="33" t="n">
        <f aca="false">L142+L144</f>
        <v>90.0828059428761</v>
      </c>
      <c r="M145" s="33" t="n">
        <f aca="false">M142+M144</f>
        <v>84.603317138556</v>
      </c>
    </row>
    <row r="146" customFormat="false" ht="17.15" hidden="false" customHeight="false" outlineLevel="0" collapsed="false">
      <c r="A146" s="5" t="s">
        <v>1989</v>
      </c>
      <c r="C146" s="0" t="s">
        <v>395</v>
      </c>
      <c r="D146" s="33" t="n">
        <f aca="false">D145*12/12+N(In!H153)</f>
        <v>0</v>
      </c>
      <c r="E146" s="33" t="n">
        <f aca="false">E145*12/12+D145*(12-12)/12+N(In!I153)</f>
        <v>18.8530755033542</v>
      </c>
      <c r="F146" s="33" t="n">
        <f aca="false">F145*12/12+E145*(12-12)/12+N(In!J153)</f>
        <v>29.907667229695</v>
      </c>
      <c r="G146" s="33" t="n">
        <f aca="false">G145*12/12+F145*(12-12)/12+N(In!K153)</f>
        <v>125.015586774671</v>
      </c>
      <c r="H146" s="33" t="n">
        <f aca="false">H145*12/12+G145*(12-12)/12+N(In!L153)</f>
        <v>93.900011125409</v>
      </c>
      <c r="I146" s="33" t="n">
        <f aca="false">I145*12/12+H145*(12-12)/12+N(In!M153)</f>
        <v>112.717980613357</v>
      </c>
      <c r="J146" s="33" t="n">
        <f aca="false">J145*12/12+I145*(12-12)/12+N(In!N153)</f>
        <v>121.87795076934</v>
      </c>
      <c r="K146" s="33" t="n">
        <f aca="false">K145*12/12+J145*(12-12)/12+N(In!O153)</f>
        <v>131.862948570302</v>
      </c>
      <c r="L146" s="33" t="n">
        <f aca="false">L145*12/12+K145*(12-12)/12+N(In!P153)</f>
        <v>90.0828059428761</v>
      </c>
      <c r="M146" s="33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1990</v>
      </c>
      <c r="C147" s="0" t="s">
        <v>395</v>
      </c>
      <c r="D147" s="20" t="str">
        <f aca="false">IF(In!H137="","",In!H137)</f>
        <v/>
      </c>
      <c r="E147" s="20" t="str">
        <f aca="false">IF(In!I137="","",In!I137)</f>
        <v/>
      </c>
      <c r="F147" s="20" t="str">
        <f aca="false">IF(In!J137="","",In!J137)</f>
        <v/>
      </c>
      <c r="G147" s="20" t="str">
        <f aca="false">IF(In!K137="","",In!K137)</f>
        <v/>
      </c>
      <c r="H147" s="20" t="str">
        <f aca="false">IF(In!L137="","",In!L137)</f>
        <v/>
      </c>
      <c r="I147" s="20" t="str">
        <f aca="false">IF(In!M137="","",In!M137)</f>
        <v/>
      </c>
      <c r="J147" s="20" t="str">
        <f aca="false">IF(In!N137="","",In!N137)</f>
        <v/>
      </c>
      <c r="K147" s="20" t="str">
        <f aca="false">IF(In!O137="","",In!O137)</f>
        <v/>
      </c>
      <c r="L147" s="20" t="str">
        <f aca="false">IF(In!P137="","",In!P137)</f>
        <v/>
      </c>
      <c r="M147" s="20" t="str">
        <f aca="false">IF(In!Q137="","",In!Q137)</f>
        <v/>
      </c>
    </row>
    <row r="148" customFormat="false" ht="17.15" hidden="false" customHeight="false" outlineLevel="0" collapsed="false">
      <c r="A148" s="5" t="s">
        <v>1991</v>
      </c>
      <c r="C148" s="0" t="s">
        <v>41</v>
      </c>
      <c r="D148" s="30" t="str">
        <f aca="false">IF(OR(D147="",N(D147)=0),"",D146/D147)</f>
        <v/>
      </c>
      <c r="E148" s="30" t="str">
        <f aca="false">IF(OR(E147="",N(E147)=0),"",E146/E147)</f>
        <v/>
      </c>
      <c r="F148" s="30" t="str">
        <f aca="false">IF(OR(F147="",N(F147)=0),"",F146/F147)</f>
        <v/>
      </c>
      <c r="G148" s="30" t="str">
        <f aca="false">IF(OR(G147="",N(G147)=0),"",G146/G147)</f>
        <v/>
      </c>
      <c r="H148" s="30" t="str">
        <f aca="false">IF(OR(H147="",N(H147)=0),"",H146/H147)</f>
        <v/>
      </c>
      <c r="I148" s="30" t="str">
        <f aca="false">IF(OR(I147="",N(I147)=0),"",I146/I147)</f>
        <v/>
      </c>
      <c r="J148" s="30" t="str">
        <f aca="false">IF(OR(J147="",N(J147)=0),"",J146/J147)</f>
        <v/>
      </c>
      <c r="K148" s="30" t="str">
        <f aca="false">IF(OR(K147="",N(K147)=0),"",K146/K147)</f>
        <v/>
      </c>
      <c r="L148" s="30" t="str">
        <f aca="false">IF(OR(L147="",N(L147)=0),"",L146/L147)</f>
        <v/>
      </c>
      <c r="M148" s="30" t="str">
        <f aca="false">IF(OR(M147="",N(M147)=0),"",M146/M147)</f>
        <v/>
      </c>
    </row>
    <row r="149" customFormat="false" ht="15" hidden="false" customHeight="false" outlineLevel="0" collapsed="false">
      <c r="A149" s="5" t="s">
        <v>1992</v>
      </c>
      <c r="C149" s="0" t="s">
        <v>40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2" t="s">
        <v>1639</v>
      </c>
      <c r="B151" s="21" t="s">
        <v>959</v>
      </c>
      <c r="N151" s="5" t="s">
        <v>2001</v>
      </c>
    </row>
    <row r="152" customFormat="false" ht="17.15" hidden="false" customHeight="false" outlineLevel="0" collapsed="false">
      <c r="A152" s="5" t="s">
        <v>1985</v>
      </c>
      <c r="C152" s="0" t="s">
        <v>395</v>
      </c>
      <c r="D152" s="33" t="n">
        <f aca="false">Players!D302*((1-Players!D304)*D$8+Players!D304*TK_NonNV_Hold_AMD*TK_CapexIT_VR200)</f>
        <v>0</v>
      </c>
      <c r="E152" s="33" t="n">
        <f aca="false">Players!E302*((1-Players!E304)*E$8+Players!E304*TK_NonNV_Hold_AMD*TK_CapexIT_VR200)</f>
        <v>0</v>
      </c>
      <c r="F152" s="33" t="n">
        <f aca="false">Players!F302*((1-Players!F304)*F$8+Players!F304*TK_NonNV_Hold_AMD*TK_CapexIT_VR200)</f>
        <v>0</v>
      </c>
      <c r="G152" s="33" t="n">
        <f aca="false">Players!G302*((1-Players!G304)*G$8+Players!G304*TK_NonNV_Hold_AMD*TK_CapexIT_VR200)</f>
        <v>0</v>
      </c>
      <c r="H152" s="33" t="n">
        <f aca="false">Players!H302*((1-Players!H304)*H$8+Players!H304*TK_NonNV_Hold_AMD*TK_CapexIT_VR200)</f>
        <v>0</v>
      </c>
      <c r="I152" s="33" t="n">
        <f aca="false">Players!I302*((1-Players!I304)*I$8+Players!I304*TK_NonNV_Hold_AMD*TK_CapexIT_VR200)</f>
        <v>0</v>
      </c>
      <c r="J152" s="33" t="n">
        <f aca="false">Players!J302*((1-Players!J304)*J$8+Players!J304*TK_NonNV_Hold_AMD*TK_CapexIT_VR200)</f>
        <v>0</v>
      </c>
      <c r="K152" s="33" t="n">
        <f aca="false">Players!K302*((1-Players!K304)*K$8+Players!K304*TK_NonNV_Hold_AMD*TK_CapexIT_VR200)</f>
        <v>0</v>
      </c>
      <c r="L152" s="33" t="n">
        <f aca="false">Players!L302*((1-Players!L304)*L$8+Players!L304*TK_NonNV_Hold_AMD*TK_CapexIT_VR200)</f>
        <v>0</v>
      </c>
      <c r="M152" s="33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1986</v>
      </c>
      <c r="C153" s="0" t="s">
        <v>395</v>
      </c>
      <c r="D153" s="33" t="n">
        <f aca="false">Players!D302*((1-Players!D304)*D$9+Players!D304*TK_NonNV_Hold_AMD*TK_CapexFacility_VR200)</f>
        <v>0</v>
      </c>
      <c r="E153" s="33" t="n">
        <f aca="false">Players!E302*((1-Players!E304)*E$9+Players!E304*TK_NonNV_Hold_AMD*TK_CapexFacility_VR200)</f>
        <v>0</v>
      </c>
      <c r="F153" s="33" t="n">
        <f aca="false">Players!F302*((1-Players!F304)*F$9+Players!F304*TK_NonNV_Hold_AMD*TK_CapexFacility_VR200)</f>
        <v>0</v>
      </c>
      <c r="G153" s="33" t="n">
        <f aca="false">Players!G302*((1-Players!G304)*G$9+Players!G304*TK_NonNV_Hold_AMD*TK_CapexFacility_VR200)</f>
        <v>0</v>
      </c>
      <c r="H153" s="33" t="n">
        <f aca="false">Players!H302*((1-Players!H304)*H$9+Players!H304*TK_NonNV_Hold_AMD*TK_CapexFacility_VR200)</f>
        <v>0</v>
      </c>
      <c r="I153" s="33" t="n">
        <f aca="false">Players!I302*((1-Players!I304)*I$9+Players!I304*TK_NonNV_Hold_AMD*TK_CapexFacility_VR200)</f>
        <v>0</v>
      </c>
      <c r="J153" s="33" t="n">
        <f aca="false">Players!J302*((1-Players!J304)*J$9+Players!J304*TK_NonNV_Hold_AMD*TK_CapexFacility_VR200)</f>
        <v>0</v>
      </c>
      <c r="K153" s="33" t="n">
        <f aca="false">Players!K302*((1-Players!K304)*K$9+Players!K304*TK_NonNV_Hold_AMD*TK_CapexFacility_VR200)</f>
        <v>0</v>
      </c>
      <c r="L153" s="33" t="n">
        <f aca="false">Players!L302*((1-Players!L304)*L$9+Players!L304*TK_NonNV_Hold_AMD*TK_CapexFacility_VR200)</f>
        <v>0</v>
      </c>
      <c r="M153" s="33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1987</v>
      </c>
      <c r="C154" s="0" t="s">
        <v>395</v>
      </c>
      <c r="D154" s="33" t="n">
        <f aca="false">D153*$D$5+E153*$D$6+F153*$D$7</f>
        <v>0</v>
      </c>
      <c r="E154" s="33" t="n">
        <f aca="false">E153*$D$5+F153*$D$6+G153*$D$7</f>
        <v>0</v>
      </c>
      <c r="F154" s="33" t="n">
        <f aca="false">F153*$D$5+G153*$D$6+H153*$D$7</f>
        <v>0</v>
      </c>
      <c r="G154" s="33" t="n">
        <f aca="false">G153*$D$5+H153*$D$6+I153*$D$7</f>
        <v>0</v>
      </c>
      <c r="H154" s="33" t="n">
        <f aca="false">H153*$D$5+I153*$D$6+J153*$D$7</f>
        <v>0</v>
      </c>
      <c r="I154" s="33" t="n">
        <f aca="false">I153*$D$5+J153*$D$6+K153*$D$7</f>
        <v>0</v>
      </c>
      <c r="J154" s="33" t="n">
        <f aca="false">J153*$D$5+K153*$D$6+L153*$D$7</f>
        <v>0</v>
      </c>
      <c r="K154" s="33" t="n">
        <f aca="false">K153*$D$5+L153*$D$6+M153*$D$7</f>
        <v>0</v>
      </c>
      <c r="L154" s="33" t="n">
        <f aca="false">L153*$D$5+M153*$D$6</f>
        <v>0</v>
      </c>
      <c r="M154" s="33" t="n">
        <f aca="false">M153*$D$5</f>
        <v>0</v>
      </c>
    </row>
    <row r="155" customFormat="false" ht="17.15" hidden="false" customHeight="false" outlineLevel="0" collapsed="false">
      <c r="A155" s="5" t="s">
        <v>1988</v>
      </c>
      <c r="C155" s="0" t="s">
        <v>395</v>
      </c>
      <c r="D155" s="33" t="n">
        <f aca="false">D152+D154</f>
        <v>0</v>
      </c>
      <c r="E155" s="33" t="n">
        <f aca="false">E152+E154</f>
        <v>0</v>
      </c>
      <c r="F155" s="33" t="n">
        <f aca="false">F152+F154</f>
        <v>0</v>
      </c>
      <c r="G155" s="33" t="n">
        <f aca="false">G152+G154</f>
        <v>0</v>
      </c>
      <c r="H155" s="33" t="n">
        <f aca="false">H152+H154</f>
        <v>0</v>
      </c>
      <c r="I155" s="33" t="n">
        <f aca="false">I152+I154</f>
        <v>0</v>
      </c>
      <c r="J155" s="33" t="n">
        <f aca="false">J152+J154</f>
        <v>0</v>
      </c>
      <c r="K155" s="33" t="n">
        <f aca="false">K152+K154</f>
        <v>0</v>
      </c>
      <c r="L155" s="33" t="n">
        <f aca="false">L152+L154</f>
        <v>0</v>
      </c>
      <c r="M155" s="33" t="n">
        <f aca="false">M152+M154</f>
        <v>0</v>
      </c>
    </row>
    <row r="156" customFormat="false" ht="17.15" hidden="false" customHeight="false" outlineLevel="0" collapsed="false">
      <c r="A156" s="5" t="s">
        <v>1989</v>
      </c>
      <c r="C156" s="0" t="s">
        <v>395</v>
      </c>
      <c r="D156" s="33" t="n">
        <f aca="false">D155*12/12+N(In!H154)</f>
        <v>0</v>
      </c>
      <c r="E156" s="33" t="n">
        <f aca="false">E155*12/12+D155*(12-12)/12+N(In!I154)</f>
        <v>0</v>
      </c>
      <c r="F156" s="33" t="n">
        <f aca="false">F155*12/12+E155*(12-12)/12+N(In!J154)</f>
        <v>0</v>
      </c>
      <c r="G156" s="33" t="n">
        <f aca="false">G155*12/12+F155*(12-12)/12+N(In!K154)</f>
        <v>0</v>
      </c>
      <c r="H156" s="33" t="n">
        <f aca="false">H155*12/12+G155*(12-12)/12+N(In!L154)</f>
        <v>0</v>
      </c>
      <c r="I156" s="33" t="n">
        <f aca="false">I155*12/12+H155*(12-12)/12+N(In!M154)</f>
        <v>0</v>
      </c>
      <c r="J156" s="33" t="n">
        <f aca="false">J155*12/12+I155*(12-12)/12+N(In!N154)</f>
        <v>0</v>
      </c>
      <c r="K156" s="33" t="n">
        <f aca="false">K155*12/12+J155*(12-12)/12+N(In!O154)</f>
        <v>0</v>
      </c>
      <c r="L156" s="33" t="n">
        <f aca="false">L155*12/12+K155*(12-12)/12+N(In!P154)</f>
        <v>0</v>
      </c>
      <c r="M156" s="33" t="n">
        <f aca="false">M155*12/12+L155*(12-12)/12+N(In!Q154)</f>
        <v>0</v>
      </c>
    </row>
    <row r="157" customFormat="false" ht="17.15" hidden="false" customHeight="false" outlineLevel="0" collapsed="false">
      <c r="A157" s="5" t="s">
        <v>1990</v>
      </c>
      <c r="C157" s="0" t="s">
        <v>395</v>
      </c>
      <c r="D157" s="20" t="str">
        <f aca="false">IF(In!H138="","",In!H138)</f>
        <v/>
      </c>
      <c r="E157" s="20" t="str">
        <f aca="false">IF(In!I138="","",In!I138)</f>
        <v/>
      </c>
      <c r="F157" s="20" t="str">
        <f aca="false">IF(In!J138="","",In!J138)</f>
        <v/>
      </c>
      <c r="G157" s="20" t="str">
        <f aca="false">IF(In!K138="","",In!K138)</f>
        <v/>
      </c>
      <c r="H157" s="20" t="str">
        <f aca="false">IF(In!L138="","",In!L138)</f>
        <v/>
      </c>
      <c r="I157" s="20" t="str">
        <f aca="false">IF(In!M138="","",In!M138)</f>
        <v/>
      </c>
      <c r="J157" s="20" t="str">
        <f aca="false">IF(In!N138="","",In!N138)</f>
        <v/>
      </c>
      <c r="K157" s="20" t="str">
        <f aca="false">IF(In!O138="","",In!O138)</f>
        <v/>
      </c>
      <c r="L157" s="20" t="str">
        <f aca="false">IF(In!P138="","",In!P138)</f>
        <v/>
      </c>
      <c r="M157" s="20" t="str">
        <f aca="false">IF(In!Q138="","",In!Q138)</f>
        <v/>
      </c>
    </row>
    <row r="158" customFormat="false" ht="17.15" hidden="false" customHeight="false" outlineLevel="0" collapsed="false">
      <c r="A158" s="5" t="s">
        <v>1991</v>
      </c>
      <c r="C158" s="0" t="s">
        <v>41</v>
      </c>
      <c r="D158" s="30" t="str">
        <f aca="false">IF(OR(D157="",N(D157)=0),"",D156/D157)</f>
        <v/>
      </c>
      <c r="E158" s="30" t="str">
        <f aca="false">IF(OR(E157="",N(E157)=0),"",E156/E157)</f>
        <v/>
      </c>
      <c r="F158" s="30" t="str">
        <f aca="false">IF(OR(F157="",N(F157)=0),"",F156/F157)</f>
        <v/>
      </c>
      <c r="G158" s="30" t="str">
        <f aca="false">IF(OR(G157="",N(G157)=0),"",G156/G157)</f>
        <v/>
      </c>
      <c r="H158" s="30" t="str">
        <f aca="false">IF(OR(H157="",N(H157)=0),"",H156/H157)</f>
        <v/>
      </c>
      <c r="I158" s="30" t="str">
        <f aca="false">IF(OR(I157="",N(I157)=0),"",I156/I157)</f>
        <v/>
      </c>
      <c r="J158" s="30" t="str">
        <f aca="false">IF(OR(J157="",N(J157)=0),"",J156/J157)</f>
        <v/>
      </c>
      <c r="K158" s="30" t="str">
        <f aca="false">IF(OR(K157="",N(K157)=0),"",K156/K157)</f>
        <v/>
      </c>
      <c r="L158" s="30" t="str">
        <f aca="false">IF(OR(L157="",N(L157)=0),"",L156/L157)</f>
        <v/>
      </c>
      <c r="M158" s="30" t="str">
        <f aca="false">IF(OR(M157="",N(M157)=0),"",M156/M157)</f>
        <v/>
      </c>
    </row>
    <row r="159" customFormat="false" ht="15" hidden="false" customHeight="false" outlineLevel="0" collapsed="false">
      <c r="A159" s="5" t="s">
        <v>1992</v>
      </c>
      <c r="C159" s="0" t="s">
        <v>40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2002</v>
      </c>
    </row>
    <row r="163" customFormat="false" ht="17.15" hidden="false" customHeight="false" outlineLevel="0" collapsed="false">
      <c r="A163" s="6" t="s">
        <v>1723</v>
      </c>
      <c r="B163" s="6" t="s">
        <v>19</v>
      </c>
      <c r="C163" s="6" t="s">
        <v>2003</v>
      </c>
      <c r="D163" s="6" t="s">
        <v>2004</v>
      </c>
      <c r="E163" s="6" t="s">
        <v>2005</v>
      </c>
      <c r="F163" s="6" t="s">
        <v>2006</v>
      </c>
      <c r="G163" s="6" t="s">
        <v>2007</v>
      </c>
      <c r="H163" s="6" t="s">
        <v>2008</v>
      </c>
      <c r="I163" s="6" t="s">
        <v>2009</v>
      </c>
      <c r="J163" s="6" t="s">
        <v>2010</v>
      </c>
      <c r="K163" s="6" t="s">
        <v>2011</v>
      </c>
      <c r="L163" s="6" t="s">
        <v>25</v>
      </c>
    </row>
    <row r="164" customFormat="false" ht="17.15" hidden="false" customHeight="false" outlineLevel="0" collapsed="false">
      <c r="A164" s="0" t="s">
        <v>1692</v>
      </c>
      <c r="B164" s="0" t="s">
        <v>728</v>
      </c>
      <c r="C164" s="0" t="n">
        <v>2024</v>
      </c>
      <c r="D164" s="20" t="str">
        <f aca="false">Funding!D5</f>
        <v>FY2024</v>
      </c>
      <c r="E164" s="20" t="str">
        <f aca="false">Funding!W5</f>
        <v/>
      </c>
      <c r="F164" s="20" t="str">
        <f aca="false">""</f>
        <v/>
      </c>
      <c r="G164" s="20" t="str">
        <f aca="false">Funding!O5</f>
        <v/>
      </c>
      <c r="H164" s="33" t="str">
        <f aca="false">IF(OR(F164="",G164=""),"",G164-F164)</f>
        <v/>
      </c>
      <c r="I164" s="33" t="str">
        <f aca="false">IF(OR(E164="",H164=""),"",E164+H164)</f>
        <v/>
      </c>
      <c r="J164" s="31" t="n">
        <f aca="false">IF(In!I124="","",In!I124)</f>
        <v>44.477</v>
      </c>
      <c r="K164" s="30" t="str">
        <f aca="false">IF(OR(I164="",J164="",LEFT(D164,2)="20"),"",I164/J164)</f>
        <v/>
      </c>
      <c r="L164" s="5" t="s">
        <v>2012</v>
      </c>
    </row>
    <row r="165" customFormat="false" ht="17.15" hidden="false" customHeight="false" outlineLevel="0" collapsed="false">
      <c r="A165" s="0" t="s">
        <v>1692</v>
      </c>
      <c r="B165" s="0" t="s">
        <v>728</v>
      </c>
      <c r="C165" s="0" t="n">
        <v>2025</v>
      </c>
      <c r="D165" s="20" t="str">
        <f aca="false">Funding!D6</f>
        <v>FY2025</v>
      </c>
      <c r="E165" s="37" t="n">
        <f aca="false">Funding!W6</f>
        <v>85.062</v>
      </c>
      <c r="F165" s="20" t="str">
        <f aca="false">Funding!O5</f>
        <v/>
      </c>
      <c r="G165" s="37" t="n">
        <f aca="false">Funding!O6</f>
        <v>92.7</v>
      </c>
      <c r="H165" s="33" t="str">
        <f aca="false">IF(OR(F165="",G165=""),"",G165-F165)</f>
        <v/>
      </c>
      <c r="I165" s="33" t="str">
        <f aca="false">IF(OR(E165="",H165=""),"",E165+H165)</f>
        <v/>
      </c>
      <c r="J165" s="31" t="n">
        <f aca="false">IF(In!J124="","",In!J124)</f>
        <v>64.551</v>
      </c>
      <c r="K165" s="30" t="str">
        <f aca="false">IF(OR(I165="",J165="",LEFT(D165,2)="20"),"",I165/J165)</f>
        <v/>
      </c>
      <c r="L165" s="5" t="s">
        <v>2012</v>
      </c>
    </row>
    <row r="166" customFormat="false" ht="17.15" hidden="false" customHeight="false" outlineLevel="0" collapsed="false">
      <c r="A166" s="0" t="s">
        <v>1692</v>
      </c>
      <c r="B166" s="0" t="s">
        <v>728</v>
      </c>
      <c r="C166" s="0" t="n">
        <v>2026</v>
      </c>
      <c r="D166" s="20" t="str">
        <f aca="false">Funding!D7</f>
        <v>FY2026</v>
      </c>
      <c r="E166" s="37" t="n">
        <f aca="false">Funding!W7</f>
        <v>140.556</v>
      </c>
      <c r="F166" s="37" t="n">
        <f aca="false">Funding!O6</f>
        <v>92.7</v>
      </c>
      <c r="G166" s="37" t="n">
        <f aca="false">Funding!O7</f>
        <v>329.1</v>
      </c>
      <c r="H166" s="33" t="n">
        <f aca="false">IF(OR(F166="",G166=""),"",G166-F166)</f>
        <v>236.4</v>
      </c>
      <c r="I166" s="33" t="n">
        <f aca="false">IF(OR(E166="",H166=""),"",E166+H166)</f>
        <v>376.956</v>
      </c>
      <c r="J166" s="31" t="n">
        <f aca="false">IF(In!K124="","",In!K124)</f>
        <v>115.948</v>
      </c>
      <c r="K166" s="30" t="n">
        <f aca="false">IF(OR(I166="",J166="",LEFT(D166,2)="20"),"",I166/J166)</f>
        <v>3.25107806947942</v>
      </c>
      <c r="L166" s="5" t="s">
        <v>2012</v>
      </c>
    </row>
    <row r="167" customFormat="false" ht="17.15" hidden="false" customHeight="false" outlineLevel="0" collapsed="false">
      <c r="A167" s="0" t="s">
        <v>1693</v>
      </c>
      <c r="B167" s="0" t="s">
        <v>733</v>
      </c>
      <c r="C167" s="0" t="n">
        <v>2024</v>
      </c>
      <c r="D167" s="20" t="str">
        <f aca="false">Funding!D8</f>
        <v>CY2024</v>
      </c>
      <c r="E167" s="20" t="str">
        <f aca="false">Funding!W8</f>
        <v/>
      </c>
      <c r="F167" s="20" t="str">
        <f aca="false">""</f>
        <v/>
      </c>
      <c r="G167" s="20" t="str">
        <f aca="false">Funding!O8</f>
        <v/>
      </c>
      <c r="H167" s="33" t="str">
        <f aca="false">IF(OR(F167="",G167=""),"",G167-F167)</f>
        <v/>
      </c>
      <c r="I167" s="33" t="str">
        <f aca="false">IF(OR(E167="",H167=""),"",E167+H167)</f>
        <v/>
      </c>
      <c r="J167" s="20" t="str">
        <f aca="false">IF(In!I125="","",In!I125)</f>
        <v/>
      </c>
      <c r="K167" s="30" t="str">
        <f aca="false">IF(OR(I167="",J167="",LEFT(D167,2)="20"),"",I167/J167)</f>
        <v/>
      </c>
      <c r="L167" s="5" t="s">
        <v>2012</v>
      </c>
    </row>
    <row r="168" customFormat="false" ht="17.15" hidden="false" customHeight="false" outlineLevel="0" collapsed="false">
      <c r="A168" s="0" t="s">
        <v>1693</v>
      </c>
      <c r="B168" s="0" t="s">
        <v>733</v>
      </c>
      <c r="C168" s="0" t="n">
        <v>2025</v>
      </c>
      <c r="D168" s="20" t="str">
        <f aca="false">Funding!D9</f>
        <v>CY2025</v>
      </c>
      <c r="E168" s="37" t="n">
        <f aca="false">Funding!W9</f>
        <v>91.447</v>
      </c>
      <c r="F168" s="20" t="str">
        <f aca="false">Funding!O8</f>
        <v/>
      </c>
      <c r="G168" s="20" t="str">
        <f aca="false">Funding!O9</f>
        <v/>
      </c>
      <c r="H168" s="33" t="str">
        <f aca="false">IF(OR(F168="",G168=""),"",G168-F168)</f>
        <v/>
      </c>
      <c r="I168" s="33" t="str">
        <f aca="false">IF(OR(E168="",H168=""),"",E168+H168)</f>
        <v/>
      </c>
      <c r="J168" s="31" t="n">
        <f aca="false">IF(In!J125="","",In!J125)</f>
        <v>91.447</v>
      </c>
      <c r="K168" s="30" t="str">
        <f aca="false">IF(OR(I168="",J168="",LEFT(D168,2)="20"),"",I168/J168)</f>
        <v/>
      </c>
      <c r="L168" s="5" t="s">
        <v>2012</v>
      </c>
    </row>
    <row r="169" customFormat="false" ht="17.15" hidden="false" customHeight="false" outlineLevel="0" collapsed="false">
      <c r="A169" s="0" t="s">
        <v>1693</v>
      </c>
      <c r="B169" s="0" t="s">
        <v>733</v>
      </c>
      <c r="C169" s="0" t="n">
        <v>2026</v>
      </c>
      <c r="D169" s="20" t="str">
        <f aca="false">Funding!D10</f>
        <v>9M2026</v>
      </c>
      <c r="E169" s="37" t="n">
        <f aca="false">Funding!W10</f>
        <v>131.953</v>
      </c>
      <c r="F169" s="20" t="str">
        <f aca="false">Funding!O9</f>
        <v/>
      </c>
      <c r="G169" s="37" t="n">
        <f aca="false">Funding!O10</f>
        <v>85.2</v>
      </c>
      <c r="H169" s="33" t="str">
        <f aca="false">IF(OR(F169="",G169=""),"",G169-F169)</f>
        <v/>
      </c>
      <c r="I169" s="33" t="str">
        <f aca="false">IF(OR(E169="",H169=""),"",E169+H169)</f>
        <v/>
      </c>
      <c r="J169" s="31" t="n">
        <f aca="false">IF(In!K125="","",In!K125)</f>
        <v>200</v>
      </c>
      <c r="K169" s="30" t="str">
        <f aca="false">IF(OR(I169="",J169="",LEFT(D169,2)="20"),"",I169/J169)</f>
        <v/>
      </c>
      <c r="L169" s="5" t="s">
        <v>2012</v>
      </c>
    </row>
    <row r="170" customFormat="false" ht="17.15" hidden="false" customHeight="false" outlineLevel="0" collapsed="false">
      <c r="A170" s="0" t="s">
        <v>1694</v>
      </c>
      <c r="B170" s="0" t="s">
        <v>741</v>
      </c>
      <c r="C170" s="0" t="n">
        <v>2024</v>
      </c>
      <c r="D170" s="20" t="str">
        <f aca="false">Funding!D11</f>
        <v>CY2024</v>
      </c>
      <c r="E170" s="20" t="str">
        <f aca="false">Funding!W11</f>
        <v/>
      </c>
      <c r="F170" s="20" t="str">
        <f aca="false">""</f>
        <v/>
      </c>
      <c r="G170" s="20" t="str">
        <f aca="false">Funding!O11</f>
        <v/>
      </c>
      <c r="H170" s="33" t="str">
        <f aca="false">IF(OR(F170="",G170=""),"",G170-F170)</f>
        <v/>
      </c>
      <c r="I170" s="33" t="str">
        <f aca="false">IF(OR(E170="",H170=""),"",E170+H170)</f>
        <v/>
      </c>
      <c r="J170" s="20" t="str">
        <f aca="false">IF(In!I126="","",In!I126)</f>
        <v/>
      </c>
      <c r="K170" s="30" t="str">
        <f aca="false">IF(OR(I170="",J170="",LEFT(D170,2)="20"),"",I170/J170)</f>
        <v/>
      </c>
      <c r="L170" s="5" t="s">
        <v>2012</v>
      </c>
    </row>
    <row r="171" customFormat="false" ht="17.15" hidden="false" customHeight="false" outlineLevel="0" collapsed="false">
      <c r="A171" s="0" t="s">
        <v>1694</v>
      </c>
      <c r="B171" s="0" t="s">
        <v>741</v>
      </c>
      <c r="C171" s="0" t="n">
        <v>2025</v>
      </c>
      <c r="D171" s="20" t="str">
        <f aca="false">Funding!D12</f>
        <v>CY2025</v>
      </c>
      <c r="E171" s="37" t="n">
        <f aca="false">Funding!W12</f>
        <v>131.231</v>
      </c>
      <c r="F171" s="20" t="str">
        <f aca="false">Funding!O11</f>
        <v/>
      </c>
      <c r="G171" s="37" t="n">
        <f aca="false">Funding!O12</f>
        <v>96.4</v>
      </c>
      <c r="H171" s="33" t="str">
        <f aca="false">IF(OR(F171="",G171=""),"",G171-F171)</f>
        <v/>
      </c>
      <c r="I171" s="33" t="str">
        <f aca="false">IF(OR(E171="",H171=""),"",E171+H171)</f>
        <v/>
      </c>
      <c r="J171" s="31" t="n">
        <f aca="false">IF(In!J126="","",In!J126)</f>
        <v>128.32</v>
      </c>
      <c r="K171" s="30" t="str">
        <f aca="false">IF(OR(I171="",J171="",LEFT(D171,2)="20"),"",I171/J171)</f>
        <v/>
      </c>
      <c r="L171" s="5" t="s">
        <v>2012</v>
      </c>
    </row>
    <row r="172" customFormat="false" ht="17.15" hidden="false" customHeight="false" outlineLevel="0" collapsed="false">
      <c r="A172" s="0" t="s">
        <v>1694</v>
      </c>
      <c r="B172" s="0" t="s">
        <v>741</v>
      </c>
      <c r="C172" s="0" t="n">
        <v>2026</v>
      </c>
      <c r="D172" s="20" t="str">
        <f aca="false">Funding!D13</f>
        <v>9M2026</v>
      </c>
      <c r="E172" s="37" t="n">
        <f aca="false">Funding!W13</f>
        <v>175.788</v>
      </c>
      <c r="F172" s="37" t="n">
        <f aca="false">Funding!O12</f>
        <v>96.4</v>
      </c>
      <c r="G172" s="37" t="n">
        <f aca="false">Funding!O13</f>
        <v>164.922</v>
      </c>
      <c r="H172" s="33" t="n">
        <f aca="false">IF(OR(F172="",G172=""),"",G172-F172)</f>
        <v>68.522</v>
      </c>
      <c r="I172" s="33" t="n">
        <f aca="false">IF(OR(E172="",H172=""),"",E172+H172)</f>
        <v>244.31</v>
      </c>
      <c r="J172" s="31" t="n">
        <f aca="false">IF(In!K126="","",In!K126)</f>
        <v>220</v>
      </c>
      <c r="K172" s="30" t="n">
        <f aca="false">IF(OR(I172="",J172="",LEFT(D172,2)="20"),"",I172/J172)</f>
        <v>1.1105</v>
      </c>
      <c r="L172" s="5" t="s">
        <v>2012</v>
      </c>
    </row>
    <row r="173" customFormat="false" ht="17.15" hidden="false" customHeight="false" outlineLevel="0" collapsed="false">
      <c r="A173" s="0" t="s">
        <v>1429</v>
      </c>
      <c r="B173" s="0" t="s">
        <v>748</v>
      </c>
      <c r="C173" s="0" t="n">
        <v>2024</v>
      </c>
      <c r="D173" s="20" t="str">
        <f aca="false">Funding!D14</f>
        <v>CY2024</v>
      </c>
      <c r="E173" s="20" t="str">
        <f aca="false">Funding!W14</f>
        <v/>
      </c>
      <c r="F173" s="20" t="str">
        <f aca="false">""</f>
        <v/>
      </c>
      <c r="G173" s="20" t="str">
        <f aca="false">Funding!O14</f>
        <v/>
      </c>
      <c r="H173" s="33" t="str">
        <f aca="false">IF(OR(F173="",G173=""),"",G173-F173)</f>
        <v/>
      </c>
      <c r="I173" s="33" t="str">
        <f aca="false">IF(OR(E173="",H173=""),"",E173+H173)</f>
        <v/>
      </c>
      <c r="J173" s="20" t="str">
        <f aca="false">IF(In!I127="","",In!I127)</f>
        <v/>
      </c>
      <c r="K173" s="30" t="str">
        <f aca="false">IF(OR(I173="",J173="",LEFT(D173,2)="20"),"",I173/J173)</f>
        <v/>
      </c>
      <c r="L173" s="5" t="s">
        <v>2012</v>
      </c>
    </row>
    <row r="174" customFormat="false" ht="17.15" hidden="false" customHeight="false" outlineLevel="0" collapsed="false">
      <c r="A174" s="0" t="s">
        <v>1429</v>
      </c>
      <c r="B174" s="0" t="s">
        <v>748</v>
      </c>
      <c r="C174" s="0" t="n">
        <v>2025</v>
      </c>
      <c r="D174" s="20" t="str">
        <f aca="false">Funding!D15</f>
        <v>CY2025</v>
      </c>
      <c r="E174" s="37" t="n">
        <f aca="false">Funding!W15</f>
        <v>72.215</v>
      </c>
      <c r="F174" s="20" t="str">
        <f aca="false">Funding!O14</f>
        <v/>
      </c>
      <c r="G174" s="20" t="str">
        <f aca="false">Funding!O15</f>
        <v/>
      </c>
      <c r="H174" s="33" t="str">
        <f aca="false">IF(OR(F174="",G174=""),"",G174-F174)</f>
        <v/>
      </c>
      <c r="I174" s="33" t="str">
        <f aca="false">IF(OR(E174="",H174=""),"",E174+H174)</f>
        <v/>
      </c>
      <c r="J174" s="20" t="str">
        <f aca="false">IF(In!J127="","",In!J127)</f>
        <v/>
      </c>
      <c r="K174" s="30" t="str">
        <f aca="false">IF(OR(I174="",J174="",LEFT(D174,2)="20"),"",I174/J174)</f>
        <v/>
      </c>
      <c r="L174" s="5" t="s">
        <v>2012</v>
      </c>
    </row>
    <row r="175" customFormat="false" ht="17.15" hidden="false" customHeight="false" outlineLevel="0" collapsed="false">
      <c r="A175" s="0" t="s">
        <v>1429</v>
      </c>
      <c r="B175" s="0" t="s">
        <v>748</v>
      </c>
      <c r="C175" s="0" t="n">
        <v>2026</v>
      </c>
      <c r="D175" s="20" t="str">
        <f aca="false">Funding!D16</f>
        <v>9M2026</v>
      </c>
      <c r="E175" s="37" t="n">
        <f aca="false">Funding!W16</f>
        <v>85.824</v>
      </c>
      <c r="F175" s="20" t="str">
        <f aca="false">Funding!O15</f>
        <v/>
      </c>
      <c r="G175" s="37" t="n">
        <f aca="false">Funding!O16</f>
        <v>355.73</v>
      </c>
      <c r="H175" s="33" t="str">
        <f aca="false">IF(OR(F175="",G175=""),"",G175-F175)</f>
        <v/>
      </c>
      <c r="I175" s="33" t="str">
        <f aca="false">IF(OR(E175="",H175=""),"",E175+H175)</f>
        <v/>
      </c>
      <c r="J175" s="31" t="n">
        <f aca="false">IF(In!K127="","",In!K127)</f>
        <v>140</v>
      </c>
      <c r="K175" s="30" t="str">
        <f aca="false">IF(OR(I175="",J175="",LEFT(D175,2)="20"),"",I175/J175)</f>
        <v/>
      </c>
      <c r="L175" s="5" t="s">
        <v>2012</v>
      </c>
    </row>
    <row r="176" customFormat="false" ht="17.15" hidden="false" customHeight="false" outlineLevel="0" collapsed="false">
      <c r="A176" s="0" t="s">
        <v>1695</v>
      </c>
      <c r="B176" s="0" t="s">
        <v>752</v>
      </c>
      <c r="C176" s="0" t="n">
        <v>2024</v>
      </c>
      <c r="D176" s="20" t="str">
        <f aca="false">Funding!D17</f>
        <v>FY2024</v>
      </c>
      <c r="E176" s="20" t="str">
        <f aca="false">Funding!W17</f>
        <v/>
      </c>
      <c r="F176" s="20" t="str">
        <f aca="false">""</f>
        <v/>
      </c>
      <c r="G176" s="20" t="str">
        <f aca="false">Funding!O17</f>
        <v/>
      </c>
      <c r="H176" s="33" t="str">
        <f aca="false">IF(OR(F176="",G176=""),"",G176-F176)</f>
        <v/>
      </c>
      <c r="I176" s="33" t="str">
        <f aca="false">IF(OR(E176="",H176=""),"",E176+H176)</f>
        <v/>
      </c>
      <c r="J176" s="20" t="str">
        <f aca="false">IF(In!I128="","",In!I128)</f>
        <v/>
      </c>
      <c r="K176" s="30" t="str">
        <f aca="false">IF(OR(I176="",J176="",LEFT(D176,2)="20"),"",I176/J176)</f>
        <v/>
      </c>
      <c r="L176" s="5" t="s">
        <v>2012</v>
      </c>
    </row>
    <row r="177" customFormat="false" ht="17.15" hidden="false" customHeight="false" outlineLevel="0" collapsed="false">
      <c r="A177" s="0" t="s">
        <v>1695</v>
      </c>
      <c r="B177" s="0" t="s">
        <v>752</v>
      </c>
      <c r="C177" s="0" t="n">
        <v>2025</v>
      </c>
      <c r="D177" s="20" t="str">
        <f aca="false">Funding!D18</f>
        <v>FY2025</v>
      </c>
      <c r="E177" s="20" t="str">
        <f aca="false">Funding!W18</f>
        <v/>
      </c>
      <c r="F177" s="20" t="str">
        <f aca="false">Funding!O17</f>
        <v/>
      </c>
      <c r="G177" s="20" t="str">
        <f aca="false">Funding!O18</f>
        <v/>
      </c>
      <c r="H177" s="33" t="str">
        <f aca="false">IF(OR(F177="",G177=""),"",G177-F177)</f>
        <v/>
      </c>
      <c r="I177" s="33" t="str">
        <f aca="false">IF(OR(E177="",H177=""),"",E177+H177)</f>
        <v/>
      </c>
      <c r="J177" s="31" t="n">
        <f aca="false">IF(In!J128="","",In!J128)</f>
        <v>21.215</v>
      </c>
      <c r="K177" s="30" t="str">
        <f aca="false">IF(OR(I177="",J177="",LEFT(D177,2)="20"),"",I177/J177)</f>
        <v/>
      </c>
      <c r="L177" s="5" t="s">
        <v>2012</v>
      </c>
    </row>
    <row r="178" customFormat="false" ht="17.15" hidden="false" customHeight="false" outlineLevel="0" collapsed="false">
      <c r="A178" s="0" t="s">
        <v>1695</v>
      </c>
      <c r="B178" s="0" t="s">
        <v>752</v>
      </c>
      <c r="C178" s="0" t="n">
        <v>2026</v>
      </c>
      <c r="D178" s="20" t="str">
        <f aca="false">Funding!D19</f>
        <v>FY2026</v>
      </c>
      <c r="E178" s="37" t="n">
        <f aca="false">Funding!W19</f>
        <v>55.663</v>
      </c>
      <c r="F178" s="20" t="str">
        <f aca="false">Funding!O18</f>
        <v/>
      </c>
      <c r="G178" s="37" t="n">
        <f aca="false">Funding!O19</f>
        <v>260</v>
      </c>
      <c r="H178" s="33" t="str">
        <f aca="false">IF(OR(F178="",G178=""),"",G178-F178)</f>
        <v/>
      </c>
      <c r="I178" s="33" t="str">
        <f aca="false">IF(OR(E178="",H178=""),"",E178+H178)</f>
        <v/>
      </c>
      <c r="J178" s="31" t="n">
        <f aca="false">IF(In!K128="","",In!K128)</f>
        <v>55.663</v>
      </c>
      <c r="K178" s="30" t="str">
        <f aca="false">IF(OR(I178="",J178="",LEFT(D178,2)="20"),"",I178/J178)</f>
        <v/>
      </c>
      <c r="L178" s="5" t="s">
        <v>2012</v>
      </c>
    </row>
    <row r="179" customFormat="false" ht="17.15" hidden="false" customHeight="false" outlineLevel="0" collapsed="false">
      <c r="A179" s="0" t="s">
        <v>1467</v>
      </c>
      <c r="B179" s="0" t="s">
        <v>842</v>
      </c>
      <c r="C179" s="0" t="n">
        <v>2024</v>
      </c>
      <c r="D179" s="20" t="str">
        <f aca="false">Funding!D20</f>
        <v>CY2024</v>
      </c>
      <c r="E179" s="37" t="n">
        <f aca="false">Funding!W20</f>
        <v>8.702</v>
      </c>
      <c r="F179" s="20" t="str">
        <f aca="false">""</f>
        <v/>
      </c>
      <c r="G179" s="20" t="str">
        <f aca="false">Funding!O20</f>
        <v/>
      </c>
      <c r="H179" s="33" t="str">
        <f aca="false">IF(OR(F179="",G179=""),"",G179-F179)</f>
        <v/>
      </c>
      <c r="I179" s="33" t="str">
        <f aca="false">IF(OR(E179="",H179=""),"",E179+H179)</f>
        <v/>
      </c>
      <c r="J179" s="20" t="str">
        <f aca="false">IF(In!I129="","",In!I129)</f>
        <v/>
      </c>
      <c r="K179" s="30" t="str">
        <f aca="false">IF(OR(I179="",J179="",LEFT(D179,2)="20"),"",I179/J179)</f>
        <v/>
      </c>
      <c r="L179" s="5" t="s">
        <v>2012</v>
      </c>
    </row>
    <row r="180" customFormat="false" ht="17.15" hidden="false" customHeight="false" outlineLevel="0" collapsed="false">
      <c r="A180" s="0" t="s">
        <v>1467</v>
      </c>
      <c r="B180" s="0" t="s">
        <v>842</v>
      </c>
      <c r="C180" s="0" t="n">
        <v>2025</v>
      </c>
      <c r="D180" s="20" t="str">
        <f aca="false">Funding!D21</f>
        <v>CY2025</v>
      </c>
      <c r="E180" s="37" t="n">
        <f aca="false">Funding!W21</f>
        <v>10.309</v>
      </c>
      <c r="F180" s="20" t="str">
        <f aca="false">Funding!O20</f>
        <v/>
      </c>
      <c r="G180" s="20" t="str">
        <f aca="false">Funding!O21</f>
        <v/>
      </c>
      <c r="H180" s="33" t="str">
        <f aca="false">IF(OR(F180="",G180=""),"",G180-F180)</f>
        <v/>
      </c>
      <c r="I180" s="33" t="str">
        <f aca="false">IF(OR(E180="",H180=""),"",E180+H180)</f>
        <v/>
      </c>
      <c r="J180" s="20" t="str">
        <f aca="false">IF(In!J129="","",In!J129)</f>
        <v/>
      </c>
      <c r="K180" s="30" t="str">
        <f aca="false">IF(OR(I180="",J180="",LEFT(D180,2)="20"),"",I180/J180)</f>
        <v/>
      </c>
      <c r="L180" s="5" t="s">
        <v>2012</v>
      </c>
    </row>
    <row r="181" customFormat="false" ht="17.15" hidden="false" customHeight="false" outlineLevel="0" collapsed="false">
      <c r="A181" s="0" t="s">
        <v>1467</v>
      </c>
      <c r="B181" s="0" t="s">
        <v>842</v>
      </c>
      <c r="C181" s="0" t="n">
        <v>2026</v>
      </c>
      <c r="D181" s="20" t="str">
        <f aca="false">Funding!D22</f>
        <v>2026H1</v>
      </c>
      <c r="E181" s="37" t="n">
        <f aca="false">Funding!W22</f>
        <v>14.117</v>
      </c>
      <c r="F181" s="20" t="str">
        <f aca="false">Funding!O21</f>
        <v/>
      </c>
      <c r="G181" s="20" t="str">
        <f aca="false">Funding!O22</f>
        <v/>
      </c>
      <c r="H181" s="33" t="str">
        <f aca="false">IF(OR(F181="",G181=""),"",G181-F181)</f>
        <v/>
      </c>
      <c r="I181" s="33" t="str">
        <f aca="false">IF(OR(E181="",H181=""),"",E181+H181)</f>
        <v/>
      </c>
      <c r="J181" s="31" t="n">
        <f aca="false">IF(In!K129="","",In!K129)</f>
        <v>37</v>
      </c>
      <c r="K181" s="30" t="str">
        <f aca="false">IF(OR(I181="",J181="",LEFT(D181,2)="20"),"",I181/J181)</f>
        <v/>
      </c>
      <c r="L181" s="5" t="s">
        <v>2012</v>
      </c>
    </row>
    <row r="182" customFormat="false" ht="17.15" hidden="false" customHeight="false" outlineLevel="0" collapsed="false">
      <c r="A182" s="0" t="s">
        <v>1486</v>
      </c>
      <c r="B182" s="0" t="s">
        <v>873</v>
      </c>
      <c r="C182" s="0" t="n">
        <v>2025</v>
      </c>
      <c r="D182" s="20" t="str">
        <f aca="false">Funding!D23</f>
        <v>CY2025</v>
      </c>
      <c r="E182" s="37" t="n">
        <f aca="false">Funding!W23</f>
        <v>4.1</v>
      </c>
      <c r="F182" s="20" t="str">
        <f aca="false">""</f>
        <v/>
      </c>
      <c r="G182" s="20" t="str">
        <f aca="false">Funding!O23</f>
        <v/>
      </c>
      <c r="H182" s="33" t="str">
        <f aca="false">IF(OR(F182="",G182=""),"",G182-F182)</f>
        <v/>
      </c>
      <c r="I182" s="33" t="str">
        <f aca="false">IF(OR(E182="",H182=""),"",E182+H182)</f>
        <v/>
      </c>
      <c r="J182" s="31" t="n">
        <f aca="false">IF(In!J130="","",In!J130)</f>
        <v>4.066</v>
      </c>
      <c r="K182" s="30" t="str">
        <f aca="false">IF(OR(I182="",J182="",LEFT(D182,2)="20"),"",I182/J182)</f>
        <v/>
      </c>
      <c r="L182" s="5" t="s">
        <v>2012</v>
      </c>
    </row>
    <row r="183" customFormat="false" ht="17.15" hidden="false" customHeight="false" outlineLevel="0" collapsed="false">
      <c r="A183" s="0" t="s">
        <v>1486</v>
      </c>
      <c r="B183" s="0" t="s">
        <v>873</v>
      </c>
      <c r="C183" s="0" t="n">
        <v>2026</v>
      </c>
      <c r="D183" s="20" t="str">
        <f aca="false">Funding!D24</f>
        <v>2026H1</v>
      </c>
      <c r="E183" s="37" t="n">
        <f aca="false">Funding!W24</f>
        <v>8.13</v>
      </c>
      <c r="F183" s="20" t="str">
        <f aca="false">Funding!O23</f>
        <v/>
      </c>
      <c r="G183" s="37" t="n">
        <f aca="false">Funding!O24</f>
        <v>12.054</v>
      </c>
      <c r="H183" s="33" t="str">
        <f aca="false">IF(OR(F183="",G183=""),"",G183-F183)</f>
        <v/>
      </c>
      <c r="I183" s="33" t="str">
        <f aca="false">IF(OR(E183="",H183=""),"",E183+H183)</f>
        <v/>
      </c>
      <c r="J183" s="31" t="n">
        <f aca="false">IF(In!K130="","",In!K130)</f>
        <v>22.5</v>
      </c>
      <c r="K183" s="30" t="str">
        <f aca="false">IF(OR(I183="",J183="",LEFT(D183,2)="20"),"",I183/J183)</f>
        <v/>
      </c>
      <c r="L183" s="5" t="s">
        <v>2012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2013</v>
      </c>
    </row>
    <row r="3" customFormat="false" ht="15" hidden="false" customHeight="false" outlineLevel="0" collapsed="false">
      <c r="A3" s="6" t="s">
        <v>20</v>
      </c>
      <c r="B3" s="6" t="s">
        <v>1770</v>
      </c>
      <c r="C3" s="6" t="s">
        <v>1927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2014</v>
      </c>
      <c r="B4" s="0" t="s">
        <v>1934</v>
      </c>
      <c r="G4" s="30" t="n">
        <f aca="false">SIL_In!$G$30</f>
        <v>23.3995380420639</v>
      </c>
      <c r="H4" s="30" t="n">
        <f aca="false">SIL_In!$H$30</f>
        <v>41.6467658260637</v>
      </c>
      <c r="I4" s="30" t="n">
        <f aca="false">SIL_In!$I$30</f>
        <v>52.792138191248</v>
      </c>
      <c r="J4" s="30" t="n">
        <f aca="false">SIL_In!$J$30</f>
        <v>60.1385917361115</v>
      </c>
      <c r="N4" s="21" t="s">
        <v>2015</v>
      </c>
    </row>
    <row r="5" customFormat="false" ht="17.15" hidden="false" customHeight="false" outlineLevel="0" collapsed="false">
      <c r="A5" s="5" t="s">
        <v>2016</v>
      </c>
      <c r="B5" s="0" t="s">
        <v>1934</v>
      </c>
      <c r="C5" s="0" t="s">
        <v>1774</v>
      </c>
      <c r="D5" s="30" t="n">
        <f aca="false">Deploy!D19</f>
        <v>0</v>
      </c>
      <c r="E5" s="30" t="n">
        <f aca="false">Deploy!E19</f>
        <v>1.61980834349181</v>
      </c>
      <c r="F5" s="30" t="n">
        <f aca="false">Deploy!F19</f>
        <v>9.04912429484716</v>
      </c>
      <c r="G5" s="30" t="n">
        <f aca="false">Deploy!G19</f>
        <v>12.5153714610592</v>
      </c>
      <c r="H5" s="30" t="n">
        <f aca="false">Deploy!H19</f>
        <v>23.9622539260371</v>
      </c>
      <c r="I5" s="30" t="n">
        <f aca="false">Deploy!I19</f>
        <v>26.9232927993498</v>
      </c>
      <c r="J5" s="30" t="n">
        <f aca="false">Deploy!J19</f>
        <v>27.6634681049025</v>
      </c>
      <c r="K5" s="30" t="n">
        <f aca="false">Deploy!K19</f>
        <v>28.071624456532</v>
      </c>
      <c r="L5" s="30" t="n">
        <f aca="false">Deploy!L19</f>
        <v>24.6443743325068</v>
      </c>
      <c r="M5" s="30" t="n">
        <f aca="false">Deploy!M19</f>
        <v>16.9117528413721</v>
      </c>
    </row>
    <row r="6" customFormat="false" ht="17.15" hidden="false" customHeight="false" outlineLevel="0" collapsed="false">
      <c r="A6" s="5" t="s">
        <v>2016</v>
      </c>
      <c r="B6" s="0" t="s">
        <v>1934</v>
      </c>
      <c r="C6" s="0" t="s">
        <v>1775</v>
      </c>
      <c r="D6" s="30" t="n">
        <f aca="false">Deploy!D20</f>
        <v>0</v>
      </c>
      <c r="E6" s="30" t="n">
        <f aca="false">Deploy!E20</f>
        <v>1.61980834349181</v>
      </c>
      <c r="F6" s="30" t="n">
        <f aca="false">Deploy!F20</f>
        <v>9.04912429484716</v>
      </c>
      <c r="G6" s="30" t="n">
        <f aca="false">Deploy!G20</f>
        <v>11.7062917618926</v>
      </c>
      <c r="H6" s="30" t="n">
        <f aca="false">Deploy!H20</f>
        <v>20.2797100214805</v>
      </c>
      <c r="I6" s="30" t="n">
        <f aca="false">Deploy!I20</f>
        <v>26.1728568298534</v>
      </c>
      <c r="J6" s="30" t="n">
        <f aca="false">Deploy!J20</f>
        <v>27.6795957597641</v>
      </c>
      <c r="K6" s="30" t="n">
        <f aca="false">Deploy!K20</f>
        <v>27.9487470949969</v>
      </c>
      <c r="L6" s="30" t="n">
        <f aca="false">Deploy!L20</f>
        <v>25.4320931042112</v>
      </c>
      <c r="M6" s="30" t="n">
        <f aca="false">Deploy!M20</f>
        <v>18.0642366023206</v>
      </c>
    </row>
    <row r="7" customFormat="false" ht="17.15" hidden="false" customHeight="false" outlineLevel="0" collapsed="false">
      <c r="A7" s="5" t="s">
        <v>2017</v>
      </c>
      <c r="B7" s="0" t="s">
        <v>1934</v>
      </c>
      <c r="G7" s="30" t="n">
        <f aca="false">IF(N(G4)=0,"",G5/G4)</f>
        <v>0.534855493239272</v>
      </c>
      <c r="H7" s="30" t="n">
        <f aca="false">IF(N(H4)=0,"",H5/H4)</f>
        <v>0.575368902020258</v>
      </c>
      <c r="I7" s="30" t="n">
        <f aca="false">IF(N(I4)=0,"",I5/I4)</f>
        <v>0.509986784430208</v>
      </c>
      <c r="J7" s="30" t="n">
        <f aca="false">IF(N(J4)=0,"",J5/J4)</f>
        <v>0.459995276016604</v>
      </c>
    </row>
    <row r="8" customFormat="false" ht="17.15" hidden="false" customHeight="false" outlineLevel="0" collapsed="false">
      <c r="A8" s="5" t="s">
        <v>2018</v>
      </c>
      <c r="B8" s="0" t="s">
        <v>1934</v>
      </c>
      <c r="C8" s="0" t="s">
        <v>1774</v>
      </c>
      <c r="D8" s="30" t="n">
        <f aca="false">Deploy!D68</f>
        <v>0</v>
      </c>
      <c r="E8" s="30" t="n">
        <f aca="false">Deploy!E68</f>
        <v>1.61980834349181</v>
      </c>
      <c r="F8" s="30" t="n">
        <f aca="false">Deploy!F68</f>
        <v>9.04912429484716</v>
      </c>
      <c r="G8" s="30" t="n">
        <f aca="false">Deploy!G68</f>
        <v>12.5153714610592</v>
      </c>
      <c r="H8" s="30" t="n">
        <f aca="false">Deploy!H68</f>
        <v>12.6031451245072</v>
      </c>
      <c r="I8" s="30" t="n">
        <f aca="false">Deploy!I68</f>
        <v>19.2160473942424</v>
      </c>
      <c r="J8" s="30" t="n">
        <f aca="false">Deploy!J68</f>
        <v>6.47302133099745</v>
      </c>
      <c r="K8" s="30" t="n">
        <f aca="false">Deploy!K68</f>
        <v>7.25443315391216</v>
      </c>
      <c r="L8" s="30" t="n">
        <f aca="false">Deploy!L68</f>
        <v>8.14274553776249</v>
      </c>
      <c r="M8" s="30" t="n">
        <f aca="false">Deploy!M68</f>
        <v>9.1541907335814</v>
      </c>
    </row>
    <row r="9" customFormat="false" ht="17.15" hidden="false" customHeight="false" outlineLevel="0" collapsed="false">
      <c r="A9" s="5" t="s">
        <v>2018</v>
      </c>
      <c r="B9" s="0" t="s">
        <v>1934</v>
      </c>
      <c r="C9" s="0" t="s">
        <v>1775</v>
      </c>
      <c r="D9" s="30" t="n">
        <f aca="false">Deploy!D69</f>
        <v>0</v>
      </c>
      <c r="E9" s="30" t="n">
        <f aca="false">Deploy!E69</f>
        <v>1.61980834349181</v>
      </c>
      <c r="F9" s="30" t="n">
        <f aca="false">Deploy!F69</f>
        <v>9.04912429484716</v>
      </c>
      <c r="G9" s="30" t="n">
        <f aca="false">Deploy!G69</f>
        <v>11.7062917618926</v>
      </c>
      <c r="H9" s="30" t="n">
        <f aca="false">Deploy!H69</f>
        <v>10.9084452602183</v>
      </c>
      <c r="I9" s="30" t="n">
        <f aca="false">Deploy!I69</f>
        <v>17.826535330372</v>
      </c>
      <c r="J9" s="30" t="n">
        <f aca="false">Deploy!J69</f>
        <v>8.84870922539865</v>
      </c>
      <c r="K9" s="30" t="n">
        <f aca="false">Deploy!K69</f>
        <v>7.0662360849021</v>
      </c>
      <c r="L9" s="30" t="n">
        <f aca="false">Deploy!L69</f>
        <v>8.17524087058867</v>
      </c>
      <c r="M9" s="30" t="n">
        <f aca="false">Deploy!M69</f>
        <v>8.7764628243131</v>
      </c>
    </row>
    <row r="10" customFormat="false" ht="17.15" hidden="false" customHeight="false" outlineLevel="0" collapsed="false">
      <c r="A10" s="5" t="s">
        <v>2019</v>
      </c>
      <c r="B10" s="0" t="s">
        <v>1934</v>
      </c>
      <c r="G10" s="30" t="n">
        <f aca="false">IF(N(G4)=0,"",G8/G4)</f>
        <v>0.534855493239272</v>
      </c>
      <c r="H10" s="30" t="n">
        <f aca="false">IF(N(H4)=0,"",H8/H4)</f>
        <v>0.302620020415121</v>
      </c>
      <c r="I10" s="30" t="n">
        <f aca="false">IF(N(I4)=0,"",I8/I4)</f>
        <v>0.363994489570192</v>
      </c>
      <c r="J10" s="30" t="n">
        <f aca="false">IF(N(J4)=0,"",J8/J4)</f>
        <v>0.107635066670685</v>
      </c>
    </row>
    <row r="12" customFormat="false" ht="17.15" hidden="false" customHeight="false" outlineLevel="0" collapsed="false">
      <c r="A12" s="0" t="s">
        <v>2014</v>
      </c>
      <c r="B12" s="0" t="s">
        <v>1938</v>
      </c>
      <c r="G12" s="30" t="n">
        <f aca="false">SIL_In!$G$31</f>
        <v>23.3995380420639</v>
      </c>
      <c r="H12" s="30" t="n">
        <f aca="false">SIL_In!$H$31</f>
        <v>41.6467658260637</v>
      </c>
      <c r="I12" s="30" t="n">
        <f aca="false">SIL_In!$I$31</f>
        <v>42.2337105529984</v>
      </c>
      <c r="J12" s="30" t="n">
        <f aca="false">SIL_In!$J$31</f>
        <v>51.1178029756948</v>
      </c>
      <c r="N12" s="21" t="s">
        <v>2015</v>
      </c>
    </row>
    <row r="13" customFormat="false" ht="17.15" hidden="false" customHeight="false" outlineLevel="0" collapsed="false">
      <c r="A13" s="5" t="s">
        <v>2016</v>
      </c>
      <c r="B13" s="0" t="s">
        <v>1938</v>
      </c>
      <c r="C13" s="0" t="s">
        <v>1774</v>
      </c>
      <c r="D13" s="30" t="n">
        <f aca="false">Deploy!D35</f>
        <v>0</v>
      </c>
      <c r="E13" s="30" t="n">
        <f aca="false">Deploy!E35</f>
        <v>1.61980834349181</v>
      </c>
      <c r="F13" s="30" t="n">
        <f aca="false">Deploy!F35</f>
        <v>9.04912429484716</v>
      </c>
      <c r="G13" s="30" t="n">
        <f aca="false">Deploy!G35</f>
        <v>12.5153714610592</v>
      </c>
      <c r="H13" s="30" t="n">
        <f aca="false">Deploy!H35</f>
        <v>23.9622539260371</v>
      </c>
      <c r="I13" s="30" t="n">
        <f aca="false">Deploy!I35</f>
        <v>21.5386342394798</v>
      </c>
      <c r="J13" s="30" t="n">
        <f aca="false">Deploy!J35</f>
        <v>23.5139478891671</v>
      </c>
      <c r="K13" s="30" t="n">
        <f aca="false">Deploy!K35</f>
        <v>23.6603912321806</v>
      </c>
      <c r="L13" s="30" t="n">
        <f aca="false">Deploy!L35</f>
        <v>20.9757835743525</v>
      </c>
      <c r="M13" s="30" t="n">
        <f aca="false">Deploy!M35</f>
        <v>15.150352565561</v>
      </c>
    </row>
    <row r="14" customFormat="false" ht="17.15" hidden="false" customHeight="false" outlineLevel="0" collapsed="false">
      <c r="A14" s="5" t="s">
        <v>2016</v>
      </c>
      <c r="B14" s="0" t="s">
        <v>1938</v>
      </c>
      <c r="C14" s="0" t="s">
        <v>1775</v>
      </c>
      <c r="D14" s="30" t="n">
        <f aca="false">Deploy!D36</f>
        <v>0</v>
      </c>
      <c r="E14" s="30" t="n">
        <f aca="false">Deploy!E36</f>
        <v>1.61980834349181</v>
      </c>
      <c r="F14" s="30" t="n">
        <f aca="false">Deploy!F36</f>
        <v>9.04912429484716</v>
      </c>
      <c r="G14" s="30" t="n">
        <f aca="false">Deploy!G36</f>
        <v>11.7062917618926</v>
      </c>
      <c r="H14" s="30" t="n">
        <f aca="false">Deploy!H36</f>
        <v>20.2797100214805</v>
      </c>
      <c r="I14" s="30" t="n">
        <f aca="false">Deploy!I36</f>
        <v>21.7305135179606</v>
      </c>
      <c r="J14" s="30" t="n">
        <f aca="false">Deploy!J36</f>
        <v>23.3139263338052</v>
      </c>
      <c r="K14" s="30" t="n">
        <f aca="false">Deploy!K36</f>
        <v>23.5833136471532</v>
      </c>
      <c r="L14" s="30" t="n">
        <f aca="false">Deploy!L36</f>
        <v>21.6335399144724</v>
      </c>
      <c r="M14" s="30" t="n">
        <f aca="false">Deploy!M36</f>
        <v>15.9690779920995</v>
      </c>
    </row>
    <row r="15" customFormat="false" ht="17.15" hidden="false" customHeight="false" outlineLevel="0" collapsed="false">
      <c r="A15" s="5" t="s">
        <v>2017</v>
      </c>
      <c r="B15" s="0" t="s">
        <v>1938</v>
      </c>
      <c r="G15" s="30" t="n">
        <f aca="false">IF(N(G12)=0,"",G13/G12)</f>
        <v>0.534855493239272</v>
      </c>
      <c r="H15" s="30" t="n">
        <f aca="false">IF(N(H12)=0,"",H13/H12)</f>
        <v>0.575368902020258</v>
      </c>
      <c r="I15" s="30" t="n">
        <f aca="false">IF(N(I12)=0,"",I13/I12)</f>
        <v>0.509986784430208</v>
      </c>
      <c r="J15" s="30" t="n">
        <f aca="false">IF(N(J12)=0,"",J13/J12)</f>
        <v>0.459995276016604</v>
      </c>
    </row>
    <row r="16" customFormat="false" ht="17.15" hidden="false" customHeight="false" outlineLevel="0" collapsed="false">
      <c r="A16" s="5" t="s">
        <v>2018</v>
      </c>
      <c r="B16" s="0" t="s">
        <v>1938</v>
      </c>
      <c r="C16" s="0" t="s">
        <v>1774</v>
      </c>
      <c r="D16" s="30" t="n">
        <f aca="false">Deploy!D84</f>
        <v>0</v>
      </c>
      <c r="E16" s="30" t="n">
        <f aca="false">Deploy!E84</f>
        <v>1.61980834349181</v>
      </c>
      <c r="F16" s="30" t="n">
        <f aca="false">Deploy!F84</f>
        <v>9.04912429484716</v>
      </c>
      <c r="G16" s="30" t="n">
        <f aca="false">Deploy!G84</f>
        <v>12.5153714610592</v>
      </c>
      <c r="H16" s="30" t="n">
        <f aca="false">Deploy!H84</f>
        <v>12.6031451245072</v>
      </c>
      <c r="I16" s="30" t="n">
        <f aca="false">Deploy!I84</f>
        <v>15.3728379153939</v>
      </c>
      <c r="J16" s="30" t="n">
        <f aca="false">Deploy!J84</f>
        <v>5.50206813134783</v>
      </c>
      <c r="K16" s="30" t="n">
        <f aca="false">Deploy!K84</f>
        <v>6.35231300308971</v>
      </c>
      <c r="L16" s="30" t="n">
        <f aca="false">Deploy!L84</f>
        <v>7.3431517069633</v>
      </c>
      <c r="M16" s="30" t="n">
        <f aca="false">Deploy!M84</f>
        <v>8.50260306756944</v>
      </c>
    </row>
    <row r="17" customFormat="false" ht="17.15" hidden="false" customHeight="false" outlineLevel="0" collapsed="false">
      <c r="A17" s="5" t="s">
        <v>2018</v>
      </c>
      <c r="B17" s="0" t="s">
        <v>1938</v>
      </c>
      <c r="C17" s="0" t="s">
        <v>1775</v>
      </c>
      <c r="D17" s="30" t="n">
        <f aca="false">Deploy!D85</f>
        <v>0</v>
      </c>
      <c r="E17" s="30" t="n">
        <f aca="false">Deploy!E85</f>
        <v>1.61980834349181</v>
      </c>
      <c r="F17" s="30" t="n">
        <f aca="false">Deploy!F85</f>
        <v>9.04912429484716</v>
      </c>
      <c r="G17" s="30" t="n">
        <f aca="false">Deploy!G85</f>
        <v>11.7062917618926</v>
      </c>
      <c r="H17" s="30" t="n">
        <f aca="false">Deploy!H85</f>
        <v>10.9084452602183</v>
      </c>
      <c r="I17" s="30" t="n">
        <f aca="false">Deploy!I85</f>
        <v>14.655887510322</v>
      </c>
      <c r="J17" s="30" t="n">
        <f aca="false">Deploy!J85</f>
        <v>7.37511117688923</v>
      </c>
      <c r="K17" s="30" t="n">
        <f aca="false">Deploy!K85</f>
        <v>6.1520701505349</v>
      </c>
      <c r="L17" s="30" t="n">
        <f aca="false">Deploy!L85</f>
        <v>7.3577049337854</v>
      </c>
      <c r="M17" s="30" t="n">
        <f aca="false">Deploy!M85</f>
        <v>8.09897407946338</v>
      </c>
    </row>
    <row r="18" customFormat="false" ht="17.15" hidden="false" customHeight="false" outlineLevel="0" collapsed="false">
      <c r="A18" s="5" t="s">
        <v>2019</v>
      </c>
      <c r="B18" s="0" t="s">
        <v>1938</v>
      </c>
      <c r="G18" s="30" t="n">
        <f aca="false">IF(N(G12)=0,"",G16/G12)</f>
        <v>0.534855493239272</v>
      </c>
      <c r="H18" s="30" t="n">
        <f aca="false">IF(N(H12)=0,"",H16/H12)</f>
        <v>0.302620020415121</v>
      </c>
      <c r="I18" s="30" t="n">
        <f aca="false">IF(N(I12)=0,"",I16/I12)</f>
        <v>0.363994489570192</v>
      </c>
      <c r="J18" s="30" t="n">
        <f aca="false">IF(N(J12)=0,"",J16/J12)</f>
        <v>0.107635066670685</v>
      </c>
    </row>
    <row r="20" customFormat="false" ht="17.15" hidden="false" customHeight="false" outlineLevel="0" collapsed="false">
      <c r="A20" s="0" t="s">
        <v>2014</v>
      </c>
      <c r="B20" s="0" t="s">
        <v>1940</v>
      </c>
      <c r="G20" s="30" t="n">
        <f aca="false">SIL_In!$G$32</f>
        <v>23.3995380420639</v>
      </c>
      <c r="H20" s="30" t="n">
        <f aca="false">SIL_In!$H$32</f>
        <v>41.6467658260637</v>
      </c>
      <c r="I20" s="30" t="n">
        <f aca="false">SIL_In!$I$32</f>
        <v>31.6752829147488</v>
      </c>
      <c r="J20" s="30" t="n">
        <f aca="false">SIL_In!$J$32</f>
        <v>36.0831550416669</v>
      </c>
      <c r="N20" s="21" t="s">
        <v>2015</v>
      </c>
    </row>
    <row r="21" customFormat="false" ht="17.15" hidden="false" customHeight="false" outlineLevel="0" collapsed="false">
      <c r="A21" s="5" t="s">
        <v>2016</v>
      </c>
      <c r="B21" s="0" t="s">
        <v>1940</v>
      </c>
      <c r="C21" s="0" t="s">
        <v>1774</v>
      </c>
      <c r="D21" s="30" t="n">
        <f aca="false">Deploy!D51</f>
        <v>0</v>
      </c>
      <c r="E21" s="30" t="n">
        <f aca="false">Deploy!E51</f>
        <v>1.61980834349181</v>
      </c>
      <c r="F21" s="30" t="n">
        <f aca="false">Deploy!F51</f>
        <v>9.04912429484716</v>
      </c>
      <c r="G21" s="30" t="n">
        <f aca="false">Deploy!G51</f>
        <v>12.5153714610592</v>
      </c>
      <c r="H21" s="30" t="n">
        <f aca="false">Deploy!H51</f>
        <v>23.9622539260371</v>
      </c>
      <c r="I21" s="30" t="n">
        <f aca="false">Deploy!I51</f>
        <v>16.1539756796098</v>
      </c>
      <c r="J21" s="30" t="n">
        <f aca="false">Deploy!J51</f>
        <v>16.5980808629415</v>
      </c>
      <c r="K21" s="30" t="n">
        <f aca="false">Deploy!K51</f>
        <v>16.5732278061264</v>
      </c>
      <c r="L21" s="30" t="n">
        <f aca="false">Deploy!L51</f>
        <v>15.2958799646954</v>
      </c>
      <c r="M21" s="30" t="n">
        <f aca="false">Deploy!M51</f>
        <v>12.6435933033803</v>
      </c>
    </row>
    <row r="22" customFormat="false" ht="17.15" hidden="false" customHeight="false" outlineLevel="0" collapsed="false">
      <c r="A22" s="5" t="s">
        <v>2016</v>
      </c>
      <c r="B22" s="0" t="s">
        <v>1940</v>
      </c>
      <c r="C22" s="0" t="s">
        <v>1775</v>
      </c>
      <c r="D22" s="30" t="n">
        <f aca="false">Deploy!D52</f>
        <v>0</v>
      </c>
      <c r="E22" s="30" t="n">
        <f aca="false">Deploy!E52</f>
        <v>1.61980834349181</v>
      </c>
      <c r="F22" s="30" t="n">
        <f aca="false">Deploy!F52</f>
        <v>9.04912429484716</v>
      </c>
      <c r="G22" s="30" t="n">
        <f aca="false">Deploy!G52</f>
        <v>11.7062917618926</v>
      </c>
      <c r="H22" s="30" t="n">
        <f aca="false">Deploy!H52</f>
        <v>20.2797100214805</v>
      </c>
      <c r="I22" s="30" t="n">
        <f aca="false">Deploy!I52</f>
        <v>17.2881702060679</v>
      </c>
      <c r="J22" s="30" t="n">
        <f aca="false">Deploy!J52</f>
        <v>16.6660207891918</v>
      </c>
      <c r="K22" s="30" t="n">
        <f aca="false">Deploy!K52</f>
        <v>16.5261270910691</v>
      </c>
      <c r="L22" s="30" t="n">
        <f aca="false">Deploy!L52</f>
        <v>15.7073658369458</v>
      </c>
      <c r="M22" s="30" t="n">
        <f aca="false">Deploy!M52</f>
        <v>12.9070184691104</v>
      </c>
    </row>
    <row r="23" customFormat="false" ht="17.15" hidden="false" customHeight="false" outlineLevel="0" collapsed="false">
      <c r="A23" s="5" t="s">
        <v>2017</v>
      </c>
      <c r="B23" s="0" t="s">
        <v>1940</v>
      </c>
      <c r="G23" s="30" t="n">
        <f aca="false">IF(N(G20)=0,"",G21/G20)</f>
        <v>0.534855493239272</v>
      </c>
      <c r="H23" s="30" t="n">
        <f aca="false">IF(N(H20)=0,"",H21/H20)</f>
        <v>0.575368902020258</v>
      </c>
      <c r="I23" s="30" t="n">
        <f aca="false">IF(N(I20)=0,"",I21/I20)</f>
        <v>0.509986784430208</v>
      </c>
      <c r="J23" s="30" t="n">
        <f aca="false">IF(N(J20)=0,"",J21/J20)</f>
        <v>0.459995276016605</v>
      </c>
    </row>
    <row r="24" customFormat="false" ht="17.15" hidden="false" customHeight="false" outlineLevel="0" collapsed="false">
      <c r="A24" s="5" t="s">
        <v>2018</v>
      </c>
      <c r="B24" s="0" t="s">
        <v>1940</v>
      </c>
      <c r="C24" s="0" t="s">
        <v>1774</v>
      </c>
      <c r="D24" s="30" t="n">
        <f aca="false">Deploy!D100</f>
        <v>0</v>
      </c>
      <c r="E24" s="30" t="n">
        <f aca="false">Deploy!E100</f>
        <v>1.61980834349181</v>
      </c>
      <c r="F24" s="30" t="n">
        <f aca="false">Deploy!F100</f>
        <v>9.04912429484716</v>
      </c>
      <c r="G24" s="30" t="n">
        <f aca="false">Deploy!G100</f>
        <v>12.5153714610592</v>
      </c>
      <c r="H24" s="30" t="n">
        <f aca="false">Deploy!H100</f>
        <v>12.6031451245072</v>
      </c>
      <c r="I24" s="30" t="n">
        <f aca="false">Deploy!I100</f>
        <v>11.5296284365454</v>
      </c>
      <c r="J24" s="30" t="n">
        <f aca="false">Deploy!J100</f>
        <v>3.88381279859847</v>
      </c>
      <c r="K24" s="30" t="n">
        <f aca="false">Deploy!K100</f>
        <v>4.94707730103094</v>
      </c>
      <c r="L24" s="30" t="n">
        <f aca="false">Deploy!L100</f>
        <v>6.2001218846959</v>
      </c>
      <c r="M24" s="30" t="n">
        <f aca="false">Deploy!M100</f>
        <v>7.70163003397704</v>
      </c>
    </row>
    <row r="25" customFormat="false" ht="17.15" hidden="false" customHeight="false" outlineLevel="0" collapsed="false">
      <c r="A25" s="5" t="s">
        <v>2018</v>
      </c>
      <c r="B25" s="0" t="s">
        <v>1940</v>
      </c>
      <c r="C25" s="0" t="s">
        <v>1775</v>
      </c>
      <c r="D25" s="30" t="n">
        <f aca="false">Deploy!D101</f>
        <v>0</v>
      </c>
      <c r="E25" s="30" t="n">
        <f aca="false">Deploy!E101</f>
        <v>1.61980834349181</v>
      </c>
      <c r="F25" s="30" t="n">
        <f aca="false">Deploy!F101</f>
        <v>9.04912429484716</v>
      </c>
      <c r="G25" s="30" t="n">
        <f aca="false">Deploy!G101</f>
        <v>11.7062917618926</v>
      </c>
      <c r="H25" s="30" t="n">
        <f aca="false">Deploy!H101</f>
        <v>10.9084452602183</v>
      </c>
      <c r="I25" s="30" t="n">
        <f aca="false">Deploy!I101</f>
        <v>11.485239690272</v>
      </c>
      <c r="J25" s="30" t="n">
        <f aca="false">Deploy!J101</f>
        <v>5.36748886857253</v>
      </c>
      <c r="K25" s="30" t="n">
        <f aca="false">Deploy!K101</f>
        <v>4.70955601310527</v>
      </c>
      <c r="L25" s="30" t="n">
        <f aca="false">Deploy!L101</f>
        <v>6.16878908255453</v>
      </c>
      <c r="M25" s="30" t="n">
        <f aca="false">Deploy!M101</f>
        <v>7.23814110785284</v>
      </c>
    </row>
    <row r="26" customFormat="false" ht="17.15" hidden="false" customHeight="false" outlineLevel="0" collapsed="false">
      <c r="A26" s="5" t="s">
        <v>2019</v>
      </c>
      <c r="B26" s="0" t="s">
        <v>1940</v>
      </c>
      <c r="G26" s="30" t="n">
        <f aca="false">IF(N(G20)=0,"",G24/G20)</f>
        <v>0.534855493239272</v>
      </c>
      <c r="H26" s="30" t="n">
        <f aca="false">IF(N(H20)=0,"",H24/H20)</f>
        <v>0.302620020415121</v>
      </c>
      <c r="I26" s="30" t="n">
        <f aca="false">IF(N(I20)=0,"",I24/I20)</f>
        <v>0.363994489570192</v>
      </c>
      <c r="J26" s="30" t="n">
        <f aca="false">IF(N(J20)=0,"",J24/J20)</f>
        <v>0.107635066670685</v>
      </c>
    </row>
    <row r="28" customFormat="false" ht="17.15" hidden="false" customHeight="false" outlineLevel="0" collapsed="false">
      <c r="A28" s="22" t="s">
        <v>2020</v>
      </c>
    </row>
    <row r="29" customFormat="false" ht="17.15" hidden="false" customHeight="false" outlineLevel="0" collapsed="false">
      <c r="A29" s="5" t="s">
        <v>2021</v>
      </c>
      <c r="B29" s="0" t="s">
        <v>1934</v>
      </c>
      <c r="C29" s="0" t="s">
        <v>1774</v>
      </c>
      <c r="D29" s="30" t="n">
        <f aca="false">Deploy!D13</f>
        <v>0.630578355681972</v>
      </c>
      <c r="E29" s="30" t="n">
        <f aca="false">Deploy!E13</f>
        <v>6.20938570515285</v>
      </c>
      <c r="F29" s="30" t="n">
        <f aca="false">Deploy!F13</f>
        <v>25.3371433333333</v>
      </c>
      <c r="G29" s="30" t="n">
        <f aca="false">Deploy!G13</f>
        <v>37.8525147943925</v>
      </c>
      <c r="H29" s="30" t="n">
        <f aca="false">Deploy!H13</f>
        <v>61.8147687204296</v>
      </c>
      <c r="I29" s="30" t="n">
        <f aca="false">Deploy!I13</f>
        <v>88.7380615197793</v>
      </c>
      <c r="J29" s="30" t="n">
        <f aca="false">Deploy!J13</f>
        <v>116.401529624682</v>
      </c>
      <c r="K29" s="30" t="n">
        <f aca="false">Deploy!K13</f>
        <v>144.473154081214</v>
      </c>
      <c r="L29" s="30" t="n">
        <f aca="false">Deploy!L13</f>
        <v>169.117528413721</v>
      </c>
      <c r="M29" s="30" t="n">
        <f aca="false">Deploy!M13</f>
        <v>186.029281255093</v>
      </c>
    </row>
    <row r="30" customFormat="false" ht="17.15" hidden="false" customHeight="false" outlineLevel="0" collapsed="false">
      <c r="A30" s="5" t="s">
        <v>2022</v>
      </c>
      <c r="B30" s="0" t="s">
        <v>1934</v>
      </c>
      <c r="C30" s="0" t="s">
        <v>1774</v>
      </c>
      <c r="D30" s="30" t="n">
        <f aca="false">D29</f>
        <v>0.630578355681972</v>
      </c>
      <c r="E30" s="30" t="n">
        <f aca="false">E29</f>
        <v>6.20938570515285</v>
      </c>
      <c r="F30" s="30" t="n">
        <f aca="false">F29</f>
        <v>25.3371433333333</v>
      </c>
      <c r="G30" s="30" t="n">
        <f aca="false">G29</f>
        <v>37.8525147943925</v>
      </c>
      <c r="H30" s="30" t="n">
        <f aca="false">H29+MAX(0,tgt_xai_27-N(Players!H182))</f>
        <v>69.2297687204296</v>
      </c>
      <c r="I30" s="30" t="n">
        <f aca="false">I29+MAX(0,tgt_xai_27-N(Players!H182))</f>
        <v>96.1530615197793</v>
      </c>
      <c r="J30" s="30" t="n">
        <f aca="false">J29+MAX(0,tgt_xai_27-N(Players!H182))</f>
        <v>123.816529624682</v>
      </c>
      <c r="K30" s="30" t="n">
        <f aca="false">K29+MAX(0,tgt_xai_27-N(Players!H182))</f>
        <v>151.888154081214</v>
      </c>
      <c r="L30" s="30" t="n">
        <f aca="false">L29+MAX(0,tgt_xai_27-N(Players!H182))</f>
        <v>176.532528413721</v>
      </c>
      <c r="M30" s="30" t="n">
        <f aca="false">M29+MAX(0,tgt_xai_27-N(Players!H182))</f>
        <v>193.444281255093</v>
      </c>
      <c r="N30" s="21" t="s">
        <v>2023</v>
      </c>
    </row>
    <row r="31" customFormat="false" ht="17.15" hidden="false" customHeight="false" outlineLevel="0" collapsed="false">
      <c r="A31" s="5" t="s">
        <v>2024</v>
      </c>
      <c r="B31" s="0" t="s">
        <v>1934</v>
      </c>
      <c r="C31" s="0" t="s">
        <v>1774</v>
      </c>
      <c r="D31" s="30" t="n">
        <f aca="false">D29</f>
        <v>0.630578355681972</v>
      </c>
      <c r="E31" s="30" t="n">
        <f aca="false">E29</f>
        <v>6.20938570515285</v>
      </c>
      <c r="F31" s="30" t="n">
        <f aca="false">F29</f>
        <v>25.3371433333333</v>
      </c>
      <c r="G31" s="30" t="n">
        <f aca="false">G29</f>
        <v>37.8525147943925</v>
      </c>
      <c r="H31" s="30" t="n">
        <f aca="false">H29+(CapexGW!H147-CapexGW!H144)</f>
        <v>59.9634421947594</v>
      </c>
      <c r="I31" s="30" t="n">
        <f aca="false">I29+(CapexGW!H147-CapexGW!H144)+(CapexGW!I147-CapexGW!I144)</f>
        <v>84.3693139660573</v>
      </c>
      <c r="J31" s="30" t="n">
        <f aca="false">J29+(CapexGW!H147-CapexGW!H144)+(CapexGW!I147-CapexGW!I144)+(CapexGW!J147-CapexGW!J144)</f>
        <v>109.220788332853</v>
      </c>
      <c r="K31" s="30" t="n">
        <f aca="false">K29+(CapexGW!H147-CapexGW!H144)+(CapexGW!I147-CapexGW!I144)+(CapexGW!J147-CapexGW!J144)</f>
        <v>137.292412789385</v>
      </c>
      <c r="L31" s="30" t="n">
        <f aca="false">L29+(CapexGW!H147-CapexGW!H144)+(CapexGW!I147-CapexGW!I144)+(CapexGW!J147-CapexGW!J144)</f>
        <v>161.936787121892</v>
      </c>
      <c r="M31" s="30" t="n">
        <f aca="false">M29+(CapexGW!H147-CapexGW!H144)+(CapexGW!I147-CapexGW!I144)+(CapexGW!J147-CapexGW!J144)</f>
        <v>178.848539963264</v>
      </c>
      <c r="N31" s="21" t="s">
        <v>2025</v>
      </c>
    </row>
    <row r="32" customFormat="false" ht="17.15" hidden="false" customHeight="false" outlineLevel="0" collapsed="false">
      <c r="A32" s="5" t="s">
        <v>2026</v>
      </c>
      <c r="B32" s="0" t="s">
        <v>1934</v>
      </c>
      <c r="C32" s="0" t="s">
        <v>1774</v>
      </c>
      <c r="D32" s="30" t="n">
        <f aca="false">D29</f>
        <v>0.630578355681972</v>
      </c>
      <c r="E32" s="30" t="n">
        <f aca="false">E29</f>
        <v>6.20938570515285</v>
      </c>
      <c r="F32" s="30" t="n">
        <f aca="false">F29</f>
        <v>25.3371433333333</v>
      </c>
      <c r="G32" s="30" t="n">
        <f aca="false">G29</f>
        <v>37.8525147943925</v>
      </c>
      <c r="H32" s="30" t="n">
        <f aca="false">H29+(CapexGW!H148-CapexGW!H144)</f>
        <v>63.5992575184125</v>
      </c>
      <c r="I32" s="30" t="n">
        <f aca="false">I29+(CapexGW!H148-CapexGW!H144)+(CapexGW!I148-CapexGW!I144)</f>
        <v>92.9664972546483</v>
      </c>
      <c r="J32" s="30" t="n">
        <f aca="false">J29+(CapexGW!H148-CapexGW!H144)+(CapexGW!I148-CapexGW!I144)+(CapexGW!J148-CapexGW!J144)</f>
        <v>123.360392791673</v>
      </c>
      <c r="K32" s="30" t="n">
        <f aca="false">K29+(CapexGW!H148-CapexGW!H144)+(CapexGW!I148-CapexGW!I144)+(CapexGW!J148-CapexGW!J144)</f>
        <v>151.432017248205</v>
      </c>
      <c r="L32" s="30" t="n">
        <f aca="false">L29+(CapexGW!H148-CapexGW!H144)+(CapexGW!I148-CapexGW!I144)+(CapexGW!J148-CapexGW!J144)</f>
        <v>176.076391580712</v>
      </c>
      <c r="M32" s="30" t="n">
        <f aca="false">M29+(CapexGW!H148-CapexGW!H144)+(CapexGW!I148-CapexGW!I144)+(CapexGW!J148-CapexGW!J144)</f>
        <v>192.988144422084</v>
      </c>
      <c r="N32" s="21" t="s">
        <v>2025</v>
      </c>
    </row>
    <row r="33" customFormat="false" ht="17.15" hidden="false" customHeight="false" outlineLevel="0" collapsed="false">
      <c r="A33" s="5" t="s">
        <v>2027</v>
      </c>
      <c r="B33" s="0" t="s">
        <v>1934</v>
      </c>
      <c r="C33" s="0" t="s">
        <v>1774</v>
      </c>
      <c r="D33" s="30" t="n">
        <f aca="false">D29</f>
        <v>0.630578355681972</v>
      </c>
      <c r="E33" s="30" t="n">
        <f aca="false">E29</f>
        <v>6.20938570515285</v>
      </c>
      <c r="F33" s="30" t="n">
        <f aca="false">F29</f>
        <v>25.3371433333333</v>
      </c>
      <c r="G33" s="30" t="n">
        <f aca="false">G29</f>
        <v>37.8525147943925</v>
      </c>
      <c r="H33" s="30" t="n">
        <f aca="false">H29+(CapexGW!H149-CapexGW!H144)</f>
        <v>62.5902514206776</v>
      </c>
      <c r="I33" s="30" t="n">
        <f aca="false">I29+(CapexGW!H149-CapexGW!H144)+(CapexGW!I149-CapexGW!I144)</f>
        <v>90.1023919256298</v>
      </c>
      <c r="J33" s="30" t="n">
        <f aca="false">J29+(CapexGW!H149-CapexGW!H144)+(CapexGW!I149-CapexGW!I144)+(CapexGW!J149-CapexGW!J144)</f>
        <v>118.01561402028</v>
      </c>
      <c r="K33" s="30" t="n">
        <f aca="false">K29+(CapexGW!H149-CapexGW!H144)+(CapexGW!I149-CapexGW!I144)+(CapexGW!J149-CapexGW!J144)</f>
        <v>146.087238476812</v>
      </c>
      <c r="L33" s="30" t="n">
        <f aca="false">L29+(CapexGW!H149-CapexGW!H144)+(CapexGW!I149-CapexGW!I144)+(CapexGW!J149-CapexGW!J144)</f>
        <v>170.731612809319</v>
      </c>
      <c r="M33" s="30" t="n">
        <f aca="false">M29+(CapexGW!H149-CapexGW!H144)+(CapexGW!I149-CapexGW!I144)+(CapexGW!J149-CapexGW!J144)</f>
        <v>187.643365650691</v>
      </c>
      <c r="N33" s="21" t="s">
        <v>2025</v>
      </c>
    </row>
    <row r="34" customFormat="false" ht="17.15" hidden="false" customHeight="false" outlineLevel="0" collapsed="false">
      <c r="A34" s="5" t="s">
        <v>2028</v>
      </c>
      <c r="B34" s="0" t="s">
        <v>1934</v>
      </c>
      <c r="C34" s="0" t="s">
        <v>1774</v>
      </c>
      <c r="D34" s="30" t="n">
        <f aca="false">D29</f>
        <v>0.630578355681972</v>
      </c>
      <c r="E34" s="30" t="n">
        <f aca="false">E29</f>
        <v>6.20938570515285</v>
      </c>
      <c r="F34" s="30" t="n">
        <f aca="false">F29</f>
        <v>25.3371433333333</v>
      </c>
      <c r="G34" s="30" t="n">
        <f aca="false">G29</f>
        <v>37.8525147943925</v>
      </c>
      <c r="H34" s="30" t="n">
        <f aca="false">H29+(CapexGW!H150-CapexGW!H144)</f>
        <v>61.0392860201816</v>
      </c>
      <c r="I34" s="30" t="n">
        <f aca="false">I29+(CapexGW!H150-CapexGW!H144)+(CapexGW!I150-CapexGW!I144)</f>
        <v>87.3737311139289</v>
      </c>
      <c r="J34" s="30" t="n">
        <f aca="false">J29+(CapexGW!H150-CapexGW!H144)+(CapexGW!I150-CapexGW!I144)+(CapexGW!J150-CapexGW!J144)</f>
        <v>114.787445229084</v>
      </c>
      <c r="K34" s="30" t="n">
        <f aca="false">K29+(CapexGW!H150-CapexGW!H144)+(CapexGW!I150-CapexGW!I144)+(CapexGW!J150-CapexGW!J144)</f>
        <v>142.859069685616</v>
      </c>
      <c r="L34" s="30" t="n">
        <f aca="false">L29+(CapexGW!H150-CapexGW!H144)+(CapexGW!I150-CapexGW!I144)+(CapexGW!J150-CapexGW!J144)</f>
        <v>167.503444018123</v>
      </c>
      <c r="M34" s="30" t="n">
        <f aca="false">M29+(CapexGW!H150-CapexGW!H144)+(CapexGW!I150-CapexGW!I144)+(CapexGW!J150-CapexGW!J144)</f>
        <v>184.415196859495</v>
      </c>
      <c r="N34" s="21" t="s">
        <v>2025</v>
      </c>
    </row>
    <row r="36" customFormat="false" ht="17.15" hidden="false" customHeight="false" outlineLevel="0" collapsed="false">
      <c r="A36" s="5" t="s">
        <v>2029</v>
      </c>
    </row>
    <row r="37" customFormat="false" ht="17.15" hidden="false" customHeight="false" outlineLevel="0" collapsed="false">
      <c r="A37" s="0" t="s">
        <v>2030</v>
      </c>
    </row>
    <row r="38" customFormat="false" ht="17.15" hidden="false" customHeight="false" outlineLevel="0" collapsed="false">
      <c r="A38" s="0" t="s">
        <v>2031</v>
      </c>
    </row>
    <row r="39" customFormat="false" ht="17.15" hidden="false" customHeight="false" outlineLevel="0" collapsed="false">
      <c r="A39" s="0" t="s">
        <v>2032</v>
      </c>
    </row>
    <row r="40" customFormat="false" ht="17.15" hidden="false" customHeight="false" outlineLevel="0" collapsed="false">
      <c r="A40" s="0" t="s">
        <v>2033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2034</v>
      </c>
    </row>
    <row r="2" customFormat="false" ht="17.15" hidden="false" customHeight="false" outlineLevel="0" collapsed="false">
      <c r="A2" s="5" t="s">
        <v>2035</v>
      </c>
    </row>
    <row r="3" customFormat="false" ht="17.15" hidden="false" customHeight="false" outlineLevel="0" collapsed="false">
      <c r="A3" s="5" t="s">
        <v>2036</v>
      </c>
    </row>
    <row r="4" customFormat="false" ht="17.15" hidden="false" customHeight="false" outlineLevel="0" collapsed="false">
      <c r="A4" s="6" t="s">
        <v>1723</v>
      </c>
      <c r="B4" s="6" t="s">
        <v>19</v>
      </c>
      <c r="C4" s="6" t="s">
        <v>2003</v>
      </c>
      <c r="D4" s="6" t="s">
        <v>2004</v>
      </c>
      <c r="E4" s="6" t="s">
        <v>2037</v>
      </c>
      <c r="F4" s="6" t="s">
        <v>2038</v>
      </c>
      <c r="G4" s="6" t="s">
        <v>2039</v>
      </c>
      <c r="H4" s="6" t="s">
        <v>2040</v>
      </c>
      <c r="I4" s="6" t="s">
        <v>2041</v>
      </c>
      <c r="J4" s="6" t="s">
        <v>2042</v>
      </c>
      <c r="K4" s="6" t="s">
        <v>2043</v>
      </c>
      <c r="L4" s="7" t="s">
        <v>2044</v>
      </c>
      <c r="M4" s="6" t="s">
        <v>2045</v>
      </c>
      <c r="N4" s="6" t="s">
        <v>2046</v>
      </c>
      <c r="O4" s="6" t="s">
        <v>2047</v>
      </c>
      <c r="P4" s="6" t="s">
        <v>2048</v>
      </c>
      <c r="Q4" s="6" t="s">
        <v>2049</v>
      </c>
      <c r="R4" s="6" t="s">
        <v>2050</v>
      </c>
      <c r="S4" s="6" t="s">
        <v>2051</v>
      </c>
      <c r="T4" s="6" t="s">
        <v>2052</v>
      </c>
      <c r="U4" s="6" t="s">
        <v>2053</v>
      </c>
      <c r="V4" s="6" t="s">
        <v>2054</v>
      </c>
      <c r="W4" s="6" t="s">
        <v>2055</v>
      </c>
      <c r="X4" s="6" t="s">
        <v>2056</v>
      </c>
      <c r="Y4" s="6" t="s">
        <v>2057</v>
      </c>
      <c r="Z4" s="6" t="s">
        <v>2058</v>
      </c>
      <c r="AA4" s="6" t="s">
        <v>2059</v>
      </c>
      <c r="AB4" s="6" t="s">
        <v>2060</v>
      </c>
      <c r="AC4" s="6" t="s">
        <v>2061</v>
      </c>
      <c r="AD4" s="6" t="s">
        <v>2062</v>
      </c>
      <c r="AE4" s="6" t="s">
        <v>2063</v>
      </c>
      <c r="AF4" s="6" t="s">
        <v>2064</v>
      </c>
      <c r="AG4" s="6" t="s">
        <v>2065</v>
      </c>
      <c r="AH4" s="6" t="s">
        <v>2066</v>
      </c>
      <c r="AI4" s="6" t="s">
        <v>2067</v>
      </c>
      <c r="AJ4" s="6" t="s">
        <v>2068</v>
      </c>
      <c r="AK4" s="6" t="s">
        <v>2069</v>
      </c>
      <c r="AL4" s="6" t="s">
        <v>2070</v>
      </c>
      <c r="AM4" s="6" t="s">
        <v>2071</v>
      </c>
      <c r="AN4" s="6" t="s">
        <v>2072</v>
      </c>
      <c r="AO4" s="6" t="s">
        <v>2073</v>
      </c>
      <c r="AP4" s="6" t="s">
        <v>2074</v>
      </c>
      <c r="AQ4" s="6" t="s">
        <v>2075</v>
      </c>
    </row>
    <row r="5" customFormat="false" ht="15" hidden="false" customHeight="false" outlineLevel="0" collapsed="false">
      <c r="A5" s="0" t="s">
        <v>2076</v>
      </c>
      <c r="B5" s="0" t="s">
        <v>728</v>
      </c>
      <c r="C5" s="0" t="n">
        <v>2024</v>
      </c>
      <c r="D5" s="0" t="s">
        <v>2077</v>
      </c>
      <c r="E5" s="33" t="str">
        <f aca="false">IF((COUNTIFS(FundRaw!$C$4:$C$281,"msft",FundRaw!$E$4:$E$281,"2024",FundRaw!$F$4:$F$281,"ocf",FundRaw!$O$4:$O$281,1))=0,"",SUMIFS(FundRaw!$G$4:$G$281,FundRaw!$C$4:$C$281,"msft",FundRaw!$E$4:$E$281,"2024",FundRaw!$F$4:$F$281,"ocf",FundRaw!$O$4:$O$281,1))</f>
        <v/>
      </c>
      <c r="F5" s="33" t="str">
        <f aca="false">IF((COUNTIFS(FundRaw!$C$4:$C$281,"msft",FundRaw!$E$4:$E$281,"2024",FundRaw!$F$4:$F$281,"capex_cash",FundRaw!$O$4:$O$281,1))=0,"",SUMIFS(FundRaw!$G$4:$G$281,FundRaw!$C$4:$C$281,"msft",FundRaw!$E$4:$E$281,"2024",FundRaw!$F$4:$F$281,"capex_cash",FundRaw!$O$4:$O$281,1))</f>
        <v/>
      </c>
      <c r="G5" s="33" t="str">
        <f aca="false">IF((COUNTIFS(FundRaw!$C$4:$C$281,"msft",FundRaw!$E$4:$E$281,"2024",FundRaw!$F$4:$F$281,"fin_lease_new",FundRaw!$O$4:$O$281,1))=0,"",SUMIFS(FundRaw!$G$4:$G$281,FundRaw!$C$4:$C$281,"msft",FundRaw!$E$4:$E$281,"2024",FundRaw!$F$4:$F$281,"fin_lease_new",FundRaw!$O$4:$O$281,1))</f>
        <v/>
      </c>
      <c r="H5" s="33" t="str">
        <f aca="false">IF((COUNTIFS(FundRaw!$C$4:$C$281,"msft",FundRaw!$E$4:$E$281,"2024",FundRaw!$F$4:$F$281,"capex_incl_fl",FundRaw!$O$4:$O$281,1))=0,"",SUMIFS(FundRaw!$G$4:$G$281,FundRaw!$C$4:$C$281,"msft",FundRaw!$E$4:$E$281,"2024",FundRaw!$F$4:$F$281,"capex_incl_fl",FundRaw!$O$4:$O$281,1))</f>
        <v/>
      </c>
      <c r="I5" s="33" t="str">
        <f aca="false">IF((COUNTIFS(FundRaw!$C$4:$C$281,"msft",FundRaw!$E$4:$E$281,"2024",FundRaw!$F$4:$F$281,"fcf",FundRaw!$O$4:$O$281,1))=0,"",SUMIFS(FundRaw!$G$4:$G$281,FundRaw!$C$4:$C$281,"msft",FundRaw!$E$4:$E$281,"2024",FundRaw!$F$4:$F$281,"fcf",FundRaw!$O$4:$O$281,1))</f>
        <v/>
      </c>
      <c r="J5" s="33" t="n">
        <f aca="false">IF((COUNTIFS(FundRaw!$C$4:$C$281,"msft",FundRaw!$E$4:$E$281,"2024",FundRaw!$F$4:$F$281,"bond_issue",FundRaw!$O$4:$O$281,1))=0,"",SUMIFS(FundRaw!$G$4:$G$281,FundRaw!$C$4:$C$281,"msft",FundRaw!$E$4:$E$281,"2024",FundRaw!$F$4:$F$281,"bond_issue",FundRaw!$O$4:$O$281,1))</f>
        <v>24.395</v>
      </c>
      <c r="K5" s="33" t="str">
        <f aca="false">IF((COUNTIFS(FundRaw!$C$4:$C$281,"msft",FundRaw!$E$4:$E$281,"2024",FundRaw!$F$4:$F$281,"term_loan",FundRaw!$O$4:$O$281,1))=0,"",SUMIFS(FundRaw!$G$4:$G$281,FundRaw!$C$4:$C$281,"msft",FundRaw!$E$4:$E$281,"2024",FundRaw!$F$4:$F$281,"term_loan",FundRaw!$O$4:$O$281,1))</f>
        <v/>
      </c>
      <c r="L5" s="33" t="str">
        <f aca="false">IF((COUNTIFS(FundRaw!$C$4:$C$281,"msft",FundRaw!$E$4:$E$281,"2024",FundRaw!$F$4:$F$281,"gpu_debt",FundRaw!$O$4:$O$281,1))=0,"",SUMIFS(FundRaw!$G$4:$G$281,FundRaw!$C$4:$C$281,"msft",FundRaw!$E$4:$E$281,"2024",FundRaw!$F$4:$F$281,"gpu_debt",FundRaw!$O$4:$O$281,1))</f>
        <v/>
      </c>
      <c r="M5" s="33" t="str">
        <f aca="false">IF((COUNTIFS(FundRaw!$C$4:$C$281,"msft",FundRaw!$E$4:$E$281,"2024",FundRaw!$F$4:$F$281,"private_credit",FundRaw!$O$4:$O$281,1))=0,"",SUMIFS(FundRaw!$G$4:$G$281,FundRaw!$C$4:$C$281,"msft",FundRaw!$E$4:$E$281,"2024",FundRaw!$F$4:$F$281,"private_credit",FundRaw!$O$4:$O$281,1))</f>
        <v/>
      </c>
      <c r="N5" s="33" t="str">
        <f aca="false">IF((COUNTIFS(FundRaw!$C$4:$C$281,"msft",FundRaw!$E$4:$E$281,"2024",FundRaw!$F$4:$F$281,"net_debt_change",FundRaw!$O$4:$O$281,1))=0,"",SUMIFS(FundRaw!$G$4:$G$281,FundRaw!$C$4:$C$281,"msft",FundRaw!$E$4:$E$281,"2024",FundRaw!$F$4:$F$281,"net_debt_change",FundRaw!$O$4:$O$281,1))</f>
        <v/>
      </c>
      <c r="O5" s="33" t="str">
        <f aca="false">IF((COUNTIFS(FundRaw!$C$4:$C$281,"msft",FundRaw!$E$4:$E$281,"2024",FundRaw!$F$4:$F$281,"lease_not_commenced",FundRaw!$O$4:$O$281,1))=0,"",SUMIFS(FundRaw!$G$4:$G$281,FundRaw!$C$4:$C$281,"msft",FundRaw!$E$4:$E$281,"2024",FundRaw!$F$4:$F$281,"lease_not_commenced",FundRaw!$O$4:$O$281,1))</f>
        <v/>
      </c>
      <c r="P5" s="33" t="str">
        <f aca="false">IF((COUNTIFS(FundRaw!$C$4:$C$281,"msft",FundRaw!$E$4:$E$281,"2024",FundRaw!$F$4:$F$281,"jv_offbalance",FundRaw!$O$4:$O$281,1))=0,"",SUMIFS(FundRaw!$G$4:$G$281,FundRaw!$C$4:$C$281,"msft",FundRaw!$E$4:$E$281,"2024",FundRaw!$F$4:$F$281,"jv_offbalance",FundRaw!$O$4:$O$281,1))</f>
        <v/>
      </c>
      <c r="Q5" s="33" t="str">
        <f aca="false">IF((COUNTIFS(FundRaw!$C$4:$C$281,"msft",FundRaw!$E$4:$E$281,"2024",FundRaw!$F$4:$F$281,"jv_exposure",FundRaw!$O$4:$O$281,1))=0,"",SUMIFS(FundRaw!$G$4:$G$281,FundRaw!$C$4:$C$281,"msft",FundRaw!$E$4:$E$281,"2024",FundRaw!$F$4:$F$281,"jv_exposure",FundRaw!$O$4:$O$281,1))</f>
        <v/>
      </c>
      <c r="R5" s="33" t="str">
        <f aca="false">IF((COUNTIFS(FundRaw!$C$4:$C$281,"msft",FundRaw!$E$4:$E$281,"2024",FundRaw!$F$4:$F$281,"equity_round",FundRaw!$O$4:$O$281,1))=0,"",SUMIFS(FundRaw!$G$4:$G$281,FundRaw!$C$4:$C$281,"msft",FundRaw!$E$4:$E$281,"2024",FundRaw!$F$4:$F$281,"equity_round",FundRaw!$O$4:$O$281,1))</f>
        <v/>
      </c>
      <c r="S5" s="33" t="str">
        <f aca="false">IF((COUNTIFS(FundRaw!$C$4:$C$281,"msft",FundRaw!$E$4:$E$281,"2024",FundRaw!$F$4:$F$281,"vendor_financing",FundRaw!$O$4:$O$281,1))=0,"",SUMIFS(FundRaw!$G$4:$G$281,FundRaw!$C$4:$C$281,"msft",FundRaw!$E$4:$E$281,"2024",FundRaw!$F$4:$F$281,"vendor_financing",FundRaw!$O$4:$O$281,1))</f>
        <v/>
      </c>
      <c r="T5" s="33" t="n">
        <f aca="false">IF((COUNTIFS(FundRaw!$C$4:$C$281,"msft",FundRaw!$E$4:$E$281,"2024",FundRaw!$F$4:$F$281,"buyback_div",FundRaw!$O$4:$O$281,1))=0,"",SUMIFS(FundRaw!$G$4:$G$281,FundRaw!$C$4:$C$281,"msft",FundRaw!$E$4:$E$281,"2024",FundRaw!$F$4:$F$281,"buyback_div",FundRaw!$O$4:$O$281,1))</f>
        <v>39.025</v>
      </c>
      <c r="U5" s="33" t="str">
        <f aca="false">IF((COUNTIFS(FundRaw!$C$4:$C$281,"msft",FundRaw!$E$4:$E$281,"2024",FundRaw!$F$4:$F$281,"gpu_debt_talks",FundRaw!$O$4:$O$281,1))=0,"",SUMIFS(FundRaw!$G$4:$G$281,FundRaw!$C$4:$C$281,"msft",FundRaw!$E$4:$E$281,"2024",FundRaw!$F$4:$F$281,"gpu_debt_talks",FundRaw!$O$4:$O$281,1))</f>
        <v/>
      </c>
      <c r="V5" s="33" t="str">
        <f aca="false">IF((COUNTIFS(FundRaw!$C$4:$C$281,"msft",FundRaw!$E$4:$E$281,"2024",FundRaw!$F$4:$F$281,"bridge_refi",FundRaw!$O$4:$O$281,1))=0,"",SUMIFS(FundRaw!$G$4:$G$281,FundRaw!$C$4:$C$281,"msft",FundRaw!$E$4:$E$281,"2024",FundRaw!$F$4:$F$281,"bridge_refi",FundRaw!$O$4:$O$281,1))</f>
        <v/>
      </c>
      <c r="W5" s="33" t="str">
        <f aca="false">IF(H5&lt;&gt;"",H5,IF(F5&lt;&gt;"",F5+N(G5),""))</f>
        <v/>
      </c>
      <c r="X5" s="33" t="str">
        <f aca="false">IF(OR(W5="",E5=""),"",MAX(0,MIN(N(E5),W5-N(Y5))))</f>
        <v/>
      </c>
      <c r="Y5" s="33" t="str">
        <f aca="false">IF(W5="","",IF(AND(H5&lt;&gt;"",F5&lt;&gt;""),MAX(0,H5-F5),N(G5)))</f>
        <v/>
      </c>
      <c r="Z5" s="33" t="str">
        <f aca="false">IF(W5="","",MAX(0,MIN(N(R5),W5-N(X5)-N(Y5))))</f>
        <v/>
      </c>
      <c r="AA5" s="33" t="str">
        <f aca="false">IF(W5="","",MAX(0,MIN(N(J5)+N(K5)+N(L5)+N(M5),W5-N(X5)-N(Y5)-N(Z5))))</f>
        <v/>
      </c>
      <c r="AB5" s="33" t="str">
        <f aca="false">IF(W5="","",W5-N(X5)-N(Y5)-N(Z5)-N(AA5))</f>
        <v/>
      </c>
      <c r="AC5" s="38" t="str">
        <f aca="false">IF(OR(W5="",N(W5)=0,X5=""),"",X5/W5)</f>
        <v/>
      </c>
      <c r="AD5" s="38" t="str">
        <f aca="false">IF(OR(W5="",N(W5)=0,Y5=""),"",Y5/W5)</f>
        <v/>
      </c>
      <c r="AE5" s="38" t="str">
        <f aca="false">IF(OR(W5="",N(W5)=0,Z5=""),"",Z5/W5)</f>
        <v/>
      </c>
      <c r="AF5" s="38" t="str">
        <f aca="false">IF(OR(W5="",N(W5)=0,AA5=""),"",AA5/W5)</f>
        <v/>
      </c>
      <c r="AG5" s="38" t="str">
        <f aca="false">IF(OR(W5="",N(W5)=0,AB5=""),"",AB5/W5)</f>
        <v/>
      </c>
      <c r="AH5" s="33" t="n">
        <f aca="false">N(J5)+N(K5)+N(L5)+N(M5)+N(R5)+N(G5)</f>
        <v>24.395</v>
      </c>
      <c r="AI5" s="23" t="n">
        <f aca="false">IF(N(AH5)=0,"",(N(J5)+N(K5)+N(L5)+N(M5))/AH5)</f>
        <v>1</v>
      </c>
      <c r="AJ5" s="23" t="n">
        <f aca="false">IF(N(AH5)=0,"",(N(R5))/AH5)</f>
        <v>0</v>
      </c>
      <c r="AK5" s="23" t="n">
        <f aca="false">IF(N(AH5)=0,"",(N(G5))/AH5)</f>
        <v>0</v>
      </c>
      <c r="AL5" s="33" t="n">
        <f aca="false">N(J5)+N(K5)+N(L5)+N(M5)+IF(AND(H5&lt;&gt;"",F5&lt;&gt;""),MAX(0,H5-F5),N(G5))+N(P5)+N(R5)</f>
        <v>24.395</v>
      </c>
      <c r="AM5" s="38" t="str">
        <f aca="false">IF(OR(W5="",N(W5)=0),"",AL5/W5)</f>
        <v/>
      </c>
      <c r="AN5" s="38" t="str">
        <f aca="false">IF(OR(W5="",N(W5)=0,E5=""),"",E5/W5)</f>
        <v/>
      </c>
      <c r="AO5" s="23" t="str">
        <f aca="false">IF(OR(W5="",N(W5)=0),"",(N(J5)+N(K5)+N(L5)+N(M5))/W5)</f>
        <v/>
      </c>
      <c r="AP5" s="23" t="str">
        <f aca="false">IF(OR(W5="",N(W5)=0),"",N(R5)/W5)</f>
        <v/>
      </c>
      <c r="AQ5" s="23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2076</v>
      </c>
      <c r="B6" s="0" t="s">
        <v>728</v>
      </c>
      <c r="C6" s="0" t="n">
        <v>2025</v>
      </c>
      <c r="D6" s="0" t="s">
        <v>2078</v>
      </c>
      <c r="E6" s="33" t="n">
        <f aca="false">IF((COUNTIFS(FundRaw!$C$4:$C$281,"msft",FundRaw!$E$4:$E$281,"2025",FundRaw!$F$4:$F$281,"ocf",FundRaw!$O$4:$O$281,1))=0,"",SUMIFS(FundRaw!$G$4:$G$281,FundRaw!$C$4:$C$281,"msft",FundRaw!$E$4:$E$281,"2025",FundRaw!$F$4:$F$281,"ocf",FundRaw!$O$4:$O$281,1))</f>
        <v>136.162</v>
      </c>
      <c r="F6" s="33" t="n">
        <f aca="false">IF((COUNTIFS(FundRaw!$C$4:$C$281,"msft",FundRaw!$E$4:$E$281,"2025",FundRaw!$F$4:$F$281,"capex_cash",FundRaw!$O$4:$O$281,1))=0,"",SUMIFS(FundRaw!$G$4:$G$281,FundRaw!$C$4:$C$281,"msft",FundRaw!$E$4:$E$281,"2025",FundRaw!$F$4:$F$281,"capex_cash",FundRaw!$O$4:$O$281,1))</f>
        <v>64.551</v>
      </c>
      <c r="G6" s="33" t="n">
        <f aca="false">IF((COUNTIFS(FundRaw!$C$4:$C$281,"msft",FundRaw!$E$4:$E$281,"2025",FundRaw!$F$4:$F$281,"fin_lease_new",FundRaw!$O$4:$O$281,1))=0,"",SUMIFS(FundRaw!$G$4:$G$281,FundRaw!$C$4:$C$281,"msft",FundRaw!$E$4:$E$281,"2025",FundRaw!$F$4:$F$281,"fin_lease_new",FundRaw!$O$4:$O$281,1))</f>
        <v>20.511</v>
      </c>
      <c r="H6" s="33" t="n">
        <f aca="false">IF((COUNTIFS(FundRaw!$C$4:$C$281,"msft",FundRaw!$E$4:$E$281,"2025",FundRaw!$F$4:$F$281,"capex_incl_fl",FundRaw!$O$4:$O$281,1))=0,"",SUMIFS(FundRaw!$G$4:$G$281,FundRaw!$C$4:$C$281,"msft",FundRaw!$E$4:$E$281,"2025",FundRaw!$F$4:$F$281,"capex_incl_fl",FundRaw!$O$4:$O$281,1))</f>
        <v>85.062</v>
      </c>
      <c r="I6" s="33" t="str">
        <f aca="false">IF((COUNTIFS(FundRaw!$C$4:$C$281,"msft",FundRaw!$E$4:$E$281,"2025",FundRaw!$F$4:$F$281,"fcf",FundRaw!$O$4:$O$281,1))=0,"",SUMIFS(FundRaw!$G$4:$G$281,FundRaw!$C$4:$C$281,"msft",FundRaw!$E$4:$E$281,"2025",FundRaw!$F$4:$F$281,"fcf",FundRaw!$O$4:$O$281,1))</f>
        <v/>
      </c>
      <c r="J6" s="33" t="n">
        <f aca="false">IF((COUNTIFS(FundRaw!$C$4:$C$281,"msft",FundRaw!$E$4:$E$281,"2025",FundRaw!$F$4:$F$281,"bond_issue",FundRaw!$O$4:$O$281,1))=0,"",SUMIFS(FundRaw!$G$4:$G$281,FundRaw!$C$4:$C$281,"msft",FundRaw!$E$4:$E$281,"2025",FundRaw!$F$4:$F$281,"bond_issue",FundRaw!$O$4:$O$281,1))</f>
        <v>0</v>
      </c>
      <c r="K6" s="33" t="str">
        <f aca="false">IF((COUNTIFS(FundRaw!$C$4:$C$281,"msft",FundRaw!$E$4:$E$281,"2025",FundRaw!$F$4:$F$281,"term_loan",FundRaw!$O$4:$O$281,1))=0,"",SUMIFS(FundRaw!$G$4:$G$281,FundRaw!$C$4:$C$281,"msft",FundRaw!$E$4:$E$281,"2025",FundRaw!$F$4:$F$281,"term_loan",FundRaw!$O$4:$O$281,1))</f>
        <v/>
      </c>
      <c r="L6" s="33" t="str">
        <f aca="false">IF((COUNTIFS(FundRaw!$C$4:$C$281,"msft",FundRaw!$E$4:$E$281,"2025",FundRaw!$F$4:$F$281,"gpu_debt",FundRaw!$O$4:$O$281,1))=0,"",SUMIFS(FundRaw!$G$4:$G$281,FundRaw!$C$4:$C$281,"msft",FundRaw!$E$4:$E$281,"2025",FundRaw!$F$4:$F$281,"gpu_debt",FundRaw!$O$4:$O$281,1))</f>
        <v/>
      </c>
      <c r="M6" s="33" t="str">
        <f aca="false">IF((COUNTIFS(FundRaw!$C$4:$C$281,"msft",FundRaw!$E$4:$E$281,"2025",FundRaw!$F$4:$F$281,"private_credit",FundRaw!$O$4:$O$281,1))=0,"",SUMIFS(FundRaw!$G$4:$G$281,FundRaw!$C$4:$C$281,"msft",FundRaw!$E$4:$E$281,"2025",FundRaw!$F$4:$F$281,"private_credit",FundRaw!$O$4:$O$281,1))</f>
        <v/>
      </c>
      <c r="N6" s="33" t="str">
        <f aca="false">IF((COUNTIFS(FundRaw!$C$4:$C$281,"msft",FundRaw!$E$4:$E$281,"2025",FundRaw!$F$4:$F$281,"net_debt_change",FundRaw!$O$4:$O$281,1))=0,"",SUMIFS(FundRaw!$G$4:$G$281,FundRaw!$C$4:$C$281,"msft",FundRaw!$E$4:$E$281,"2025",FundRaw!$F$4:$F$281,"net_debt_change",FundRaw!$O$4:$O$281,1))</f>
        <v/>
      </c>
      <c r="O6" s="33" t="n">
        <f aca="false">IF((COUNTIFS(FundRaw!$C$4:$C$281,"msft",FundRaw!$E$4:$E$281,"2025",FundRaw!$F$4:$F$281,"lease_not_commenced",FundRaw!$O$4:$O$281,1))=0,"",SUMIFS(FundRaw!$G$4:$G$281,FundRaw!$C$4:$C$281,"msft",FundRaw!$E$4:$E$281,"2025",FundRaw!$F$4:$F$281,"lease_not_commenced",FundRaw!$O$4:$O$281,1))</f>
        <v>92.7</v>
      </c>
      <c r="P6" s="33" t="str">
        <f aca="false">IF((COUNTIFS(FundRaw!$C$4:$C$281,"msft",FundRaw!$E$4:$E$281,"2025",FundRaw!$F$4:$F$281,"jv_offbalance",FundRaw!$O$4:$O$281,1))=0,"",SUMIFS(FundRaw!$G$4:$G$281,FundRaw!$C$4:$C$281,"msft",FundRaw!$E$4:$E$281,"2025",FundRaw!$F$4:$F$281,"jv_offbalance",FundRaw!$O$4:$O$281,1))</f>
        <v/>
      </c>
      <c r="Q6" s="33" t="str">
        <f aca="false">IF((COUNTIFS(FundRaw!$C$4:$C$281,"msft",FundRaw!$E$4:$E$281,"2025",FundRaw!$F$4:$F$281,"jv_exposure",FundRaw!$O$4:$O$281,1))=0,"",SUMIFS(FundRaw!$G$4:$G$281,FundRaw!$C$4:$C$281,"msft",FundRaw!$E$4:$E$281,"2025",FundRaw!$F$4:$F$281,"jv_exposure",FundRaw!$O$4:$O$281,1))</f>
        <v/>
      </c>
      <c r="R6" s="33" t="str">
        <f aca="false">IF((COUNTIFS(FundRaw!$C$4:$C$281,"msft",FundRaw!$E$4:$E$281,"2025",FundRaw!$F$4:$F$281,"equity_round",FundRaw!$O$4:$O$281,1))=0,"",SUMIFS(FundRaw!$G$4:$G$281,FundRaw!$C$4:$C$281,"msft",FundRaw!$E$4:$E$281,"2025",FundRaw!$F$4:$F$281,"equity_round",FundRaw!$O$4:$O$281,1))</f>
        <v/>
      </c>
      <c r="S6" s="33" t="str">
        <f aca="false">IF((COUNTIFS(FundRaw!$C$4:$C$281,"msft",FundRaw!$E$4:$E$281,"2025",FundRaw!$F$4:$F$281,"vendor_financing",FundRaw!$O$4:$O$281,1))=0,"",SUMIFS(FundRaw!$G$4:$G$281,FundRaw!$C$4:$C$281,"msft",FundRaw!$E$4:$E$281,"2025",FundRaw!$F$4:$F$281,"vendor_financing",FundRaw!$O$4:$O$281,1))</f>
        <v/>
      </c>
      <c r="T6" s="33" t="n">
        <f aca="false">IF((COUNTIFS(FundRaw!$C$4:$C$281,"msft",FundRaw!$E$4:$E$281,"2025",FundRaw!$F$4:$F$281,"buyback_div",FundRaw!$O$4:$O$281,1))=0,"",SUMIFS(FundRaw!$G$4:$G$281,FundRaw!$C$4:$C$281,"msft",FundRaw!$E$4:$E$281,"2025",FundRaw!$F$4:$F$281,"buyback_div",FundRaw!$O$4:$O$281,1))</f>
        <v>42.502</v>
      </c>
      <c r="U6" s="33" t="str">
        <f aca="false">IF((COUNTIFS(FundRaw!$C$4:$C$281,"msft",FundRaw!$E$4:$E$281,"2025",FundRaw!$F$4:$F$281,"gpu_debt_talks",FundRaw!$O$4:$O$281,1))=0,"",SUMIFS(FundRaw!$G$4:$G$281,FundRaw!$C$4:$C$281,"msft",FundRaw!$E$4:$E$281,"2025",FundRaw!$F$4:$F$281,"gpu_debt_talks",FundRaw!$O$4:$O$281,1))</f>
        <v/>
      </c>
      <c r="V6" s="33" t="str">
        <f aca="false">IF((COUNTIFS(FundRaw!$C$4:$C$281,"msft",FundRaw!$E$4:$E$281,"2025",FundRaw!$F$4:$F$281,"bridge_refi",FundRaw!$O$4:$O$281,1))=0,"",SUMIFS(FundRaw!$G$4:$G$281,FundRaw!$C$4:$C$281,"msft",FundRaw!$E$4:$E$281,"2025",FundRaw!$F$4:$F$281,"bridge_refi",FundRaw!$O$4:$O$281,1))</f>
        <v/>
      </c>
      <c r="W6" s="33" t="n">
        <f aca="false">IF(H6&lt;&gt;"",H6,IF(F6&lt;&gt;"",F6+N(G6),""))</f>
        <v>85.062</v>
      </c>
      <c r="X6" s="33" t="n">
        <f aca="false">IF(OR(W6="",E6=""),"",MAX(0,MIN(N(E6),W6-N(Y6))))</f>
        <v>64.551</v>
      </c>
      <c r="Y6" s="33" t="n">
        <f aca="false">IF(W6="","",IF(AND(H6&lt;&gt;"",F6&lt;&gt;""),MAX(0,H6-F6),N(G6)))</f>
        <v>20.511</v>
      </c>
      <c r="Z6" s="33" t="n">
        <f aca="false">IF(W6="","",MAX(0,MIN(N(R6),W6-N(X6)-N(Y6))))</f>
        <v>0</v>
      </c>
      <c r="AA6" s="33" t="n">
        <f aca="false">IF(W6="","",MAX(0,MIN(N(J6)+N(K6)+N(L6)+N(M6),W6-N(X6)-N(Y6)-N(Z6))))</f>
        <v>0</v>
      </c>
      <c r="AB6" s="33" t="n">
        <f aca="false">IF(W6="","",W6-N(X6)-N(Y6)-N(Z6)-N(AA6))</f>
        <v>0</v>
      </c>
      <c r="AC6" s="38" t="n">
        <f aca="false">IF(OR(W6="",N(W6)=0,X6=""),"",X6/W6)</f>
        <v>0.758870000705368</v>
      </c>
      <c r="AD6" s="38" t="n">
        <f aca="false">IF(OR(W6="",N(W6)=0,Y6=""),"",Y6/W6)</f>
        <v>0.241129999294632</v>
      </c>
      <c r="AE6" s="38" t="n">
        <f aca="false">IF(OR(W6="",N(W6)=0,Z6=""),"",Z6/W6)</f>
        <v>0</v>
      </c>
      <c r="AF6" s="38" t="n">
        <f aca="false">IF(OR(W6="",N(W6)=0,AA6=""),"",AA6/W6)</f>
        <v>0</v>
      </c>
      <c r="AG6" s="38" t="n">
        <f aca="false">IF(OR(W6="",N(W6)=0,AB6=""),"",AB6/W6)</f>
        <v>0</v>
      </c>
      <c r="AH6" s="33" t="n">
        <f aca="false">N(J6)+N(K6)+N(L6)+N(M6)+N(R6)+N(G6)</f>
        <v>20.511</v>
      </c>
      <c r="AI6" s="23" t="n">
        <f aca="false">IF(N(AH6)=0,"",(N(J6)+N(K6)+N(L6)+N(M6))/AH6)</f>
        <v>0</v>
      </c>
      <c r="AJ6" s="23" t="n">
        <f aca="false">IF(N(AH6)=0,"",(N(R6))/AH6)</f>
        <v>0</v>
      </c>
      <c r="AK6" s="23" t="n">
        <f aca="false">IF(N(AH6)=0,"",(N(G6))/AH6)</f>
        <v>1</v>
      </c>
      <c r="AL6" s="33" t="n">
        <f aca="false">N(J6)+N(K6)+N(L6)+N(M6)+IF(AND(H6&lt;&gt;"",F6&lt;&gt;""),MAX(0,H6-F6),N(G6))+N(P6)+N(R6)</f>
        <v>20.511</v>
      </c>
      <c r="AM6" s="38" t="n">
        <f aca="false">IF(OR(W6="",N(W6)=0),"",AL6/W6)</f>
        <v>0.241129999294632</v>
      </c>
      <c r="AN6" s="38" t="n">
        <f aca="false">IF(OR(W6="",N(W6)=0,E6=""),"",E6/W6)</f>
        <v>1.60073828501564</v>
      </c>
      <c r="AO6" s="23" t="n">
        <f aca="false">IF(OR(W6="",N(W6)=0),"",(N(J6)+N(K6)+N(L6)+N(M6))/W6)</f>
        <v>0</v>
      </c>
      <c r="AP6" s="23" t="n">
        <f aca="false">IF(OR(W6="",N(W6)=0),"",N(R6)/W6)</f>
        <v>0</v>
      </c>
      <c r="AQ6" s="23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2076</v>
      </c>
      <c r="B7" s="0" t="s">
        <v>728</v>
      </c>
      <c r="C7" s="0" t="n">
        <v>2026</v>
      </c>
      <c r="D7" s="0" t="s">
        <v>2079</v>
      </c>
      <c r="E7" s="33" t="n">
        <f aca="false">IF((COUNTIFS(FundRaw!$C$4:$C$281,"msft",FundRaw!$E$4:$E$281,"2026",FundRaw!$F$4:$F$281,"ocf",FundRaw!$O$4:$O$281,1))=0,"",SUMIFS(FundRaw!$G$4:$G$281,FundRaw!$C$4:$C$281,"msft",FundRaw!$E$4:$E$281,"2026",FundRaw!$F$4:$F$281,"ocf",FundRaw!$O$4:$O$281,1))</f>
        <v>182.935</v>
      </c>
      <c r="F7" s="33" t="n">
        <f aca="false">IF((COUNTIFS(FundRaw!$C$4:$C$281,"msft",FundRaw!$E$4:$E$281,"2026",FundRaw!$F$4:$F$281,"capex_cash",FundRaw!$O$4:$O$281,1))=0,"",SUMIFS(FundRaw!$G$4:$G$281,FundRaw!$C$4:$C$281,"msft",FundRaw!$E$4:$E$281,"2026",FundRaw!$F$4:$F$281,"capex_cash",FundRaw!$O$4:$O$281,1))</f>
        <v>115.948</v>
      </c>
      <c r="G7" s="33" t="str">
        <f aca="false">IF((COUNTIFS(FundRaw!$C$4:$C$281,"msft",FundRaw!$E$4:$E$281,"2026",FundRaw!$F$4:$F$281,"fin_lease_new",FundRaw!$O$4:$O$281,1))=0,"",SUMIFS(FundRaw!$G$4:$G$281,FundRaw!$C$4:$C$281,"msft",FundRaw!$E$4:$E$281,"2026",FundRaw!$F$4:$F$281,"fin_lease_new",FundRaw!$O$4:$O$281,1))</f>
        <v/>
      </c>
      <c r="H7" s="33" t="n">
        <f aca="false">IF((COUNTIFS(FundRaw!$C$4:$C$281,"msft",FundRaw!$E$4:$E$281,"2026",FundRaw!$F$4:$F$281,"capex_incl_fl",FundRaw!$O$4:$O$281,1))=0,"",SUMIFS(FundRaw!$G$4:$G$281,FundRaw!$C$4:$C$281,"msft",FundRaw!$E$4:$E$281,"2026",FundRaw!$F$4:$F$281,"capex_incl_fl",FundRaw!$O$4:$O$281,1))</f>
        <v>140.556</v>
      </c>
      <c r="I7" s="33" t="str">
        <f aca="false">IF((COUNTIFS(FundRaw!$C$4:$C$281,"msft",FundRaw!$E$4:$E$281,"2026",FundRaw!$F$4:$F$281,"fcf",FundRaw!$O$4:$O$281,1))=0,"",SUMIFS(FundRaw!$G$4:$G$281,FundRaw!$C$4:$C$281,"msft",FundRaw!$E$4:$E$281,"2026",FundRaw!$F$4:$F$281,"fcf",FundRaw!$O$4:$O$281,1))</f>
        <v/>
      </c>
      <c r="J7" s="33" t="n">
        <f aca="false">IF((COUNTIFS(FundRaw!$C$4:$C$281,"msft",FundRaw!$E$4:$E$281,"2026",FundRaw!$F$4:$F$281,"bond_issue",FundRaw!$O$4:$O$281,1))=0,"",SUMIFS(FundRaw!$G$4:$G$281,FundRaw!$C$4:$C$281,"msft",FundRaw!$E$4:$E$281,"2026",FundRaw!$F$4:$F$281,"bond_issue",FundRaw!$O$4:$O$281,1))</f>
        <v>0</v>
      </c>
      <c r="K7" s="33" t="str">
        <f aca="false">IF((COUNTIFS(FundRaw!$C$4:$C$281,"msft",FundRaw!$E$4:$E$281,"2026",FundRaw!$F$4:$F$281,"term_loan",FundRaw!$O$4:$O$281,1))=0,"",SUMIFS(FundRaw!$G$4:$G$281,FundRaw!$C$4:$C$281,"msft",FundRaw!$E$4:$E$281,"2026",FundRaw!$F$4:$F$281,"term_loan",FundRaw!$O$4:$O$281,1))</f>
        <v/>
      </c>
      <c r="L7" s="33" t="str">
        <f aca="false">IF((COUNTIFS(FundRaw!$C$4:$C$281,"msft",FundRaw!$E$4:$E$281,"2026",FundRaw!$F$4:$F$281,"gpu_debt",FundRaw!$O$4:$O$281,1))=0,"",SUMIFS(FundRaw!$G$4:$G$281,FundRaw!$C$4:$C$281,"msft",FundRaw!$E$4:$E$281,"2026",FundRaw!$F$4:$F$281,"gpu_debt",FundRaw!$O$4:$O$281,1))</f>
        <v/>
      </c>
      <c r="M7" s="33" t="str">
        <f aca="false">IF((COUNTIFS(FundRaw!$C$4:$C$281,"msft",FundRaw!$E$4:$E$281,"2026",FundRaw!$F$4:$F$281,"private_credit",FundRaw!$O$4:$O$281,1))=0,"",SUMIFS(FundRaw!$G$4:$G$281,FundRaw!$C$4:$C$281,"msft",FundRaw!$E$4:$E$281,"2026",FundRaw!$F$4:$F$281,"private_credit",FundRaw!$O$4:$O$281,1))</f>
        <v/>
      </c>
      <c r="N7" s="33" t="str">
        <f aca="false">IF((COUNTIFS(FundRaw!$C$4:$C$281,"msft",FundRaw!$E$4:$E$281,"2026",FundRaw!$F$4:$F$281,"net_debt_change",FundRaw!$O$4:$O$281,1))=0,"",SUMIFS(FundRaw!$G$4:$G$281,FundRaw!$C$4:$C$281,"msft",FundRaw!$E$4:$E$281,"2026",FundRaw!$F$4:$F$281,"net_debt_change",FundRaw!$O$4:$O$281,1))</f>
        <v/>
      </c>
      <c r="O7" s="33" t="n">
        <f aca="false">IF((COUNTIFS(FundRaw!$C$4:$C$281,"msft",FundRaw!$E$4:$E$281,"2026",FundRaw!$F$4:$F$281,"lease_not_commenced",FundRaw!$O$4:$O$281,1))=0,"",SUMIFS(FundRaw!$G$4:$G$281,FundRaw!$C$4:$C$281,"msft",FundRaw!$E$4:$E$281,"2026",FundRaw!$F$4:$F$281,"lease_not_commenced",FundRaw!$O$4:$O$281,1))</f>
        <v>329.1</v>
      </c>
      <c r="P7" s="33" t="str">
        <f aca="false">IF((COUNTIFS(FundRaw!$C$4:$C$281,"msft",FundRaw!$E$4:$E$281,"2026",FundRaw!$F$4:$F$281,"jv_offbalance",FundRaw!$O$4:$O$281,1))=0,"",SUMIFS(FundRaw!$G$4:$G$281,FundRaw!$C$4:$C$281,"msft",FundRaw!$E$4:$E$281,"2026",FundRaw!$F$4:$F$281,"jv_offbalance",FundRaw!$O$4:$O$281,1))</f>
        <v/>
      </c>
      <c r="Q7" s="33" t="str">
        <f aca="false">IF((COUNTIFS(FundRaw!$C$4:$C$281,"msft",FundRaw!$E$4:$E$281,"2026",FundRaw!$F$4:$F$281,"jv_exposure",FundRaw!$O$4:$O$281,1))=0,"",SUMIFS(FundRaw!$G$4:$G$281,FundRaw!$C$4:$C$281,"msft",FundRaw!$E$4:$E$281,"2026",FundRaw!$F$4:$F$281,"jv_exposure",FundRaw!$O$4:$O$281,1))</f>
        <v/>
      </c>
      <c r="R7" s="33" t="str">
        <f aca="false">IF((COUNTIFS(FundRaw!$C$4:$C$281,"msft",FundRaw!$E$4:$E$281,"2026",FundRaw!$F$4:$F$281,"equity_round",FundRaw!$O$4:$O$281,1))=0,"",SUMIFS(FundRaw!$G$4:$G$281,FundRaw!$C$4:$C$281,"msft",FundRaw!$E$4:$E$281,"2026",FundRaw!$F$4:$F$281,"equity_round",FundRaw!$O$4:$O$281,1))</f>
        <v/>
      </c>
      <c r="S7" s="33" t="str">
        <f aca="false">IF((COUNTIFS(FundRaw!$C$4:$C$281,"msft",FundRaw!$E$4:$E$281,"2026",FundRaw!$F$4:$F$281,"vendor_financing",FundRaw!$O$4:$O$281,1))=0,"",SUMIFS(FundRaw!$G$4:$G$281,FundRaw!$C$4:$C$281,"msft",FundRaw!$E$4:$E$281,"2026",FundRaw!$F$4:$F$281,"vendor_financing",FundRaw!$O$4:$O$281,1))</f>
        <v/>
      </c>
      <c r="T7" s="33" t="n">
        <f aca="false">IF((COUNTIFS(FundRaw!$C$4:$C$281,"msft",FundRaw!$E$4:$E$281,"2026",FundRaw!$F$4:$F$281,"buyback_div",FundRaw!$O$4:$O$281,1))=0,"",SUMIFS(FundRaw!$G$4:$G$281,FundRaw!$C$4:$C$281,"msft",FundRaw!$E$4:$E$281,"2026",FundRaw!$F$4:$F$281,"buyback_div",FundRaw!$O$4:$O$281,1))</f>
        <v>48.716</v>
      </c>
      <c r="U7" s="33" t="str">
        <f aca="false">IF((COUNTIFS(FundRaw!$C$4:$C$281,"msft",FundRaw!$E$4:$E$281,"2026",FundRaw!$F$4:$F$281,"gpu_debt_talks",FundRaw!$O$4:$O$281,1))=0,"",SUMIFS(FundRaw!$G$4:$G$281,FundRaw!$C$4:$C$281,"msft",FundRaw!$E$4:$E$281,"2026",FundRaw!$F$4:$F$281,"gpu_debt_talks",FundRaw!$O$4:$O$281,1))</f>
        <v/>
      </c>
      <c r="V7" s="33" t="str">
        <f aca="false">IF((COUNTIFS(FundRaw!$C$4:$C$281,"msft",FundRaw!$E$4:$E$281,"2026",FundRaw!$F$4:$F$281,"bridge_refi",FundRaw!$O$4:$O$281,1))=0,"",SUMIFS(FundRaw!$G$4:$G$281,FundRaw!$C$4:$C$281,"msft",FundRaw!$E$4:$E$281,"2026",FundRaw!$F$4:$F$281,"bridge_refi",FundRaw!$O$4:$O$281,1))</f>
        <v/>
      </c>
      <c r="W7" s="33" t="n">
        <f aca="false">IF(H7&lt;&gt;"",H7,IF(F7&lt;&gt;"",F7+N(G7),""))</f>
        <v>140.556</v>
      </c>
      <c r="X7" s="33" t="n">
        <f aca="false">IF(OR(W7="",E7=""),"",MAX(0,MIN(N(E7),W7-N(Y7))))</f>
        <v>115.948</v>
      </c>
      <c r="Y7" s="33" t="n">
        <f aca="false">IF(W7="","",IF(AND(H7&lt;&gt;"",F7&lt;&gt;""),MAX(0,H7-F7),N(G7)))</f>
        <v>24.608</v>
      </c>
      <c r="Z7" s="33" t="n">
        <f aca="false">IF(W7="","",MAX(0,MIN(N(R7),W7-N(X7)-N(Y7))))</f>
        <v>0</v>
      </c>
      <c r="AA7" s="33" t="n">
        <f aca="false">IF(W7="","",MAX(0,MIN(N(J7)+N(K7)+N(L7)+N(M7),W7-N(X7)-N(Y7)-N(Z7))))</f>
        <v>0</v>
      </c>
      <c r="AB7" s="33" t="n">
        <f aca="false">IF(W7="","",W7-N(X7)-N(Y7)-N(Z7)-N(AA7))</f>
        <v>0</v>
      </c>
      <c r="AC7" s="38" t="n">
        <f aca="false">IF(OR(W7="",N(W7)=0,X7=""),"",X7/W7)</f>
        <v>0.824923873758502</v>
      </c>
      <c r="AD7" s="38" t="n">
        <f aca="false">IF(OR(W7="",N(W7)=0,Y7=""),"",Y7/W7)</f>
        <v>0.175076126241498</v>
      </c>
      <c r="AE7" s="38" t="n">
        <f aca="false">IF(OR(W7="",N(W7)=0,Z7=""),"",Z7/W7)</f>
        <v>0</v>
      </c>
      <c r="AF7" s="38" t="n">
        <f aca="false">IF(OR(W7="",N(W7)=0,AA7=""),"",AA7/W7)</f>
        <v>0</v>
      </c>
      <c r="AG7" s="38" t="n">
        <f aca="false">IF(OR(W7="",N(W7)=0,AB7=""),"",AB7/W7)</f>
        <v>0</v>
      </c>
      <c r="AH7" s="33" t="n">
        <f aca="false">N(J7)+N(K7)+N(L7)+N(M7)+N(R7)+N(G7)</f>
        <v>0</v>
      </c>
      <c r="AI7" s="23" t="str">
        <f aca="false">IF(N(AH7)=0,"",(N(J7)+N(K7)+N(L7)+N(M7))/AH7)</f>
        <v/>
      </c>
      <c r="AJ7" s="23" t="str">
        <f aca="false">IF(N(AH7)=0,"",(N(R7))/AH7)</f>
        <v/>
      </c>
      <c r="AK7" s="23" t="str">
        <f aca="false">IF(N(AH7)=0,"",(N(G7))/AH7)</f>
        <v/>
      </c>
      <c r="AL7" s="33" t="n">
        <f aca="false">N(J7)+N(K7)+N(L7)+N(M7)+IF(AND(H7&lt;&gt;"",F7&lt;&gt;""),MAX(0,H7-F7),N(G7))+N(P7)+N(R7)</f>
        <v>24.608</v>
      </c>
      <c r="AM7" s="38" t="n">
        <f aca="false">IF(OR(W7="",N(W7)=0),"",AL7/W7)</f>
        <v>0.175076126241498</v>
      </c>
      <c r="AN7" s="38" t="n">
        <f aca="false">IF(OR(W7="",N(W7)=0,E7=""),"",E7/W7)</f>
        <v>1.30150971854634</v>
      </c>
      <c r="AO7" s="23" t="n">
        <f aca="false">IF(OR(W7="",N(W7)=0),"",(N(J7)+N(K7)+N(L7)+N(M7))/W7)</f>
        <v>0</v>
      </c>
      <c r="AP7" s="23" t="n">
        <f aca="false">IF(OR(W7="",N(W7)=0),"",N(R7)/W7)</f>
        <v>0</v>
      </c>
      <c r="AQ7" s="23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2080</v>
      </c>
      <c r="B8" s="0" t="s">
        <v>733</v>
      </c>
      <c r="C8" s="0" t="n">
        <v>2024</v>
      </c>
      <c r="D8" s="0" t="s">
        <v>2081</v>
      </c>
      <c r="E8" s="33" t="str">
        <f aca="false">IF((COUNTIFS(FundRaw!$C$4:$C$281,"googl",FundRaw!$E$4:$E$281,"2024",FundRaw!$F$4:$F$281,"ocf",FundRaw!$O$4:$O$281,1))=0,"",SUMIFS(FundRaw!$G$4:$G$281,FundRaw!$C$4:$C$281,"googl",FundRaw!$E$4:$E$281,"2024",FundRaw!$F$4:$F$281,"ocf",FundRaw!$O$4:$O$281,1))</f>
        <v/>
      </c>
      <c r="F8" s="33" t="str">
        <f aca="false">IF((COUNTIFS(FundRaw!$C$4:$C$281,"googl",FundRaw!$E$4:$E$281,"2024",FundRaw!$F$4:$F$281,"capex_cash",FundRaw!$O$4:$O$281,1))=0,"",SUMIFS(FundRaw!$G$4:$G$281,FundRaw!$C$4:$C$281,"googl",FundRaw!$E$4:$E$281,"2024",FundRaw!$F$4:$F$281,"capex_cash",FundRaw!$O$4:$O$281,1))</f>
        <v/>
      </c>
      <c r="G8" s="33" t="str">
        <f aca="false">IF((COUNTIFS(FundRaw!$C$4:$C$281,"googl",FundRaw!$E$4:$E$281,"2024",FundRaw!$F$4:$F$281,"fin_lease_new",FundRaw!$O$4:$O$281,1))=0,"",SUMIFS(FundRaw!$G$4:$G$281,FundRaw!$C$4:$C$281,"googl",FundRaw!$E$4:$E$281,"2024",FundRaw!$F$4:$F$281,"fin_lease_new",FundRaw!$O$4:$O$281,1))</f>
        <v/>
      </c>
      <c r="H8" s="33" t="str">
        <f aca="false">IF((COUNTIFS(FundRaw!$C$4:$C$281,"googl",FundRaw!$E$4:$E$281,"2024",FundRaw!$F$4:$F$281,"capex_incl_fl",FundRaw!$O$4:$O$281,1))=0,"",SUMIFS(FundRaw!$G$4:$G$281,FundRaw!$C$4:$C$281,"googl",FundRaw!$E$4:$E$281,"2024",FundRaw!$F$4:$F$281,"capex_incl_fl",FundRaw!$O$4:$O$281,1))</f>
        <v/>
      </c>
      <c r="I8" s="33" t="str">
        <f aca="false">IF((COUNTIFS(FundRaw!$C$4:$C$281,"googl",FundRaw!$E$4:$E$281,"2024",FundRaw!$F$4:$F$281,"fcf",FundRaw!$O$4:$O$281,1))=0,"",SUMIFS(FundRaw!$G$4:$G$281,FundRaw!$C$4:$C$281,"googl",FundRaw!$E$4:$E$281,"2024",FundRaw!$F$4:$F$281,"fcf",FundRaw!$O$4:$O$281,1))</f>
        <v/>
      </c>
      <c r="J8" s="33" t="str">
        <f aca="false">IF((COUNTIFS(FundRaw!$C$4:$C$281,"googl",FundRaw!$E$4:$E$281,"2024",FundRaw!$F$4:$F$281,"bond_issue",FundRaw!$O$4:$O$281,1))=0,"",SUMIFS(FundRaw!$G$4:$G$281,FundRaw!$C$4:$C$281,"googl",FundRaw!$E$4:$E$281,"2024",FundRaw!$F$4:$F$281,"bond_issue",FundRaw!$O$4:$O$281,1))</f>
        <v/>
      </c>
      <c r="K8" s="33" t="str">
        <f aca="false">IF((COUNTIFS(FundRaw!$C$4:$C$281,"googl",FundRaw!$E$4:$E$281,"2024",FundRaw!$F$4:$F$281,"term_loan",FundRaw!$O$4:$O$281,1))=0,"",SUMIFS(FundRaw!$G$4:$G$281,FundRaw!$C$4:$C$281,"googl",FundRaw!$E$4:$E$281,"2024",FundRaw!$F$4:$F$281,"term_loan",FundRaw!$O$4:$O$281,1))</f>
        <v/>
      </c>
      <c r="L8" s="33" t="str">
        <f aca="false">IF((COUNTIFS(FundRaw!$C$4:$C$281,"googl",FundRaw!$E$4:$E$281,"2024",FundRaw!$F$4:$F$281,"gpu_debt",FundRaw!$O$4:$O$281,1))=0,"",SUMIFS(FundRaw!$G$4:$G$281,FundRaw!$C$4:$C$281,"googl",FundRaw!$E$4:$E$281,"2024",FundRaw!$F$4:$F$281,"gpu_debt",FundRaw!$O$4:$O$281,1))</f>
        <v/>
      </c>
      <c r="M8" s="33" t="str">
        <f aca="false">IF((COUNTIFS(FundRaw!$C$4:$C$281,"googl",FundRaw!$E$4:$E$281,"2024",FundRaw!$F$4:$F$281,"private_credit",FundRaw!$O$4:$O$281,1))=0,"",SUMIFS(FundRaw!$G$4:$G$281,FundRaw!$C$4:$C$281,"googl",FundRaw!$E$4:$E$281,"2024",FundRaw!$F$4:$F$281,"private_credit",FundRaw!$O$4:$O$281,1))</f>
        <v/>
      </c>
      <c r="N8" s="33" t="str">
        <f aca="false">IF((COUNTIFS(FundRaw!$C$4:$C$281,"googl",FundRaw!$E$4:$E$281,"2024",FundRaw!$F$4:$F$281,"net_debt_change",FundRaw!$O$4:$O$281,1))=0,"",SUMIFS(FundRaw!$G$4:$G$281,FundRaw!$C$4:$C$281,"googl",FundRaw!$E$4:$E$281,"2024",FundRaw!$F$4:$F$281,"net_debt_change",FundRaw!$O$4:$O$281,1))</f>
        <v/>
      </c>
      <c r="O8" s="33" t="str">
        <f aca="false">IF((COUNTIFS(FundRaw!$C$4:$C$281,"googl",FundRaw!$E$4:$E$281,"2024",FundRaw!$F$4:$F$281,"lease_not_commenced",FundRaw!$O$4:$O$281,1))=0,"",SUMIFS(FundRaw!$G$4:$G$281,FundRaw!$C$4:$C$281,"googl",FundRaw!$E$4:$E$281,"2024",FundRaw!$F$4:$F$281,"lease_not_commenced",FundRaw!$O$4:$O$281,1))</f>
        <v/>
      </c>
      <c r="P8" s="33" t="str">
        <f aca="false">IF((COUNTIFS(FundRaw!$C$4:$C$281,"googl",FundRaw!$E$4:$E$281,"2024",FundRaw!$F$4:$F$281,"jv_offbalance",FundRaw!$O$4:$O$281,1))=0,"",SUMIFS(FundRaw!$G$4:$G$281,FundRaw!$C$4:$C$281,"googl",FundRaw!$E$4:$E$281,"2024",FundRaw!$F$4:$F$281,"jv_offbalance",FundRaw!$O$4:$O$281,1))</f>
        <v/>
      </c>
      <c r="Q8" s="33" t="str">
        <f aca="false">IF((COUNTIFS(FundRaw!$C$4:$C$281,"googl",FundRaw!$E$4:$E$281,"2024",FundRaw!$F$4:$F$281,"jv_exposure",FundRaw!$O$4:$O$281,1))=0,"",SUMIFS(FundRaw!$G$4:$G$281,FundRaw!$C$4:$C$281,"googl",FundRaw!$E$4:$E$281,"2024",FundRaw!$F$4:$F$281,"jv_exposure",FundRaw!$O$4:$O$281,1))</f>
        <v/>
      </c>
      <c r="R8" s="33" t="str">
        <f aca="false">IF((COUNTIFS(FundRaw!$C$4:$C$281,"googl",FundRaw!$E$4:$E$281,"2024",FundRaw!$F$4:$F$281,"equity_round",FundRaw!$O$4:$O$281,1))=0,"",SUMIFS(FundRaw!$G$4:$G$281,FundRaw!$C$4:$C$281,"googl",FundRaw!$E$4:$E$281,"2024",FundRaw!$F$4:$F$281,"equity_round",FundRaw!$O$4:$O$281,1))</f>
        <v/>
      </c>
      <c r="S8" s="33" t="str">
        <f aca="false">IF((COUNTIFS(FundRaw!$C$4:$C$281,"googl",FundRaw!$E$4:$E$281,"2024",FundRaw!$F$4:$F$281,"vendor_financing",FundRaw!$O$4:$O$281,1))=0,"",SUMIFS(FundRaw!$G$4:$G$281,FundRaw!$C$4:$C$281,"googl",FundRaw!$E$4:$E$281,"2024",FundRaw!$F$4:$F$281,"vendor_financing",FundRaw!$O$4:$O$281,1))</f>
        <v/>
      </c>
      <c r="T8" s="33" t="str">
        <f aca="false">IF((COUNTIFS(FundRaw!$C$4:$C$281,"googl",FundRaw!$E$4:$E$281,"2024",FundRaw!$F$4:$F$281,"buyback_div",FundRaw!$O$4:$O$281,1))=0,"",SUMIFS(FundRaw!$G$4:$G$281,FundRaw!$C$4:$C$281,"googl",FundRaw!$E$4:$E$281,"2024",FundRaw!$F$4:$F$281,"buyback_div",FundRaw!$O$4:$O$281,1))</f>
        <v/>
      </c>
      <c r="U8" s="33" t="str">
        <f aca="false">IF((COUNTIFS(FundRaw!$C$4:$C$281,"googl",FundRaw!$E$4:$E$281,"2024",FundRaw!$F$4:$F$281,"gpu_debt_talks",FundRaw!$O$4:$O$281,1))=0,"",SUMIFS(FundRaw!$G$4:$G$281,FundRaw!$C$4:$C$281,"googl",FundRaw!$E$4:$E$281,"2024",FundRaw!$F$4:$F$281,"gpu_debt_talks",FundRaw!$O$4:$O$281,1))</f>
        <v/>
      </c>
      <c r="V8" s="33" t="str">
        <f aca="false">IF((COUNTIFS(FundRaw!$C$4:$C$281,"googl",FundRaw!$E$4:$E$281,"2024",FundRaw!$F$4:$F$281,"bridge_refi",FundRaw!$O$4:$O$281,1))=0,"",SUMIFS(FundRaw!$G$4:$G$281,FundRaw!$C$4:$C$281,"googl",FundRaw!$E$4:$E$281,"2024",FundRaw!$F$4:$F$281,"bridge_refi",FundRaw!$O$4:$O$281,1))</f>
        <v/>
      </c>
      <c r="W8" s="33" t="str">
        <f aca="false">IF(H8&lt;&gt;"",H8,IF(F8&lt;&gt;"",F8+N(G8),""))</f>
        <v/>
      </c>
      <c r="X8" s="33" t="str">
        <f aca="false">IF(OR(W8="",E8=""),"",MAX(0,MIN(N(E8),W8-N(Y8))))</f>
        <v/>
      </c>
      <c r="Y8" s="33" t="str">
        <f aca="false">IF(W8="","",IF(AND(H8&lt;&gt;"",F8&lt;&gt;""),MAX(0,H8-F8),N(G8)))</f>
        <v/>
      </c>
      <c r="Z8" s="33" t="str">
        <f aca="false">IF(W8="","",MAX(0,MIN(N(R8),W8-N(X8)-N(Y8))))</f>
        <v/>
      </c>
      <c r="AA8" s="33" t="str">
        <f aca="false">IF(W8="","",MAX(0,MIN(N(J8)+N(K8)+N(L8)+N(M8),W8-N(X8)-N(Y8)-N(Z8))))</f>
        <v/>
      </c>
      <c r="AB8" s="33" t="str">
        <f aca="false">IF(W8="","",W8-N(X8)-N(Y8)-N(Z8)-N(AA8))</f>
        <v/>
      </c>
      <c r="AC8" s="38" t="str">
        <f aca="false">IF(OR(W8="",N(W8)=0,X8=""),"",X8/W8)</f>
        <v/>
      </c>
      <c r="AD8" s="38" t="str">
        <f aca="false">IF(OR(W8="",N(W8)=0,Y8=""),"",Y8/W8)</f>
        <v/>
      </c>
      <c r="AE8" s="38" t="str">
        <f aca="false">IF(OR(W8="",N(W8)=0,Z8=""),"",Z8/W8)</f>
        <v/>
      </c>
      <c r="AF8" s="38" t="str">
        <f aca="false">IF(OR(W8="",N(W8)=0,AA8=""),"",AA8/W8)</f>
        <v/>
      </c>
      <c r="AG8" s="38" t="str">
        <f aca="false">IF(OR(W8="",N(W8)=0,AB8=""),"",AB8/W8)</f>
        <v/>
      </c>
      <c r="AH8" s="33" t="n">
        <f aca="false">N(J8)+N(K8)+N(L8)+N(M8)+N(R8)+N(G8)</f>
        <v>0</v>
      </c>
      <c r="AI8" s="23" t="str">
        <f aca="false">IF(N(AH8)=0,"",(N(J8)+N(K8)+N(L8)+N(M8))/AH8)</f>
        <v/>
      </c>
      <c r="AJ8" s="23" t="str">
        <f aca="false">IF(N(AH8)=0,"",(N(R8))/AH8)</f>
        <v/>
      </c>
      <c r="AK8" s="23" t="str">
        <f aca="false">IF(N(AH8)=0,"",(N(G8))/AH8)</f>
        <v/>
      </c>
      <c r="AL8" s="33" t="n">
        <f aca="false">N(J8)+N(K8)+N(L8)+N(M8)+IF(AND(H8&lt;&gt;"",F8&lt;&gt;""),MAX(0,H8-F8),N(G8))+N(P8)+N(R8)</f>
        <v>0</v>
      </c>
      <c r="AM8" s="38" t="str">
        <f aca="false">IF(OR(W8="",N(W8)=0),"",AL8/W8)</f>
        <v/>
      </c>
      <c r="AN8" s="38" t="str">
        <f aca="false">IF(OR(W8="",N(W8)=0,E8=""),"",E8/W8)</f>
        <v/>
      </c>
      <c r="AO8" s="23" t="str">
        <f aca="false">IF(OR(W8="",N(W8)=0),"",(N(J8)+N(K8)+N(L8)+N(M8))/W8)</f>
        <v/>
      </c>
      <c r="AP8" s="23" t="str">
        <f aca="false">IF(OR(W8="",N(W8)=0),"",N(R8)/W8)</f>
        <v/>
      </c>
      <c r="AQ8" s="23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2080</v>
      </c>
      <c r="B9" s="0" t="s">
        <v>733</v>
      </c>
      <c r="C9" s="0" t="n">
        <v>2025</v>
      </c>
      <c r="D9" s="0" t="s">
        <v>2082</v>
      </c>
      <c r="E9" s="33" t="n">
        <f aca="false">IF((COUNTIFS(FundRaw!$C$4:$C$281,"googl",FundRaw!$E$4:$E$281,"2025",FundRaw!$F$4:$F$281,"ocf",FundRaw!$O$4:$O$281,1))=0,"",SUMIFS(FundRaw!$G$4:$G$281,FundRaw!$C$4:$C$281,"googl",FundRaw!$E$4:$E$281,"2025",FundRaw!$F$4:$F$281,"ocf",FundRaw!$O$4:$O$281,1))</f>
        <v>164.713</v>
      </c>
      <c r="F9" s="33" t="n">
        <f aca="false">IF((COUNTIFS(FundRaw!$C$4:$C$281,"googl",FundRaw!$E$4:$E$281,"2025",FundRaw!$F$4:$F$281,"capex_cash",FundRaw!$O$4:$O$281,1))=0,"",SUMIFS(FundRaw!$G$4:$G$281,FundRaw!$C$4:$C$281,"googl",FundRaw!$E$4:$E$281,"2025",FundRaw!$F$4:$F$281,"capex_cash",FundRaw!$O$4:$O$281,1))</f>
        <v>91.447</v>
      </c>
      <c r="G9" s="33" t="str">
        <f aca="false">IF((COUNTIFS(FundRaw!$C$4:$C$281,"googl",FundRaw!$E$4:$E$281,"2025",FundRaw!$F$4:$F$281,"fin_lease_new",FundRaw!$O$4:$O$281,1))=0,"",SUMIFS(FundRaw!$G$4:$G$281,FundRaw!$C$4:$C$281,"googl",FundRaw!$E$4:$E$281,"2025",FundRaw!$F$4:$F$281,"fin_lease_new",FundRaw!$O$4:$O$281,1))</f>
        <v/>
      </c>
      <c r="H9" s="33" t="str">
        <f aca="false">IF((COUNTIFS(FundRaw!$C$4:$C$281,"googl",FundRaw!$E$4:$E$281,"2025",FundRaw!$F$4:$F$281,"capex_incl_fl",FundRaw!$O$4:$O$281,1))=0,"",SUMIFS(FundRaw!$G$4:$G$281,FundRaw!$C$4:$C$281,"googl",FundRaw!$E$4:$E$281,"2025",FundRaw!$F$4:$F$281,"capex_incl_fl",FundRaw!$O$4:$O$281,1))</f>
        <v/>
      </c>
      <c r="I9" s="33" t="n">
        <f aca="false">IF((COUNTIFS(FundRaw!$C$4:$C$281,"googl",FundRaw!$E$4:$E$281,"2025",FundRaw!$F$4:$F$281,"fcf",FundRaw!$O$4:$O$281,1))=0,"",SUMIFS(FundRaw!$G$4:$G$281,FundRaw!$C$4:$C$281,"googl",FundRaw!$E$4:$E$281,"2025",FundRaw!$F$4:$F$281,"fcf",FundRaw!$O$4:$O$281,1))</f>
        <v>73.266</v>
      </c>
      <c r="J9" s="33" t="n">
        <f aca="false">IF((COUNTIFS(FundRaw!$C$4:$C$281,"googl",FundRaw!$E$4:$E$281,"2025",FundRaw!$F$4:$F$281,"bond_issue",FundRaw!$O$4:$O$281,1))=0,"",SUMIFS(FundRaw!$G$4:$G$281,FundRaw!$C$4:$C$281,"googl",FundRaw!$E$4:$E$281,"2025",FundRaw!$F$4:$F$281,"bond_issue",FundRaw!$O$4:$O$281,1))</f>
        <v>64.564</v>
      </c>
      <c r="K9" s="33" t="str">
        <f aca="false">IF((COUNTIFS(FundRaw!$C$4:$C$281,"googl",FundRaw!$E$4:$E$281,"2025",FundRaw!$F$4:$F$281,"term_loan",FundRaw!$O$4:$O$281,1))=0,"",SUMIFS(FundRaw!$G$4:$G$281,FundRaw!$C$4:$C$281,"googl",FundRaw!$E$4:$E$281,"2025",FundRaw!$F$4:$F$281,"term_loan",FundRaw!$O$4:$O$281,1))</f>
        <v/>
      </c>
      <c r="L9" s="33" t="str">
        <f aca="false">IF((COUNTIFS(FundRaw!$C$4:$C$281,"googl",FundRaw!$E$4:$E$281,"2025",FundRaw!$F$4:$F$281,"gpu_debt",FundRaw!$O$4:$O$281,1))=0,"",SUMIFS(FundRaw!$G$4:$G$281,FundRaw!$C$4:$C$281,"googl",FundRaw!$E$4:$E$281,"2025",FundRaw!$F$4:$F$281,"gpu_debt",FundRaw!$O$4:$O$281,1))</f>
        <v/>
      </c>
      <c r="M9" s="33" t="str">
        <f aca="false">IF((COUNTIFS(FundRaw!$C$4:$C$281,"googl",FundRaw!$E$4:$E$281,"2025",FundRaw!$F$4:$F$281,"private_credit",FundRaw!$O$4:$O$281,1))=0,"",SUMIFS(FundRaw!$G$4:$G$281,FundRaw!$C$4:$C$281,"googl",FundRaw!$E$4:$E$281,"2025",FundRaw!$F$4:$F$281,"private_credit",FundRaw!$O$4:$O$281,1))</f>
        <v/>
      </c>
      <c r="N9" s="33" t="str">
        <f aca="false">IF((COUNTIFS(FundRaw!$C$4:$C$281,"googl",FundRaw!$E$4:$E$281,"2025",FundRaw!$F$4:$F$281,"net_debt_change",FundRaw!$O$4:$O$281,1))=0,"",SUMIFS(FundRaw!$G$4:$G$281,FundRaw!$C$4:$C$281,"googl",FundRaw!$E$4:$E$281,"2025",FundRaw!$F$4:$F$281,"net_debt_change",FundRaw!$O$4:$O$281,1))</f>
        <v/>
      </c>
      <c r="O9" s="33" t="str">
        <f aca="false">IF((COUNTIFS(FundRaw!$C$4:$C$281,"googl",FundRaw!$E$4:$E$281,"2025",FundRaw!$F$4:$F$281,"lease_not_commenced",FundRaw!$O$4:$O$281,1))=0,"",SUMIFS(FundRaw!$G$4:$G$281,FundRaw!$C$4:$C$281,"googl",FundRaw!$E$4:$E$281,"2025",FundRaw!$F$4:$F$281,"lease_not_commenced",FundRaw!$O$4:$O$281,1))</f>
        <v/>
      </c>
      <c r="P9" s="33" t="str">
        <f aca="false">IF((COUNTIFS(FundRaw!$C$4:$C$281,"googl",FundRaw!$E$4:$E$281,"2025",FundRaw!$F$4:$F$281,"jv_offbalance",FundRaw!$O$4:$O$281,1))=0,"",SUMIFS(FundRaw!$G$4:$G$281,FundRaw!$C$4:$C$281,"googl",FundRaw!$E$4:$E$281,"2025",FundRaw!$F$4:$F$281,"jv_offbalance",FundRaw!$O$4:$O$281,1))</f>
        <v/>
      </c>
      <c r="Q9" s="33" t="str">
        <f aca="false">IF((COUNTIFS(FundRaw!$C$4:$C$281,"googl",FundRaw!$E$4:$E$281,"2025",FundRaw!$F$4:$F$281,"jv_exposure",FundRaw!$O$4:$O$281,1))=0,"",SUMIFS(FundRaw!$G$4:$G$281,FundRaw!$C$4:$C$281,"googl",FundRaw!$E$4:$E$281,"2025",FundRaw!$F$4:$F$281,"jv_exposure",FundRaw!$O$4:$O$281,1))</f>
        <v/>
      </c>
      <c r="R9" s="33" t="str">
        <f aca="false">IF((COUNTIFS(FundRaw!$C$4:$C$281,"googl",FundRaw!$E$4:$E$281,"2025",FundRaw!$F$4:$F$281,"equity_round",FundRaw!$O$4:$O$281,1))=0,"",SUMIFS(FundRaw!$G$4:$G$281,FundRaw!$C$4:$C$281,"googl",FundRaw!$E$4:$E$281,"2025",FundRaw!$F$4:$F$281,"equity_round",FundRaw!$O$4:$O$281,1))</f>
        <v/>
      </c>
      <c r="S9" s="33" t="str">
        <f aca="false">IF((COUNTIFS(FundRaw!$C$4:$C$281,"googl",FundRaw!$E$4:$E$281,"2025",FundRaw!$F$4:$F$281,"vendor_financing",FundRaw!$O$4:$O$281,1))=0,"",SUMIFS(FundRaw!$G$4:$G$281,FundRaw!$C$4:$C$281,"googl",FundRaw!$E$4:$E$281,"2025",FundRaw!$F$4:$F$281,"vendor_financing",FundRaw!$O$4:$O$281,1))</f>
        <v/>
      </c>
      <c r="T9" s="33" t="n">
        <f aca="false">IF((COUNTIFS(FundRaw!$C$4:$C$281,"googl",FundRaw!$E$4:$E$281,"2025",FundRaw!$F$4:$F$281,"buyback_div",FundRaw!$O$4:$O$281,1))=0,"",SUMIFS(FundRaw!$G$4:$G$281,FundRaw!$C$4:$C$281,"googl",FundRaw!$E$4:$E$281,"2025",FundRaw!$F$4:$F$281,"buyback_div",FundRaw!$O$4:$O$281,1))</f>
        <v>55.758</v>
      </c>
      <c r="U9" s="33" t="str">
        <f aca="false">IF((COUNTIFS(FundRaw!$C$4:$C$281,"googl",FundRaw!$E$4:$E$281,"2025",FundRaw!$F$4:$F$281,"gpu_debt_talks",FundRaw!$O$4:$O$281,1))=0,"",SUMIFS(FundRaw!$G$4:$G$281,FundRaw!$C$4:$C$281,"googl",FundRaw!$E$4:$E$281,"2025",FundRaw!$F$4:$F$281,"gpu_debt_talks",FundRaw!$O$4:$O$281,1))</f>
        <v/>
      </c>
      <c r="V9" s="33" t="str">
        <f aca="false">IF((COUNTIFS(FundRaw!$C$4:$C$281,"googl",FundRaw!$E$4:$E$281,"2025",FundRaw!$F$4:$F$281,"bridge_refi",FundRaw!$O$4:$O$281,1))=0,"",SUMIFS(FundRaw!$G$4:$G$281,FundRaw!$C$4:$C$281,"googl",FundRaw!$E$4:$E$281,"2025",FundRaw!$F$4:$F$281,"bridge_refi",FundRaw!$O$4:$O$281,1))</f>
        <v/>
      </c>
      <c r="W9" s="33" t="n">
        <f aca="false">IF(H9&lt;&gt;"",H9,IF(F9&lt;&gt;"",F9+N(G9),""))</f>
        <v>91.447</v>
      </c>
      <c r="X9" s="33" t="n">
        <f aca="false">IF(OR(W9="",E9=""),"",MAX(0,MIN(N(E9),W9-N(Y9))))</f>
        <v>91.447</v>
      </c>
      <c r="Y9" s="33" t="n">
        <f aca="false">IF(W9="","",IF(AND(H9&lt;&gt;"",F9&lt;&gt;""),MAX(0,H9-F9),N(G9)))</f>
        <v>0</v>
      </c>
      <c r="Z9" s="33" t="n">
        <f aca="false">IF(W9="","",MAX(0,MIN(N(R9),W9-N(X9)-N(Y9))))</f>
        <v>0</v>
      </c>
      <c r="AA9" s="33" t="n">
        <f aca="false">IF(W9="","",MAX(0,MIN(N(J9)+N(K9)+N(L9)+N(M9),W9-N(X9)-N(Y9)-N(Z9))))</f>
        <v>0</v>
      </c>
      <c r="AB9" s="33" t="n">
        <f aca="false">IF(W9="","",W9-N(X9)-N(Y9)-N(Z9)-N(AA9))</f>
        <v>0</v>
      </c>
      <c r="AC9" s="38" t="n">
        <f aca="false">IF(OR(W9="",N(W9)=0,X9=""),"",X9/W9)</f>
        <v>1</v>
      </c>
      <c r="AD9" s="38" t="n">
        <f aca="false">IF(OR(W9="",N(W9)=0,Y9=""),"",Y9/W9)</f>
        <v>0</v>
      </c>
      <c r="AE9" s="38" t="n">
        <f aca="false">IF(OR(W9="",N(W9)=0,Z9=""),"",Z9/W9)</f>
        <v>0</v>
      </c>
      <c r="AF9" s="38" t="n">
        <f aca="false">IF(OR(W9="",N(W9)=0,AA9=""),"",AA9/W9)</f>
        <v>0</v>
      </c>
      <c r="AG9" s="38" t="n">
        <f aca="false">IF(OR(W9="",N(W9)=0,AB9=""),"",AB9/W9)</f>
        <v>0</v>
      </c>
      <c r="AH9" s="33" t="n">
        <f aca="false">N(J9)+N(K9)+N(L9)+N(M9)+N(R9)+N(G9)</f>
        <v>64.564</v>
      </c>
      <c r="AI9" s="23" t="n">
        <f aca="false">IF(N(AH9)=0,"",(N(J9)+N(K9)+N(L9)+N(M9))/AH9)</f>
        <v>1</v>
      </c>
      <c r="AJ9" s="23" t="n">
        <f aca="false">IF(N(AH9)=0,"",(N(R9))/AH9)</f>
        <v>0</v>
      </c>
      <c r="AK9" s="23" t="n">
        <f aca="false">IF(N(AH9)=0,"",(N(G9))/AH9)</f>
        <v>0</v>
      </c>
      <c r="AL9" s="33" t="n">
        <f aca="false">N(J9)+N(K9)+N(L9)+N(M9)+IF(AND(H9&lt;&gt;"",F9&lt;&gt;""),MAX(0,H9-F9),N(G9))+N(P9)+N(R9)</f>
        <v>64.564</v>
      </c>
      <c r="AM9" s="38" t="n">
        <f aca="false">IF(OR(W9="",N(W9)=0),"",AL9/W9)</f>
        <v>0.706026441545376</v>
      </c>
      <c r="AN9" s="38" t="n">
        <f aca="false">IF(OR(W9="",N(W9)=0,E9=""),"",E9/W9)</f>
        <v>1.80118538607062</v>
      </c>
      <c r="AO9" s="23" t="n">
        <f aca="false">IF(OR(W9="",N(W9)=0),"",(N(J9)+N(K9)+N(L9)+N(M9))/W9)</f>
        <v>0.706026441545376</v>
      </c>
      <c r="AP9" s="23" t="n">
        <f aca="false">IF(OR(W9="",N(W9)=0),"",N(R9)/W9)</f>
        <v>0</v>
      </c>
      <c r="AQ9" s="23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2080</v>
      </c>
      <c r="B10" s="0" t="s">
        <v>733</v>
      </c>
      <c r="C10" s="0" t="n">
        <v>2026</v>
      </c>
      <c r="D10" s="0" t="s">
        <v>2083</v>
      </c>
      <c r="E10" s="33" t="n">
        <f aca="false">IF((COUNTIFS(FundRaw!$C$4:$C$281,"googl",FundRaw!$E$4:$E$281,"2026",FundRaw!$F$4:$F$281,"ocf",FundRaw!$O$4:$O$281,1))=0,"",SUMIFS(FundRaw!$G$4:$G$281,FundRaw!$C$4:$C$281,"googl",FundRaw!$E$4:$E$281,"2026",FundRaw!$F$4:$F$281,"ocf",FundRaw!$O$4:$O$281,1))</f>
        <v>127.149</v>
      </c>
      <c r="F10" s="33" t="n">
        <f aca="false">IF((COUNTIFS(FundRaw!$C$4:$C$281,"googl",FundRaw!$E$4:$E$281,"2026",FundRaw!$F$4:$F$281,"capex_cash",FundRaw!$O$4:$O$281,1))=0,"",SUMIFS(FundRaw!$G$4:$G$281,FundRaw!$C$4:$C$281,"googl",FundRaw!$E$4:$E$281,"2026",FundRaw!$F$4:$F$281,"capex_cash",FundRaw!$O$4:$O$281,1))</f>
        <v>131.953</v>
      </c>
      <c r="G10" s="33" t="str">
        <f aca="false">IF((COUNTIFS(FundRaw!$C$4:$C$281,"googl",FundRaw!$E$4:$E$281,"2026",FundRaw!$F$4:$F$281,"fin_lease_new",FundRaw!$O$4:$O$281,1))=0,"",SUMIFS(FundRaw!$G$4:$G$281,FundRaw!$C$4:$C$281,"googl",FundRaw!$E$4:$E$281,"2026",FundRaw!$F$4:$F$281,"fin_lease_new",FundRaw!$O$4:$O$281,1))</f>
        <v/>
      </c>
      <c r="H10" s="33" t="str">
        <f aca="false">IF((COUNTIFS(FundRaw!$C$4:$C$281,"googl",FundRaw!$E$4:$E$281,"2026",FundRaw!$F$4:$F$281,"capex_incl_fl",FundRaw!$O$4:$O$281,1))=0,"",SUMIFS(FundRaw!$G$4:$G$281,FundRaw!$C$4:$C$281,"googl",FundRaw!$E$4:$E$281,"2026",FundRaw!$F$4:$F$281,"capex_incl_fl",FundRaw!$O$4:$O$281,1))</f>
        <v/>
      </c>
      <c r="I10" s="33" t="n">
        <f aca="false">IF((COUNTIFS(FundRaw!$C$4:$C$281,"googl",FundRaw!$E$4:$E$281,"2026",FundRaw!$F$4:$F$281,"fcf",FundRaw!$O$4:$O$281,1))=0,"",SUMIFS(FundRaw!$G$4:$G$281,FundRaw!$C$4:$C$281,"googl",FundRaw!$E$4:$E$281,"2026",FundRaw!$F$4:$F$281,"fcf",FundRaw!$O$4:$O$281,1))</f>
        <v>-4.804</v>
      </c>
      <c r="J10" s="33" t="n">
        <f aca="false">IF((COUNTIFS(FundRaw!$C$4:$C$281,"googl",FundRaw!$E$4:$E$281,"2026",FundRaw!$F$4:$F$281,"bond_issue",FundRaw!$O$4:$O$281,1))=0,"",SUMIFS(FundRaw!$G$4:$G$281,FundRaw!$C$4:$C$281,"googl",FundRaw!$E$4:$E$281,"2026",FundRaw!$F$4:$F$281,"bond_issue",FundRaw!$O$4:$O$281,1))</f>
        <v>85.222</v>
      </c>
      <c r="K10" s="33" t="str">
        <f aca="false">IF((COUNTIFS(FundRaw!$C$4:$C$281,"googl",FundRaw!$E$4:$E$281,"2026",FundRaw!$F$4:$F$281,"term_loan",FundRaw!$O$4:$O$281,1))=0,"",SUMIFS(FundRaw!$G$4:$G$281,FundRaw!$C$4:$C$281,"googl",FundRaw!$E$4:$E$281,"2026",FundRaw!$F$4:$F$281,"term_loan",FundRaw!$O$4:$O$281,1))</f>
        <v/>
      </c>
      <c r="L10" s="33" t="str">
        <f aca="false">IF((COUNTIFS(FundRaw!$C$4:$C$281,"googl",FundRaw!$E$4:$E$281,"2026",FundRaw!$F$4:$F$281,"gpu_debt",FundRaw!$O$4:$O$281,1))=0,"",SUMIFS(FundRaw!$G$4:$G$281,FundRaw!$C$4:$C$281,"googl",FundRaw!$E$4:$E$281,"2026",FundRaw!$F$4:$F$281,"gpu_debt",FundRaw!$O$4:$O$281,1))</f>
        <v/>
      </c>
      <c r="M10" s="33" t="str">
        <f aca="false">IF((COUNTIFS(FundRaw!$C$4:$C$281,"googl",FundRaw!$E$4:$E$281,"2026",FundRaw!$F$4:$F$281,"private_credit",FundRaw!$O$4:$O$281,1))=0,"",SUMIFS(FundRaw!$G$4:$G$281,FundRaw!$C$4:$C$281,"googl",FundRaw!$E$4:$E$281,"2026",FundRaw!$F$4:$F$281,"private_credit",FundRaw!$O$4:$O$281,1))</f>
        <v/>
      </c>
      <c r="N10" s="33" t="str">
        <f aca="false">IF((COUNTIFS(FundRaw!$C$4:$C$281,"googl",FundRaw!$E$4:$E$281,"2026",FundRaw!$F$4:$F$281,"net_debt_change",FundRaw!$O$4:$O$281,1))=0,"",SUMIFS(FundRaw!$G$4:$G$281,FundRaw!$C$4:$C$281,"googl",FundRaw!$E$4:$E$281,"2026",FundRaw!$F$4:$F$281,"net_debt_change",FundRaw!$O$4:$O$281,1))</f>
        <v/>
      </c>
      <c r="O10" s="33" t="n">
        <f aca="false">IF((COUNTIFS(FundRaw!$C$4:$C$281,"googl",FundRaw!$E$4:$E$281,"2026",FundRaw!$F$4:$F$281,"lease_not_commenced",FundRaw!$O$4:$O$281,1))=0,"",SUMIFS(FundRaw!$G$4:$G$281,FundRaw!$C$4:$C$281,"googl",FundRaw!$E$4:$E$281,"2026",FundRaw!$F$4:$F$281,"lease_not_commenced",FundRaw!$O$4:$O$281,1))</f>
        <v>85.2</v>
      </c>
      <c r="P10" s="33" t="str">
        <f aca="false">IF((COUNTIFS(FundRaw!$C$4:$C$281,"googl",FundRaw!$E$4:$E$281,"2026",FundRaw!$F$4:$F$281,"jv_offbalance",FundRaw!$O$4:$O$281,1))=0,"",SUMIFS(FundRaw!$G$4:$G$281,FundRaw!$C$4:$C$281,"googl",FundRaw!$E$4:$E$281,"2026",FundRaw!$F$4:$F$281,"jv_offbalance",FundRaw!$O$4:$O$281,1))</f>
        <v/>
      </c>
      <c r="Q10" s="33" t="n">
        <f aca="false">IF((COUNTIFS(FundRaw!$C$4:$C$281,"googl",FundRaw!$E$4:$E$281,"2026",FundRaw!$F$4:$F$281,"jv_exposure",FundRaw!$O$4:$O$281,1))=0,"",SUMIFS(FundRaw!$G$4:$G$281,FundRaw!$C$4:$C$281,"googl",FundRaw!$E$4:$E$281,"2026",FundRaw!$F$4:$F$281,"jv_exposure",FundRaw!$O$4:$O$281,1))</f>
        <v>44</v>
      </c>
      <c r="R10" s="33" t="n">
        <f aca="false">IF((COUNTIFS(FundRaw!$C$4:$C$281,"googl",FundRaw!$E$4:$E$281,"2026",FundRaw!$F$4:$F$281,"equity_round",FundRaw!$O$4:$O$281,1))=0,"",SUMIFS(FundRaw!$G$4:$G$281,FundRaw!$C$4:$C$281,"googl",FundRaw!$E$4:$E$281,"2026",FundRaw!$F$4:$F$281,"equity_round",FundRaw!$O$4:$O$281,1))</f>
        <v>61.933</v>
      </c>
      <c r="S10" s="33" t="n">
        <f aca="false">IF((COUNTIFS(FundRaw!$C$4:$C$281,"googl",FundRaw!$E$4:$E$281,"2026",FundRaw!$F$4:$F$281,"vendor_financing",FundRaw!$O$4:$O$281,1))=0,"",SUMIFS(FundRaw!$G$4:$G$281,FundRaw!$C$4:$C$281,"googl",FundRaw!$E$4:$E$281,"2026",FundRaw!$F$4:$F$281,"vendor_financing",FundRaw!$O$4:$O$281,1))</f>
        <v>40</v>
      </c>
      <c r="T10" s="33" t="n">
        <f aca="false">IF((COUNTIFS(FundRaw!$C$4:$C$281,"googl",FundRaw!$E$4:$E$281,"2026",FundRaw!$F$4:$F$281,"buyback_div",FundRaw!$O$4:$O$281,1))=0,"",SUMIFS(FundRaw!$G$4:$G$281,FundRaw!$C$4:$C$281,"googl",FundRaw!$E$4:$E$281,"2026",FundRaw!$F$4:$F$281,"buyback_div",FundRaw!$O$4:$O$281,1))</f>
        <v>8.167</v>
      </c>
      <c r="U10" s="33" t="str">
        <f aca="false">IF((COUNTIFS(FundRaw!$C$4:$C$281,"googl",FundRaw!$E$4:$E$281,"2026",FundRaw!$F$4:$F$281,"gpu_debt_talks",FundRaw!$O$4:$O$281,1))=0,"",SUMIFS(FundRaw!$G$4:$G$281,FundRaw!$C$4:$C$281,"googl",FundRaw!$E$4:$E$281,"2026",FundRaw!$F$4:$F$281,"gpu_debt_talks",FundRaw!$O$4:$O$281,1))</f>
        <v/>
      </c>
      <c r="V10" s="33" t="str">
        <f aca="false">IF((COUNTIFS(FundRaw!$C$4:$C$281,"googl",FundRaw!$E$4:$E$281,"2026",FundRaw!$F$4:$F$281,"bridge_refi",FundRaw!$O$4:$O$281,1))=0,"",SUMIFS(FundRaw!$G$4:$G$281,FundRaw!$C$4:$C$281,"googl",FundRaw!$E$4:$E$281,"2026",FundRaw!$F$4:$F$281,"bridge_refi",FundRaw!$O$4:$O$281,1))</f>
        <v/>
      </c>
      <c r="W10" s="33" t="n">
        <f aca="false">IF(H10&lt;&gt;"",H10,IF(F10&lt;&gt;"",F10+N(G10),""))</f>
        <v>131.953</v>
      </c>
      <c r="X10" s="33" t="n">
        <f aca="false">IF(OR(W10="",E10=""),"",MAX(0,MIN(N(E10),W10-N(Y10))))</f>
        <v>127.149</v>
      </c>
      <c r="Y10" s="33" t="n">
        <f aca="false">IF(W10="","",IF(AND(H10&lt;&gt;"",F10&lt;&gt;""),MAX(0,H10-F10),N(G10)))</f>
        <v>0</v>
      </c>
      <c r="Z10" s="33" t="n">
        <f aca="false">IF(W10="","",MAX(0,MIN(N(R10),W10-N(X10)-N(Y10))))</f>
        <v>4.804</v>
      </c>
      <c r="AA10" s="33" t="n">
        <f aca="false">IF(W10="","",MAX(0,MIN(N(J10)+N(K10)+N(L10)+N(M10),W10-N(X10)-N(Y10)-N(Z10))))</f>
        <v>0</v>
      </c>
      <c r="AB10" s="33" t="n">
        <f aca="false">IF(W10="","",W10-N(X10)-N(Y10)-N(Z10)-N(AA10))</f>
        <v>0</v>
      </c>
      <c r="AC10" s="38" t="n">
        <f aca="false">IF(OR(W10="",N(W10)=0,X10=""),"",X10/W10)</f>
        <v>0.963593097542307</v>
      </c>
      <c r="AD10" s="38" t="n">
        <f aca="false">IF(OR(W10="",N(W10)=0,Y10=""),"",Y10/W10)</f>
        <v>0</v>
      </c>
      <c r="AE10" s="38" t="n">
        <f aca="false">IF(OR(W10="",N(W10)=0,Z10=""),"",Z10/W10)</f>
        <v>0.0364069024576933</v>
      </c>
      <c r="AF10" s="38" t="n">
        <f aca="false">IF(OR(W10="",N(W10)=0,AA10=""),"",AA10/W10)</f>
        <v>0</v>
      </c>
      <c r="AG10" s="38" t="n">
        <f aca="false">IF(OR(W10="",N(W10)=0,AB10=""),"",AB10/W10)</f>
        <v>0</v>
      </c>
      <c r="AH10" s="33" t="n">
        <f aca="false">N(J10)+N(K10)+N(L10)+N(M10)+N(R10)+N(G10)</f>
        <v>147.155</v>
      </c>
      <c r="AI10" s="23" t="n">
        <f aca="false">IF(N(AH10)=0,"",(N(J10)+N(K10)+N(L10)+N(M10))/AH10)</f>
        <v>0.57913084842513</v>
      </c>
      <c r="AJ10" s="23" t="n">
        <f aca="false">IF(N(AH10)=0,"",(N(R10))/AH10)</f>
        <v>0.42086915157487</v>
      </c>
      <c r="AK10" s="23" t="n">
        <f aca="false">IF(N(AH10)=0,"",(N(G10))/AH10)</f>
        <v>0</v>
      </c>
      <c r="AL10" s="33" t="n">
        <f aca="false">N(J10)+N(K10)+N(L10)+N(M10)+IF(AND(H10&lt;&gt;"",F10&lt;&gt;""),MAX(0,H10-F10),N(G10))+N(P10)+N(R10)</f>
        <v>147.155</v>
      </c>
      <c r="AM10" s="38" t="n">
        <f aca="false">IF(OR(W10="",N(W10)=0),"",AL10/W10)</f>
        <v>1.11520768758573</v>
      </c>
      <c r="AN10" s="38" t="n">
        <f aca="false">IF(OR(W10="",N(W10)=0,E10=""),"",E10/W10)</f>
        <v>0.963593097542307</v>
      </c>
      <c r="AO10" s="23" t="n">
        <f aca="false">IF(OR(W10="",N(W10)=0),"",(N(J10)+N(K10)+N(L10)+N(M10))/W10)</f>
        <v>0.645851174281752</v>
      </c>
      <c r="AP10" s="23" t="n">
        <f aca="false">IF(OR(W10="",N(W10)=0),"",N(R10)/W10)</f>
        <v>0.469356513303979</v>
      </c>
      <c r="AQ10" s="23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2084</v>
      </c>
      <c r="B11" s="0" t="s">
        <v>741</v>
      </c>
      <c r="C11" s="0" t="n">
        <v>2024</v>
      </c>
      <c r="D11" s="0" t="s">
        <v>2081</v>
      </c>
      <c r="E11" s="33" t="str">
        <f aca="false">IF((COUNTIFS(FundRaw!$C$4:$C$281,"amzn",FundRaw!$E$4:$E$281,"2024",FundRaw!$F$4:$F$281,"ocf",FundRaw!$O$4:$O$281,1))=0,"",SUMIFS(FundRaw!$G$4:$G$281,FundRaw!$C$4:$C$281,"amzn",FundRaw!$E$4:$E$281,"2024",FundRaw!$F$4:$F$281,"ocf",FundRaw!$O$4:$O$281,1))</f>
        <v/>
      </c>
      <c r="F11" s="33" t="str">
        <f aca="false">IF((COUNTIFS(FundRaw!$C$4:$C$281,"amzn",FundRaw!$E$4:$E$281,"2024",FundRaw!$F$4:$F$281,"capex_cash",FundRaw!$O$4:$O$281,1))=0,"",SUMIFS(FundRaw!$G$4:$G$281,FundRaw!$C$4:$C$281,"amzn",FundRaw!$E$4:$E$281,"2024",FundRaw!$F$4:$F$281,"capex_cash",FundRaw!$O$4:$O$281,1))</f>
        <v/>
      </c>
      <c r="G11" s="33" t="str">
        <f aca="false">IF((COUNTIFS(FundRaw!$C$4:$C$281,"amzn",FundRaw!$E$4:$E$281,"2024",FundRaw!$F$4:$F$281,"fin_lease_new",FundRaw!$O$4:$O$281,1))=0,"",SUMIFS(FundRaw!$G$4:$G$281,FundRaw!$C$4:$C$281,"amzn",FundRaw!$E$4:$E$281,"2024",FundRaw!$F$4:$F$281,"fin_lease_new",FundRaw!$O$4:$O$281,1))</f>
        <v/>
      </c>
      <c r="H11" s="33" t="str">
        <f aca="false">IF((COUNTIFS(FundRaw!$C$4:$C$281,"amzn",FundRaw!$E$4:$E$281,"2024",FundRaw!$F$4:$F$281,"capex_incl_fl",FundRaw!$O$4:$O$281,1))=0,"",SUMIFS(FundRaw!$G$4:$G$281,FundRaw!$C$4:$C$281,"amzn",FundRaw!$E$4:$E$281,"2024",FundRaw!$F$4:$F$281,"capex_incl_fl",FundRaw!$O$4:$O$281,1))</f>
        <v/>
      </c>
      <c r="I11" s="33" t="str">
        <f aca="false">IF((COUNTIFS(FundRaw!$C$4:$C$281,"amzn",FundRaw!$E$4:$E$281,"2024",FundRaw!$F$4:$F$281,"fcf",FundRaw!$O$4:$O$281,1))=0,"",SUMIFS(FundRaw!$G$4:$G$281,FundRaw!$C$4:$C$281,"amzn",FundRaw!$E$4:$E$281,"2024",FundRaw!$F$4:$F$281,"fcf",FundRaw!$O$4:$O$281,1))</f>
        <v/>
      </c>
      <c r="J11" s="33" t="str">
        <f aca="false">IF((COUNTIFS(FundRaw!$C$4:$C$281,"amzn",FundRaw!$E$4:$E$281,"2024",FundRaw!$F$4:$F$281,"bond_issue",FundRaw!$O$4:$O$281,1))=0,"",SUMIFS(FundRaw!$G$4:$G$281,FundRaw!$C$4:$C$281,"amzn",FundRaw!$E$4:$E$281,"2024",FundRaw!$F$4:$F$281,"bond_issue",FundRaw!$O$4:$O$281,1))</f>
        <v/>
      </c>
      <c r="K11" s="33" t="str">
        <f aca="false">IF((COUNTIFS(FundRaw!$C$4:$C$281,"amzn",FundRaw!$E$4:$E$281,"2024",FundRaw!$F$4:$F$281,"term_loan",FundRaw!$O$4:$O$281,1))=0,"",SUMIFS(FundRaw!$G$4:$G$281,FundRaw!$C$4:$C$281,"amzn",FundRaw!$E$4:$E$281,"2024",FundRaw!$F$4:$F$281,"term_loan",FundRaw!$O$4:$O$281,1))</f>
        <v/>
      </c>
      <c r="L11" s="33" t="str">
        <f aca="false">IF((COUNTIFS(FundRaw!$C$4:$C$281,"amzn",FundRaw!$E$4:$E$281,"2024",FundRaw!$F$4:$F$281,"gpu_debt",FundRaw!$O$4:$O$281,1))=0,"",SUMIFS(FundRaw!$G$4:$G$281,FundRaw!$C$4:$C$281,"amzn",FundRaw!$E$4:$E$281,"2024",FundRaw!$F$4:$F$281,"gpu_debt",FundRaw!$O$4:$O$281,1))</f>
        <v/>
      </c>
      <c r="M11" s="33" t="str">
        <f aca="false">IF((COUNTIFS(FundRaw!$C$4:$C$281,"amzn",FundRaw!$E$4:$E$281,"2024",FundRaw!$F$4:$F$281,"private_credit",FundRaw!$O$4:$O$281,1))=0,"",SUMIFS(FundRaw!$G$4:$G$281,FundRaw!$C$4:$C$281,"amzn",FundRaw!$E$4:$E$281,"2024",FundRaw!$F$4:$F$281,"private_credit",FundRaw!$O$4:$O$281,1))</f>
        <v/>
      </c>
      <c r="N11" s="33" t="str">
        <f aca="false">IF((COUNTIFS(FundRaw!$C$4:$C$281,"amzn",FundRaw!$E$4:$E$281,"2024",FundRaw!$F$4:$F$281,"net_debt_change",FundRaw!$O$4:$O$281,1))=0,"",SUMIFS(FundRaw!$G$4:$G$281,FundRaw!$C$4:$C$281,"amzn",FundRaw!$E$4:$E$281,"2024",FundRaw!$F$4:$F$281,"net_debt_change",FundRaw!$O$4:$O$281,1))</f>
        <v/>
      </c>
      <c r="O11" s="33" t="str">
        <f aca="false">IF((COUNTIFS(FundRaw!$C$4:$C$281,"amzn",FundRaw!$E$4:$E$281,"2024",FundRaw!$F$4:$F$281,"lease_not_commenced",FundRaw!$O$4:$O$281,1))=0,"",SUMIFS(FundRaw!$G$4:$G$281,FundRaw!$C$4:$C$281,"amzn",FundRaw!$E$4:$E$281,"2024",FundRaw!$F$4:$F$281,"lease_not_commenced",FundRaw!$O$4:$O$281,1))</f>
        <v/>
      </c>
      <c r="P11" s="33" t="str">
        <f aca="false">IF((COUNTIFS(FundRaw!$C$4:$C$281,"amzn",FundRaw!$E$4:$E$281,"2024",FundRaw!$F$4:$F$281,"jv_offbalance",FundRaw!$O$4:$O$281,1))=0,"",SUMIFS(FundRaw!$G$4:$G$281,FundRaw!$C$4:$C$281,"amzn",FundRaw!$E$4:$E$281,"2024",FundRaw!$F$4:$F$281,"jv_offbalance",FundRaw!$O$4:$O$281,1))</f>
        <v/>
      </c>
      <c r="Q11" s="33" t="str">
        <f aca="false">IF((COUNTIFS(FundRaw!$C$4:$C$281,"amzn",FundRaw!$E$4:$E$281,"2024",FundRaw!$F$4:$F$281,"jv_exposure",FundRaw!$O$4:$O$281,1))=0,"",SUMIFS(FundRaw!$G$4:$G$281,FundRaw!$C$4:$C$281,"amzn",FundRaw!$E$4:$E$281,"2024",FundRaw!$F$4:$F$281,"jv_exposure",FundRaw!$O$4:$O$281,1))</f>
        <v/>
      </c>
      <c r="R11" s="33" t="str">
        <f aca="false">IF((COUNTIFS(FundRaw!$C$4:$C$281,"amzn",FundRaw!$E$4:$E$281,"2024",FundRaw!$F$4:$F$281,"equity_round",FundRaw!$O$4:$O$281,1))=0,"",SUMIFS(FundRaw!$G$4:$G$281,FundRaw!$C$4:$C$281,"amzn",FundRaw!$E$4:$E$281,"2024",FundRaw!$F$4:$F$281,"equity_round",FundRaw!$O$4:$O$281,1))</f>
        <v/>
      </c>
      <c r="S11" s="33" t="str">
        <f aca="false">IF((COUNTIFS(FundRaw!$C$4:$C$281,"amzn",FundRaw!$E$4:$E$281,"2024",FundRaw!$F$4:$F$281,"vendor_financing",FundRaw!$O$4:$O$281,1))=0,"",SUMIFS(FundRaw!$G$4:$G$281,FundRaw!$C$4:$C$281,"amzn",FundRaw!$E$4:$E$281,"2024",FundRaw!$F$4:$F$281,"vendor_financing",FundRaw!$O$4:$O$281,1))</f>
        <v/>
      </c>
      <c r="T11" s="33" t="str">
        <f aca="false">IF((COUNTIFS(FundRaw!$C$4:$C$281,"amzn",FundRaw!$E$4:$E$281,"2024",FundRaw!$F$4:$F$281,"buyback_div",FundRaw!$O$4:$O$281,1))=0,"",SUMIFS(FundRaw!$G$4:$G$281,FundRaw!$C$4:$C$281,"amzn",FundRaw!$E$4:$E$281,"2024",FundRaw!$F$4:$F$281,"buyback_div",FundRaw!$O$4:$O$281,1))</f>
        <v/>
      </c>
      <c r="U11" s="33" t="str">
        <f aca="false">IF((COUNTIFS(FundRaw!$C$4:$C$281,"amzn",FundRaw!$E$4:$E$281,"2024",FundRaw!$F$4:$F$281,"gpu_debt_talks",FundRaw!$O$4:$O$281,1))=0,"",SUMIFS(FundRaw!$G$4:$G$281,FundRaw!$C$4:$C$281,"amzn",FundRaw!$E$4:$E$281,"2024",FundRaw!$F$4:$F$281,"gpu_debt_talks",FundRaw!$O$4:$O$281,1))</f>
        <v/>
      </c>
      <c r="V11" s="33" t="str">
        <f aca="false">IF((COUNTIFS(FundRaw!$C$4:$C$281,"amzn",FundRaw!$E$4:$E$281,"2024",FundRaw!$F$4:$F$281,"bridge_refi",FundRaw!$O$4:$O$281,1))=0,"",SUMIFS(FundRaw!$G$4:$G$281,FundRaw!$C$4:$C$281,"amzn",FundRaw!$E$4:$E$281,"2024",FundRaw!$F$4:$F$281,"bridge_refi",FundRaw!$O$4:$O$281,1))</f>
        <v/>
      </c>
      <c r="W11" s="33" t="str">
        <f aca="false">IF(H11&lt;&gt;"",H11,IF(F11&lt;&gt;"",F11+N(G11),""))</f>
        <v/>
      </c>
      <c r="X11" s="33" t="str">
        <f aca="false">IF(OR(W11="",E11=""),"",MAX(0,MIN(N(E11),W11-N(Y11))))</f>
        <v/>
      </c>
      <c r="Y11" s="33" t="str">
        <f aca="false">IF(W11="","",IF(AND(H11&lt;&gt;"",F11&lt;&gt;""),MAX(0,H11-F11),N(G11)))</f>
        <v/>
      </c>
      <c r="Z11" s="33" t="str">
        <f aca="false">IF(W11="","",MAX(0,MIN(N(R11),W11-N(X11)-N(Y11))))</f>
        <v/>
      </c>
      <c r="AA11" s="33" t="str">
        <f aca="false">IF(W11="","",MAX(0,MIN(N(J11)+N(K11)+N(L11)+N(M11),W11-N(X11)-N(Y11)-N(Z11))))</f>
        <v/>
      </c>
      <c r="AB11" s="33" t="str">
        <f aca="false">IF(W11="","",W11-N(X11)-N(Y11)-N(Z11)-N(AA11))</f>
        <v/>
      </c>
      <c r="AC11" s="38" t="str">
        <f aca="false">IF(OR(W11="",N(W11)=0,X11=""),"",X11/W11)</f>
        <v/>
      </c>
      <c r="AD11" s="38" t="str">
        <f aca="false">IF(OR(W11="",N(W11)=0,Y11=""),"",Y11/W11)</f>
        <v/>
      </c>
      <c r="AE11" s="38" t="str">
        <f aca="false">IF(OR(W11="",N(W11)=0,Z11=""),"",Z11/W11)</f>
        <v/>
      </c>
      <c r="AF11" s="38" t="str">
        <f aca="false">IF(OR(W11="",N(W11)=0,AA11=""),"",AA11/W11)</f>
        <v/>
      </c>
      <c r="AG11" s="38" t="str">
        <f aca="false">IF(OR(W11="",N(W11)=0,AB11=""),"",AB11/W11)</f>
        <v/>
      </c>
      <c r="AH11" s="33" t="n">
        <f aca="false">N(J11)+N(K11)+N(L11)+N(M11)+N(R11)+N(G11)</f>
        <v>0</v>
      </c>
      <c r="AI11" s="23" t="str">
        <f aca="false">IF(N(AH11)=0,"",(N(J11)+N(K11)+N(L11)+N(M11))/AH11)</f>
        <v/>
      </c>
      <c r="AJ11" s="23" t="str">
        <f aca="false">IF(N(AH11)=0,"",(N(R11))/AH11)</f>
        <v/>
      </c>
      <c r="AK11" s="23" t="str">
        <f aca="false">IF(N(AH11)=0,"",(N(G11))/AH11)</f>
        <v/>
      </c>
      <c r="AL11" s="33" t="n">
        <f aca="false">N(J11)+N(K11)+N(L11)+N(M11)+IF(AND(H11&lt;&gt;"",F11&lt;&gt;""),MAX(0,H11-F11),N(G11))+N(P11)+N(R11)</f>
        <v>0</v>
      </c>
      <c r="AM11" s="38" t="str">
        <f aca="false">IF(OR(W11="",N(W11)=0),"",AL11/W11)</f>
        <v/>
      </c>
      <c r="AN11" s="38" t="str">
        <f aca="false">IF(OR(W11="",N(W11)=0,E11=""),"",E11/W11)</f>
        <v/>
      </c>
      <c r="AO11" s="23" t="str">
        <f aca="false">IF(OR(W11="",N(W11)=0),"",(N(J11)+N(K11)+N(L11)+N(M11))/W11)</f>
        <v/>
      </c>
      <c r="AP11" s="23" t="str">
        <f aca="false">IF(OR(W11="",N(W11)=0),"",N(R11)/W11)</f>
        <v/>
      </c>
      <c r="AQ11" s="23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2084</v>
      </c>
      <c r="B12" s="0" t="s">
        <v>741</v>
      </c>
      <c r="C12" s="0" t="n">
        <v>2025</v>
      </c>
      <c r="D12" s="0" t="s">
        <v>2082</v>
      </c>
      <c r="E12" s="33" t="n">
        <f aca="false">IF((COUNTIFS(FundRaw!$C$4:$C$281,"amzn",FundRaw!$E$4:$E$281,"2025",FundRaw!$F$4:$F$281,"ocf",FundRaw!$O$4:$O$281,1))=0,"",SUMIFS(FundRaw!$G$4:$G$281,FundRaw!$C$4:$C$281,"amzn",FundRaw!$E$4:$E$281,"2025",FundRaw!$F$4:$F$281,"ocf",FundRaw!$O$4:$O$281,1))</f>
        <v>139.514</v>
      </c>
      <c r="F12" s="33" t="n">
        <f aca="false">IF((COUNTIFS(FundRaw!$C$4:$C$281,"amzn",FundRaw!$E$4:$E$281,"2025",FundRaw!$F$4:$F$281,"capex_cash",FundRaw!$O$4:$O$281,1))=0,"",SUMIFS(FundRaw!$G$4:$G$281,FundRaw!$C$4:$C$281,"amzn",FundRaw!$E$4:$E$281,"2025",FundRaw!$F$4:$F$281,"capex_cash",FundRaw!$O$4:$O$281,1))</f>
        <v>128.32</v>
      </c>
      <c r="G12" s="33" t="str">
        <f aca="false">IF((COUNTIFS(FundRaw!$C$4:$C$281,"amzn",FundRaw!$E$4:$E$281,"2025",FundRaw!$F$4:$F$281,"fin_lease_new",FundRaw!$O$4:$O$281,1))=0,"",SUMIFS(FundRaw!$G$4:$G$281,FundRaw!$C$4:$C$281,"amzn",FundRaw!$E$4:$E$281,"2025",FundRaw!$F$4:$F$281,"fin_lease_new",FundRaw!$O$4:$O$281,1))</f>
        <v/>
      </c>
      <c r="H12" s="33" t="n">
        <f aca="false">IF((COUNTIFS(FundRaw!$C$4:$C$281,"amzn",FundRaw!$E$4:$E$281,"2025",FundRaw!$F$4:$F$281,"capex_incl_fl",FundRaw!$O$4:$O$281,1))=0,"",SUMIFS(FundRaw!$G$4:$G$281,FundRaw!$C$4:$C$281,"amzn",FundRaw!$E$4:$E$281,"2025",FundRaw!$F$4:$F$281,"capex_incl_fl",FundRaw!$O$4:$O$281,1))</f>
        <v>131.231</v>
      </c>
      <c r="I12" s="33" t="n">
        <f aca="false">IF((COUNTIFS(FundRaw!$C$4:$C$281,"amzn",FundRaw!$E$4:$E$281,"2025",FundRaw!$F$4:$F$281,"fcf",FundRaw!$O$4:$O$281,1))=0,"",SUMIFS(FundRaw!$G$4:$G$281,FundRaw!$C$4:$C$281,"amzn",FundRaw!$E$4:$E$281,"2025",FundRaw!$F$4:$F$281,"fcf",FundRaw!$O$4:$O$281,1))</f>
        <v>11.194</v>
      </c>
      <c r="J12" s="33" t="n">
        <f aca="false">IF((COUNTIFS(FundRaw!$C$4:$C$281,"amzn",FundRaw!$E$4:$E$281,"2025",FundRaw!$F$4:$F$281,"bond_issue",FundRaw!$O$4:$O$281,1))=0,"",SUMIFS(FundRaw!$G$4:$G$281,FundRaw!$C$4:$C$281,"amzn",FundRaw!$E$4:$E$281,"2025",FundRaw!$F$4:$F$281,"bond_issue",FundRaw!$O$4:$O$281,1))</f>
        <v>15</v>
      </c>
      <c r="K12" s="33" t="str">
        <f aca="false">IF((COUNTIFS(FundRaw!$C$4:$C$281,"amzn",FundRaw!$E$4:$E$281,"2025",FundRaw!$F$4:$F$281,"term_loan",FundRaw!$O$4:$O$281,1))=0,"",SUMIFS(FundRaw!$G$4:$G$281,FundRaw!$C$4:$C$281,"amzn",FundRaw!$E$4:$E$281,"2025",FundRaw!$F$4:$F$281,"term_loan",FundRaw!$O$4:$O$281,1))</f>
        <v/>
      </c>
      <c r="L12" s="33" t="str">
        <f aca="false">IF((COUNTIFS(FundRaw!$C$4:$C$281,"amzn",FundRaw!$E$4:$E$281,"2025",FundRaw!$F$4:$F$281,"gpu_debt",FundRaw!$O$4:$O$281,1))=0,"",SUMIFS(FundRaw!$G$4:$G$281,FundRaw!$C$4:$C$281,"amzn",FundRaw!$E$4:$E$281,"2025",FundRaw!$F$4:$F$281,"gpu_debt",FundRaw!$O$4:$O$281,1))</f>
        <v/>
      </c>
      <c r="M12" s="33" t="str">
        <f aca="false">IF((COUNTIFS(FundRaw!$C$4:$C$281,"amzn",FundRaw!$E$4:$E$281,"2025",FundRaw!$F$4:$F$281,"private_credit",FundRaw!$O$4:$O$281,1))=0,"",SUMIFS(FundRaw!$G$4:$G$281,FundRaw!$C$4:$C$281,"amzn",FundRaw!$E$4:$E$281,"2025",FundRaw!$F$4:$F$281,"private_credit",FundRaw!$O$4:$O$281,1))</f>
        <v/>
      </c>
      <c r="N12" s="33" t="str">
        <f aca="false">IF((COUNTIFS(FundRaw!$C$4:$C$281,"amzn",FundRaw!$E$4:$E$281,"2025",FundRaw!$F$4:$F$281,"net_debt_change",FundRaw!$O$4:$O$281,1))=0,"",SUMIFS(FundRaw!$G$4:$G$281,FundRaw!$C$4:$C$281,"amzn",FundRaw!$E$4:$E$281,"2025",FundRaw!$F$4:$F$281,"net_debt_change",FundRaw!$O$4:$O$281,1))</f>
        <v/>
      </c>
      <c r="O12" s="33" t="n">
        <f aca="false">IF((COUNTIFS(FundRaw!$C$4:$C$281,"amzn",FundRaw!$E$4:$E$281,"2025",FundRaw!$F$4:$F$281,"lease_not_commenced",FundRaw!$O$4:$O$281,1))=0,"",SUMIFS(FundRaw!$G$4:$G$281,FundRaw!$C$4:$C$281,"amzn",FundRaw!$E$4:$E$281,"2025",FundRaw!$F$4:$F$281,"lease_not_commenced",FundRaw!$O$4:$O$281,1))</f>
        <v>96.4</v>
      </c>
      <c r="P12" s="33" t="str">
        <f aca="false">IF((COUNTIFS(FundRaw!$C$4:$C$281,"amzn",FundRaw!$E$4:$E$281,"2025",FundRaw!$F$4:$F$281,"jv_offbalance",FundRaw!$O$4:$O$281,1))=0,"",SUMIFS(FundRaw!$G$4:$G$281,FundRaw!$C$4:$C$281,"amzn",FundRaw!$E$4:$E$281,"2025",FundRaw!$F$4:$F$281,"jv_offbalance",FundRaw!$O$4:$O$281,1))</f>
        <v/>
      </c>
      <c r="Q12" s="33" t="str">
        <f aca="false">IF((COUNTIFS(FundRaw!$C$4:$C$281,"amzn",FundRaw!$E$4:$E$281,"2025",FundRaw!$F$4:$F$281,"jv_exposure",FundRaw!$O$4:$O$281,1))=0,"",SUMIFS(FundRaw!$G$4:$G$281,FundRaw!$C$4:$C$281,"amzn",FundRaw!$E$4:$E$281,"2025",FundRaw!$F$4:$F$281,"jv_exposure",FundRaw!$O$4:$O$281,1))</f>
        <v/>
      </c>
      <c r="R12" s="33" t="str">
        <f aca="false">IF((COUNTIFS(FundRaw!$C$4:$C$281,"amzn",FundRaw!$E$4:$E$281,"2025",FundRaw!$F$4:$F$281,"equity_round",FundRaw!$O$4:$O$281,1))=0,"",SUMIFS(FundRaw!$G$4:$G$281,FundRaw!$C$4:$C$281,"amzn",FundRaw!$E$4:$E$281,"2025",FundRaw!$F$4:$F$281,"equity_round",FundRaw!$O$4:$O$281,1))</f>
        <v/>
      </c>
      <c r="S12" s="33" t="str">
        <f aca="false">IF((COUNTIFS(FundRaw!$C$4:$C$281,"amzn",FundRaw!$E$4:$E$281,"2025",FundRaw!$F$4:$F$281,"vendor_financing",FundRaw!$O$4:$O$281,1))=0,"",SUMIFS(FundRaw!$G$4:$G$281,FundRaw!$C$4:$C$281,"amzn",FundRaw!$E$4:$E$281,"2025",FundRaw!$F$4:$F$281,"vendor_financing",FundRaw!$O$4:$O$281,1))</f>
        <v/>
      </c>
      <c r="T12" s="33" t="n">
        <f aca="false">IF((COUNTIFS(FundRaw!$C$4:$C$281,"amzn",FundRaw!$E$4:$E$281,"2025",FundRaw!$F$4:$F$281,"buyback_div",FundRaw!$O$4:$O$281,1))=0,"",SUMIFS(FundRaw!$G$4:$G$281,FundRaw!$C$4:$C$281,"amzn",FundRaw!$E$4:$E$281,"2025",FundRaw!$F$4:$F$281,"buyback_div",FundRaw!$O$4:$O$281,1))</f>
        <v>0</v>
      </c>
      <c r="U12" s="33" t="str">
        <f aca="false">IF((COUNTIFS(FundRaw!$C$4:$C$281,"amzn",FundRaw!$E$4:$E$281,"2025",FundRaw!$F$4:$F$281,"gpu_debt_talks",FundRaw!$O$4:$O$281,1))=0,"",SUMIFS(FundRaw!$G$4:$G$281,FundRaw!$C$4:$C$281,"amzn",FundRaw!$E$4:$E$281,"2025",FundRaw!$F$4:$F$281,"gpu_debt_talks",FundRaw!$O$4:$O$281,1))</f>
        <v/>
      </c>
      <c r="V12" s="33" t="str">
        <f aca="false">IF((COUNTIFS(FundRaw!$C$4:$C$281,"amzn",FundRaw!$E$4:$E$281,"2025",FundRaw!$F$4:$F$281,"bridge_refi",FundRaw!$O$4:$O$281,1))=0,"",SUMIFS(FundRaw!$G$4:$G$281,FundRaw!$C$4:$C$281,"amzn",FundRaw!$E$4:$E$281,"2025",FundRaw!$F$4:$F$281,"bridge_refi",FundRaw!$O$4:$O$281,1))</f>
        <v/>
      </c>
      <c r="W12" s="33" t="n">
        <f aca="false">IF(H12&lt;&gt;"",H12,IF(F12&lt;&gt;"",F12+N(G12),""))</f>
        <v>131.231</v>
      </c>
      <c r="X12" s="33" t="n">
        <f aca="false">IF(OR(W12="",E12=""),"",MAX(0,MIN(N(E12),W12-N(Y12))))</f>
        <v>128.32</v>
      </c>
      <c r="Y12" s="33" t="n">
        <f aca="false">IF(W12="","",IF(AND(H12&lt;&gt;"",F12&lt;&gt;""),MAX(0,H12-F12),N(G12)))</f>
        <v>2.911</v>
      </c>
      <c r="Z12" s="33" t="n">
        <f aca="false">IF(W12="","",MAX(0,MIN(N(R12),W12-N(X12)-N(Y12))))</f>
        <v>0</v>
      </c>
      <c r="AA12" s="33" t="n">
        <f aca="false">IF(W12="","",MAX(0,MIN(N(J12)+N(K12)+N(L12)+N(M12),W12-N(X12)-N(Y12)-N(Z12))))</f>
        <v>0</v>
      </c>
      <c r="AB12" s="33" t="n">
        <f aca="false">IF(W12="","",W12-N(X12)-N(Y12)-N(Z12)-N(AA12))</f>
        <v>0</v>
      </c>
      <c r="AC12" s="38" t="n">
        <f aca="false">IF(OR(W12="",N(W12)=0,X12=""),"",X12/W12)</f>
        <v>0.977817741234922</v>
      </c>
      <c r="AD12" s="38" t="n">
        <f aca="false">IF(OR(W12="",N(W12)=0,Y12=""),"",Y12/W12)</f>
        <v>0.0221822587650784</v>
      </c>
      <c r="AE12" s="38" t="n">
        <f aca="false">IF(OR(W12="",N(W12)=0,Z12=""),"",Z12/W12)</f>
        <v>0</v>
      </c>
      <c r="AF12" s="38" t="n">
        <f aca="false">IF(OR(W12="",N(W12)=0,AA12=""),"",AA12/W12)</f>
        <v>0</v>
      </c>
      <c r="AG12" s="38" t="n">
        <f aca="false">IF(OR(W12="",N(W12)=0,AB12=""),"",AB12/W12)</f>
        <v>0</v>
      </c>
      <c r="AH12" s="33" t="n">
        <f aca="false">N(J12)+N(K12)+N(L12)+N(M12)+N(R12)+N(G12)</f>
        <v>15</v>
      </c>
      <c r="AI12" s="23" t="n">
        <f aca="false">IF(N(AH12)=0,"",(N(J12)+N(K12)+N(L12)+N(M12))/AH12)</f>
        <v>1</v>
      </c>
      <c r="AJ12" s="23" t="n">
        <f aca="false">IF(N(AH12)=0,"",(N(R12))/AH12)</f>
        <v>0</v>
      </c>
      <c r="AK12" s="23" t="n">
        <f aca="false">IF(N(AH12)=0,"",(N(G12))/AH12)</f>
        <v>0</v>
      </c>
      <c r="AL12" s="33" t="n">
        <f aca="false">N(J12)+N(K12)+N(L12)+N(M12)+IF(AND(H12&lt;&gt;"",F12&lt;&gt;""),MAX(0,H12-F12),N(G12))+N(P12)+N(R12)</f>
        <v>17.911</v>
      </c>
      <c r="AM12" s="38" t="n">
        <f aca="false">IF(OR(W12="",N(W12)=0),"",AL12/W12)</f>
        <v>0.136484519663799</v>
      </c>
      <c r="AN12" s="38" t="n">
        <f aca="false">IF(OR(W12="",N(W12)=0,E12=""),"",E12/W12)</f>
        <v>1.06311770846827</v>
      </c>
      <c r="AO12" s="23" t="n">
        <f aca="false">IF(OR(W12="",N(W12)=0),"",(N(J12)+N(K12)+N(L12)+N(M12))/W12)</f>
        <v>0.114302260898721</v>
      </c>
      <c r="AP12" s="23" t="n">
        <f aca="false">IF(OR(W12="",N(W12)=0),"",N(R12)/W12)</f>
        <v>0</v>
      </c>
      <c r="AQ12" s="23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2084</v>
      </c>
      <c r="B13" s="0" t="s">
        <v>741</v>
      </c>
      <c r="C13" s="0" t="n">
        <v>2026</v>
      </c>
      <c r="D13" s="0" t="s">
        <v>2083</v>
      </c>
      <c r="E13" s="33" t="n">
        <f aca="false">IF((COUNTIFS(FundRaw!$C$4:$C$281,"amzn",FundRaw!$E$4:$E$281,"2026",FundRaw!$F$4:$F$281,"ocf",FundRaw!$O$4:$O$281,1))=0,"",SUMIFS(FundRaw!$G$4:$G$281,FundRaw!$C$4:$C$281,"amzn",FundRaw!$E$4:$E$281,"2026",FundRaw!$F$4:$F$281,"ocf",FundRaw!$O$4:$O$281,1))</f>
        <v>113.841</v>
      </c>
      <c r="F13" s="33" t="n">
        <f aca="false">IF((COUNTIFS(FundRaw!$C$4:$C$281,"amzn",FundRaw!$E$4:$E$281,"2026",FundRaw!$F$4:$F$281,"capex_cash",FundRaw!$O$4:$O$281,1))=0,"",SUMIFS(FundRaw!$G$4:$G$281,FundRaw!$C$4:$C$281,"amzn",FundRaw!$E$4:$E$281,"2026",FundRaw!$F$4:$F$281,"capex_cash",FundRaw!$O$4:$O$281,1))</f>
        <v>172.188</v>
      </c>
      <c r="G13" s="33" t="n">
        <f aca="false">IF((COUNTIFS(FundRaw!$C$4:$C$281,"amzn",FundRaw!$E$4:$E$281,"2026",FundRaw!$F$4:$F$281,"fin_lease_new",FundRaw!$O$4:$O$281,1))=0,"",SUMIFS(FundRaw!$G$4:$G$281,FundRaw!$C$4:$C$281,"amzn",FundRaw!$E$4:$E$281,"2026",FundRaw!$F$4:$F$281,"fin_lease_new",FundRaw!$O$4:$O$281,1))</f>
        <v>3.6</v>
      </c>
      <c r="H13" s="33" t="n">
        <f aca="false">IF((COUNTIFS(FundRaw!$C$4:$C$281,"amzn",FundRaw!$E$4:$E$281,"2026",FundRaw!$F$4:$F$281,"capex_incl_fl",FundRaw!$O$4:$O$281,1))=0,"",SUMIFS(FundRaw!$G$4:$G$281,FundRaw!$C$4:$C$281,"amzn",FundRaw!$E$4:$E$281,"2026",FundRaw!$F$4:$F$281,"capex_incl_fl",FundRaw!$O$4:$O$281,1))</f>
        <v>175.788</v>
      </c>
      <c r="I13" s="33" t="n">
        <f aca="false">IF((COUNTIFS(FundRaw!$C$4:$C$281,"amzn",FundRaw!$E$4:$E$281,"2026",FundRaw!$F$4:$F$281,"fcf",FundRaw!$O$4:$O$281,1))=0,"",SUMIFS(FundRaw!$G$4:$G$281,FundRaw!$C$4:$C$281,"amzn",FundRaw!$E$4:$E$281,"2026",FundRaw!$F$4:$F$281,"fcf",FundRaw!$O$4:$O$281,1))</f>
        <v>-58.347</v>
      </c>
      <c r="J13" s="33" t="n">
        <f aca="false">IF((COUNTIFS(FundRaw!$C$4:$C$281,"amzn",FundRaw!$E$4:$E$281,"2026",FundRaw!$F$4:$F$281,"bond_issue",FundRaw!$O$4:$O$281,1))=0,"",SUMIFS(FundRaw!$G$4:$G$281,FundRaw!$C$4:$C$281,"amzn",FundRaw!$E$4:$E$281,"2026",FundRaw!$F$4:$F$281,"bond_issue",FundRaw!$O$4:$O$281,1))</f>
        <v>115.1</v>
      </c>
      <c r="K13" s="33" t="str">
        <f aca="false">IF((COUNTIFS(FundRaw!$C$4:$C$281,"amzn",FundRaw!$E$4:$E$281,"2026",FundRaw!$F$4:$F$281,"term_loan",FundRaw!$O$4:$O$281,1))=0,"",SUMIFS(FundRaw!$G$4:$G$281,FundRaw!$C$4:$C$281,"amzn",FundRaw!$E$4:$E$281,"2026",FundRaw!$F$4:$F$281,"term_loan",FundRaw!$O$4:$O$281,1))</f>
        <v/>
      </c>
      <c r="L13" s="33" t="str">
        <f aca="false">IF((COUNTIFS(FundRaw!$C$4:$C$281,"amzn",FundRaw!$E$4:$E$281,"2026",FundRaw!$F$4:$F$281,"gpu_debt",FundRaw!$O$4:$O$281,1))=0,"",SUMIFS(FundRaw!$G$4:$G$281,FundRaw!$C$4:$C$281,"amzn",FundRaw!$E$4:$E$281,"2026",FundRaw!$F$4:$F$281,"gpu_debt",FundRaw!$O$4:$O$281,1))</f>
        <v/>
      </c>
      <c r="M13" s="33" t="str">
        <f aca="false">IF((COUNTIFS(FundRaw!$C$4:$C$281,"amzn",FundRaw!$E$4:$E$281,"2026",FundRaw!$F$4:$F$281,"private_credit",FundRaw!$O$4:$O$281,1))=0,"",SUMIFS(FundRaw!$G$4:$G$281,FundRaw!$C$4:$C$281,"amzn",FundRaw!$E$4:$E$281,"2026",FundRaw!$F$4:$F$281,"private_credit",FundRaw!$O$4:$O$281,1))</f>
        <v/>
      </c>
      <c r="N13" s="33" t="n">
        <f aca="false">IF((COUNTIFS(FundRaw!$C$4:$C$281,"amzn",FundRaw!$E$4:$E$281,"2026",FundRaw!$F$4:$F$281,"net_debt_change",FundRaw!$O$4:$O$281,1))=0,"",SUMIFS(FundRaw!$G$4:$G$281,FundRaw!$C$4:$C$281,"amzn",FundRaw!$E$4:$E$281,"2026",FundRaw!$F$4:$F$281,"net_debt_change",FundRaw!$O$4:$O$281,1))</f>
        <v>112.051</v>
      </c>
      <c r="O13" s="33" t="n">
        <f aca="false">IF((COUNTIFS(FundRaw!$C$4:$C$281,"amzn",FundRaw!$E$4:$E$281,"2026",FundRaw!$F$4:$F$281,"lease_not_commenced",FundRaw!$O$4:$O$281,1))=0,"",SUMIFS(FundRaw!$G$4:$G$281,FundRaw!$C$4:$C$281,"amzn",FundRaw!$E$4:$E$281,"2026",FundRaw!$F$4:$F$281,"lease_not_commenced",FundRaw!$O$4:$O$281,1))</f>
        <v>164.922</v>
      </c>
      <c r="P13" s="33" t="str">
        <f aca="false">IF((COUNTIFS(FundRaw!$C$4:$C$281,"amzn",FundRaw!$E$4:$E$281,"2026",FundRaw!$F$4:$F$281,"jv_offbalance",FundRaw!$O$4:$O$281,1))=0,"",SUMIFS(FundRaw!$G$4:$G$281,FundRaw!$C$4:$C$281,"amzn",FundRaw!$E$4:$E$281,"2026",FundRaw!$F$4:$F$281,"jv_offbalance",FundRaw!$O$4:$O$281,1))</f>
        <v/>
      </c>
      <c r="Q13" s="33" t="str">
        <f aca="false">IF((COUNTIFS(FundRaw!$C$4:$C$281,"amzn",FundRaw!$E$4:$E$281,"2026",FundRaw!$F$4:$F$281,"jv_exposure",FundRaw!$O$4:$O$281,1))=0,"",SUMIFS(FundRaw!$G$4:$G$281,FundRaw!$C$4:$C$281,"amzn",FundRaw!$E$4:$E$281,"2026",FundRaw!$F$4:$F$281,"jv_exposure",FundRaw!$O$4:$O$281,1))</f>
        <v/>
      </c>
      <c r="R13" s="33" t="str">
        <f aca="false">IF((COUNTIFS(FundRaw!$C$4:$C$281,"amzn",FundRaw!$E$4:$E$281,"2026",FundRaw!$F$4:$F$281,"equity_round",FundRaw!$O$4:$O$281,1))=0,"",SUMIFS(FundRaw!$G$4:$G$281,FundRaw!$C$4:$C$281,"amzn",FundRaw!$E$4:$E$281,"2026",FundRaw!$F$4:$F$281,"equity_round",FundRaw!$O$4:$O$281,1))</f>
        <v/>
      </c>
      <c r="S13" s="33" t="n">
        <f aca="false">IF((COUNTIFS(FundRaw!$C$4:$C$281,"amzn",FundRaw!$E$4:$E$281,"2026",FundRaw!$F$4:$F$281,"vendor_financing",FundRaw!$O$4:$O$281,1))=0,"",SUMIFS(FundRaw!$G$4:$G$281,FundRaw!$C$4:$C$281,"amzn",FundRaw!$E$4:$E$281,"2026",FundRaw!$F$4:$F$281,"vendor_financing",FundRaw!$O$4:$O$281,1))</f>
        <v>60</v>
      </c>
      <c r="T13" s="33" t="n">
        <f aca="false">IF((COUNTIFS(FundRaw!$C$4:$C$281,"amzn",FundRaw!$E$4:$E$281,"2026",FundRaw!$F$4:$F$281,"buyback_div",FundRaw!$O$4:$O$281,1))=0,"",SUMIFS(FundRaw!$G$4:$G$281,FundRaw!$C$4:$C$281,"amzn",FundRaw!$E$4:$E$281,"2026",FundRaw!$F$4:$F$281,"buyback_div",FundRaw!$O$4:$O$281,1))</f>
        <v>0</v>
      </c>
      <c r="U13" s="33" t="str">
        <f aca="false">IF((COUNTIFS(FundRaw!$C$4:$C$281,"amzn",FundRaw!$E$4:$E$281,"2026",FundRaw!$F$4:$F$281,"gpu_debt_talks",FundRaw!$O$4:$O$281,1))=0,"",SUMIFS(FundRaw!$G$4:$G$281,FundRaw!$C$4:$C$281,"amzn",FundRaw!$E$4:$E$281,"2026",FundRaw!$F$4:$F$281,"gpu_debt_talks",FundRaw!$O$4:$O$281,1))</f>
        <v/>
      </c>
      <c r="V13" s="33" t="str">
        <f aca="false">IF((COUNTIFS(FundRaw!$C$4:$C$281,"amzn",FundRaw!$E$4:$E$281,"2026",FundRaw!$F$4:$F$281,"bridge_refi",FundRaw!$O$4:$O$281,1))=0,"",SUMIFS(FundRaw!$G$4:$G$281,FundRaw!$C$4:$C$281,"amzn",FundRaw!$E$4:$E$281,"2026",FundRaw!$F$4:$F$281,"bridge_refi",FundRaw!$O$4:$O$281,1))</f>
        <v/>
      </c>
      <c r="W13" s="33" t="n">
        <f aca="false">IF(H13&lt;&gt;"",H13,IF(F13&lt;&gt;"",F13+N(G13),""))</f>
        <v>175.788</v>
      </c>
      <c r="X13" s="33" t="n">
        <f aca="false">IF(OR(W13="",E13=""),"",MAX(0,MIN(N(E13),W13-N(Y13))))</f>
        <v>113.841</v>
      </c>
      <c r="Y13" s="33" t="n">
        <f aca="false">IF(W13="","",IF(AND(H13&lt;&gt;"",F13&lt;&gt;""),MAX(0,H13-F13),N(G13)))</f>
        <v>3.60000000000002</v>
      </c>
      <c r="Z13" s="33" t="n">
        <f aca="false">IF(W13="","",MAX(0,MIN(N(R13),W13-N(X13)-N(Y13))))</f>
        <v>0</v>
      </c>
      <c r="AA13" s="33" t="n">
        <f aca="false">IF(W13="","",MAX(0,MIN(N(J13)+N(K13)+N(L13)+N(M13),W13-N(X13)-N(Y13)-N(Z13))))</f>
        <v>58.347</v>
      </c>
      <c r="AB13" s="33" t="n">
        <f aca="false">IF(W13="","",W13-N(X13)-N(Y13)-N(Z13)-N(AA13))</f>
        <v>0</v>
      </c>
      <c r="AC13" s="38" t="n">
        <f aca="false">IF(OR(W13="",N(W13)=0,X13=""),"",X13/W13)</f>
        <v>0.647603932009011</v>
      </c>
      <c r="AD13" s="38" t="n">
        <f aca="false">IF(OR(W13="",N(W13)=0,Y13=""),"",Y13/W13)</f>
        <v>0.020479213598198</v>
      </c>
      <c r="AE13" s="38" t="n">
        <f aca="false">IF(OR(W13="",N(W13)=0,Z13=""),"",Z13/W13)</f>
        <v>0</v>
      </c>
      <c r="AF13" s="38" t="n">
        <f aca="false">IF(OR(W13="",N(W13)=0,AA13=""),"",AA13/W13)</f>
        <v>0.331916854392791</v>
      </c>
      <c r="AG13" s="38" t="n">
        <f aca="false">IF(OR(W13="",N(W13)=0,AB13=""),"",AB13/W13)</f>
        <v>0</v>
      </c>
      <c r="AH13" s="33" t="n">
        <f aca="false">N(J13)+N(K13)+N(L13)+N(M13)+N(R13)+N(G13)</f>
        <v>118.7</v>
      </c>
      <c r="AI13" s="23" t="n">
        <f aca="false">IF(N(AH13)=0,"",(N(J13)+N(K13)+N(L13)+N(M13))/AH13)</f>
        <v>0.969671440606571</v>
      </c>
      <c r="AJ13" s="23" t="n">
        <f aca="false">IF(N(AH13)=0,"",(N(R13))/AH13)</f>
        <v>0</v>
      </c>
      <c r="AK13" s="23" t="n">
        <f aca="false">IF(N(AH13)=0,"",(N(G13))/AH13)</f>
        <v>0.0303285593934288</v>
      </c>
      <c r="AL13" s="33" t="n">
        <f aca="false">N(J13)+N(K13)+N(L13)+N(M13)+IF(AND(H13&lt;&gt;"",F13&lt;&gt;""),MAX(0,H13-F13),N(G13))+N(P13)+N(R13)</f>
        <v>118.7</v>
      </c>
      <c r="AM13" s="38" t="n">
        <f aca="false">IF(OR(W13="",N(W13)=0),"",AL13/W13)</f>
        <v>0.675245181696134</v>
      </c>
      <c r="AN13" s="38" t="n">
        <f aca="false">IF(OR(W13="",N(W13)=0,E13=""),"",E13/W13)</f>
        <v>0.647603932009011</v>
      </c>
      <c r="AO13" s="23" t="n">
        <f aca="false">IF(OR(W13="",N(W13)=0),"",(N(J13)+N(K13)+N(L13)+N(M13))/W13)</f>
        <v>0.654765968097936</v>
      </c>
      <c r="AP13" s="23" t="n">
        <f aca="false">IF(OR(W13="",N(W13)=0),"",N(R13)/W13)</f>
        <v>0</v>
      </c>
      <c r="AQ13" s="23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1429</v>
      </c>
      <c r="B14" s="0" t="s">
        <v>748</v>
      </c>
      <c r="C14" s="0" t="n">
        <v>2024</v>
      </c>
      <c r="D14" s="0" t="s">
        <v>2081</v>
      </c>
      <c r="E14" s="33" t="str">
        <f aca="false">IF((COUNTIFS(FundRaw!$C$4:$C$281,"meta",FundRaw!$E$4:$E$281,"2024",FundRaw!$F$4:$F$281,"ocf",FundRaw!$O$4:$O$281,1))=0,"",SUMIFS(FundRaw!$G$4:$G$281,FundRaw!$C$4:$C$281,"meta",FundRaw!$E$4:$E$281,"2024",FundRaw!$F$4:$F$281,"ocf",FundRaw!$O$4:$O$281,1))</f>
        <v/>
      </c>
      <c r="F14" s="33" t="str">
        <f aca="false">IF((COUNTIFS(FundRaw!$C$4:$C$281,"meta",FundRaw!$E$4:$E$281,"2024",FundRaw!$F$4:$F$281,"capex_cash",FundRaw!$O$4:$O$281,1))=0,"",SUMIFS(FundRaw!$G$4:$G$281,FundRaw!$C$4:$C$281,"meta",FundRaw!$E$4:$E$281,"2024",FundRaw!$F$4:$F$281,"capex_cash",FundRaw!$O$4:$O$281,1))</f>
        <v/>
      </c>
      <c r="G14" s="33" t="str">
        <f aca="false">IF((COUNTIFS(FundRaw!$C$4:$C$281,"meta",FundRaw!$E$4:$E$281,"2024",FundRaw!$F$4:$F$281,"fin_lease_new",FundRaw!$O$4:$O$281,1))=0,"",SUMIFS(FundRaw!$G$4:$G$281,FundRaw!$C$4:$C$281,"meta",FundRaw!$E$4:$E$281,"2024",FundRaw!$F$4:$F$281,"fin_lease_new",FundRaw!$O$4:$O$281,1))</f>
        <v/>
      </c>
      <c r="H14" s="33" t="str">
        <f aca="false">IF((COUNTIFS(FundRaw!$C$4:$C$281,"meta",FundRaw!$E$4:$E$281,"2024",FundRaw!$F$4:$F$281,"capex_incl_fl",FundRaw!$O$4:$O$281,1))=0,"",SUMIFS(FundRaw!$G$4:$G$281,FundRaw!$C$4:$C$281,"meta",FundRaw!$E$4:$E$281,"2024",FundRaw!$F$4:$F$281,"capex_incl_fl",FundRaw!$O$4:$O$281,1))</f>
        <v/>
      </c>
      <c r="I14" s="33" t="str">
        <f aca="false">IF((COUNTIFS(FundRaw!$C$4:$C$281,"meta",FundRaw!$E$4:$E$281,"2024",FundRaw!$F$4:$F$281,"fcf",FundRaw!$O$4:$O$281,1))=0,"",SUMIFS(FundRaw!$G$4:$G$281,FundRaw!$C$4:$C$281,"meta",FundRaw!$E$4:$E$281,"2024",FundRaw!$F$4:$F$281,"fcf",FundRaw!$O$4:$O$281,1))</f>
        <v/>
      </c>
      <c r="J14" s="33" t="str">
        <f aca="false">IF((COUNTIFS(FundRaw!$C$4:$C$281,"meta",FundRaw!$E$4:$E$281,"2024",FundRaw!$F$4:$F$281,"bond_issue",FundRaw!$O$4:$O$281,1))=0,"",SUMIFS(FundRaw!$G$4:$G$281,FundRaw!$C$4:$C$281,"meta",FundRaw!$E$4:$E$281,"2024",FundRaw!$F$4:$F$281,"bond_issue",FundRaw!$O$4:$O$281,1))</f>
        <v/>
      </c>
      <c r="K14" s="33" t="str">
        <f aca="false">IF((COUNTIFS(FundRaw!$C$4:$C$281,"meta",FundRaw!$E$4:$E$281,"2024",FundRaw!$F$4:$F$281,"term_loan",FundRaw!$O$4:$O$281,1))=0,"",SUMIFS(FundRaw!$G$4:$G$281,FundRaw!$C$4:$C$281,"meta",FundRaw!$E$4:$E$281,"2024",FundRaw!$F$4:$F$281,"term_loan",FundRaw!$O$4:$O$281,1))</f>
        <v/>
      </c>
      <c r="L14" s="33" t="str">
        <f aca="false">IF((COUNTIFS(FundRaw!$C$4:$C$281,"meta",FundRaw!$E$4:$E$281,"2024",FundRaw!$F$4:$F$281,"gpu_debt",FundRaw!$O$4:$O$281,1))=0,"",SUMIFS(FundRaw!$G$4:$G$281,FundRaw!$C$4:$C$281,"meta",FundRaw!$E$4:$E$281,"2024",FundRaw!$F$4:$F$281,"gpu_debt",FundRaw!$O$4:$O$281,1))</f>
        <v/>
      </c>
      <c r="M14" s="33" t="str">
        <f aca="false">IF((COUNTIFS(FundRaw!$C$4:$C$281,"meta",FundRaw!$E$4:$E$281,"2024",FundRaw!$F$4:$F$281,"private_credit",FundRaw!$O$4:$O$281,1))=0,"",SUMIFS(FundRaw!$G$4:$G$281,FundRaw!$C$4:$C$281,"meta",FundRaw!$E$4:$E$281,"2024",FundRaw!$F$4:$F$281,"private_credit",FundRaw!$O$4:$O$281,1))</f>
        <v/>
      </c>
      <c r="N14" s="33" t="str">
        <f aca="false">IF((COUNTIFS(FundRaw!$C$4:$C$281,"meta",FundRaw!$E$4:$E$281,"2024",FundRaw!$F$4:$F$281,"net_debt_change",FundRaw!$O$4:$O$281,1))=0,"",SUMIFS(FundRaw!$G$4:$G$281,FundRaw!$C$4:$C$281,"meta",FundRaw!$E$4:$E$281,"2024",FundRaw!$F$4:$F$281,"net_debt_change",FundRaw!$O$4:$O$281,1))</f>
        <v/>
      </c>
      <c r="O14" s="33" t="str">
        <f aca="false">IF((COUNTIFS(FundRaw!$C$4:$C$281,"meta",FundRaw!$E$4:$E$281,"2024",FundRaw!$F$4:$F$281,"lease_not_commenced",FundRaw!$O$4:$O$281,1))=0,"",SUMIFS(FundRaw!$G$4:$G$281,FundRaw!$C$4:$C$281,"meta",FundRaw!$E$4:$E$281,"2024",FundRaw!$F$4:$F$281,"lease_not_commenced",FundRaw!$O$4:$O$281,1))</f>
        <v/>
      </c>
      <c r="P14" s="33" t="str">
        <f aca="false">IF((COUNTIFS(FundRaw!$C$4:$C$281,"meta",FundRaw!$E$4:$E$281,"2024",FundRaw!$F$4:$F$281,"jv_offbalance",FundRaw!$O$4:$O$281,1))=0,"",SUMIFS(FundRaw!$G$4:$G$281,FundRaw!$C$4:$C$281,"meta",FundRaw!$E$4:$E$281,"2024",FundRaw!$F$4:$F$281,"jv_offbalance",FundRaw!$O$4:$O$281,1))</f>
        <v/>
      </c>
      <c r="Q14" s="33" t="str">
        <f aca="false">IF((COUNTIFS(FundRaw!$C$4:$C$281,"meta",FundRaw!$E$4:$E$281,"2024",FundRaw!$F$4:$F$281,"jv_exposure",FundRaw!$O$4:$O$281,1))=0,"",SUMIFS(FundRaw!$G$4:$G$281,FundRaw!$C$4:$C$281,"meta",FundRaw!$E$4:$E$281,"2024",FundRaw!$F$4:$F$281,"jv_exposure",FundRaw!$O$4:$O$281,1))</f>
        <v/>
      </c>
      <c r="R14" s="33" t="str">
        <f aca="false">IF((COUNTIFS(FundRaw!$C$4:$C$281,"meta",FundRaw!$E$4:$E$281,"2024",FundRaw!$F$4:$F$281,"equity_round",FundRaw!$O$4:$O$281,1))=0,"",SUMIFS(FundRaw!$G$4:$G$281,FundRaw!$C$4:$C$281,"meta",FundRaw!$E$4:$E$281,"2024",FundRaw!$F$4:$F$281,"equity_round",FundRaw!$O$4:$O$281,1))</f>
        <v/>
      </c>
      <c r="S14" s="33" t="str">
        <f aca="false">IF((COUNTIFS(FundRaw!$C$4:$C$281,"meta",FundRaw!$E$4:$E$281,"2024",FundRaw!$F$4:$F$281,"vendor_financing",FundRaw!$O$4:$O$281,1))=0,"",SUMIFS(FundRaw!$G$4:$G$281,FundRaw!$C$4:$C$281,"meta",FundRaw!$E$4:$E$281,"2024",FundRaw!$F$4:$F$281,"vendor_financing",FundRaw!$O$4:$O$281,1))</f>
        <v/>
      </c>
      <c r="T14" s="33" t="str">
        <f aca="false">IF((COUNTIFS(FundRaw!$C$4:$C$281,"meta",FundRaw!$E$4:$E$281,"2024",FundRaw!$F$4:$F$281,"buyback_div",FundRaw!$O$4:$O$281,1))=0,"",SUMIFS(FundRaw!$G$4:$G$281,FundRaw!$C$4:$C$281,"meta",FundRaw!$E$4:$E$281,"2024",FundRaw!$F$4:$F$281,"buyback_div",FundRaw!$O$4:$O$281,1))</f>
        <v/>
      </c>
      <c r="U14" s="33" t="str">
        <f aca="false">IF((COUNTIFS(FundRaw!$C$4:$C$281,"meta",FundRaw!$E$4:$E$281,"2024",FundRaw!$F$4:$F$281,"gpu_debt_talks",FundRaw!$O$4:$O$281,1))=0,"",SUMIFS(FundRaw!$G$4:$G$281,FundRaw!$C$4:$C$281,"meta",FundRaw!$E$4:$E$281,"2024",FundRaw!$F$4:$F$281,"gpu_debt_talks",FundRaw!$O$4:$O$281,1))</f>
        <v/>
      </c>
      <c r="V14" s="33" t="str">
        <f aca="false">IF((COUNTIFS(FundRaw!$C$4:$C$281,"meta",FundRaw!$E$4:$E$281,"2024",FundRaw!$F$4:$F$281,"bridge_refi",FundRaw!$O$4:$O$281,1))=0,"",SUMIFS(FundRaw!$G$4:$G$281,FundRaw!$C$4:$C$281,"meta",FundRaw!$E$4:$E$281,"2024",FundRaw!$F$4:$F$281,"bridge_refi",FundRaw!$O$4:$O$281,1))</f>
        <v/>
      </c>
      <c r="W14" s="33" t="str">
        <f aca="false">IF(H14&lt;&gt;"",H14,IF(F14&lt;&gt;"",F14+N(G14),""))</f>
        <v/>
      </c>
      <c r="X14" s="33" t="str">
        <f aca="false">IF(OR(W14="",E14=""),"",MAX(0,MIN(N(E14),W14-N(Y14))))</f>
        <v/>
      </c>
      <c r="Y14" s="33" t="str">
        <f aca="false">IF(W14="","",IF(AND(H14&lt;&gt;"",F14&lt;&gt;""),MAX(0,H14-F14),N(G14)))</f>
        <v/>
      </c>
      <c r="Z14" s="33" t="str">
        <f aca="false">IF(W14="","",MAX(0,MIN(N(R14),W14-N(X14)-N(Y14))))</f>
        <v/>
      </c>
      <c r="AA14" s="33" t="str">
        <f aca="false">IF(W14="","",MAX(0,MIN(N(J14)+N(K14)+N(L14)+N(M14),W14-N(X14)-N(Y14)-N(Z14))))</f>
        <v/>
      </c>
      <c r="AB14" s="33" t="str">
        <f aca="false">IF(W14="","",W14-N(X14)-N(Y14)-N(Z14)-N(AA14))</f>
        <v/>
      </c>
      <c r="AC14" s="38" t="str">
        <f aca="false">IF(OR(W14="",N(W14)=0,X14=""),"",X14/W14)</f>
        <v/>
      </c>
      <c r="AD14" s="38" t="str">
        <f aca="false">IF(OR(W14="",N(W14)=0,Y14=""),"",Y14/W14)</f>
        <v/>
      </c>
      <c r="AE14" s="38" t="str">
        <f aca="false">IF(OR(W14="",N(W14)=0,Z14=""),"",Z14/W14)</f>
        <v/>
      </c>
      <c r="AF14" s="38" t="str">
        <f aca="false">IF(OR(W14="",N(W14)=0,AA14=""),"",AA14/W14)</f>
        <v/>
      </c>
      <c r="AG14" s="38" t="str">
        <f aca="false">IF(OR(W14="",N(W14)=0,AB14=""),"",AB14/W14)</f>
        <v/>
      </c>
      <c r="AH14" s="33" t="n">
        <f aca="false">N(J14)+N(K14)+N(L14)+N(M14)+N(R14)+N(G14)</f>
        <v>0</v>
      </c>
      <c r="AI14" s="23" t="str">
        <f aca="false">IF(N(AH14)=0,"",(N(J14)+N(K14)+N(L14)+N(M14))/AH14)</f>
        <v/>
      </c>
      <c r="AJ14" s="23" t="str">
        <f aca="false">IF(N(AH14)=0,"",(N(R14))/AH14)</f>
        <v/>
      </c>
      <c r="AK14" s="23" t="str">
        <f aca="false">IF(N(AH14)=0,"",(N(G14))/AH14)</f>
        <v/>
      </c>
      <c r="AL14" s="33" t="n">
        <f aca="false">N(J14)+N(K14)+N(L14)+N(M14)+IF(AND(H14&lt;&gt;"",F14&lt;&gt;""),MAX(0,H14-F14),N(G14))+N(P14)+N(R14)</f>
        <v>0</v>
      </c>
      <c r="AM14" s="38" t="str">
        <f aca="false">IF(OR(W14="",N(W14)=0),"",AL14/W14)</f>
        <v/>
      </c>
      <c r="AN14" s="38" t="str">
        <f aca="false">IF(OR(W14="",N(W14)=0,E14=""),"",E14/W14)</f>
        <v/>
      </c>
      <c r="AO14" s="23" t="str">
        <f aca="false">IF(OR(W14="",N(W14)=0),"",(N(J14)+N(K14)+N(L14)+N(M14))/W14)</f>
        <v/>
      </c>
      <c r="AP14" s="23" t="str">
        <f aca="false">IF(OR(W14="",N(W14)=0),"",N(R14)/W14)</f>
        <v/>
      </c>
      <c r="AQ14" s="23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1429</v>
      </c>
      <c r="B15" s="0" t="s">
        <v>748</v>
      </c>
      <c r="C15" s="0" t="n">
        <v>2025</v>
      </c>
      <c r="D15" s="0" t="s">
        <v>2082</v>
      </c>
      <c r="E15" s="33" t="n">
        <f aca="false">IF((COUNTIFS(FundRaw!$C$4:$C$281,"meta",FundRaw!$E$4:$E$281,"2025",FundRaw!$F$4:$F$281,"ocf",FundRaw!$O$4:$O$281,1))=0,"",SUMIFS(FundRaw!$G$4:$G$281,FundRaw!$C$4:$C$281,"meta",FundRaw!$E$4:$E$281,"2025",FundRaw!$F$4:$F$281,"ocf",FundRaw!$O$4:$O$281,1))</f>
        <v>115.8</v>
      </c>
      <c r="F15" s="33" t="str">
        <f aca="false">IF((COUNTIFS(FundRaw!$C$4:$C$281,"meta",FundRaw!$E$4:$E$281,"2025",FundRaw!$F$4:$F$281,"capex_cash",FundRaw!$O$4:$O$281,1))=0,"",SUMIFS(FundRaw!$G$4:$G$281,FundRaw!$C$4:$C$281,"meta",FundRaw!$E$4:$E$281,"2025",FundRaw!$F$4:$F$281,"capex_cash",FundRaw!$O$4:$O$281,1))</f>
        <v/>
      </c>
      <c r="G15" s="33" t="str">
        <f aca="false">IF((COUNTIFS(FundRaw!$C$4:$C$281,"meta",FundRaw!$E$4:$E$281,"2025",FundRaw!$F$4:$F$281,"fin_lease_new",FundRaw!$O$4:$O$281,1))=0,"",SUMIFS(FundRaw!$G$4:$G$281,FundRaw!$C$4:$C$281,"meta",FundRaw!$E$4:$E$281,"2025",FundRaw!$F$4:$F$281,"fin_lease_new",FundRaw!$O$4:$O$281,1))</f>
        <v/>
      </c>
      <c r="H15" s="33" t="n">
        <f aca="false">IF((COUNTIFS(FundRaw!$C$4:$C$281,"meta",FundRaw!$E$4:$E$281,"2025",FundRaw!$F$4:$F$281,"capex_incl_fl",FundRaw!$O$4:$O$281,1))=0,"",SUMIFS(FundRaw!$G$4:$G$281,FundRaw!$C$4:$C$281,"meta",FundRaw!$E$4:$E$281,"2025",FundRaw!$F$4:$F$281,"capex_incl_fl",FundRaw!$O$4:$O$281,1))</f>
        <v>72.215</v>
      </c>
      <c r="I15" s="33" t="n">
        <f aca="false">IF((COUNTIFS(FundRaw!$C$4:$C$281,"meta",FundRaw!$E$4:$E$281,"2025",FundRaw!$F$4:$F$281,"fcf",FundRaw!$O$4:$O$281,1))=0,"",SUMIFS(FundRaw!$G$4:$G$281,FundRaw!$C$4:$C$281,"meta",FundRaw!$E$4:$E$281,"2025",FundRaw!$F$4:$F$281,"fcf",FundRaw!$O$4:$O$281,1))</f>
        <v>43.585</v>
      </c>
      <c r="J15" s="33" t="n">
        <f aca="false">IF((COUNTIFS(FundRaw!$C$4:$C$281,"meta",FundRaw!$E$4:$E$281,"2025",FundRaw!$F$4:$F$281,"bond_issue",FundRaw!$O$4:$O$281,1))=0,"",SUMIFS(FundRaw!$G$4:$G$281,FundRaw!$C$4:$C$281,"meta",FundRaw!$E$4:$E$281,"2025",FundRaw!$F$4:$F$281,"bond_issue",FundRaw!$O$4:$O$281,1))</f>
        <v>30</v>
      </c>
      <c r="K15" s="33" t="str">
        <f aca="false">IF((COUNTIFS(FundRaw!$C$4:$C$281,"meta",FundRaw!$E$4:$E$281,"2025",FundRaw!$F$4:$F$281,"term_loan",FundRaw!$O$4:$O$281,1))=0,"",SUMIFS(FundRaw!$G$4:$G$281,FundRaw!$C$4:$C$281,"meta",FundRaw!$E$4:$E$281,"2025",FundRaw!$F$4:$F$281,"term_loan",FundRaw!$O$4:$O$281,1))</f>
        <v/>
      </c>
      <c r="L15" s="33" t="str">
        <f aca="false">IF((COUNTIFS(FundRaw!$C$4:$C$281,"meta",FundRaw!$E$4:$E$281,"2025",FundRaw!$F$4:$F$281,"gpu_debt",FundRaw!$O$4:$O$281,1))=0,"",SUMIFS(FundRaw!$G$4:$G$281,FundRaw!$C$4:$C$281,"meta",FundRaw!$E$4:$E$281,"2025",FundRaw!$F$4:$F$281,"gpu_debt",FundRaw!$O$4:$O$281,1))</f>
        <v/>
      </c>
      <c r="M15" s="33" t="str">
        <f aca="false">IF((COUNTIFS(FundRaw!$C$4:$C$281,"meta",FundRaw!$E$4:$E$281,"2025",FundRaw!$F$4:$F$281,"private_credit",FundRaw!$O$4:$O$281,1))=0,"",SUMIFS(FundRaw!$G$4:$G$281,FundRaw!$C$4:$C$281,"meta",FundRaw!$E$4:$E$281,"2025",FundRaw!$F$4:$F$281,"private_credit",FundRaw!$O$4:$O$281,1))</f>
        <v/>
      </c>
      <c r="N15" s="33" t="str">
        <f aca="false">IF((COUNTIFS(FundRaw!$C$4:$C$281,"meta",FundRaw!$E$4:$E$281,"2025",FundRaw!$F$4:$F$281,"net_debt_change",FundRaw!$O$4:$O$281,1))=0,"",SUMIFS(FundRaw!$G$4:$G$281,FundRaw!$C$4:$C$281,"meta",FundRaw!$E$4:$E$281,"2025",FundRaw!$F$4:$F$281,"net_debt_change",FundRaw!$O$4:$O$281,1))</f>
        <v/>
      </c>
      <c r="O15" s="33" t="str">
        <f aca="false">IF((COUNTIFS(FundRaw!$C$4:$C$281,"meta",FundRaw!$E$4:$E$281,"2025",FundRaw!$F$4:$F$281,"lease_not_commenced",FundRaw!$O$4:$O$281,1))=0,"",SUMIFS(FundRaw!$G$4:$G$281,FundRaw!$C$4:$C$281,"meta",FundRaw!$E$4:$E$281,"2025",FundRaw!$F$4:$F$281,"lease_not_commenced",FundRaw!$O$4:$O$281,1))</f>
        <v/>
      </c>
      <c r="P15" s="33" t="n">
        <f aca="false">IF((COUNTIFS(FundRaw!$C$4:$C$281,"meta",FundRaw!$E$4:$E$281,"2025",FundRaw!$F$4:$F$281,"jv_offbalance",FundRaw!$O$4:$O$281,1))=0,"",SUMIFS(FundRaw!$G$4:$G$281,FundRaw!$C$4:$C$281,"meta",FundRaw!$E$4:$E$281,"2025",FundRaw!$F$4:$F$281,"jv_offbalance",FundRaw!$O$4:$O$281,1))</f>
        <v>27.3</v>
      </c>
      <c r="Q15" s="33" t="str">
        <f aca="false">IF((COUNTIFS(FundRaw!$C$4:$C$281,"meta",FundRaw!$E$4:$E$281,"2025",FundRaw!$F$4:$F$281,"jv_exposure",FundRaw!$O$4:$O$281,1))=0,"",SUMIFS(FundRaw!$G$4:$G$281,FundRaw!$C$4:$C$281,"meta",FundRaw!$E$4:$E$281,"2025",FundRaw!$F$4:$F$281,"jv_exposure",FundRaw!$O$4:$O$281,1))</f>
        <v/>
      </c>
      <c r="R15" s="33" t="str">
        <f aca="false">IF((COUNTIFS(FundRaw!$C$4:$C$281,"meta",FundRaw!$E$4:$E$281,"2025",FundRaw!$F$4:$F$281,"equity_round",FundRaw!$O$4:$O$281,1))=0,"",SUMIFS(FundRaw!$G$4:$G$281,FundRaw!$C$4:$C$281,"meta",FundRaw!$E$4:$E$281,"2025",FundRaw!$F$4:$F$281,"equity_round",FundRaw!$O$4:$O$281,1))</f>
        <v/>
      </c>
      <c r="S15" s="33" t="str">
        <f aca="false">IF((COUNTIFS(FundRaw!$C$4:$C$281,"meta",FundRaw!$E$4:$E$281,"2025",FundRaw!$F$4:$F$281,"vendor_financing",FundRaw!$O$4:$O$281,1))=0,"",SUMIFS(FundRaw!$G$4:$G$281,FundRaw!$C$4:$C$281,"meta",FundRaw!$E$4:$E$281,"2025",FundRaw!$F$4:$F$281,"vendor_financing",FundRaw!$O$4:$O$281,1))</f>
        <v/>
      </c>
      <c r="T15" s="33" t="n">
        <f aca="false">IF((COUNTIFS(FundRaw!$C$4:$C$281,"meta",FundRaw!$E$4:$E$281,"2025",FundRaw!$F$4:$F$281,"buyback_div",FundRaw!$O$4:$O$281,1))=0,"",SUMIFS(FundRaw!$G$4:$G$281,FundRaw!$C$4:$C$281,"meta",FundRaw!$E$4:$E$281,"2025",FundRaw!$F$4:$F$281,"buyback_div",FundRaw!$O$4:$O$281,1))</f>
        <v>31.572</v>
      </c>
      <c r="U15" s="33" t="str">
        <f aca="false">IF((COUNTIFS(FundRaw!$C$4:$C$281,"meta",FundRaw!$E$4:$E$281,"2025",FundRaw!$F$4:$F$281,"gpu_debt_talks",FundRaw!$O$4:$O$281,1))=0,"",SUMIFS(FundRaw!$G$4:$G$281,FundRaw!$C$4:$C$281,"meta",FundRaw!$E$4:$E$281,"2025",FundRaw!$F$4:$F$281,"gpu_debt_talks",FundRaw!$O$4:$O$281,1))</f>
        <v/>
      </c>
      <c r="V15" s="33" t="str">
        <f aca="false">IF((COUNTIFS(FundRaw!$C$4:$C$281,"meta",FundRaw!$E$4:$E$281,"2025",FundRaw!$F$4:$F$281,"bridge_refi",FundRaw!$O$4:$O$281,1))=0,"",SUMIFS(FundRaw!$G$4:$G$281,FundRaw!$C$4:$C$281,"meta",FundRaw!$E$4:$E$281,"2025",FundRaw!$F$4:$F$281,"bridge_refi",FundRaw!$O$4:$O$281,1))</f>
        <v/>
      </c>
      <c r="W15" s="33" t="n">
        <f aca="false">IF(H15&lt;&gt;"",H15,IF(F15&lt;&gt;"",F15+N(G15),""))</f>
        <v>72.215</v>
      </c>
      <c r="X15" s="33" t="n">
        <f aca="false">IF(OR(W15="",E15=""),"",MAX(0,MIN(N(E15),W15-N(Y15))))</f>
        <v>72.215</v>
      </c>
      <c r="Y15" s="33" t="n">
        <f aca="false">IF(W15="","",IF(AND(H15&lt;&gt;"",F15&lt;&gt;""),MAX(0,H15-F15),N(G15)))</f>
        <v>0</v>
      </c>
      <c r="Z15" s="33" t="n">
        <f aca="false">IF(W15="","",MAX(0,MIN(N(R15),W15-N(X15)-N(Y15))))</f>
        <v>0</v>
      </c>
      <c r="AA15" s="33" t="n">
        <f aca="false">IF(W15="","",MAX(0,MIN(N(J15)+N(K15)+N(L15)+N(M15),W15-N(X15)-N(Y15)-N(Z15))))</f>
        <v>0</v>
      </c>
      <c r="AB15" s="33" t="n">
        <f aca="false">IF(W15="","",W15-N(X15)-N(Y15)-N(Z15)-N(AA15))</f>
        <v>0</v>
      </c>
      <c r="AC15" s="38" t="n">
        <f aca="false">IF(OR(W15="",N(W15)=0,X15=""),"",X15/W15)</f>
        <v>1</v>
      </c>
      <c r="AD15" s="38" t="n">
        <f aca="false">IF(OR(W15="",N(W15)=0,Y15=""),"",Y15/W15)</f>
        <v>0</v>
      </c>
      <c r="AE15" s="38" t="n">
        <f aca="false">IF(OR(W15="",N(W15)=0,Z15=""),"",Z15/W15)</f>
        <v>0</v>
      </c>
      <c r="AF15" s="38" t="n">
        <f aca="false">IF(OR(W15="",N(W15)=0,AA15=""),"",AA15/W15)</f>
        <v>0</v>
      </c>
      <c r="AG15" s="38" t="n">
        <f aca="false">IF(OR(W15="",N(W15)=0,AB15=""),"",AB15/W15)</f>
        <v>0</v>
      </c>
      <c r="AH15" s="33" t="n">
        <f aca="false">N(J15)+N(K15)+N(L15)+N(M15)+N(R15)+N(G15)</f>
        <v>30</v>
      </c>
      <c r="AI15" s="23" t="n">
        <f aca="false">IF(N(AH15)=0,"",(N(J15)+N(K15)+N(L15)+N(M15))/AH15)</f>
        <v>1</v>
      </c>
      <c r="AJ15" s="23" t="n">
        <f aca="false">IF(N(AH15)=0,"",(N(R15))/AH15)</f>
        <v>0</v>
      </c>
      <c r="AK15" s="23" t="n">
        <f aca="false">IF(N(AH15)=0,"",(N(G15))/AH15)</f>
        <v>0</v>
      </c>
      <c r="AL15" s="33" t="n">
        <f aca="false">N(J15)+N(K15)+N(L15)+N(M15)+IF(AND(H15&lt;&gt;"",F15&lt;&gt;""),MAX(0,H15-F15),N(G15))+N(P15)+N(R15)</f>
        <v>57.3</v>
      </c>
      <c r="AM15" s="38" t="n">
        <f aca="false">IF(OR(W15="",N(W15)=0),"",AL15/W15)</f>
        <v>0.793463961780793</v>
      </c>
      <c r="AN15" s="38" t="n">
        <f aca="false">IF(OR(W15="",N(W15)=0,E15=""),"",E15/W15)</f>
        <v>1.6035449698816</v>
      </c>
      <c r="AO15" s="23" t="n">
        <f aca="false">IF(OR(W15="",N(W15)=0),"",(N(J15)+N(K15)+N(L15)+N(M15))/W15)</f>
        <v>0.415426158000415</v>
      </c>
      <c r="AP15" s="23" t="n">
        <f aca="false">IF(OR(W15="",N(W15)=0),"",N(R15)/W15)</f>
        <v>0</v>
      </c>
      <c r="AQ15" s="23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1429</v>
      </c>
      <c r="B16" s="0" t="s">
        <v>748</v>
      </c>
      <c r="C16" s="0" t="n">
        <v>2026</v>
      </c>
      <c r="D16" s="0" t="s">
        <v>2083</v>
      </c>
      <c r="E16" s="33" t="n">
        <f aca="false">IF((COUNTIFS(FundRaw!$C$4:$C$281,"meta",FundRaw!$E$4:$E$281,"2026",FundRaw!$F$4:$F$281,"ocf",FundRaw!$O$4:$O$281,1))=0,"",SUMIFS(FundRaw!$G$4:$G$281,FundRaw!$C$4:$C$281,"meta",FundRaw!$E$4:$E$281,"2026",FundRaw!$F$4:$F$281,"ocf",FundRaw!$O$4:$O$281,1))</f>
        <v>96.873</v>
      </c>
      <c r="F16" s="33" t="n">
        <f aca="false">IF((COUNTIFS(FundRaw!$C$4:$C$281,"meta",FundRaw!$E$4:$E$281,"2026",FundRaw!$F$4:$F$281,"capex_cash",FundRaw!$O$4:$O$281,1))=0,"",SUMIFS(FundRaw!$G$4:$G$281,FundRaw!$C$4:$C$281,"meta",FundRaw!$E$4:$E$281,"2026",FundRaw!$F$4:$F$281,"capex_cash",FundRaw!$O$4:$O$281,1))</f>
        <v>83.055</v>
      </c>
      <c r="G16" s="33" t="str">
        <f aca="false">IF((COUNTIFS(FundRaw!$C$4:$C$281,"meta",FundRaw!$E$4:$E$281,"2026",FundRaw!$F$4:$F$281,"fin_lease_new",FundRaw!$O$4:$O$281,1))=0,"",SUMIFS(FundRaw!$G$4:$G$281,FundRaw!$C$4:$C$281,"meta",FundRaw!$E$4:$E$281,"2026",FundRaw!$F$4:$F$281,"fin_lease_new",FundRaw!$O$4:$O$281,1))</f>
        <v/>
      </c>
      <c r="H16" s="33" t="n">
        <f aca="false">IF((COUNTIFS(FundRaw!$C$4:$C$281,"meta",FundRaw!$E$4:$E$281,"2026",FundRaw!$F$4:$F$281,"capex_incl_fl",FundRaw!$O$4:$O$281,1))=0,"",SUMIFS(FundRaw!$G$4:$G$281,FundRaw!$C$4:$C$281,"meta",FundRaw!$E$4:$E$281,"2026",FundRaw!$F$4:$F$281,"capex_incl_fl",FundRaw!$O$4:$O$281,1))</f>
        <v>85.824</v>
      </c>
      <c r="I16" s="33" t="n">
        <f aca="false">IF((COUNTIFS(FundRaw!$C$4:$C$281,"meta",FundRaw!$E$4:$E$281,"2026",FundRaw!$F$4:$F$281,"fcf",FundRaw!$O$4:$O$281,1))=0,"",SUMIFS(FundRaw!$G$4:$G$281,FundRaw!$C$4:$C$281,"meta",FundRaw!$E$4:$E$281,"2026",FundRaw!$F$4:$F$281,"fcf",FundRaw!$O$4:$O$281,1))</f>
        <v>11.049</v>
      </c>
      <c r="J16" s="33" t="n">
        <f aca="false">IF((COUNTIFS(FundRaw!$C$4:$C$281,"meta",FundRaw!$E$4:$E$281,"2026",FundRaw!$F$4:$F$281,"bond_issue",FundRaw!$O$4:$O$281,1))=0,"",SUMIFS(FundRaw!$G$4:$G$281,FundRaw!$C$4:$C$281,"meta",FundRaw!$E$4:$E$281,"2026",FundRaw!$F$4:$F$281,"bond_issue",FundRaw!$O$4:$O$281,1))</f>
        <v>25</v>
      </c>
      <c r="K16" s="33" t="str">
        <f aca="false">IF((COUNTIFS(FundRaw!$C$4:$C$281,"meta",FundRaw!$E$4:$E$281,"2026",FundRaw!$F$4:$F$281,"term_loan",FundRaw!$O$4:$O$281,1))=0,"",SUMIFS(FundRaw!$G$4:$G$281,FundRaw!$C$4:$C$281,"meta",FundRaw!$E$4:$E$281,"2026",FundRaw!$F$4:$F$281,"term_loan",FundRaw!$O$4:$O$281,1))</f>
        <v/>
      </c>
      <c r="L16" s="33" t="str">
        <f aca="false">IF((COUNTIFS(FundRaw!$C$4:$C$281,"meta",FundRaw!$E$4:$E$281,"2026",FundRaw!$F$4:$F$281,"gpu_debt",FundRaw!$O$4:$O$281,1))=0,"",SUMIFS(FundRaw!$G$4:$G$281,FundRaw!$C$4:$C$281,"meta",FundRaw!$E$4:$E$281,"2026",FundRaw!$F$4:$F$281,"gpu_debt",FundRaw!$O$4:$O$281,1))</f>
        <v/>
      </c>
      <c r="M16" s="33" t="str">
        <f aca="false">IF((COUNTIFS(FundRaw!$C$4:$C$281,"meta",FundRaw!$E$4:$E$281,"2026",FundRaw!$F$4:$F$281,"private_credit",FundRaw!$O$4:$O$281,1))=0,"",SUMIFS(FundRaw!$G$4:$G$281,FundRaw!$C$4:$C$281,"meta",FundRaw!$E$4:$E$281,"2026",FundRaw!$F$4:$F$281,"private_credit",FundRaw!$O$4:$O$281,1))</f>
        <v/>
      </c>
      <c r="N16" s="33" t="n">
        <f aca="false">IF((COUNTIFS(FundRaw!$C$4:$C$281,"meta",FundRaw!$E$4:$E$281,"2026",FundRaw!$F$4:$F$281,"net_debt_change",FundRaw!$O$4:$O$281,1))=0,"",SUMIFS(FundRaw!$G$4:$G$281,FundRaw!$C$4:$C$281,"meta",FundRaw!$E$4:$E$281,"2026",FundRaw!$F$4:$F$281,"net_debt_change",FundRaw!$O$4:$O$281,1))</f>
        <v>25</v>
      </c>
      <c r="O16" s="33" t="n">
        <f aca="false">IF((COUNTIFS(FundRaw!$C$4:$C$281,"meta",FundRaw!$E$4:$E$281,"2026",FundRaw!$F$4:$F$281,"lease_not_commenced",FundRaw!$O$4:$O$281,1))=0,"",SUMIFS(FundRaw!$G$4:$G$281,FundRaw!$C$4:$C$281,"meta",FundRaw!$E$4:$E$281,"2026",FundRaw!$F$4:$F$281,"lease_not_commenced",FundRaw!$O$4:$O$281,1))</f>
        <v>355.73</v>
      </c>
      <c r="P16" s="33" t="n">
        <f aca="false">IF((COUNTIFS(FundRaw!$C$4:$C$281,"meta",FundRaw!$E$4:$E$281,"2026",FundRaw!$F$4:$F$281,"jv_offbalance",FundRaw!$O$4:$O$281,1))=0,"",SUMIFS(FundRaw!$G$4:$G$281,FundRaw!$C$4:$C$281,"meta",FundRaw!$E$4:$E$281,"2026",FundRaw!$F$4:$F$281,"jv_offbalance",FundRaw!$O$4:$O$281,1))</f>
        <v>14</v>
      </c>
      <c r="Q16" s="33" t="n">
        <f aca="false">IF((COUNTIFS(FundRaw!$C$4:$C$281,"meta",FundRaw!$E$4:$E$281,"2026",FundRaw!$F$4:$F$281,"jv_exposure",FundRaw!$O$4:$O$281,1))=0,"",SUMIFS(FundRaw!$G$4:$G$281,FundRaw!$C$4:$C$281,"meta",FundRaw!$E$4:$E$281,"2026",FundRaw!$F$4:$F$281,"jv_exposure",FundRaw!$O$4:$O$281,1))</f>
        <v>68.404</v>
      </c>
      <c r="R16" s="33" t="str">
        <f aca="false">IF((COUNTIFS(FundRaw!$C$4:$C$281,"meta",FundRaw!$E$4:$E$281,"2026",FundRaw!$F$4:$F$281,"equity_round",FundRaw!$O$4:$O$281,1))=0,"",SUMIFS(FundRaw!$G$4:$G$281,FundRaw!$C$4:$C$281,"meta",FundRaw!$E$4:$E$281,"2026",FundRaw!$F$4:$F$281,"equity_round",FundRaw!$O$4:$O$281,1))</f>
        <v/>
      </c>
      <c r="S16" s="33" t="str">
        <f aca="false">IF((COUNTIFS(FundRaw!$C$4:$C$281,"meta",FundRaw!$E$4:$E$281,"2026",FundRaw!$F$4:$F$281,"vendor_financing",FundRaw!$O$4:$O$281,1))=0,"",SUMIFS(FundRaw!$G$4:$G$281,FundRaw!$C$4:$C$281,"meta",FundRaw!$E$4:$E$281,"2026",FundRaw!$F$4:$F$281,"vendor_financing",FundRaw!$O$4:$O$281,1))</f>
        <v/>
      </c>
      <c r="T16" s="33" t="n">
        <f aca="false">IF((COUNTIFS(FundRaw!$C$4:$C$281,"meta",FundRaw!$E$4:$E$281,"2026",FundRaw!$F$4:$F$281,"buyback_div",FundRaw!$O$4:$O$281,1))=0,"",SUMIFS(FundRaw!$G$4:$G$281,FundRaw!$C$4:$C$281,"meta",FundRaw!$E$4:$E$281,"2026",FundRaw!$F$4:$F$281,"buyback_div",FundRaw!$O$4:$O$281,1))</f>
        <v>4.06</v>
      </c>
      <c r="U16" s="33" t="str">
        <f aca="false">IF((COUNTIFS(FundRaw!$C$4:$C$281,"meta",FundRaw!$E$4:$E$281,"2026",FundRaw!$F$4:$F$281,"gpu_debt_talks",FundRaw!$O$4:$O$281,1))=0,"",SUMIFS(FundRaw!$G$4:$G$281,FundRaw!$C$4:$C$281,"meta",FundRaw!$E$4:$E$281,"2026",FundRaw!$F$4:$F$281,"gpu_debt_talks",FundRaw!$O$4:$O$281,1))</f>
        <v/>
      </c>
      <c r="V16" s="33" t="str">
        <f aca="false">IF((COUNTIFS(FundRaw!$C$4:$C$281,"meta",FundRaw!$E$4:$E$281,"2026",FundRaw!$F$4:$F$281,"bridge_refi",FundRaw!$O$4:$O$281,1))=0,"",SUMIFS(FundRaw!$G$4:$G$281,FundRaw!$C$4:$C$281,"meta",FundRaw!$E$4:$E$281,"2026",FundRaw!$F$4:$F$281,"bridge_refi",FundRaw!$O$4:$O$281,1))</f>
        <v/>
      </c>
      <c r="W16" s="33" t="n">
        <f aca="false">IF(H16&lt;&gt;"",H16,IF(F16&lt;&gt;"",F16+N(G16),""))</f>
        <v>85.824</v>
      </c>
      <c r="X16" s="33" t="n">
        <f aca="false">IF(OR(W16="",E16=""),"",MAX(0,MIN(N(E16),W16-N(Y16))))</f>
        <v>83.055</v>
      </c>
      <c r="Y16" s="33" t="n">
        <f aca="false">IF(W16="","",IF(AND(H16&lt;&gt;"",F16&lt;&gt;""),MAX(0,H16-F16),N(G16)))</f>
        <v>2.76899999999999</v>
      </c>
      <c r="Z16" s="33" t="n">
        <f aca="false">IF(W16="","",MAX(0,MIN(N(R16),W16-N(X16)-N(Y16))))</f>
        <v>0</v>
      </c>
      <c r="AA16" s="33" t="n">
        <f aca="false">IF(W16="","",MAX(0,MIN(N(J16)+N(K16)+N(L16)+N(M16),W16-N(X16)-N(Y16)-N(Z16))))</f>
        <v>0</v>
      </c>
      <c r="AB16" s="33" t="n">
        <f aca="false">IF(W16="","",W16-N(X16)-N(Y16)-N(Z16)-N(AA16))</f>
        <v>0</v>
      </c>
      <c r="AC16" s="38" t="n">
        <f aca="false">IF(OR(W16="",N(W16)=0,X16=""),"",X16/W16)</f>
        <v>0.96773629753915</v>
      </c>
      <c r="AD16" s="38" t="n">
        <f aca="false">IF(OR(W16="",N(W16)=0,Y16=""),"",Y16/W16)</f>
        <v>0.03226370246085</v>
      </c>
      <c r="AE16" s="38" t="n">
        <f aca="false">IF(OR(W16="",N(W16)=0,Z16=""),"",Z16/W16)</f>
        <v>0</v>
      </c>
      <c r="AF16" s="38" t="n">
        <f aca="false">IF(OR(W16="",N(W16)=0,AA16=""),"",AA16/W16)</f>
        <v>0</v>
      </c>
      <c r="AG16" s="38" t="n">
        <f aca="false">IF(OR(W16="",N(W16)=0,AB16=""),"",AB16/W16)</f>
        <v>0</v>
      </c>
      <c r="AH16" s="33" t="n">
        <f aca="false">N(J16)+N(K16)+N(L16)+N(M16)+N(R16)+N(G16)</f>
        <v>25</v>
      </c>
      <c r="AI16" s="23" t="n">
        <f aca="false">IF(N(AH16)=0,"",(N(J16)+N(K16)+N(L16)+N(M16))/AH16)</f>
        <v>1</v>
      </c>
      <c r="AJ16" s="23" t="n">
        <f aca="false">IF(N(AH16)=0,"",(N(R16))/AH16)</f>
        <v>0</v>
      </c>
      <c r="AK16" s="23" t="n">
        <f aca="false">IF(N(AH16)=0,"",(N(G16))/AH16)</f>
        <v>0</v>
      </c>
      <c r="AL16" s="33" t="n">
        <f aca="false">N(J16)+N(K16)+N(L16)+N(M16)+IF(AND(H16&lt;&gt;"",F16&lt;&gt;""),MAX(0,H16-F16),N(G16))+N(P16)+N(R16)</f>
        <v>41.769</v>
      </c>
      <c r="AM16" s="38" t="n">
        <f aca="false">IF(OR(W16="",N(W16)=0),"",AL16/W16)</f>
        <v>0.486682046979866</v>
      </c>
      <c r="AN16" s="38" t="n">
        <f aca="false">IF(OR(W16="",N(W16)=0,E16=""),"",E16/W16)</f>
        <v>1.12874021252796</v>
      </c>
      <c r="AO16" s="23" t="n">
        <f aca="false">IF(OR(W16="",N(W16)=0),"",(N(J16)+N(K16)+N(L16)+N(M16))/W16)</f>
        <v>0.291293810589113</v>
      </c>
      <c r="AP16" s="23" t="n">
        <f aca="false">IF(OR(W16="",N(W16)=0),"",N(R16)/W16)</f>
        <v>0</v>
      </c>
      <c r="AQ16" s="23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2085</v>
      </c>
      <c r="B17" s="0" t="s">
        <v>752</v>
      </c>
      <c r="C17" s="0" t="n">
        <v>2024</v>
      </c>
      <c r="D17" s="0" t="s">
        <v>2077</v>
      </c>
      <c r="E17" s="33" t="str">
        <f aca="false">IF((COUNTIFS(FundRaw!$C$4:$C$281,"orcl",FundRaw!$E$4:$E$281,"2024",FundRaw!$F$4:$F$281,"ocf",FundRaw!$O$4:$O$281,1))=0,"",SUMIFS(FundRaw!$G$4:$G$281,FundRaw!$C$4:$C$281,"orcl",FundRaw!$E$4:$E$281,"2024",FundRaw!$F$4:$F$281,"ocf",FundRaw!$O$4:$O$281,1))</f>
        <v/>
      </c>
      <c r="F17" s="33" t="str">
        <f aca="false">IF((COUNTIFS(FundRaw!$C$4:$C$281,"orcl",FundRaw!$E$4:$E$281,"2024",FundRaw!$F$4:$F$281,"capex_cash",FundRaw!$O$4:$O$281,1))=0,"",SUMIFS(FundRaw!$G$4:$G$281,FundRaw!$C$4:$C$281,"orcl",FundRaw!$E$4:$E$281,"2024",FundRaw!$F$4:$F$281,"capex_cash",FundRaw!$O$4:$O$281,1))</f>
        <v/>
      </c>
      <c r="G17" s="33" t="str">
        <f aca="false">IF((COUNTIFS(FundRaw!$C$4:$C$281,"orcl",FundRaw!$E$4:$E$281,"2024",FundRaw!$F$4:$F$281,"fin_lease_new",FundRaw!$O$4:$O$281,1))=0,"",SUMIFS(FundRaw!$G$4:$G$281,FundRaw!$C$4:$C$281,"orcl",FundRaw!$E$4:$E$281,"2024",FundRaw!$F$4:$F$281,"fin_lease_new",FundRaw!$O$4:$O$281,1))</f>
        <v/>
      </c>
      <c r="H17" s="33" t="str">
        <f aca="false">IF((COUNTIFS(FundRaw!$C$4:$C$281,"orcl",FundRaw!$E$4:$E$281,"2024",FundRaw!$F$4:$F$281,"capex_incl_fl",FundRaw!$O$4:$O$281,1))=0,"",SUMIFS(FundRaw!$G$4:$G$281,FundRaw!$C$4:$C$281,"orcl",FundRaw!$E$4:$E$281,"2024",FundRaw!$F$4:$F$281,"capex_incl_fl",FundRaw!$O$4:$O$281,1))</f>
        <v/>
      </c>
      <c r="I17" s="33" t="str">
        <f aca="false">IF((COUNTIFS(FundRaw!$C$4:$C$281,"orcl",FundRaw!$E$4:$E$281,"2024",FundRaw!$F$4:$F$281,"fcf",FundRaw!$O$4:$O$281,1))=0,"",SUMIFS(FundRaw!$G$4:$G$281,FundRaw!$C$4:$C$281,"orcl",FundRaw!$E$4:$E$281,"2024",FundRaw!$F$4:$F$281,"fcf",FundRaw!$O$4:$O$281,1))</f>
        <v/>
      </c>
      <c r="J17" s="33" t="str">
        <f aca="false">IF((COUNTIFS(FundRaw!$C$4:$C$281,"orcl",FundRaw!$E$4:$E$281,"2024",FundRaw!$F$4:$F$281,"bond_issue",FundRaw!$O$4:$O$281,1))=0,"",SUMIFS(FundRaw!$G$4:$G$281,FundRaw!$C$4:$C$281,"orcl",FundRaw!$E$4:$E$281,"2024",FundRaw!$F$4:$F$281,"bond_issue",FundRaw!$O$4:$O$281,1))</f>
        <v/>
      </c>
      <c r="K17" s="33" t="str">
        <f aca="false">IF((COUNTIFS(FundRaw!$C$4:$C$281,"orcl",FundRaw!$E$4:$E$281,"2024",FundRaw!$F$4:$F$281,"term_loan",FundRaw!$O$4:$O$281,1))=0,"",SUMIFS(FundRaw!$G$4:$G$281,FundRaw!$C$4:$C$281,"orcl",FundRaw!$E$4:$E$281,"2024",FundRaw!$F$4:$F$281,"term_loan",FundRaw!$O$4:$O$281,1))</f>
        <v/>
      </c>
      <c r="L17" s="33" t="str">
        <f aca="false">IF((COUNTIFS(FundRaw!$C$4:$C$281,"orcl",FundRaw!$E$4:$E$281,"2024",FundRaw!$F$4:$F$281,"gpu_debt",FundRaw!$O$4:$O$281,1))=0,"",SUMIFS(FundRaw!$G$4:$G$281,FundRaw!$C$4:$C$281,"orcl",FundRaw!$E$4:$E$281,"2024",FundRaw!$F$4:$F$281,"gpu_debt",FundRaw!$O$4:$O$281,1))</f>
        <v/>
      </c>
      <c r="M17" s="33" t="str">
        <f aca="false">IF((COUNTIFS(FundRaw!$C$4:$C$281,"orcl",FundRaw!$E$4:$E$281,"2024",FundRaw!$F$4:$F$281,"private_credit",FundRaw!$O$4:$O$281,1))=0,"",SUMIFS(FundRaw!$G$4:$G$281,FundRaw!$C$4:$C$281,"orcl",FundRaw!$E$4:$E$281,"2024",FundRaw!$F$4:$F$281,"private_credit",FundRaw!$O$4:$O$281,1))</f>
        <v/>
      </c>
      <c r="N17" s="33" t="str">
        <f aca="false">IF((COUNTIFS(FundRaw!$C$4:$C$281,"orcl",FundRaw!$E$4:$E$281,"2024",FundRaw!$F$4:$F$281,"net_debt_change",FundRaw!$O$4:$O$281,1))=0,"",SUMIFS(FundRaw!$G$4:$G$281,FundRaw!$C$4:$C$281,"orcl",FundRaw!$E$4:$E$281,"2024",FundRaw!$F$4:$F$281,"net_debt_change",FundRaw!$O$4:$O$281,1))</f>
        <v/>
      </c>
      <c r="O17" s="33" t="str">
        <f aca="false">IF((COUNTIFS(FundRaw!$C$4:$C$281,"orcl",FundRaw!$E$4:$E$281,"2024",FundRaw!$F$4:$F$281,"lease_not_commenced",FundRaw!$O$4:$O$281,1))=0,"",SUMIFS(FundRaw!$G$4:$G$281,FundRaw!$C$4:$C$281,"orcl",FundRaw!$E$4:$E$281,"2024",FundRaw!$F$4:$F$281,"lease_not_commenced",FundRaw!$O$4:$O$281,1))</f>
        <v/>
      </c>
      <c r="P17" s="33" t="str">
        <f aca="false">IF((COUNTIFS(FundRaw!$C$4:$C$281,"orcl",FundRaw!$E$4:$E$281,"2024",FundRaw!$F$4:$F$281,"jv_offbalance",FundRaw!$O$4:$O$281,1))=0,"",SUMIFS(FundRaw!$G$4:$G$281,FundRaw!$C$4:$C$281,"orcl",FundRaw!$E$4:$E$281,"2024",FundRaw!$F$4:$F$281,"jv_offbalance",FundRaw!$O$4:$O$281,1))</f>
        <v/>
      </c>
      <c r="Q17" s="33" t="str">
        <f aca="false">IF((COUNTIFS(FundRaw!$C$4:$C$281,"orcl",FundRaw!$E$4:$E$281,"2024",FundRaw!$F$4:$F$281,"jv_exposure",FundRaw!$O$4:$O$281,1))=0,"",SUMIFS(FundRaw!$G$4:$G$281,FundRaw!$C$4:$C$281,"orcl",FundRaw!$E$4:$E$281,"2024",FundRaw!$F$4:$F$281,"jv_exposure",FundRaw!$O$4:$O$281,1))</f>
        <v/>
      </c>
      <c r="R17" s="33" t="str">
        <f aca="false">IF((COUNTIFS(FundRaw!$C$4:$C$281,"orcl",FundRaw!$E$4:$E$281,"2024",FundRaw!$F$4:$F$281,"equity_round",FundRaw!$O$4:$O$281,1))=0,"",SUMIFS(FundRaw!$G$4:$G$281,FundRaw!$C$4:$C$281,"orcl",FundRaw!$E$4:$E$281,"2024",FundRaw!$F$4:$F$281,"equity_round",FundRaw!$O$4:$O$281,1))</f>
        <v/>
      </c>
      <c r="S17" s="33" t="str">
        <f aca="false">IF((COUNTIFS(FundRaw!$C$4:$C$281,"orcl",FundRaw!$E$4:$E$281,"2024",FundRaw!$F$4:$F$281,"vendor_financing",FundRaw!$O$4:$O$281,1))=0,"",SUMIFS(FundRaw!$G$4:$G$281,FundRaw!$C$4:$C$281,"orcl",FundRaw!$E$4:$E$281,"2024",FundRaw!$F$4:$F$281,"vendor_financing",FundRaw!$O$4:$O$281,1))</f>
        <v/>
      </c>
      <c r="T17" s="33" t="str">
        <f aca="false">IF((COUNTIFS(FundRaw!$C$4:$C$281,"orcl",FundRaw!$E$4:$E$281,"2024",FundRaw!$F$4:$F$281,"buyback_div",FundRaw!$O$4:$O$281,1))=0,"",SUMIFS(FundRaw!$G$4:$G$281,FundRaw!$C$4:$C$281,"orcl",FundRaw!$E$4:$E$281,"2024",FundRaw!$F$4:$F$281,"buyback_div",FundRaw!$O$4:$O$281,1))</f>
        <v/>
      </c>
      <c r="U17" s="33" t="str">
        <f aca="false">IF((COUNTIFS(FundRaw!$C$4:$C$281,"orcl",FundRaw!$E$4:$E$281,"2024",FundRaw!$F$4:$F$281,"gpu_debt_talks",FundRaw!$O$4:$O$281,1))=0,"",SUMIFS(FundRaw!$G$4:$G$281,FundRaw!$C$4:$C$281,"orcl",FundRaw!$E$4:$E$281,"2024",FundRaw!$F$4:$F$281,"gpu_debt_talks",FundRaw!$O$4:$O$281,1))</f>
        <v/>
      </c>
      <c r="V17" s="33" t="str">
        <f aca="false">IF((COUNTIFS(FundRaw!$C$4:$C$281,"orcl",FundRaw!$E$4:$E$281,"2024",FundRaw!$F$4:$F$281,"bridge_refi",FundRaw!$O$4:$O$281,1))=0,"",SUMIFS(FundRaw!$G$4:$G$281,FundRaw!$C$4:$C$281,"orcl",FundRaw!$E$4:$E$281,"2024",FundRaw!$F$4:$F$281,"bridge_refi",FundRaw!$O$4:$O$281,1))</f>
        <v/>
      </c>
      <c r="W17" s="33" t="str">
        <f aca="false">IF(H17&lt;&gt;"",H17,IF(F17&lt;&gt;"",F17+N(G17),""))</f>
        <v/>
      </c>
      <c r="X17" s="33" t="str">
        <f aca="false">IF(OR(W17="",E17=""),"",MAX(0,MIN(N(E17),W17-N(Y17))))</f>
        <v/>
      </c>
      <c r="Y17" s="33" t="str">
        <f aca="false">IF(W17="","",IF(AND(H17&lt;&gt;"",F17&lt;&gt;""),MAX(0,H17-F17),N(G17)))</f>
        <v/>
      </c>
      <c r="Z17" s="33" t="str">
        <f aca="false">IF(W17="","",MAX(0,MIN(N(R17),W17-N(X17)-N(Y17))))</f>
        <v/>
      </c>
      <c r="AA17" s="33" t="str">
        <f aca="false">IF(W17="","",MAX(0,MIN(N(J17)+N(K17)+N(L17)+N(M17),W17-N(X17)-N(Y17)-N(Z17))))</f>
        <v/>
      </c>
      <c r="AB17" s="33" t="str">
        <f aca="false">IF(W17="","",W17-N(X17)-N(Y17)-N(Z17)-N(AA17))</f>
        <v/>
      </c>
      <c r="AC17" s="38" t="str">
        <f aca="false">IF(OR(W17="",N(W17)=0,X17=""),"",X17/W17)</f>
        <v/>
      </c>
      <c r="AD17" s="38" t="str">
        <f aca="false">IF(OR(W17="",N(W17)=0,Y17=""),"",Y17/W17)</f>
        <v/>
      </c>
      <c r="AE17" s="38" t="str">
        <f aca="false">IF(OR(W17="",N(W17)=0,Z17=""),"",Z17/W17)</f>
        <v/>
      </c>
      <c r="AF17" s="38" t="str">
        <f aca="false">IF(OR(W17="",N(W17)=0,AA17=""),"",AA17/W17)</f>
        <v/>
      </c>
      <c r="AG17" s="38" t="str">
        <f aca="false">IF(OR(W17="",N(W17)=0,AB17=""),"",AB17/W17)</f>
        <v/>
      </c>
      <c r="AH17" s="33" t="n">
        <f aca="false">N(J17)+N(K17)+N(L17)+N(M17)+N(R17)+N(G17)</f>
        <v>0</v>
      </c>
      <c r="AI17" s="23" t="str">
        <f aca="false">IF(N(AH17)=0,"",(N(J17)+N(K17)+N(L17)+N(M17))/AH17)</f>
        <v/>
      </c>
      <c r="AJ17" s="23" t="str">
        <f aca="false">IF(N(AH17)=0,"",(N(R17))/AH17)</f>
        <v/>
      </c>
      <c r="AK17" s="23" t="str">
        <f aca="false">IF(N(AH17)=0,"",(N(G17))/AH17)</f>
        <v/>
      </c>
      <c r="AL17" s="33" t="n">
        <f aca="false">N(J17)+N(K17)+N(L17)+N(M17)+IF(AND(H17&lt;&gt;"",F17&lt;&gt;""),MAX(0,H17-F17),N(G17))+N(P17)+N(R17)</f>
        <v>0</v>
      </c>
      <c r="AM17" s="38" t="str">
        <f aca="false">IF(OR(W17="",N(W17)=0),"",AL17/W17)</f>
        <v/>
      </c>
      <c r="AN17" s="38" t="str">
        <f aca="false">IF(OR(W17="",N(W17)=0,E17=""),"",E17/W17)</f>
        <v/>
      </c>
      <c r="AO17" s="23" t="str">
        <f aca="false">IF(OR(W17="",N(W17)=0),"",(N(J17)+N(K17)+N(L17)+N(M17))/W17)</f>
        <v/>
      </c>
      <c r="AP17" s="23" t="str">
        <f aca="false">IF(OR(W17="",N(W17)=0),"",N(R17)/W17)</f>
        <v/>
      </c>
      <c r="AQ17" s="23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2085</v>
      </c>
      <c r="B18" s="0" t="s">
        <v>752</v>
      </c>
      <c r="C18" s="0" t="n">
        <v>2025</v>
      </c>
      <c r="D18" s="0" t="s">
        <v>2078</v>
      </c>
      <c r="E18" s="33" t="str">
        <f aca="false">IF((COUNTIFS(FundRaw!$C$4:$C$281,"orcl",FundRaw!$E$4:$E$281,"2025",FundRaw!$F$4:$F$281,"ocf",FundRaw!$O$4:$O$281,1))=0,"",SUMIFS(FundRaw!$G$4:$G$281,FundRaw!$C$4:$C$281,"orcl",FundRaw!$E$4:$E$281,"2025",FundRaw!$F$4:$F$281,"ocf",FundRaw!$O$4:$O$281,1))</f>
        <v/>
      </c>
      <c r="F18" s="33" t="str">
        <f aca="false">IF((COUNTIFS(FundRaw!$C$4:$C$281,"orcl",FundRaw!$E$4:$E$281,"2025",FundRaw!$F$4:$F$281,"capex_cash",FundRaw!$O$4:$O$281,1))=0,"",SUMIFS(FundRaw!$G$4:$G$281,FundRaw!$C$4:$C$281,"orcl",FundRaw!$E$4:$E$281,"2025",FundRaw!$F$4:$F$281,"capex_cash",FundRaw!$O$4:$O$281,1))</f>
        <v/>
      </c>
      <c r="G18" s="33" t="str">
        <f aca="false">IF((COUNTIFS(FundRaw!$C$4:$C$281,"orcl",FundRaw!$E$4:$E$281,"2025",FundRaw!$F$4:$F$281,"fin_lease_new",FundRaw!$O$4:$O$281,1))=0,"",SUMIFS(FundRaw!$G$4:$G$281,FundRaw!$C$4:$C$281,"orcl",FundRaw!$E$4:$E$281,"2025",FundRaw!$F$4:$F$281,"fin_lease_new",FundRaw!$O$4:$O$281,1))</f>
        <v/>
      </c>
      <c r="H18" s="33" t="str">
        <f aca="false">IF((COUNTIFS(FundRaw!$C$4:$C$281,"orcl",FundRaw!$E$4:$E$281,"2025",FundRaw!$F$4:$F$281,"capex_incl_fl",FundRaw!$O$4:$O$281,1))=0,"",SUMIFS(FundRaw!$G$4:$G$281,FundRaw!$C$4:$C$281,"orcl",FundRaw!$E$4:$E$281,"2025",FundRaw!$F$4:$F$281,"capex_incl_fl",FundRaw!$O$4:$O$281,1))</f>
        <v/>
      </c>
      <c r="I18" s="33" t="str">
        <f aca="false">IF((COUNTIFS(FundRaw!$C$4:$C$281,"orcl",FundRaw!$E$4:$E$281,"2025",FundRaw!$F$4:$F$281,"fcf",FundRaw!$O$4:$O$281,1))=0,"",SUMIFS(FundRaw!$G$4:$G$281,FundRaw!$C$4:$C$281,"orcl",FundRaw!$E$4:$E$281,"2025",FundRaw!$F$4:$F$281,"fcf",FundRaw!$O$4:$O$281,1))</f>
        <v/>
      </c>
      <c r="J18" s="33" t="str">
        <f aca="false">IF((COUNTIFS(FundRaw!$C$4:$C$281,"orcl",FundRaw!$E$4:$E$281,"2025",FundRaw!$F$4:$F$281,"bond_issue",FundRaw!$O$4:$O$281,1))=0,"",SUMIFS(FundRaw!$G$4:$G$281,FundRaw!$C$4:$C$281,"orcl",FundRaw!$E$4:$E$281,"2025",FundRaw!$F$4:$F$281,"bond_issue",FundRaw!$O$4:$O$281,1))</f>
        <v/>
      </c>
      <c r="K18" s="33" t="str">
        <f aca="false">IF((COUNTIFS(FundRaw!$C$4:$C$281,"orcl",FundRaw!$E$4:$E$281,"2025",FundRaw!$F$4:$F$281,"term_loan",FundRaw!$O$4:$O$281,1))=0,"",SUMIFS(FundRaw!$G$4:$G$281,FundRaw!$C$4:$C$281,"orcl",FundRaw!$E$4:$E$281,"2025",FundRaw!$F$4:$F$281,"term_loan",FundRaw!$O$4:$O$281,1))</f>
        <v/>
      </c>
      <c r="L18" s="33" t="str">
        <f aca="false">IF((COUNTIFS(FundRaw!$C$4:$C$281,"orcl",FundRaw!$E$4:$E$281,"2025",FundRaw!$F$4:$F$281,"gpu_debt",FundRaw!$O$4:$O$281,1))=0,"",SUMIFS(FundRaw!$G$4:$G$281,FundRaw!$C$4:$C$281,"orcl",FundRaw!$E$4:$E$281,"2025",FundRaw!$F$4:$F$281,"gpu_debt",FundRaw!$O$4:$O$281,1))</f>
        <v/>
      </c>
      <c r="M18" s="33" t="str">
        <f aca="false">IF((COUNTIFS(FundRaw!$C$4:$C$281,"orcl",FundRaw!$E$4:$E$281,"2025",FundRaw!$F$4:$F$281,"private_credit",FundRaw!$O$4:$O$281,1))=0,"",SUMIFS(FundRaw!$G$4:$G$281,FundRaw!$C$4:$C$281,"orcl",FundRaw!$E$4:$E$281,"2025",FundRaw!$F$4:$F$281,"private_credit",FundRaw!$O$4:$O$281,1))</f>
        <v/>
      </c>
      <c r="N18" s="33" t="str">
        <f aca="false">IF((COUNTIFS(FundRaw!$C$4:$C$281,"orcl",FundRaw!$E$4:$E$281,"2025",FundRaw!$F$4:$F$281,"net_debt_change",FundRaw!$O$4:$O$281,1))=0,"",SUMIFS(FundRaw!$G$4:$G$281,FundRaw!$C$4:$C$281,"orcl",FundRaw!$E$4:$E$281,"2025",FundRaw!$F$4:$F$281,"net_debt_change",FundRaw!$O$4:$O$281,1))</f>
        <v/>
      </c>
      <c r="O18" s="33" t="str">
        <f aca="false">IF((COUNTIFS(FundRaw!$C$4:$C$281,"orcl",FundRaw!$E$4:$E$281,"2025",FundRaw!$F$4:$F$281,"lease_not_commenced",FundRaw!$O$4:$O$281,1))=0,"",SUMIFS(FundRaw!$G$4:$G$281,FundRaw!$C$4:$C$281,"orcl",FundRaw!$E$4:$E$281,"2025",FundRaw!$F$4:$F$281,"lease_not_commenced",FundRaw!$O$4:$O$281,1))</f>
        <v/>
      </c>
      <c r="P18" s="33" t="n">
        <f aca="false">IF((COUNTIFS(FundRaw!$C$4:$C$281,"orcl",FundRaw!$E$4:$E$281,"2025",FundRaw!$F$4:$F$281,"jv_offbalance",FundRaw!$O$4:$O$281,1))=0,"",SUMIFS(FundRaw!$G$4:$G$281,FundRaw!$C$4:$C$281,"orcl",FundRaw!$E$4:$E$281,"2025",FundRaw!$F$4:$F$281,"jv_offbalance",FundRaw!$O$4:$O$281,1))</f>
        <v>15</v>
      </c>
      <c r="Q18" s="33" t="str">
        <f aca="false">IF((COUNTIFS(FundRaw!$C$4:$C$281,"orcl",FundRaw!$E$4:$E$281,"2025",FundRaw!$F$4:$F$281,"jv_exposure",FundRaw!$O$4:$O$281,1))=0,"",SUMIFS(FundRaw!$G$4:$G$281,FundRaw!$C$4:$C$281,"orcl",FundRaw!$E$4:$E$281,"2025",FundRaw!$F$4:$F$281,"jv_exposure",FundRaw!$O$4:$O$281,1))</f>
        <v/>
      </c>
      <c r="R18" s="33" t="str">
        <f aca="false">IF((COUNTIFS(FundRaw!$C$4:$C$281,"orcl",FundRaw!$E$4:$E$281,"2025",FundRaw!$F$4:$F$281,"equity_round",FundRaw!$O$4:$O$281,1))=0,"",SUMIFS(FundRaw!$G$4:$G$281,FundRaw!$C$4:$C$281,"orcl",FundRaw!$E$4:$E$281,"2025",FundRaw!$F$4:$F$281,"equity_round",FundRaw!$O$4:$O$281,1))</f>
        <v/>
      </c>
      <c r="S18" s="33" t="str">
        <f aca="false">IF((COUNTIFS(FundRaw!$C$4:$C$281,"orcl",FundRaw!$E$4:$E$281,"2025",FundRaw!$F$4:$F$281,"vendor_financing",FundRaw!$O$4:$O$281,1))=0,"",SUMIFS(FundRaw!$G$4:$G$281,FundRaw!$C$4:$C$281,"orcl",FundRaw!$E$4:$E$281,"2025",FundRaw!$F$4:$F$281,"vendor_financing",FundRaw!$O$4:$O$281,1))</f>
        <v/>
      </c>
      <c r="T18" s="33" t="str">
        <f aca="false">IF((COUNTIFS(FundRaw!$C$4:$C$281,"orcl",FundRaw!$E$4:$E$281,"2025",FundRaw!$F$4:$F$281,"buyback_div",FundRaw!$O$4:$O$281,1))=0,"",SUMIFS(FundRaw!$G$4:$G$281,FundRaw!$C$4:$C$281,"orcl",FundRaw!$E$4:$E$281,"2025",FundRaw!$F$4:$F$281,"buyback_div",FundRaw!$O$4:$O$281,1))</f>
        <v/>
      </c>
      <c r="U18" s="33" t="str">
        <f aca="false">IF((COUNTIFS(FundRaw!$C$4:$C$281,"orcl",FundRaw!$E$4:$E$281,"2025",FundRaw!$F$4:$F$281,"gpu_debt_talks",FundRaw!$O$4:$O$281,1))=0,"",SUMIFS(FundRaw!$G$4:$G$281,FundRaw!$C$4:$C$281,"orcl",FundRaw!$E$4:$E$281,"2025",FundRaw!$F$4:$F$281,"gpu_debt_talks",FundRaw!$O$4:$O$281,1))</f>
        <v/>
      </c>
      <c r="V18" s="33" t="str">
        <f aca="false">IF((COUNTIFS(FundRaw!$C$4:$C$281,"orcl",FundRaw!$E$4:$E$281,"2025",FundRaw!$F$4:$F$281,"bridge_refi",FundRaw!$O$4:$O$281,1))=0,"",SUMIFS(FundRaw!$G$4:$G$281,FundRaw!$C$4:$C$281,"orcl",FundRaw!$E$4:$E$281,"2025",FundRaw!$F$4:$F$281,"bridge_refi",FundRaw!$O$4:$O$281,1))</f>
        <v/>
      </c>
      <c r="W18" s="33" t="str">
        <f aca="false">IF(H18&lt;&gt;"",H18,IF(F18&lt;&gt;"",F18+N(G18),""))</f>
        <v/>
      </c>
      <c r="X18" s="33" t="str">
        <f aca="false">IF(OR(W18="",E18=""),"",MAX(0,MIN(N(E18),W18-N(Y18))))</f>
        <v/>
      </c>
      <c r="Y18" s="33" t="str">
        <f aca="false">IF(W18="","",IF(AND(H18&lt;&gt;"",F18&lt;&gt;""),MAX(0,H18-F18),N(G18)))</f>
        <v/>
      </c>
      <c r="Z18" s="33" t="str">
        <f aca="false">IF(W18="","",MAX(0,MIN(N(R18),W18-N(X18)-N(Y18))))</f>
        <v/>
      </c>
      <c r="AA18" s="33" t="str">
        <f aca="false">IF(W18="","",MAX(0,MIN(N(J18)+N(K18)+N(L18)+N(M18),W18-N(X18)-N(Y18)-N(Z18))))</f>
        <v/>
      </c>
      <c r="AB18" s="33" t="str">
        <f aca="false">IF(W18="","",W18-N(X18)-N(Y18)-N(Z18)-N(AA18))</f>
        <v/>
      </c>
      <c r="AC18" s="38" t="str">
        <f aca="false">IF(OR(W18="",N(W18)=0,X18=""),"",X18/W18)</f>
        <v/>
      </c>
      <c r="AD18" s="38" t="str">
        <f aca="false">IF(OR(W18="",N(W18)=0,Y18=""),"",Y18/W18)</f>
        <v/>
      </c>
      <c r="AE18" s="38" t="str">
        <f aca="false">IF(OR(W18="",N(W18)=0,Z18=""),"",Z18/W18)</f>
        <v/>
      </c>
      <c r="AF18" s="38" t="str">
        <f aca="false">IF(OR(W18="",N(W18)=0,AA18=""),"",AA18/W18)</f>
        <v/>
      </c>
      <c r="AG18" s="38" t="str">
        <f aca="false">IF(OR(W18="",N(W18)=0,AB18=""),"",AB18/W18)</f>
        <v/>
      </c>
      <c r="AH18" s="33" t="n">
        <f aca="false">N(J18)+N(K18)+N(L18)+N(M18)+N(R18)+N(G18)</f>
        <v>0</v>
      </c>
      <c r="AI18" s="23" t="str">
        <f aca="false">IF(N(AH18)=0,"",(N(J18)+N(K18)+N(L18)+N(M18))/AH18)</f>
        <v/>
      </c>
      <c r="AJ18" s="23" t="str">
        <f aca="false">IF(N(AH18)=0,"",(N(R18))/AH18)</f>
        <v/>
      </c>
      <c r="AK18" s="23" t="str">
        <f aca="false">IF(N(AH18)=0,"",(N(G18))/AH18)</f>
        <v/>
      </c>
      <c r="AL18" s="33" t="n">
        <f aca="false">N(J18)+N(K18)+N(L18)+N(M18)+IF(AND(H18&lt;&gt;"",F18&lt;&gt;""),MAX(0,H18-F18),N(G18))+N(P18)+N(R18)</f>
        <v>15</v>
      </c>
      <c r="AM18" s="38" t="str">
        <f aca="false">IF(OR(W18="",N(W18)=0),"",AL18/W18)</f>
        <v/>
      </c>
      <c r="AN18" s="38" t="str">
        <f aca="false">IF(OR(W18="",N(W18)=0,E18=""),"",E18/W18)</f>
        <v/>
      </c>
      <c r="AO18" s="23" t="str">
        <f aca="false">IF(OR(W18="",N(W18)=0),"",(N(J18)+N(K18)+N(L18)+N(M18))/W18)</f>
        <v/>
      </c>
      <c r="AP18" s="23" t="str">
        <f aca="false">IF(OR(W18="",N(W18)=0),"",N(R18)/W18)</f>
        <v/>
      </c>
      <c r="AQ18" s="23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2085</v>
      </c>
      <c r="B19" s="0" t="s">
        <v>752</v>
      </c>
      <c r="C19" s="0" t="n">
        <v>2026</v>
      </c>
      <c r="D19" s="0" t="s">
        <v>2079</v>
      </c>
      <c r="E19" s="33" t="n">
        <f aca="false">IF((COUNTIFS(FundRaw!$C$4:$C$281,"orcl",FundRaw!$E$4:$E$281,"2026",FundRaw!$F$4:$F$281,"ocf",FundRaw!$O$4:$O$281,1))=0,"",SUMIFS(FundRaw!$G$4:$G$281,FundRaw!$C$4:$C$281,"orcl",FundRaw!$E$4:$E$281,"2026",FundRaw!$F$4:$F$281,"ocf",FundRaw!$O$4:$O$281,1))</f>
        <v>31.977</v>
      </c>
      <c r="F19" s="33" t="n">
        <f aca="false">IF((COUNTIFS(FundRaw!$C$4:$C$281,"orcl",FundRaw!$E$4:$E$281,"2026",FundRaw!$F$4:$F$281,"capex_cash",FundRaw!$O$4:$O$281,1))=0,"",SUMIFS(FundRaw!$G$4:$G$281,FundRaw!$C$4:$C$281,"orcl",FundRaw!$E$4:$E$281,"2026",FundRaw!$F$4:$F$281,"capex_cash",FundRaw!$O$4:$O$281,1))</f>
        <v>55.663</v>
      </c>
      <c r="G19" s="33" t="str">
        <f aca="false">IF((COUNTIFS(FundRaw!$C$4:$C$281,"orcl",FundRaw!$E$4:$E$281,"2026",FundRaw!$F$4:$F$281,"fin_lease_new",FundRaw!$O$4:$O$281,1))=0,"",SUMIFS(FundRaw!$G$4:$G$281,FundRaw!$C$4:$C$281,"orcl",FundRaw!$E$4:$E$281,"2026",FundRaw!$F$4:$F$281,"fin_lease_new",FundRaw!$O$4:$O$281,1))</f>
        <v/>
      </c>
      <c r="H19" s="33" t="str">
        <f aca="false">IF((COUNTIFS(FundRaw!$C$4:$C$281,"orcl",FundRaw!$E$4:$E$281,"2026",FundRaw!$F$4:$F$281,"capex_incl_fl",FundRaw!$O$4:$O$281,1))=0,"",SUMIFS(FundRaw!$G$4:$G$281,FundRaw!$C$4:$C$281,"orcl",FundRaw!$E$4:$E$281,"2026",FundRaw!$F$4:$F$281,"capex_incl_fl",FundRaw!$O$4:$O$281,1))</f>
        <v/>
      </c>
      <c r="I19" s="33" t="n">
        <f aca="false">IF((COUNTIFS(FundRaw!$C$4:$C$281,"orcl",FundRaw!$E$4:$E$281,"2026",FundRaw!$F$4:$F$281,"fcf",FundRaw!$O$4:$O$281,1))=0,"",SUMIFS(FundRaw!$G$4:$G$281,FundRaw!$C$4:$C$281,"orcl",FundRaw!$E$4:$E$281,"2026",FundRaw!$F$4:$F$281,"fcf",FundRaw!$O$4:$O$281,1))</f>
        <v>-23.686</v>
      </c>
      <c r="J19" s="33" t="n">
        <f aca="false">IF((COUNTIFS(FundRaw!$C$4:$C$281,"orcl",FundRaw!$E$4:$E$281,"2026",FundRaw!$F$4:$F$281,"bond_issue",FundRaw!$O$4:$O$281,1))=0,"",SUMIFS(FundRaw!$G$4:$G$281,FundRaw!$C$4:$C$281,"orcl",FundRaw!$E$4:$E$281,"2026",FundRaw!$F$4:$F$281,"bond_issue",FundRaw!$O$4:$O$281,1))</f>
        <v>43</v>
      </c>
      <c r="K19" s="33" t="str">
        <f aca="false">IF((COUNTIFS(FundRaw!$C$4:$C$281,"orcl",FundRaw!$E$4:$E$281,"2026",FundRaw!$F$4:$F$281,"term_loan",FundRaw!$O$4:$O$281,1))=0,"",SUMIFS(FundRaw!$G$4:$G$281,FundRaw!$C$4:$C$281,"orcl",FundRaw!$E$4:$E$281,"2026",FundRaw!$F$4:$F$281,"term_loan",FundRaw!$O$4:$O$281,1))</f>
        <v/>
      </c>
      <c r="L19" s="33" t="str">
        <f aca="false">IF((COUNTIFS(FundRaw!$C$4:$C$281,"orcl",FundRaw!$E$4:$E$281,"2026",FundRaw!$F$4:$F$281,"gpu_debt",FundRaw!$O$4:$O$281,1))=0,"",SUMIFS(FundRaw!$G$4:$G$281,FundRaw!$C$4:$C$281,"orcl",FundRaw!$E$4:$E$281,"2026",FundRaw!$F$4:$F$281,"gpu_debt",FundRaw!$O$4:$O$281,1))</f>
        <v/>
      </c>
      <c r="M19" s="33" t="str">
        <f aca="false">IF((COUNTIFS(FundRaw!$C$4:$C$281,"orcl",FundRaw!$E$4:$E$281,"2026",FundRaw!$F$4:$F$281,"private_credit",FundRaw!$O$4:$O$281,1))=0,"",SUMIFS(FundRaw!$G$4:$G$281,FundRaw!$C$4:$C$281,"orcl",FundRaw!$E$4:$E$281,"2026",FundRaw!$F$4:$F$281,"private_credit",FundRaw!$O$4:$O$281,1))</f>
        <v/>
      </c>
      <c r="N19" s="33" t="str">
        <f aca="false">IF((COUNTIFS(FundRaw!$C$4:$C$281,"orcl",FundRaw!$E$4:$E$281,"2026",FundRaw!$F$4:$F$281,"net_debt_change",FundRaw!$O$4:$O$281,1))=0,"",SUMIFS(FundRaw!$G$4:$G$281,FundRaw!$C$4:$C$281,"orcl",FundRaw!$E$4:$E$281,"2026",FundRaw!$F$4:$F$281,"net_debt_change",FundRaw!$O$4:$O$281,1))</f>
        <v/>
      </c>
      <c r="O19" s="33" t="n">
        <f aca="false">IF((COUNTIFS(FundRaw!$C$4:$C$281,"orcl",FundRaw!$E$4:$E$281,"2026",FundRaw!$F$4:$F$281,"lease_not_commenced",FundRaw!$O$4:$O$281,1))=0,"",SUMIFS(FundRaw!$G$4:$G$281,FundRaw!$C$4:$C$281,"orcl",FundRaw!$E$4:$E$281,"2026",FundRaw!$F$4:$F$281,"lease_not_commenced",FundRaw!$O$4:$O$281,1))</f>
        <v>260</v>
      </c>
      <c r="P19" s="33" t="n">
        <f aca="false">IF((COUNTIFS(FundRaw!$C$4:$C$281,"orcl",FundRaw!$E$4:$E$281,"2026",FundRaw!$F$4:$F$281,"jv_offbalance",FundRaw!$O$4:$O$281,1))=0,"",SUMIFS(FundRaw!$G$4:$G$281,FundRaw!$C$4:$C$281,"orcl",FundRaw!$E$4:$E$281,"2026",FundRaw!$F$4:$F$281,"jv_offbalance",FundRaw!$O$4:$O$281,1))</f>
        <v>56</v>
      </c>
      <c r="Q19" s="33" t="str">
        <f aca="false">IF((COUNTIFS(FundRaw!$C$4:$C$281,"orcl",FundRaw!$E$4:$E$281,"2026",FundRaw!$F$4:$F$281,"jv_exposure",FundRaw!$O$4:$O$281,1))=0,"",SUMIFS(FundRaw!$G$4:$G$281,FundRaw!$C$4:$C$281,"orcl",FundRaw!$E$4:$E$281,"2026",FundRaw!$F$4:$F$281,"jv_exposure",FundRaw!$O$4:$O$281,1))</f>
        <v/>
      </c>
      <c r="R19" s="33" t="n">
        <f aca="false">IF((COUNTIFS(FundRaw!$C$4:$C$281,"orcl",FundRaw!$E$4:$E$281,"2026",FundRaw!$F$4:$F$281,"equity_round",FundRaw!$O$4:$O$281,1))=0,"",SUMIFS(FundRaw!$G$4:$G$281,FundRaw!$C$4:$C$281,"orcl",FundRaw!$E$4:$E$281,"2026",FundRaw!$F$4:$F$281,"equity_round",FundRaw!$O$4:$O$281,1))</f>
        <v>5</v>
      </c>
      <c r="S19" s="33" t="str">
        <f aca="false">IF((COUNTIFS(FundRaw!$C$4:$C$281,"orcl",FundRaw!$E$4:$E$281,"2026",FundRaw!$F$4:$F$281,"vendor_financing",FundRaw!$O$4:$O$281,1))=0,"",SUMIFS(FundRaw!$G$4:$G$281,FundRaw!$C$4:$C$281,"orcl",FundRaw!$E$4:$E$281,"2026",FundRaw!$F$4:$F$281,"vendor_financing",FundRaw!$O$4:$O$281,1))</f>
        <v/>
      </c>
      <c r="T19" s="33" t="str">
        <f aca="false">IF((COUNTIFS(FundRaw!$C$4:$C$281,"orcl",FundRaw!$E$4:$E$281,"2026",FundRaw!$F$4:$F$281,"buyback_div",FundRaw!$O$4:$O$281,1))=0,"",SUMIFS(FundRaw!$G$4:$G$281,FundRaw!$C$4:$C$281,"orcl",FundRaw!$E$4:$E$281,"2026",FundRaw!$F$4:$F$281,"buyback_div",FundRaw!$O$4:$O$281,1))</f>
        <v/>
      </c>
      <c r="U19" s="33" t="str">
        <f aca="false">IF((COUNTIFS(FundRaw!$C$4:$C$281,"orcl",FundRaw!$E$4:$E$281,"2026",FundRaw!$F$4:$F$281,"gpu_debt_talks",FundRaw!$O$4:$O$281,1))=0,"",SUMIFS(FundRaw!$G$4:$G$281,FundRaw!$C$4:$C$281,"orcl",FundRaw!$E$4:$E$281,"2026",FundRaw!$F$4:$F$281,"gpu_debt_talks",FundRaw!$O$4:$O$281,1))</f>
        <v/>
      </c>
      <c r="V19" s="33" t="str">
        <f aca="false">IF((COUNTIFS(FundRaw!$C$4:$C$281,"orcl",FundRaw!$E$4:$E$281,"2026",FundRaw!$F$4:$F$281,"bridge_refi",FundRaw!$O$4:$O$281,1))=0,"",SUMIFS(FundRaw!$G$4:$G$281,FundRaw!$C$4:$C$281,"orcl",FundRaw!$E$4:$E$281,"2026",FundRaw!$F$4:$F$281,"bridge_refi",FundRaw!$O$4:$O$281,1))</f>
        <v/>
      </c>
      <c r="W19" s="33" t="n">
        <f aca="false">IF(H19&lt;&gt;"",H19,IF(F19&lt;&gt;"",F19+N(G19),""))</f>
        <v>55.663</v>
      </c>
      <c r="X19" s="33" t="n">
        <f aca="false">IF(OR(W19="",E19=""),"",MAX(0,MIN(N(E19),W19-N(Y19))))</f>
        <v>31.977</v>
      </c>
      <c r="Y19" s="33" t="n">
        <f aca="false">IF(W19="","",IF(AND(H19&lt;&gt;"",F19&lt;&gt;""),MAX(0,H19-F19),N(G19)))</f>
        <v>0</v>
      </c>
      <c r="Z19" s="33" t="n">
        <f aca="false">IF(W19="","",MAX(0,MIN(N(R19),W19-N(X19)-N(Y19))))</f>
        <v>5</v>
      </c>
      <c r="AA19" s="33" t="n">
        <f aca="false">IF(W19="","",MAX(0,MIN(N(J19)+N(K19)+N(L19)+N(M19),W19-N(X19)-N(Y19)-N(Z19))))</f>
        <v>18.686</v>
      </c>
      <c r="AB19" s="33" t="n">
        <f aca="false">IF(W19="","",W19-N(X19)-N(Y19)-N(Z19)-N(AA19))</f>
        <v>0</v>
      </c>
      <c r="AC19" s="38" t="n">
        <f aca="false">IF(OR(W19="",N(W19)=0,X19=""),"",X19/W19)</f>
        <v>0.574474965416884</v>
      </c>
      <c r="AD19" s="38" t="n">
        <f aca="false">IF(OR(W19="",N(W19)=0,Y19=""),"",Y19/W19)</f>
        <v>0</v>
      </c>
      <c r="AE19" s="38" t="n">
        <f aca="false">IF(OR(W19="",N(W19)=0,Z19=""),"",Z19/W19)</f>
        <v>0.0898262759822503</v>
      </c>
      <c r="AF19" s="38" t="n">
        <f aca="false">IF(OR(W19="",N(W19)=0,AA19=""),"",AA19/W19)</f>
        <v>0.335698758600866</v>
      </c>
      <c r="AG19" s="38" t="n">
        <f aca="false">IF(OR(W19="",N(W19)=0,AB19=""),"",AB19/W19)</f>
        <v>0</v>
      </c>
      <c r="AH19" s="33" t="n">
        <f aca="false">N(J19)+N(K19)+N(L19)+N(M19)+N(R19)+N(G19)</f>
        <v>48</v>
      </c>
      <c r="AI19" s="23" t="n">
        <f aca="false">IF(N(AH19)=0,"",(N(J19)+N(K19)+N(L19)+N(M19))/AH19)</f>
        <v>0.895833333333333</v>
      </c>
      <c r="AJ19" s="23" t="n">
        <f aca="false">IF(N(AH19)=0,"",(N(R19))/AH19)</f>
        <v>0.104166666666667</v>
      </c>
      <c r="AK19" s="23" t="n">
        <f aca="false">IF(N(AH19)=0,"",(N(G19))/AH19)</f>
        <v>0</v>
      </c>
      <c r="AL19" s="33" t="n">
        <f aca="false">N(J19)+N(K19)+N(L19)+N(M19)+IF(AND(H19&lt;&gt;"",F19&lt;&gt;""),MAX(0,H19-F19),N(G19))+N(P19)+N(R19)</f>
        <v>104</v>
      </c>
      <c r="AM19" s="38" t="n">
        <f aca="false">IF(OR(W19="",N(W19)=0),"",AL19/W19)</f>
        <v>1.86838654043081</v>
      </c>
      <c r="AN19" s="38" t="n">
        <f aca="false">IF(OR(W19="",N(W19)=0,E19=""),"",E19/W19)</f>
        <v>0.574474965416884</v>
      </c>
      <c r="AO19" s="23" t="n">
        <f aca="false">IF(OR(W19="",N(W19)=0),"",(N(J19)+N(K19)+N(L19)+N(M19))/W19)</f>
        <v>0.772505973447353</v>
      </c>
      <c r="AP19" s="23" t="n">
        <f aca="false">IF(OR(W19="",N(W19)=0),"",N(R19)/W19)</f>
        <v>0.0898262759822503</v>
      </c>
      <c r="AQ19" s="23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1467</v>
      </c>
      <c r="B20" s="0" t="s">
        <v>842</v>
      </c>
      <c r="C20" s="0" t="n">
        <v>2024</v>
      </c>
      <c r="D20" s="0" t="s">
        <v>2081</v>
      </c>
      <c r="E20" s="33" t="n">
        <f aca="false">IF((COUNTIFS(FundRaw!$C$4:$C$281,"crwv",FundRaw!$E$4:$E$281,"2024",FundRaw!$F$4:$F$281,"ocf",FundRaw!$O$4:$O$281,1))=0,"",SUMIFS(FundRaw!$G$4:$G$281,FundRaw!$C$4:$C$281,"crwv",FundRaw!$E$4:$E$281,"2024",FundRaw!$F$4:$F$281,"ocf",FundRaw!$O$4:$O$281,1))</f>
        <v>2.749</v>
      </c>
      <c r="F20" s="33" t="n">
        <f aca="false">IF((COUNTIFS(FundRaw!$C$4:$C$281,"crwv",FundRaw!$E$4:$E$281,"2024",FundRaw!$F$4:$F$281,"capex_cash",FundRaw!$O$4:$O$281,1))=0,"",SUMIFS(FundRaw!$G$4:$G$281,FundRaw!$C$4:$C$281,"crwv",FundRaw!$E$4:$E$281,"2024",FundRaw!$F$4:$F$281,"capex_cash",FundRaw!$O$4:$O$281,1))</f>
        <v>8.702</v>
      </c>
      <c r="G20" s="33" t="str">
        <f aca="false">IF((COUNTIFS(FundRaw!$C$4:$C$281,"crwv",FundRaw!$E$4:$E$281,"2024",FundRaw!$F$4:$F$281,"fin_lease_new",FundRaw!$O$4:$O$281,1))=0,"",SUMIFS(FundRaw!$G$4:$G$281,FundRaw!$C$4:$C$281,"crwv",FundRaw!$E$4:$E$281,"2024",FundRaw!$F$4:$F$281,"fin_lease_new",FundRaw!$O$4:$O$281,1))</f>
        <v/>
      </c>
      <c r="H20" s="33" t="str">
        <f aca="false">IF((COUNTIFS(FundRaw!$C$4:$C$281,"crwv",FundRaw!$E$4:$E$281,"2024",FundRaw!$F$4:$F$281,"capex_incl_fl",FundRaw!$O$4:$O$281,1))=0,"",SUMIFS(FundRaw!$G$4:$G$281,FundRaw!$C$4:$C$281,"crwv",FundRaw!$E$4:$E$281,"2024",FundRaw!$F$4:$F$281,"capex_incl_fl",FundRaw!$O$4:$O$281,1))</f>
        <v/>
      </c>
      <c r="I20" s="33" t="str">
        <f aca="false">IF((COUNTIFS(FundRaw!$C$4:$C$281,"crwv",FundRaw!$E$4:$E$281,"2024",FundRaw!$F$4:$F$281,"fcf",FundRaw!$O$4:$O$281,1))=0,"",SUMIFS(FundRaw!$G$4:$G$281,FundRaw!$C$4:$C$281,"crwv",FundRaw!$E$4:$E$281,"2024",FundRaw!$F$4:$F$281,"fcf",FundRaw!$O$4:$O$281,1))</f>
        <v/>
      </c>
      <c r="J20" s="33" t="str">
        <f aca="false">IF((COUNTIFS(FundRaw!$C$4:$C$281,"crwv",FundRaw!$E$4:$E$281,"2024",FundRaw!$F$4:$F$281,"bond_issue",FundRaw!$O$4:$O$281,1))=0,"",SUMIFS(FundRaw!$G$4:$G$281,FundRaw!$C$4:$C$281,"crwv",FundRaw!$E$4:$E$281,"2024",FundRaw!$F$4:$F$281,"bond_issue",FundRaw!$O$4:$O$281,1))</f>
        <v/>
      </c>
      <c r="K20" s="33" t="str">
        <f aca="false">IF((COUNTIFS(FundRaw!$C$4:$C$281,"crwv",FundRaw!$E$4:$E$281,"2024",FundRaw!$F$4:$F$281,"term_loan",FundRaw!$O$4:$O$281,1))=0,"",SUMIFS(FundRaw!$G$4:$G$281,FundRaw!$C$4:$C$281,"crwv",FundRaw!$E$4:$E$281,"2024",FundRaw!$F$4:$F$281,"term_loan",FundRaw!$O$4:$O$281,1))</f>
        <v/>
      </c>
      <c r="L20" s="33" t="n">
        <f aca="false">IF((COUNTIFS(FundRaw!$C$4:$C$281,"crwv",FundRaw!$E$4:$E$281,"2024",FundRaw!$F$4:$F$281,"gpu_debt",FundRaw!$O$4:$O$281,1))=0,"",SUMIFS(FundRaw!$G$4:$G$281,FundRaw!$C$4:$C$281,"crwv",FundRaw!$E$4:$E$281,"2024",FundRaw!$F$4:$F$281,"gpu_debt",FundRaw!$O$4:$O$281,1))</f>
        <v>7.018</v>
      </c>
      <c r="M20" s="33" t="str">
        <f aca="false">IF((COUNTIFS(FundRaw!$C$4:$C$281,"crwv",FundRaw!$E$4:$E$281,"2024",FundRaw!$F$4:$F$281,"private_credit",FundRaw!$O$4:$O$281,1))=0,"",SUMIFS(FundRaw!$G$4:$G$281,FundRaw!$C$4:$C$281,"crwv",FundRaw!$E$4:$E$281,"2024",FundRaw!$F$4:$F$281,"private_credit",FundRaw!$O$4:$O$281,1))</f>
        <v/>
      </c>
      <c r="N20" s="33" t="str">
        <f aca="false">IF((COUNTIFS(FundRaw!$C$4:$C$281,"crwv",FundRaw!$E$4:$E$281,"2024",FundRaw!$F$4:$F$281,"net_debt_change",FundRaw!$O$4:$O$281,1))=0,"",SUMIFS(FundRaw!$G$4:$G$281,FundRaw!$C$4:$C$281,"crwv",FundRaw!$E$4:$E$281,"2024",FundRaw!$F$4:$F$281,"net_debt_change",FundRaw!$O$4:$O$281,1))</f>
        <v/>
      </c>
      <c r="O20" s="33" t="str">
        <f aca="false">IF((COUNTIFS(FundRaw!$C$4:$C$281,"crwv",FundRaw!$E$4:$E$281,"2024",FundRaw!$F$4:$F$281,"lease_not_commenced",FundRaw!$O$4:$O$281,1))=0,"",SUMIFS(FundRaw!$G$4:$G$281,FundRaw!$C$4:$C$281,"crwv",FundRaw!$E$4:$E$281,"2024",FundRaw!$F$4:$F$281,"lease_not_commenced",FundRaw!$O$4:$O$281,1))</f>
        <v/>
      </c>
      <c r="P20" s="33" t="str">
        <f aca="false">IF((COUNTIFS(FundRaw!$C$4:$C$281,"crwv",FundRaw!$E$4:$E$281,"2024",FundRaw!$F$4:$F$281,"jv_offbalance",FundRaw!$O$4:$O$281,1))=0,"",SUMIFS(FundRaw!$G$4:$G$281,FundRaw!$C$4:$C$281,"crwv",FundRaw!$E$4:$E$281,"2024",FundRaw!$F$4:$F$281,"jv_offbalance",FundRaw!$O$4:$O$281,1))</f>
        <v/>
      </c>
      <c r="Q20" s="33" t="str">
        <f aca="false">IF((COUNTIFS(FundRaw!$C$4:$C$281,"crwv",FundRaw!$E$4:$E$281,"2024",FundRaw!$F$4:$F$281,"jv_exposure",FundRaw!$O$4:$O$281,1))=0,"",SUMIFS(FundRaw!$G$4:$G$281,FundRaw!$C$4:$C$281,"crwv",FundRaw!$E$4:$E$281,"2024",FundRaw!$F$4:$F$281,"jv_exposure",FundRaw!$O$4:$O$281,1))</f>
        <v/>
      </c>
      <c r="R20" s="33" t="str">
        <f aca="false">IF((COUNTIFS(FundRaw!$C$4:$C$281,"crwv",FundRaw!$E$4:$E$281,"2024",FundRaw!$F$4:$F$281,"equity_round",FundRaw!$O$4:$O$281,1))=0,"",SUMIFS(FundRaw!$G$4:$G$281,FundRaw!$C$4:$C$281,"crwv",FundRaw!$E$4:$E$281,"2024",FundRaw!$F$4:$F$281,"equity_round",FundRaw!$O$4:$O$281,1))</f>
        <v/>
      </c>
      <c r="S20" s="33" t="str">
        <f aca="false">IF((COUNTIFS(FundRaw!$C$4:$C$281,"crwv",FundRaw!$E$4:$E$281,"2024",FundRaw!$F$4:$F$281,"vendor_financing",FundRaw!$O$4:$O$281,1))=0,"",SUMIFS(FundRaw!$G$4:$G$281,FundRaw!$C$4:$C$281,"crwv",FundRaw!$E$4:$E$281,"2024",FundRaw!$F$4:$F$281,"vendor_financing",FundRaw!$O$4:$O$281,1))</f>
        <v/>
      </c>
      <c r="T20" s="33" t="str">
        <f aca="false">IF((COUNTIFS(FundRaw!$C$4:$C$281,"crwv",FundRaw!$E$4:$E$281,"2024",FundRaw!$F$4:$F$281,"buyback_div",FundRaw!$O$4:$O$281,1))=0,"",SUMIFS(FundRaw!$G$4:$G$281,FundRaw!$C$4:$C$281,"crwv",FundRaw!$E$4:$E$281,"2024",FundRaw!$F$4:$F$281,"buyback_div",FundRaw!$O$4:$O$281,1))</f>
        <v/>
      </c>
      <c r="U20" s="33" t="str">
        <f aca="false">IF((COUNTIFS(FundRaw!$C$4:$C$281,"crwv",FundRaw!$E$4:$E$281,"2024",FundRaw!$F$4:$F$281,"gpu_debt_talks",FundRaw!$O$4:$O$281,1))=0,"",SUMIFS(FundRaw!$G$4:$G$281,FundRaw!$C$4:$C$281,"crwv",FundRaw!$E$4:$E$281,"2024",FundRaw!$F$4:$F$281,"gpu_debt_talks",FundRaw!$O$4:$O$281,1))</f>
        <v/>
      </c>
      <c r="V20" s="33" t="str">
        <f aca="false">IF((COUNTIFS(FundRaw!$C$4:$C$281,"crwv",FundRaw!$E$4:$E$281,"2024",FundRaw!$F$4:$F$281,"bridge_refi",FundRaw!$O$4:$O$281,1))=0,"",SUMIFS(FundRaw!$G$4:$G$281,FundRaw!$C$4:$C$281,"crwv",FundRaw!$E$4:$E$281,"2024",FundRaw!$F$4:$F$281,"bridge_refi",FundRaw!$O$4:$O$281,1))</f>
        <v/>
      </c>
      <c r="W20" s="33" t="n">
        <f aca="false">IF(H20&lt;&gt;"",H20,IF(F20&lt;&gt;"",F20+N(G20),""))</f>
        <v>8.702</v>
      </c>
      <c r="X20" s="33" t="n">
        <f aca="false">IF(OR(W20="",E20=""),"",MAX(0,MIN(N(E20),W20-N(Y20))))</f>
        <v>2.749</v>
      </c>
      <c r="Y20" s="33" t="n">
        <f aca="false">IF(W20="","",IF(AND(H20&lt;&gt;"",F20&lt;&gt;""),MAX(0,H20-F20),N(G20)))</f>
        <v>0</v>
      </c>
      <c r="Z20" s="33" t="n">
        <f aca="false">IF(W20="","",MAX(0,MIN(N(R20),W20-N(X20)-N(Y20))))</f>
        <v>0</v>
      </c>
      <c r="AA20" s="33" t="n">
        <f aca="false">IF(W20="","",MAX(0,MIN(N(J20)+N(K20)+N(L20)+N(M20),W20-N(X20)-N(Y20)-N(Z20))))</f>
        <v>5.953</v>
      </c>
      <c r="AB20" s="33" t="n">
        <f aca="false">IF(W20="","",W20-N(X20)-N(Y20)-N(Z20)-N(AA20))</f>
        <v>0</v>
      </c>
      <c r="AC20" s="38" t="n">
        <f aca="false">IF(OR(W20="",N(W20)=0,X20=""),"",X20/W20)</f>
        <v>0.315904389795449</v>
      </c>
      <c r="AD20" s="38" t="n">
        <f aca="false">IF(OR(W20="",N(W20)=0,Y20=""),"",Y20/W20)</f>
        <v>0</v>
      </c>
      <c r="AE20" s="38" t="n">
        <f aca="false">IF(OR(W20="",N(W20)=0,Z20=""),"",Z20/W20)</f>
        <v>0</v>
      </c>
      <c r="AF20" s="38" t="n">
        <f aca="false">IF(OR(W20="",N(W20)=0,AA20=""),"",AA20/W20)</f>
        <v>0.684095610204551</v>
      </c>
      <c r="AG20" s="38" t="n">
        <f aca="false">IF(OR(W20="",N(W20)=0,AB20=""),"",AB20/W20)</f>
        <v>0</v>
      </c>
      <c r="AH20" s="33" t="n">
        <f aca="false">N(J20)+N(K20)+N(L20)+N(M20)+N(R20)+N(G20)</f>
        <v>7.018</v>
      </c>
      <c r="AI20" s="23" t="n">
        <f aca="false">IF(N(AH20)=0,"",(N(J20)+N(K20)+N(L20)+N(M20))/AH20)</f>
        <v>1</v>
      </c>
      <c r="AJ20" s="23" t="n">
        <f aca="false">IF(N(AH20)=0,"",(N(R20))/AH20)</f>
        <v>0</v>
      </c>
      <c r="AK20" s="23" t="n">
        <f aca="false">IF(N(AH20)=0,"",(N(G20))/AH20)</f>
        <v>0</v>
      </c>
      <c r="AL20" s="33" t="n">
        <f aca="false">N(J20)+N(K20)+N(L20)+N(M20)+IF(AND(H20&lt;&gt;"",F20&lt;&gt;""),MAX(0,H20-F20),N(G20))+N(P20)+N(R20)</f>
        <v>7.018</v>
      </c>
      <c r="AM20" s="38" t="n">
        <f aca="false">IF(OR(W20="",N(W20)=0),"",AL20/W20)</f>
        <v>0.806481268673868</v>
      </c>
      <c r="AN20" s="38" t="n">
        <f aca="false">IF(OR(W20="",N(W20)=0,E20=""),"",E20/W20)</f>
        <v>0.315904389795449</v>
      </c>
      <c r="AO20" s="23" t="n">
        <f aca="false">IF(OR(W20="",N(W20)=0),"",(N(J20)+N(K20)+N(L20)+N(M20))/W20)</f>
        <v>0.806481268673868</v>
      </c>
      <c r="AP20" s="23" t="n">
        <f aca="false">IF(OR(W20="",N(W20)=0),"",N(R20)/W20)</f>
        <v>0</v>
      </c>
      <c r="AQ20" s="23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1467</v>
      </c>
      <c r="B21" s="0" t="s">
        <v>842</v>
      </c>
      <c r="C21" s="0" t="n">
        <v>2025</v>
      </c>
      <c r="D21" s="0" t="s">
        <v>2082</v>
      </c>
      <c r="E21" s="33" t="n">
        <f aca="false">IF((COUNTIFS(FundRaw!$C$4:$C$281,"crwv",FundRaw!$E$4:$E$281,"2025",FundRaw!$F$4:$F$281,"ocf",FundRaw!$O$4:$O$281,1))=0,"",SUMIFS(FundRaw!$G$4:$G$281,FundRaw!$C$4:$C$281,"crwv",FundRaw!$E$4:$E$281,"2025",FundRaw!$F$4:$F$281,"ocf",FundRaw!$O$4:$O$281,1))</f>
        <v>3.058</v>
      </c>
      <c r="F21" s="33" t="n">
        <f aca="false">IF((COUNTIFS(FundRaw!$C$4:$C$281,"crwv",FundRaw!$E$4:$E$281,"2025",FundRaw!$F$4:$F$281,"capex_cash",FundRaw!$O$4:$O$281,1))=0,"",SUMIFS(FundRaw!$G$4:$G$281,FundRaw!$C$4:$C$281,"crwv",FundRaw!$E$4:$E$281,"2025",FundRaw!$F$4:$F$281,"capex_cash",FundRaw!$O$4:$O$281,1))</f>
        <v>10.309</v>
      </c>
      <c r="G21" s="33" t="str">
        <f aca="false">IF((COUNTIFS(FundRaw!$C$4:$C$281,"crwv",FundRaw!$E$4:$E$281,"2025",FundRaw!$F$4:$F$281,"fin_lease_new",FundRaw!$O$4:$O$281,1))=0,"",SUMIFS(FundRaw!$G$4:$G$281,FundRaw!$C$4:$C$281,"crwv",FundRaw!$E$4:$E$281,"2025",FundRaw!$F$4:$F$281,"fin_lease_new",FundRaw!$O$4:$O$281,1))</f>
        <v/>
      </c>
      <c r="H21" s="33" t="str">
        <f aca="false">IF((COUNTIFS(FundRaw!$C$4:$C$281,"crwv",FundRaw!$E$4:$E$281,"2025",FundRaw!$F$4:$F$281,"capex_incl_fl",FundRaw!$O$4:$O$281,1))=0,"",SUMIFS(FundRaw!$G$4:$G$281,FundRaw!$C$4:$C$281,"crwv",FundRaw!$E$4:$E$281,"2025",FundRaw!$F$4:$F$281,"capex_incl_fl",FundRaw!$O$4:$O$281,1))</f>
        <v/>
      </c>
      <c r="I21" s="33" t="str">
        <f aca="false">IF((COUNTIFS(FundRaw!$C$4:$C$281,"crwv",FundRaw!$E$4:$E$281,"2025",FundRaw!$F$4:$F$281,"fcf",FundRaw!$O$4:$O$281,1))=0,"",SUMIFS(FundRaw!$G$4:$G$281,FundRaw!$C$4:$C$281,"crwv",FundRaw!$E$4:$E$281,"2025",FundRaw!$F$4:$F$281,"fcf",FundRaw!$O$4:$O$281,1))</f>
        <v/>
      </c>
      <c r="J21" s="33" t="str">
        <f aca="false">IF((COUNTIFS(FundRaw!$C$4:$C$281,"crwv",FundRaw!$E$4:$E$281,"2025",FundRaw!$F$4:$F$281,"bond_issue",FundRaw!$O$4:$O$281,1))=0,"",SUMIFS(FundRaw!$G$4:$G$281,FundRaw!$C$4:$C$281,"crwv",FundRaw!$E$4:$E$281,"2025",FundRaw!$F$4:$F$281,"bond_issue",FundRaw!$O$4:$O$281,1))</f>
        <v/>
      </c>
      <c r="K21" s="33" t="str">
        <f aca="false">IF((COUNTIFS(FundRaw!$C$4:$C$281,"crwv",FundRaw!$E$4:$E$281,"2025",FundRaw!$F$4:$F$281,"term_loan",FundRaw!$O$4:$O$281,1))=0,"",SUMIFS(FundRaw!$G$4:$G$281,FundRaw!$C$4:$C$281,"crwv",FundRaw!$E$4:$E$281,"2025",FundRaw!$F$4:$F$281,"term_loan",FundRaw!$O$4:$O$281,1))</f>
        <v/>
      </c>
      <c r="L21" s="33" t="n">
        <f aca="false">IF((COUNTIFS(FundRaw!$C$4:$C$281,"crwv",FundRaw!$E$4:$E$281,"2025",FundRaw!$F$4:$F$281,"gpu_debt",FundRaw!$O$4:$O$281,1))=0,"",SUMIFS(FundRaw!$G$4:$G$281,FundRaw!$C$4:$C$281,"crwv",FundRaw!$E$4:$E$281,"2025",FundRaw!$F$4:$F$281,"gpu_debt",FundRaw!$O$4:$O$281,1))</f>
        <v>11.829</v>
      </c>
      <c r="M21" s="33" t="str">
        <f aca="false">IF((COUNTIFS(FundRaw!$C$4:$C$281,"crwv",FundRaw!$E$4:$E$281,"2025",FundRaw!$F$4:$F$281,"private_credit",FundRaw!$O$4:$O$281,1))=0,"",SUMIFS(FundRaw!$G$4:$G$281,FundRaw!$C$4:$C$281,"crwv",FundRaw!$E$4:$E$281,"2025",FundRaw!$F$4:$F$281,"private_credit",FundRaw!$O$4:$O$281,1))</f>
        <v/>
      </c>
      <c r="N21" s="33" t="n">
        <f aca="false">IF((COUNTIFS(FundRaw!$C$4:$C$281,"crwv",FundRaw!$E$4:$E$281,"2025",FundRaw!$F$4:$F$281,"net_debt_change",FundRaw!$O$4:$O$281,1))=0,"",SUMIFS(FundRaw!$G$4:$G$281,FundRaw!$C$4:$C$281,"crwv",FundRaw!$E$4:$E$281,"2025",FundRaw!$F$4:$F$281,"net_debt_change",FundRaw!$O$4:$O$281,1))</f>
        <v>13.447</v>
      </c>
      <c r="O21" s="33" t="str">
        <f aca="false">IF((COUNTIFS(FundRaw!$C$4:$C$281,"crwv",FundRaw!$E$4:$E$281,"2025",FundRaw!$F$4:$F$281,"lease_not_commenced",FundRaw!$O$4:$O$281,1))=0,"",SUMIFS(FundRaw!$G$4:$G$281,FundRaw!$C$4:$C$281,"crwv",FundRaw!$E$4:$E$281,"2025",FundRaw!$F$4:$F$281,"lease_not_commenced",FundRaw!$O$4:$O$281,1))</f>
        <v/>
      </c>
      <c r="P21" s="33" t="str">
        <f aca="false">IF((COUNTIFS(FundRaw!$C$4:$C$281,"crwv",FundRaw!$E$4:$E$281,"2025",FundRaw!$F$4:$F$281,"jv_offbalance",FundRaw!$O$4:$O$281,1))=0,"",SUMIFS(FundRaw!$G$4:$G$281,FundRaw!$C$4:$C$281,"crwv",FundRaw!$E$4:$E$281,"2025",FundRaw!$F$4:$F$281,"jv_offbalance",FundRaw!$O$4:$O$281,1))</f>
        <v/>
      </c>
      <c r="Q21" s="33" t="str">
        <f aca="false">IF((COUNTIFS(FundRaw!$C$4:$C$281,"crwv",FundRaw!$E$4:$E$281,"2025",FundRaw!$F$4:$F$281,"jv_exposure",FundRaw!$O$4:$O$281,1))=0,"",SUMIFS(FundRaw!$G$4:$G$281,FundRaw!$C$4:$C$281,"crwv",FundRaw!$E$4:$E$281,"2025",FundRaw!$F$4:$F$281,"jv_exposure",FundRaw!$O$4:$O$281,1))</f>
        <v/>
      </c>
      <c r="R21" s="33" t="n">
        <f aca="false">IF((COUNTIFS(FundRaw!$C$4:$C$281,"crwv",FundRaw!$E$4:$E$281,"2025",FundRaw!$F$4:$F$281,"equity_round",FundRaw!$O$4:$O$281,1))=0,"",SUMIFS(FundRaw!$G$4:$G$281,FundRaw!$C$4:$C$281,"crwv",FundRaw!$E$4:$E$281,"2025",FundRaw!$F$4:$F$281,"equity_round",FundRaw!$O$4:$O$281,1))</f>
        <v>1.491</v>
      </c>
      <c r="S21" s="33" t="str">
        <f aca="false">IF((COUNTIFS(FundRaw!$C$4:$C$281,"crwv",FundRaw!$E$4:$E$281,"2025",FundRaw!$F$4:$F$281,"vendor_financing",FundRaw!$O$4:$O$281,1))=0,"",SUMIFS(FundRaw!$G$4:$G$281,FundRaw!$C$4:$C$281,"crwv",FundRaw!$E$4:$E$281,"2025",FundRaw!$F$4:$F$281,"vendor_financing",FundRaw!$O$4:$O$281,1))</f>
        <v/>
      </c>
      <c r="T21" s="33" t="str">
        <f aca="false">IF((COUNTIFS(FundRaw!$C$4:$C$281,"crwv",FundRaw!$E$4:$E$281,"2025",FundRaw!$F$4:$F$281,"buyback_div",FundRaw!$O$4:$O$281,1))=0,"",SUMIFS(FundRaw!$G$4:$G$281,FundRaw!$C$4:$C$281,"crwv",FundRaw!$E$4:$E$281,"2025",FundRaw!$F$4:$F$281,"buyback_div",FundRaw!$O$4:$O$281,1))</f>
        <v/>
      </c>
      <c r="U21" s="33" t="str">
        <f aca="false">IF((COUNTIFS(FundRaw!$C$4:$C$281,"crwv",FundRaw!$E$4:$E$281,"2025",FundRaw!$F$4:$F$281,"gpu_debt_talks",FundRaw!$O$4:$O$281,1))=0,"",SUMIFS(FundRaw!$G$4:$G$281,FundRaw!$C$4:$C$281,"crwv",FundRaw!$E$4:$E$281,"2025",FundRaw!$F$4:$F$281,"gpu_debt_talks",FundRaw!$O$4:$O$281,1))</f>
        <v/>
      </c>
      <c r="V21" s="33" t="str">
        <f aca="false">IF((COUNTIFS(FundRaw!$C$4:$C$281,"crwv",FundRaw!$E$4:$E$281,"2025",FundRaw!$F$4:$F$281,"bridge_refi",FundRaw!$O$4:$O$281,1))=0,"",SUMIFS(FundRaw!$G$4:$G$281,FundRaw!$C$4:$C$281,"crwv",FundRaw!$E$4:$E$281,"2025",FundRaw!$F$4:$F$281,"bridge_refi",FundRaw!$O$4:$O$281,1))</f>
        <v/>
      </c>
      <c r="W21" s="33" t="n">
        <f aca="false">IF(H21&lt;&gt;"",H21,IF(F21&lt;&gt;"",F21+N(G21),""))</f>
        <v>10.309</v>
      </c>
      <c r="X21" s="33" t="n">
        <f aca="false">IF(OR(W21="",E21=""),"",MAX(0,MIN(N(E21),W21-N(Y21))))</f>
        <v>3.058</v>
      </c>
      <c r="Y21" s="33" t="n">
        <f aca="false">IF(W21="","",IF(AND(H21&lt;&gt;"",F21&lt;&gt;""),MAX(0,H21-F21),N(G21)))</f>
        <v>0</v>
      </c>
      <c r="Z21" s="33" t="n">
        <f aca="false">IF(W21="","",MAX(0,MIN(N(R21),W21-N(X21)-N(Y21))))</f>
        <v>1.491</v>
      </c>
      <c r="AA21" s="33" t="n">
        <f aca="false">IF(W21="","",MAX(0,MIN(N(J21)+N(K21)+N(L21)+N(M21),W21-N(X21)-N(Y21)-N(Z21))))</f>
        <v>5.76</v>
      </c>
      <c r="AB21" s="33" t="n">
        <f aca="false">IF(W21="","",W21-N(X21)-N(Y21)-N(Z21)-N(AA21))</f>
        <v>0</v>
      </c>
      <c r="AC21" s="38" t="n">
        <f aca="false">IF(OR(W21="",N(W21)=0,X21=""),"",X21/W21)</f>
        <v>0.296634009118246</v>
      </c>
      <c r="AD21" s="38" t="n">
        <f aca="false">IF(OR(W21="",N(W21)=0,Y21=""),"",Y21/W21)</f>
        <v>0</v>
      </c>
      <c r="AE21" s="38" t="n">
        <f aca="false">IF(OR(W21="",N(W21)=0,Z21=""),"",Z21/W21)</f>
        <v>0.144630905034436</v>
      </c>
      <c r="AF21" s="38" t="n">
        <f aca="false">IF(OR(W21="",N(W21)=0,AA21=""),"",AA21/W21)</f>
        <v>0.558735085847318</v>
      </c>
      <c r="AG21" s="38" t="n">
        <f aca="false">IF(OR(W21="",N(W21)=0,AB21=""),"",AB21/W21)</f>
        <v>0</v>
      </c>
      <c r="AH21" s="33" t="n">
        <f aca="false">N(J21)+N(K21)+N(L21)+N(M21)+N(R21)+N(G21)</f>
        <v>13.32</v>
      </c>
      <c r="AI21" s="23" t="n">
        <f aca="false">IF(N(AH21)=0,"",(N(J21)+N(K21)+N(L21)+N(M21))/AH21)</f>
        <v>0.888063063063063</v>
      </c>
      <c r="AJ21" s="23" t="n">
        <f aca="false">IF(N(AH21)=0,"",(N(R21))/AH21)</f>
        <v>0.111936936936937</v>
      </c>
      <c r="AK21" s="23" t="n">
        <f aca="false">IF(N(AH21)=0,"",(N(G21))/AH21)</f>
        <v>0</v>
      </c>
      <c r="AL21" s="33" t="n">
        <f aca="false">N(J21)+N(K21)+N(L21)+N(M21)+IF(AND(H21&lt;&gt;"",F21&lt;&gt;""),MAX(0,H21-F21),N(G21))+N(P21)+N(R21)</f>
        <v>13.32</v>
      </c>
      <c r="AM21" s="38" t="n">
        <f aca="false">IF(OR(W21="",N(W21)=0),"",AL21/W21)</f>
        <v>1.29207488602192</v>
      </c>
      <c r="AN21" s="38" t="n">
        <f aca="false">IF(OR(W21="",N(W21)=0,E21=""),"",E21/W21)</f>
        <v>0.296634009118246</v>
      </c>
      <c r="AO21" s="23" t="n">
        <f aca="false">IF(OR(W21="",N(W21)=0),"",(N(J21)+N(K21)+N(L21)+N(M21))/W21)</f>
        <v>1.14744398098749</v>
      </c>
      <c r="AP21" s="23" t="n">
        <f aca="false">IF(OR(W21="",N(W21)=0),"",N(R21)/W21)</f>
        <v>0.144630905034436</v>
      </c>
      <c r="AQ21" s="23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1467</v>
      </c>
      <c r="B22" s="0" t="s">
        <v>842</v>
      </c>
      <c r="C22" s="0" t="n">
        <v>2026</v>
      </c>
      <c r="D22" s="0" t="s">
        <v>2086</v>
      </c>
      <c r="E22" s="33" t="n">
        <f aca="false">IF((COUNTIFS(FundRaw!$C$4:$C$281,"crwv",FundRaw!$E$4:$E$281,"2026",FundRaw!$F$4:$F$281,"ocf",FundRaw!$O$4:$O$281,1))=0,"",SUMIFS(FundRaw!$G$4:$G$281,FundRaw!$C$4:$C$281,"crwv",FundRaw!$E$4:$E$281,"2026",FundRaw!$F$4:$F$281,"ocf",FundRaw!$O$4:$O$281,1))</f>
        <v>3.663</v>
      </c>
      <c r="F22" s="33" t="n">
        <f aca="false">IF((COUNTIFS(FundRaw!$C$4:$C$281,"crwv",FundRaw!$E$4:$E$281,"2026",FundRaw!$F$4:$F$281,"capex_cash",FundRaw!$O$4:$O$281,1))=0,"",SUMIFS(FundRaw!$G$4:$G$281,FundRaw!$C$4:$C$281,"crwv",FundRaw!$E$4:$E$281,"2026",FundRaw!$F$4:$F$281,"capex_cash",FundRaw!$O$4:$O$281,1))</f>
        <v>14.117</v>
      </c>
      <c r="G22" s="33" t="str">
        <f aca="false">IF((COUNTIFS(FundRaw!$C$4:$C$281,"crwv",FundRaw!$E$4:$E$281,"2026",FundRaw!$F$4:$F$281,"fin_lease_new",FundRaw!$O$4:$O$281,1))=0,"",SUMIFS(FundRaw!$G$4:$G$281,FundRaw!$C$4:$C$281,"crwv",FundRaw!$E$4:$E$281,"2026",FundRaw!$F$4:$F$281,"fin_lease_new",FundRaw!$O$4:$O$281,1))</f>
        <v/>
      </c>
      <c r="H22" s="33" t="str">
        <f aca="false">IF((COUNTIFS(FundRaw!$C$4:$C$281,"crwv",FundRaw!$E$4:$E$281,"2026",FundRaw!$F$4:$F$281,"capex_incl_fl",FundRaw!$O$4:$O$281,1))=0,"",SUMIFS(FundRaw!$G$4:$G$281,FundRaw!$C$4:$C$281,"crwv",FundRaw!$E$4:$E$281,"2026",FundRaw!$F$4:$F$281,"capex_incl_fl",FundRaw!$O$4:$O$281,1))</f>
        <v/>
      </c>
      <c r="I22" s="33" t="str">
        <f aca="false">IF((COUNTIFS(FundRaw!$C$4:$C$281,"crwv",FundRaw!$E$4:$E$281,"2026",FundRaw!$F$4:$F$281,"fcf",FundRaw!$O$4:$O$281,1))=0,"",SUMIFS(FundRaw!$G$4:$G$281,FundRaw!$C$4:$C$281,"crwv",FundRaw!$E$4:$E$281,"2026",FundRaw!$F$4:$F$281,"fcf",FundRaw!$O$4:$O$281,1))</f>
        <v/>
      </c>
      <c r="J22" s="33" t="str">
        <f aca="false">IF((COUNTIFS(FundRaw!$C$4:$C$281,"crwv",FundRaw!$E$4:$E$281,"2026",FundRaw!$F$4:$F$281,"bond_issue",FundRaw!$O$4:$O$281,1))=0,"",SUMIFS(FundRaw!$G$4:$G$281,FundRaw!$C$4:$C$281,"crwv",FundRaw!$E$4:$E$281,"2026",FundRaw!$F$4:$F$281,"bond_issue",FundRaw!$O$4:$O$281,1))</f>
        <v/>
      </c>
      <c r="K22" s="33" t="str">
        <f aca="false">IF((COUNTIFS(FundRaw!$C$4:$C$281,"crwv",FundRaw!$E$4:$E$281,"2026",FundRaw!$F$4:$F$281,"term_loan",FundRaw!$O$4:$O$281,1))=0,"",SUMIFS(FundRaw!$G$4:$G$281,FundRaw!$C$4:$C$281,"crwv",FundRaw!$E$4:$E$281,"2026",FundRaw!$F$4:$F$281,"term_loan",FundRaw!$O$4:$O$281,1))</f>
        <v/>
      </c>
      <c r="L22" s="33" t="n">
        <f aca="false">IF((COUNTIFS(FundRaw!$C$4:$C$281,"crwv",FundRaw!$E$4:$E$281,"2026",FundRaw!$F$4:$F$281,"gpu_debt",FundRaw!$O$4:$O$281,1))=0,"",SUMIFS(FundRaw!$G$4:$G$281,FundRaw!$C$4:$C$281,"crwv",FundRaw!$E$4:$E$281,"2026",FundRaw!$F$4:$F$281,"gpu_debt",FundRaw!$O$4:$O$281,1))</f>
        <v>16.747</v>
      </c>
      <c r="M22" s="33" t="str">
        <f aca="false">IF((COUNTIFS(FundRaw!$C$4:$C$281,"crwv",FundRaw!$E$4:$E$281,"2026",FundRaw!$F$4:$F$281,"private_credit",FundRaw!$O$4:$O$281,1))=0,"",SUMIFS(FundRaw!$G$4:$G$281,FundRaw!$C$4:$C$281,"crwv",FundRaw!$E$4:$E$281,"2026",FundRaw!$F$4:$F$281,"private_credit",FundRaw!$O$4:$O$281,1))</f>
        <v/>
      </c>
      <c r="N22" s="33" t="str">
        <f aca="false">IF((COUNTIFS(FundRaw!$C$4:$C$281,"crwv",FundRaw!$E$4:$E$281,"2026",FundRaw!$F$4:$F$281,"net_debt_change",FundRaw!$O$4:$O$281,1))=0,"",SUMIFS(FundRaw!$G$4:$G$281,FundRaw!$C$4:$C$281,"crwv",FundRaw!$E$4:$E$281,"2026",FundRaw!$F$4:$F$281,"net_debt_change",FundRaw!$O$4:$O$281,1))</f>
        <v/>
      </c>
      <c r="O22" s="33" t="str">
        <f aca="false">IF((COUNTIFS(FundRaw!$C$4:$C$281,"crwv",FundRaw!$E$4:$E$281,"2026",FundRaw!$F$4:$F$281,"lease_not_commenced",FundRaw!$O$4:$O$281,1))=0,"",SUMIFS(FundRaw!$G$4:$G$281,FundRaw!$C$4:$C$281,"crwv",FundRaw!$E$4:$E$281,"2026",FundRaw!$F$4:$F$281,"lease_not_commenced",FundRaw!$O$4:$O$281,1))</f>
        <v/>
      </c>
      <c r="P22" s="33" t="str">
        <f aca="false">IF((COUNTIFS(FundRaw!$C$4:$C$281,"crwv",FundRaw!$E$4:$E$281,"2026",FundRaw!$F$4:$F$281,"jv_offbalance",FundRaw!$O$4:$O$281,1))=0,"",SUMIFS(FundRaw!$G$4:$G$281,FundRaw!$C$4:$C$281,"crwv",FundRaw!$E$4:$E$281,"2026",FundRaw!$F$4:$F$281,"jv_offbalance",FundRaw!$O$4:$O$281,1))</f>
        <v/>
      </c>
      <c r="Q22" s="33" t="str">
        <f aca="false">IF((COUNTIFS(FundRaw!$C$4:$C$281,"crwv",FundRaw!$E$4:$E$281,"2026",FundRaw!$F$4:$F$281,"jv_exposure",FundRaw!$O$4:$O$281,1))=0,"",SUMIFS(FundRaw!$G$4:$G$281,FundRaw!$C$4:$C$281,"crwv",FundRaw!$E$4:$E$281,"2026",FundRaw!$F$4:$F$281,"jv_exposure",FundRaw!$O$4:$O$281,1))</f>
        <v/>
      </c>
      <c r="R22" s="33" t="n">
        <f aca="false">IF((COUNTIFS(FundRaw!$C$4:$C$281,"crwv",FundRaw!$E$4:$E$281,"2026",FundRaw!$F$4:$F$281,"equity_round",FundRaw!$O$4:$O$281,1))=0,"",SUMIFS(FundRaw!$G$4:$G$281,FundRaw!$C$4:$C$281,"crwv",FundRaw!$E$4:$E$281,"2026",FundRaw!$F$4:$F$281,"equity_round",FundRaw!$O$4:$O$281,1))</f>
        <v>2.982</v>
      </c>
      <c r="S22" s="33" t="str">
        <f aca="false">IF((COUNTIFS(FundRaw!$C$4:$C$281,"crwv",FundRaw!$E$4:$E$281,"2026",FundRaw!$F$4:$F$281,"vendor_financing",FundRaw!$O$4:$O$281,1))=0,"",SUMIFS(FundRaw!$G$4:$G$281,FundRaw!$C$4:$C$281,"crwv",FundRaw!$E$4:$E$281,"2026",FundRaw!$F$4:$F$281,"vendor_financing",FundRaw!$O$4:$O$281,1))</f>
        <v/>
      </c>
      <c r="T22" s="33" t="str">
        <f aca="false">IF((COUNTIFS(FundRaw!$C$4:$C$281,"crwv",FundRaw!$E$4:$E$281,"2026",FundRaw!$F$4:$F$281,"buyback_div",FundRaw!$O$4:$O$281,1))=0,"",SUMIFS(FundRaw!$G$4:$G$281,FundRaw!$C$4:$C$281,"crwv",FundRaw!$E$4:$E$281,"2026",FundRaw!$F$4:$F$281,"buyback_div",FundRaw!$O$4:$O$281,1))</f>
        <v/>
      </c>
      <c r="U22" s="33" t="str">
        <f aca="false">IF((COUNTIFS(FundRaw!$C$4:$C$281,"crwv",FundRaw!$E$4:$E$281,"2026",FundRaw!$F$4:$F$281,"gpu_debt_talks",FundRaw!$O$4:$O$281,1))=0,"",SUMIFS(FundRaw!$G$4:$G$281,FundRaw!$C$4:$C$281,"crwv",FundRaw!$E$4:$E$281,"2026",FundRaw!$F$4:$F$281,"gpu_debt_talks",FundRaw!$O$4:$O$281,1))</f>
        <v/>
      </c>
      <c r="V22" s="33" t="str">
        <f aca="false">IF((COUNTIFS(FundRaw!$C$4:$C$281,"crwv",FundRaw!$E$4:$E$281,"2026",FundRaw!$F$4:$F$281,"bridge_refi",FundRaw!$O$4:$O$281,1))=0,"",SUMIFS(FundRaw!$G$4:$G$281,FundRaw!$C$4:$C$281,"crwv",FundRaw!$E$4:$E$281,"2026",FundRaw!$F$4:$F$281,"bridge_refi",FundRaw!$O$4:$O$281,1))</f>
        <v/>
      </c>
      <c r="W22" s="33" t="n">
        <f aca="false">IF(H22&lt;&gt;"",H22,IF(F22&lt;&gt;"",F22+N(G22),""))</f>
        <v>14.117</v>
      </c>
      <c r="X22" s="33" t="n">
        <f aca="false">IF(OR(W22="",E22=""),"",MAX(0,MIN(N(E22),W22-N(Y22))))</f>
        <v>3.663</v>
      </c>
      <c r="Y22" s="33" t="n">
        <f aca="false">IF(W22="","",IF(AND(H22&lt;&gt;"",F22&lt;&gt;""),MAX(0,H22-F22),N(G22)))</f>
        <v>0</v>
      </c>
      <c r="Z22" s="33" t="n">
        <f aca="false">IF(W22="","",MAX(0,MIN(N(R22),W22-N(X22)-N(Y22))))</f>
        <v>2.982</v>
      </c>
      <c r="AA22" s="33" t="n">
        <f aca="false">IF(W22="","",MAX(0,MIN(N(J22)+N(K22)+N(L22)+N(M22),W22-N(X22)-N(Y22)-N(Z22))))</f>
        <v>7.472</v>
      </c>
      <c r="AB22" s="33" t="n">
        <f aca="false">IF(W22="","",W22-N(X22)-N(Y22)-N(Z22)-N(AA22))</f>
        <v>0</v>
      </c>
      <c r="AC22" s="38" t="n">
        <f aca="false">IF(OR(W22="",N(W22)=0,X22=""),"",X22/W22)</f>
        <v>0.259474392576326</v>
      </c>
      <c r="AD22" s="38" t="n">
        <f aca="false">IF(OR(W22="",N(W22)=0,Y22=""),"",Y22/W22)</f>
        <v>0</v>
      </c>
      <c r="AE22" s="38" t="n">
        <f aca="false">IF(OR(W22="",N(W22)=0,Z22=""),"",Z22/W22)</f>
        <v>0.211234681589573</v>
      </c>
      <c r="AF22" s="38" t="n">
        <f aca="false">IF(OR(W22="",N(W22)=0,AA22=""),"",AA22/W22)</f>
        <v>0.529290925834101</v>
      </c>
      <c r="AG22" s="38" t="n">
        <f aca="false">IF(OR(W22="",N(W22)=0,AB22=""),"",AB22/W22)</f>
        <v>0</v>
      </c>
      <c r="AH22" s="33" t="n">
        <f aca="false">N(J22)+N(K22)+N(L22)+N(M22)+N(R22)+N(G22)</f>
        <v>19.729</v>
      </c>
      <c r="AI22" s="23" t="n">
        <f aca="false">IF(N(AH22)=0,"",(N(J22)+N(K22)+N(L22)+N(M22))/AH22)</f>
        <v>0.848851943839019</v>
      </c>
      <c r="AJ22" s="23" t="n">
        <f aca="false">IF(N(AH22)=0,"",(N(R22))/AH22)</f>
        <v>0.151148056160981</v>
      </c>
      <c r="AK22" s="23" t="n">
        <f aca="false">IF(N(AH22)=0,"",(N(G22))/AH22)</f>
        <v>0</v>
      </c>
      <c r="AL22" s="33" t="n">
        <f aca="false">N(J22)+N(K22)+N(L22)+N(M22)+IF(AND(H22&lt;&gt;"",F22&lt;&gt;""),MAX(0,H22-F22),N(G22))+N(P22)+N(R22)</f>
        <v>19.729</v>
      </c>
      <c r="AM22" s="38" t="n">
        <f aca="false">IF(OR(W22="",N(W22)=0),"",AL22/W22)</f>
        <v>1.39753488701565</v>
      </c>
      <c r="AN22" s="38" t="n">
        <f aca="false">IF(OR(W22="",N(W22)=0,E22=""),"",E22/W22)</f>
        <v>0.259474392576326</v>
      </c>
      <c r="AO22" s="23" t="n">
        <f aca="false">IF(OR(W22="",N(W22)=0),"",(N(J22)+N(K22)+N(L22)+N(M22))/W22)</f>
        <v>1.18630020542608</v>
      </c>
      <c r="AP22" s="23" t="n">
        <f aca="false">IF(OR(W22="",N(W22)=0),"",N(R22)/W22)</f>
        <v>0.211234681589573</v>
      </c>
      <c r="AQ22" s="23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1486</v>
      </c>
      <c r="B23" s="0" t="s">
        <v>873</v>
      </c>
      <c r="C23" s="0" t="n">
        <v>2025</v>
      </c>
      <c r="D23" s="0" t="s">
        <v>2082</v>
      </c>
      <c r="E23" s="33" t="str">
        <f aca="false">IF((COUNTIFS(FundRaw!$C$4:$C$281,"nbis",FundRaw!$E$4:$E$281,"2025",FundRaw!$F$4:$F$281,"ocf",FundRaw!$O$4:$O$281,1))=0,"",SUMIFS(FundRaw!$G$4:$G$281,FundRaw!$C$4:$C$281,"nbis",FundRaw!$E$4:$E$281,"2025",FundRaw!$F$4:$F$281,"ocf",FundRaw!$O$4:$O$281,1))</f>
        <v/>
      </c>
      <c r="F23" s="33" t="n">
        <f aca="false">IF((COUNTIFS(FundRaw!$C$4:$C$281,"nbis",FundRaw!$E$4:$E$281,"2025",FundRaw!$F$4:$F$281,"capex_cash",FundRaw!$O$4:$O$281,1))=0,"",SUMIFS(FundRaw!$G$4:$G$281,FundRaw!$C$4:$C$281,"nbis",FundRaw!$E$4:$E$281,"2025",FundRaw!$F$4:$F$281,"capex_cash",FundRaw!$O$4:$O$281,1))</f>
        <v>4.1</v>
      </c>
      <c r="G23" s="33" t="str">
        <f aca="false">IF((COUNTIFS(FundRaw!$C$4:$C$281,"nbis",FundRaw!$E$4:$E$281,"2025",FundRaw!$F$4:$F$281,"fin_lease_new",FundRaw!$O$4:$O$281,1))=0,"",SUMIFS(FundRaw!$G$4:$G$281,FundRaw!$C$4:$C$281,"nbis",FundRaw!$E$4:$E$281,"2025",FundRaw!$F$4:$F$281,"fin_lease_new",FundRaw!$O$4:$O$281,1))</f>
        <v/>
      </c>
      <c r="H23" s="33" t="str">
        <f aca="false">IF((COUNTIFS(FundRaw!$C$4:$C$281,"nbis",FundRaw!$E$4:$E$281,"2025",FundRaw!$F$4:$F$281,"capex_incl_fl",FundRaw!$O$4:$O$281,1))=0,"",SUMIFS(FundRaw!$G$4:$G$281,FundRaw!$C$4:$C$281,"nbis",FundRaw!$E$4:$E$281,"2025",FundRaw!$F$4:$F$281,"capex_incl_fl",FundRaw!$O$4:$O$281,1))</f>
        <v/>
      </c>
      <c r="I23" s="33" t="str">
        <f aca="false">IF((COUNTIFS(FundRaw!$C$4:$C$281,"nbis",FundRaw!$E$4:$E$281,"2025",FundRaw!$F$4:$F$281,"fcf",FundRaw!$O$4:$O$281,1))=0,"",SUMIFS(FundRaw!$G$4:$G$281,FundRaw!$C$4:$C$281,"nbis",FundRaw!$E$4:$E$281,"2025",FundRaw!$F$4:$F$281,"fcf",FundRaw!$O$4:$O$281,1))</f>
        <v/>
      </c>
      <c r="J23" s="33" t="str">
        <f aca="false">IF((COUNTIFS(FundRaw!$C$4:$C$281,"nbis",FundRaw!$E$4:$E$281,"2025",FundRaw!$F$4:$F$281,"bond_issue",FundRaw!$O$4:$O$281,1))=0,"",SUMIFS(FundRaw!$G$4:$G$281,FundRaw!$C$4:$C$281,"nbis",FundRaw!$E$4:$E$281,"2025",FundRaw!$F$4:$F$281,"bond_issue",FundRaw!$O$4:$O$281,1))</f>
        <v/>
      </c>
      <c r="K23" s="33" t="str">
        <f aca="false">IF((COUNTIFS(FundRaw!$C$4:$C$281,"nbis",FundRaw!$E$4:$E$281,"2025",FundRaw!$F$4:$F$281,"term_loan",FundRaw!$O$4:$O$281,1))=0,"",SUMIFS(FundRaw!$G$4:$G$281,FundRaw!$C$4:$C$281,"nbis",FundRaw!$E$4:$E$281,"2025",FundRaw!$F$4:$F$281,"term_loan",FundRaw!$O$4:$O$281,1))</f>
        <v/>
      </c>
      <c r="L23" s="33" t="str">
        <f aca="false">IF((COUNTIFS(FundRaw!$C$4:$C$281,"nbis",FundRaw!$E$4:$E$281,"2025",FundRaw!$F$4:$F$281,"gpu_debt",FundRaw!$O$4:$O$281,1))=0,"",SUMIFS(FundRaw!$G$4:$G$281,FundRaw!$C$4:$C$281,"nbis",FundRaw!$E$4:$E$281,"2025",FundRaw!$F$4:$F$281,"gpu_debt",FundRaw!$O$4:$O$281,1))</f>
        <v/>
      </c>
      <c r="M23" s="33" t="str">
        <f aca="false">IF((COUNTIFS(FundRaw!$C$4:$C$281,"nbis",FundRaw!$E$4:$E$281,"2025",FundRaw!$F$4:$F$281,"private_credit",FundRaw!$O$4:$O$281,1))=0,"",SUMIFS(FundRaw!$G$4:$G$281,FundRaw!$C$4:$C$281,"nbis",FundRaw!$E$4:$E$281,"2025",FundRaw!$F$4:$F$281,"private_credit",FundRaw!$O$4:$O$281,1))</f>
        <v/>
      </c>
      <c r="N23" s="33" t="str">
        <f aca="false">IF((COUNTIFS(FundRaw!$C$4:$C$281,"nbis",FundRaw!$E$4:$E$281,"2025",FundRaw!$F$4:$F$281,"net_debt_change",FundRaw!$O$4:$O$281,1))=0,"",SUMIFS(FundRaw!$G$4:$G$281,FundRaw!$C$4:$C$281,"nbis",FundRaw!$E$4:$E$281,"2025",FundRaw!$F$4:$F$281,"net_debt_change",FundRaw!$O$4:$O$281,1))</f>
        <v/>
      </c>
      <c r="O23" s="33" t="str">
        <f aca="false">IF((COUNTIFS(FundRaw!$C$4:$C$281,"nbis",FundRaw!$E$4:$E$281,"2025",FundRaw!$F$4:$F$281,"lease_not_commenced",FundRaw!$O$4:$O$281,1))=0,"",SUMIFS(FundRaw!$G$4:$G$281,FundRaw!$C$4:$C$281,"nbis",FundRaw!$E$4:$E$281,"2025",FundRaw!$F$4:$F$281,"lease_not_commenced",FundRaw!$O$4:$O$281,1))</f>
        <v/>
      </c>
      <c r="P23" s="33" t="str">
        <f aca="false">IF((COUNTIFS(FundRaw!$C$4:$C$281,"nbis",FundRaw!$E$4:$E$281,"2025",FundRaw!$F$4:$F$281,"jv_offbalance",FundRaw!$O$4:$O$281,1))=0,"",SUMIFS(FundRaw!$G$4:$G$281,FundRaw!$C$4:$C$281,"nbis",FundRaw!$E$4:$E$281,"2025",FundRaw!$F$4:$F$281,"jv_offbalance",FundRaw!$O$4:$O$281,1))</f>
        <v/>
      </c>
      <c r="Q23" s="33" t="str">
        <f aca="false">IF((COUNTIFS(FundRaw!$C$4:$C$281,"nbis",FundRaw!$E$4:$E$281,"2025",FundRaw!$F$4:$F$281,"jv_exposure",FundRaw!$O$4:$O$281,1))=0,"",SUMIFS(FundRaw!$G$4:$G$281,FundRaw!$C$4:$C$281,"nbis",FundRaw!$E$4:$E$281,"2025",FundRaw!$F$4:$F$281,"jv_exposure",FundRaw!$O$4:$O$281,1))</f>
        <v/>
      </c>
      <c r="R23" s="33" t="str">
        <f aca="false">IF((COUNTIFS(FundRaw!$C$4:$C$281,"nbis",FundRaw!$E$4:$E$281,"2025",FundRaw!$F$4:$F$281,"equity_round",FundRaw!$O$4:$O$281,1))=0,"",SUMIFS(FundRaw!$G$4:$G$281,FundRaw!$C$4:$C$281,"nbis",FundRaw!$E$4:$E$281,"2025",FundRaw!$F$4:$F$281,"equity_round",FundRaw!$O$4:$O$281,1))</f>
        <v/>
      </c>
      <c r="S23" s="33" t="str">
        <f aca="false">IF((COUNTIFS(FundRaw!$C$4:$C$281,"nbis",FundRaw!$E$4:$E$281,"2025",FundRaw!$F$4:$F$281,"vendor_financing",FundRaw!$O$4:$O$281,1))=0,"",SUMIFS(FundRaw!$G$4:$G$281,FundRaw!$C$4:$C$281,"nbis",FundRaw!$E$4:$E$281,"2025",FundRaw!$F$4:$F$281,"vendor_financing",FundRaw!$O$4:$O$281,1))</f>
        <v/>
      </c>
      <c r="T23" s="33" t="str">
        <f aca="false">IF((COUNTIFS(FundRaw!$C$4:$C$281,"nbis",FundRaw!$E$4:$E$281,"2025",FundRaw!$F$4:$F$281,"buyback_div",FundRaw!$O$4:$O$281,1))=0,"",SUMIFS(FundRaw!$G$4:$G$281,FundRaw!$C$4:$C$281,"nbis",FundRaw!$E$4:$E$281,"2025",FundRaw!$F$4:$F$281,"buyback_div",FundRaw!$O$4:$O$281,1))</f>
        <v/>
      </c>
      <c r="U23" s="33" t="str">
        <f aca="false">IF((COUNTIFS(FundRaw!$C$4:$C$281,"nbis",FundRaw!$E$4:$E$281,"2025",FundRaw!$F$4:$F$281,"gpu_debt_talks",FundRaw!$O$4:$O$281,1))=0,"",SUMIFS(FundRaw!$G$4:$G$281,FundRaw!$C$4:$C$281,"nbis",FundRaw!$E$4:$E$281,"2025",FundRaw!$F$4:$F$281,"gpu_debt_talks",FundRaw!$O$4:$O$281,1))</f>
        <v/>
      </c>
      <c r="V23" s="33" t="str">
        <f aca="false">IF((COUNTIFS(FundRaw!$C$4:$C$281,"nbis",FundRaw!$E$4:$E$281,"2025",FundRaw!$F$4:$F$281,"bridge_refi",FundRaw!$O$4:$O$281,1))=0,"",SUMIFS(FundRaw!$G$4:$G$281,FundRaw!$C$4:$C$281,"nbis",FundRaw!$E$4:$E$281,"2025",FundRaw!$F$4:$F$281,"bridge_refi",FundRaw!$O$4:$O$281,1))</f>
        <v/>
      </c>
      <c r="W23" s="33" t="n">
        <f aca="false">IF(H23&lt;&gt;"",H23,IF(F23&lt;&gt;"",F23+N(G23),""))</f>
        <v>4.1</v>
      </c>
      <c r="X23" s="33" t="str">
        <f aca="false">IF(OR(W23="",E23=""),"",MAX(0,MIN(N(E23),W23-N(Y23))))</f>
        <v/>
      </c>
      <c r="Y23" s="33" t="n">
        <f aca="false">IF(W23="","",IF(AND(H23&lt;&gt;"",F23&lt;&gt;""),MAX(0,H23-F23),N(G23)))</f>
        <v>0</v>
      </c>
      <c r="Z23" s="33" t="n">
        <f aca="false">IF(W23="","",MAX(0,MIN(N(R23),W23-N(X23)-N(Y23))))</f>
        <v>0</v>
      </c>
      <c r="AA23" s="33" t="n">
        <f aca="false">IF(W23="","",MAX(0,MIN(N(J23)+N(K23)+N(L23)+N(M23),W23-N(X23)-N(Y23)-N(Z23))))</f>
        <v>0</v>
      </c>
      <c r="AB23" s="33" t="n">
        <f aca="false">IF(W23="","",W23-N(X23)-N(Y23)-N(Z23)-N(AA23))</f>
        <v>4.1</v>
      </c>
      <c r="AC23" s="38" t="str">
        <f aca="false">IF(OR(W23="",N(W23)=0,X23=""),"",X23/W23)</f>
        <v/>
      </c>
      <c r="AD23" s="38" t="n">
        <f aca="false">IF(OR(W23="",N(W23)=0,Y23=""),"",Y23/W23)</f>
        <v>0</v>
      </c>
      <c r="AE23" s="38" t="n">
        <f aca="false">IF(OR(W23="",N(W23)=0,Z23=""),"",Z23/W23)</f>
        <v>0</v>
      </c>
      <c r="AF23" s="38" t="n">
        <f aca="false">IF(OR(W23="",N(W23)=0,AA23=""),"",AA23/W23)</f>
        <v>0</v>
      </c>
      <c r="AG23" s="38" t="n">
        <f aca="false">IF(OR(W23="",N(W23)=0,AB23=""),"",AB23/W23)</f>
        <v>1</v>
      </c>
      <c r="AH23" s="33" t="n">
        <f aca="false">N(J23)+N(K23)+N(L23)+N(M23)+N(R23)+N(G23)</f>
        <v>0</v>
      </c>
      <c r="AI23" s="23" t="str">
        <f aca="false">IF(N(AH23)=0,"",(N(J23)+N(K23)+N(L23)+N(M23))/AH23)</f>
        <v/>
      </c>
      <c r="AJ23" s="23" t="str">
        <f aca="false">IF(N(AH23)=0,"",(N(R23))/AH23)</f>
        <v/>
      </c>
      <c r="AK23" s="23" t="str">
        <f aca="false">IF(N(AH23)=0,"",(N(G23))/AH23)</f>
        <v/>
      </c>
      <c r="AL23" s="33" t="n">
        <f aca="false">N(J23)+N(K23)+N(L23)+N(M23)+IF(AND(H23&lt;&gt;"",F23&lt;&gt;""),MAX(0,H23-F23),N(G23))+N(P23)+N(R23)</f>
        <v>0</v>
      </c>
      <c r="AM23" s="38" t="n">
        <f aca="false">IF(OR(W23="",N(W23)=0),"",AL23/W23)</f>
        <v>0</v>
      </c>
      <c r="AN23" s="38" t="str">
        <f aca="false">IF(OR(W23="",N(W23)=0,E23=""),"",E23/W23)</f>
        <v/>
      </c>
      <c r="AO23" s="23" t="n">
        <f aca="false">IF(OR(W23="",N(W23)=0),"",(N(J23)+N(K23)+N(L23)+N(M23))/W23)</f>
        <v>0</v>
      </c>
      <c r="AP23" s="23" t="n">
        <f aca="false">IF(OR(W23="",N(W23)=0),"",N(R23)/W23)</f>
        <v>0</v>
      </c>
      <c r="AQ23" s="23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1486</v>
      </c>
      <c r="B24" s="0" t="s">
        <v>873</v>
      </c>
      <c r="C24" s="0" t="n">
        <v>2026</v>
      </c>
      <c r="D24" s="0" t="s">
        <v>2086</v>
      </c>
      <c r="E24" s="33" t="str">
        <f aca="false">IF((COUNTIFS(FundRaw!$C$4:$C$281,"nbis",FundRaw!$E$4:$E$281,"2026",FundRaw!$F$4:$F$281,"ocf",FundRaw!$O$4:$O$281,1))=0,"",SUMIFS(FundRaw!$G$4:$G$281,FundRaw!$C$4:$C$281,"nbis",FundRaw!$E$4:$E$281,"2026",FundRaw!$F$4:$F$281,"ocf",FundRaw!$O$4:$O$281,1))</f>
        <v/>
      </c>
      <c r="F24" s="33" t="n">
        <f aca="false">IF((COUNTIFS(FundRaw!$C$4:$C$281,"nbis",FundRaw!$E$4:$E$281,"2026",FundRaw!$F$4:$F$281,"capex_cash",FundRaw!$O$4:$O$281,1))=0,"",SUMIFS(FundRaw!$G$4:$G$281,FundRaw!$C$4:$C$281,"nbis",FundRaw!$E$4:$E$281,"2026",FundRaw!$F$4:$F$281,"capex_cash",FundRaw!$O$4:$O$281,1))</f>
        <v>8.13</v>
      </c>
      <c r="G24" s="33" t="str">
        <f aca="false">IF((COUNTIFS(FundRaw!$C$4:$C$281,"nbis",FundRaw!$E$4:$E$281,"2026",FundRaw!$F$4:$F$281,"fin_lease_new",FundRaw!$O$4:$O$281,1))=0,"",SUMIFS(FundRaw!$G$4:$G$281,FundRaw!$C$4:$C$281,"nbis",FundRaw!$E$4:$E$281,"2026",FundRaw!$F$4:$F$281,"fin_lease_new",FundRaw!$O$4:$O$281,1))</f>
        <v/>
      </c>
      <c r="H24" s="33" t="str">
        <f aca="false">IF((COUNTIFS(FundRaw!$C$4:$C$281,"nbis",FundRaw!$E$4:$E$281,"2026",FundRaw!$F$4:$F$281,"capex_incl_fl",FundRaw!$O$4:$O$281,1))=0,"",SUMIFS(FundRaw!$G$4:$G$281,FundRaw!$C$4:$C$281,"nbis",FundRaw!$E$4:$E$281,"2026",FundRaw!$F$4:$F$281,"capex_incl_fl",FundRaw!$O$4:$O$281,1))</f>
        <v/>
      </c>
      <c r="I24" s="33" t="n">
        <f aca="false">IF((COUNTIFS(FundRaw!$C$4:$C$281,"nbis",FundRaw!$E$4:$E$281,"2026",FundRaw!$F$4:$F$281,"fcf",FundRaw!$O$4:$O$281,1))=0,"",SUMIFS(FundRaw!$G$4:$G$281,FundRaw!$C$4:$C$281,"nbis",FundRaw!$E$4:$E$281,"2026",FundRaw!$F$4:$F$281,"fcf",FundRaw!$O$4:$O$281,1))</f>
        <v>-3.626</v>
      </c>
      <c r="J24" s="33" t="n">
        <f aca="false">IF((COUNTIFS(FundRaw!$C$4:$C$281,"nbis",FundRaw!$E$4:$E$281,"2026",FundRaw!$F$4:$F$281,"bond_issue",FundRaw!$O$4:$O$281,1))=0,"",SUMIFS(FundRaw!$G$4:$G$281,FundRaw!$C$4:$C$281,"nbis",FundRaw!$E$4:$E$281,"2026",FundRaw!$F$4:$F$281,"bond_issue",FundRaw!$O$4:$O$281,1))</f>
        <v>4.338</v>
      </c>
      <c r="K24" s="33" t="str">
        <f aca="false">IF((COUNTIFS(FundRaw!$C$4:$C$281,"nbis",FundRaw!$E$4:$E$281,"2026",FundRaw!$F$4:$F$281,"term_loan",FundRaw!$O$4:$O$281,1))=0,"",SUMIFS(FundRaw!$G$4:$G$281,FundRaw!$C$4:$C$281,"nbis",FundRaw!$E$4:$E$281,"2026",FundRaw!$F$4:$F$281,"term_loan",FundRaw!$O$4:$O$281,1))</f>
        <v/>
      </c>
      <c r="L24" s="33" t="str">
        <f aca="false">IF((COUNTIFS(FundRaw!$C$4:$C$281,"nbis",FundRaw!$E$4:$E$281,"2026",FundRaw!$F$4:$F$281,"gpu_debt",FundRaw!$O$4:$O$281,1))=0,"",SUMIFS(FundRaw!$G$4:$G$281,FundRaw!$C$4:$C$281,"nbis",FundRaw!$E$4:$E$281,"2026",FundRaw!$F$4:$F$281,"gpu_debt",FundRaw!$O$4:$O$281,1))</f>
        <v/>
      </c>
      <c r="M24" s="33" t="str">
        <f aca="false">IF((COUNTIFS(FundRaw!$C$4:$C$281,"nbis",FundRaw!$E$4:$E$281,"2026",FundRaw!$F$4:$F$281,"private_credit",FundRaw!$O$4:$O$281,1))=0,"",SUMIFS(FundRaw!$G$4:$G$281,FundRaw!$C$4:$C$281,"nbis",FundRaw!$E$4:$E$281,"2026",FundRaw!$F$4:$F$281,"private_credit",FundRaw!$O$4:$O$281,1))</f>
        <v/>
      </c>
      <c r="N24" s="33" t="str">
        <f aca="false">IF((COUNTIFS(FundRaw!$C$4:$C$281,"nbis",FundRaw!$E$4:$E$281,"2026",FundRaw!$F$4:$F$281,"net_debt_change",FundRaw!$O$4:$O$281,1))=0,"",SUMIFS(FundRaw!$G$4:$G$281,FundRaw!$C$4:$C$281,"nbis",FundRaw!$E$4:$E$281,"2026",FundRaw!$F$4:$F$281,"net_debt_change",FundRaw!$O$4:$O$281,1))</f>
        <v/>
      </c>
      <c r="O24" s="33" t="n">
        <f aca="false">IF((COUNTIFS(FundRaw!$C$4:$C$281,"nbis",FundRaw!$E$4:$E$281,"2026",FundRaw!$F$4:$F$281,"lease_not_commenced",FundRaw!$O$4:$O$281,1))=0,"",SUMIFS(FundRaw!$G$4:$G$281,FundRaw!$C$4:$C$281,"nbis",FundRaw!$E$4:$E$281,"2026",FundRaw!$F$4:$F$281,"lease_not_commenced",FundRaw!$O$4:$O$281,1))</f>
        <v>12.054</v>
      </c>
      <c r="P24" s="33" t="str">
        <f aca="false">IF((COUNTIFS(FundRaw!$C$4:$C$281,"nbis",FundRaw!$E$4:$E$281,"2026",FundRaw!$F$4:$F$281,"jv_offbalance",FundRaw!$O$4:$O$281,1))=0,"",SUMIFS(FundRaw!$G$4:$G$281,FundRaw!$C$4:$C$281,"nbis",FundRaw!$E$4:$E$281,"2026",FundRaw!$F$4:$F$281,"jv_offbalance",FundRaw!$O$4:$O$281,1))</f>
        <v/>
      </c>
      <c r="Q24" s="33" t="str">
        <f aca="false">IF((COUNTIFS(FundRaw!$C$4:$C$281,"nbis",FundRaw!$E$4:$E$281,"2026",FundRaw!$F$4:$F$281,"jv_exposure",FundRaw!$O$4:$O$281,1))=0,"",SUMIFS(FundRaw!$G$4:$G$281,FundRaw!$C$4:$C$281,"nbis",FundRaw!$E$4:$E$281,"2026",FundRaw!$F$4:$F$281,"jv_exposure",FundRaw!$O$4:$O$281,1))</f>
        <v/>
      </c>
      <c r="R24" s="33" t="n">
        <f aca="false">IF((COUNTIFS(FundRaw!$C$4:$C$281,"nbis",FundRaw!$E$4:$E$281,"2026",FundRaw!$F$4:$F$281,"equity_round",FundRaw!$O$4:$O$281,1))=0,"",SUMIFS(FundRaw!$G$4:$G$281,FundRaw!$C$4:$C$281,"nbis",FundRaw!$E$4:$E$281,"2026",FundRaw!$F$4:$F$281,"equity_round",FundRaw!$O$4:$O$281,1))</f>
        <v>4.811</v>
      </c>
      <c r="S24" s="33" t="str">
        <f aca="false">IF((COUNTIFS(FundRaw!$C$4:$C$281,"nbis",FundRaw!$E$4:$E$281,"2026",FundRaw!$F$4:$F$281,"vendor_financing",FundRaw!$O$4:$O$281,1))=0,"",SUMIFS(FundRaw!$G$4:$G$281,FundRaw!$C$4:$C$281,"nbis",FundRaw!$E$4:$E$281,"2026",FundRaw!$F$4:$F$281,"vendor_financing",FundRaw!$O$4:$O$281,1))</f>
        <v/>
      </c>
      <c r="T24" s="33" t="str">
        <f aca="false">IF((COUNTIFS(FundRaw!$C$4:$C$281,"nbis",FundRaw!$E$4:$E$281,"2026",FundRaw!$F$4:$F$281,"buyback_div",FundRaw!$O$4:$O$281,1))=0,"",SUMIFS(FundRaw!$G$4:$G$281,FundRaw!$C$4:$C$281,"nbis",FundRaw!$E$4:$E$281,"2026",FundRaw!$F$4:$F$281,"buyback_div",FundRaw!$O$4:$O$281,1))</f>
        <v/>
      </c>
      <c r="U24" s="33" t="str">
        <f aca="false">IF((COUNTIFS(FundRaw!$C$4:$C$281,"nbis",FundRaw!$E$4:$E$281,"2026",FundRaw!$F$4:$F$281,"gpu_debt_talks",FundRaw!$O$4:$O$281,1))=0,"",SUMIFS(FundRaw!$G$4:$G$281,FundRaw!$C$4:$C$281,"nbis",FundRaw!$E$4:$E$281,"2026",FundRaw!$F$4:$F$281,"gpu_debt_talks",FundRaw!$O$4:$O$281,1))</f>
        <v/>
      </c>
      <c r="V24" s="33" t="str">
        <f aca="false">IF((COUNTIFS(FundRaw!$C$4:$C$281,"nbis",FundRaw!$E$4:$E$281,"2026",FundRaw!$F$4:$F$281,"bridge_refi",FundRaw!$O$4:$O$281,1))=0,"",SUMIFS(FundRaw!$G$4:$G$281,FundRaw!$C$4:$C$281,"nbis",FundRaw!$E$4:$E$281,"2026",FundRaw!$F$4:$F$281,"bridge_refi",FundRaw!$O$4:$O$281,1))</f>
        <v/>
      </c>
      <c r="W24" s="33" t="n">
        <f aca="false">IF(H24&lt;&gt;"",H24,IF(F24&lt;&gt;"",F24+N(G24),""))</f>
        <v>8.13</v>
      </c>
      <c r="X24" s="33" t="str">
        <f aca="false">IF(OR(W24="",E24=""),"",MAX(0,MIN(N(E24),W24-N(Y24))))</f>
        <v/>
      </c>
      <c r="Y24" s="33" t="n">
        <f aca="false">IF(W24="","",IF(AND(H24&lt;&gt;"",F24&lt;&gt;""),MAX(0,H24-F24),N(G24)))</f>
        <v>0</v>
      </c>
      <c r="Z24" s="33" t="n">
        <f aca="false">IF(W24="","",MAX(0,MIN(N(R24),W24-N(X24)-N(Y24))))</f>
        <v>4.811</v>
      </c>
      <c r="AA24" s="33" t="n">
        <f aca="false">IF(W24="","",MAX(0,MIN(N(J24)+N(K24)+N(L24)+N(M24),W24-N(X24)-N(Y24)-N(Z24))))</f>
        <v>3.319</v>
      </c>
      <c r="AB24" s="33" t="n">
        <f aca="false">IF(W24="","",W24-N(X24)-N(Y24)-N(Z24)-N(AA24))</f>
        <v>0</v>
      </c>
      <c r="AC24" s="38" t="str">
        <f aca="false">IF(OR(W24="",N(W24)=0,X24=""),"",X24/W24)</f>
        <v/>
      </c>
      <c r="AD24" s="38" t="n">
        <f aca="false">IF(OR(W24="",N(W24)=0,Y24=""),"",Y24/W24)</f>
        <v>0</v>
      </c>
      <c r="AE24" s="38" t="n">
        <f aca="false">IF(OR(W24="",N(W24)=0,Z24=""),"",Z24/W24)</f>
        <v>0.591758917589176</v>
      </c>
      <c r="AF24" s="38" t="n">
        <f aca="false">IF(OR(W24="",N(W24)=0,AA24=""),"",AA24/W24)</f>
        <v>0.408241082410824</v>
      </c>
      <c r="AG24" s="38" t="n">
        <f aca="false">IF(OR(W24="",N(W24)=0,AB24=""),"",AB24/W24)</f>
        <v>0</v>
      </c>
      <c r="AH24" s="33" t="n">
        <f aca="false">N(J24)+N(K24)+N(L24)+N(M24)+N(R24)+N(G24)</f>
        <v>9.149</v>
      </c>
      <c r="AI24" s="23" t="n">
        <f aca="false">IF(N(AH24)=0,"",(N(J24)+N(K24)+N(L24)+N(M24))/AH24)</f>
        <v>0.474150180347579</v>
      </c>
      <c r="AJ24" s="23" t="n">
        <f aca="false">IF(N(AH24)=0,"",(N(R24))/AH24)</f>
        <v>0.525849819652421</v>
      </c>
      <c r="AK24" s="23" t="n">
        <f aca="false">IF(N(AH24)=0,"",(N(G24))/AH24)</f>
        <v>0</v>
      </c>
      <c r="AL24" s="33" t="n">
        <f aca="false">N(J24)+N(K24)+N(L24)+N(M24)+IF(AND(H24&lt;&gt;"",F24&lt;&gt;""),MAX(0,H24-F24),N(G24))+N(P24)+N(R24)</f>
        <v>9.149</v>
      </c>
      <c r="AM24" s="38" t="n">
        <f aca="false">IF(OR(W24="",N(W24)=0),"",AL24/W24)</f>
        <v>1.12533825338253</v>
      </c>
      <c r="AN24" s="38" t="str">
        <f aca="false">IF(OR(W24="",N(W24)=0,E24=""),"",E24/W24)</f>
        <v/>
      </c>
      <c r="AO24" s="23" t="n">
        <f aca="false">IF(OR(W24="",N(W24)=0),"",(N(J24)+N(K24)+N(L24)+N(M24))/W24)</f>
        <v>0.533579335793358</v>
      </c>
      <c r="AP24" s="23" t="n">
        <f aca="false">IF(OR(W24="",N(W24)=0),"",N(R24)/W24)</f>
        <v>0.591758917589176</v>
      </c>
      <c r="AQ24" s="23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2087</v>
      </c>
      <c r="B25" s="0" t="s">
        <v>757</v>
      </c>
      <c r="C25" s="0" t="n">
        <v>2025</v>
      </c>
      <c r="D25" s="0" t="s">
        <v>2082</v>
      </c>
      <c r="E25" s="33" t="n">
        <f aca="false">IF((COUNTIFS(FundRaw!$C$4:$C$281,"xai",FundRaw!$E$4:$E$281,"2025",FundRaw!$F$4:$F$281,"ocf",FundRaw!$O$4:$O$281,1))=0,"",SUMIFS(FundRaw!$G$4:$G$281,FundRaw!$C$4:$C$281,"xai",FundRaw!$E$4:$E$281,"2025",FundRaw!$F$4:$F$281,"ocf",FundRaw!$O$4:$O$281,1))</f>
        <v>6.8</v>
      </c>
      <c r="F25" s="33" t="n">
        <f aca="false">IF((COUNTIFS(FundRaw!$C$4:$C$281,"xai",FundRaw!$E$4:$E$281,"2025",FundRaw!$F$4:$F$281,"capex_cash",FundRaw!$O$4:$O$281,1))=0,"",SUMIFS(FundRaw!$G$4:$G$281,FundRaw!$C$4:$C$281,"xai",FundRaw!$E$4:$E$281,"2025",FundRaw!$F$4:$F$281,"capex_cash",FundRaw!$O$4:$O$281,1))</f>
        <v>20.7</v>
      </c>
      <c r="G25" s="33" t="str">
        <f aca="false">IF((COUNTIFS(FundRaw!$C$4:$C$281,"xai",FundRaw!$E$4:$E$281,"2025",FundRaw!$F$4:$F$281,"fin_lease_new",FundRaw!$O$4:$O$281,1))=0,"",SUMIFS(FundRaw!$G$4:$G$281,FundRaw!$C$4:$C$281,"xai",FundRaw!$E$4:$E$281,"2025",FundRaw!$F$4:$F$281,"fin_lease_new",FundRaw!$O$4:$O$281,1))</f>
        <v/>
      </c>
      <c r="H25" s="33" t="str">
        <f aca="false">IF((COUNTIFS(FundRaw!$C$4:$C$281,"xai",FundRaw!$E$4:$E$281,"2025",FundRaw!$F$4:$F$281,"capex_incl_fl",FundRaw!$O$4:$O$281,1))=0,"",SUMIFS(FundRaw!$G$4:$G$281,FundRaw!$C$4:$C$281,"xai",FundRaw!$E$4:$E$281,"2025",FundRaw!$F$4:$F$281,"capex_incl_fl",FundRaw!$O$4:$O$281,1))</f>
        <v/>
      </c>
      <c r="I25" s="33" t="n">
        <f aca="false">IF((COUNTIFS(FundRaw!$C$4:$C$281,"xai",FundRaw!$E$4:$E$281,"2025",FundRaw!$F$4:$F$281,"fcf",FundRaw!$O$4:$O$281,1))=0,"",SUMIFS(FundRaw!$G$4:$G$281,FundRaw!$C$4:$C$281,"xai",FundRaw!$E$4:$E$281,"2025",FundRaw!$F$4:$F$281,"fcf",FundRaw!$O$4:$O$281,1))</f>
        <v>-13.9</v>
      </c>
      <c r="J25" s="33" t="str">
        <f aca="false">IF((COUNTIFS(FundRaw!$C$4:$C$281,"xai",FundRaw!$E$4:$E$281,"2025",FundRaw!$F$4:$F$281,"bond_issue",FundRaw!$O$4:$O$281,1))=0,"",SUMIFS(FundRaw!$G$4:$G$281,FundRaw!$C$4:$C$281,"xai",FundRaw!$E$4:$E$281,"2025",FundRaw!$F$4:$F$281,"bond_issue",FundRaw!$O$4:$O$281,1))</f>
        <v/>
      </c>
      <c r="K25" s="33" t="str">
        <f aca="false">IF((COUNTIFS(FundRaw!$C$4:$C$281,"xai",FundRaw!$E$4:$E$281,"2025",FundRaw!$F$4:$F$281,"term_loan",FundRaw!$O$4:$O$281,1))=0,"",SUMIFS(FundRaw!$G$4:$G$281,FundRaw!$C$4:$C$281,"xai",FundRaw!$E$4:$E$281,"2025",FundRaw!$F$4:$F$281,"term_loan",FundRaw!$O$4:$O$281,1))</f>
        <v/>
      </c>
      <c r="L25" s="33" t="n">
        <f aca="false">IF((COUNTIFS(FundRaw!$C$4:$C$281,"xai",FundRaw!$E$4:$E$281,"2025",FundRaw!$F$4:$F$281,"gpu_debt",FundRaw!$O$4:$O$281,1))=0,"",SUMIFS(FundRaw!$G$4:$G$281,FundRaw!$C$4:$C$281,"xai",FundRaw!$E$4:$E$281,"2025",FundRaw!$F$4:$F$281,"gpu_debt",FundRaw!$O$4:$O$281,1))</f>
        <v>16</v>
      </c>
      <c r="M25" s="33" t="str">
        <f aca="false">IF((COUNTIFS(FundRaw!$C$4:$C$281,"xai",FundRaw!$E$4:$E$281,"2025",FundRaw!$F$4:$F$281,"private_credit",FundRaw!$O$4:$O$281,1))=0,"",SUMIFS(FundRaw!$G$4:$G$281,FundRaw!$C$4:$C$281,"xai",FundRaw!$E$4:$E$281,"2025",FundRaw!$F$4:$F$281,"private_credit",FundRaw!$O$4:$O$281,1))</f>
        <v/>
      </c>
      <c r="N25" s="33" t="str">
        <f aca="false">IF((COUNTIFS(FundRaw!$C$4:$C$281,"xai",FundRaw!$E$4:$E$281,"2025",FundRaw!$F$4:$F$281,"net_debt_change",FundRaw!$O$4:$O$281,1))=0,"",SUMIFS(FundRaw!$G$4:$G$281,FundRaw!$C$4:$C$281,"xai",FundRaw!$E$4:$E$281,"2025",FundRaw!$F$4:$F$281,"net_debt_change",FundRaw!$O$4:$O$281,1))</f>
        <v/>
      </c>
      <c r="O25" s="33" t="str">
        <f aca="false">IF((COUNTIFS(FundRaw!$C$4:$C$281,"xai",FundRaw!$E$4:$E$281,"2025",FundRaw!$F$4:$F$281,"lease_not_commenced",FundRaw!$O$4:$O$281,1))=0,"",SUMIFS(FundRaw!$G$4:$G$281,FundRaw!$C$4:$C$281,"xai",FundRaw!$E$4:$E$281,"2025",FundRaw!$F$4:$F$281,"lease_not_commenced",FundRaw!$O$4:$O$281,1))</f>
        <v/>
      </c>
      <c r="P25" s="33" t="str">
        <f aca="false">IF((COUNTIFS(FundRaw!$C$4:$C$281,"xai",FundRaw!$E$4:$E$281,"2025",FundRaw!$F$4:$F$281,"jv_offbalance",FundRaw!$O$4:$O$281,1))=0,"",SUMIFS(FundRaw!$G$4:$G$281,FundRaw!$C$4:$C$281,"xai",FundRaw!$E$4:$E$281,"2025",FundRaw!$F$4:$F$281,"jv_offbalance",FundRaw!$O$4:$O$281,1))</f>
        <v/>
      </c>
      <c r="Q25" s="33" t="str">
        <f aca="false">IF((COUNTIFS(FundRaw!$C$4:$C$281,"xai",FundRaw!$E$4:$E$281,"2025",FundRaw!$F$4:$F$281,"jv_exposure",FundRaw!$O$4:$O$281,1))=0,"",SUMIFS(FundRaw!$G$4:$G$281,FundRaw!$C$4:$C$281,"xai",FundRaw!$E$4:$E$281,"2025",FundRaw!$F$4:$F$281,"jv_exposure",FundRaw!$O$4:$O$281,1))</f>
        <v/>
      </c>
      <c r="R25" s="33" t="str">
        <f aca="false">IF((COUNTIFS(FundRaw!$C$4:$C$281,"xai",FundRaw!$E$4:$E$281,"2025",FundRaw!$F$4:$F$281,"equity_round",FundRaw!$O$4:$O$281,1))=0,"",SUMIFS(FundRaw!$G$4:$G$281,FundRaw!$C$4:$C$281,"xai",FundRaw!$E$4:$E$281,"2025",FundRaw!$F$4:$F$281,"equity_round",FundRaw!$O$4:$O$281,1))</f>
        <v/>
      </c>
      <c r="S25" s="33" t="str">
        <f aca="false">IF((COUNTIFS(FundRaw!$C$4:$C$281,"xai",FundRaw!$E$4:$E$281,"2025",FundRaw!$F$4:$F$281,"vendor_financing",FundRaw!$O$4:$O$281,1))=0,"",SUMIFS(FundRaw!$G$4:$G$281,FundRaw!$C$4:$C$281,"xai",FundRaw!$E$4:$E$281,"2025",FundRaw!$F$4:$F$281,"vendor_financing",FundRaw!$O$4:$O$281,1))</f>
        <v/>
      </c>
      <c r="T25" s="33" t="str">
        <f aca="false">IF((COUNTIFS(FundRaw!$C$4:$C$281,"xai",FundRaw!$E$4:$E$281,"2025",FundRaw!$F$4:$F$281,"buyback_div",FundRaw!$O$4:$O$281,1))=0,"",SUMIFS(FundRaw!$G$4:$G$281,FundRaw!$C$4:$C$281,"xai",FundRaw!$E$4:$E$281,"2025",FundRaw!$F$4:$F$281,"buyback_div",FundRaw!$O$4:$O$281,1))</f>
        <v/>
      </c>
      <c r="U25" s="33" t="str">
        <f aca="false">IF((COUNTIFS(FundRaw!$C$4:$C$281,"xai",FundRaw!$E$4:$E$281,"2025",FundRaw!$F$4:$F$281,"gpu_debt_talks",FundRaw!$O$4:$O$281,1))=0,"",SUMIFS(FundRaw!$G$4:$G$281,FundRaw!$C$4:$C$281,"xai",FundRaw!$E$4:$E$281,"2025",FundRaw!$F$4:$F$281,"gpu_debt_talks",FundRaw!$O$4:$O$281,1))</f>
        <v/>
      </c>
      <c r="V25" s="33" t="str">
        <f aca="false">IF((COUNTIFS(FundRaw!$C$4:$C$281,"xai",FundRaw!$E$4:$E$281,"2025",FundRaw!$F$4:$F$281,"bridge_refi",FundRaw!$O$4:$O$281,1))=0,"",SUMIFS(FundRaw!$G$4:$G$281,FundRaw!$C$4:$C$281,"xai",FundRaw!$E$4:$E$281,"2025",FundRaw!$F$4:$F$281,"bridge_refi",FundRaw!$O$4:$O$281,1))</f>
        <v/>
      </c>
      <c r="W25" s="33" t="n">
        <f aca="false">IF(H25&lt;&gt;"",H25,IF(F25&lt;&gt;"",F25+N(G25),""))</f>
        <v>20.7</v>
      </c>
      <c r="X25" s="33" t="n">
        <f aca="false">IF(OR(W25="",E25=""),"",MAX(0,MIN(N(E25),W25-N(Y25))))</f>
        <v>6.8</v>
      </c>
      <c r="Y25" s="33" t="n">
        <f aca="false">IF(W25="","",IF(AND(H25&lt;&gt;"",F25&lt;&gt;""),MAX(0,H25-F25),N(G25)))</f>
        <v>0</v>
      </c>
      <c r="Z25" s="33" t="n">
        <f aca="false">IF(W25="","",MAX(0,MIN(N(R25),W25-N(X25)-N(Y25))))</f>
        <v>0</v>
      </c>
      <c r="AA25" s="33" t="n">
        <f aca="false">IF(W25="","",MAX(0,MIN(N(J25)+N(K25)+N(L25)+N(M25),W25-N(X25)-N(Y25)-N(Z25))))</f>
        <v>13.9</v>
      </c>
      <c r="AB25" s="33" t="n">
        <f aca="false">IF(W25="","",W25-N(X25)-N(Y25)-N(Z25)-N(AA25))</f>
        <v>0</v>
      </c>
      <c r="AC25" s="38" t="n">
        <f aca="false">IF(OR(W25="",N(W25)=0,X25=""),"",X25/W25)</f>
        <v>0.328502415458937</v>
      </c>
      <c r="AD25" s="38" t="n">
        <f aca="false">IF(OR(W25="",N(W25)=0,Y25=""),"",Y25/W25)</f>
        <v>0</v>
      </c>
      <c r="AE25" s="38" t="n">
        <f aca="false">IF(OR(W25="",N(W25)=0,Z25=""),"",Z25/W25)</f>
        <v>0</v>
      </c>
      <c r="AF25" s="38" t="n">
        <f aca="false">IF(OR(W25="",N(W25)=0,AA25=""),"",AA25/W25)</f>
        <v>0.671497584541063</v>
      </c>
      <c r="AG25" s="38" t="n">
        <f aca="false">IF(OR(W25="",N(W25)=0,AB25=""),"",AB25/W25)</f>
        <v>0</v>
      </c>
      <c r="AH25" s="33" t="n">
        <f aca="false">N(J25)+N(K25)+N(L25)+N(M25)+N(R25)+N(G25)</f>
        <v>16</v>
      </c>
      <c r="AI25" s="23" t="n">
        <f aca="false">IF(N(AH25)=0,"",(N(J25)+N(K25)+N(L25)+N(M25))/AH25)</f>
        <v>1</v>
      </c>
      <c r="AJ25" s="23" t="n">
        <f aca="false">IF(N(AH25)=0,"",(N(R25))/AH25)</f>
        <v>0</v>
      </c>
      <c r="AK25" s="23" t="n">
        <f aca="false">IF(N(AH25)=0,"",(N(G25))/AH25)</f>
        <v>0</v>
      </c>
      <c r="AL25" s="33" t="n">
        <f aca="false">N(J25)+N(K25)+N(L25)+N(M25)+IF(AND(H25&lt;&gt;"",F25&lt;&gt;""),MAX(0,H25-F25),N(G25))+N(P25)+N(R25)</f>
        <v>16</v>
      </c>
      <c r="AM25" s="38" t="n">
        <f aca="false">IF(OR(W25="",N(W25)=0),"",AL25/W25)</f>
        <v>0.772946859903382</v>
      </c>
      <c r="AN25" s="38" t="n">
        <f aca="false">IF(OR(W25="",N(W25)=0,E25=""),"",E25/W25)</f>
        <v>0.328502415458937</v>
      </c>
      <c r="AO25" s="23" t="n">
        <f aca="false">IF(OR(W25="",N(W25)=0),"",(N(J25)+N(K25)+N(L25)+N(M25))/W25)</f>
        <v>0.772946859903382</v>
      </c>
      <c r="AP25" s="23" t="n">
        <f aca="false">IF(OR(W25="",N(W25)=0),"",N(R25)/W25)</f>
        <v>0</v>
      </c>
      <c r="AQ25" s="23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2087</v>
      </c>
      <c r="B26" s="0" t="s">
        <v>757</v>
      </c>
      <c r="C26" s="0" t="n">
        <v>2026</v>
      </c>
      <c r="D26" s="0" t="s">
        <v>2086</v>
      </c>
      <c r="E26" s="33" t="n">
        <f aca="false">IF((COUNTIFS(FundRaw!$C$4:$C$281,"xai",FundRaw!$E$4:$E$281,"2026",FundRaw!$F$4:$F$281,"ocf",FundRaw!$O$4:$O$281,1))=0,"",SUMIFS(FundRaw!$G$4:$G$281,FundRaw!$C$4:$C$281,"xai",FundRaw!$E$4:$E$281,"2026",FundRaw!$F$4:$F$281,"ocf",FundRaw!$O$4:$O$281,1))</f>
        <v>3.47</v>
      </c>
      <c r="F26" s="33" t="n">
        <f aca="false">IF((COUNTIFS(FundRaw!$C$4:$C$281,"xai",FundRaw!$E$4:$E$281,"2026",FundRaw!$F$4:$F$281,"capex_cash",FundRaw!$O$4:$O$281,1))=0,"",SUMIFS(FundRaw!$G$4:$G$281,FundRaw!$C$4:$C$281,"xai",FundRaw!$E$4:$E$281,"2026",FundRaw!$F$4:$F$281,"capex_cash",FundRaw!$O$4:$O$281,1))</f>
        <v>28.5</v>
      </c>
      <c r="G26" s="33" t="str">
        <f aca="false">IF((COUNTIFS(FundRaw!$C$4:$C$281,"xai",FundRaw!$E$4:$E$281,"2026",FundRaw!$F$4:$F$281,"fin_lease_new",FundRaw!$O$4:$O$281,1))=0,"",SUMIFS(FundRaw!$G$4:$G$281,FundRaw!$C$4:$C$281,"xai",FundRaw!$E$4:$E$281,"2026",FundRaw!$F$4:$F$281,"fin_lease_new",FundRaw!$O$4:$O$281,1))</f>
        <v/>
      </c>
      <c r="H26" s="33" t="str">
        <f aca="false">IF((COUNTIFS(FundRaw!$C$4:$C$281,"xai",FundRaw!$E$4:$E$281,"2026",FundRaw!$F$4:$F$281,"capex_incl_fl",FundRaw!$O$4:$O$281,1))=0,"",SUMIFS(FundRaw!$G$4:$G$281,FundRaw!$C$4:$C$281,"xai",FundRaw!$E$4:$E$281,"2026",FundRaw!$F$4:$F$281,"capex_incl_fl",FundRaw!$O$4:$O$281,1))</f>
        <v/>
      </c>
      <c r="I26" s="33" t="str">
        <f aca="false">IF((COUNTIFS(FundRaw!$C$4:$C$281,"xai",FundRaw!$E$4:$E$281,"2026",FundRaw!$F$4:$F$281,"fcf",FundRaw!$O$4:$O$281,1))=0,"",SUMIFS(FundRaw!$G$4:$G$281,FundRaw!$C$4:$C$281,"xai",FundRaw!$E$4:$E$281,"2026",FundRaw!$F$4:$F$281,"fcf",FundRaw!$O$4:$O$281,1))</f>
        <v/>
      </c>
      <c r="J26" s="33" t="n">
        <f aca="false">IF((COUNTIFS(FundRaw!$C$4:$C$281,"xai",FundRaw!$E$4:$E$281,"2026",FundRaw!$F$4:$F$281,"bond_issue",FundRaw!$O$4:$O$281,1))=0,"",SUMIFS(FundRaw!$G$4:$G$281,FundRaw!$C$4:$C$281,"xai",FundRaw!$E$4:$E$281,"2026",FundRaw!$F$4:$F$281,"bond_issue",FundRaw!$O$4:$O$281,1))</f>
        <v>25</v>
      </c>
      <c r="K26" s="33" t="str">
        <f aca="false">IF((COUNTIFS(FundRaw!$C$4:$C$281,"xai",FundRaw!$E$4:$E$281,"2026",FundRaw!$F$4:$F$281,"term_loan",FundRaw!$O$4:$O$281,1))=0,"",SUMIFS(FundRaw!$G$4:$G$281,FundRaw!$C$4:$C$281,"xai",FundRaw!$E$4:$E$281,"2026",FundRaw!$F$4:$F$281,"term_loan",FundRaw!$O$4:$O$281,1))</f>
        <v/>
      </c>
      <c r="L26" s="33" t="str">
        <f aca="false">IF((COUNTIFS(FundRaw!$C$4:$C$281,"xai",FundRaw!$E$4:$E$281,"2026",FundRaw!$F$4:$F$281,"gpu_debt",FundRaw!$O$4:$O$281,1))=0,"",SUMIFS(FundRaw!$G$4:$G$281,FundRaw!$C$4:$C$281,"xai",FundRaw!$E$4:$E$281,"2026",FundRaw!$F$4:$F$281,"gpu_debt",FundRaw!$O$4:$O$281,1))</f>
        <v/>
      </c>
      <c r="M26" s="33" t="str">
        <f aca="false">IF((COUNTIFS(FundRaw!$C$4:$C$281,"xai",FundRaw!$E$4:$E$281,"2026",FundRaw!$F$4:$F$281,"private_credit",FundRaw!$O$4:$O$281,1))=0,"",SUMIFS(FundRaw!$G$4:$G$281,FundRaw!$C$4:$C$281,"xai",FundRaw!$E$4:$E$281,"2026",FundRaw!$F$4:$F$281,"private_credit",FundRaw!$O$4:$O$281,1))</f>
        <v/>
      </c>
      <c r="N26" s="33" t="str">
        <f aca="false">IF((COUNTIFS(FundRaw!$C$4:$C$281,"xai",FundRaw!$E$4:$E$281,"2026",FundRaw!$F$4:$F$281,"net_debt_change",FundRaw!$O$4:$O$281,1))=0,"",SUMIFS(FundRaw!$G$4:$G$281,FundRaw!$C$4:$C$281,"xai",FundRaw!$E$4:$E$281,"2026",FundRaw!$F$4:$F$281,"net_debt_change",FundRaw!$O$4:$O$281,1))</f>
        <v/>
      </c>
      <c r="O26" s="33" t="str">
        <f aca="false">IF((COUNTIFS(FundRaw!$C$4:$C$281,"xai",FundRaw!$E$4:$E$281,"2026",FundRaw!$F$4:$F$281,"lease_not_commenced",FundRaw!$O$4:$O$281,1))=0,"",SUMIFS(FundRaw!$G$4:$G$281,FundRaw!$C$4:$C$281,"xai",FundRaw!$E$4:$E$281,"2026",FundRaw!$F$4:$F$281,"lease_not_commenced",FundRaw!$O$4:$O$281,1))</f>
        <v/>
      </c>
      <c r="P26" s="33" t="str">
        <f aca="false">IF((COUNTIFS(FundRaw!$C$4:$C$281,"xai",FundRaw!$E$4:$E$281,"2026",FundRaw!$F$4:$F$281,"jv_offbalance",FundRaw!$O$4:$O$281,1))=0,"",SUMIFS(FundRaw!$G$4:$G$281,FundRaw!$C$4:$C$281,"xai",FundRaw!$E$4:$E$281,"2026",FundRaw!$F$4:$F$281,"jv_offbalance",FundRaw!$O$4:$O$281,1))</f>
        <v/>
      </c>
      <c r="Q26" s="33" t="str">
        <f aca="false">IF((COUNTIFS(FundRaw!$C$4:$C$281,"xai",FundRaw!$E$4:$E$281,"2026",FundRaw!$F$4:$F$281,"jv_exposure",FundRaw!$O$4:$O$281,1))=0,"",SUMIFS(FundRaw!$G$4:$G$281,FundRaw!$C$4:$C$281,"xai",FundRaw!$E$4:$E$281,"2026",FundRaw!$F$4:$F$281,"jv_exposure",FundRaw!$O$4:$O$281,1))</f>
        <v/>
      </c>
      <c r="R26" s="33" t="n">
        <f aca="false">IF((COUNTIFS(FundRaw!$C$4:$C$281,"xai",FundRaw!$E$4:$E$281,"2026",FundRaw!$F$4:$F$281,"equity_round",FundRaw!$O$4:$O$281,1))=0,"",SUMIFS(FundRaw!$G$4:$G$281,FundRaw!$C$4:$C$281,"xai",FundRaw!$E$4:$E$281,"2026",FundRaw!$F$4:$F$281,"equity_round",FundRaw!$O$4:$O$281,1))</f>
        <v>75</v>
      </c>
      <c r="S26" s="33" t="str">
        <f aca="false">IF((COUNTIFS(FundRaw!$C$4:$C$281,"xai",FundRaw!$E$4:$E$281,"2026",FundRaw!$F$4:$F$281,"vendor_financing",FundRaw!$O$4:$O$281,1))=0,"",SUMIFS(FundRaw!$G$4:$G$281,FundRaw!$C$4:$C$281,"xai",FundRaw!$E$4:$E$281,"2026",FundRaw!$F$4:$F$281,"vendor_financing",FundRaw!$O$4:$O$281,1))</f>
        <v/>
      </c>
      <c r="T26" s="33" t="str">
        <f aca="false">IF((COUNTIFS(FundRaw!$C$4:$C$281,"xai",FundRaw!$E$4:$E$281,"2026",FundRaw!$F$4:$F$281,"buyback_div",FundRaw!$O$4:$O$281,1))=0,"",SUMIFS(FundRaw!$G$4:$G$281,FundRaw!$C$4:$C$281,"xai",FundRaw!$E$4:$E$281,"2026",FundRaw!$F$4:$F$281,"buyback_div",FundRaw!$O$4:$O$281,1))</f>
        <v/>
      </c>
      <c r="U26" s="33" t="str">
        <f aca="false">IF((COUNTIFS(FundRaw!$C$4:$C$281,"xai",FundRaw!$E$4:$E$281,"2026",FundRaw!$F$4:$F$281,"gpu_debt_talks",FundRaw!$O$4:$O$281,1))=0,"",SUMIFS(FundRaw!$G$4:$G$281,FundRaw!$C$4:$C$281,"xai",FundRaw!$E$4:$E$281,"2026",FundRaw!$F$4:$F$281,"gpu_debt_talks",FundRaw!$O$4:$O$281,1))</f>
        <v/>
      </c>
      <c r="V26" s="33" t="n">
        <f aca="false">IF((COUNTIFS(FundRaw!$C$4:$C$281,"xai",FundRaw!$E$4:$E$281,"2026",FundRaw!$F$4:$F$281,"bridge_refi",FundRaw!$O$4:$O$281,1))=0,"",SUMIFS(FundRaw!$G$4:$G$281,FundRaw!$C$4:$C$281,"xai",FundRaw!$E$4:$E$281,"2026",FundRaw!$F$4:$F$281,"bridge_refi",FundRaw!$O$4:$O$281,1))</f>
        <v>20</v>
      </c>
      <c r="W26" s="33" t="n">
        <f aca="false">IF(H26&lt;&gt;"",H26,IF(F26&lt;&gt;"",F26+N(G26),""))</f>
        <v>28.5</v>
      </c>
      <c r="X26" s="33" t="n">
        <f aca="false">IF(OR(W26="",E26=""),"",MAX(0,MIN(N(E26),W26-N(Y26))))</f>
        <v>3.47</v>
      </c>
      <c r="Y26" s="33" t="n">
        <f aca="false">IF(W26="","",IF(AND(H26&lt;&gt;"",F26&lt;&gt;""),MAX(0,H26-F26),N(G26)))</f>
        <v>0</v>
      </c>
      <c r="Z26" s="33" t="n">
        <f aca="false">IF(W26="","",MAX(0,MIN(N(R26),W26-N(X26)-N(Y26))))</f>
        <v>25.03</v>
      </c>
      <c r="AA26" s="33" t="n">
        <f aca="false">IF(W26="","",MAX(0,MIN(N(J26)+N(K26)+N(L26)+N(M26),W26-N(X26)-N(Y26)-N(Z26))))</f>
        <v>0</v>
      </c>
      <c r="AB26" s="33" t="n">
        <f aca="false">IF(W26="","",W26-N(X26)-N(Y26)-N(Z26)-N(AA26))</f>
        <v>0</v>
      </c>
      <c r="AC26" s="38" t="n">
        <f aca="false">IF(OR(W26="",N(W26)=0,X26=""),"",X26/W26)</f>
        <v>0.121754385964912</v>
      </c>
      <c r="AD26" s="38" t="n">
        <f aca="false">IF(OR(W26="",N(W26)=0,Y26=""),"",Y26/W26)</f>
        <v>0</v>
      </c>
      <c r="AE26" s="38" t="n">
        <f aca="false">IF(OR(W26="",N(W26)=0,Z26=""),"",Z26/W26)</f>
        <v>0.878245614035088</v>
      </c>
      <c r="AF26" s="38" t="n">
        <f aca="false">IF(OR(W26="",N(W26)=0,AA26=""),"",AA26/W26)</f>
        <v>0</v>
      </c>
      <c r="AG26" s="38" t="n">
        <f aca="false">IF(OR(W26="",N(W26)=0,AB26=""),"",AB26/W26)</f>
        <v>0</v>
      </c>
      <c r="AH26" s="33" t="n">
        <f aca="false">N(J26)+N(K26)+N(L26)+N(M26)+N(R26)+N(G26)</f>
        <v>100</v>
      </c>
      <c r="AI26" s="23" t="n">
        <f aca="false">IF(N(AH26)=0,"",(N(J26)+N(K26)+N(L26)+N(M26))/AH26)</f>
        <v>0.25</v>
      </c>
      <c r="AJ26" s="23" t="n">
        <f aca="false">IF(N(AH26)=0,"",(N(R26))/AH26)</f>
        <v>0.75</v>
      </c>
      <c r="AK26" s="23" t="n">
        <f aca="false">IF(N(AH26)=0,"",(N(G26))/AH26)</f>
        <v>0</v>
      </c>
      <c r="AL26" s="33" t="n">
        <f aca="false">N(J26)+N(K26)+N(L26)+N(M26)+IF(AND(H26&lt;&gt;"",F26&lt;&gt;""),MAX(0,H26-F26),N(G26))+N(P26)+N(R26)</f>
        <v>100</v>
      </c>
      <c r="AM26" s="38" t="n">
        <f aca="false">IF(OR(W26="",N(W26)=0),"",AL26/W26)</f>
        <v>3.50877192982456</v>
      </c>
      <c r="AN26" s="38" t="n">
        <f aca="false">IF(OR(W26="",N(W26)=0,E26=""),"",E26/W26)</f>
        <v>0.121754385964912</v>
      </c>
      <c r="AO26" s="23" t="n">
        <f aca="false">IF(OR(W26="",N(W26)=0),"",(N(J26)+N(K26)+N(L26)+N(M26))/W26)</f>
        <v>0.87719298245614</v>
      </c>
      <c r="AP26" s="23" t="n">
        <f aca="false">IF(OR(W26="",N(W26)=0),"",N(R26)/W26)</f>
        <v>2.63157894736842</v>
      </c>
      <c r="AQ26" s="23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1682</v>
      </c>
      <c r="B27" s="0" t="s">
        <v>753</v>
      </c>
      <c r="C27" s="0" t="n">
        <v>2025</v>
      </c>
      <c r="D27" s="0" t="s">
        <v>2082</v>
      </c>
      <c r="E27" s="33" t="str">
        <f aca="false">IF((COUNTIFS(FundRaw!$C$4:$C$281,"oai",FundRaw!$E$4:$E$281,"2025",FundRaw!$F$4:$F$281,"ocf",FundRaw!$O$4:$O$281,1))=0,"",SUMIFS(FundRaw!$G$4:$G$281,FundRaw!$C$4:$C$281,"oai",FundRaw!$E$4:$E$281,"2025",FundRaw!$F$4:$F$281,"ocf",FundRaw!$O$4:$O$281,1))</f>
        <v/>
      </c>
      <c r="F27" s="33" t="str">
        <f aca="false">IF((COUNTIFS(FundRaw!$C$4:$C$281,"oai",FundRaw!$E$4:$E$281,"2025",FundRaw!$F$4:$F$281,"capex_cash",FundRaw!$O$4:$O$281,1))=0,"",SUMIFS(FundRaw!$G$4:$G$281,FundRaw!$C$4:$C$281,"oai",FundRaw!$E$4:$E$281,"2025",FundRaw!$F$4:$F$281,"capex_cash",FundRaw!$O$4:$O$281,1))</f>
        <v/>
      </c>
      <c r="G27" s="33" t="str">
        <f aca="false">IF((COUNTIFS(FundRaw!$C$4:$C$281,"oai",FundRaw!$E$4:$E$281,"2025",FundRaw!$F$4:$F$281,"fin_lease_new",FundRaw!$O$4:$O$281,1))=0,"",SUMIFS(FundRaw!$G$4:$G$281,FundRaw!$C$4:$C$281,"oai",FundRaw!$E$4:$E$281,"2025",FundRaw!$F$4:$F$281,"fin_lease_new",FundRaw!$O$4:$O$281,1))</f>
        <v/>
      </c>
      <c r="H27" s="33" t="str">
        <f aca="false">IF((COUNTIFS(FundRaw!$C$4:$C$281,"oai",FundRaw!$E$4:$E$281,"2025",FundRaw!$F$4:$F$281,"capex_incl_fl",FundRaw!$O$4:$O$281,1))=0,"",SUMIFS(FundRaw!$G$4:$G$281,FundRaw!$C$4:$C$281,"oai",FundRaw!$E$4:$E$281,"2025",FundRaw!$F$4:$F$281,"capex_incl_fl",FundRaw!$O$4:$O$281,1))</f>
        <v/>
      </c>
      <c r="I27" s="33" t="n">
        <f aca="false">IF((COUNTIFS(FundRaw!$C$4:$C$281,"oai",FundRaw!$E$4:$E$281,"2025",FundRaw!$F$4:$F$281,"fcf",FundRaw!$O$4:$O$281,1))=0,"",SUMIFS(FundRaw!$G$4:$G$281,FundRaw!$C$4:$C$281,"oai",FundRaw!$E$4:$E$281,"2025",FundRaw!$F$4:$F$281,"fcf",FundRaw!$O$4:$O$281,1))</f>
        <v>-8</v>
      </c>
      <c r="J27" s="33" t="str">
        <f aca="false">IF((COUNTIFS(FundRaw!$C$4:$C$281,"oai",FundRaw!$E$4:$E$281,"2025",FundRaw!$F$4:$F$281,"bond_issue",FundRaw!$O$4:$O$281,1))=0,"",SUMIFS(FundRaw!$G$4:$G$281,FundRaw!$C$4:$C$281,"oai",FundRaw!$E$4:$E$281,"2025",FundRaw!$F$4:$F$281,"bond_issue",FundRaw!$O$4:$O$281,1))</f>
        <v/>
      </c>
      <c r="K27" s="33" t="str">
        <f aca="false">IF((COUNTIFS(FundRaw!$C$4:$C$281,"oai",FundRaw!$E$4:$E$281,"2025",FundRaw!$F$4:$F$281,"term_loan",FundRaw!$O$4:$O$281,1))=0,"",SUMIFS(FundRaw!$G$4:$G$281,FundRaw!$C$4:$C$281,"oai",FundRaw!$E$4:$E$281,"2025",FundRaw!$F$4:$F$281,"term_loan",FundRaw!$O$4:$O$281,1))</f>
        <v/>
      </c>
      <c r="L27" s="33" t="str">
        <f aca="false">IF((COUNTIFS(FundRaw!$C$4:$C$281,"oai",FundRaw!$E$4:$E$281,"2025",FundRaw!$F$4:$F$281,"gpu_debt",FundRaw!$O$4:$O$281,1))=0,"",SUMIFS(FundRaw!$G$4:$G$281,FundRaw!$C$4:$C$281,"oai",FundRaw!$E$4:$E$281,"2025",FundRaw!$F$4:$F$281,"gpu_debt",FundRaw!$O$4:$O$281,1))</f>
        <v/>
      </c>
      <c r="M27" s="33" t="str">
        <f aca="false">IF((COUNTIFS(FundRaw!$C$4:$C$281,"oai",FundRaw!$E$4:$E$281,"2025",FundRaw!$F$4:$F$281,"private_credit",FundRaw!$O$4:$O$281,1))=0,"",SUMIFS(FundRaw!$G$4:$G$281,FundRaw!$C$4:$C$281,"oai",FundRaw!$E$4:$E$281,"2025",FundRaw!$F$4:$F$281,"private_credit",FundRaw!$O$4:$O$281,1))</f>
        <v/>
      </c>
      <c r="N27" s="33" t="str">
        <f aca="false">IF((COUNTIFS(FundRaw!$C$4:$C$281,"oai",FundRaw!$E$4:$E$281,"2025",FundRaw!$F$4:$F$281,"net_debt_change",FundRaw!$O$4:$O$281,1))=0,"",SUMIFS(FundRaw!$G$4:$G$281,FundRaw!$C$4:$C$281,"oai",FundRaw!$E$4:$E$281,"2025",FundRaw!$F$4:$F$281,"net_debt_change",FundRaw!$O$4:$O$281,1))</f>
        <v/>
      </c>
      <c r="O27" s="33" t="str">
        <f aca="false">IF((COUNTIFS(FundRaw!$C$4:$C$281,"oai",FundRaw!$E$4:$E$281,"2025",FundRaw!$F$4:$F$281,"lease_not_commenced",FundRaw!$O$4:$O$281,1))=0,"",SUMIFS(FundRaw!$G$4:$G$281,FundRaw!$C$4:$C$281,"oai",FundRaw!$E$4:$E$281,"2025",FundRaw!$F$4:$F$281,"lease_not_commenced",FundRaw!$O$4:$O$281,1))</f>
        <v/>
      </c>
      <c r="P27" s="33" t="str">
        <f aca="false">IF((COUNTIFS(FundRaw!$C$4:$C$281,"oai",FundRaw!$E$4:$E$281,"2025",FundRaw!$F$4:$F$281,"jv_offbalance",FundRaw!$O$4:$O$281,1))=0,"",SUMIFS(FundRaw!$G$4:$G$281,FundRaw!$C$4:$C$281,"oai",FundRaw!$E$4:$E$281,"2025",FundRaw!$F$4:$F$281,"jv_offbalance",FundRaw!$O$4:$O$281,1))</f>
        <v/>
      </c>
      <c r="Q27" s="33" t="str">
        <f aca="false">IF((COUNTIFS(FundRaw!$C$4:$C$281,"oai",FundRaw!$E$4:$E$281,"2025",FundRaw!$F$4:$F$281,"jv_exposure",FundRaw!$O$4:$O$281,1))=0,"",SUMIFS(FundRaw!$G$4:$G$281,FundRaw!$C$4:$C$281,"oai",FundRaw!$E$4:$E$281,"2025",FundRaw!$F$4:$F$281,"jv_exposure",FundRaw!$O$4:$O$281,1))</f>
        <v/>
      </c>
      <c r="R27" s="33" t="str">
        <f aca="false">IF((COUNTIFS(FundRaw!$C$4:$C$281,"oai",FundRaw!$E$4:$E$281,"2025",FundRaw!$F$4:$F$281,"equity_round",FundRaw!$O$4:$O$281,1))=0,"",SUMIFS(FundRaw!$G$4:$G$281,FundRaw!$C$4:$C$281,"oai",FundRaw!$E$4:$E$281,"2025",FundRaw!$F$4:$F$281,"equity_round",FundRaw!$O$4:$O$281,1))</f>
        <v/>
      </c>
      <c r="S27" s="33" t="str">
        <f aca="false">IF((COUNTIFS(FundRaw!$C$4:$C$281,"oai",FundRaw!$E$4:$E$281,"2025",FundRaw!$F$4:$F$281,"vendor_financing",FundRaw!$O$4:$O$281,1))=0,"",SUMIFS(FundRaw!$G$4:$G$281,FundRaw!$C$4:$C$281,"oai",FundRaw!$E$4:$E$281,"2025",FundRaw!$F$4:$F$281,"vendor_financing",FundRaw!$O$4:$O$281,1))</f>
        <v/>
      </c>
      <c r="T27" s="33" t="str">
        <f aca="false">IF((COUNTIFS(FundRaw!$C$4:$C$281,"oai",FundRaw!$E$4:$E$281,"2025",FundRaw!$F$4:$F$281,"buyback_div",FundRaw!$O$4:$O$281,1))=0,"",SUMIFS(FundRaw!$G$4:$G$281,FundRaw!$C$4:$C$281,"oai",FundRaw!$E$4:$E$281,"2025",FundRaw!$F$4:$F$281,"buyback_div",FundRaw!$O$4:$O$281,1))</f>
        <v/>
      </c>
      <c r="U27" s="33" t="str">
        <f aca="false">IF((COUNTIFS(FundRaw!$C$4:$C$281,"oai",FundRaw!$E$4:$E$281,"2025",FundRaw!$F$4:$F$281,"gpu_debt_talks",FundRaw!$O$4:$O$281,1))=0,"",SUMIFS(FundRaw!$G$4:$G$281,FundRaw!$C$4:$C$281,"oai",FundRaw!$E$4:$E$281,"2025",FundRaw!$F$4:$F$281,"gpu_debt_talks",FundRaw!$O$4:$O$281,1))</f>
        <v/>
      </c>
      <c r="V27" s="33" t="str">
        <f aca="false">IF((COUNTIFS(FundRaw!$C$4:$C$281,"oai",FundRaw!$E$4:$E$281,"2025",FundRaw!$F$4:$F$281,"bridge_refi",FundRaw!$O$4:$O$281,1))=0,"",SUMIFS(FundRaw!$G$4:$G$281,FundRaw!$C$4:$C$281,"oai",FundRaw!$E$4:$E$281,"2025",FundRaw!$F$4:$F$281,"bridge_refi",FundRaw!$O$4:$O$281,1))</f>
        <v/>
      </c>
      <c r="W27" s="33" t="str">
        <f aca="false">IF(H27&lt;&gt;"",H27,IF(F27&lt;&gt;"",F27+N(G27),""))</f>
        <v/>
      </c>
      <c r="X27" s="33" t="str">
        <f aca="false">IF(OR(W27="",E27=""),"",MAX(0,MIN(N(E27),W27-N(Y27))))</f>
        <v/>
      </c>
      <c r="Y27" s="33" t="str">
        <f aca="false">IF(W27="","",IF(AND(H27&lt;&gt;"",F27&lt;&gt;""),MAX(0,H27-F27),N(G27)))</f>
        <v/>
      </c>
      <c r="Z27" s="33" t="str">
        <f aca="false">IF(W27="","",MAX(0,MIN(N(R27),W27-N(X27)-N(Y27))))</f>
        <v/>
      </c>
      <c r="AA27" s="33" t="str">
        <f aca="false">IF(W27="","",MAX(0,MIN(N(J27)+N(K27)+N(L27)+N(M27),W27-N(X27)-N(Y27)-N(Z27))))</f>
        <v/>
      </c>
      <c r="AB27" s="33" t="str">
        <f aca="false">IF(W27="","",W27-N(X27)-N(Y27)-N(Z27)-N(AA27))</f>
        <v/>
      </c>
      <c r="AC27" s="38" t="str">
        <f aca="false">IF(OR(W27="",N(W27)=0,X27=""),"",X27/W27)</f>
        <v/>
      </c>
      <c r="AD27" s="38" t="str">
        <f aca="false">IF(OR(W27="",N(W27)=0,Y27=""),"",Y27/W27)</f>
        <v/>
      </c>
      <c r="AE27" s="38" t="str">
        <f aca="false">IF(OR(W27="",N(W27)=0,Z27=""),"",Z27/W27)</f>
        <v/>
      </c>
      <c r="AF27" s="38" t="str">
        <f aca="false">IF(OR(W27="",N(W27)=0,AA27=""),"",AA27/W27)</f>
        <v/>
      </c>
      <c r="AG27" s="38" t="str">
        <f aca="false">IF(OR(W27="",N(W27)=0,AB27=""),"",AB27/W27)</f>
        <v/>
      </c>
      <c r="AH27" s="33" t="n">
        <f aca="false">N(J27)+N(K27)+N(L27)+N(M27)+N(R27)+N(G27)</f>
        <v>0</v>
      </c>
      <c r="AI27" s="23" t="str">
        <f aca="false">IF(N(AH27)=0,"",(N(J27)+N(K27)+N(L27)+N(M27))/AH27)</f>
        <v/>
      </c>
      <c r="AJ27" s="23" t="str">
        <f aca="false">IF(N(AH27)=0,"",(N(R27))/AH27)</f>
        <v/>
      </c>
      <c r="AK27" s="23" t="str">
        <f aca="false">IF(N(AH27)=0,"",(N(G27))/AH27)</f>
        <v/>
      </c>
      <c r="AL27" s="33" t="n">
        <f aca="false">N(J27)+N(K27)+N(L27)+N(M27)+IF(AND(H27&lt;&gt;"",F27&lt;&gt;""),MAX(0,H27-F27),N(G27))+N(P27)+N(R27)</f>
        <v>0</v>
      </c>
      <c r="AM27" s="38" t="str">
        <f aca="false">IF(OR(W27="",N(W27)=0),"",AL27/W27)</f>
        <v/>
      </c>
      <c r="AN27" s="38" t="str">
        <f aca="false">IF(OR(W27="",N(W27)=0,E27=""),"",E27/W27)</f>
        <v/>
      </c>
      <c r="AO27" s="23" t="str">
        <f aca="false">IF(OR(W27="",N(W27)=0),"",(N(J27)+N(K27)+N(L27)+N(M27))/W27)</f>
        <v/>
      </c>
      <c r="AP27" s="23" t="str">
        <f aca="false">IF(OR(W27="",N(W27)=0),"",N(R27)/W27)</f>
        <v/>
      </c>
      <c r="AQ27" s="23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1682</v>
      </c>
      <c r="B28" s="0" t="s">
        <v>753</v>
      </c>
      <c r="C28" s="0" t="n">
        <v>2026</v>
      </c>
      <c r="D28" s="0" t="s">
        <v>2088</v>
      </c>
      <c r="E28" s="33" t="str">
        <f aca="false">IF((COUNTIFS(FundRaw!$C$4:$C$281,"oai",FundRaw!$E$4:$E$281,"2026",FundRaw!$F$4:$F$281,"ocf",FundRaw!$O$4:$O$281,1))=0,"",SUMIFS(FundRaw!$G$4:$G$281,FundRaw!$C$4:$C$281,"oai",FundRaw!$E$4:$E$281,"2026",FundRaw!$F$4:$F$281,"ocf",FundRaw!$O$4:$O$281,1))</f>
        <v/>
      </c>
      <c r="F28" s="33" t="str">
        <f aca="false">IF((COUNTIFS(FundRaw!$C$4:$C$281,"oai",FundRaw!$E$4:$E$281,"2026",FundRaw!$F$4:$F$281,"capex_cash",FundRaw!$O$4:$O$281,1))=0,"",SUMIFS(FundRaw!$G$4:$G$281,FundRaw!$C$4:$C$281,"oai",FundRaw!$E$4:$E$281,"2026",FundRaw!$F$4:$F$281,"capex_cash",FundRaw!$O$4:$O$281,1))</f>
        <v/>
      </c>
      <c r="G28" s="33" t="str">
        <f aca="false">IF((COUNTIFS(FundRaw!$C$4:$C$281,"oai",FundRaw!$E$4:$E$281,"2026",FundRaw!$F$4:$F$281,"fin_lease_new",FundRaw!$O$4:$O$281,1))=0,"",SUMIFS(FundRaw!$G$4:$G$281,FundRaw!$C$4:$C$281,"oai",FundRaw!$E$4:$E$281,"2026",FundRaw!$F$4:$F$281,"fin_lease_new",FundRaw!$O$4:$O$281,1))</f>
        <v/>
      </c>
      <c r="H28" s="33" t="str">
        <f aca="false">IF((COUNTIFS(FundRaw!$C$4:$C$281,"oai",FundRaw!$E$4:$E$281,"2026",FundRaw!$F$4:$F$281,"capex_incl_fl",FundRaw!$O$4:$O$281,1))=0,"",SUMIFS(FundRaw!$G$4:$G$281,FundRaw!$C$4:$C$281,"oai",FundRaw!$E$4:$E$281,"2026",FundRaw!$F$4:$F$281,"capex_incl_fl",FundRaw!$O$4:$O$281,1))</f>
        <v/>
      </c>
      <c r="I28" s="33" t="str">
        <f aca="false">IF((COUNTIFS(FundRaw!$C$4:$C$281,"oai",FundRaw!$E$4:$E$281,"2026",FundRaw!$F$4:$F$281,"fcf",FundRaw!$O$4:$O$281,1))=0,"",SUMIFS(FundRaw!$G$4:$G$281,FundRaw!$C$4:$C$281,"oai",FundRaw!$E$4:$E$281,"2026",FundRaw!$F$4:$F$281,"fcf",FundRaw!$O$4:$O$281,1))</f>
        <v/>
      </c>
      <c r="J28" s="33" t="str">
        <f aca="false">IF((COUNTIFS(FundRaw!$C$4:$C$281,"oai",FundRaw!$E$4:$E$281,"2026",FundRaw!$F$4:$F$281,"bond_issue",FundRaw!$O$4:$O$281,1))=0,"",SUMIFS(FundRaw!$G$4:$G$281,FundRaw!$C$4:$C$281,"oai",FundRaw!$E$4:$E$281,"2026",FundRaw!$F$4:$F$281,"bond_issue",FundRaw!$O$4:$O$281,1))</f>
        <v/>
      </c>
      <c r="K28" s="33" t="str">
        <f aca="false">IF((COUNTIFS(FundRaw!$C$4:$C$281,"oai",FundRaw!$E$4:$E$281,"2026",FundRaw!$F$4:$F$281,"term_loan",FundRaw!$O$4:$O$281,1))=0,"",SUMIFS(FundRaw!$G$4:$G$281,FundRaw!$C$4:$C$281,"oai",FundRaw!$E$4:$E$281,"2026",FundRaw!$F$4:$F$281,"term_loan",FundRaw!$O$4:$O$281,1))</f>
        <v/>
      </c>
      <c r="L28" s="33" t="str">
        <f aca="false">IF((COUNTIFS(FundRaw!$C$4:$C$281,"oai",FundRaw!$E$4:$E$281,"2026",FundRaw!$F$4:$F$281,"gpu_debt",FundRaw!$O$4:$O$281,1))=0,"",SUMIFS(FundRaw!$G$4:$G$281,FundRaw!$C$4:$C$281,"oai",FundRaw!$E$4:$E$281,"2026",FundRaw!$F$4:$F$281,"gpu_debt",FundRaw!$O$4:$O$281,1))</f>
        <v/>
      </c>
      <c r="M28" s="33" t="str">
        <f aca="false">IF((COUNTIFS(FundRaw!$C$4:$C$281,"oai",FundRaw!$E$4:$E$281,"2026",FundRaw!$F$4:$F$281,"private_credit",FundRaw!$O$4:$O$281,1))=0,"",SUMIFS(FundRaw!$G$4:$G$281,FundRaw!$C$4:$C$281,"oai",FundRaw!$E$4:$E$281,"2026",FundRaw!$F$4:$F$281,"private_credit",FundRaw!$O$4:$O$281,1))</f>
        <v/>
      </c>
      <c r="N28" s="33" t="str">
        <f aca="false">IF((COUNTIFS(FundRaw!$C$4:$C$281,"oai",FundRaw!$E$4:$E$281,"2026",FundRaw!$F$4:$F$281,"net_debt_change",FundRaw!$O$4:$O$281,1))=0,"",SUMIFS(FundRaw!$G$4:$G$281,FundRaw!$C$4:$C$281,"oai",FundRaw!$E$4:$E$281,"2026",FundRaw!$F$4:$F$281,"net_debt_change",FundRaw!$O$4:$O$281,1))</f>
        <v/>
      </c>
      <c r="O28" s="33" t="str">
        <f aca="false">IF((COUNTIFS(FundRaw!$C$4:$C$281,"oai",FundRaw!$E$4:$E$281,"2026",FundRaw!$F$4:$F$281,"lease_not_commenced",FundRaw!$O$4:$O$281,1))=0,"",SUMIFS(FundRaw!$G$4:$G$281,FundRaw!$C$4:$C$281,"oai",FundRaw!$E$4:$E$281,"2026",FundRaw!$F$4:$F$281,"lease_not_commenced",FundRaw!$O$4:$O$281,1))</f>
        <v/>
      </c>
      <c r="P28" s="33" t="n">
        <f aca="false">IF((COUNTIFS(FundRaw!$C$4:$C$281,"oai",FundRaw!$E$4:$E$281,"2026",FundRaw!$F$4:$F$281,"jv_offbalance",FundRaw!$O$4:$O$281,1))=0,"",SUMIFS(FundRaw!$G$4:$G$281,FundRaw!$C$4:$C$281,"oai",FundRaw!$E$4:$E$281,"2026",FundRaw!$F$4:$F$281,"jv_offbalance",FundRaw!$O$4:$O$281,1))</f>
        <v>105</v>
      </c>
      <c r="Q28" s="33" t="str">
        <f aca="false">IF((COUNTIFS(FundRaw!$C$4:$C$281,"oai",FundRaw!$E$4:$E$281,"2026",FundRaw!$F$4:$F$281,"jv_exposure",FundRaw!$O$4:$O$281,1))=0,"",SUMIFS(FundRaw!$G$4:$G$281,FundRaw!$C$4:$C$281,"oai",FundRaw!$E$4:$E$281,"2026",FundRaw!$F$4:$F$281,"jv_exposure",FundRaw!$O$4:$O$281,1))</f>
        <v/>
      </c>
      <c r="R28" s="33" t="n">
        <f aca="false">IF((COUNTIFS(FundRaw!$C$4:$C$281,"oai",FundRaw!$E$4:$E$281,"2026",FundRaw!$F$4:$F$281,"equity_round",FundRaw!$O$4:$O$281,1))=0,"",SUMIFS(FundRaw!$G$4:$G$281,FundRaw!$C$4:$C$281,"oai",FundRaw!$E$4:$E$281,"2026",FundRaw!$F$4:$F$281,"equity_round",FundRaw!$O$4:$O$281,1))</f>
        <v>122</v>
      </c>
      <c r="S28" s="33" t="n">
        <f aca="false">IF((COUNTIFS(FundRaw!$C$4:$C$281,"oai",FundRaw!$E$4:$E$281,"2026",FundRaw!$F$4:$F$281,"vendor_financing",FundRaw!$O$4:$O$281,1))=0,"",SUMIFS(FundRaw!$G$4:$G$281,FundRaw!$C$4:$C$281,"oai",FundRaw!$E$4:$E$281,"2026",FundRaw!$F$4:$F$281,"vendor_financing",FundRaw!$O$4:$O$281,1))</f>
        <v>40</v>
      </c>
      <c r="T28" s="33" t="str">
        <f aca="false">IF((COUNTIFS(FundRaw!$C$4:$C$281,"oai",FundRaw!$E$4:$E$281,"2026",FundRaw!$F$4:$F$281,"buyback_div",FundRaw!$O$4:$O$281,1))=0,"",SUMIFS(FundRaw!$G$4:$G$281,FundRaw!$C$4:$C$281,"oai",FundRaw!$E$4:$E$281,"2026",FundRaw!$F$4:$F$281,"buyback_div",FundRaw!$O$4:$O$281,1))</f>
        <v/>
      </c>
      <c r="U28" s="33" t="str">
        <f aca="false">IF((COUNTIFS(FundRaw!$C$4:$C$281,"oai",FundRaw!$E$4:$E$281,"2026",FundRaw!$F$4:$F$281,"gpu_debt_talks",FundRaw!$O$4:$O$281,1))=0,"",SUMIFS(FundRaw!$G$4:$G$281,FundRaw!$C$4:$C$281,"oai",FundRaw!$E$4:$E$281,"2026",FundRaw!$F$4:$F$281,"gpu_debt_talks",FundRaw!$O$4:$O$281,1))</f>
        <v/>
      </c>
      <c r="V28" s="33" t="str">
        <f aca="false">IF((COUNTIFS(FundRaw!$C$4:$C$281,"oai",FundRaw!$E$4:$E$281,"2026",FundRaw!$F$4:$F$281,"bridge_refi",FundRaw!$O$4:$O$281,1))=0,"",SUMIFS(FundRaw!$G$4:$G$281,FundRaw!$C$4:$C$281,"oai",FundRaw!$E$4:$E$281,"2026",FundRaw!$F$4:$F$281,"bridge_refi",FundRaw!$O$4:$O$281,1))</f>
        <v/>
      </c>
      <c r="W28" s="33" t="str">
        <f aca="false">IF(H28&lt;&gt;"",H28,IF(F28&lt;&gt;"",F28+N(G28),""))</f>
        <v/>
      </c>
      <c r="X28" s="33" t="str">
        <f aca="false">IF(OR(W28="",E28=""),"",MAX(0,MIN(N(E28),W28-N(Y28))))</f>
        <v/>
      </c>
      <c r="Y28" s="33" t="str">
        <f aca="false">IF(W28="","",IF(AND(H28&lt;&gt;"",F28&lt;&gt;""),MAX(0,H28-F28),N(G28)))</f>
        <v/>
      </c>
      <c r="Z28" s="33" t="str">
        <f aca="false">IF(W28="","",MAX(0,MIN(N(R28),W28-N(X28)-N(Y28))))</f>
        <v/>
      </c>
      <c r="AA28" s="33" t="str">
        <f aca="false">IF(W28="","",MAX(0,MIN(N(J28)+N(K28)+N(L28)+N(M28),W28-N(X28)-N(Y28)-N(Z28))))</f>
        <v/>
      </c>
      <c r="AB28" s="33" t="str">
        <f aca="false">IF(W28="","",W28-N(X28)-N(Y28)-N(Z28)-N(AA28))</f>
        <v/>
      </c>
      <c r="AC28" s="38" t="str">
        <f aca="false">IF(OR(W28="",N(W28)=0,X28=""),"",X28/W28)</f>
        <v/>
      </c>
      <c r="AD28" s="38" t="str">
        <f aca="false">IF(OR(W28="",N(W28)=0,Y28=""),"",Y28/W28)</f>
        <v/>
      </c>
      <c r="AE28" s="38" t="str">
        <f aca="false">IF(OR(W28="",N(W28)=0,Z28=""),"",Z28/W28)</f>
        <v/>
      </c>
      <c r="AF28" s="38" t="str">
        <f aca="false">IF(OR(W28="",N(W28)=0,AA28=""),"",AA28/W28)</f>
        <v/>
      </c>
      <c r="AG28" s="38" t="str">
        <f aca="false">IF(OR(W28="",N(W28)=0,AB28=""),"",AB28/W28)</f>
        <v/>
      </c>
      <c r="AH28" s="33" t="n">
        <f aca="false">N(J28)+N(K28)+N(L28)+N(M28)+N(R28)+N(G28)</f>
        <v>122</v>
      </c>
      <c r="AI28" s="23" t="n">
        <f aca="false">IF(N(AH28)=0,"",(N(J28)+N(K28)+N(L28)+N(M28))/AH28)</f>
        <v>0</v>
      </c>
      <c r="AJ28" s="23" t="n">
        <f aca="false">IF(N(AH28)=0,"",(N(R28))/AH28)</f>
        <v>1</v>
      </c>
      <c r="AK28" s="23" t="n">
        <f aca="false">IF(N(AH28)=0,"",(N(G28))/AH28)</f>
        <v>0</v>
      </c>
      <c r="AL28" s="33" t="n">
        <f aca="false">N(J28)+N(K28)+N(L28)+N(M28)+IF(AND(H28&lt;&gt;"",F28&lt;&gt;""),MAX(0,H28-F28),N(G28))+N(P28)+N(R28)</f>
        <v>227</v>
      </c>
      <c r="AM28" s="38" t="str">
        <f aca="false">IF(OR(W28="",N(W28)=0),"",AL28/W28)</f>
        <v/>
      </c>
      <c r="AN28" s="38" t="str">
        <f aca="false">IF(OR(W28="",N(W28)=0,E28=""),"",E28/W28)</f>
        <v/>
      </c>
      <c r="AO28" s="23" t="str">
        <f aca="false">IF(OR(W28="",N(W28)=0),"",(N(J28)+N(K28)+N(L28)+N(M28))/W28)</f>
        <v/>
      </c>
      <c r="AP28" s="23" t="str">
        <f aca="false">IF(OR(W28="",N(W28)=0),"",N(R28)/W28)</f>
        <v/>
      </c>
      <c r="AQ28" s="23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1683</v>
      </c>
      <c r="B29" s="0" t="s">
        <v>737</v>
      </c>
      <c r="C29" s="0" t="n">
        <v>2025</v>
      </c>
      <c r="D29" s="0" t="s">
        <v>2082</v>
      </c>
      <c r="E29" s="33" t="str">
        <f aca="false">IF((COUNTIFS(FundRaw!$C$4:$C$281,"ant",FundRaw!$E$4:$E$281,"2025",FundRaw!$F$4:$F$281,"ocf",FundRaw!$O$4:$O$281,1))=0,"",SUMIFS(FundRaw!$G$4:$G$281,FundRaw!$C$4:$C$281,"ant",FundRaw!$E$4:$E$281,"2025",FundRaw!$F$4:$F$281,"ocf",FundRaw!$O$4:$O$281,1))</f>
        <v/>
      </c>
      <c r="F29" s="33" t="str">
        <f aca="false">IF((COUNTIFS(FundRaw!$C$4:$C$281,"ant",FundRaw!$E$4:$E$281,"2025",FundRaw!$F$4:$F$281,"capex_cash",FundRaw!$O$4:$O$281,1))=0,"",SUMIFS(FundRaw!$G$4:$G$281,FundRaw!$C$4:$C$281,"ant",FundRaw!$E$4:$E$281,"2025",FundRaw!$F$4:$F$281,"capex_cash",FundRaw!$O$4:$O$281,1))</f>
        <v/>
      </c>
      <c r="G29" s="33" t="str">
        <f aca="false">IF((COUNTIFS(FundRaw!$C$4:$C$281,"ant",FundRaw!$E$4:$E$281,"2025",FundRaw!$F$4:$F$281,"fin_lease_new",FundRaw!$O$4:$O$281,1))=0,"",SUMIFS(FundRaw!$G$4:$G$281,FundRaw!$C$4:$C$281,"ant",FundRaw!$E$4:$E$281,"2025",FundRaw!$F$4:$F$281,"fin_lease_new",FundRaw!$O$4:$O$281,1))</f>
        <v/>
      </c>
      <c r="H29" s="33" t="str">
        <f aca="false">IF((COUNTIFS(FundRaw!$C$4:$C$281,"ant",FundRaw!$E$4:$E$281,"2025",FundRaw!$F$4:$F$281,"capex_incl_fl",FundRaw!$O$4:$O$281,1))=0,"",SUMIFS(FundRaw!$G$4:$G$281,FundRaw!$C$4:$C$281,"ant",FundRaw!$E$4:$E$281,"2025",FundRaw!$F$4:$F$281,"capex_incl_fl",FundRaw!$O$4:$O$281,1))</f>
        <v/>
      </c>
      <c r="I29" s="33" t="str">
        <f aca="false">IF((COUNTIFS(FundRaw!$C$4:$C$281,"ant",FundRaw!$E$4:$E$281,"2025",FundRaw!$F$4:$F$281,"fcf",FundRaw!$O$4:$O$281,1))=0,"",SUMIFS(FundRaw!$G$4:$G$281,FundRaw!$C$4:$C$281,"ant",FundRaw!$E$4:$E$281,"2025",FundRaw!$F$4:$F$281,"fcf",FundRaw!$O$4:$O$281,1))</f>
        <v/>
      </c>
      <c r="J29" s="33" t="str">
        <f aca="false">IF((COUNTIFS(FundRaw!$C$4:$C$281,"ant",FundRaw!$E$4:$E$281,"2025",FundRaw!$F$4:$F$281,"bond_issue",FundRaw!$O$4:$O$281,1))=0,"",SUMIFS(FundRaw!$G$4:$G$281,FundRaw!$C$4:$C$281,"ant",FundRaw!$E$4:$E$281,"2025",FundRaw!$F$4:$F$281,"bond_issue",FundRaw!$O$4:$O$281,1))</f>
        <v/>
      </c>
      <c r="K29" s="33" t="str">
        <f aca="false">IF((COUNTIFS(FundRaw!$C$4:$C$281,"ant",FundRaw!$E$4:$E$281,"2025",FundRaw!$F$4:$F$281,"term_loan",FundRaw!$O$4:$O$281,1))=0,"",SUMIFS(FundRaw!$G$4:$G$281,FundRaw!$C$4:$C$281,"ant",FundRaw!$E$4:$E$281,"2025",FundRaw!$F$4:$F$281,"term_loan",FundRaw!$O$4:$O$281,1))</f>
        <v/>
      </c>
      <c r="L29" s="33" t="str">
        <f aca="false">IF((COUNTIFS(FundRaw!$C$4:$C$281,"ant",FundRaw!$E$4:$E$281,"2025",FundRaw!$F$4:$F$281,"gpu_debt",FundRaw!$O$4:$O$281,1))=0,"",SUMIFS(FundRaw!$G$4:$G$281,FundRaw!$C$4:$C$281,"ant",FundRaw!$E$4:$E$281,"2025",FundRaw!$F$4:$F$281,"gpu_debt",FundRaw!$O$4:$O$281,1))</f>
        <v/>
      </c>
      <c r="M29" s="33" t="str">
        <f aca="false">IF((COUNTIFS(FundRaw!$C$4:$C$281,"ant",FundRaw!$E$4:$E$281,"2025",FundRaw!$F$4:$F$281,"private_credit",FundRaw!$O$4:$O$281,1))=0,"",SUMIFS(FundRaw!$G$4:$G$281,FundRaw!$C$4:$C$281,"ant",FundRaw!$E$4:$E$281,"2025",FundRaw!$F$4:$F$281,"private_credit",FundRaw!$O$4:$O$281,1))</f>
        <v/>
      </c>
      <c r="N29" s="33" t="str">
        <f aca="false">IF((COUNTIFS(FundRaw!$C$4:$C$281,"ant",FundRaw!$E$4:$E$281,"2025",FundRaw!$F$4:$F$281,"net_debt_change",FundRaw!$O$4:$O$281,1))=0,"",SUMIFS(FundRaw!$G$4:$G$281,FundRaw!$C$4:$C$281,"ant",FundRaw!$E$4:$E$281,"2025",FundRaw!$F$4:$F$281,"net_debt_change",FundRaw!$O$4:$O$281,1))</f>
        <v/>
      </c>
      <c r="O29" s="33" t="str">
        <f aca="false">IF((COUNTIFS(FundRaw!$C$4:$C$281,"ant",FundRaw!$E$4:$E$281,"2025",FundRaw!$F$4:$F$281,"lease_not_commenced",FundRaw!$O$4:$O$281,1))=0,"",SUMIFS(FundRaw!$G$4:$G$281,FundRaw!$C$4:$C$281,"ant",FundRaw!$E$4:$E$281,"2025",FundRaw!$F$4:$F$281,"lease_not_commenced",FundRaw!$O$4:$O$281,1))</f>
        <v/>
      </c>
      <c r="P29" s="33" t="str">
        <f aca="false">IF((COUNTIFS(FundRaw!$C$4:$C$281,"ant",FundRaw!$E$4:$E$281,"2025",FundRaw!$F$4:$F$281,"jv_offbalance",FundRaw!$O$4:$O$281,1))=0,"",SUMIFS(FundRaw!$G$4:$G$281,FundRaw!$C$4:$C$281,"ant",FundRaw!$E$4:$E$281,"2025",FundRaw!$F$4:$F$281,"jv_offbalance",FundRaw!$O$4:$O$281,1))</f>
        <v/>
      </c>
      <c r="Q29" s="33" t="str">
        <f aca="false">IF((COUNTIFS(FundRaw!$C$4:$C$281,"ant",FundRaw!$E$4:$E$281,"2025",FundRaw!$F$4:$F$281,"jv_exposure",FundRaw!$O$4:$O$281,1))=0,"",SUMIFS(FundRaw!$G$4:$G$281,FundRaw!$C$4:$C$281,"ant",FundRaw!$E$4:$E$281,"2025",FundRaw!$F$4:$F$281,"jv_exposure",FundRaw!$O$4:$O$281,1))</f>
        <v/>
      </c>
      <c r="R29" s="33" t="str">
        <f aca="false">IF((COUNTIFS(FundRaw!$C$4:$C$281,"ant",FundRaw!$E$4:$E$281,"2025",FundRaw!$F$4:$F$281,"equity_round",FundRaw!$O$4:$O$281,1))=0,"",SUMIFS(FundRaw!$G$4:$G$281,FundRaw!$C$4:$C$281,"ant",FundRaw!$E$4:$E$281,"2025",FundRaw!$F$4:$F$281,"equity_round",FundRaw!$O$4:$O$281,1))</f>
        <v/>
      </c>
      <c r="S29" s="33" t="str">
        <f aca="false">IF((COUNTIFS(FundRaw!$C$4:$C$281,"ant",FundRaw!$E$4:$E$281,"2025",FundRaw!$F$4:$F$281,"vendor_financing",FundRaw!$O$4:$O$281,1))=0,"",SUMIFS(FundRaw!$G$4:$G$281,FundRaw!$C$4:$C$281,"ant",FundRaw!$E$4:$E$281,"2025",FundRaw!$F$4:$F$281,"vendor_financing",FundRaw!$O$4:$O$281,1))</f>
        <v/>
      </c>
      <c r="T29" s="33" t="str">
        <f aca="false">IF((COUNTIFS(FundRaw!$C$4:$C$281,"ant",FundRaw!$E$4:$E$281,"2025",FundRaw!$F$4:$F$281,"buyback_div",FundRaw!$O$4:$O$281,1))=0,"",SUMIFS(FundRaw!$G$4:$G$281,FundRaw!$C$4:$C$281,"ant",FundRaw!$E$4:$E$281,"2025",FundRaw!$F$4:$F$281,"buyback_div",FundRaw!$O$4:$O$281,1))</f>
        <v/>
      </c>
      <c r="U29" s="33" t="str">
        <f aca="false">IF((COUNTIFS(FundRaw!$C$4:$C$281,"ant",FundRaw!$E$4:$E$281,"2025",FundRaw!$F$4:$F$281,"gpu_debt_talks",FundRaw!$O$4:$O$281,1))=0,"",SUMIFS(FundRaw!$G$4:$G$281,FundRaw!$C$4:$C$281,"ant",FundRaw!$E$4:$E$281,"2025",FundRaw!$F$4:$F$281,"gpu_debt_talks",FundRaw!$O$4:$O$281,1))</f>
        <v/>
      </c>
      <c r="V29" s="33" t="str">
        <f aca="false">IF((COUNTIFS(FundRaw!$C$4:$C$281,"ant",FundRaw!$E$4:$E$281,"2025",FundRaw!$F$4:$F$281,"bridge_refi",FundRaw!$O$4:$O$281,1))=0,"",SUMIFS(FundRaw!$G$4:$G$281,FundRaw!$C$4:$C$281,"ant",FundRaw!$E$4:$E$281,"2025",FundRaw!$F$4:$F$281,"bridge_refi",FundRaw!$O$4:$O$281,1))</f>
        <v/>
      </c>
      <c r="W29" s="33" t="str">
        <f aca="false">IF(H29&lt;&gt;"",H29,IF(F29&lt;&gt;"",F29+N(G29),""))</f>
        <v/>
      </c>
      <c r="X29" s="33" t="str">
        <f aca="false">IF(OR(W29="",E29=""),"",MAX(0,MIN(N(E29),W29-N(Y29))))</f>
        <v/>
      </c>
      <c r="Y29" s="33" t="str">
        <f aca="false">IF(W29="","",IF(AND(H29&lt;&gt;"",F29&lt;&gt;""),MAX(0,H29-F29),N(G29)))</f>
        <v/>
      </c>
      <c r="Z29" s="33" t="str">
        <f aca="false">IF(W29="","",MAX(0,MIN(N(R29),W29-N(X29)-N(Y29))))</f>
        <v/>
      </c>
      <c r="AA29" s="33" t="str">
        <f aca="false">IF(W29="","",MAX(0,MIN(N(J29)+N(K29)+N(L29)+N(M29),W29-N(X29)-N(Y29)-N(Z29))))</f>
        <v/>
      </c>
      <c r="AB29" s="33" t="str">
        <f aca="false">IF(W29="","",W29-N(X29)-N(Y29)-N(Z29)-N(AA29))</f>
        <v/>
      </c>
      <c r="AC29" s="38" t="str">
        <f aca="false">IF(OR(W29="",N(W29)=0,X29=""),"",X29/W29)</f>
        <v/>
      </c>
      <c r="AD29" s="38" t="str">
        <f aca="false">IF(OR(W29="",N(W29)=0,Y29=""),"",Y29/W29)</f>
        <v/>
      </c>
      <c r="AE29" s="38" t="str">
        <f aca="false">IF(OR(W29="",N(W29)=0,Z29=""),"",Z29/W29)</f>
        <v/>
      </c>
      <c r="AF29" s="38" t="str">
        <f aca="false">IF(OR(W29="",N(W29)=0,AA29=""),"",AA29/W29)</f>
        <v/>
      </c>
      <c r="AG29" s="38" t="str">
        <f aca="false">IF(OR(W29="",N(W29)=0,AB29=""),"",AB29/W29)</f>
        <v/>
      </c>
      <c r="AH29" s="33" t="n">
        <f aca="false">N(J29)+N(K29)+N(L29)+N(M29)+N(R29)+N(G29)</f>
        <v>0</v>
      </c>
      <c r="AI29" s="23" t="str">
        <f aca="false">IF(N(AH29)=0,"",(N(J29)+N(K29)+N(L29)+N(M29))/AH29)</f>
        <v/>
      </c>
      <c r="AJ29" s="23" t="str">
        <f aca="false">IF(N(AH29)=0,"",(N(R29))/AH29)</f>
        <v/>
      </c>
      <c r="AK29" s="23" t="str">
        <f aca="false">IF(N(AH29)=0,"",(N(G29))/AH29)</f>
        <v/>
      </c>
      <c r="AL29" s="33" t="n">
        <f aca="false">N(J29)+N(K29)+N(L29)+N(M29)+IF(AND(H29&lt;&gt;"",F29&lt;&gt;""),MAX(0,H29-F29),N(G29))+N(P29)+N(R29)</f>
        <v>0</v>
      </c>
      <c r="AM29" s="38" t="str">
        <f aca="false">IF(OR(W29="",N(W29)=0),"",AL29/W29)</f>
        <v/>
      </c>
      <c r="AN29" s="38" t="str">
        <f aca="false">IF(OR(W29="",N(W29)=0,E29=""),"",E29/W29)</f>
        <v/>
      </c>
      <c r="AO29" s="23" t="str">
        <f aca="false">IF(OR(W29="",N(W29)=0),"",(N(J29)+N(K29)+N(L29)+N(M29))/W29)</f>
        <v/>
      </c>
      <c r="AP29" s="23" t="str">
        <f aca="false">IF(OR(W29="",N(W29)=0),"",N(R29)/W29)</f>
        <v/>
      </c>
      <c r="AQ29" s="23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1683</v>
      </c>
      <c r="B30" s="0" t="s">
        <v>737</v>
      </c>
      <c r="C30" s="0" t="n">
        <v>2026</v>
      </c>
      <c r="D30" s="0" t="s">
        <v>2088</v>
      </c>
      <c r="E30" s="33" t="str">
        <f aca="false">IF((COUNTIFS(FundRaw!$C$4:$C$281,"ant",FundRaw!$E$4:$E$281,"2026",FundRaw!$F$4:$F$281,"ocf",FundRaw!$O$4:$O$281,1))=0,"",SUMIFS(FundRaw!$G$4:$G$281,FundRaw!$C$4:$C$281,"ant",FundRaw!$E$4:$E$281,"2026",FundRaw!$F$4:$F$281,"ocf",FundRaw!$O$4:$O$281,1))</f>
        <v/>
      </c>
      <c r="F30" s="33" t="str">
        <f aca="false">IF((COUNTIFS(FundRaw!$C$4:$C$281,"ant",FundRaw!$E$4:$E$281,"2026",FundRaw!$F$4:$F$281,"capex_cash",FundRaw!$O$4:$O$281,1))=0,"",SUMIFS(FundRaw!$G$4:$G$281,FundRaw!$C$4:$C$281,"ant",FundRaw!$E$4:$E$281,"2026",FundRaw!$F$4:$F$281,"capex_cash",FundRaw!$O$4:$O$281,1))</f>
        <v/>
      </c>
      <c r="G30" s="33" t="str">
        <f aca="false">IF((COUNTIFS(FundRaw!$C$4:$C$281,"ant",FundRaw!$E$4:$E$281,"2026",FundRaw!$F$4:$F$281,"fin_lease_new",FundRaw!$O$4:$O$281,1))=0,"",SUMIFS(FundRaw!$G$4:$G$281,FundRaw!$C$4:$C$281,"ant",FundRaw!$E$4:$E$281,"2026",FundRaw!$F$4:$F$281,"fin_lease_new",FundRaw!$O$4:$O$281,1))</f>
        <v/>
      </c>
      <c r="H30" s="33" t="str">
        <f aca="false">IF((COUNTIFS(FundRaw!$C$4:$C$281,"ant",FundRaw!$E$4:$E$281,"2026",FundRaw!$F$4:$F$281,"capex_incl_fl",FundRaw!$O$4:$O$281,1))=0,"",SUMIFS(FundRaw!$G$4:$G$281,FundRaw!$C$4:$C$281,"ant",FundRaw!$E$4:$E$281,"2026",FundRaw!$F$4:$F$281,"capex_incl_fl",FundRaw!$O$4:$O$281,1))</f>
        <v/>
      </c>
      <c r="I30" s="33" t="str">
        <f aca="false">IF((COUNTIFS(FundRaw!$C$4:$C$281,"ant",FundRaw!$E$4:$E$281,"2026",FundRaw!$F$4:$F$281,"fcf",FundRaw!$O$4:$O$281,1))=0,"",SUMIFS(FundRaw!$G$4:$G$281,FundRaw!$C$4:$C$281,"ant",FundRaw!$E$4:$E$281,"2026",FundRaw!$F$4:$F$281,"fcf",FundRaw!$O$4:$O$281,1))</f>
        <v/>
      </c>
      <c r="J30" s="33" t="str">
        <f aca="false">IF((COUNTIFS(FundRaw!$C$4:$C$281,"ant",FundRaw!$E$4:$E$281,"2026",FundRaw!$F$4:$F$281,"bond_issue",FundRaw!$O$4:$O$281,1))=0,"",SUMIFS(FundRaw!$G$4:$G$281,FundRaw!$C$4:$C$281,"ant",FundRaw!$E$4:$E$281,"2026",FundRaw!$F$4:$F$281,"bond_issue",FundRaw!$O$4:$O$281,1))</f>
        <v/>
      </c>
      <c r="K30" s="33" t="str">
        <f aca="false">IF((COUNTIFS(FundRaw!$C$4:$C$281,"ant",FundRaw!$E$4:$E$281,"2026",FundRaw!$F$4:$F$281,"term_loan",FundRaw!$O$4:$O$281,1))=0,"",SUMIFS(FundRaw!$G$4:$G$281,FundRaw!$C$4:$C$281,"ant",FundRaw!$E$4:$E$281,"2026",FundRaw!$F$4:$F$281,"term_loan",FundRaw!$O$4:$O$281,1))</f>
        <v/>
      </c>
      <c r="L30" s="33" t="n">
        <f aca="false">IF((COUNTIFS(FundRaw!$C$4:$C$281,"ant",FundRaw!$E$4:$E$281,"2026",FundRaw!$F$4:$F$281,"gpu_debt",FundRaw!$O$4:$O$281,1))=0,"",SUMIFS(FundRaw!$G$4:$G$281,FundRaw!$C$4:$C$281,"ant",FundRaw!$E$4:$E$281,"2026",FundRaw!$F$4:$F$281,"gpu_debt",FundRaw!$O$4:$O$281,1))</f>
        <v>35</v>
      </c>
      <c r="M30" s="33" t="str">
        <f aca="false">IF((COUNTIFS(FundRaw!$C$4:$C$281,"ant",FundRaw!$E$4:$E$281,"2026",FundRaw!$F$4:$F$281,"private_credit",FundRaw!$O$4:$O$281,1))=0,"",SUMIFS(FundRaw!$G$4:$G$281,FundRaw!$C$4:$C$281,"ant",FundRaw!$E$4:$E$281,"2026",FundRaw!$F$4:$F$281,"private_credit",FundRaw!$O$4:$O$281,1))</f>
        <v/>
      </c>
      <c r="N30" s="33" t="str">
        <f aca="false">IF((COUNTIFS(FundRaw!$C$4:$C$281,"ant",FundRaw!$E$4:$E$281,"2026",FundRaw!$F$4:$F$281,"net_debt_change",FundRaw!$O$4:$O$281,1))=0,"",SUMIFS(FundRaw!$G$4:$G$281,FundRaw!$C$4:$C$281,"ant",FundRaw!$E$4:$E$281,"2026",FundRaw!$F$4:$F$281,"net_debt_change",FundRaw!$O$4:$O$281,1))</f>
        <v/>
      </c>
      <c r="O30" s="33" t="str">
        <f aca="false">IF((COUNTIFS(FundRaw!$C$4:$C$281,"ant",FundRaw!$E$4:$E$281,"2026",FundRaw!$F$4:$F$281,"lease_not_commenced",FundRaw!$O$4:$O$281,1))=0,"",SUMIFS(FundRaw!$G$4:$G$281,FundRaw!$C$4:$C$281,"ant",FundRaw!$E$4:$E$281,"2026",FundRaw!$F$4:$F$281,"lease_not_commenced",FundRaw!$O$4:$O$281,1))</f>
        <v/>
      </c>
      <c r="P30" s="33" t="str">
        <f aca="false">IF((COUNTIFS(FundRaw!$C$4:$C$281,"ant",FundRaw!$E$4:$E$281,"2026",FundRaw!$F$4:$F$281,"jv_offbalance",FundRaw!$O$4:$O$281,1))=0,"",SUMIFS(FundRaw!$G$4:$G$281,FundRaw!$C$4:$C$281,"ant",FundRaw!$E$4:$E$281,"2026",FundRaw!$F$4:$F$281,"jv_offbalance",FundRaw!$O$4:$O$281,1))</f>
        <v/>
      </c>
      <c r="Q30" s="33" t="str">
        <f aca="false">IF((COUNTIFS(FundRaw!$C$4:$C$281,"ant",FundRaw!$E$4:$E$281,"2026",FundRaw!$F$4:$F$281,"jv_exposure",FundRaw!$O$4:$O$281,1))=0,"",SUMIFS(FundRaw!$G$4:$G$281,FundRaw!$C$4:$C$281,"ant",FundRaw!$E$4:$E$281,"2026",FundRaw!$F$4:$F$281,"jv_exposure",FundRaw!$O$4:$O$281,1))</f>
        <v/>
      </c>
      <c r="R30" s="33" t="n">
        <f aca="false">IF((COUNTIFS(FundRaw!$C$4:$C$281,"ant",FundRaw!$E$4:$E$281,"2026",FundRaw!$F$4:$F$281,"equity_round",FundRaw!$O$4:$O$281,1))=0,"",SUMIFS(FundRaw!$G$4:$G$281,FundRaw!$C$4:$C$281,"ant",FundRaw!$E$4:$E$281,"2026",FundRaw!$F$4:$F$281,"equity_round",FundRaw!$O$4:$O$281,1))</f>
        <v>95</v>
      </c>
      <c r="S30" s="33" t="n">
        <f aca="false">IF((COUNTIFS(FundRaw!$C$4:$C$281,"ant",FundRaw!$E$4:$E$281,"2026",FundRaw!$F$4:$F$281,"vendor_financing",FundRaw!$O$4:$O$281,1))=0,"",SUMIFS(FundRaw!$G$4:$G$281,FundRaw!$C$4:$C$281,"ant",FundRaw!$E$4:$E$281,"2026",FundRaw!$F$4:$F$281,"vendor_financing",FundRaw!$O$4:$O$281,1))</f>
        <v>42</v>
      </c>
      <c r="T30" s="33" t="str">
        <f aca="false">IF((COUNTIFS(FundRaw!$C$4:$C$281,"ant",FundRaw!$E$4:$E$281,"2026",FundRaw!$F$4:$F$281,"buyback_div",FundRaw!$O$4:$O$281,1))=0,"",SUMIFS(FundRaw!$G$4:$G$281,FundRaw!$C$4:$C$281,"ant",FundRaw!$E$4:$E$281,"2026",FundRaw!$F$4:$F$281,"buyback_div",FundRaw!$O$4:$O$281,1))</f>
        <v/>
      </c>
      <c r="U30" s="33" t="n">
        <f aca="false">IF((COUNTIFS(FundRaw!$C$4:$C$281,"ant",FundRaw!$E$4:$E$281,"2026",FundRaw!$F$4:$F$281,"gpu_debt_talks",FundRaw!$O$4:$O$281,1))=0,"",SUMIFS(FundRaw!$G$4:$G$281,FundRaw!$C$4:$C$281,"ant",FundRaw!$E$4:$E$281,"2026",FundRaw!$F$4:$F$281,"gpu_debt_talks",FundRaw!$O$4:$O$281,1))</f>
        <v>36</v>
      </c>
      <c r="V30" s="33" t="str">
        <f aca="false">IF((COUNTIFS(FundRaw!$C$4:$C$281,"ant",FundRaw!$E$4:$E$281,"2026",FundRaw!$F$4:$F$281,"bridge_refi",FundRaw!$O$4:$O$281,1))=0,"",SUMIFS(FundRaw!$G$4:$G$281,FundRaw!$C$4:$C$281,"ant",FundRaw!$E$4:$E$281,"2026",FundRaw!$F$4:$F$281,"bridge_refi",FundRaw!$O$4:$O$281,1))</f>
        <v/>
      </c>
      <c r="W30" s="33" t="str">
        <f aca="false">IF(H30&lt;&gt;"",H30,IF(F30&lt;&gt;"",F30+N(G30),""))</f>
        <v/>
      </c>
      <c r="X30" s="33" t="str">
        <f aca="false">IF(OR(W30="",E30=""),"",MAX(0,MIN(N(E30),W30-N(Y30))))</f>
        <v/>
      </c>
      <c r="Y30" s="33" t="str">
        <f aca="false">IF(W30="","",IF(AND(H30&lt;&gt;"",F30&lt;&gt;""),MAX(0,H30-F30),N(G30)))</f>
        <v/>
      </c>
      <c r="Z30" s="33" t="str">
        <f aca="false">IF(W30="","",MAX(0,MIN(N(R30),W30-N(X30)-N(Y30))))</f>
        <v/>
      </c>
      <c r="AA30" s="33" t="str">
        <f aca="false">IF(W30="","",MAX(0,MIN(N(J30)+N(K30)+N(L30)+N(M30),W30-N(X30)-N(Y30)-N(Z30))))</f>
        <v/>
      </c>
      <c r="AB30" s="33" t="str">
        <f aca="false">IF(W30="","",W30-N(X30)-N(Y30)-N(Z30)-N(AA30))</f>
        <v/>
      </c>
      <c r="AC30" s="38" t="str">
        <f aca="false">IF(OR(W30="",N(W30)=0,X30=""),"",X30/W30)</f>
        <v/>
      </c>
      <c r="AD30" s="38" t="str">
        <f aca="false">IF(OR(W30="",N(W30)=0,Y30=""),"",Y30/W30)</f>
        <v/>
      </c>
      <c r="AE30" s="38" t="str">
        <f aca="false">IF(OR(W30="",N(W30)=0,Z30=""),"",Z30/W30)</f>
        <v/>
      </c>
      <c r="AF30" s="38" t="str">
        <f aca="false">IF(OR(W30="",N(W30)=0,AA30=""),"",AA30/W30)</f>
        <v/>
      </c>
      <c r="AG30" s="38" t="str">
        <f aca="false">IF(OR(W30="",N(W30)=0,AB30=""),"",AB30/W30)</f>
        <v/>
      </c>
      <c r="AH30" s="33" t="n">
        <f aca="false">N(J30)+N(K30)+N(L30)+N(M30)+N(R30)+N(G30)</f>
        <v>130</v>
      </c>
      <c r="AI30" s="23" t="n">
        <f aca="false">IF(N(AH30)=0,"",(N(J30)+N(K30)+N(L30)+N(M30))/AH30)</f>
        <v>0.269230769230769</v>
      </c>
      <c r="AJ30" s="23" t="n">
        <f aca="false">IF(N(AH30)=0,"",(N(R30))/AH30)</f>
        <v>0.730769230769231</v>
      </c>
      <c r="AK30" s="23" t="n">
        <f aca="false">IF(N(AH30)=0,"",(N(G30))/AH30)</f>
        <v>0</v>
      </c>
      <c r="AL30" s="33" t="n">
        <f aca="false">N(J30)+N(K30)+N(L30)+N(M30)+IF(AND(H30&lt;&gt;"",F30&lt;&gt;""),MAX(0,H30-F30),N(G30))+N(P30)+N(R30)</f>
        <v>130</v>
      </c>
      <c r="AM30" s="38" t="str">
        <f aca="false">IF(OR(W30="",N(W30)=0),"",AL30/W30)</f>
        <v/>
      </c>
      <c r="AN30" s="38" t="str">
        <f aca="false">IF(OR(W30="",N(W30)=0,E30=""),"",E30/W30)</f>
        <v/>
      </c>
      <c r="AO30" s="23" t="str">
        <f aca="false">IF(OR(W30="",N(W30)=0),"",(N(J30)+N(K30)+N(L30)+N(M30))/W30)</f>
        <v/>
      </c>
      <c r="AP30" s="23" t="str">
        <f aca="false">IF(OR(W30="",N(W30)=0),"",N(R30)/W30)</f>
        <v/>
      </c>
      <c r="AQ30" s="23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2" t="s">
        <v>2089</v>
      </c>
    </row>
    <row r="33" customFormat="false" ht="17.15" hidden="false" customHeight="false" outlineLevel="0" collapsed="false">
      <c r="A33" s="6" t="s">
        <v>1723</v>
      </c>
      <c r="B33" s="6" t="s">
        <v>2003</v>
      </c>
      <c r="C33" s="6" t="s">
        <v>20</v>
      </c>
      <c r="D33" s="6" t="s">
        <v>2090</v>
      </c>
      <c r="E33" s="6" t="s">
        <v>25</v>
      </c>
      <c r="F33" s="7" t="s">
        <v>2091</v>
      </c>
      <c r="G33" s="7" t="s">
        <v>2092</v>
      </c>
    </row>
    <row r="34" customFormat="false" ht="17.15" hidden="false" customHeight="false" outlineLevel="0" collapsed="false">
      <c r="A34" s="0" t="s">
        <v>1429</v>
      </c>
      <c r="B34" s="0" t="s">
        <v>2093</v>
      </c>
      <c r="C34" s="0" t="s">
        <v>2094</v>
      </c>
      <c r="D34" s="0" t="n">
        <v>140</v>
      </c>
      <c r="E34" s="5" t="s">
        <v>2095</v>
      </c>
      <c r="F34" s="0" t="s">
        <v>2096</v>
      </c>
      <c r="G34" s="5" t="s">
        <v>2097</v>
      </c>
    </row>
    <row r="35" customFormat="false" ht="17.15" hidden="false" customHeight="false" outlineLevel="0" collapsed="false">
      <c r="A35" s="0" t="s">
        <v>1429</v>
      </c>
      <c r="B35" s="0" t="s">
        <v>2098</v>
      </c>
      <c r="C35" s="0" t="s">
        <v>2099</v>
      </c>
      <c r="D35" s="0" t="n">
        <v>25</v>
      </c>
      <c r="E35" s="0" t="s">
        <v>2100</v>
      </c>
      <c r="F35" s="0" t="s">
        <v>2101</v>
      </c>
      <c r="G35" s="5" t="s">
        <v>2097</v>
      </c>
    </row>
    <row r="36" customFormat="false" ht="17.15" hidden="false" customHeight="false" outlineLevel="0" collapsed="false">
      <c r="A36" s="0" t="s">
        <v>1429</v>
      </c>
      <c r="B36" s="0" t="s">
        <v>2098</v>
      </c>
      <c r="C36" s="0" t="s">
        <v>2099</v>
      </c>
      <c r="D36" s="0" t="n">
        <v>12.5</v>
      </c>
      <c r="E36" s="0" t="s">
        <v>2102</v>
      </c>
      <c r="F36" s="0" t="s">
        <v>2103</v>
      </c>
      <c r="G36" s="5" t="s">
        <v>2097</v>
      </c>
    </row>
    <row r="37" customFormat="false" ht="17.15" hidden="false" customHeight="false" outlineLevel="0" collapsed="false">
      <c r="A37" s="0" t="s">
        <v>2085</v>
      </c>
      <c r="B37" s="0" t="s">
        <v>2104</v>
      </c>
      <c r="C37" s="0" t="s">
        <v>2105</v>
      </c>
      <c r="D37" s="0" t="n">
        <v>23.103</v>
      </c>
      <c r="E37" s="5" t="s">
        <v>2106</v>
      </c>
      <c r="F37" s="0" t="s">
        <v>2107</v>
      </c>
      <c r="G37" s="5" t="s">
        <v>2097</v>
      </c>
    </row>
    <row r="38" customFormat="false" ht="17.15" hidden="false" customHeight="false" outlineLevel="0" collapsed="false">
      <c r="A38" s="0" t="s">
        <v>2085</v>
      </c>
      <c r="B38" s="0" t="s">
        <v>2104</v>
      </c>
      <c r="C38" s="0" t="s">
        <v>2108</v>
      </c>
      <c r="D38" s="0" t="n">
        <v>28.499</v>
      </c>
      <c r="E38" s="5" t="s">
        <v>2109</v>
      </c>
      <c r="F38" s="0" t="s">
        <v>2110</v>
      </c>
      <c r="G38" s="5" t="s">
        <v>2097</v>
      </c>
    </row>
    <row r="39" customFormat="false" ht="17.15" hidden="false" customHeight="false" outlineLevel="0" collapsed="false">
      <c r="A39" s="0" t="s">
        <v>2085</v>
      </c>
      <c r="B39" s="0" t="s">
        <v>2104</v>
      </c>
      <c r="C39" s="0" t="s">
        <v>2111</v>
      </c>
      <c r="D39" s="0" t="n">
        <v>-5.396</v>
      </c>
      <c r="E39" s="5" t="s">
        <v>2112</v>
      </c>
      <c r="F39" s="0" t="s">
        <v>2113</v>
      </c>
      <c r="G39" s="5" t="s">
        <v>2097</v>
      </c>
    </row>
    <row r="40" customFormat="false" ht="17.15" hidden="false" customHeight="false" outlineLevel="0" collapsed="false">
      <c r="A40" s="0" t="s">
        <v>2085</v>
      </c>
      <c r="B40" s="0" t="s">
        <v>2114</v>
      </c>
      <c r="C40" s="0" t="s">
        <v>2108</v>
      </c>
      <c r="D40" s="0" t="n">
        <v>92.5</v>
      </c>
      <c r="E40" s="5" t="s">
        <v>2115</v>
      </c>
      <c r="F40" s="0" t="s">
        <v>2116</v>
      </c>
      <c r="G40" s="5" t="s">
        <v>2117</v>
      </c>
    </row>
    <row r="41" customFormat="false" ht="17.15" hidden="false" customHeight="false" outlineLevel="0" collapsed="false">
      <c r="A41" s="0" t="s">
        <v>2085</v>
      </c>
      <c r="B41" s="0" t="s">
        <v>2104</v>
      </c>
      <c r="C41" s="0" t="s">
        <v>2099</v>
      </c>
      <c r="D41" s="0" t="n">
        <v>20</v>
      </c>
      <c r="E41" s="0" t="s">
        <v>2118</v>
      </c>
      <c r="F41" s="0" t="s">
        <v>2119</v>
      </c>
      <c r="G41" s="5" t="s">
        <v>2097</v>
      </c>
    </row>
    <row r="42" customFormat="false" ht="17.15" hidden="false" customHeight="false" outlineLevel="0" collapsed="false">
      <c r="A42" s="0" t="s">
        <v>2085</v>
      </c>
      <c r="B42" s="0" t="s">
        <v>143</v>
      </c>
      <c r="C42" s="0" t="s">
        <v>2120</v>
      </c>
      <c r="D42" s="0" t="n">
        <v>88.26</v>
      </c>
      <c r="E42" s="5" t="s">
        <v>2121</v>
      </c>
      <c r="F42" s="0" t="s">
        <v>2122</v>
      </c>
      <c r="G42" s="5" t="s">
        <v>2097</v>
      </c>
    </row>
    <row r="43" customFormat="false" ht="17.15" hidden="false" customHeight="false" outlineLevel="0" collapsed="false">
      <c r="A43" s="0" t="s">
        <v>2085</v>
      </c>
      <c r="B43" s="0" t="s">
        <v>143</v>
      </c>
      <c r="C43" s="0" t="s">
        <v>2123</v>
      </c>
      <c r="D43" s="0" t="n">
        <v>288</v>
      </c>
      <c r="E43" s="5" t="s">
        <v>2124</v>
      </c>
      <c r="F43" s="0" t="s">
        <v>2125</v>
      </c>
      <c r="G43" s="5" t="s">
        <v>2097</v>
      </c>
    </row>
    <row r="44" customFormat="false" ht="17.15" hidden="false" customHeight="false" outlineLevel="0" collapsed="false">
      <c r="A44" s="0" t="s">
        <v>2085</v>
      </c>
      <c r="B44" s="0" t="s">
        <v>143</v>
      </c>
      <c r="C44" s="0" t="s">
        <v>2126</v>
      </c>
      <c r="D44" s="0" t="n">
        <v>34.621</v>
      </c>
      <c r="E44" s="5" t="s">
        <v>2127</v>
      </c>
      <c r="F44" s="0" t="s">
        <v>2128</v>
      </c>
      <c r="G44" s="5" t="s">
        <v>2097</v>
      </c>
    </row>
    <row r="45" customFormat="false" ht="17.15" hidden="false" customHeight="false" outlineLevel="0" collapsed="false">
      <c r="A45" s="0" t="s">
        <v>2085</v>
      </c>
      <c r="B45" s="0" t="s">
        <v>2104</v>
      </c>
      <c r="C45" s="0" t="s">
        <v>2129</v>
      </c>
      <c r="D45" s="0" t="n">
        <v>11.363</v>
      </c>
      <c r="E45" s="5" t="s">
        <v>2130</v>
      </c>
      <c r="F45" s="0" t="s">
        <v>2131</v>
      </c>
      <c r="G45" s="5" t="s">
        <v>2097</v>
      </c>
    </row>
    <row r="46" customFormat="false" ht="17.15" hidden="false" customHeight="false" outlineLevel="0" collapsed="false">
      <c r="A46" s="0" t="s">
        <v>2085</v>
      </c>
      <c r="B46" s="0" t="s">
        <v>2114</v>
      </c>
      <c r="C46" s="0" t="s">
        <v>2111</v>
      </c>
      <c r="D46" s="0" t="n">
        <v>-42</v>
      </c>
      <c r="E46" s="0" t="s">
        <v>2132</v>
      </c>
      <c r="F46" s="0" t="s">
        <v>2133</v>
      </c>
      <c r="G46" s="5" t="s">
        <v>2097</v>
      </c>
    </row>
    <row r="47" customFormat="false" ht="17.15" hidden="false" customHeight="false" outlineLevel="0" collapsed="false">
      <c r="A47" s="0" t="s">
        <v>1467</v>
      </c>
      <c r="B47" s="0" t="s">
        <v>2093</v>
      </c>
      <c r="C47" s="0" t="s">
        <v>2094</v>
      </c>
      <c r="D47" s="0" t="n">
        <v>37</v>
      </c>
      <c r="E47" s="5" t="s">
        <v>2134</v>
      </c>
      <c r="F47" s="0" t="s">
        <v>2135</v>
      </c>
      <c r="G47" s="5" t="s">
        <v>2097</v>
      </c>
    </row>
    <row r="48" customFormat="false" ht="17.15" hidden="false" customHeight="false" outlineLevel="0" collapsed="false">
      <c r="A48" s="0" t="s">
        <v>1467</v>
      </c>
      <c r="B48" s="0" t="s">
        <v>2136</v>
      </c>
      <c r="C48" s="0" t="s">
        <v>2129</v>
      </c>
      <c r="D48" s="0" t="n">
        <v>6.3</v>
      </c>
      <c r="E48" s="0" t="s">
        <v>2137</v>
      </c>
      <c r="F48" s="0" t="s">
        <v>2138</v>
      </c>
      <c r="G48" s="5" t="s">
        <v>2097</v>
      </c>
    </row>
    <row r="49" customFormat="false" ht="17.15" hidden="false" customHeight="false" outlineLevel="0" collapsed="false">
      <c r="A49" s="0" t="s">
        <v>1486</v>
      </c>
      <c r="B49" s="0" t="s">
        <v>2139</v>
      </c>
      <c r="C49" s="0" t="s">
        <v>2140</v>
      </c>
      <c r="D49" s="0" t="n">
        <v>5.75</v>
      </c>
      <c r="E49" s="5" t="s">
        <v>2141</v>
      </c>
      <c r="F49" s="0" t="s">
        <v>2142</v>
      </c>
      <c r="G49" s="0" t="s">
        <v>2143</v>
      </c>
    </row>
    <row r="50" customFormat="false" ht="17.15" hidden="false" customHeight="false" outlineLevel="0" collapsed="false">
      <c r="A50" s="0" t="s">
        <v>1486</v>
      </c>
      <c r="B50" s="0" t="s">
        <v>2144</v>
      </c>
      <c r="C50" s="0" t="s">
        <v>2145</v>
      </c>
      <c r="D50" s="0" t="n">
        <v>0.775</v>
      </c>
      <c r="E50" s="5" t="s">
        <v>2146</v>
      </c>
      <c r="F50" s="0" t="s">
        <v>2147</v>
      </c>
      <c r="G50" s="5" t="s">
        <v>2148</v>
      </c>
    </row>
    <row r="51" customFormat="false" ht="17.15" hidden="false" customHeight="false" outlineLevel="0" collapsed="false">
      <c r="A51" s="0" t="s">
        <v>1486</v>
      </c>
      <c r="B51" s="0" t="s">
        <v>2093</v>
      </c>
      <c r="C51" s="0" t="s">
        <v>2108</v>
      </c>
      <c r="D51" s="0" t="n">
        <v>22.5</v>
      </c>
      <c r="E51" s="5" t="s">
        <v>2149</v>
      </c>
      <c r="F51" s="0" t="s">
        <v>2150</v>
      </c>
      <c r="G51" s="5" t="s">
        <v>2117</v>
      </c>
    </row>
    <row r="52" customFormat="false" ht="17.15" hidden="false" customHeight="false" outlineLevel="0" collapsed="false">
      <c r="A52" s="0" t="s">
        <v>1682</v>
      </c>
      <c r="B52" s="0" t="s">
        <v>2093</v>
      </c>
      <c r="C52" s="0" t="s">
        <v>2111</v>
      </c>
      <c r="D52" s="0" t="n">
        <v>-25</v>
      </c>
      <c r="E52" s="5" t="s">
        <v>2151</v>
      </c>
      <c r="F52" s="0" t="s">
        <v>2152</v>
      </c>
      <c r="G52" s="5" t="s">
        <v>2097</v>
      </c>
    </row>
    <row r="53" customFormat="false" ht="17.15" hidden="false" customHeight="false" outlineLevel="0" collapsed="false">
      <c r="A53" s="0" t="s">
        <v>2076</v>
      </c>
      <c r="B53" s="0" t="s">
        <v>2104</v>
      </c>
      <c r="C53" s="0" t="s">
        <v>2105</v>
      </c>
      <c r="D53" s="0" t="n">
        <v>58</v>
      </c>
      <c r="E53" s="5" t="s">
        <v>2153</v>
      </c>
      <c r="F53" s="0" t="s">
        <v>2154</v>
      </c>
      <c r="G53" s="0" t="s">
        <v>2155</v>
      </c>
    </row>
    <row r="54" customFormat="false" ht="17.15" hidden="false" customHeight="false" outlineLevel="0" collapsed="false">
      <c r="A54" s="0" t="s">
        <v>2076</v>
      </c>
      <c r="B54" s="0" t="s">
        <v>2104</v>
      </c>
      <c r="C54" s="0" t="s">
        <v>2108</v>
      </c>
      <c r="D54" s="0" t="n">
        <v>39.367</v>
      </c>
      <c r="E54" s="0" t="s">
        <v>2156</v>
      </c>
      <c r="F54" s="0" t="s">
        <v>2157</v>
      </c>
      <c r="G54" s="0" t="s">
        <v>2155</v>
      </c>
    </row>
    <row r="55" customFormat="false" ht="17.15" hidden="false" customHeight="false" outlineLevel="0" collapsed="false">
      <c r="A55" s="0" t="s">
        <v>2076</v>
      </c>
      <c r="B55" s="0" t="s">
        <v>2104</v>
      </c>
      <c r="C55" s="0" t="s">
        <v>2158</v>
      </c>
      <c r="D55" s="0" t="n">
        <v>5.192</v>
      </c>
      <c r="E55" s="5" t="s">
        <v>2159</v>
      </c>
      <c r="F55" s="0" t="s">
        <v>2160</v>
      </c>
      <c r="G55" s="0" t="s">
        <v>2155</v>
      </c>
    </row>
    <row r="56" customFormat="false" ht="17.15" hidden="false" customHeight="false" outlineLevel="0" collapsed="false">
      <c r="A56" s="0" t="s">
        <v>2076</v>
      </c>
      <c r="B56" s="0" t="s">
        <v>2104</v>
      </c>
      <c r="C56" s="0" t="s">
        <v>2094</v>
      </c>
      <c r="D56" s="0" t="n">
        <v>45.2</v>
      </c>
      <c r="E56" s="5" t="s">
        <v>2161</v>
      </c>
      <c r="F56" s="0" t="s">
        <v>2162</v>
      </c>
      <c r="G56" s="0" t="s">
        <v>2155</v>
      </c>
    </row>
    <row r="57" customFormat="false" ht="17.15" hidden="false" customHeight="false" outlineLevel="0" collapsed="false">
      <c r="A57" s="0" t="s">
        <v>2076</v>
      </c>
      <c r="B57" s="0" t="s">
        <v>2104</v>
      </c>
      <c r="C57" s="0" t="s">
        <v>2111</v>
      </c>
      <c r="D57" s="0" t="n">
        <v>18.633</v>
      </c>
      <c r="E57" s="5" t="s">
        <v>2163</v>
      </c>
      <c r="F57" s="0" t="s">
        <v>2164</v>
      </c>
      <c r="G57" s="0" t="s">
        <v>2155</v>
      </c>
    </row>
    <row r="58" customFormat="false" ht="17.15" hidden="false" customHeight="false" outlineLevel="0" collapsed="false">
      <c r="A58" s="0" t="s">
        <v>2076</v>
      </c>
      <c r="B58" s="0" t="s">
        <v>2104</v>
      </c>
      <c r="C58" s="0" t="s">
        <v>2165</v>
      </c>
      <c r="D58" s="0" t="n">
        <v>11.136</v>
      </c>
      <c r="E58" s="5" t="s">
        <v>2166</v>
      </c>
      <c r="F58" s="0" t="s">
        <v>2167</v>
      </c>
      <c r="G58" s="0" t="s">
        <v>2155</v>
      </c>
    </row>
    <row r="59" customFormat="false" ht="17.15" hidden="false" customHeight="false" outlineLevel="0" collapsed="false">
      <c r="A59" s="0" t="s">
        <v>2076</v>
      </c>
      <c r="B59" s="0" t="s">
        <v>2104</v>
      </c>
      <c r="C59" s="0" t="s">
        <v>2140</v>
      </c>
      <c r="D59" s="0" t="n">
        <v>0</v>
      </c>
      <c r="E59" s="5" t="s">
        <v>2168</v>
      </c>
      <c r="F59" s="0" t="s">
        <v>2169</v>
      </c>
      <c r="G59" s="0" t="s">
        <v>2155</v>
      </c>
    </row>
    <row r="60" customFormat="false" ht="17.15" hidden="false" customHeight="false" outlineLevel="0" collapsed="false">
      <c r="A60" s="0" t="s">
        <v>2076</v>
      </c>
      <c r="B60" s="0" t="s">
        <v>2170</v>
      </c>
      <c r="C60" s="0" t="s">
        <v>2123</v>
      </c>
      <c r="D60" s="0" t="n">
        <v>364.6</v>
      </c>
      <c r="E60" s="5" t="s">
        <v>2171</v>
      </c>
      <c r="F60" s="0" t="s">
        <v>2172</v>
      </c>
      <c r="G60" s="0" t="s">
        <v>2155</v>
      </c>
    </row>
    <row r="61" customFormat="false" ht="17.15" hidden="false" customHeight="false" outlineLevel="0" collapsed="false">
      <c r="A61" s="0" t="s">
        <v>2076</v>
      </c>
      <c r="B61" s="0" t="s">
        <v>2170</v>
      </c>
      <c r="C61" s="0" t="s">
        <v>2173</v>
      </c>
      <c r="D61" s="0" t="n">
        <v>70.973</v>
      </c>
      <c r="E61" s="5" t="s">
        <v>2174</v>
      </c>
      <c r="F61" s="0" t="s">
        <v>2175</v>
      </c>
      <c r="G61" s="0" t="s">
        <v>2155</v>
      </c>
    </row>
    <row r="62" customFormat="false" ht="17.15" hidden="false" customHeight="false" outlineLevel="0" collapsed="false">
      <c r="A62" s="0" t="s">
        <v>2076</v>
      </c>
      <c r="B62" s="0" t="s">
        <v>2093</v>
      </c>
      <c r="C62" s="0" t="s">
        <v>2094</v>
      </c>
      <c r="D62" s="0" t="n">
        <v>170</v>
      </c>
      <c r="E62" s="5" t="s">
        <v>2176</v>
      </c>
      <c r="F62" s="0" t="s">
        <v>2177</v>
      </c>
      <c r="G62" s="0" t="s">
        <v>2155</v>
      </c>
    </row>
    <row r="63" customFormat="false" ht="17.15" hidden="false" customHeight="false" outlineLevel="0" collapsed="false">
      <c r="A63" s="0" t="s">
        <v>2076</v>
      </c>
      <c r="B63" s="0" t="s">
        <v>2178</v>
      </c>
      <c r="C63" s="0" t="s">
        <v>2094</v>
      </c>
      <c r="D63" s="0" t="n">
        <v>50</v>
      </c>
      <c r="E63" s="5" t="s">
        <v>2179</v>
      </c>
      <c r="F63" s="0" t="s">
        <v>2180</v>
      </c>
      <c r="G63" s="0" t="s">
        <v>2155</v>
      </c>
    </row>
    <row r="64" customFormat="false" ht="17.15" hidden="false" customHeight="false" outlineLevel="0" collapsed="false">
      <c r="A64" s="0" t="s">
        <v>2080</v>
      </c>
      <c r="B64" s="0" t="s">
        <v>2093</v>
      </c>
      <c r="C64" s="0" t="s">
        <v>2108</v>
      </c>
      <c r="D64" s="0" t="n">
        <v>200</v>
      </c>
      <c r="E64" s="5" t="s">
        <v>2181</v>
      </c>
      <c r="F64" s="0" t="s">
        <v>2182</v>
      </c>
      <c r="G64" s="0" t="s">
        <v>2155</v>
      </c>
    </row>
    <row r="65" customFormat="false" ht="17.15" hidden="false" customHeight="false" outlineLevel="0" collapsed="false">
      <c r="A65" s="0" t="s">
        <v>2084</v>
      </c>
      <c r="B65" s="0" t="s">
        <v>2093</v>
      </c>
      <c r="C65" s="0" t="s">
        <v>2108</v>
      </c>
      <c r="D65" s="0" t="n">
        <v>220</v>
      </c>
      <c r="E65" s="5" t="s">
        <v>2183</v>
      </c>
      <c r="F65" s="0" t="s">
        <v>2184</v>
      </c>
      <c r="G65" s="0" t="s">
        <v>2155</v>
      </c>
    </row>
    <row r="66" customFormat="false" ht="17.15" hidden="false" customHeight="false" outlineLevel="0" collapsed="false">
      <c r="A66" s="0" t="s">
        <v>2084</v>
      </c>
      <c r="B66" s="0" t="s">
        <v>2185</v>
      </c>
      <c r="C66" s="0" t="s">
        <v>2108</v>
      </c>
      <c r="E66" s="5" t="s">
        <v>2186</v>
      </c>
      <c r="F66" s="0" t="s">
        <v>2187</v>
      </c>
      <c r="G66" s="0" t="s">
        <v>2155</v>
      </c>
    </row>
    <row r="68" customFormat="false" ht="17.15" hidden="false" customHeight="false" outlineLevel="0" collapsed="false">
      <c r="A68" s="22" t="s">
        <v>2188</v>
      </c>
    </row>
    <row r="70" customFormat="false" ht="17.15" hidden="false" customHeight="false" outlineLevel="0" collapsed="false">
      <c r="A70" s="22" t="s">
        <v>2189</v>
      </c>
    </row>
    <row r="71" customFormat="false" ht="17.15" hidden="false" customHeight="false" outlineLevel="0" collapsed="false">
      <c r="A71" s="7" t="s">
        <v>2190</v>
      </c>
      <c r="B71" s="6" t="s">
        <v>2191</v>
      </c>
      <c r="C71" s="6" t="s">
        <v>2192</v>
      </c>
      <c r="D71" s="6" t="s">
        <v>2193</v>
      </c>
      <c r="E71" s="6" t="s">
        <v>2194</v>
      </c>
      <c r="F71" s="6" t="s">
        <v>2195</v>
      </c>
    </row>
    <row r="72" customFormat="false" ht="124.6" hidden="false" customHeight="false" outlineLevel="0" collapsed="false">
      <c r="A72" s="0" t="n">
        <v>1</v>
      </c>
      <c r="B72" s="3" t="s">
        <v>2196</v>
      </c>
      <c r="C72" s="3" t="s">
        <v>1682</v>
      </c>
      <c r="D72" s="2" t="s">
        <v>2197</v>
      </c>
      <c r="E72" s="3" t="s">
        <v>2198</v>
      </c>
      <c r="F72" s="3" t="s">
        <v>2199</v>
      </c>
    </row>
    <row r="73" customFormat="false" ht="151.45" hidden="false" customHeight="false" outlineLevel="0" collapsed="false">
      <c r="A73" s="0" t="n">
        <v>2</v>
      </c>
      <c r="B73" s="3" t="s">
        <v>2196</v>
      </c>
      <c r="C73" s="2" t="s">
        <v>2200</v>
      </c>
      <c r="D73" s="2" t="s">
        <v>2201</v>
      </c>
      <c r="E73" s="2" t="s">
        <v>2202</v>
      </c>
      <c r="F73" s="3" t="s">
        <v>2203</v>
      </c>
    </row>
    <row r="74" customFormat="false" ht="79.85" hidden="false" customHeight="false" outlineLevel="0" collapsed="false">
      <c r="A74" s="0" t="n">
        <v>3</v>
      </c>
      <c r="B74" s="3" t="s">
        <v>2196</v>
      </c>
      <c r="C74" s="3" t="s">
        <v>1684</v>
      </c>
      <c r="D74" s="2" t="s">
        <v>2204</v>
      </c>
      <c r="E74" s="3" t="s">
        <v>2205</v>
      </c>
      <c r="F74" s="3" t="s">
        <v>2206</v>
      </c>
    </row>
    <row r="75" customFormat="false" ht="75.35" hidden="false" customHeight="false" outlineLevel="0" collapsed="false">
      <c r="A75" s="0" t="n">
        <v>4</v>
      </c>
      <c r="B75" s="3" t="s">
        <v>2196</v>
      </c>
      <c r="C75" s="3" t="s">
        <v>1683</v>
      </c>
      <c r="D75" s="2" t="s">
        <v>2207</v>
      </c>
      <c r="E75" s="3" t="s">
        <v>2208</v>
      </c>
      <c r="F75" s="3" t="s">
        <v>2209</v>
      </c>
    </row>
    <row r="76" customFormat="false" ht="64.15" hidden="false" customHeight="false" outlineLevel="0" collapsed="false">
      <c r="A76" s="0" t="n">
        <v>5</v>
      </c>
      <c r="B76" s="3" t="s">
        <v>2210</v>
      </c>
      <c r="C76" s="3" t="s">
        <v>1682</v>
      </c>
      <c r="D76" s="2" t="s">
        <v>2211</v>
      </c>
      <c r="E76" s="3" t="s">
        <v>2212</v>
      </c>
      <c r="F76" s="3" t="s">
        <v>2213</v>
      </c>
    </row>
    <row r="77" customFormat="false" ht="48.5" hidden="false" customHeight="false" outlineLevel="0" collapsed="false">
      <c r="A77" s="0" t="n">
        <v>6</v>
      </c>
      <c r="B77" s="3" t="s">
        <v>2210</v>
      </c>
      <c r="C77" s="3" t="s">
        <v>1683</v>
      </c>
      <c r="D77" s="2" t="s">
        <v>2214</v>
      </c>
      <c r="E77" s="2" t="s">
        <v>2215</v>
      </c>
      <c r="F77" s="3" t="s">
        <v>2216</v>
      </c>
    </row>
    <row r="78" customFormat="false" ht="77.6" hidden="false" customHeight="false" outlineLevel="0" collapsed="false">
      <c r="A78" s="0" t="n">
        <v>7</v>
      </c>
      <c r="B78" s="3" t="s">
        <v>2076</v>
      </c>
      <c r="C78" s="3" t="s">
        <v>1682</v>
      </c>
      <c r="D78" s="2" t="s">
        <v>2217</v>
      </c>
      <c r="E78" s="3" t="s">
        <v>2218</v>
      </c>
      <c r="F78" s="3" t="s">
        <v>2219</v>
      </c>
    </row>
    <row r="79" customFormat="false" ht="44" hidden="false" customHeight="false" outlineLevel="0" collapsed="false">
      <c r="A79" s="0" t="n">
        <v>8</v>
      </c>
      <c r="B79" s="3" t="s">
        <v>2076</v>
      </c>
      <c r="C79" s="3" t="s">
        <v>1683</v>
      </c>
      <c r="D79" s="2" t="s">
        <v>2220</v>
      </c>
      <c r="E79" s="3" t="s">
        <v>2221</v>
      </c>
      <c r="F79" s="3" t="s">
        <v>2209</v>
      </c>
    </row>
    <row r="80" customFormat="false" ht="108.95" hidden="false" customHeight="false" outlineLevel="0" collapsed="false">
      <c r="A80" s="0" t="n">
        <v>9</v>
      </c>
      <c r="B80" s="3" t="s">
        <v>2076</v>
      </c>
      <c r="C80" s="3" t="s">
        <v>2222</v>
      </c>
      <c r="D80" s="2" t="s">
        <v>2223</v>
      </c>
      <c r="E80" s="2" t="s">
        <v>2224</v>
      </c>
      <c r="F80" s="3" t="s">
        <v>2225</v>
      </c>
    </row>
    <row r="81" customFormat="false" ht="91" hidden="false" customHeight="false" outlineLevel="0" collapsed="false">
      <c r="A81" s="0" t="n">
        <v>10</v>
      </c>
      <c r="B81" s="3" t="s">
        <v>2084</v>
      </c>
      <c r="C81" s="3" t="s">
        <v>1682</v>
      </c>
      <c r="D81" s="3" t="s">
        <v>2226</v>
      </c>
      <c r="E81" s="3" t="s">
        <v>2227</v>
      </c>
      <c r="F81" s="3" t="s">
        <v>2228</v>
      </c>
    </row>
    <row r="82" customFormat="false" ht="61.9" hidden="false" customHeight="false" outlineLevel="0" collapsed="false">
      <c r="A82" s="0" t="n">
        <v>11</v>
      </c>
      <c r="B82" s="3" t="s">
        <v>2084</v>
      </c>
      <c r="C82" s="3" t="s">
        <v>1683</v>
      </c>
      <c r="D82" s="2" t="s">
        <v>2229</v>
      </c>
      <c r="E82" s="3" t="s">
        <v>2230</v>
      </c>
      <c r="F82" s="3" t="s">
        <v>2231</v>
      </c>
    </row>
    <row r="83" customFormat="false" ht="211.9" hidden="false" customHeight="false" outlineLevel="0" collapsed="false">
      <c r="A83" s="0" t="n">
        <v>12</v>
      </c>
      <c r="B83" s="3" t="s">
        <v>2232</v>
      </c>
      <c r="C83" s="3" t="s">
        <v>1683</v>
      </c>
      <c r="D83" s="2" t="s">
        <v>2233</v>
      </c>
      <c r="E83" s="3" t="s">
        <v>2234</v>
      </c>
      <c r="F83" s="3" t="s">
        <v>2235</v>
      </c>
    </row>
    <row r="84" customFormat="false" ht="79.85" hidden="false" customHeight="false" outlineLevel="0" collapsed="false">
      <c r="A84" s="0" t="n">
        <v>13</v>
      </c>
      <c r="B84" s="3" t="s">
        <v>2236</v>
      </c>
      <c r="C84" s="3" t="s">
        <v>1683</v>
      </c>
      <c r="D84" s="2" t="s">
        <v>2237</v>
      </c>
      <c r="E84" s="3" t="s">
        <v>2238</v>
      </c>
      <c r="F84" s="3" t="s">
        <v>2239</v>
      </c>
    </row>
    <row r="85" customFormat="false" ht="106.7" hidden="false" customHeight="false" outlineLevel="0" collapsed="false">
      <c r="A85" s="0" t="n">
        <v>14</v>
      </c>
      <c r="B85" s="3" t="s">
        <v>2240</v>
      </c>
      <c r="C85" s="3" t="s">
        <v>1682</v>
      </c>
      <c r="D85" s="2" t="s">
        <v>2241</v>
      </c>
      <c r="E85" s="3" t="s">
        <v>2242</v>
      </c>
      <c r="F85" s="3" t="s">
        <v>2243</v>
      </c>
    </row>
    <row r="86" customFormat="false" ht="111.15" hidden="false" customHeight="false" outlineLevel="0" collapsed="false">
      <c r="A86" s="0" t="n">
        <v>15</v>
      </c>
      <c r="B86" s="3" t="s">
        <v>2085</v>
      </c>
      <c r="C86" s="3" t="s">
        <v>1682</v>
      </c>
      <c r="D86" s="2" t="s">
        <v>2244</v>
      </c>
      <c r="E86" s="3" t="s">
        <v>2245</v>
      </c>
      <c r="F86" s="3" t="s">
        <v>2246</v>
      </c>
    </row>
    <row r="87" customFormat="false" ht="93.25" hidden="false" customHeight="false" outlineLevel="0" collapsed="false">
      <c r="A87" s="0" t="n">
        <v>16</v>
      </c>
      <c r="B87" s="3" t="s">
        <v>2247</v>
      </c>
      <c r="C87" s="3" t="s">
        <v>1683</v>
      </c>
      <c r="D87" s="3" t="s">
        <v>40</v>
      </c>
      <c r="E87" s="3" t="s">
        <v>2248</v>
      </c>
      <c r="F87" s="3" t="s">
        <v>2249</v>
      </c>
    </row>
    <row r="88" customFormat="false" ht="64.15" hidden="false" customHeight="false" outlineLevel="0" collapsed="false">
      <c r="A88" s="0" t="n">
        <v>17</v>
      </c>
      <c r="B88" s="3" t="s">
        <v>2250</v>
      </c>
      <c r="C88" s="3" t="s">
        <v>1429</v>
      </c>
      <c r="D88" s="2" t="s">
        <v>2251</v>
      </c>
      <c r="E88" s="3" t="s">
        <v>2252</v>
      </c>
      <c r="F88" s="3" t="s">
        <v>2253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13" min="4" style="0" width="1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2254</v>
      </c>
    </row>
    <row r="2" customFormat="false" ht="17.15" hidden="false" customHeight="false" outlineLevel="0" collapsed="false">
      <c r="A2" s="0" t="s">
        <v>2255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5" customFormat="false" ht="19.4" hidden="false" customHeight="false" outlineLevel="0" collapsed="false">
      <c r="A5" s="35" t="s">
        <v>2256</v>
      </c>
    </row>
    <row r="6" customFormat="false" ht="17.15" hidden="false" customHeight="false" outlineLevel="0" collapsed="false">
      <c r="A6" s="5" t="s">
        <v>2257</v>
      </c>
      <c r="D6" s="30" t="n">
        <f aca="false">CapexGW!$D$4</f>
        <v>0</v>
      </c>
      <c r="E6" s="30" t="n">
        <f aca="false">CapexGW!$E$4</f>
        <v>0.5</v>
      </c>
      <c r="F6" s="30" t="n">
        <f aca="false">CapexGW!$F$4</f>
        <v>0.5</v>
      </c>
    </row>
    <row r="7" customFormat="false" ht="17.15" hidden="false" customHeight="false" outlineLevel="0" collapsed="false">
      <c r="A7" s="5" t="s">
        <v>2258</v>
      </c>
      <c r="B7" s="0" t="s">
        <v>2259</v>
      </c>
      <c r="C7" s="0" t="s">
        <v>57</v>
      </c>
      <c r="D7" s="24" t="n">
        <f aca="false">Players!D12</f>
        <v>0.238210067173108</v>
      </c>
      <c r="E7" s="24" t="n">
        <f aca="false">Players!E12</f>
        <v>0.238210067173108</v>
      </c>
      <c r="F7" s="24" t="n">
        <f aca="false">Players!F12</f>
        <v>0.238210067173108</v>
      </c>
      <c r="G7" s="24" t="n">
        <f aca="false">Players!G12</f>
        <v>0.238210067173108</v>
      </c>
      <c r="H7" s="24" t="n">
        <f aca="false">Players!H12</f>
        <v>0.273101862203342</v>
      </c>
      <c r="I7" s="24" t="n">
        <f aca="false">Players!I12</f>
        <v>0.269621396123668</v>
      </c>
      <c r="J7" s="24" t="n">
        <f aca="false">Players!J12</f>
        <v>0.272187509408712</v>
      </c>
      <c r="K7" s="24" t="n">
        <f aca="false">Players!K12</f>
        <v>0.272187509408712</v>
      </c>
      <c r="L7" s="24" t="n">
        <f aca="false">Players!L12</f>
        <v>0.272187509408712</v>
      </c>
      <c r="M7" s="24" t="n">
        <f aca="false">Players!M12</f>
        <v>0.272187509408712</v>
      </c>
    </row>
    <row r="8" customFormat="false" ht="17.15" hidden="false" customHeight="false" outlineLevel="0" collapsed="false">
      <c r="A8" s="5" t="s">
        <v>2260</v>
      </c>
      <c r="B8" s="0" t="s">
        <v>2261</v>
      </c>
      <c r="C8" s="0" t="s">
        <v>230</v>
      </c>
      <c r="D8" s="30" t="n">
        <f aca="false">Spend!D5</f>
        <v>26.9558138563705</v>
      </c>
      <c r="E8" s="30" t="n">
        <f aca="false">Spend!E5</f>
        <v>26.9558138563705</v>
      </c>
      <c r="F8" s="30" t="n">
        <f aca="false">Spend!F5</f>
        <v>25.8122711816658</v>
      </c>
      <c r="G8" s="30" t="n">
        <f aca="false">Spend!G5</f>
        <v>31.4532830958991</v>
      </c>
      <c r="H8" s="30" t="n">
        <f aca="false">Spend!H5</f>
        <v>34.7470424338587</v>
      </c>
      <c r="I8" s="30" t="n">
        <f aca="false">Spend!I5</f>
        <v>36.9782986900226</v>
      </c>
      <c r="J8" s="30" t="n">
        <f aca="false">Spend!J5</f>
        <v>36.9368565633779</v>
      </c>
      <c r="K8" s="30" t="n">
        <f aca="false">Spend!K5</f>
        <v>36.9368565633779</v>
      </c>
      <c r="L8" s="30" t="n">
        <f aca="false">Spend!L5</f>
        <v>36.9368565633779</v>
      </c>
      <c r="M8" s="30" t="n">
        <f aca="false">Spend!M5</f>
        <v>36.9368565633779</v>
      </c>
      <c r="N8" s="21" t="s">
        <v>2262</v>
      </c>
    </row>
    <row r="9" customFormat="false" ht="17.15" hidden="false" customHeight="false" outlineLevel="0" collapsed="false">
      <c r="A9" s="5" t="s">
        <v>2263</v>
      </c>
      <c r="B9" s="0" t="s">
        <v>2264</v>
      </c>
      <c r="C9" s="0" t="s">
        <v>230</v>
      </c>
      <c r="D9" s="30" t="n">
        <f aca="false">(1-D7)*CapexGW!D8+D7*spend_nnv_hold*TK_CapexFacility_VR200</f>
        <v>11.6740198881425</v>
      </c>
      <c r="E9" s="30" t="n">
        <f aca="false">(1-E7)*CapexGW!E8+E7*spend_nnv_hold*TK_CapexFacility_VR200</f>
        <v>11.6740198881425</v>
      </c>
      <c r="F9" s="30" t="n">
        <f aca="false">(1-F7)*CapexGW!F8+F7*spend_nnv_hold*TK_CapexFacility_VR200</f>
        <v>11.6740198881425</v>
      </c>
      <c r="G9" s="30" t="n">
        <f aca="false">(1-G7)*CapexGW!G8+G7*spend_nnv_hold*TK_CapexFacility_VR200</f>
        <v>11.6740198881425</v>
      </c>
      <c r="H9" s="30" t="n">
        <f aca="false">(1-H7)*CapexGW!H8+H7*spend_nnv_hold*TK_CapexFacility_VR200</f>
        <v>11.5281338039416</v>
      </c>
      <c r="I9" s="30" t="n">
        <f aca="false">(1-I7)*CapexGW!I8+I7*spend_nnv_hold*TK_CapexFacility_VR200</f>
        <v>11.5426859806673</v>
      </c>
      <c r="J9" s="30" t="n">
        <f aca="false">(1-J7)*CapexGW!J8+J7*spend_nnv_hold*TK_CapexFacility_VR200</f>
        <v>11.5319568044112</v>
      </c>
      <c r="K9" s="30" t="n">
        <f aca="false">(1-K7)*CapexGW!K8+K7*spend_nnv_hold*TK_CapexFacility_VR200</f>
        <v>11.5319568044112</v>
      </c>
      <c r="L9" s="30" t="n">
        <f aca="false">(1-L7)*CapexGW!L8+L7*spend_nnv_hold*TK_CapexFacility_VR200</f>
        <v>11.5319568044112</v>
      </c>
      <c r="M9" s="30" t="n">
        <f aca="false">(1-M7)*CapexGW!M8+M7*spend_nnv_hold*TK_CapexFacility_VR200</f>
        <v>11.5319568044112</v>
      </c>
      <c r="N9" s="21" t="s">
        <v>2265</v>
      </c>
    </row>
    <row r="10" customFormat="false" ht="17.15" hidden="false" customHeight="false" outlineLevel="0" collapsed="false">
      <c r="A10" s="22" t="s">
        <v>2266</v>
      </c>
      <c r="B10" s="21" t="s">
        <v>2267</v>
      </c>
      <c r="C10" s="21" t="s">
        <v>230</v>
      </c>
      <c r="D10" s="39" t="n">
        <f aca="false">D8+D9</f>
        <v>38.629833744513</v>
      </c>
      <c r="E10" s="39" t="n">
        <f aca="false">E8+E9</f>
        <v>38.629833744513</v>
      </c>
      <c r="F10" s="39" t="n">
        <f aca="false">F8+F9</f>
        <v>37.4862910698083</v>
      </c>
      <c r="G10" s="39" t="n">
        <f aca="false">G8+G9</f>
        <v>43.1273029840416</v>
      </c>
      <c r="H10" s="39" t="n">
        <f aca="false">H8+H9</f>
        <v>46.2751762378003</v>
      </c>
      <c r="I10" s="39" t="n">
        <f aca="false">I8+I9</f>
        <v>48.5209846706899</v>
      </c>
      <c r="J10" s="39" t="n">
        <f aca="false">J8+J9</f>
        <v>48.4688133677891</v>
      </c>
      <c r="K10" s="39" t="n">
        <f aca="false">K8+K9</f>
        <v>48.4688133677891</v>
      </c>
      <c r="L10" s="39" t="n">
        <f aca="false">L8+L9</f>
        <v>48.4688133677891</v>
      </c>
      <c r="M10" s="39" t="n">
        <f aca="false">M8+M9</f>
        <v>48.4688133677891</v>
      </c>
    </row>
    <row r="11" customFormat="false" ht="17.15" hidden="false" customHeight="false" outlineLevel="0" collapsed="false">
      <c r="A11" s="22" t="s">
        <v>2268</v>
      </c>
    </row>
    <row r="12" customFormat="false" ht="17.15" hidden="false" customHeight="false" outlineLevel="0" collapsed="false">
      <c r="A12" s="5" t="s">
        <v>2269</v>
      </c>
      <c r="B12" s="0" t="s">
        <v>2270</v>
      </c>
      <c r="C12" s="0" t="s">
        <v>230</v>
      </c>
      <c r="D12" s="30" t="n">
        <f aca="false">D8*SEG_compute</f>
        <v>13.9091999498872</v>
      </c>
      <c r="E12" s="30" t="n">
        <f aca="false">E8*SEG_compute</f>
        <v>13.9091999498872</v>
      </c>
      <c r="F12" s="30" t="n">
        <f aca="false">F8*SEG_compute</f>
        <v>13.3191319297396</v>
      </c>
      <c r="G12" s="30" t="n">
        <f aca="false">G8*SEG_compute</f>
        <v>16.2298940774839</v>
      </c>
      <c r="H12" s="30" t="n">
        <f aca="false">H8*SEG_compute</f>
        <v>17.9294738958711</v>
      </c>
      <c r="I12" s="30" t="n">
        <f aca="false">I8*SEG_compute</f>
        <v>19.0808021240516</v>
      </c>
      <c r="J12" s="30" t="n">
        <f aca="false">J8*SEG_compute</f>
        <v>19.059417986703</v>
      </c>
      <c r="K12" s="30" t="n">
        <f aca="false">K8*SEG_compute</f>
        <v>19.059417986703</v>
      </c>
      <c r="L12" s="30" t="n">
        <f aca="false">L8*SEG_compute</f>
        <v>19.059417986703</v>
      </c>
      <c r="M12" s="30" t="n">
        <f aca="false">M8*SEG_compute</f>
        <v>19.059417986703</v>
      </c>
    </row>
    <row r="13" customFormat="false" ht="17.15" hidden="false" customHeight="false" outlineLevel="0" collapsed="false">
      <c r="A13" s="5" t="s">
        <v>2271</v>
      </c>
      <c r="B13" s="0" t="s">
        <v>2272</v>
      </c>
      <c r="C13" s="0" t="s">
        <v>230</v>
      </c>
      <c r="D13" s="30" t="n">
        <f aca="false">D8*SEG_memory</f>
        <v>3.63903487061002</v>
      </c>
      <c r="E13" s="30" t="n">
        <f aca="false">E8*SEG_memory</f>
        <v>3.63903487061002</v>
      </c>
      <c r="F13" s="30" t="n">
        <f aca="false">F8*SEG_memory</f>
        <v>3.48465660952489</v>
      </c>
      <c r="G13" s="30" t="n">
        <f aca="false">G8*SEG_memory</f>
        <v>4.24619321794638</v>
      </c>
      <c r="H13" s="30" t="n">
        <f aca="false">H8*SEG_memory</f>
        <v>4.69085072857092</v>
      </c>
      <c r="I13" s="30" t="n">
        <f aca="false">I8*SEG_memory</f>
        <v>4.99207032315305</v>
      </c>
      <c r="J13" s="30" t="n">
        <f aca="false">J8*SEG_memory</f>
        <v>4.98647563605601</v>
      </c>
      <c r="K13" s="30" t="n">
        <f aca="false">K8*SEG_memory</f>
        <v>4.98647563605601</v>
      </c>
      <c r="L13" s="30" t="n">
        <f aca="false">L8*SEG_memory</f>
        <v>4.98647563605601</v>
      </c>
      <c r="M13" s="30" t="n">
        <f aca="false">M8*SEG_memory</f>
        <v>4.98647563605601</v>
      </c>
    </row>
    <row r="14" customFormat="false" ht="17.15" hidden="false" customHeight="false" outlineLevel="0" collapsed="false">
      <c r="A14" s="5" t="s">
        <v>2273</v>
      </c>
      <c r="B14" s="0" t="s">
        <v>2274</v>
      </c>
      <c r="C14" s="0" t="s">
        <v>230</v>
      </c>
      <c r="D14" s="30" t="n">
        <f aca="false">D8*SEG_network</f>
        <v>4.71726742486484</v>
      </c>
      <c r="E14" s="30" t="n">
        <f aca="false">E8*SEG_network</f>
        <v>4.71726742486484</v>
      </c>
      <c r="F14" s="30" t="n">
        <f aca="false">F8*SEG_network</f>
        <v>4.51714745679152</v>
      </c>
      <c r="G14" s="30" t="n">
        <f aca="false">G8*SEG_network</f>
        <v>5.50432454178234</v>
      </c>
      <c r="H14" s="30" t="n">
        <f aca="false">H8*SEG_network</f>
        <v>6.08073242592527</v>
      </c>
      <c r="I14" s="30" t="n">
        <f aca="false">I8*SEG_network</f>
        <v>6.47120227075395</v>
      </c>
      <c r="J14" s="30" t="n">
        <f aca="false">J8*SEG_network</f>
        <v>6.46394989859112</v>
      </c>
      <c r="K14" s="30" t="n">
        <f aca="false">K8*SEG_network</f>
        <v>6.46394989859112</v>
      </c>
      <c r="L14" s="30" t="n">
        <f aca="false">L8*SEG_network</f>
        <v>6.46394989859112</v>
      </c>
      <c r="M14" s="30" t="n">
        <f aca="false">M8*SEG_network</f>
        <v>6.46394989859112</v>
      </c>
    </row>
    <row r="15" customFormat="false" ht="17.15" hidden="false" customHeight="false" outlineLevel="0" collapsed="false">
      <c r="A15" s="5" t="s">
        <v>2275</v>
      </c>
      <c r="B15" s="0" t="s">
        <v>2276</v>
      </c>
      <c r="C15" s="0" t="s">
        <v>230</v>
      </c>
      <c r="D15" s="30" t="n">
        <f aca="false">D8*SEG_foundry</f>
        <v>1.45561394824401</v>
      </c>
      <c r="E15" s="30" t="n">
        <f aca="false">E8*SEG_foundry</f>
        <v>1.45561394824401</v>
      </c>
      <c r="F15" s="30" t="n">
        <f aca="false">F8*SEG_foundry</f>
        <v>1.39386264380995</v>
      </c>
      <c r="G15" s="30" t="n">
        <f aca="false">G8*SEG_foundry</f>
        <v>1.69847728717855</v>
      </c>
      <c r="H15" s="30" t="n">
        <f aca="false">H8*SEG_foundry</f>
        <v>1.87634029142837</v>
      </c>
      <c r="I15" s="30" t="n">
        <f aca="false">I8*SEG_foundry</f>
        <v>1.99682812926122</v>
      </c>
      <c r="J15" s="30" t="n">
        <f aca="false">J8*SEG_foundry</f>
        <v>1.9945902544224</v>
      </c>
      <c r="K15" s="30" t="n">
        <f aca="false">K8*SEG_foundry</f>
        <v>1.9945902544224</v>
      </c>
      <c r="L15" s="30" t="n">
        <f aca="false">L8*SEG_foundry</f>
        <v>1.9945902544224</v>
      </c>
      <c r="M15" s="30" t="n">
        <f aca="false">M8*SEG_foundry</f>
        <v>1.9945902544224</v>
      </c>
    </row>
    <row r="16" customFormat="false" ht="17.15" hidden="false" customHeight="false" outlineLevel="0" collapsed="false">
      <c r="A16" s="5" t="s">
        <v>2277</v>
      </c>
      <c r="B16" s="0" t="s">
        <v>2278</v>
      </c>
      <c r="C16" s="0" t="s">
        <v>230</v>
      </c>
      <c r="D16" s="30" t="n">
        <f aca="false">D8*SEG_substrate</f>
        <v>0.0808674415691116</v>
      </c>
      <c r="E16" s="30" t="n">
        <f aca="false">E8*SEG_substrate</f>
        <v>0.0808674415691116</v>
      </c>
      <c r="F16" s="30" t="n">
        <f aca="false">F8*SEG_substrate</f>
        <v>0.0774368135449974</v>
      </c>
      <c r="G16" s="30" t="n">
        <f aca="false">G8*SEG_substrate</f>
        <v>0.0943598492876973</v>
      </c>
      <c r="H16" s="30" t="n">
        <f aca="false">H8*SEG_substrate</f>
        <v>0.104241127301576</v>
      </c>
      <c r="I16" s="30" t="n">
        <f aca="false">I8*SEG_substrate</f>
        <v>0.110934896070068</v>
      </c>
      <c r="J16" s="30" t="n">
        <f aca="false">J8*SEG_substrate</f>
        <v>0.110810569690134</v>
      </c>
      <c r="K16" s="30" t="n">
        <f aca="false">K8*SEG_substrate</f>
        <v>0.110810569690134</v>
      </c>
      <c r="L16" s="30" t="n">
        <f aca="false">L8*SEG_substrate</f>
        <v>0.110810569690134</v>
      </c>
      <c r="M16" s="30" t="n">
        <f aca="false">M8*SEG_substrate</f>
        <v>0.110810569690134</v>
      </c>
    </row>
    <row r="17" customFormat="false" ht="17.15" hidden="false" customHeight="false" outlineLevel="0" collapsed="false">
      <c r="A17" s="5" t="s">
        <v>2279</v>
      </c>
      <c r="B17" s="0" t="s">
        <v>2280</v>
      </c>
      <c r="C17" s="0" t="s">
        <v>230</v>
      </c>
      <c r="D17" s="30" t="n">
        <f aca="false">D8*SEG_power_thermal</f>
        <v>1.69821627295134</v>
      </c>
      <c r="E17" s="30" t="n">
        <f aca="false">E8*SEG_power_thermal</f>
        <v>1.69821627295134</v>
      </c>
      <c r="F17" s="30" t="n">
        <f aca="false">F8*SEG_power_thermal</f>
        <v>1.62617308444495</v>
      </c>
      <c r="G17" s="30" t="n">
        <f aca="false">G8*SEG_power_thermal</f>
        <v>1.98155683504164</v>
      </c>
      <c r="H17" s="30" t="n">
        <f aca="false">H8*SEG_power_thermal</f>
        <v>2.1890636733331</v>
      </c>
      <c r="I17" s="30" t="n">
        <f aca="false">I8*SEG_power_thermal</f>
        <v>2.32963281747142</v>
      </c>
      <c r="J17" s="30" t="n">
        <f aca="false">J8*SEG_power_thermal</f>
        <v>2.32702196349281</v>
      </c>
      <c r="K17" s="30" t="n">
        <f aca="false">K8*SEG_power_thermal</f>
        <v>2.32702196349281</v>
      </c>
      <c r="L17" s="30" t="n">
        <f aca="false">L8*SEG_power_thermal</f>
        <v>2.32702196349281</v>
      </c>
      <c r="M17" s="30" t="n">
        <f aca="false">M8*SEG_power_thermal</f>
        <v>2.32702196349281</v>
      </c>
    </row>
    <row r="18" customFormat="false" ht="17.15" hidden="false" customHeight="false" outlineLevel="0" collapsed="false">
      <c r="A18" s="5" t="s">
        <v>2281</v>
      </c>
      <c r="B18" s="0" t="s">
        <v>2282</v>
      </c>
      <c r="C18" s="0" t="s">
        <v>230</v>
      </c>
      <c r="D18" s="30" t="n">
        <f aca="false">D8*SEG_server</f>
        <v>1.23996743739304</v>
      </c>
      <c r="E18" s="30" t="n">
        <f aca="false">E8*SEG_server</f>
        <v>1.23996743739304</v>
      </c>
      <c r="F18" s="30" t="n">
        <f aca="false">F8*SEG_server</f>
        <v>1.18736447435663</v>
      </c>
      <c r="G18" s="30" t="n">
        <f aca="false">G8*SEG_server</f>
        <v>1.44685102241136</v>
      </c>
      <c r="H18" s="30" t="n">
        <f aca="false">H8*SEG_server</f>
        <v>1.5983639519575</v>
      </c>
      <c r="I18" s="30" t="n">
        <f aca="false">I8*SEG_server</f>
        <v>1.70100173974104</v>
      </c>
      <c r="J18" s="30" t="n">
        <f aca="false">J8*SEG_server</f>
        <v>1.69909540191538</v>
      </c>
      <c r="K18" s="30" t="n">
        <f aca="false">K8*SEG_server</f>
        <v>1.69909540191538</v>
      </c>
      <c r="L18" s="30" t="n">
        <f aca="false">L8*SEG_server</f>
        <v>1.69909540191538</v>
      </c>
      <c r="M18" s="30" t="n">
        <f aca="false">M8*SEG_server</f>
        <v>1.69909540191538</v>
      </c>
    </row>
    <row r="19" customFormat="false" ht="17.15" hidden="false" customHeight="false" outlineLevel="0" collapsed="false">
      <c r="A19" s="5" t="s">
        <v>2283</v>
      </c>
      <c r="B19" s="0" t="s">
        <v>2284</v>
      </c>
      <c r="C19" s="0" t="s">
        <v>230</v>
      </c>
      <c r="D19" s="30" t="n">
        <f aca="false">D8*SEG_storage</f>
        <v>0.215646510850964</v>
      </c>
      <c r="E19" s="30" t="n">
        <f aca="false">E8*SEG_storage</f>
        <v>0.215646510850964</v>
      </c>
      <c r="F19" s="30" t="n">
        <f aca="false">F8*SEG_storage</f>
        <v>0.206498169453327</v>
      </c>
      <c r="G19" s="30" t="n">
        <f aca="false">G8*SEG_storage</f>
        <v>0.251626264767193</v>
      </c>
      <c r="H19" s="30" t="n">
        <f aca="false">H8*SEG_storage</f>
        <v>0.277976339470869</v>
      </c>
      <c r="I19" s="30" t="n">
        <f aca="false">I8*SEG_storage</f>
        <v>0.29582638952018</v>
      </c>
      <c r="J19" s="30" t="n">
        <f aca="false">J8*SEG_storage</f>
        <v>0.295494852507023</v>
      </c>
      <c r="K19" s="30" t="n">
        <f aca="false">K8*SEG_storage</f>
        <v>0.295494852507023</v>
      </c>
      <c r="L19" s="30" t="n">
        <f aca="false">L8*SEG_storage</f>
        <v>0.295494852507023</v>
      </c>
      <c r="M19" s="30" t="n">
        <f aca="false">M8*SEG_storage</f>
        <v>0.295494852507023</v>
      </c>
    </row>
    <row r="20" customFormat="false" ht="15" hidden="false" customHeight="false" outlineLevel="0" collapsed="false">
      <c r="A20" s="5" t="s">
        <v>2285</v>
      </c>
      <c r="B20" s="0" t="s">
        <v>2286</v>
      </c>
      <c r="C20" s="0" t="s">
        <v>230</v>
      </c>
      <c r="D20" s="30" t="n">
        <f aca="false">D9*Facility!D5/Facility!D4</f>
        <v>2.34954622847383</v>
      </c>
      <c r="E20" s="30" t="n">
        <f aca="false">E9*Facility!E5/Facility!E4</f>
        <v>2.34954622847383</v>
      </c>
      <c r="F20" s="30" t="n">
        <f aca="false">F9*Facility!F5/Facility!F4</f>
        <v>2.34954622847383</v>
      </c>
      <c r="G20" s="30" t="n">
        <f aca="false">G9*Facility!G5/Facility!G4</f>
        <v>2.34954622847383</v>
      </c>
      <c r="H20" s="30" t="n">
        <f aca="false">H9*Facility!H5/Facility!H4</f>
        <v>2.32018478295589</v>
      </c>
      <c r="I20" s="30" t="n">
        <f aca="false">I9*Facility!I5/Facility!I4</f>
        <v>2.32311359516193</v>
      </c>
      <c r="J20" s="30" t="n">
        <f aca="false">J9*Facility!J5/Facility!J4</f>
        <v>2.32095421083257</v>
      </c>
      <c r="K20" s="30" t="n">
        <f aca="false">K9*Facility!K5/Facility!K4</f>
        <v>2.32095421083257</v>
      </c>
      <c r="L20" s="30" t="n">
        <f aca="false">L9*Facility!L5/Facility!L4</f>
        <v>2.32095421083257</v>
      </c>
      <c r="M20" s="30" t="n">
        <f aca="false">M9*Facility!M5/Facility!M4</f>
        <v>2.32095421083257</v>
      </c>
    </row>
    <row r="21" customFormat="false" ht="15" hidden="false" customHeight="false" outlineLevel="0" collapsed="false">
      <c r="A21" s="5" t="s">
        <v>2287</v>
      </c>
      <c r="B21" s="0" t="s">
        <v>2288</v>
      </c>
      <c r="C21" s="0" t="s">
        <v>230</v>
      </c>
      <c r="D21" s="30" t="n">
        <f aca="false">D9*Facility!D6/Facility!D4</f>
        <v>1.4742250845326</v>
      </c>
      <c r="E21" s="30" t="n">
        <f aca="false">E9*Facility!E6/Facility!E4</f>
        <v>1.4742250845326</v>
      </c>
      <c r="F21" s="30" t="n">
        <f aca="false">F9*Facility!F6/Facility!F4</f>
        <v>1.4742250845326</v>
      </c>
      <c r="G21" s="30" t="n">
        <f aca="false">G9*Facility!G6/Facility!G4</f>
        <v>1.4742250845326</v>
      </c>
      <c r="H21" s="30" t="n">
        <f aca="false">H9*Facility!H6/Facility!H4</f>
        <v>1.45580221675664</v>
      </c>
      <c r="I21" s="30" t="n">
        <f aca="false">I9*Facility!I6/Facility!I4</f>
        <v>1.4576399028467</v>
      </c>
      <c r="J21" s="30" t="n">
        <f aca="false">J9*Facility!J6/Facility!J4</f>
        <v>1.4562849950322</v>
      </c>
      <c r="K21" s="30" t="n">
        <f aca="false">K9*Facility!K6/Facility!K4</f>
        <v>1.4562849950322</v>
      </c>
      <c r="L21" s="30" t="n">
        <f aca="false">L9*Facility!L6/Facility!L4</f>
        <v>1.4562849950322</v>
      </c>
      <c r="M21" s="30" t="n">
        <f aca="false">M9*Facility!M6/Facility!M4</f>
        <v>1.4562849950322</v>
      </c>
    </row>
    <row r="22" customFormat="false" ht="17.15" hidden="false" customHeight="false" outlineLevel="0" collapsed="false">
      <c r="A22" s="5" t="s">
        <v>2289</v>
      </c>
      <c r="B22" s="0" t="s">
        <v>2290</v>
      </c>
      <c r="C22" s="0" t="s">
        <v>230</v>
      </c>
      <c r="D22" s="30" t="n">
        <f aca="false">D9*Facility!D7/Facility!D4</f>
        <v>0.691043008374656</v>
      </c>
      <c r="E22" s="30" t="n">
        <f aca="false">E9*Facility!E7/Facility!E4</f>
        <v>0.691043008374656</v>
      </c>
      <c r="F22" s="30" t="n">
        <f aca="false">F9*Facility!F7/Facility!F4</f>
        <v>0.691043008374656</v>
      </c>
      <c r="G22" s="30" t="n">
        <f aca="false">G9*Facility!G7/Facility!G4</f>
        <v>0.691043008374656</v>
      </c>
      <c r="H22" s="30" t="n">
        <f aca="false">H9*Facility!H7/Facility!H4</f>
        <v>0.682407289104673</v>
      </c>
      <c r="I22" s="30" t="n">
        <f aca="false">I9*Facility!I7/Facility!I4</f>
        <v>0.683268704459392</v>
      </c>
      <c r="J22" s="30" t="n">
        <f aca="false">J9*Facility!J7/Facility!J4</f>
        <v>0.682633591421344</v>
      </c>
      <c r="K22" s="30" t="n">
        <f aca="false">K9*Facility!K7/Facility!K4</f>
        <v>0.682633591421344</v>
      </c>
      <c r="L22" s="30" t="n">
        <f aca="false">L9*Facility!L7/Facility!L4</f>
        <v>0.682633591421344</v>
      </c>
      <c r="M22" s="30" t="n">
        <f aca="false">M9*Facility!M7/Facility!M4</f>
        <v>0.682633591421344</v>
      </c>
    </row>
    <row r="23" customFormat="false" ht="15" hidden="false" customHeight="false" outlineLevel="0" collapsed="false">
      <c r="A23" s="5" t="s">
        <v>2291</v>
      </c>
      <c r="B23" s="0" t="s">
        <v>2292</v>
      </c>
      <c r="C23" s="0" t="s">
        <v>230</v>
      </c>
      <c r="D23" s="30" t="n">
        <f aca="false">D9*Facility!D8/Facility!D4</f>
        <v>1.75064228788246</v>
      </c>
      <c r="E23" s="30" t="n">
        <f aca="false">E9*Facility!E8/Facility!E4</f>
        <v>1.75064228788246</v>
      </c>
      <c r="F23" s="30" t="n">
        <f aca="false">F9*Facility!F8/Facility!F4</f>
        <v>1.75064228788246</v>
      </c>
      <c r="G23" s="30" t="n">
        <f aca="false">G9*Facility!G8/Facility!G4</f>
        <v>1.75064228788246</v>
      </c>
      <c r="H23" s="30" t="n">
        <f aca="false">H9*Facility!H8/Facility!H4</f>
        <v>1.72876513239851</v>
      </c>
      <c r="I23" s="30" t="n">
        <f aca="false">I9*Facility!I8/Facility!I4</f>
        <v>1.73094738463046</v>
      </c>
      <c r="J23" s="30" t="n">
        <f aca="false">J9*Facility!J8/Facility!J4</f>
        <v>1.72933843160074</v>
      </c>
      <c r="K23" s="30" t="n">
        <f aca="false">K9*Facility!K8/Facility!K4</f>
        <v>1.72933843160074</v>
      </c>
      <c r="L23" s="30" t="n">
        <f aca="false">L9*Facility!L8/Facility!L4</f>
        <v>1.72933843160074</v>
      </c>
      <c r="M23" s="30" t="n">
        <f aca="false">M9*Facility!M8/Facility!M4</f>
        <v>1.72933843160074</v>
      </c>
    </row>
    <row r="24" customFormat="false" ht="15" hidden="false" customHeight="false" outlineLevel="0" collapsed="false">
      <c r="A24" s="5" t="s">
        <v>2293</v>
      </c>
      <c r="B24" s="0" t="s">
        <v>2294</v>
      </c>
      <c r="C24" s="0" t="s">
        <v>230</v>
      </c>
      <c r="D24" s="30" t="n">
        <f aca="false">D9*Facility!D9/Facility!D4</f>
        <v>1.56636415231589</v>
      </c>
      <c r="E24" s="30" t="n">
        <f aca="false">E9*Facility!E9/Facility!E4</f>
        <v>1.56636415231589</v>
      </c>
      <c r="F24" s="30" t="n">
        <f aca="false">F9*Facility!F9/Facility!F4</f>
        <v>1.56636415231589</v>
      </c>
      <c r="G24" s="30" t="n">
        <f aca="false">G9*Facility!G9/Facility!G4</f>
        <v>1.56636415231589</v>
      </c>
      <c r="H24" s="30" t="n">
        <f aca="false">H9*Facility!H9/Facility!H4</f>
        <v>1.54678985530393</v>
      </c>
      <c r="I24" s="30" t="n">
        <f aca="false">I9*Facility!I9/Facility!I4</f>
        <v>1.54874239677462</v>
      </c>
      <c r="J24" s="30" t="n">
        <f aca="false">J9*Facility!J9/Facility!J4</f>
        <v>1.54730280722171</v>
      </c>
      <c r="K24" s="30" t="n">
        <f aca="false">K9*Facility!K9/Facility!K4</f>
        <v>1.54730280722171</v>
      </c>
      <c r="L24" s="30" t="n">
        <f aca="false">L9*Facility!L9/Facility!L4</f>
        <v>1.54730280722171</v>
      </c>
      <c r="M24" s="30" t="n">
        <f aca="false">M9*Facility!M9/Facility!M4</f>
        <v>1.54730280722171</v>
      </c>
    </row>
    <row r="25" customFormat="false" ht="15" hidden="false" customHeight="false" outlineLevel="0" collapsed="false">
      <c r="A25" s="5" t="s">
        <v>2295</v>
      </c>
      <c r="B25" s="0" t="s">
        <v>2296</v>
      </c>
      <c r="C25" s="0" t="s">
        <v>230</v>
      </c>
      <c r="D25" s="30" t="n">
        <f aca="false">D9*Facility!D10/Facility!D4</f>
        <v>2.71810249960698</v>
      </c>
      <c r="E25" s="30" t="n">
        <f aca="false">E9*Facility!E10/Facility!E4</f>
        <v>2.71810249960698</v>
      </c>
      <c r="F25" s="30" t="n">
        <f aca="false">F9*Facility!F10/Facility!F4</f>
        <v>2.71810249960698</v>
      </c>
      <c r="G25" s="30" t="n">
        <f aca="false">G9*Facility!G10/Facility!G4</f>
        <v>2.71810249960698</v>
      </c>
      <c r="H25" s="30" t="n">
        <f aca="false">H9*Facility!H10/Facility!H4</f>
        <v>2.68413533714505</v>
      </c>
      <c r="I25" s="30" t="n">
        <f aca="false">I9*Facility!I10/Facility!I4</f>
        <v>2.68752357087361</v>
      </c>
      <c r="J25" s="30" t="n">
        <f aca="false">J9*Facility!J10/Facility!J4</f>
        <v>2.68502545959062</v>
      </c>
      <c r="K25" s="30" t="n">
        <f aca="false">K9*Facility!K10/Facility!K4</f>
        <v>2.68502545959062</v>
      </c>
      <c r="L25" s="30" t="n">
        <f aca="false">L9*Facility!L10/Facility!L4</f>
        <v>2.68502545959062</v>
      </c>
      <c r="M25" s="30" t="n">
        <f aca="false">M9*Facility!M10/Facility!M4</f>
        <v>2.68502545959062</v>
      </c>
    </row>
    <row r="26" customFormat="false" ht="15" hidden="false" customHeight="false" outlineLevel="0" collapsed="false">
      <c r="A26" s="5" t="s">
        <v>2297</v>
      </c>
      <c r="B26" s="0" t="s">
        <v>2298</v>
      </c>
      <c r="C26" s="0" t="s">
        <v>230</v>
      </c>
      <c r="D26" s="30" t="n">
        <f aca="false">D9*Facility!D11/Facility!D4</f>
        <v>0.644973474483012</v>
      </c>
      <c r="E26" s="30" t="n">
        <f aca="false">E9*Facility!E11/Facility!E4</f>
        <v>0.644973474483012</v>
      </c>
      <c r="F26" s="30" t="n">
        <f aca="false">F9*Facility!F11/Facility!F4</f>
        <v>0.644973474483012</v>
      </c>
      <c r="G26" s="30" t="n">
        <f aca="false">G9*Facility!G11/Facility!G4</f>
        <v>0.644973474483012</v>
      </c>
      <c r="H26" s="30" t="n">
        <f aca="false">H9*Facility!H11/Facility!H4</f>
        <v>0.636913469831028</v>
      </c>
      <c r="I26" s="30" t="n">
        <f aca="false">I9*Facility!I11/Facility!I4</f>
        <v>0.637717457495433</v>
      </c>
      <c r="J26" s="30" t="n">
        <f aca="false">J9*Facility!J11/Facility!J4</f>
        <v>0.637124685326587</v>
      </c>
      <c r="K26" s="30" t="n">
        <f aca="false">K9*Facility!K11/Facility!K4</f>
        <v>0.637124685326587</v>
      </c>
      <c r="L26" s="30" t="n">
        <f aca="false">L9*Facility!L11/Facility!L4</f>
        <v>0.637124685326587</v>
      </c>
      <c r="M26" s="30" t="n">
        <f aca="false">M9*Facility!M11/Facility!M4</f>
        <v>0.637124685326587</v>
      </c>
    </row>
    <row r="27" customFormat="false" ht="15" hidden="false" customHeight="false" outlineLevel="0" collapsed="false">
      <c r="A27" s="5" t="s">
        <v>2299</v>
      </c>
      <c r="B27" s="0" t="s">
        <v>2300</v>
      </c>
      <c r="C27" s="0" t="s">
        <v>230</v>
      </c>
      <c r="D27" s="30" t="n">
        <f aca="false">D9*Facility!D12/Facility!D4</f>
        <v>0.276417203349862</v>
      </c>
      <c r="E27" s="30" t="n">
        <f aca="false">E9*Facility!E12/Facility!E4</f>
        <v>0.276417203349862</v>
      </c>
      <c r="F27" s="30" t="n">
        <f aca="false">F9*Facility!F12/Facility!F4</f>
        <v>0.276417203349862</v>
      </c>
      <c r="G27" s="30" t="n">
        <f aca="false">G9*Facility!G12/Facility!G4</f>
        <v>0.276417203349862</v>
      </c>
      <c r="H27" s="30" t="n">
        <f aca="false">H9*Facility!H12/Facility!H4</f>
        <v>0.272962915641869</v>
      </c>
      <c r="I27" s="30" t="n">
        <f aca="false">I9*Facility!I12/Facility!I4</f>
        <v>0.273307481783757</v>
      </c>
      <c r="J27" s="30" t="n">
        <f aca="false">J9*Facility!J12/Facility!J4</f>
        <v>0.273053436568538</v>
      </c>
      <c r="K27" s="30" t="n">
        <f aca="false">K9*Facility!K12/Facility!K4</f>
        <v>0.273053436568538</v>
      </c>
      <c r="L27" s="30" t="n">
        <f aca="false">L9*Facility!L12/Facility!L4</f>
        <v>0.273053436568538</v>
      </c>
      <c r="M27" s="30" t="n">
        <f aca="false">M9*Facility!M12/Facility!M4</f>
        <v>0.273053436568538</v>
      </c>
    </row>
    <row r="28" customFormat="false" ht="15" hidden="false" customHeight="false" outlineLevel="0" collapsed="false">
      <c r="A28" s="5" t="s">
        <v>2301</v>
      </c>
      <c r="B28" s="0" t="s">
        <v>2302</v>
      </c>
      <c r="C28" s="0" t="s">
        <v>230</v>
      </c>
      <c r="D28" s="30" t="n">
        <f aca="false">D9*Facility!D13/Facility!D4</f>
        <v>0.184278135566575</v>
      </c>
      <c r="E28" s="30" t="n">
        <f aca="false">E9*Facility!E13/Facility!E4</f>
        <v>0.184278135566575</v>
      </c>
      <c r="F28" s="30" t="n">
        <f aca="false">F9*Facility!F13/Facility!F4</f>
        <v>0.184278135566575</v>
      </c>
      <c r="G28" s="30" t="n">
        <f aca="false">G9*Facility!G13/Facility!G4</f>
        <v>0.184278135566575</v>
      </c>
      <c r="H28" s="30" t="n">
        <f aca="false">H9*Facility!H13/Facility!H4</f>
        <v>0.181975277094579</v>
      </c>
      <c r="I28" s="30" t="n">
        <f aca="false">I9*Facility!I13/Facility!I4</f>
        <v>0.182204987855838</v>
      </c>
      <c r="J28" s="30" t="n">
        <f aca="false">J9*Facility!J13/Facility!J4</f>
        <v>0.182035624379025</v>
      </c>
      <c r="K28" s="30" t="n">
        <f aca="false">K9*Facility!K13/Facility!K4</f>
        <v>0.182035624379025</v>
      </c>
      <c r="L28" s="30" t="n">
        <f aca="false">L9*Facility!L13/Facility!L4</f>
        <v>0.182035624379025</v>
      </c>
      <c r="M28" s="30" t="n">
        <f aca="false">M9*Facility!M13/Facility!M4</f>
        <v>0.182035624379025</v>
      </c>
    </row>
    <row r="29" customFormat="false" ht="15" hidden="false" customHeight="false" outlineLevel="0" collapsed="false">
      <c r="A29" s="5" t="s">
        <v>2303</v>
      </c>
      <c r="B29" s="0" t="s">
        <v>2304</v>
      </c>
      <c r="C29" s="0" t="s">
        <v>230</v>
      </c>
      <c r="D29" s="30" t="n">
        <f aca="false">D9*Facility!D14/Facility!D4</f>
        <v>0.0184278135566587</v>
      </c>
      <c r="E29" s="30" t="n">
        <f aca="false">E9*Facility!E14/Facility!E4</f>
        <v>0.0184278135566587</v>
      </c>
      <c r="F29" s="30" t="n">
        <f aca="false">F9*Facility!F14/Facility!F4</f>
        <v>0.0184278135566587</v>
      </c>
      <c r="G29" s="30" t="n">
        <f aca="false">G9*Facility!G14/Facility!G4</f>
        <v>0.0184278135566587</v>
      </c>
      <c r="H29" s="30" t="n">
        <f aca="false">H9*Facility!H14/Facility!H4</f>
        <v>0.0181975277094592</v>
      </c>
      <c r="I29" s="30" t="n">
        <f aca="false">I9*Facility!I14/Facility!I4</f>
        <v>0.018220498785585</v>
      </c>
      <c r="J29" s="30" t="n">
        <f aca="false">J9*Facility!J14/Facility!J4</f>
        <v>0.0182035624379037</v>
      </c>
      <c r="K29" s="30" t="n">
        <f aca="false">K9*Facility!K14/Facility!K4</f>
        <v>0.0182035624379037</v>
      </c>
      <c r="L29" s="30" t="n">
        <f aca="false">L9*Facility!L14/Facility!L4</f>
        <v>0.0182035624379037</v>
      </c>
      <c r="M29" s="30" t="n">
        <f aca="false">M9*Facility!M14/Facility!M4</f>
        <v>0.0182035624379037</v>
      </c>
    </row>
    <row r="30" customFormat="false" ht="17.15" hidden="false" customHeight="false" outlineLevel="0" collapsed="false">
      <c r="A30" s="5" t="s">
        <v>2305</v>
      </c>
      <c r="B30" s="0" t="s">
        <v>2306</v>
      </c>
      <c r="C30" s="0" t="s">
        <v>230</v>
      </c>
      <c r="D30" s="30" t="n">
        <f aca="false">SUM(D12:D29)</f>
        <v>38.629833744513</v>
      </c>
      <c r="E30" s="30" t="n">
        <f aca="false">SUM(E12:E29)</f>
        <v>38.629833744513</v>
      </c>
      <c r="F30" s="30" t="n">
        <f aca="false">SUM(F12:F29)</f>
        <v>37.4862910698083</v>
      </c>
      <c r="G30" s="30" t="n">
        <f aca="false">SUM(G12:G29)</f>
        <v>43.1273029840416</v>
      </c>
      <c r="H30" s="30" t="n">
        <f aca="false">SUM(H12:H29)</f>
        <v>46.2751762378003</v>
      </c>
      <c r="I30" s="30" t="n">
        <f aca="false">SUM(I12:I29)</f>
        <v>48.5209846706899</v>
      </c>
      <c r="J30" s="30" t="n">
        <f aca="false">SUM(J12:J29)</f>
        <v>48.4688133677891</v>
      </c>
      <c r="K30" s="30" t="n">
        <f aca="false">SUM(K12:K29)</f>
        <v>48.4688133677891</v>
      </c>
      <c r="L30" s="30" t="n">
        <f aca="false">SUM(L12:L29)</f>
        <v>48.4688133677891</v>
      </c>
      <c r="M30" s="30" t="n">
        <f aca="false">SUM(M12:M29)</f>
        <v>48.4688133677891</v>
      </c>
    </row>
    <row r="31" customFormat="false" ht="17.15" hidden="false" customHeight="false" outlineLevel="0" collapsed="false">
      <c r="A31" s="5" t="s">
        <v>2307</v>
      </c>
      <c r="B31" s="0" t="s">
        <v>2308</v>
      </c>
      <c r="C31" s="0" t="s">
        <v>230</v>
      </c>
      <c r="D31" s="30" t="n">
        <f aca="false">Facility!D16*self_sh</f>
        <v>0.4608</v>
      </c>
      <c r="E31" s="30" t="n">
        <f aca="false">Facility!E16*self_sh</f>
        <v>0.4608</v>
      </c>
      <c r="F31" s="30" t="n">
        <f aca="false">Facility!F16*self_sh</f>
        <v>0.4608</v>
      </c>
      <c r="G31" s="30" t="n">
        <f aca="false">Facility!G16*self_sh</f>
        <v>0.4608</v>
      </c>
      <c r="H31" s="30" t="n">
        <f aca="false">Facility!H16*self_sh</f>
        <v>0.4608</v>
      </c>
      <c r="I31" s="30" t="n">
        <f aca="false">Facility!I16*self_sh</f>
        <v>0.4608</v>
      </c>
      <c r="J31" s="30" t="n">
        <f aca="false">Facility!J16*self_sh</f>
        <v>0.4608</v>
      </c>
      <c r="K31" s="30" t="n">
        <f aca="false">Facility!K16*self_sh</f>
        <v>0.4608</v>
      </c>
      <c r="L31" s="30" t="n">
        <f aca="false">Facility!L16*self_sh</f>
        <v>0.4608</v>
      </c>
      <c r="M31" s="30" t="n">
        <f aca="false">Facility!M16*self_sh</f>
        <v>0.4608</v>
      </c>
    </row>
    <row r="32" customFormat="false" ht="17.15" hidden="false" customHeight="false" outlineLevel="0" collapsed="false">
      <c r="A32" s="5" t="s">
        <v>2309</v>
      </c>
      <c r="B32" s="0" t="s">
        <v>2310</v>
      </c>
      <c r="C32" s="5" t="s">
        <v>726</v>
      </c>
      <c r="D32" s="30" t="n">
        <f aca="false">Deploy!D106</f>
        <v>1</v>
      </c>
      <c r="E32" s="30" t="n">
        <f aca="false">Deploy!E106</f>
        <v>1</v>
      </c>
      <c r="F32" s="30" t="n">
        <f aca="false">Deploy!F106</f>
        <v>1</v>
      </c>
      <c r="G32" s="30" t="n">
        <f aca="false">Deploy!G106</f>
        <v>1</v>
      </c>
      <c r="H32" s="30" t="n">
        <f aca="false">Deploy!H106</f>
        <v>0.525958249311963</v>
      </c>
      <c r="I32" s="30" t="n">
        <f aca="false">Deploy!I106</f>
        <v>0.713733180315391</v>
      </c>
      <c r="J32" s="30" t="n">
        <f aca="false">Deploy!J106</f>
        <v>0.233991678355409</v>
      </c>
      <c r="K32" s="30" t="n">
        <f aca="false">Deploy!K106</f>
        <v>0.258425840839579</v>
      </c>
      <c r="L32" s="30" t="n">
        <f aca="false">Deploy!L106</f>
        <v>0.330409911320894</v>
      </c>
      <c r="M32" s="30" t="n">
        <f aca="false">Deploy!M106</f>
        <v>0.541291657904735</v>
      </c>
    </row>
    <row r="33" customFormat="false" ht="17.15" hidden="false" customHeight="false" outlineLevel="0" collapsed="false">
      <c r="A33" s="5" t="s">
        <v>2311</v>
      </c>
      <c r="B33" s="0" t="s">
        <v>2312</v>
      </c>
      <c r="C33" s="0" t="s">
        <v>40</v>
      </c>
      <c r="E33" s="0" t="str">
        <f aca="false">IF(E32&lt;0.35,"情景（覆蓋率 &lt; 0.35）","")</f>
        <v/>
      </c>
      <c r="F33" s="0" t="str">
        <f aca="false">IF(F32&lt;0.35,"情景（覆蓋率 &lt; 0.35）","")</f>
        <v/>
      </c>
      <c r="G33" s="0" t="str">
        <f aca="false">IF(G32&lt;0.35,"情景（覆蓋率 &lt; 0.35）","")</f>
        <v/>
      </c>
      <c r="H33" s="0" t="str">
        <f aca="false">IF(H32&lt;0.35,"情景（覆蓋率 &lt; 0.35）","")</f>
        <v/>
      </c>
      <c r="I33" s="0" t="str">
        <f aca="false">IF(I32&lt;0.35,"情景（覆蓋率 &lt; 0.35）","")</f>
        <v/>
      </c>
      <c r="J33" s="0" t="str">
        <f aca="false">IF(J32&lt;0.35,"情景（覆蓋率 &lt; 0.35）","")</f>
        <v>情景（覆蓋率 &lt; 0.35）</v>
      </c>
      <c r="K33" s="0" t="str">
        <f aca="false">IF(K32&lt;0.35,"情景（覆蓋率 &lt; 0.35）","")</f>
        <v>情景（覆蓋率 &lt; 0.35）</v>
      </c>
    </row>
    <row r="34" customFormat="false" ht="17.15" hidden="false" customHeight="false" outlineLevel="0" collapsed="false">
      <c r="A34" s="5" t="s">
        <v>2313</v>
      </c>
      <c r="D34" s="5" t="s">
        <v>2314</v>
      </c>
    </row>
    <row r="36" customFormat="false" ht="19.4" hidden="false" customHeight="false" outlineLevel="0" collapsed="false">
      <c r="A36" s="35" t="s">
        <v>2315</v>
      </c>
    </row>
    <row r="37" customFormat="false" ht="17.15" hidden="false" customHeight="false" outlineLevel="0" collapsed="false">
      <c r="A37" s="8" t="s">
        <v>2076</v>
      </c>
      <c r="B37" s="21" t="s">
        <v>728</v>
      </c>
      <c r="N37" s="5" t="s">
        <v>2316</v>
      </c>
    </row>
    <row r="38" customFormat="false" ht="17.15" hidden="false" customHeight="false" outlineLevel="0" collapsed="false">
      <c r="A38" s="5" t="s">
        <v>2317</v>
      </c>
      <c r="B38" s="0" t="s">
        <v>1386</v>
      </c>
      <c r="C38" s="0" t="s">
        <v>82</v>
      </c>
      <c r="D38" s="25" t="n">
        <f aca="false">CapexGW!D22</f>
        <v>0</v>
      </c>
      <c r="E38" s="25" t="n">
        <f aca="false">CapexGW!E22</f>
        <v>0</v>
      </c>
      <c r="F38" s="25" t="n">
        <f aca="false">CapexGW!F22</f>
        <v>2.13527</v>
      </c>
      <c r="G38" s="25" t="n">
        <f aca="false">CapexGW!G22</f>
        <v>0.770955</v>
      </c>
      <c r="H38" s="25" t="n">
        <f aca="false">CapexGW!H22</f>
        <v>3.56447576934396</v>
      </c>
      <c r="I38" s="25" t="n">
        <f aca="false">CapexGW!I22</f>
        <v>4.06597876464757</v>
      </c>
      <c r="J38" s="25" t="n">
        <f aca="false">CapexGW!J22</f>
        <v>4.6644209987717</v>
      </c>
      <c r="K38" s="25" t="n">
        <f aca="false">CapexGW!K22</f>
        <v>5.16373564804974</v>
      </c>
      <c r="L38" s="25" t="n">
        <f aca="false">CapexGW!L22</f>
        <v>5.69399073402824</v>
      </c>
      <c r="M38" s="25" t="n">
        <f aca="false">CapexGW!M22</f>
        <v>6.26338980743106</v>
      </c>
      <c r="N38" s="21" t="s">
        <v>2318</v>
      </c>
    </row>
    <row r="39" customFormat="false" ht="17.15" hidden="false" customHeight="false" outlineLevel="0" collapsed="false">
      <c r="A39" s="5" t="s">
        <v>2319</v>
      </c>
      <c r="B39" s="0" t="s">
        <v>1800</v>
      </c>
      <c r="C39" s="0" t="s">
        <v>230</v>
      </c>
      <c r="D39" s="30" t="n">
        <f aca="false">CapexGW!D17</f>
        <v>25.4337277924695</v>
      </c>
      <c r="E39" s="30" t="n">
        <f aca="false">CapexGW!E17</f>
        <v>25.4337277924695</v>
      </c>
      <c r="F39" s="30" t="n">
        <f aca="false">CapexGW!F17</f>
        <v>24.2901851177648</v>
      </c>
      <c r="G39" s="30" t="n">
        <f aca="false">CapexGW!G17</f>
        <v>29.9311970319981</v>
      </c>
      <c r="H39" s="30" t="n">
        <f aca="false">CapexGW!H17</f>
        <v>33.0020089706715</v>
      </c>
      <c r="I39" s="30" t="n">
        <f aca="false">CapexGW!I17</f>
        <v>35.2555042907785</v>
      </c>
      <c r="J39" s="30" t="n">
        <f aca="false">CapexGW!J17</f>
        <v>35.1976655218092</v>
      </c>
      <c r="K39" s="30" t="n">
        <f aca="false">CapexGW!K17</f>
        <v>35.1976655218092</v>
      </c>
      <c r="L39" s="30" t="n">
        <f aca="false">CapexGW!L17</f>
        <v>35.1976655218092</v>
      </c>
      <c r="M39" s="30" t="n">
        <f aca="false">CapexGW!M17</f>
        <v>35.1976655218092</v>
      </c>
    </row>
    <row r="40" customFormat="false" ht="17.15" hidden="false" customHeight="false" outlineLevel="0" collapsed="false">
      <c r="A40" s="5" t="s">
        <v>2320</v>
      </c>
      <c r="B40" s="0" t="s">
        <v>1802</v>
      </c>
      <c r="C40" s="0" t="s">
        <v>230</v>
      </c>
      <c r="D40" s="30" t="n">
        <f aca="false">CapexGW!D18</f>
        <v>11.1609392244584</v>
      </c>
      <c r="E40" s="30" t="n">
        <f aca="false">CapexGW!E18</f>
        <v>11.1609392244584</v>
      </c>
      <c r="F40" s="30" t="n">
        <f aca="false">CapexGW!F18</f>
        <v>11.1609392244584</v>
      </c>
      <c r="G40" s="30" t="n">
        <f aca="false">CapexGW!G18</f>
        <v>11.1609392244584</v>
      </c>
      <c r="H40" s="30" t="n">
        <f aca="false">CapexGW!H18</f>
        <v>10.9398997029418</v>
      </c>
      <c r="I40" s="30" t="n">
        <f aca="false">CapexGW!I18</f>
        <v>10.9619484555566</v>
      </c>
      <c r="J40" s="30" t="n">
        <f aca="false">CapexGW!J18</f>
        <v>10.9456921278958</v>
      </c>
      <c r="K40" s="30" t="n">
        <f aca="false">CapexGW!K18</f>
        <v>10.9456921278958</v>
      </c>
      <c r="L40" s="30" t="n">
        <f aca="false">CapexGW!L18</f>
        <v>10.9456921278958</v>
      </c>
      <c r="M40" s="30" t="n">
        <f aca="false">CapexGW!M18</f>
        <v>10.9456921278958</v>
      </c>
    </row>
    <row r="41" customFormat="false" ht="17.15" hidden="false" customHeight="false" outlineLevel="0" collapsed="false">
      <c r="A41" s="5" t="s">
        <v>2321</v>
      </c>
      <c r="B41" s="0" t="s">
        <v>2322</v>
      </c>
      <c r="C41" s="0" t="s">
        <v>395</v>
      </c>
      <c r="E41" s="33" t="n">
        <f aca="false">E38*(E39+Gap!$D$6*E40)</f>
        <v>0</v>
      </c>
      <c r="F41" s="33" t="n">
        <f aca="false">F38*(F39+Gap!$D$6*F40)</f>
        <v>51.8661035764096</v>
      </c>
      <c r="G41" s="33" t="n">
        <f aca="false">G38*(G39+Gap!$D$6*G40)</f>
        <v>23.0756060078041</v>
      </c>
      <c r="H41" s="33" t="n">
        <f aca="false">H38*(H39+Gap!$D$6*H40)</f>
        <v>117.63486131563</v>
      </c>
      <c r="I41" s="33" t="n">
        <f aca="false">I38*(I39+Gap!$D$6*I40)</f>
        <v>143.348131783247</v>
      </c>
      <c r="J41" s="33" t="n">
        <f aca="false">J38*(J39+Gap!$D$6*J40)</f>
        <v>164.176730167669</v>
      </c>
      <c r="K41" s="33" t="n">
        <f aca="false">K38*(K39+Gap!$D$6*K40)</f>
        <v>181.751440183097</v>
      </c>
    </row>
    <row r="42" customFormat="false" ht="17.15" hidden="false" customHeight="false" outlineLevel="0" collapsed="false">
      <c r="A42" s="5" t="s">
        <v>2323</v>
      </c>
      <c r="B42" s="0" t="s">
        <v>2324</v>
      </c>
      <c r="C42" s="0" t="s">
        <v>395</v>
      </c>
      <c r="E42" s="33" t="n">
        <f aca="false">Gap!$E$6*F38*F40</f>
        <v>11.9158093489046</v>
      </c>
      <c r="F42" s="33" t="n">
        <f aca="false">Gap!$E$6*G38*G40</f>
        <v>4.30229094989615</v>
      </c>
      <c r="G42" s="33" t="n">
        <f aca="false">Gap!$E$6*H38*H40</f>
        <v>19.4975037050947</v>
      </c>
      <c r="H42" s="33" t="n">
        <f aca="false">Gap!$E$6*I38*I40</f>
        <v>22.2855248197271</v>
      </c>
      <c r="I42" s="33" t="n">
        <f aca="false">Gap!$E$6*J38*J40</f>
        <v>25.5276581037236</v>
      </c>
      <c r="J42" s="33" t="n">
        <f aca="false">Gap!$E$6*K38*K40</f>
        <v>28.2603303166965</v>
      </c>
      <c r="K42" s="33" t="n">
        <f aca="false">Gap!$E$6*L38*L40</f>
        <v>31.1623347768823</v>
      </c>
    </row>
    <row r="43" customFormat="false" ht="17.15" hidden="false" customHeight="false" outlineLevel="0" collapsed="false">
      <c r="A43" s="5" t="s">
        <v>2325</v>
      </c>
      <c r="B43" s="0" t="s">
        <v>2326</v>
      </c>
      <c r="C43" s="0" t="s">
        <v>395</v>
      </c>
      <c r="E43" s="33" t="n">
        <f aca="false">Gap!$F$6*G38*G40</f>
        <v>4.30229094989615</v>
      </c>
      <c r="F43" s="33" t="n">
        <f aca="false">Gap!$F$6*H38*H40</f>
        <v>19.4975037050947</v>
      </c>
      <c r="G43" s="33" t="n">
        <f aca="false">Gap!$F$6*I38*I40</f>
        <v>22.2855248197271</v>
      </c>
      <c r="H43" s="33" t="n">
        <f aca="false">Gap!$F$6*J38*J40</f>
        <v>25.5276581037236</v>
      </c>
      <c r="I43" s="33" t="n">
        <f aca="false">Gap!$F$6*K38*K40</f>
        <v>28.2603303166965</v>
      </c>
      <c r="J43" s="33" t="n">
        <f aca="false">Gap!$F$6*L38*L40</f>
        <v>31.1623347768823</v>
      </c>
      <c r="K43" s="33" t="n">
        <f aca="false">Gap!$F$6*M38*M40</f>
        <v>34.2785682545705</v>
      </c>
    </row>
    <row r="44" customFormat="false" ht="17.15" hidden="false" customHeight="false" outlineLevel="0" collapsed="false">
      <c r="A44" s="5" t="s">
        <v>2327</v>
      </c>
      <c r="B44" s="0" t="s">
        <v>2328</v>
      </c>
      <c r="C44" s="0" t="s">
        <v>395</v>
      </c>
      <c r="E44" s="33" t="n">
        <f aca="false">E41+E42+E43</f>
        <v>16.2181002988008</v>
      </c>
      <c r="F44" s="33" t="n">
        <f aca="false">F41+F42+F43</f>
        <v>75.6658982314004</v>
      </c>
      <c r="G44" s="33" t="n">
        <f aca="false">G41+G42+G43</f>
        <v>64.8586345326258</v>
      </c>
      <c r="H44" s="33" t="n">
        <f aca="false">H41+H42+H43</f>
        <v>165.448044239081</v>
      </c>
      <c r="I44" s="33" t="n">
        <f aca="false">I41+I42+I43</f>
        <v>197.136120203667</v>
      </c>
      <c r="J44" s="33" t="n">
        <f aca="false">J41+J42+J43</f>
        <v>223.599395261248</v>
      </c>
      <c r="K44" s="33" t="n">
        <f aca="false">K41+K42+K43</f>
        <v>247.19234321455</v>
      </c>
    </row>
    <row r="45" customFormat="false" ht="17.15" hidden="false" customHeight="false" outlineLevel="0" collapsed="false">
      <c r="A45" s="5" t="s">
        <v>2329</v>
      </c>
      <c r="B45" s="0" t="s">
        <v>2330</v>
      </c>
      <c r="C45" s="0" t="s">
        <v>395</v>
      </c>
      <c r="E45" s="33" t="n">
        <f aca="false">E38*(Gap!E$8+Gap!$D$6*Gap!E$9)</f>
        <v>0</v>
      </c>
      <c r="F45" s="33" t="n">
        <f aca="false">F38*(Gap!F$8+Gap!$D$6*Gap!F$9)</f>
        <v>55.1161682860756</v>
      </c>
      <c r="G45" s="33" t="n">
        <f aca="false">G38*(Gap!G$8+Gap!$D$6*Gap!G$9)</f>
        <v>24.2490658691989</v>
      </c>
      <c r="H45" s="33" t="n">
        <f aca="false">H38*(Gap!H$8+Gap!$D$6*Gap!H$9)</f>
        <v>123.854990811855</v>
      </c>
      <c r="I45" s="33" t="n">
        <f aca="false">I38*(Gap!I$8+Gap!$D$6*Gap!I$9)</f>
        <v>150.352977226427</v>
      </c>
      <c r="J45" s="33" t="n">
        <f aca="false">J38*(Gap!J$8+Gap!$D$6*Gap!J$9)</f>
        <v>172.289049382838</v>
      </c>
      <c r="K45" s="33" t="n">
        <f aca="false">K38*(Gap!K$8+Gap!$D$6*Gap!K$9)</f>
        <v>190.732162963214</v>
      </c>
    </row>
    <row r="46" customFormat="false" ht="17.15" hidden="false" customHeight="false" outlineLevel="0" collapsed="false">
      <c r="A46" s="5" t="s">
        <v>2331</v>
      </c>
      <c r="B46" s="0" t="s">
        <v>2332</v>
      </c>
      <c r="C46" s="0" t="s">
        <v>395</v>
      </c>
      <c r="E46" s="33" t="n">
        <f aca="false">Gap!$E$6*F38*Gap!F$9</f>
        <v>12.463592223277</v>
      </c>
      <c r="F46" s="33" t="n">
        <f aca="false">Gap!$E$6*G38*Gap!G$9</f>
        <v>4.50007200143146</v>
      </c>
      <c r="G46" s="33" t="n">
        <f aca="false">Gap!$E$6*H38*Gap!H$9</f>
        <v>20.5458768049524</v>
      </c>
      <c r="H46" s="33" t="n">
        <f aca="false">Gap!$E$6*I38*Gap!I$9</f>
        <v>23.4661580421943</v>
      </c>
      <c r="I46" s="33" t="n">
        <f aca="false">Gap!$E$6*J38*Gap!J$9</f>
        <v>26.894950737712</v>
      </c>
      <c r="J46" s="33" t="n">
        <f aca="false">Gap!$E$6*K38*Gap!K$9</f>
        <v>29.773988221354</v>
      </c>
      <c r="K46" s="33" t="n">
        <f aca="false">Gap!$E$6*L38*Gap!L$9</f>
        <v>32.8314275947657</v>
      </c>
    </row>
    <row r="47" customFormat="false" ht="17.15" hidden="false" customHeight="false" outlineLevel="0" collapsed="false">
      <c r="A47" s="5" t="s">
        <v>2333</v>
      </c>
      <c r="B47" s="0" t="s">
        <v>2334</v>
      </c>
      <c r="C47" s="0" t="s">
        <v>395</v>
      </c>
      <c r="E47" s="33" t="n">
        <f aca="false">Gap!$F$6*G38*Gap!G$9</f>
        <v>4.50007200143146</v>
      </c>
      <c r="F47" s="33" t="n">
        <f aca="false">Gap!$F$6*H38*Gap!H$9</f>
        <v>20.5458768049524</v>
      </c>
      <c r="G47" s="33" t="n">
        <f aca="false">Gap!$F$6*I38*Gap!I$9</f>
        <v>23.4661580421943</v>
      </c>
      <c r="H47" s="33" t="n">
        <f aca="false">Gap!$F$6*J38*Gap!J$9</f>
        <v>26.894950737712</v>
      </c>
      <c r="I47" s="33" t="n">
        <f aca="false">Gap!$F$6*K38*Gap!K$9</f>
        <v>29.773988221354</v>
      </c>
      <c r="J47" s="33" t="n">
        <f aca="false">Gap!$F$6*L38*Gap!L$9</f>
        <v>32.8314275947657</v>
      </c>
      <c r="K47" s="33" t="n">
        <f aca="false">Gap!$F$6*M38*Gap!M$9</f>
        <v>36.1145703542423</v>
      </c>
    </row>
    <row r="48" customFormat="false" ht="17.15" hidden="false" customHeight="false" outlineLevel="0" collapsed="false">
      <c r="A48" s="5" t="s">
        <v>2335</v>
      </c>
      <c r="B48" s="0" t="s">
        <v>2336</v>
      </c>
      <c r="C48" s="0" t="s">
        <v>395</v>
      </c>
      <c r="D48" s="33" t="str">
        <f aca="false">IF(In!H171&lt;&gt;"",In!H171,"")</f>
        <v/>
      </c>
      <c r="E48" s="33" t="str">
        <f aca="false">IF(In!I171&lt;&gt;"",In!I171,"")</f>
        <v/>
      </c>
      <c r="F48" s="33" t="str">
        <f aca="false">IF(In!J171&lt;&gt;"",In!J171,"")</f>
        <v/>
      </c>
      <c r="G48" s="33" t="n">
        <f aca="false">IF(In!K171&lt;&gt;"",In!K171,"")</f>
        <v>30.184659</v>
      </c>
      <c r="H48" s="33" t="n">
        <f aca="false">IF(In!L171&lt;&gt;"",In!L171,"")</f>
        <v>35.746096</v>
      </c>
      <c r="I48" s="33" t="n">
        <f aca="false">IF(In!M171&lt;&gt;"",In!M171,"")</f>
        <v>41.360407</v>
      </c>
      <c r="J48" s="33" t="n">
        <f aca="false">IF(In!N171&lt;&gt;"",In!N171,"")</f>
        <v>47.060545</v>
      </c>
      <c r="K48" s="33" t="n">
        <f aca="false">IF(In!O171&lt;&gt;"",In!O171,"")</f>
        <v>52.487394</v>
      </c>
      <c r="L48" s="33" t="n">
        <f aca="false">IF(In!P171&lt;&gt;"",In!P171,"")</f>
        <v>57.405715</v>
      </c>
      <c r="M48" s="33" t="n">
        <f aca="false">IF(In!Q171&lt;&gt;"",In!Q171,"")</f>
        <v>61.722477</v>
      </c>
    </row>
    <row r="49" customFormat="false" ht="17.15" hidden="false" customHeight="false" outlineLevel="0" collapsed="false">
      <c r="A49" s="5" t="s">
        <v>2337</v>
      </c>
      <c r="B49" s="0" t="s">
        <v>2338</v>
      </c>
      <c r="C49" s="0" t="s">
        <v>395</v>
      </c>
      <c r="E49" s="33" t="str">
        <f aca="false">IF(OR(E48="",F48=""),"",E48*6/12+F48*6/12)</f>
        <v/>
      </c>
      <c r="F49" s="33" t="str">
        <f aca="false">IF(OR(F48="",G48=""),"",F48*6/12+G48*6/12)</f>
        <v/>
      </c>
      <c r="G49" s="33" t="n">
        <f aca="false">IF(OR(G48="",H48=""),"",G48*6/12+H48*6/12)</f>
        <v>32.9653775</v>
      </c>
      <c r="H49" s="33" t="n">
        <f aca="false">IF(OR(H48="",I48=""),"",H48*6/12+I48*6/12)</f>
        <v>38.5532515</v>
      </c>
      <c r="I49" s="33" t="n">
        <f aca="false">IF(OR(I48="",J48=""),"",I48*6/12+J48*6/12)</f>
        <v>44.210476</v>
      </c>
      <c r="J49" s="33" t="n">
        <f aca="false">IF(OR(J48="",K48=""),"",J48*6/12+K48*6/12)</f>
        <v>49.7739695</v>
      </c>
      <c r="K49" s="33" t="n">
        <f aca="false">IF(OR(K48="",L48=""),"",K48*6/12+L48*6/12)</f>
        <v>54.9465545</v>
      </c>
    </row>
    <row r="50" customFormat="false" ht="17.15" hidden="false" customHeight="false" outlineLevel="0" collapsed="false">
      <c r="A50" s="5" t="s">
        <v>2339</v>
      </c>
      <c r="B50" s="0" t="s">
        <v>2340</v>
      </c>
      <c r="C50" s="0" t="s">
        <v>40</v>
      </c>
      <c r="E50" s="0" t="str">
        <f aca="false">IF(E49&lt;&gt;"","",IF(CapexGW!E15&lt;&gt;"","以 Y2 × (1−AI 占比) 替代（模型無拆分）","無模型值（以 0 計）"))</f>
        <v>以 Y2 × (1−AI 占比) 替代（模型無拆分）</v>
      </c>
      <c r="F50" s="0" t="str">
        <f aca="false">IF(F49&lt;&gt;"","",IF(CapexGW!F15&lt;&gt;"","以 Y2 × (1−AI 占比) 替代（模型無拆分）","無模型值（以 0 計）"))</f>
        <v>以 Y2 × (1−AI 占比) 替代（模型無拆分）</v>
      </c>
      <c r="G50" s="0" t="str">
        <f aca="false">IF(G49&lt;&gt;"","",IF(CapexGW!G15&lt;&gt;"","以 Y2 × (1−AI 占比) 替代（模型無拆分）","無模型值（以 0 計）"))</f>
        <v/>
      </c>
      <c r="H50" s="0" t="str">
        <f aca="false">IF(H49&lt;&gt;"","",IF(CapexGW!H15&lt;&gt;"","以 Y2 × (1−AI 占比) 替代（模型無拆分）","無模型值（以 0 計）"))</f>
        <v/>
      </c>
      <c r="I50" s="0" t="str">
        <f aca="false">IF(I49&lt;&gt;"","",IF(CapexGW!I15&lt;&gt;"","以 Y2 × (1−AI 占比) 替代（模型無拆分）","無模型值（以 0 計）"))</f>
        <v/>
      </c>
      <c r="J50" s="0" t="str">
        <f aca="false">IF(J49&lt;&gt;"","",IF(CapexGW!J15&lt;&gt;"","以 Y2 × (1−AI 占比) 替代（模型無拆分）","無模型值（以 0 計）"))</f>
        <v/>
      </c>
      <c r="K50" s="0" t="str">
        <f aca="false">IF(K49&lt;&gt;"","",IF(CapexGW!K15&lt;&gt;"","以 Y2 × (1−AI 占比) 替代（模型無拆分）","無模型值（以 0 計）"))</f>
        <v/>
      </c>
      <c r="N50" s="0" t="s">
        <v>2341</v>
      </c>
    </row>
    <row r="51" customFormat="false" ht="17.15" hidden="false" customHeight="false" outlineLevel="0" collapsed="false">
      <c r="A51" s="5" t="s">
        <v>2342</v>
      </c>
      <c r="B51" s="0" t="s">
        <v>2343</v>
      </c>
      <c r="C51" s="0" t="s">
        <v>395</v>
      </c>
      <c r="E51" s="33" t="n">
        <f aca="false">IF(E49&lt;&gt;"",E49,IF(CapexGW!E15&lt;&gt;"",CapexGW!E15*(1-ai_sh),0))</f>
        <v>8.1771</v>
      </c>
      <c r="F51" s="33" t="n">
        <f aca="false">IF(F49&lt;&gt;"",F49,IF(CapexGW!F15&lt;&gt;"",CapexGW!F15*(1-ai_sh),0))</f>
        <v>13.537425</v>
      </c>
      <c r="G51" s="33" t="n">
        <f aca="false">IF(G49&lt;&gt;"",G49,IF(CapexGW!G15&lt;&gt;"",CapexGW!G15*(1-ai_sh),0))</f>
        <v>32.9653775</v>
      </c>
      <c r="H51" s="33" t="n">
        <f aca="false">IF(H49&lt;&gt;"",H49,IF(CapexGW!H15&lt;&gt;"",CapexGW!H15*(1-ai_sh),0))</f>
        <v>38.5532515</v>
      </c>
      <c r="I51" s="33" t="n">
        <f aca="false">IF(I49&lt;&gt;"",I49,IF(CapexGW!I15&lt;&gt;"",CapexGW!I15*(1-ai_sh),0))</f>
        <v>44.210476</v>
      </c>
      <c r="J51" s="33" t="n">
        <f aca="false">IF(J49&lt;&gt;"",J49,IF(CapexGW!J15&lt;&gt;"",CapexGW!J15*(1-ai_sh),0))</f>
        <v>49.7739695</v>
      </c>
      <c r="K51" s="33" t="n">
        <f aca="false">IF(K49&lt;&gt;"",K49,IF(CapexGW!K15&lt;&gt;"",CapexGW!K15*(1-ai_sh),0))</f>
        <v>54.9465545</v>
      </c>
    </row>
    <row r="52" customFormat="false" ht="15" hidden="false" customHeight="false" outlineLevel="0" collapsed="false">
      <c r="A52" s="5" t="s">
        <v>2344</v>
      </c>
      <c r="B52" s="0" t="s">
        <v>2345</v>
      </c>
      <c r="C52" s="0" t="s">
        <v>395</v>
      </c>
      <c r="D52" s="33" t="str">
        <f aca="false">IF(In!H172&lt;&gt;"",In!H172,"")</f>
        <v/>
      </c>
      <c r="E52" s="33" t="str">
        <f aca="false">IF(In!I172&lt;&gt;"",In!I172,"")</f>
        <v/>
      </c>
      <c r="F52" s="33" t="str">
        <f aca="false">IF(In!J172&lt;&gt;"",In!J172,"")</f>
        <v/>
      </c>
      <c r="G52" s="33" t="n">
        <f aca="false">IF(In!K172&lt;&gt;"",In!K172,"")</f>
        <v>145.3</v>
      </c>
      <c r="H52" s="33" t="n">
        <f aca="false">IF(In!L172&lt;&gt;"",In!L172,"")</f>
        <v>204.2</v>
      </c>
      <c r="I52" s="33" t="n">
        <f aca="false">IF(In!M172&lt;&gt;"",In!M172,"")</f>
        <v>233.304883</v>
      </c>
      <c r="J52" s="33" t="n">
        <f aca="false">IF(In!N172&lt;&gt;"",In!N172,"")</f>
        <v>243.866549</v>
      </c>
      <c r="K52" s="33" t="n">
        <f aca="false">IF(In!O172&lt;&gt;"",In!O172,"")</f>
        <v>221.102227</v>
      </c>
      <c r="L52" s="33" t="n">
        <f aca="false">IF(In!P172&lt;&gt;"",In!P172,"")</f>
        <v>186.335646</v>
      </c>
      <c r="M52" s="33" t="n">
        <f aca="false">IF(In!Q172&lt;&gt;"",In!Q172,"")</f>
        <v>180.68533</v>
      </c>
    </row>
    <row r="53" customFormat="false" ht="15" hidden="false" customHeight="false" outlineLevel="0" collapsed="false">
      <c r="A53" s="5" t="s">
        <v>2346</v>
      </c>
      <c r="B53" s="0" t="s">
        <v>2347</v>
      </c>
      <c r="C53" s="0" t="s">
        <v>395</v>
      </c>
      <c r="E53" s="33" t="str">
        <f aca="false">IF(OR(E52="",F52=""),"",E52*6/12+F52*6/12)</f>
        <v/>
      </c>
      <c r="F53" s="33" t="str">
        <f aca="false">IF(OR(F52="",G52=""),"",F52*6/12+G52*6/12)</f>
        <v/>
      </c>
      <c r="G53" s="33" t="n">
        <f aca="false">IF(OR(G52="",H52=""),"",G52*6/12+H52*6/12)</f>
        <v>174.75</v>
      </c>
      <c r="H53" s="33" t="n">
        <f aca="false">IF(OR(H52="",I52=""),"",H52*6/12+I52*6/12)</f>
        <v>218.7524415</v>
      </c>
      <c r="I53" s="33" t="n">
        <f aca="false">IF(OR(I52="",J52=""),"",I52*6/12+J52*6/12)</f>
        <v>238.585716</v>
      </c>
      <c r="J53" s="33" t="n">
        <f aca="false">IF(OR(J52="",K52=""),"",J52*6/12+K52*6/12)</f>
        <v>232.484388</v>
      </c>
      <c r="K53" s="33" t="n">
        <f aca="false">IF(OR(K52="",L52=""),"",K52*6/12+L52*6/12)</f>
        <v>203.7189365</v>
      </c>
    </row>
    <row r="54" customFormat="false" ht="17.15" hidden="false" customHeight="false" outlineLevel="0" collapsed="false">
      <c r="A54" s="5" t="s">
        <v>2348</v>
      </c>
      <c r="B54" s="0" t="s">
        <v>2349</v>
      </c>
      <c r="C54" s="0" t="s">
        <v>395</v>
      </c>
      <c r="D54" s="33" t="str">
        <f aca="false">IF(In!H170&lt;&gt;"",In!H170,"")</f>
        <v/>
      </c>
      <c r="E54" s="33" t="str">
        <f aca="false">IF(In!I170&lt;&gt;"",In!I170,"")</f>
        <v/>
      </c>
      <c r="F54" s="33" t="str">
        <f aca="false">IF(In!J170&lt;&gt;"",In!J170,"")</f>
        <v/>
      </c>
      <c r="G54" s="33" t="str">
        <f aca="false">IF(In!K170&lt;&gt;"",In!K170,"")</f>
        <v/>
      </c>
      <c r="H54" s="33" t="n">
        <f aca="false">IF(In!L170&lt;&gt;"",In!L170,"")</f>
        <v>168.453904</v>
      </c>
      <c r="I54" s="33" t="n">
        <f aca="false">IF(In!M170&lt;&gt;"",In!M170,"")</f>
        <v>191.944476</v>
      </c>
      <c r="J54" s="33" t="n">
        <f aca="false">IF(In!N170&lt;&gt;"",In!N170,"")</f>
        <v>196.806004</v>
      </c>
      <c r="K54" s="33" t="n">
        <f aca="false">IF(In!O170&lt;&gt;"",In!O170,"")</f>
        <v>168.614834</v>
      </c>
      <c r="L54" s="33" t="n">
        <f aca="false">IF(In!P170&lt;&gt;"",In!P170,"")</f>
        <v>128.929931</v>
      </c>
      <c r="M54" s="33" t="n">
        <f aca="false">IF(In!Q170&lt;&gt;"",In!Q170,"")</f>
        <v>118.962853</v>
      </c>
    </row>
    <row r="55" customFormat="false" ht="17.15" hidden="false" customHeight="false" outlineLevel="0" collapsed="false">
      <c r="A55" s="5" t="s">
        <v>2350</v>
      </c>
      <c r="B55" s="0" t="s">
        <v>2351</v>
      </c>
      <c r="C55" s="0" t="s">
        <v>395</v>
      </c>
      <c r="E55" s="33" t="str">
        <f aca="false">IF(OR(E54="",F54=""),"",E54*6/12+F54*6/12)</f>
        <v/>
      </c>
      <c r="F55" s="33" t="str">
        <f aca="false">IF(OR(F54="",G54=""),"",F54*6/12+G54*6/12)</f>
        <v/>
      </c>
      <c r="G55" s="33" t="str">
        <f aca="false">IF(OR(G54="",H54=""),"",G54*6/12+H54*6/12)</f>
        <v/>
      </c>
      <c r="H55" s="33" t="n">
        <f aca="false">IF(OR(H54="",I54=""),"",H54*6/12+I54*6/12)</f>
        <v>180.19919</v>
      </c>
      <c r="I55" s="33" t="n">
        <f aca="false">IF(OR(I54="",J54=""),"",I54*6/12+J54*6/12)</f>
        <v>194.37524</v>
      </c>
      <c r="J55" s="33" t="n">
        <f aca="false">IF(OR(J54="",K54=""),"",J54*6/12+K54*6/12)</f>
        <v>182.710419</v>
      </c>
      <c r="K55" s="33" t="n">
        <f aca="false">IF(OR(K54="",L54=""),"",K54*6/12+L54*6/12)</f>
        <v>148.7723825</v>
      </c>
    </row>
    <row r="56" customFormat="false" ht="17.15" hidden="false" customHeight="false" outlineLevel="0" collapsed="false">
      <c r="A56" s="5" t="s">
        <v>2352</v>
      </c>
      <c r="B56" s="0" t="s">
        <v>2353</v>
      </c>
      <c r="C56" s="0" t="s">
        <v>395</v>
      </c>
      <c r="E56" s="33" t="n">
        <f aca="false">CapexGW!E16</f>
        <v>46.3369</v>
      </c>
      <c r="F56" s="33" t="n">
        <f aca="false">CapexGW!F16</f>
        <v>76.712075</v>
      </c>
      <c r="G56" s="33" t="n">
        <f aca="false">CapexGW!G16</f>
        <v>131.229375</v>
      </c>
      <c r="H56" s="33" t="n">
        <f aca="false">CapexGW!H16</f>
        <v>174.08595</v>
      </c>
      <c r="I56" s="33" t="n">
        <f aca="false">CapexGW!I16</f>
        <v>198.883</v>
      </c>
      <c r="J56" s="33" t="n">
        <f aca="false">CapexGW!J16</f>
        <v>224.1719025</v>
      </c>
      <c r="K56" s="33" t="n">
        <f aca="false">CapexGW!K16</f>
        <v>246.58909275</v>
      </c>
    </row>
    <row r="57" customFormat="false" ht="17.15" hidden="false" customHeight="false" outlineLevel="0" collapsed="false">
      <c r="A57" s="5" t="s">
        <v>2354</v>
      </c>
      <c r="B57" s="0" t="s">
        <v>2355</v>
      </c>
      <c r="C57" s="0" t="s">
        <v>395</v>
      </c>
      <c r="D57" s="33" t="str">
        <f aca="false">IF(In!H169&lt;&gt;"",In!H169,"")</f>
        <v/>
      </c>
      <c r="E57" s="33" t="str">
        <f aca="false">IF(In!I169&lt;&gt;"",In!I169,IF(Funding!E5&lt;&gt;"",Funding!E5,""))</f>
        <v/>
      </c>
      <c r="F57" s="33" t="n">
        <f aca="false">IF(In!J169&lt;&gt;"",In!J169,IF(Funding!E6&lt;&gt;"",Funding!E6,""))</f>
        <v>136.162</v>
      </c>
      <c r="G57" s="33" t="n">
        <f aca="false">IF(In!K169&lt;&gt;"",In!K169,IF(Funding!E7&lt;&gt;"",Funding!E7,""))</f>
        <v>182.935</v>
      </c>
      <c r="H57" s="33" t="n">
        <f aca="false">IF(In!L169&lt;&gt;"",In!L169,"")</f>
        <v>219.596057</v>
      </c>
      <c r="I57" s="33" t="n">
        <f aca="false">IF(In!M169&lt;&gt;"",In!M169,"")</f>
        <v>260.705052</v>
      </c>
      <c r="J57" s="33" t="n">
        <f aca="false">IF(In!N169&lt;&gt;"",In!N169,"")</f>
        <v>310.137015</v>
      </c>
      <c r="K57" s="33" t="n">
        <f aca="false">IF(In!O169&lt;&gt;"",In!O169,"")</f>
        <v>355.724839</v>
      </c>
      <c r="L57" s="33" t="n">
        <f aca="false">IF(In!P169&lt;&gt;"",In!P169,"")</f>
        <v>392.810261</v>
      </c>
      <c r="M57" s="33" t="n">
        <f aca="false">IF(In!Q169&lt;&gt;"",In!Q169,"")</f>
        <v>422.415737</v>
      </c>
    </row>
    <row r="58" customFormat="false" ht="17.15" hidden="false" customHeight="false" outlineLevel="0" collapsed="false">
      <c r="A58" s="5" t="s">
        <v>2356</v>
      </c>
      <c r="B58" s="0" t="s">
        <v>2357</v>
      </c>
      <c r="C58" s="0" t="s">
        <v>40</v>
      </c>
      <c r="D58" s="0" t="str">
        <f aca="false">IF(In!H169&lt;&gt;"","模型",IF(D57&lt;&gt;"","Funding 觀測","無模型值"))</f>
        <v>無模型值</v>
      </c>
      <c r="E58" s="0" t="str">
        <f aca="false">IF(In!I169&lt;&gt;"","模型",IF(E57&lt;&gt;"","Funding 觀測","無模型值"))</f>
        <v>無模型值</v>
      </c>
      <c r="F58" s="0" t="str">
        <f aca="false">IF(In!J169&lt;&gt;"","模型",IF(F57&lt;&gt;"","Funding 觀測","無模型值"))</f>
        <v>Funding 觀測</v>
      </c>
      <c r="G58" s="0" t="str">
        <f aca="false">IF(In!K169&lt;&gt;"","模型",IF(G57&lt;&gt;"","Funding 觀測","無模型值"))</f>
        <v>模型</v>
      </c>
      <c r="H58" s="0" t="str">
        <f aca="false">IF(In!L169&lt;&gt;"","模型",IF(H57&lt;&gt;"","Funding 觀測","無模型值"))</f>
        <v>模型</v>
      </c>
      <c r="I58" s="0" t="str">
        <f aca="false">IF(In!M169&lt;&gt;"","模型",IF(I57&lt;&gt;"","Funding 觀測","無模型值"))</f>
        <v>模型</v>
      </c>
      <c r="J58" s="0" t="str">
        <f aca="false">IF(In!N169&lt;&gt;"","模型",IF(J57&lt;&gt;"","Funding 觀測","無模型值"))</f>
        <v>模型</v>
      </c>
      <c r="K58" s="0" t="str">
        <f aca="false">IF(In!O169&lt;&gt;"","模型",IF(K57&lt;&gt;"","Funding 觀測","無模型值"))</f>
        <v>模型</v>
      </c>
      <c r="L58" s="0" t="str">
        <f aca="false">IF(In!P169&lt;&gt;"","模型",IF(L57&lt;&gt;"","Funding 觀測","無模型值"))</f>
        <v>模型</v>
      </c>
      <c r="M58" s="0" t="str">
        <f aca="false">IF(In!Q169&lt;&gt;"","模型",IF(M57&lt;&gt;"","Funding 觀測","無模型值"))</f>
        <v>模型</v>
      </c>
    </row>
    <row r="59" customFormat="false" ht="15" hidden="false" customHeight="false" outlineLevel="0" collapsed="false">
      <c r="A59" s="5" t="s">
        <v>2358</v>
      </c>
      <c r="B59" s="0" t="s">
        <v>2359</v>
      </c>
      <c r="C59" s="0" t="s">
        <v>395</v>
      </c>
      <c r="E59" s="40" t="str">
        <f aca="false">IF(OR(E57="",F57=""),"",E57*6/12+F57*6/12)</f>
        <v/>
      </c>
      <c r="F59" s="40" t="n">
        <f aca="false">IF(OR(F57="",G57=""),"",F57*6/12+G57*6/12)</f>
        <v>159.5485</v>
      </c>
      <c r="G59" s="40" t="n">
        <f aca="false">IF(OR(G57="",H57=""),"",G57*6/12+H57*6/12)</f>
        <v>201.2655285</v>
      </c>
      <c r="H59" s="40" t="n">
        <f aca="false">IF(OR(H57="",I57=""),"",H57*6/12+I57*6/12)</f>
        <v>240.1505545</v>
      </c>
      <c r="I59" s="40" t="n">
        <f aca="false">IF(OR(I57="",J57=""),"",I57*6/12+J57*6/12)</f>
        <v>285.4210335</v>
      </c>
      <c r="J59" s="40" t="n">
        <f aca="false">IF(OR(J57="",K57=""),"",J57*6/12+K57*6/12)</f>
        <v>332.930927</v>
      </c>
      <c r="K59" s="40" t="n">
        <f aca="false">IF(OR(K57="",L57=""),"",K57*6/12+L57*6/12)</f>
        <v>374.26755</v>
      </c>
    </row>
    <row r="60" customFormat="false" ht="17.15" hidden="false" customHeight="false" outlineLevel="0" collapsed="false">
      <c r="A60" s="5" t="s">
        <v>2360</v>
      </c>
      <c r="B60" s="0" t="s">
        <v>2361</v>
      </c>
      <c r="C60" s="0" t="s">
        <v>40</v>
      </c>
      <c r="E60" s="0" t="str">
        <f aca="false">IF(AND(ABS(E44)&lt;0.000000001,E59&lt;&gt;"",ISNUMBER(E55)),IF(N(E55)&gt;0,"模型值替代（無 GW 證據）",""),"")</f>
        <v/>
      </c>
      <c r="F60" s="0" t="str">
        <f aca="false">IF(AND(ABS(F44)&lt;0.000000001,F59&lt;&gt;"",ISNUMBER(F55)),IF(N(F55)&gt;0,"模型值替代（無 GW 證據）",""),"")</f>
        <v/>
      </c>
      <c r="G60" s="0" t="str">
        <f aca="false">IF(AND(ABS(G44)&lt;0.000000001,G59&lt;&gt;"",ISNUMBER(G55)),IF(N(G55)&gt;0,"模型值替代（無 GW 證據）",""),"")</f>
        <v/>
      </c>
      <c r="H60" s="0" t="str">
        <f aca="false">IF(AND(ABS(H44)&lt;0.000000001,H59&lt;&gt;"",ISNUMBER(H55)),IF(N(H55)&gt;0,"模型值替代（無 GW 證據）",""),"")</f>
        <v/>
      </c>
      <c r="I60" s="0" t="str">
        <f aca="false">IF(AND(ABS(I44)&lt;0.000000001,I59&lt;&gt;"",ISNUMBER(I55)),IF(N(I55)&gt;0,"模型值替代（無 GW 證據）",""),"")</f>
        <v/>
      </c>
      <c r="J60" s="0" t="str">
        <f aca="false">IF(AND(ABS(J44)&lt;0.000000001,J59&lt;&gt;"",ISNUMBER(J55)),IF(N(J55)&gt;0,"模型值替代（無 GW 證據）",""),"")</f>
        <v/>
      </c>
      <c r="K60" s="0" t="str">
        <f aca="false">IF(AND(ABS(K44)&lt;0.000000001,K59&lt;&gt;"",ISNUMBER(K55)),IF(N(K55)&gt;0,"模型值替代（無 GW 證據）",""),"")</f>
        <v/>
      </c>
      <c r="N60" s="5" t="s">
        <v>2362</v>
      </c>
    </row>
    <row r="61" customFormat="false" ht="17.15" hidden="false" customHeight="false" outlineLevel="0" collapsed="false">
      <c r="A61" s="5" t="s">
        <v>2363</v>
      </c>
      <c r="B61" s="0" t="s">
        <v>1798</v>
      </c>
      <c r="C61" s="0" t="s">
        <v>395</v>
      </c>
      <c r="E61" s="40" t="n">
        <f aca="false">IF(E60&lt;&gt;"",E55,E44)</f>
        <v>16.2181002988008</v>
      </c>
      <c r="F61" s="40" t="n">
        <f aca="false">IF(F60&lt;&gt;"",F55,F44)</f>
        <v>75.6658982314004</v>
      </c>
      <c r="G61" s="40" t="n">
        <f aca="false">IF(G60&lt;&gt;"",G55,G44)</f>
        <v>64.8586345326258</v>
      </c>
      <c r="H61" s="40" t="n">
        <f aca="false">IF(H60&lt;&gt;"",H55,H44)</f>
        <v>165.448044239081</v>
      </c>
      <c r="I61" s="40" t="n">
        <f aca="false">IF(I60&lt;&gt;"",I55,I44)</f>
        <v>197.136120203667</v>
      </c>
      <c r="J61" s="40" t="n">
        <f aca="false">IF(J60&lt;&gt;"",J55,J44)</f>
        <v>223.599395261248</v>
      </c>
      <c r="K61" s="40" t="n">
        <f aca="false">IF(K60&lt;&gt;"",K55,K44)</f>
        <v>247.19234321455</v>
      </c>
    </row>
    <row r="62" customFormat="false" ht="17.15" hidden="false" customHeight="false" outlineLevel="0" collapsed="false">
      <c r="A62" s="5" t="s">
        <v>2364</v>
      </c>
      <c r="B62" s="0" t="s">
        <v>2365</v>
      </c>
      <c r="C62" s="0" t="s">
        <v>395</v>
      </c>
      <c r="E62" s="33" t="n">
        <f aca="false">E61</f>
        <v>16.2181002988008</v>
      </c>
      <c r="F62" s="33" t="n">
        <f aca="false">F61</f>
        <v>75.6658982314004</v>
      </c>
      <c r="G62" s="33" t="n">
        <f aca="false">G61</f>
        <v>64.8586345326258</v>
      </c>
      <c r="H62" s="33" t="n">
        <f aca="false">IF(ISNUMBER(H55),H55,H61)</f>
        <v>180.19919</v>
      </c>
      <c r="I62" s="33" t="n">
        <f aca="false">IF(ISNUMBER(I55),I55,I61)</f>
        <v>194.37524</v>
      </c>
      <c r="J62" s="33" t="n">
        <f aca="false">IF(ISNUMBER(J55),J55,J61)</f>
        <v>182.710419</v>
      </c>
      <c r="K62" s="33" t="n">
        <f aca="false">IF(ISNUMBER(K55),K55,K61)</f>
        <v>148.7723825</v>
      </c>
    </row>
    <row r="63" customFormat="false" ht="15" hidden="false" customHeight="false" outlineLevel="0" collapsed="false">
      <c r="A63" s="5" t="s">
        <v>2366</v>
      </c>
      <c r="B63" s="0" t="s">
        <v>2367</v>
      </c>
      <c r="C63" s="0" t="s">
        <v>395</v>
      </c>
      <c r="D63" s="33" t="str">
        <f aca="false">IF(In!H173&lt;&gt;"",In!H173,"")</f>
        <v/>
      </c>
      <c r="E63" s="33" t="n">
        <f aca="false">IF(In!I173&lt;&gt;"",In!I173,IF(Funding!T5&lt;&gt;"",Funding!T5,""))</f>
        <v>39.025</v>
      </c>
      <c r="F63" s="33" t="n">
        <f aca="false">IF(In!J173&lt;&gt;"",In!J173,IF(Funding!T6&lt;&gt;"",Funding!T6,""))</f>
        <v>42.502</v>
      </c>
      <c r="G63" s="33" t="n">
        <f aca="false">IF(In!K173&lt;&gt;"",In!K173,IF(Funding!T7&lt;&gt;"",Funding!T7,""))</f>
        <v>48.716</v>
      </c>
      <c r="H63" s="33" t="n">
        <f aca="false">IF(In!L173&lt;&gt;"",In!L173,"")</f>
        <v>28.864787</v>
      </c>
      <c r="I63" s="33" t="n">
        <f aca="false">IF(In!M173&lt;&gt;"",In!M173,"")</f>
        <v>31.066535</v>
      </c>
      <c r="J63" s="33" t="n">
        <f aca="false">IF(In!N173&lt;&gt;"",In!N173,"")</f>
        <v>56.024937</v>
      </c>
      <c r="K63" s="33" t="n">
        <f aca="false">IF(In!O173&lt;&gt;"",In!O173,"")</f>
        <v>58.77569</v>
      </c>
      <c r="L63" s="33" t="n">
        <f aca="false">IF(In!P173&lt;&gt;"",In!P173,"")</f>
        <v>61.763963</v>
      </c>
      <c r="M63" s="33" t="n">
        <f aca="false">IF(In!Q173&lt;&gt;"",In!Q173,"")</f>
        <v>65.010155</v>
      </c>
    </row>
    <row r="64" customFormat="false" ht="15" hidden="false" customHeight="false" outlineLevel="0" collapsed="false">
      <c r="A64" s="5" t="s">
        <v>2368</v>
      </c>
      <c r="B64" s="0" t="s">
        <v>2369</v>
      </c>
      <c r="C64" s="0" t="s">
        <v>395</v>
      </c>
      <c r="E64" s="33" t="n">
        <f aca="false">IF(OR(E63="",F63=""),"",E63*6/12+F63*6/12)</f>
        <v>40.7635</v>
      </c>
      <c r="F64" s="33" t="n">
        <f aca="false">IF(OR(F63="",G63=""),"",F63*6/12+G63*6/12)</f>
        <v>45.609</v>
      </c>
      <c r="G64" s="33" t="n">
        <f aca="false">IF(OR(G63="",H63=""),"",G63*6/12+H63*6/12)</f>
        <v>38.7903935</v>
      </c>
      <c r="H64" s="33" t="n">
        <f aca="false">IF(OR(H63="",I63=""),"",H63*6/12+I63*6/12)</f>
        <v>29.965661</v>
      </c>
      <c r="I64" s="33" t="n">
        <f aca="false">IF(OR(I63="",J63=""),"",I63*6/12+J63*6/12)</f>
        <v>43.545736</v>
      </c>
      <c r="J64" s="33" t="n">
        <f aca="false">IF(OR(J63="",K63=""),"",J63*6/12+K63*6/12)</f>
        <v>57.4003135</v>
      </c>
      <c r="K64" s="33" t="n">
        <f aca="false">IF(OR(K63="",L63=""),"",K63*6/12+L63*6/12)</f>
        <v>60.2698265</v>
      </c>
    </row>
    <row r="65" customFormat="false" ht="17.15" hidden="false" customHeight="false" outlineLevel="0" collapsed="false">
      <c r="A65" s="5" t="s">
        <v>2370</v>
      </c>
      <c r="B65" s="0" t="s">
        <v>2371</v>
      </c>
      <c r="C65" s="0" t="s">
        <v>395</v>
      </c>
      <c r="E65" s="33" t="n">
        <f aca="false">E61+E51</f>
        <v>24.3952002988008</v>
      </c>
      <c r="F65" s="33" t="n">
        <f aca="false">F61+F51</f>
        <v>89.2033232314004</v>
      </c>
      <c r="G65" s="33" t="n">
        <f aca="false">G61+G51</f>
        <v>97.8240120326258</v>
      </c>
      <c r="H65" s="33" t="n">
        <f aca="false">H61+H51</f>
        <v>204.001295739081</v>
      </c>
      <c r="I65" s="33" t="n">
        <f aca="false">I61+I51</f>
        <v>241.346596203667</v>
      </c>
      <c r="J65" s="33" t="n">
        <f aca="false">J61+J51</f>
        <v>273.373364761248</v>
      </c>
      <c r="K65" s="33" t="n">
        <f aca="false">K61+K51</f>
        <v>302.13889771455</v>
      </c>
    </row>
    <row r="66" customFormat="false" ht="17.15" hidden="false" customHeight="false" outlineLevel="0" collapsed="false">
      <c r="A66" s="5" t="s">
        <v>2372</v>
      </c>
      <c r="B66" s="0" t="s">
        <v>2373</v>
      </c>
      <c r="C66" s="0" t="s">
        <v>41</v>
      </c>
      <c r="E66" s="30" t="str">
        <f aca="false">IF(OR(E59="",E65&lt;=0),"",E59/E65)</f>
        <v/>
      </c>
      <c r="F66" s="30" t="n">
        <f aca="false">IF(OR(F59="",F65&lt;=0),"",F59/F65)</f>
        <v>1.78859367813146</v>
      </c>
      <c r="G66" s="30" t="n">
        <f aca="false">IF(OR(G59="",G65&lt;=0),"",G59/G65)</f>
        <v>2.05742459666114</v>
      </c>
      <c r="H66" s="30" t="n">
        <f aca="false">IF(OR(H59="",H65&lt;=0),"",H59/H65)</f>
        <v>1.17720112330636</v>
      </c>
      <c r="I66" s="30" t="n">
        <f aca="false">IF(OR(I59="",I65&lt;=0),"",I59/I65)</f>
        <v>1.1826188477054</v>
      </c>
      <c r="J66" s="30" t="n">
        <f aca="false">IF(OR(J59="",J65&lt;=0),"",J59/J65)</f>
        <v>1.21786161314862</v>
      </c>
      <c r="K66" s="30" t="n">
        <f aca="false">IF(OR(K59="",K65&lt;=0),"",K59/K65)</f>
        <v>1.23872680025991</v>
      </c>
    </row>
    <row r="67" customFormat="false" ht="17.15" hidden="false" customHeight="false" outlineLevel="0" collapsed="false">
      <c r="A67" s="5" t="s">
        <v>2374</v>
      </c>
      <c r="B67" s="0" t="s">
        <v>2375</v>
      </c>
      <c r="C67" s="0" t="s">
        <v>395</v>
      </c>
      <c r="E67" s="40" t="str">
        <f aca="false">IF(E59="","",E65-E59)</f>
        <v/>
      </c>
      <c r="F67" s="40" t="n">
        <f aca="false">IF(F59="","",F65-F59)</f>
        <v>-70.3451767685996</v>
      </c>
      <c r="G67" s="40" t="n">
        <f aca="false">IF(G59="","",G65-G59)</f>
        <v>-103.441516467374</v>
      </c>
      <c r="H67" s="40" t="n">
        <f aca="false">IF(H59="","",H65-H59)</f>
        <v>-36.1492587609188</v>
      </c>
      <c r="I67" s="40" t="n">
        <f aca="false">IF(I59="","",I65-I59)</f>
        <v>-44.0744372963331</v>
      </c>
      <c r="J67" s="40" t="n">
        <f aca="false">IF(J59="","",J65-J59)</f>
        <v>-59.5575622387518</v>
      </c>
      <c r="K67" s="40" t="n">
        <f aca="false">IF(K59="","",K65-K59)</f>
        <v>-72.12865228545</v>
      </c>
    </row>
    <row r="68" customFormat="false" ht="17.15" hidden="false" customHeight="false" outlineLevel="0" collapsed="false">
      <c r="A68" s="5" t="s">
        <v>2376</v>
      </c>
      <c r="B68" s="0" t="s">
        <v>2377</v>
      </c>
      <c r="C68" s="0" t="s">
        <v>395</v>
      </c>
      <c r="E68" s="40" t="n">
        <f aca="false">N(Funding!AL5)*6/12+N(Funding!AL6)*6/12</f>
        <v>22.453</v>
      </c>
      <c r="F68" s="40" t="n">
        <f aca="false">N(Funding!AL6)*6/12+N(Funding!AL7)*6/12</f>
        <v>22.5595</v>
      </c>
    </row>
    <row r="69" customFormat="false" ht="17.15" hidden="false" customHeight="false" outlineLevel="0" collapsed="false">
      <c r="A69" s="5" t="s">
        <v>2378</v>
      </c>
      <c r="B69" s="0" t="s">
        <v>2379</v>
      </c>
      <c r="C69" s="0" t="s">
        <v>395</v>
      </c>
      <c r="E69" s="33" t="n">
        <f aca="false">(N(Funding!J5)+N(Funding!K5)+N(Funding!L5)+N(Funding!M5))*6/12+(N(Funding!J6)+N(Funding!K6)+N(Funding!L6)+N(Funding!M6))*6/12</f>
        <v>12.1975</v>
      </c>
      <c r="F69" s="33" t="n">
        <f aca="false">(N(Funding!J6)+N(Funding!K6)+N(Funding!L6)+N(Funding!M6))*6/12+(N(Funding!J7)+N(Funding!K7)+N(Funding!L7)+N(Funding!M7))*6/12</f>
        <v>0</v>
      </c>
    </row>
    <row r="70" customFormat="false" ht="15" hidden="false" customHeight="false" outlineLevel="0" collapsed="false">
      <c r="A70" s="5" t="s">
        <v>2380</v>
      </c>
      <c r="B70" s="0" t="s">
        <v>2381</v>
      </c>
      <c r="C70" s="0" t="s">
        <v>395</v>
      </c>
      <c r="E70" s="33" t="n">
        <f aca="false">N(Funding!R5)*6/12+N(Funding!R6)*6/12</f>
        <v>0</v>
      </c>
      <c r="F70" s="33" t="n">
        <f aca="false">N(Funding!R6)*6/12+N(Funding!R7)*6/12</f>
        <v>0</v>
      </c>
    </row>
    <row r="71" customFormat="false" ht="15" hidden="false" customHeight="false" outlineLevel="0" collapsed="false">
      <c r="A71" s="5" t="s">
        <v>2382</v>
      </c>
      <c r="B71" s="0" t="s">
        <v>2383</v>
      </c>
      <c r="C71" s="0" t="s">
        <v>395</v>
      </c>
      <c r="E71" s="33" t="n">
        <f aca="false">(N(Funding!AL5)-(N(Funding!J5)+N(Funding!K5)+N(Funding!L5)+N(Funding!M5))-N(Funding!R5))*6/12+(N(Funding!AL6)-(N(Funding!J6)+N(Funding!K6)+N(Funding!L6)+N(Funding!M6))-N(Funding!R6))*6/12</f>
        <v>10.2555</v>
      </c>
      <c r="F71" s="33" t="n">
        <f aca="false">(N(Funding!AL6)-(N(Funding!J6)+N(Funding!K6)+N(Funding!L6)+N(Funding!M6))-N(Funding!R6))*6/12+(N(Funding!AL7)-(N(Funding!J7)+N(Funding!K7)+N(Funding!L7)+N(Funding!M7))-N(Funding!R7))*6/12</f>
        <v>22.5595</v>
      </c>
    </row>
    <row r="72" customFormat="false" ht="17.15" hidden="false" customHeight="false" outlineLevel="0" collapsed="false">
      <c r="A72" s="5" t="s">
        <v>2384</v>
      </c>
      <c r="B72" s="0" t="s">
        <v>2385</v>
      </c>
      <c r="C72" s="0" t="s">
        <v>395</v>
      </c>
      <c r="E72" s="33" t="str">
        <f aca="false">IF(E67="","",E67-E68)</f>
        <v/>
      </c>
      <c r="F72" s="33" t="n">
        <f aca="false">IF(F67="","",F67-F68)</f>
        <v>-92.9046767685996</v>
      </c>
    </row>
    <row r="73" customFormat="false" ht="17.15" hidden="false" customHeight="false" outlineLevel="0" collapsed="false">
      <c r="A73" s="5" t="s">
        <v>2386</v>
      </c>
      <c r="B73" s="0" t="s">
        <v>2387</v>
      </c>
      <c r="C73" s="0" t="s">
        <v>395</v>
      </c>
      <c r="G73" s="33" t="n">
        <f aca="false">IF(Funding!O7&lt;&gt;"",Funding!O7,N(Funding!O6))</f>
        <v>329.1</v>
      </c>
      <c r="N73" s="5" t="s">
        <v>2388</v>
      </c>
    </row>
    <row r="74" customFormat="false" ht="17.15" hidden="false" customHeight="false" outlineLevel="0" collapsed="false">
      <c r="A74" s="5" t="s">
        <v>2389</v>
      </c>
      <c r="B74" s="0" t="s">
        <v>2390</v>
      </c>
      <c r="C74" s="0" t="s">
        <v>395</v>
      </c>
      <c r="G74" s="33" t="n">
        <f aca="false">IF(Funding!Q7&lt;&gt;"",Funding!Q7,N(Funding!Q6))</f>
        <v>0</v>
      </c>
      <c r="N74" s="5" t="s">
        <v>2391</v>
      </c>
    </row>
    <row r="75" customFormat="false" ht="17.15" hidden="false" customHeight="false" outlineLevel="0" collapsed="false">
      <c r="A75" s="5" t="s">
        <v>2392</v>
      </c>
      <c r="B75" s="0" t="s">
        <v>2393</v>
      </c>
      <c r="C75" s="0" t="s">
        <v>395</v>
      </c>
      <c r="G75" s="33" t="n">
        <f aca="false">N(Funding!AL7)</f>
        <v>24.608</v>
      </c>
    </row>
    <row r="76" customFormat="false" ht="17.15" hidden="false" customHeight="false" outlineLevel="0" collapsed="false">
      <c r="A76" s="5" t="s">
        <v>2394</v>
      </c>
      <c r="B76" s="0" t="s">
        <v>2395</v>
      </c>
      <c r="C76" s="0" t="s">
        <v>395</v>
      </c>
      <c r="G76" s="33" t="str">
        <f aca="false">IF(COUNTIFS(FundRaw!$C$4:$C$281,"msft",FundRaw!$F$4:$F$281,"cash_level",FundRaw!$D$4:$D$281,"2025-12-31",FundRaw!$O$4:$O$281,1)=0,"未取得",SUMIFS(FundRaw!$G$4:$G$281,FundRaw!$C$4:$C$281,"msft",FundRaw!$F$4:$F$281,"cash_level",FundRaw!$D$4:$D$281,"2025-12-31",FundRaw!$O$4:$O$281,1))</f>
        <v>未取得</v>
      </c>
      <c r="N76" s="5" t="s">
        <v>2396</v>
      </c>
    </row>
    <row r="77" customFormat="false" ht="17.15" hidden="false" customHeight="false" outlineLevel="0" collapsed="false">
      <c r="A77" s="5" t="s">
        <v>2397</v>
      </c>
      <c r="B77" s="0" t="s">
        <v>2398</v>
      </c>
      <c r="C77" s="0" t="s">
        <v>395</v>
      </c>
      <c r="G77" s="33" t="n">
        <f aca="false">IF(ISNUMBER(G76),G76,N(gcash_msft))</f>
        <v>76.843</v>
      </c>
      <c r="N77" s="5" t="s">
        <v>2399</v>
      </c>
    </row>
    <row r="78" customFormat="false" ht="17.15" hidden="false" customHeight="false" outlineLevel="0" collapsed="false">
      <c r="A78" s="5" t="s">
        <v>2400</v>
      </c>
      <c r="B78" s="0" t="s">
        <v>2401</v>
      </c>
      <c r="C78" s="0" t="s">
        <v>40</v>
      </c>
      <c r="G78" s="0" t="str">
        <f aca="false">IF(ISNUMBER(G76),"Funding 觀測","個股模型（In Y9）")</f>
        <v>個股模型（In Y9）</v>
      </c>
    </row>
    <row r="79" customFormat="false" ht="17.15" hidden="false" customHeight="false" outlineLevel="0" collapsed="false">
      <c r="A79" s="5" t="s">
        <v>2402</v>
      </c>
      <c r="B79" s="0" t="s">
        <v>2403</v>
      </c>
      <c r="C79" s="0" t="s">
        <v>395</v>
      </c>
      <c r="E79" s="33" t="str">
        <f aca="false">IF(E59="","",E59-E65)</f>
        <v/>
      </c>
      <c r="F79" s="33" t="n">
        <f aca="false">IF(F59="","",F59-F65)</f>
        <v>70.3451767685996</v>
      </c>
      <c r="G79" s="33" t="n">
        <f aca="false">IF(G59="","",G59-G65)</f>
        <v>103.441516467374</v>
      </c>
      <c r="H79" s="33" t="n">
        <f aca="false">IF(H59="","",H59-H65)</f>
        <v>36.1492587609188</v>
      </c>
      <c r="I79" s="33" t="n">
        <f aca="false">IF(I59="","",I59-I65)</f>
        <v>44.0744372963331</v>
      </c>
      <c r="J79" s="33" t="n">
        <f aca="false">IF(J59="","",J59-J65)</f>
        <v>59.5575622387518</v>
      </c>
      <c r="K79" s="33" t="n">
        <f aca="false">IF(K59="","",K59-K65)</f>
        <v>72.12865228545</v>
      </c>
    </row>
    <row r="80" customFormat="false" ht="15" hidden="false" customHeight="false" outlineLevel="0" collapsed="false">
      <c r="A80" s="5" t="s">
        <v>2404</v>
      </c>
      <c r="B80" s="0" t="s">
        <v>2405</v>
      </c>
      <c r="C80" s="0" t="s">
        <v>57</v>
      </c>
      <c r="E80" s="23" t="str">
        <f aca="false">IF(OR(E67="",E65&lt;=0),"",E67/E65)</f>
        <v/>
      </c>
      <c r="F80" s="23" t="n">
        <f aca="false">IF(OR(F67="",F65&lt;=0),"",F67/F65)</f>
        <v>-0.788593678131461</v>
      </c>
      <c r="G80" s="23" t="n">
        <f aca="false">IF(OR(G67="",G65&lt;=0),"",G67/G65)</f>
        <v>-1.05742459666114</v>
      </c>
      <c r="H80" s="23" t="n">
        <f aca="false">IF(OR(H67="",H65&lt;=0),"",H67/H65)</f>
        <v>-0.177201123306363</v>
      </c>
      <c r="I80" s="23" t="n">
        <f aca="false">IF(OR(I67="",I65&lt;=0),"",I67/I65)</f>
        <v>-0.182618847705396</v>
      </c>
      <c r="J80" s="23" t="n">
        <f aca="false">IF(OR(J67="",J65&lt;=0),"",J67/J65)</f>
        <v>-0.217861613148621</v>
      </c>
      <c r="K80" s="23" t="n">
        <f aca="false">IF(OR(K67="",K65&lt;=0),"",K67/K65)</f>
        <v>-0.238726800259907</v>
      </c>
    </row>
    <row r="82" customFormat="false" ht="17.15" hidden="false" customHeight="false" outlineLevel="0" collapsed="false">
      <c r="A82" s="8" t="s">
        <v>2080</v>
      </c>
      <c r="B82" s="21" t="s">
        <v>733</v>
      </c>
      <c r="N82" s="5" t="s">
        <v>2406</v>
      </c>
    </row>
    <row r="83" customFormat="false" ht="17.15" hidden="false" customHeight="false" outlineLevel="0" collapsed="false">
      <c r="A83" s="5" t="s">
        <v>2317</v>
      </c>
      <c r="B83" s="0" t="s">
        <v>1407</v>
      </c>
      <c r="C83" s="0" t="s">
        <v>82</v>
      </c>
      <c r="D83" s="25" t="n">
        <f aca="false">CapexGW!D41</f>
        <v>0</v>
      </c>
      <c r="E83" s="25" t="n">
        <f aca="false">CapexGW!E41</f>
        <v>1.32980834349181</v>
      </c>
      <c r="F83" s="25" t="n">
        <f aca="false">CapexGW!F41</f>
        <v>2.40961330082622</v>
      </c>
      <c r="G83" s="25" t="n">
        <f aca="false">CapexGW!G41</f>
        <v>1.29267912772586</v>
      </c>
      <c r="H83" s="25" t="n">
        <f aca="false">CapexGW!H41</f>
        <v>5.69768565998842</v>
      </c>
      <c r="I83" s="25" t="n">
        <f aca="false">CapexGW!I41</f>
        <v>6.77682412398346</v>
      </c>
      <c r="J83" s="25" t="n">
        <f aca="false">CapexGW!J41</f>
        <v>7.68929590970478</v>
      </c>
      <c r="K83" s="25" t="n">
        <f aca="false">CapexGW!K41</f>
        <v>8.4802297701538</v>
      </c>
      <c r="L83" s="25" t="n">
        <f aca="false">CapexGW!L41</f>
        <v>9.32825274716918</v>
      </c>
      <c r="M83" s="25" t="n">
        <f aca="false">CapexGW!M41</f>
        <v>10.2610780218861</v>
      </c>
      <c r="N83" s="21" t="s">
        <v>2318</v>
      </c>
    </row>
    <row r="84" customFormat="false" ht="17.15" hidden="false" customHeight="false" outlineLevel="0" collapsed="false">
      <c r="A84" s="5" t="s">
        <v>2319</v>
      </c>
      <c r="B84" s="0" t="s">
        <v>1826</v>
      </c>
      <c r="C84" s="0" t="s">
        <v>230</v>
      </c>
      <c r="D84" s="30" t="n">
        <f aca="false">CapexGW!D36</f>
        <v>26.6067889972</v>
      </c>
      <c r="E84" s="30" t="n">
        <f aca="false">CapexGW!E36</f>
        <v>26.6067889972</v>
      </c>
      <c r="F84" s="30" t="n">
        <f aca="false">CapexGW!F36</f>
        <v>26.2360108752</v>
      </c>
      <c r="G84" s="30" t="n">
        <f aca="false">CapexGW!G36</f>
        <v>28.06503208272</v>
      </c>
      <c r="H84" s="30" t="n">
        <f aca="false">CapexGW!H36</f>
        <v>29.281842304383</v>
      </c>
      <c r="I84" s="30" t="n">
        <f aca="false">CapexGW!I36</f>
        <v>30.020923498987</v>
      </c>
      <c r="J84" s="30" t="n">
        <f aca="false">CapexGW!J36</f>
        <v>30.020923498987</v>
      </c>
      <c r="K84" s="30" t="n">
        <f aca="false">CapexGW!K36</f>
        <v>30.020923498987</v>
      </c>
      <c r="L84" s="30" t="n">
        <f aca="false">CapexGW!L36</f>
        <v>30.020923498987</v>
      </c>
      <c r="M84" s="30" t="n">
        <f aca="false">CapexGW!M36</f>
        <v>30.020923498987</v>
      </c>
    </row>
    <row r="85" customFormat="false" ht="17.15" hidden="false" customHeight="false" outlineLevel="0" collapsed="false">
      <c r="A85" s="5" t="s">
        <v>2320</v>
      </c>
      <c r="B85" s="0" t="s">
        <v>1827</v>
      </c>
      <c r="C85" s="0" t="s">
        <v>230</v>
      </c>
      <c r="D85" s="30" t="n">
        <f aca="false">CapexGW!D37</f>
        <v>9.807847</v>
      </c>
      <c r="E85" s="30" t="n">
        <f aca="false">CapexGW!E37</f>
        <v>9.807847</v>
      </c>
      <c r="F85" s="30" t="n">
        <f aca="false">CapexGW!F37</f>
        <v>9.807847</v>
      </c>
      <c r="G85" s="30" t="n">
        <f aca="false">CapexGW!G37</f>
        <v>9.807847</v>
      </c>
      <c r="H85" s="30" t="n">
        <f aca="false">CapexGW!H37</f>
        <v>9.807847</v>
      </c>
      <c r="I85" s="30" t="n">
        <f aca="false">CapexGW!I37</f>
        <v>9.807847</v>
      </c>
      <c r="J85" s="30" t="n">
        <f aca="false">CapexGW!J37</f>
        <v>9.807847</v>
      </c>
      <c r="K85" s="30" t="n">
        <f aca="false">CapexGW!K37</f>
        <v>9.807847</v>
      </c>
      <c r="L85" s="30" t="n">
        <f aca="false">CapexGW!L37</f>
        <v>9.807847</v>
      </c>
      <c r="M85" s="30" t="n">
        <f aca="false">CapexGW!M37</f>
        <v>9.807847</v>
      </c>
    </row>
    <row r="86" customFormat="false" ht="17.15" hidden="false" customHeight="false" outlineLevel="0" collapsed="false">
      <c r="A86" s="5" t="s">
        <v>2321</v>
      </c>
      <c r="B86" s="0" t="s">
        <v>2407</v>
      </c>
      <c r="C86" s="0" t="s">
        <v>395</v>
      </c>
      <c r="E86" s="33" t="n">
        <f aca="false">E83*(E84+Gap!$D$6*E85)</f>
        <v>35.3819300020025</v>
      </c>
      <c r="F86" s="33" t="n">
        <f aca="false">F83*(F84+Gap!$D$6*F85)</f>
        <v>63.2186407655033</v>
      </c>
      <c r="G86" s="33" t="n">
        <f aca="false">G83*(G84+Gap!$D$6*G85)</f>
        <v>36.2790811922887</v>
      </c>
      <c r="H86" s="33" t="n">
        <f aca="false">H83*(H84+Gap!$D$6*H85)</f>
        <v>166.838732995725</v>
      </c>
      <c r="I86" s="33" t="n">
        <f aca="false">I83*(I84+Gap!$D$6*I85)</f>
        <v>203.446518592197</v>
      </c>
      <c r="J86" s="33" t="n">
        <f aca="false">J83*(J84+Gap!$D$6*J85)</f>
        <v>230.839764266321</v>
      </c>
      <c r="K86" s="33" t="n">
        <f aca="false">K83*(K84+Gap!$D$6*K85)</f>
        <v>254.584329183619</v>
      </c>
    </row>
    <row r="87" customFormat="false" ht="17.15" hidden="false" customHeight="false" outlineLevel="0" collapsed="false">
      <c r="A87" s="5" t="s">
        <v>2323</v>
      </c>
      <c r="B87" s="0" t="s">
        <v>2408</v>
      </c>
      <c r="C87" s="0" t="s">
        <v>395</v>
      </c>
      <c r="E87" s="33" t="n">
        <f aca="false">Gap!$E$6*F83*F85</f>
        <v>11.8165592918343</v>
      </c>
      <c r="F87" s="33" t="n">
        <f aca="false">Gap!$E$6*G83*G85</f>
        <v>6.33919955241433</v>
      </c>
      <c r="G87" s="33" t="n">
        <f aca="false">Gap!$E$6*H83*H85</f>
        <v>27.9410146036302</v>
      </c>
      <c r="H87" s="33" t="n">
        <f aca="false">Gap!$E$6*I83*I85</f>
        <v>33.2330270769694</v>
      </c>
      <c r="I87" s="33" t="n">
        <f aca="false">Gap!$E$6*J83*J85</f>
        <v>37.7077189100551</v>
      </c>
      <c r="J87" s="33" t="n">
        <f aca="false">Gap!$E$6*K83*K85</f>
        <v>41.5863980552568</v>
      </c>
      <c r="K87" s="33" t="n">
        <f aca="false">Gap!$E$6*L83*L85</f>
        <v>45.7450378607825</v>
      </c>
    </row>
    <row r="88" customFormat="false" ht="17.15" hidden="false" customHeight="false" outlineLevel="0" collapsed="false">
      <c r="A88" s="5" t="s">
        <v>2325</v>
      </c>
      <c r="B88" s="0" t="s">
        <v>2409</v>
      </c>
      <c r="C88" s="0" t="s">
        <v>395</v>
      </c>
      <c r="E88" s="33" t="n">
        <f aca="false">Gap!$F$6*G83*G85</f>
        <v>6.33919955241433</v>
      </c>
      <c r="F88" s="33" t="n">
        <f aca="false">Gap!$F$6*H83*H85</f>
        <v>27.9410146036302</v>
      </c>
      <c r="G88" s="33" t="n">
        <f aca="false">Gap!$F$6*I83*I85</f>
        <v>33.2330270769694</v>
      </c>
      <c r="H88" s="33" t="n">
        <f aca="false">Gap!$F$6*J83*J85</f>
        <v>37.7077189100551</v>
      </c>
      <c r="I88" s="33" t="n">
        <f aca="false">Gap!$F$6*K83*K85</f>
        <v>41.5863980552568</v>
      </c>
      <c r="J88" s="33" t="n">
        <f aca="false">Gap!$F$6*L83*L85</f>
        <v>45.7450378607825</v>
      </c>
      <c r="K88" s="33" t="n">
        <f aca="false">Gap!$F$6*M83*M85</f>
        <v>50.3195416468608</v>
      </c>
    </row>
    <row r="89" customFormat="false" ht="17.15" hidden="false" customHeight="false" outlineLevel="0" collapsed="false">
      <c r="A89" s="5" t="s">
        <v>2327</v>
      </c>
      <c r="B89" s="0" t="s">
        <v>2410</v>
      </c>
      <c r="C89" s="0" t="s">
        <v>395</v>
      </c>
      <c r="E89" s="33" t="n">
        <f aca="false">E86+E87+E88</f>
        <v>53.5376888462511</v>
      </c>
      <c r="F89" s="33" t="n">
        <f aca="false">F86+F87+F88</f>
        <v>97.4988549215479</v>
      </c>
      <c r="G89" s="33" t="n">
        <f aca="false">G86+G87+G88</f>
        <v>97.4531228728883</v>
      </c>
      <c r="H89" s="33" t="n">
        <f aca="false">H86+H87+H88</f>
        <v>237.77947898275</v>
      </c>
      <c r="I89" s="33" t="n">
        <f aca="false">I86+I87+I88</f>
        <v>282.740635557509</v>
      </c>
      <c r="J89" s="33" t="n">
        <f aca="false">J86+J87+J88</f>
        <v>318.17120018236</v>
      </c>
      <c r="K89" s="33" t="n">
        <f aca="false">K86+K87+K88</f>
        <v>350.648908691263</v>
      </c>
    </row>
    <row r="90" customFormat="false" ht="17.15" hidden="false" customHeight="false" outlineLevel="0" collapsed="false">
      <c r="A90" s="5" t="s">
        <v>2329</v>
      </c>
      <c r="B90" s="0" t="s">
        <v>2411</v>
      </c>
      <c r="C90" s="0" t="s">
        <v>395</v>
      </c>
      <c r="E90" s="33" t="n">
        <f aca="false">E83*(Gap!E$8+Gap!$D$6*Gap!E$9)</f>
        <v>35.8460661718135</v>
      </c>
      <c r="F90" s="33" t="n">
        <f aca="false">F83*(Gap!F$8+Gap!$D$6*Gap!F$9)</f>
        <v>62.1975919638753</v>
      </c>
      <c r="G90" s="33" t="n">
        <f aca="false">G83*(Gap!G$8+Gap!$D$6*Gap!G$9)</f>
        <v>40.6590025565213</v>
      </c>
      <c r="H90" s="33" t="n">
        <f aca="false">H83*(Gap!H$8+Gap!$D$6*Gap!H$9)</f>
        <v>197.977725402406</v>
      </c>
      <c r="I90" s="33" t="n">
        <f aca="false">I83*(Gap!I$8+Gap!$D$6*Gap!I$9)</f>
        <v>250.595426626411</v>
      </c>
      <c r="J90" s="33" t="n">
        <f aca="false">J83*(Gap!J$8+Gap!$D$6*Gap!J$9)</f>
        <v>284.018420090133</v>
      </c>
      <c r="K90" s="33" t="n">
        <f aca="false">K83*(Gap!K$8+Gap!$D$6*Gap!K$9)</f>
        <v>313.233030644658</v>
      </c>
    </row>
    <row r="91" customFormat="false" ht="17.15" hidden="false" customHeight="false" outlineLevel="0" collapsed="false">
      <c r="A91" s="5" t="s">
        <v>2331</v>
      </c>
      <c r="B91" s="0" t="s">
        <v>2412</v>
      </c>
      <c r="C91" s="0" t="s">
        <v>395</v>
      </c>
      <c r="E91" s="33" t="n">
        <f aca="false">Gap!$E$6*F83*Gap!F$9</f>
        <v>14.064936798289</v>
      </c>
      <c r="F91" s="33" t="n">
        <f aca="false">Gap!$E$6*G83*Gap!G$9</f>
        <v>7.54538092302919</v>
      </c>
      <c r="G91" s="33" t="n">
        <f aca="false">Gap!$E$6*H83*Gap!H$9</f>
        <v>32.841841330573</v>
      </c>
      <c r="H91" s="33" t="n">
        <f aca="false">Gap!$E$6*I83*Gap!I$9</f>
        <v>39.111376404676</v>
      </c>
      <c r="I91" s="33" t="n">
        <f aca="false">Gap!$E$6*J83*Gap!J$9</f>
        <v>44.3363141435257</v>
      </c>
      <c r="J91" s="33" t="n">
        <f aca="false">Gap!$E$6*K83*Gap!K$9</f>
        <v>48.8968217004479</v>
      </c>
      <c r="K91" s="33" t="n">
        <f aca="false">Gap!$E$6*L83*Gap!L$9</f>
        <v>53.7865038704927</v>
      </c>
    </row>
    <row r="92" customFormat="false" ht="17.15" hidden="false" customHeight="false" outlineLevel="0" collapsed="false">
      <c r="A92" s="5" t="s">
        <v>2333</v>
      </c>
      <c r="B92" s="0" t="s">
        <v>2413</v>
      </c>
      <c r="C92" s="0" t="s">
        <v>395</v>
      </c>
      <c r="E92" s="33" t="n">
        <f aca="false">Gap!$F$6*G83*Gap!G$9</f>
        <v>7.54538092302919</v>
      </c>
      <c r="F92" s="33" t="n">
        <f aca="false">Gap!$F$6*H83*Gap!H$9</f>
        <v>32.841841330573</v>
      </c>
      <c r="G92" s="33" t="n">
        <f aca="false">Gap!$F$6*I83*Gap!I$9</f>
        <v>39.111376404676</v>
      </c>
      <c r="H92" s="33" t="n">
        <f aca="false">Gap!$F$6*J83*Gap!J$9</f>
        <v>44.3363141435257</v>
      </c>
      <c r="I92" s="33" t="n">
        <f aca="false">Gap!$F$6*K83*Gap!K$9</f>
        <v>48.8968217004479</v>
      </c>
      <c r="J92" s="33" t="n">
        <f aca="false">Gap!$F$6*L83*Gap!L$9</f>
        <v>53.7865038704927</v>
      </c>
      <c r="K92" s="33" t="n">
        <f aca="false">Gap!$F$6*M83*Gap!M$9</f>
        <v>59.165154257542</v>
      </c>
    </row>
    <row r="93" customFormat="false" ht="17.15" hidden="false" customHeight="false" outlineLevel="0" collapsed="false">
      <c r="A93" s="5" t="s">
        <v>2335</v>
      </c>
      <c r="B93" s="0" t="s">
        <v>2414</v>
      </c>
      <c r="C93" s="0" t="s">
        <v>395</v>
      </c>
      <c r="D93" s="33" t="str">
        <f aca="false">IF(In!H177&lt;&gt;"",In!H177,"")</f>
        <v/>
      </c>
      <c r="E93" s="33" t="str">
        <f aca="false">IF(In!I177&lt;&gt;"",In!I177,"")</f>
        <v/>
      </c>
      <c r="F93" s="33" t="str">
        <f aca="false">IF(In!J177&lt;&gt;"",In!J177,"")</f>
        <v/>
      </c>
      <c r="G93" s="33" t="str">
        <f aca="false">IF(In!K177&lt;&gt;"",In!K177,"")</f>
        <v/>
      </c>
      <c r="H93" s="33" t="n">
        <f aca="false">IF(In!L177&lt;&gt;"",In!L177,"")</f>
        <v>54.772619</v>
      </c>
      <c r="I93" s="33" t="n">
        <f aca="false">IF(In!M177&lt;&gt;"",In!M177,"")</f>
        <v>68.896375</v>
      </c>
      <c r="J93" s="33" t="n">
        <f aca="false">IF(In!N177&lt;&gt;"",In!N177,"")</f>
        <v>81.081606</v>
      </c>
      <c r="K93" s="33" t="n">
        <f aca="false">IF(In!O177&lt;&gt;"",In!O177,"")</f>
        <v>87.526495</v>
      </c>
      <c r="L93" s="33" t="n">
        <f aca="false">IF(In!P177&lt;&gt;"",In!P177,"")</f>
        <v>94.495499</v>
      </c>
      <c r="M93" s="33" t="n">
        <f aca="false">IF(In!Q177&lt;&gt;"",In!Q177,"")</f>
        <v>102.031496</v>
      </c>
    </row>
    <row r="94" customFormat="false" ht="17.15" hidden="false" customHeight="false" outlineLevel="0" collapsed="false">
      <c r="A94" s="5" t="s">
        <v>2337</v>
      </c>
      <c r="B94" s="0" t="s">
        <v>2415</v>
      </c>
      <c r="C94" s="0" t="s">
        <v>395</v>
      </c>
      <c r="E94" s="33" t="str">
        <f aca="false">E93</f>
        <v/>
      </c>
      <c r="F94" s="33" t="str">
        <f aca="false">F93</f>
        <v/>
      </c>
      <c r="G94" s="33" t="str">
        <f aca="false">G93</f>
        <v/>
      </c>
      <c r="H94" s="33" t="n">
        <f aca="false">H93</f>
        <v>54.772619</v>
      </c>
      <c r="I94" s="33" t="n">
        <f aca="false">I93</f>
        <v>68.896375</v>
      </c>
      <c r="J94" s="33" t="n">
        <f aca="false">J93</f>
        <v>81.081606</v>
      </c>
      <c r="K94" s="33" t="n">
        <f aca="false">K93</f>
        <v>87.526495</v>
      </c>
    </row>
    <row r="95" customFormat="false" ht="17.15" hidden="false" customHeight="false" outlineLevel="0" collapsed="false">
      <c r="A95" s="5" t="s">
        <v>2339</v>
      </c>
      <c r="B95" s="0" t="s">
        <v>2416</v>
      </c>
      <c r="C95" s="0" t="s">
        <v>40</v>
      </c>
      <c r="E95" s="0" t="str">
        <f aca="false">IF(E94&lt;&gt;"","",IF(CapexGW!E34&lt;&gt;"","以 Y2 × (1−AI 占比) 替代（模型無拆分）","無模型值（以 0 計）"))</f>
        <v>無模型值（以 0 計）</v>
      </c>
      <c r="F95" s="0" t="str">
        <f aca="false">IF(F94&lt;&gt;"","",IF(CapexGW!F34&lt;&gt;"","以 Y2 × (1−AI 占比) 替代（模型無拆分）","無模型值（以 0 計）"))</f>
        <v>以 Y2 × (1−AI 占比) 替代（模型無拆分）</v>
      </c>
      <c r="G95" s="0" t="str">
        <f aca="false">IF(G94&lt;&gt;"","",IF(CapexGW!G34&lt;&gt;"","以 Y2 × (1−AI 占比) 替代（模型無拆分）","無模型值（以 0 計）"))</f>
        <v>以 Y2 × (1−AI 占比) 替代（模型無拆分）</v>
      </c>
      <c r="H95" s="0" t="str">
        <f aca="false">IF(H94&lt;&gt;"","",IF(CapexGW!H34&lt;&gt;"","以 Y2 × (1−AI 占比) 替代（模型無拆分）","無模型值（以 0 計）"))</f>
        <v/>
      </c>
      <c r="I95" s="0" t="str">
        <f aca="false">IF(I94&lt;&gt;"","",IF(CapexGW!I34&lt;&gt;"","以 Y2 × (1−AI 占比) 替代（模型無拆分）","無模型值（以 0 計）"))</f>
        <v/>
      </c>
      <c r="J95" s="0" t="str">
        <f aca="false">IF(J94&lt;&gt;"","",IF(CapexGW!J34&lt;&gt;"","以 Y2 × (1−AI 占比) 替代（模型無拆分）","無模型值（以 0 計）"))</f>
        <v/>
      </c>
      <c r="K95" s="0" t="str">
        <f aca="false">IF(K94&lt;&gt;"","",IF(CapexGW!K34&lt;&gt;"","以 Y2 × (1−AI 占比) 替代（模型無拆分）","無模型值（以 0 計）"))</f>
        <v/>
      </c>
      <c r="N95" s="0" t="s">
        <v>2341</v>
      </c>
    </row>
    <row r="96" customFormat="false" ht="17.15" hidden="false" customHeight="false" outlineLevel="0" collapsed="false">
      <c r="A96" s="5" t="s">
        <v>2342</v>
      </c>
      <c r="B96" s="0" t="s">
        <v>2417</v>
      </c>
      <c r="C96" s="0" t="s">
        <v>395</v>
      </c>
      <c r="E96" s="33" t="n">
        <f aca="false">IF(E94&lt;&gt;"",E94,IF(CapexGW!E34&lt;&gt;"",CapexGW!E34*(1-ai_sh),0))</f>
        <v>0</v>
      </c>
      <c r="F96" s="33" t="n">
        <f aca="false">IF(F94&lt;&gt;"",F94,IF(CapexGW!F34&lt;&gt;"",CapexGW!F34*(1-ai_sh),0))</f>
        <v>13.71705</v>
      </c>
      <c r="G96" s="33" t="n">
        <f aca="false">IF(G94&lt;&gt;"",G94,IF(CapexGW!G34&lt;&gt;"",CapexGW!G34*(1-ai_sh),0))</f>
        <v>30</v>
      </c>
      <c r="H96" s="33" t="n">
        <f aca="false">IF(H94&lt;&gt;"",H94,IF(CapexGW!H34&lt;&gt;"",CapexGW!H34*(1-ai_sh),0))</f>
        <v>54.772619</v>
      </c>
      <c r="I96" s="33" t="n">
        <f aca="false">IF(I94&lt;&gt;"",I94,IF(CapexGW!I34&lt;&gt;"",CapexGW!I34*(1-ai_sh),0))</f>
        <v>68.896375</v>
      </c>
      <c r="J96" s="33" t="n">
        <f aca="false">IF(J94&lt;&gt;"",J94,IF(CapexGW!J34&lt;&gt;"",CapexGW!J34*(1-ai_sh),0))</f>
        <v>81.081606</v>
      </c>
      <c r="K96" s="33" t="n">
        <f aca="false">IF(K94&lt;&gt;"",K94,IF(CapexGW!K34&lt;&gt;"",CapexGW!K34*(1-ai_sh),0))</f>
        <v>87.526495</v>
      </c>
    </row>
    <row r="97" customFormat="false" ht="15" hidden="false" customHeight="false" outlineLevel="0" collapsed="false">
      <c r="A97" s="5" t="s">
        <v>2344</v>
      </c>
      <c r="B97" s="0" t="s">
        <v>2418</v>
      </c>
      <c r="C97" s="0" t="s">
        <v>395</v>
      </c>
      <c r="D97" s="33" t="str">
        <f aca="false">IF(In!H178&lt;&gt;"",In!H178,"")</f>
        <v/>
      </c>
      <c r="E97" s="33" t="n">
        <f aca="false">IF(In!I178&lt;&gt;"",In!I178,"")</f>
        <v>52.535</v>
      </c>
      <c r="F97" s="33" t="n">
        <f aca="false">IF(In!J178&lt;&gt;"",In!J178,"")</f>
        <v>91.447</v>
      </c>
      <c r="G97" s="33" t="n">
        <f aca="false">IF(In!K178&lt;&gt;"",In!K178,"")</f>
        <v>200</v>
      </c>
      <c r="H97" s="33" t="n">
        <f aca="false">IF(In!L178&lt;&gt;"",In!L178,"")</f>
        <v>290.36514</v>
      </c>
      <c r="I97" s="33" t="n">
        <f aca="false">IF(In!M178&lt;&gt;"",In!M178,"")</f>
        <v>317.398835</v>
      </c>
      <c r="J97" s="33" t="n">
        <f aca="false">IF(In!N178&lt;&gt;"",In!N178,"")</f>
        <v>292.560872</v>
      </c>
      <c r="K97" s="33" t="n">
        <f aca="false">IF(In!O178&lt;&gt;"",In!O178,"")</f>
        <v>271.669537</v>
      </c>
      <c r="L97" s="33" t="n">
        <f aca="false">IF(In!P178&lt;&gt;"",In!P178,"")</f>
        <v>263.299609</v>
      </c>
      <c r="M97" s="33" t="n">
        <f aca="false">IF(In!Q178&lt;&gt;"",In!Q178,"")</f>
        <v>274.287594</v>
      </c>
    </row>
    <row r="98" customFormat="false" ht="15" hidden="false" customHeight="false" outlineLevel="0" collapsed="false">
      <c r="A98" s="5" t="s">
        <v>2346</v>
      </c>
      <c r="B98" s="0" t="s">
        <v>2419</v>
      </c>
      <c r="C98" s="0" t="s">
        <v>395</v>
      </c>
      <c r="E98" s="33" t="n">
        <f aca="false">E97</f>
        <v>52.535</v>
      </c>
      <c r="F98" s="33" t="n">
        <f aca="false">F97</f>
        <v>91.447</v>
      </c>
      <c r="G98" s="33" t="n">
        <f aca="false">G97</f>
        <v>200</v>
      </c>
      <c r="H98" s="33" t="n">
        <f aca="false">H97</f>
        <v>290.36514</v>
      </c>
      <c r="I98" s="33" t="n">
        <f aca="false">I97</f>
        <v>317.398835</v>
      </c>
      <c r="J98" s="33" t="n">
        <f aca="false">J97</f>
        <v>292.560872</v>
      </c>
      <c r="K98" s="33" t="n">
        <f aca="false">K97</f>
        <v>271.669537</v>
      </c>
    </row>
    <row r="99" customFormat="false" ht="17.15" hidden="false" customHeight="false" outlineLevel="0" collapsed="false">
      <c r="A99" s="5" t="s">
        <v>2348</v>
      </c>
      <c r="B99" s="0" t="s">
        <v>2420</v>
      </c>
      <c r="C99" s="0" t="s">
        <v>395</v>
      </c>
      <c r="D99" s="33" t="str">
        <f aca="false">IF(In!H176&lt;&gt;"",In!H176,"")</f>
        <v/>
      </c>
      <c r="E99" s="33" t="str">
        <f aca="false">IF(In!I176&lt;&gt;"",In!I176,"")</f>
        <v/>
      </c>
      <c r="F99" s="33" t="str">
        <f aca="false">IF(In!J176&lt;&gt;"",In!J176,"")</f>
        <v/>
      </c>
      <c r="G99" s="33" t="str">
        <f aca="false">IF(In!K176&lt;&gt;"",In!K176,"")</f>
        <v/>
      </c>
      <c r="H99" s="33" t="n">
        <f aca="false">IF(In!L176&lt;&gt;"",In!L176,"")</f>
        <v>235.592521</v>
      </c>
      <c r="I99" s="33" t="n">
        <f aca="false">IF(In!M176&lt;&gt;"",In!M176,"")</f>
        <v>248.502461</v>
      </c>
      <c r="J99" s="33" t="n">
        <f aca="false">IF(In!N176&lt;&gt;"",In!N176,"")</f>
        <v>211.479266</v>
      </c>
      <c r="K99" s="33" t="n">
        <f aca="false">IF(In!O176&lt;&gt;"",In!O176,"")</f>
        <v>184.143042</v>
      </c>
      <c r="L99" s="33" t="n">
        <f aca="false">IF(In!P176&lt;&gt;"",In!P176,"")</f>
        <v>168.80411</v>
      </c>
      <c r="M99" s="33" t="n">
        <f aca="false">IF(In!Q176&lt;&gt;"",In!Q176,"")</f>
        <v>172.256098</v>
      </c>
    </row>
    <row r="100" customFormat="false" ht="17.15" hidden="false" customHeight="false" outlineLevel="0" collapsed="false">
      <c r="A100" s="5" t="s">
        <v>2350</v>
      </c>
      <c r="B100" s="0" t="s">
        <v>2421</v>
      </c>
      <c r="C100" s="0" t="s">
        <v>395</v>
      </c>
      <c r="E100" s="33" t="str">
        <f aca="false">E99</f>
        <v/>
      </c>
      <c r="F100" s="33" t="str">
        <f aca="false">F99</f>
        <v/>
      </c>
      <c r="G100" s="33" t="str">
        <f aca="false">G99</f>
        <v/>
      </c>
      <c r="H100" s="33" t="n">
        <f aca="false">H99</f>
        <v>235.592521</v>
      </c>
      <c r="I100" s="33" t="n">
        <f aca="false">I99</f>
        <v>248.502461</v>
      </c>
      <c r="J100" s="33" t="n">
        <f aca="false">J99</f>
        <v>211.479266</v>
      </c>
      <c r="K100" s="33" t="n">
        <f aca="false">K99</f>
        <v>184.143042</v>
      </c>
    </row>
    <row r="101" customFormat="false" ht="17.15" hidden="false" customHeight="false" outlineLevel="0" collapsed="false">
      <c r="A101" s="5" t="s">
        <v>2352</v>
      </c>
      <c r="B101" s="0" t="s">
        <v>2422</v>
      </c>
      <c r="C101" s="0" t="s">
        <v>395</v>
      </c>
      <c r="E101" s="33" t="str">
        <f aca="false">CapexGW!E35</f>
        <v/>
      </c>
      <c r="F101" s="33" t="n">
        <f aca="false">CapexGW!F35</f>
        <v>77.72995</v>
      </c>
      <c r="G101" s="33" t="n">
        <f aca="false">CapexGW!G35</f>
        <v>170</v>
      </c>
      <c r="H101" s="33" t="n">
        <f aca="false">CapexGW!H35</f>
        <v>255.83215</v>
      </c>
      <c r="I101" s="33" t="n">
        <f aca="false">CapexGW!I35</f>
        <v>288.53335</v>
      </c>
      <c r="J101" s="33" t="n">
        <f aca="false">CapexGW!J35</f>
        <v>317.386685</v>
      </c>
      <c r="K101" s="33" t="n">
        <f aca="false">CapexGW!K35</f>
        <v>349.1253535</v>
      </c>
    </row>
    <row r="102" customFormat="false" ht="17.15" hidden="false" customHeight="false" outlineLevel="0" collapsed="false">
      <c r="A102" s="5" t="s">
        <v>2354</v>
      </c>
      <c r="B102" s="0" t="s">
        <v>2423</v>
      </c>
      <c r="C102" s="0" t="s">
        <v>395</v>
      </c>
      <c r="D102" s="33" t="str">
        <f aca="false">IF(In!H175&lt;&gt;"",In!H175,"")</f>
        <v/>
      </c>
      <c r="E102" s="33" t="n">
        <f aca="false">IF(In!I175&lt;&gt;"",In!I175,IF(Funding!E8&lt;&gt;"",Funding!E8,""))</f>
        <v>125.299</v>
      </c>
      <c r="F102" s="33" t="n">
        <f aca="false">IF(In!J175&lt;&gt;"",In!J175,IF(Funding!E9&lt;&gt;"",Funding!E9,""))</f>
        <v>164.713</v>
      </c>
      <c r="G102" s="33" t="n">
        <f aca="false">IF(In!K175&lt;&gt;"",In!K175,"")</f>
        <v>188.487287</v>
      </c>
      <c r="H102" s="33" t="n">
        <f aca="false">IF(In!L175&lt;&gt;"",In!L175,"")</f>
        <v>243.320278</v>
      </c>
      <c r="I102" s="33" t="n">
        <f aca="false">IF(In!M175&lt;&gt;"",In!M175,"")</f>
        <v>290.394071</v>
      </c>
      <c r="J102" s="33" t="n">
        <f aca="false">IF(In!N175&lt;&gt;"",In!N175,"")</f>
        <v>339.049695</v>
      </c>
      <c r="K102" s="33" t="n">
        <f aca="false">IF(In!O175&lt;&gt;"",In!O175,"")</f>
        <v>376.996472</v>
      </c>
      <c r="L102" s="33" t="n">
        <f aca="false">IF(In!P175&lt;&gt;"",In!P175,"")</f>
        <v>412.010823</v>
      </c>
      <c r="M102" s="33" t="n">
        <f aca="false">IF(In!Q175&lt;&gt;"",In!Q175,"")</f>
        <v>449.527821</v>
      </c>
    </row>
    <row r="103" customFormat="false" ht="15" hidden="false" customHeight="false" outlineLevel="0" collapsed="false">
      <c r="A103" s="5" t="s">
        <v>2356</v>
      </c>
      <c r="B103" s="0" t="s">
        <v>2424</v>
      </c>
      <c r="C103" s="0" t="s">
        <v>40</v>
      </c>
      <c r="D103" s="0" t="str">
        <f aca="false">IF(In!H175&lt;&gt;"","模型",IF(D102&lt;&gt;"","Funding 觀測","無模型值"))</f>
        <v>無模型值</v>
      </c>
      <c r="E103" s="0" t="str">
        <f aca="false">IF(In!I175&lt;&gt;"","模型",IF(E102&lt;&gt;"","Funding 觀測","無模型值"))</f>
        <v>模型</v>
      </c>
      <c r="F103" s="0" t="str">
        <f aca="false">IF(In!J175&lt;&gt;"","模型",IF(F102&lt;&gt;"","Funding 觀測","無模型值"))</f>
        <v>模型</v>
      </c>
      <c r="G103" s="0" t="str">
        <f aca="false">IF(In!K175&lt;&gt;"","模型",IF(G102&lt;&gt;"","Funding 觀測","無模型值"))</f>
        <v>模型</v>
      </c>
      <c r="H103" s="0" t="str">
        <f aca="false">IF(In!L175&lt;&gt;"","模型",IF(H102&lt;&gt;"","Funding 觀測","無模型值"))</f>
        <v>模型</v>
      </c>
      <c r="I103" s="0" t="str">
        <f aca="false">IF(In!M175&lt;&gt;"","模型",IF(I102&lt;&gt;"","Funding 觀測","無模型值"))</f>
        <v>模型</v>
      </c>
      <c r="J103" s="0" t="str">
        <f aca="false">IF(In!N175&lt;&gt;"","模型",IF(J102&lt;&gt;"","Funding 觀測","無模型值"))</f>
        <v>模型</v>
      </c>
      <c r="K103" s="0" t="str">
        <f aca="false">IF(In!O175&lt;&gt;"","模型",IF(K102&lt;&gt;"","Funding 觀測","無模型值"))</f>
        <v>模型</v>
      </c>
      <c r="L103" s="0" t="str">
        <f aca="false">IF(In!P175&lt;&gt;"","模型",IF(L102&lt;&gt;"","Funding 觀測","無模型值"))</f>
        <v>模型</v>
      </c>
      <c r="M103" s="0" t="str">
        <f aca="false">IF(In!Q175&lt;&gt;"","模型",IF(M102&lt;&gt;"","Funding 觀測","無模型值"))</f>
        <v>模型</v>
      </c>
    </row>
    <row r="104" customFormat="false" ht="15" hidden="false" customHeight="false" outlineLevel="0" collapsed="false">
      <c r="A104" s="5" t="s">
        <v>2358</v>
      </c>
      <c r="B104" s="0" t="s">
        <v>2425</v>
      </c>
      <c r="C104" s="0" t="s">
        <v>395</v>
      </c>
      <c r="E104" s="40" t="n">
        <f aca="false">E102</f>
        <v>125.299</v>
      </c>
      <c r="F104" s="40" t="n">
        <f aca="false">F102</f>
        <v>164.713</v>
      </c>
      <c r="G104" s="40" t="n">
        <f aca="false">G102</f>
        <v>188.487287</v>
      </c>
      <c r="H104" s="40" t="n">
        <f aca="false">H102</f>
        <v>243.320278</v>
      </c>
      <c r="I104" s="40" t="n">
        <f aca="false">I102</f>
        <v>290.394071</v>
      </c>
      <c r="J104" s="40" t="n">
        <f aca="false">J102</f>
        <v>339.049695</v>
      </c>
      <c r="K104" s="40" t="n">
        <f aca="false">K102</f>
        <v>376.996472</v>
      </c>
    </row>
    <row r="105" customFormat="false" ht="17.15" hidden="false" customHeight="false" outlineLevel="0" collapsed="false">
      <c r="A105" s="5" t="s">
        <v>2360</v>
      </c>
      <c r="B105" s="0" t="s">
        <v>2426</v>
      </c>
      <c r="C105" s="0" t="s">
        <v>40</v>
      </c>
      <c r="E105" s="0" t="str">
        <f aca="false">IF(AND(ABS(E89)&lt;0.000000001,E104&lt;&gt;"",ISNUMBER(E100)),IF(N(E100)&gt;0,"模型值替代（無 GW 證據）",""),"")</f>
        <v/>
      </c>
      <c r="F105" s="0" t="str">
        <f aca="false">IF(AND(ABS(F89)&lt;0.000000001,F104&lt;&gt;"",ISNUMBER(F100)),IF(N(F100)&gt;0,"模型值替代（無 GW 證據）",""),"")</f>
        <v/>
      </c>
      <c r="G105" s="0" t="str">
        <f aca="false">IF(AND(ABS(G89)&lt;0.000000001,G104&lt;&gt;"",ISNUMBER(G100)),IF(N(G100)&gt;0,"模型值替代（無 GW 證據）",""),"")</f>
        <v/>
      </c>
      <c r="H105" s="0" t="str">
        <f aca="false">IF(AND(ABS(H89)&lt;0.000000001,H104&lt;&gt;"",ISNUMBER(H100)),IF(N(H100)&gt;0,"模型值替代（無 GW 證據）",""),"")</f>
        <v/>
      </c>
      <c r="I105" s="0" t="str">
        <f aca="false">IF(AND(ABS(I89)&lt;0.000000001,I104&lt;&gt;"",ISNUMBER(I100)),IF(N(I100)&gt;0,"模型值替代（無 GW 證據）",""),"")</f>
        <v/>
      </c>
      <c r="J105" s="0" t="str">
        <f aca="false">IF(AND(ABS(J89)&lt;0.000000001,J104&lt;&gt;"",ISNUMBER(J100)),IF(N(J100)&gt;0,"模型值替代（無 GW 證據）",""),"")</f>
        <v/>
      </c>
      <c r="K105" s="0" t="str">
        <f aca="false">IF(AND(ABS(K89)&lt;0.000000001,K104&lt;&gt;"",ISNUMBER(K100)),IF(N(K100)&gt;0,"模型值替代（無 GW 證據）",""),"")</f>
        <v/>
      </c>
      <c r="N105" s="5" t="s">
        <v>2362</v>
      </c>
    </row>
    <row r="106" customFormat="false" ht="17.15" hidden="false" customHeight="false" outlineLevel="0" collapsed="false">
      <c r="A106" s="5" t="s">
        <v>2363</v>
      </c>
      <c r="B106" s="0" t="s">
        <v>1825</v>
      </c>
      <c r="C106" s="0" t="s">
        <v>395</v>
      </c>
      <c r="E106" s="40" t="n">
        <f aca="false">IF(E105&lt;&gt;"",E100,E89)</f>
        <v>53.5376888462511</v>
      </c>
      <c r="F106" s="40" t="n">
        <f aca="false">IF(F105&lt;&gt;"",F100,F89)</f>
        <v>97.4988549215479</v>
      </c>
      <c r="G106" s="40" t="n">
        <f aca="false">IF(G105&lt;&gt;"",G100,G89)</f>
        <v>97.4531228728883</v>
      </c>
      <c r="H106" s="40" t="n">
        <f aca="false">IF(H105&lt;&gt;"",H100,H89)</f>
        <v>237.77947898275</v>
      </c>
      <c r="I106" s="40" t="n">
        <f aca="false">IF(I105&lt;&gt;"",I100,I89)</f>
        <v>282.740635557509</v>
      </c>
      <c r="J106" s="40" t="n">
        <f aca="false">IF(J105&lt;&gt;"",J100,J89)</f>
        <v>318.17120018236</v>
      </c>
      <c r="K106" s="40" t="n">
        <f aca="false">IF(K105&lt;&gt;"",K100,K89)</f>
        <v>350.648908691263</v>
      </c>
    </row>
    <row r="107" customFormat="false" ht="17.15" hidden="false" customHeight="false" outlineLevel="0" collapsed="false">
      <c r="A107" s="5" t="s">
        <v>2364</v>
      </c>
      <c r="B107" s="0" t="s">
        <v>2427</v>
      </c>
      <c r="C107" s="0" t="s">
        <v>395</v>
      </c>
      <c r="E107" s="33" t="n">
        <f aca="false">E106</f>
        <v>53.5376888462511</v>
      </c>
      <c r="F107" s="33" t="n">
        <f aca="false">F106</f>
        <v>97.4988549215479</v>
      </c>
      <c r="G107" s="33" t="n">
        <f aca="false">G106</f>
        <v>97.4531228728883</v>
      </c>
      <c r="H107" s="33" t="n">
        <f aca="false">IF(ISNUMBER(H100),H100,H106)</f>
        <v>235.592521</v>
      </c>
      <c r="I107" s="33" t="n">
        <f aca="false">IF(ISNUMBER(I100),I100,I106)</f>
        <v>248.502461</v>
      </c>
      <c r="J107" s="33" t="n">
        <f aca="false">IF(ISNUMBER(J100),J100,J106)</f>
        <v>211.479266</v>
      </c>
      <c r="K107" s="33" t="n">
        <f aca="false">IF(ISNUMBER(K100),K100,K106)</f>
        <v>184.143042</v>
      </c>
    </row>
    <row r="108" customFormat="false" ht="15" hidden="false" customHeight="false" outlineLevel="0" collapsed="false">
      <c r="A108" s="5" t="s">
        <v>2366</v>
      </c>
      <c r="B108" s="0" t="s">
        <v>2428</v>
      </c>
      <c r="C108" s="0" t="s">
        <v>395</v>
      </c>
      <c r="D108" s="33" t="str">
        <f aca="false">IF(In!H179&lt;&gt;"",In!H179,"")</f>
        <v/>
      </c>
      <c r="E108" s="33" t="str">
        <f aca="false">IF(In!I179&lt;&gt;"",In!I179,IF(Funding!T8&lt;&gt;"",Funding!T8,""))</f>
        <v/>
      </c>
      <c r="F108" s="33" t="n">
        <f aca="false">IF(In!J179&lt;&gt;"",In!J179,IF(Funding!T9&lt;&gt;"",Funding!T9,""))</f>
        <v>55.758</v>
      </c>
      <c r="G108" s="33" t="n">
        <f aca="false">IF(In!K179&lt;&gt;"",In!K179,"")</f>
        <v>11.25568</v>
      </c>
      <c r="H108" s="33" t="n">
        <f aca="false">IF(In!L179&lt;&gt;"",In!L179,"")</f>
        <v>29.697802</v>
      </c>
      <c r="I108" s="33" t="n">
        <f aca="false">IF(In!M179&lt;&gt;"",In!M179,"")</f>
        <v>13.345709</v>
      </c>
      <c r="J108" s="33" t="n">
        <f aca="false">IF(In!N179&lt;&gt;"",In!N179,"")</f>
        <v>30.482343</v>
      </c>
      <c r="K108" s="33" t="n">
        <f aca="false">IF(In!O179&lt;&gt;"",In!O179,"")</f>
        <v>30.678111</v>
      </c>
      <c r="L108" s="33" t="n">
        <f aca="false">IF(In!P179&lt;&gt;"",In!P179,"")</f>
        <v>31.467874</v>
      </c>
      <c r="M108" s="33" t="n">
        <f aca="false">IF(In!Q179&lt;&gt;"",In!Q179,"")</f>
        <v>32.307435</v>
      </c>
    </row>
    <row r="109" customFormat="false" ht="15" hidden="false" customHeight="false" outlineLevel="0" collapsed="false">
      <c r="A109" s="5" t="s">
        <v>2368</v>
      </c>
      <c r="B109" s="0" t="s">
        <v>2429</v>
      </c>
      <c r="C109" s="0" t="s">
        <v>395</v>
      </c>
      <c r="E109" s="33" t="str">
        <f aca="false">E108</f>
        <v/>
      </c>
      <c r="F109" s="33" t="n">
        <f aca="false">F108</f>
        <v>55.758</v>
      </c>
      <c r="G109" s="33" t="n">
        <f aca="false">G108</f>
        <v>11.25568</v>
      </c>
      <c r="H109" s="33" t="n">
        <f aca="false">H108</f>
        <v>29.697802</v>
      </c>
      <c r="I109" s="33" t="n">
        <f aca="false">I108</f>
        <v>13.345709</v>
      </c>
      <c r="J109" s="33" t="n">
        <f aca="false">J108</f>
        <v>30.482343</v>
      </c>
      <c r="K109" s="33" t="n">
        <f aca="false">K108</f>
        <v>30.678111</v>
      </c>
    </row>
    <row r="110" customFormat="false" ht="17.15" hidden="false" customHeight="false" outlineLevel="0" collapsed="false">
      <c r="A110" s="5" t="s">
        <v>2370</v>
      </c>
      <c r="B110" s="0" t="s">
        <v>2430</v>
      </c>
      <c r="C110" s="0" t="s">
        <v>395</v>
      </c>
      <c r="E110" s="33" t="n">
        <f aca="false">E106+E96</f>
        <v>53.5376888462511</v>
      </c>
      <c r="F110" s="33" t="n">
        <f aca="false">F106+F96</f>
        <v>111.215904921548</v>
      </c>
      <c r="G110" s="33" t="n">
        <f aca="false">G106+G96</f>
        <v>127.453122872888</v>
      </c>
      <c r="H110" s="33" t="n">
        <f aca="false">H106+H96</f>
        <v>292.55209798275</v>
      </c>
      <c r="I110" s="33" t="n">
        <f aca="false">I106+I96</f>
        <v>351.637010557509</v>
      </c>
      <c r="J110" s="33" t="n">
        <f aca="false">J106+J96</f>
        <v>399.25280618236</v>
      </c>
      <c r="K110" s="33" t="n">
        <f aca="false">K106+K96</f>
        <v>438.175403691263</v>
      </c>
    </row>
    <row r="111" customFormat="false" ht="17.15" hidden="false" customHeight="false" outlineLevel="0" collapsed="false">
      <c r="A111" s="5" t="s">
        <v>2372</v>
      </c>
      <c r="B111" s="0" t="s">
        <v>2431</v>
      </c>
      <c r="C111" s="0" t="s">
        <v>41</v>
      </c>
      <c r="E111" s="30" t="n">
        <f aca="false">IF(OR(E104="",E110&lt;=0),"",E104/E110)</f>
        <v>2.34038866264534</v>
      </c>
      <c r="F111" s="30" t="n">
        <f aca="false">IF(OR(F104="",F110&lt;=0),"",F104/F110)</f>
        <v>1.48102018426401</v>
      </c>
      <c r="G111" s="30" t="n">
        <f aca="false">IF(OR(G104="",G110&lt;=0),"",G104/G110)</f>
        <v>1.47887539160561</v>
      </c>
      <c r="H111" s="30" t="n">
        <f aca="false">IF(OR(H104="",H110&lt;=0),"",H104/H110)</f>
        <v>0.831716059046506</v>
      </c>
      <c r="I111" s="30" t="n">
        <f aca="false">IF(OR(I104="",I110&lt;=0),"",I104/I110)</f>
        <v>0.825834773591068</v>
      </c>
      <c r="J111" s="30" t="n">
        <f aca="false">IF(OR(J104="",J110&lt;=0),"",J104/J110)</f>
        <v>0.849210549681492</v>
      </c>
      <c r="K111" s="30" t="n">
        <f aca="false">IF(OR(K104="",K110&lt;=0),"",K104/K110)</f>
        <v>0.860377987500254</v>
      </c>
    </row>
    <row r="112" customFormat="false" ht="17.15" hidden="false" customHeight="false" outlineLevel="0" collapsed="false">
      <c r="A112" s="5" t="s">
        <v>2374</v>
      </c>
      <c r="B112" s="0" t="s">
        <v>2432</v>
      </c>
      <c r="C112" s="0" t="s">
        <v>395</v>
      </c>
      <c r="E112" s="40" t="n">
        <f aca="false">IF(E104="","",E110-E104)</f>
        <v>-71.7613111537489</v>
      </c>
      <c r="F112" s="40" t="n">
        <f aca="false">IF(F104="","",F110-F104)</f>
        <v>-53.4970950784521</v>
      </c>
      <c r="G112" s="40" t="n">
        <f aca="false">IF(G104="","",G110-G104)</f>
        <v>-61.0341641271117</v>
      </c>
      <c r="H112" s="40" t="n">
        <f aca="false">IF(H104="","",H110-H104)</f>
        <v>49.2318199827497</v>
      </c>
      <c r="I112" s="40" t="n">
        <f aca="false">IF(I104="","",I110-I104)</f>
        <v>61.2429395575087</v>
      </c>
      <c r="J112" s="40" t="n">
        <f aca="false">IF(J104="","",J110-J104)</f>
        <v>60.2031111823599</v>
      </c>
      <c r="K112" s="40" t="n">
        <f aca="false">IF(K104="","",K110-K104)</f>
        <v>61.1789316912626</v>
      </c>
    </row>
    <row r="113" customFormat="false" ht="17.15" hidden="false" customHeight="false" outlineLevel="0" collapsed="false">
      <c r="A113" s="5" t="s">
        <v>2433</v>
      </c>
      <c r="B113" s="0" t="s">
        <v>2434</v>
      </c>
      <c r="C113" s="0" t="s">
        <v>395</v>
      </c>
      <c r="E113" s="40" t="n">
        <f aca="false">N(Funding!AL8)</f>
        <v>0</v>
      </c>
      <c r="F113" s="40" t="n">
        <f aca="false">N(Funding!AL9)</f>
        <v>64.564</v>
      </c>
    </row>
    <row r="114" customFormat="false" ht="17.15" hidden="false" customHeight="false" outlineLevel="0" collapsed="false">
      <c r="A114" s="5" t="s">
        <v>2435</v>
      </c>
      <c r="B114" s="0" t="s">
        <v>2436</v>
      </c>
      <c r="C114" s="0" t="s">
        <v>395</v>
      </c>
      <c r="E114" s="33" t="n">
        <f aca="false">(N(Funding!J8)+N(Funding!K8)+N(Funding!L8)+N(Funding!M8))</f>
        <v>0</v>
      </c>
      <c r="F114" s="33" t="n">
        <f aca="false">(N(Funding!J9)+N(Funding!K9)+N(Funding!L9)+N(Funding!M9))</f>
        <v>64.564</v>
      </c>
    </row>
    <row r="115" customFormat="false" ht="15" hidden="false" customHeight="false" outlineLevel="0" collapsed="false">
      <c r="A115" s="5" t="s">
        <v>2437</v>
      </c>
      <c r="B115" s="0" t="s">
        <v>2438</v>
      </c>
      <c r="C115" s="0" t="s">
        <v>395</v>
      </c>
      <c r="E115" s="33" t="n">
        <f aca="false">N(Funding!R8)</f>
        <v>0</v>
      </c>
      <c r="F115" s="33" t="n">
        <f aca="false">N(Funding!R9)</f>
        <v>0</v>
      </c>
    </row>
    <row r="116" customFormat="false" ht="15" hidden="false" customHeight="false" outlineLevel="0" collapsed="false">
      <c r="A116" s="5" t="s">
        <v>2439</v>
      </c>
      <c r="B116" s="0" t="s">
        <v>2440</v>
      </c>
      <c r="C116" s="0" t="s">
        <v>395</v>
      </c>
      <c r="E116" s="33" t="n">
        <f aca="false">(N(Funding!AL8)-(N(Funding!J8)+N(Funding!K8)+N(Funding!L8)+N(Funding!M8))-N(Funding!R8))</f>
        <v>0</v>
      </c>
      <c r="F116" s="33" t="n">
        <f aca="false">(N(Funding!AL9)-(N(Funding!J9)+N(Funding!K9)+N(Funding!L9)+N(Funding!M9))-N(Funding!R9))</f>
        <v>0</v>
      </c>
    </row>
    <row r="117" customFormat="false" ht="17.15" hidden="false" customHeight="false" outlineLevel="0" collapsed="false">
      <c r="A117" s="5" t="s">
        <v>2384</v>
      </c>
      <c r="B117" s="0" t="s">
        <v>2441</v>
      </c>
      <c r="C117" s="0" t="s">
        <v>395</v>
      </c>
      <c r="E117" s="33" t="n">
        <f aca="false">IF(E112="","",E112-E113)</f>
        <v>-71.7613111537489</v>
      </c>
      <c r="F117" s="33" t="n">
        <f aca="false">IF(F112="","",F112-F113)</f>
        <v>-118.061095078452</v>
      </c>
    </row>
    <row r="118" customFormat="false" ht="17.15" hidden="false" customHeight="false" outlineLevel="0" collapsed="false">
      <c r="A118" s="5" t="s">
        <v>2386</v>
      </c>
      <c r="B118" s="0" t="s">
        <v>2442</v>
      </c>
      <c r="C118" s="0" t="s">
        <v>395</v>
      </c>
      <c r="G118" s="33" t="n">
        <f aca="false">IF(Funding!O10&lt;&gt;"",Funding!O10,N(Funding!O9))</f>
        <v>85.2</v>
      </c>
      <c r="N118" s="5" t="s">
        <v>2388</v>
      </c>
    </row>
    <row r="119" customFormat="false" ht="17.15" hidden="false" customHeight="false" outlineLevel="0" collapsed="false">
      <c r="A119" s="5" t="s">
        <v>2389</v>
      </c>
      <c r="B119" s="0" t="s">
        <v>2443</v>
      </c>
      <c r="C119" s="0" t="s">
        <v>395</v>
      </c>
      <c r="G119" s="33" t="n">
        <f aca="false">IF(Funding!Q10&lt;&gt;"",Funding!Q10,N(Funding!Q9))</f>
        <v>44</v>
      </c>
      <c r="N119" s="5" t="s">
        <v>2391</v>
      </c>
    </row>
    <row r="120" customFormat="false" ht="17.15" hidden="false" customHeight="false" outlineLevel="0" collapsed="false">
      <c r="A120" s="5" t="s">
        <v>2392</v>
      </c>
      <c r="B120" s="0" t="s">
        <v>2444</v>
      </c>
      <c r="C120" s="0" t="s">
        <v>395</v>
      </c>
      <c r="G120" s="33" t="n">
        <f aca="false">N(Funding!AL10)</f>
        <v>147.155</v>
      </c>
    </row>
    <row r="121" customFormat="false" ht="17.15" hidden="false" customHeight="false" outlineLevel="0" collapsed="false">
      <c r="A121" s="5" t="s">
        <v>2394</v>
      </c>
      <c r="B121" s="0" t="s">
        <v>2445</v>
      </c>
      <c r="C121" s="0" t="s">
        <v>395</v>
      </c>
      <c r="G121" s="33" t="str">
        <f aca="false">IF(COUNTIFS(FundRaw!$C$4:$C$281,"googl",FundRaw!$F$4:$F$281,"cash_level",FundRaw!$D$4:$D$281,"2025-12-31",FundRaw!$O$4:$O$281,1)=0,"未取得",SUMIFS(FundRaw!$G$4:$G$281,FundRaw!$C$4:$C$281,"googl",FundRaw!$F$4:$F$281,"cash_level",FundRaw!$D$4:$D$281,"2025-12-31",FundRaw!$O$4:$O$281,1))</f>
        <v>未取得</v>
      </c>
      <c r="N121" s="5" t="s">
        <v>2396</v>
      </c>
    </row>
    <row r="122" customFormat="false" ht="17.15" hidden="false" customHeight="false" outlineLevel="0" collapsed="false">
      <c r="A122" s="5" t="s">
        <v>2397</v>
      </c>
      <c r="B122" s="0" t="s">
        <v>2446</v>
      </c>
      <c r="C122" s="0" t="s">
        <v>395</v>
      </c>
      <c r="G122" s="33" t="n">
        <f aca="false">IF(ISNUMBER(G121),G121,N(gcash_googl))</f>
        <v>120.53</v>
      </c>
      <c r="N122" s="5" t="s">
        <v>2447</v>
      </c>
    </row>
    <row r="123" customFormat="false" ht="17.15" hidden="false" customHeight="false" outlineLevel="0" collapsed="false">
      <c r="A123" s="5" t="s">
        <v>2400</v>
      </c>
      <c r="B123" s="0" t="s">
        <v>2448</v>
      </c>
      <c r="C123" s="0" t="s">
        <v>40</v>
      </c>
      <c r="G123" s="0" t="str">
        <f aca="false">IF(ISNUMBER(G121),"Funding 觀測","個股模型（In Y9）")</f>
        <v>個股模型（In Y9）</v>
      </c>
    </row>
    <row r="124" customFormat="false" ht="17.15" hidden="false" customHeight="false" outlineLevel="0" collapsed="false">
      <c r="A124" s="5" t="s">
        <v>2402</v>
      </c>
      <c r="B124" s="0" t="s">
        <v>2449</v>
      </c>
      <c r="C124" s="0" t="s">
        <v>395</v>
      </c>
      <c r="E124" s="33" t="n">
        <f aca="false">IF(E104="","",E104-E110)</f>
        <v>71.7613111537489</v>
      </c>
      <c r="F124" s="33" t="n">
        <f aca="false">IF(F104="","",F104-F110)</f>
        <v>53.4970950784521</v>
      </c>
      <c r="G124" s="33" t="n">
        <f aca="false">IF(G104="","",G104-G110)</f>
        <v>61.0341641271117</v>
      </c>
      <c r="H124" s="33" t="n">
        <f aca="false">IF(H104="","",H104-H110)</f>
        <v>-49.2318199827497</v>
      </c>
      <c r="I124" s="33" t="n">
        <f aca="false">IF(I104="","",I104-I110)</f>
        <v>-61.2429395575087</v>
      </c>
      <c r="J124" s="33" t="n">
        <f aca="false">IF(J104="","",J104-J110)</f>
        <v>-60.2031111823599</v>
      </c>
      <c r="K124" s="33" t="n">
        <f aca="false">IF(K104="","",K104-K110)</f>
        <v>-61.1789316912626</v>
      </c>
    </row>
    <row r="125" customFormat="false" ht="15" hidden="false" customHeight="false" outlineLevel="0" collapsed="false">
      <c r="A125" s="5" t="s">
        <v>2404</v>
      </c>
      <c r="B125" s="0" t="s">
        <v>2450</v>
      </c>
      <c r="C125" s="0" t="s">
        <v>57</v>
      </c>
      <c r="E125" s="23" t="n">
        <f aca="false">IF(OR(E112="",E110&lt;=0),"",E112/E110)</f>
        <v>-1.34038866264534</v>
      </c>
      <c r="F125" s="23" t="n">
        <f aca="false">IF(OR(F112="",F110&lt;=0),"",F112/F110)</f>
        <v>-0.481020184264015</v>
      </c>
      <c r="G125" s="23" t="n">
        <f aca="false">IF(OR(G112="",G110&lt;=0),"",G112/G110)</f>
        <v>-0.478875391605605</v>
      </c>
      <c r="H125" s="23" t="n">
        <f aca="false">IF(OR(H112="",H110&lt;=0),"",H112/H110)</f>
        <v>0.168283940953494</v>
      </c>
      <c r="I125" s="23" t="n">
        <f aca="false">IF(OR(I112="",I110&lt;=0),"",I112/I110)</f>
        <v>0.174165226408933</v>
      </c>
      <c r="J125" s="23" t="n">
        <f aca="false">IF(OR(J112="",J110&lt;=0),"",J112/J110)</f>
        <v>0.150789450318508</v>
      </c>
      <c r="K125" s="23" t="n">
        <f aca="false">IF(OR(K112="",K110&lt;=0),"",K112/K110)</f>
        <v>0.139622012499746</v>
      </c>
    </row>
    <row r="127" customFormat="false" ht="17.15" hidden="false" customHeight="false" outlineLevel="0" collapsed="false">
      <c r="A127" s="8" t="s">
        <v>2084</v>
      </c>
      <c r="B127" s="21" t="s">
        <v>741</v>
      </c>
      <c r="N127" s="5" t="s">
        <v>2451</v>
      </c>
    </row>
    <row r="128" customFormat="false" ht="17.15" hidden="false" customHeight="false" outlineLevel="0" collapsed="false">
      <c r="A128" s="5" t="s">
        <v>2317</v>
      </c>
      <c r="B128" s="0" t="s">
        <v>1426</v>
      </c>
      <c r="C128" s="0" t="s">
        <v>82</v>
      </c>
      <c r="D128" s="25" t="n">
        <f aca="false">CapexGW!D60</f>
        <v>0</v>
      </c>
      <c r="E128" s="25" t="n">
        <f aca="false">CapexGW!E60</f>
        <v>0</v>
      </c>
      <c r="F128" s="25" t="n">
        <f aca="false">CapexGW!F60</f>
        <v>1.38971599402093</v>
      </c>
      <c r="G128" s="25" t="n">
        <f aca="false">CapexGW!G60</f>
        <v>0.527</v>
      </c>
      <c r="H128" s="25" t="n">
        <f aca="false">CapexGW!H60</f>
        <v>4.54496548273742</v>
      </c>
      <c r="I128" s="25" t="n">
        <f aca="false">CapexGW!I60</f>
        <v>4.99623819927339</v>
      </c>
      <c r="J128" s="25" t="n">
        <f aca="false">CapexGW!J60</f>
        <v>5.54650880690247</v>
      </c>
      <c r="K128" s="25" t="n">
        <f aca="false">CapexGW!K60</f>
        <v>6.08030840983174</v>
      </c>
      <c r="L128" s="25" t="n">
        <f aca="false">CapexGW!L60</f>
        <v>6.68833925081491</v>
      </c>
      <c r="M128" s="25" t="n">
        <f aca="false">CapexGW!M60</f>
        <v>7.35717317589641</v>
      </c>
      <c r="N128" s="21" t="s">
        <v>2318</v>
      </c>
    </row>
    <row r="129" customFormat="false" ht="17.15" hidden="false" customHeight="false" outlineLevel="0" collapsed="false">
      <c r="A129" s="5" t="s">
        <v>2319</v>
      </c>
      <c r="B129" s="0" t="s">
        <v>1842</v>
      </c>
      <c r="C129" s="0" t="s">
        <v>230</v>
      </c>
      <c r="D129" s="30" t="n">
        <f aca="false">CapexGW!D55</f>
        <v>24.4399126824</v>
      </c>
      <c r="E129" s="30" t="n">
        <f aca="false">CapexGW!E55</f>
        <v>24.4399126824</v>
      </c>
      <c r="F129" s="30" t="n">
        <f aca="false">CapexGW!F55</f>
        <v>23.9445411024</v>
      </c>
      <c r="G129" s="30" t="n">
        <f aca="false">CapexGW!G55</f>
        <v>26.3881726752</v>
      </c>
      <c r="H129" s="30" t="n">
        <f aca="false">CapexGW!H55</f>
        <v>28.0138705421991</v>
      </c>
      <c r="I129" s="30" t="n">
        <f aca="false">CapexGW!I55</f>
        <v>29.0013069560425</v>
      </c>
      <c r="J129" s="30" t="n">
        <f aca="false">CapexGW!J55</f>
        <v>29.0013069560425</v>
      </c>
      <c r="K129" s="30" t="n">
        <f aca="false">CapexGW!K55</f>
        <v>29.0013069560425</v>
      </c>
      <c r="L129" s="30" t="n">
        <f aca="false">CapexGW!L55</f>
        <v>29.0013069560425</v>
      </c>
      <c r="M129" s="30" t="n">
        <f aca="false">CapexGW!M55</f>
        <v>29.0013069560425</v>
      </c>
    </row>
    <row r="130" customFormat="false" ht="17.15" hidden="false" customHeight="false" outlineLevel="0" collapsed="false">
      <c r="A130" s="5" t="s">
        <v>2320</v>
      </c>
      <c r="B130" s="0" t="s">
        <v>1843</v>
      </c>
      <c r="C130" s="0" t="s">
        <v>230</v>
      </c>
      <c r="D130" s="30" t="n">
        <f aca="false">CapexGW!D56</f>
        <v>9.359329</v>
      </c>
      <c r="E130" s="30" t="n">
        <f aca="false">CapexGW!E56</f>
        <v>9.359329</v>
      </c>
      <c r="F130" s="30" t="n">
        <f aca="false">CapexGW!F56</f>
        <v>9.359329</v>
      </c>
      <c r="G130" s="30" t="n">
        <f aca="false">CapexGW!G56</f>
        <v>9.359329</v>
      </c>
      <c r="H130" s="30" t="n">
        <f aca="false">CapexGW!H56</f>
        <v>9.359329</v>
      </c>
      <c r="I130" s="30" t="n">
        <f aca="false">CapexGW!I56</f>
        <v>9.359329</v>
      </c>
      <c r="J130" s="30" t="n">
        <f aca="false">CapexGW!J56</f>
        <v>9.359329</v>
      </c>
      <c r="K130" s="30" t="n">
        <f aca="false">CapexGW!K56</f>
        <v>9.359329</v>
      </c>
      <c r="L130" s="30" t="n">
        <f aca="false">CapexGW!L56</f>
        <v>9.359329</v>
      </c>
      <c r="M130" s="30" t="n">
        <f aca="false">CapexGW!M56</f>
        <v>9.359329</v>
      </c>
    </row>
    <row r="131" customFormat="false" ht="17.15" hidden="false" customHeight="false" outlineLevel="0" collapsed="false">
      <c r="A131" s="5" t="s">
        <v>2321</v>
      </c>
      <c r="B131" s="0" t="s">
        <v>2452</v>
      </c>
      <c r="C131" s="0" t="s">
        <v>395</v>
      </c>
      <c r="E131" s="33" t="n">
        <f aca="false">E128*(E129+Gap!$D$6*E130)</f>
        <v>0</v>
      </c>
      <c r="F131" s="33" t="n">
        <f aca="false">F128*(F129+Gap!$D$6*F130)</f>
        <v>33.2761117394968</v>
      </c>
      <c r="G131" s="33" t="n">
        <f aca="false">G128*(G129+Gap!$D$6*G130)</f>
        <v>13.9065669998304</v>
      </c>
      <c r="H131" s="33" t="n">
        <f aca="false">H128*(H129+Gap!$D$6*H130)</f>
        <v>127.32207465217</v>
      </c>
      <c r="I131" s="33" t="n">
        <f aca="false">I128*(I129+Gap!$D$6*I130)</f>
        <v>144.897437642633</v>
      </c>
      <c r="J131" s="33" t="n">
        <f aca="false">J128*(J129+Gap!$D$6*J130)</f>
        <v>160.856004443372</v>
      </c>
      <c r="K131" s="33" t="n">
        <f aca="false">K128*(K129+Gap!$D$6*K130)</f>
        <v>176.336890580937</v>
      </c>
    </row>
    <row r="132" customFormat="false" ht="17.15" hidden="false" customHeight="false" outlineLevel="0" collapsed="false">
      <c r="A132" s="5" t="s">
        <v>2323</v>
      </c>
      <c r="B132" s="0" t="s">
        <v>2453</v>
      </c>
      <c r="C132" s="0" t="s">
        <v>395</v>
      </c>
      <c r="E132" s="33" t="n">
        <f aca="false">Gap!$E$6*F128*F130</f>
        <v>6.50340460230194</v>
      </c>
      <c r="F132" s="33" t="n">
        <f aca="false">Gap!$E$6*G128*G130</f>
        <v>2.4661831915</v>
      </c>
      <c r="G132" s="33" t="n">
        <f aca="false">Gap!$E$6*H128*H130</f>
        <v>21.2689136232917</v>
      </c>
      <c r="H132" s="33" t="n">
        <f aca="false">Gap!$E$6*I128*I130</f>
        <v>23.3807185346836</v>
      </c>
      <c r="I132" s="33" t="n">
        <f aca="false">Gap!$E$6*J128*J130</f>
        <v>25.9558003625988</v>
      </c>
      <c r="J132" s="33" t="n">
        <f aca="false">Gap!$E$6*K128*K130</f>
        <v>28.453803414541</v>
      </c>
      <c r="K132" s="33" t="n">
        <f aca="false">Gap!$E$6*L128*L130</f>
        <v>31.2991837559951</v>
      </c>
    </row>
    <row r="133" customFormat="false" ht="17.15" hidden="false" customHeight="false" outlineLevel="0" collapsed="false">
      <c r="A133" s="5" t="s">
        <v>2325</v>
      </c>
      <c r="B133" s="0" t="s">
        <v>2454</v>
      </c>
      <c r="C133" s="0" t="s">
        <v>395</v>
      </c>
      <c r="E133" s="33" t="n">
        <f aca="false">Gap!$F$6*G128*G130</f>
        <v>2.4661831915</v>
      </c>
      <c r="F133" s="33" t="n">
        <f aca="false">Gap!$F$6*H128*H130</f>
        <v>21.2689136232917</v>
      </c>
      <c r="G133" s="33" t="n">
        <f aca="false">Gap!$F$6*I128*I130</f>
        <v>23.3807185346836</v>
      </c>
      <c r="H133" s="33" t="n">
        <f aca="false">Gap!$F$6*J128*J130</f>
        <v>25.9558003625988</v>
      </c>
      <c r="I133" s="33" t="n">
        <f aca="false">Gap!$F$6*K128*K130</f>
        <v>28.453803414541</v>
      </c>
      <c r="J133" s="33" t="n">
        <f aca="false">Gap!$F$6*L128*L130</f>
        <v>31.2991837559951</v>
      </c>
      <c r="K133" s="33" t="n">
        <f aca="false">Gap!$F$6*M128*M130</f>
        <v>34.4291021315947</v>
      </c>
    </row>
    <row r="134" customFormat="false" ht="17.15" hidden="false" customHeight="false" outlineLevel="0" collapsed="false">
      <c r="A134" s="5" t="s">
        <v>2327</v>
      </c>
      <c r="B134" s="0" t="s">
        <v>2455</v>
      </c>
      <c r="C134" s="0" t="s">
        <v>395</v>
      </c>
      <c r="E134" s="33" t="n">
        <f aca="false">E131+E132+E133</f>
        <v>8.96958779380194</v>
      </c>
      <c r="F134" s="33" t="n">
        <f aca="false">F131+F132+F133</f>
        <v>57.0112085542884</v>
      </c>
      <c r="G134" s="33" t="n">
        <f aca="false">G131+G132+G133</f>
        <v>58.5561991578057</v>
      </c>
      <c r="H134" s="33" t="n">
        <f aca="false">H131+H132+H133</f>
        <v>176.658593549452</v>
      </c>
      <c r="I134" s="33" t="n">
        <f aca="false">I131+I132+I133</f>
        <v>199.307041419773</v>
      </c>
      <c r="J134" s="33" t="n">
        <f aca="false">J131+J132+J133</f>
        <v>220.608991613908</v>
      </c>
      <c r="K134" s="33" t="n">
        <f aca="false">K131+K132+K133</f>
        <v>242.065176468527</v>
      </c>
    </row>
    <row r="135" customFormat="false" ht="17.15" hidden="false" customHeight="false" outlineLevel="0" collapsed="false">
      <c r="A135" s="5" t="s">
        <v>2329</v>
      </c>
      <c r="B135" s="0" t="s">
        <v>2456</v>
      </c>
      <c r="C135" s="0" t="s">
        <v>395</v>
      </c>
      <c r="E135" s="33" t="n">
        <f aca="false">E128*(Gap!E$8+Gap!$D$6*Gap!E$9)</f>
        <v>0</v>
      </c>
      <c r="F135" s="33" t="n">
        <f aca="false">F128*(Gap!F$8+Gap!$D$6*Gap!F$9)</f>
        <v>35.8717261031664</v>
      </c>
      <c r="G135" s="33" t="n">
        <f aca="false">G128*(Gap!G$8+Gap!$D$6*Gap!G$9)</f>
        <v>16.5758801915388</v>
      </c>
      <c r="H135" s="33" t="n">
        <f aca="false">H128*(Gap!H$8+Gap!$D$6*Gap!H$9)</f>
        <v>157.9241084891</v>
      </c>
      <c r="I135" s="33" t="n">
        <f aca="false">I128*(Gap!I$8+Gap!$D$6*Gap!I$9)</f>
        <v>184.752388459232</v>
      </c>
      <c r="J135" s="33" t="n">
        <f aca="false">J128*(Gap!J$8+Gap!$D$6*Gap!J$9)</f>
        <v>204.870600228068</v>
      </c>
      <c r="K135" s="33" t="n">
        <f aca="false">K128*(Gap!K$8+Gap!$D$6*Gap!K$9)</f>
        <v>224.587479595055</v>
      </c>
    </row>
    <row r="136" customFormat="false" ht="17.15" hidden="false" customHeight="false" outlineLevel="0" collapsed="false">
      <c r="A136" s="5" t="s">
        <v>2331</v>
      </c>
      <c r="B136" s="0" t="s">
        <v>2457</v>
      </c>
      <c r="C136" s="0" t="s">
        <v>395</v>
      </c>
      <c r="E136" s="33" t="n">
        <f aca="false">Gap!$E$6*F128*Gap!F$9</f>
        <v>8.11178607653503</v>
      </c>
      <c r="F136" s="33" t="n">
        <f aca="false">Gap!$E$6*G128*Gap!G$9</f>
        <v>3.07610424052556</v>
      </c>
      <c r="G136" s="33" t="n">
        <f aca="false">Gap!$E$6*H128*Gap!H$9</f>
        <v>26.1974851096465</v>
      </c>
      <c r="H136" s="33" t="n">
        <f aca="false">Gap!$E$6*I128*Gap!I$9</f>
        <v>28.8350043094138</v>
      </c>
      <c r="I136" s="33" t="n">
        <f aca="false">Gap!$E$6*J128*Gap!J$9</f>
        <v>31.9810499882429</v>
      </c>
      <c r="J136" s="33" t="n">
        <f aca="false">Gap!$E$6*K128*Gap!K$9</f>
        <v>35.058926969839</v>
      </c>
      <c r="K136" s="33" t="n">
        <f aca="false">Gap!$E$6*L128*Gap!L$9</f>
        <v>38.5648196668229</v>
      </c>
    </row>
    <row r="137" customFormat="false" ht="17.15" hidden="false" customHeight="false" outlineLevel="0" collapsed="false">
      <c r="A137" s="5" t="s">
        <v>2333</v>
      </c>
      <c r="B137" s="0" t="s">
        <v>2458</v>
      </c>
      <c r="C137" s="0" t="s">
        <v>395</v>
      </c>
      <c r="E137" s="33" t="n">
        <f aca="false">Gap!$F$6*G128*Gap!G$9</f>
        <v>3.07610424052556</v>
      </c>
      <c r="F137" s="33" t="n">
        <f aca="false">Gap!$F$6*H128*Gap!H$9</f>
        <v>26.1974851096465</v>
      </c>
      <c r="G137" s="33" t="n">
        <f aca="false">Gap!$F$6*I128*Gap!I$9</f>
        <v>28.8350043094138</v>
      </c>
      <c r="H137" s="33" t="n">
        <f aca="false">Gap!$F$6*J128*Gap!J$9</f>
        <v>31.9810499882429</v>
      </c>
      <c r="I137" s="33" t="n">
        <f aca="false">Gap!$F$6*K128*Gap!K$9</f>
        <v>35.058926969839</v>
      </c>
      <c r="J137" s="33" t="n">
        <f aca="false">Gap!$F$6*L128*Gap!L$9</f>
        <v>38.5648196668229</v>
      </c>
      <c r="K137" s="33" t="n">
        <f aca="false">Gap!$F$6*M128*Gap!M$9</f>
        <v>42.4213016335052</v>
      </c>
    </row>
    <row r="138" customFormat="false" ht="17.15" hidden="false" customHeight="false" outlineLevel="0" collapsed="false">
      <c r="A138" s="5" t="s">
        <v>2335</v>
      </c>
      <c r="B138" s="0" t="s">
        <v>2459</v>
      </c>
      <c r="C138" s="0" t="s">
        <v>395</v>
      </c>
      <c r="D138" s="33" t="str">
        <f aca="false">IF(In!H183&lt;&gt;"",In!H183,"")</f>
        <v/>
      </c>
      <c r="E138" s="33" t="n">
        <f aca="false">IF(In!I183&lt;&gt;"",In!I183,"")</f>
        <v>52.379895</v>
      </c>
      <c r="F138" s="33" t="n">
        <f aca="false">IF(In!J183&lt;&gt;"",In!J183,"")</f>
        <v>58.751368</v>
      </c>
      <c r="G138" s="33" t="n">
        <f aca="false">IF(In!K183&lt;&gt;"",In!K183,"")</f>
        <v>68.108332</v>
      </c>
      <c r="H138" s="33" t="n">
        <f aca="false">IF(In!L183&lt;&gt;"",In!L183,"")</f>
        <v>75.834173</v>
      </c>
      <c r="I138" s="33" t="n">
        <f aca="false">IF(In!M183&lt;&gt;"",In!M183,"")</f>
        <v>83.39212</v>
      </c>
      <c r="J138" s="33" t="n">
        <f aca="false">IF(In!N183&lt;&gt;"",In!N183,"")</f>
        <v>90.532612</v>
      </c>
      <c r="K138" s="33" t="n">
        <f aca="false">IF(In!O183&lt;&gt;"",In!O183,"")</f>
        <v>96.993847</v>
      </c>
      <c r="L138" s="33" t="n">
        <f aca="false">IF(In!P183&lt;&gt;"",In!P183,"")</f>
        <v>103.937857</v>
      </c>
      <c r="M138" s="33" t="n">
        <f aca="false">IF(In!Q183&lt;&gt;"",In!Q183,"")</f>
        <v>111.402067</v>
      </c>
    </row>
    <row r="139" customFormat="false" ht="17.15" hidden="false" customHeight="false" outlineLevel="0" collapsed="false">
      <c r="A139" s="5" t="s">
        <v>2337</v>
      </c>
      <c r="B139" s="0" t="s">
        <v>2460</v>
      </c>
      <c r="C139" s="0" t="s">
        <v>395</v>
      </c>
      <c r="E139" s="33" t="n">
        <f aca="false">E138</f>
        <v>52.379895</v>
      </c>
      <c r="F139" s="33" t="n">
        <f aca="false">F138</f>
        <v>58.751368</v>
      </c>
      <c r="G139" s="33" t="n">
        <f aca="false">G138</f>
        <v>68.108332</v>
      </c>
      <c r="H139" s="33" t="n">
        <f aca="false">H138</f>
        <v>75.834173</v>
      </c>
      <c r="I139" s="33" t="n">
        <f aca="false">I138</f>
        <v>83.39212</v>
      </c>
      <c r="J139" s="33" t="n">
        <f aca="false">J138</f>
        <v>90.532612</v>
      </c>
      <c r="K139" s="33" t="n">
        <f aca="false">K138</f>
        <v>96.993847</v>
      </c>
    </row>
    <row r="140" customFormat="false" ht="17.15" hidden="false" customHeight="false" outlineLevel="0" collapsed="false">
      <c r="A140" s="5" t="s">
        <v>2339</v>
      </c>
      <c r="B140" s="0" t="s">
        <v>2461</v>
      </c>
      <c r="C140" s="0" t="s">
        <v>40</v>
      </c>
      <c r="E140" s="0" t="str">
        <f aca="false">IF(E139&lt;&gt;"","",IF(CapexGW!E53&lt;&gt;"","以 Y2 × (1−AI 占比) 替代（模型無拆分）","無模型值（以 0 計）"))</f>
        <v/>
      </c>
      <c r="F140" s="0" t="str">
        <f aca="false">IF(F139&lt;&gt;"","",IF(CapexGW!F53&lt;&gt;"","以 Y2 × (1−AI 占比) 替代（模型無拆分）","無模型值（以 0 計）"))</f>
        <v/>
      </c>
      <c r="G140" s="0" t="str">
        <f aca="false">IF(G139&lt;&gt;"","",IF(CapexGW!G53&lt;&gt;"","以 Y2 × (1−AI 占比) 替代（模型無拆分）","無模型值（以 0 計）"))</f>
        <v/>
      </c>
      <c r="H140" s="0" t="str">
        <f aca="false">IF(H139&lt;&gt;"","",IF(CapexGW!H53&lt;&gt;"","以 Y2 × (1−AI 占比) 替代（模型無拆分）","無模型值（以 0 計）"))</f>
        <v/>
      </c>
      <c r="I140" s="0" t="str">
        <f aca="false">IF(I139&lt;&gt;"","",IF(CapexGW!I53&lt;&gt;"","以 Y2 × (1−AI 占比) 替代（模型無拆分）","無模型值（以 0 計）"))</f>
        <v/>
      </c>
      <c r="J140" s="0" t="str">
        <f aca="false">IF(J139&lt;&gt;"","",IF(CapexGW!J53&lt;&gt;"","以 Y2 × (1−AI 占比) 替代（模型無拆分）","無模型值（以 0 計）"))</f>
        <v/>
      </c>
      <c r="K140" s="0" t="str">
        <f aca="false">IF(K139&lt;&gt;"","",IF(CapexGW!K53&lt;&gt;"","以 Y2 × (1−AI 占比) 替代（模型無拆分）","無模型值（以 0 計）"))</f>
        <v/>
      </c>
      <c r="N140" s="0" t="s">
        <v>2462</v>
      </c>
    </row>
    <row r="141" customFormat="false" ht="17.15" hidden="false" customHeight="false" outlineLevel="0" collapsed="false">
      <c r="A141" s="5" t="s">
        <v>2342</v>
      </c>
      <c r="B141" s="0" t="s">
        <v>2463</v>
      </c>
      <c r="C141" s="0" t="s">
        <v>395</v>
      </c>
      <c r="E141" s="33" t="n">
        <f aca="false">IF(E139&lt;&gt;"",E139,IF(CapexGW!E53&lt;&gt;"",CapexGW!E53*(1-ai_amzn),0))</f>
        <v>52.379895</v>
      </c>
      <c r="F141" s="33" t="n">
        <f aca="false">IF(F139&lt;&gt;"",F139,IF(CapexGW!F53&lt;&gt;"",CapexGW!F53*(1-ai_amzn),0))</f>
        <v>58.751368</v>
      </c>
      <c r="G141" s="33" t="n">
        <f aca="false">IF(G139&lt;&gt;"",G139,IF(CapexGW!G53&lt;&gt;"",CapexGW!G53*(1-ai_amzn),0))</f>
        <v>68.108332</v>
      </c>
      <c r="H141" s="33" t="n">
        <f aca="false">IF(H139&lt;&gt;"",H139,IF(CapexGW!H53&lt;&gt;"",CapexGW!H53*(1-ai_amzn),0))</f>
        <v>75.834173</v>
      </c>
      <c r="I141" s="33" t="n">
        <f aca="false">IF(I139&lt;&gt;"",I139,IF(CapexGW!I53&lt;&gt;"",CapexGW!I53*(1-ai_amzn),0))</f>
        <v>83.39212</v>
      </c>
      <c r="J141" s="33" t="n">
        <f aca="false">IF(J139&lt;&gt;"",J139,IF(CapexGW!J53&lt;&gt;"",CapexGW!J53*(1-ai_amzn),0))</f>
        <v>90.532612</v>
      </c>
      <c r="K141" s="33" t="n">
        <f aca="false">IF(K139&lt;&gt;"",K139,IF(CapexGW!K53&lt;&gt;"",CapexGW!K53*(1-ai_amzn),0))</f>
        <v>96.993847</v>
      </c>
    </row>
    <row r="142" customFormat="false" ht="15" hidden="false" customHeight="false" outlineLevel="0" collapsed="false">
      <c r="A142" s="5" t="s">
        <v>2344</v>
      </c>
      <c r="B142" s="0" t="s">
        <v>2464</v>
      </c>
      <c r="C142" s="0" t="s">
        <v>395</v>
      </c>
      <c r="D142" s="33" t="str">
        <f aca="false">IF(In!H184&lt;&gt;"",In!H184,"")</f>
        <v/>
      </c>
      <c r="E142" s="33" t="n">
        <f aca="false">IF(In!I184&lt;&gt;"",In!I184,"")</f>
        <v>77.658</v>
      </c>
      <c r="F142" s="33" t="n">
        <f aca="false">IF(In!J184&lt;&gt;"",In!J184,"")</f>
        <v>128.32</v>
      </c>
      <c r="G142" s="33" t="n">
        <f aca="false">IF(In!K184&lt;&gt;"",In!K184,"")</f>
        <v>220</v>
      </c>
      <c r="H142" s="33" t="n">
        <f aca="false">IF(In!L184&lt;&gt;"",In!L184,"")</f>
        <v>253.080086</v>
      </c>
      <c r="I142" s="33" t="n">
        <f aca="false">IF(In!M184&lt;&gt;"",In!M184,"")</f>
        <v>266.971568</v>
      </c>
      <c r="J142" s="33" t="n">
        <f aca="false">IF(In!N184&lt;&gt;"",In!N184,"")</f>
        <v>278.40589</v>
      </c>
      <c r="K142" s="33" t="n">
        <f aca="false">IF(In!O184&lt;&gt;"",In!O184,"")</f>
        <v>235.400884</v>
      </c>
      <c r="L142" s="33" t="n">
        <f aca="false">IF(In!P184&lt;&gt;"",In!P184,"")</f>
        <v>218.641632</v>
      </c>
      <c r="M142" s="33" t="n">
        <f aca="false">IF(In!Q184&lt;&gt;"",In!Q184,"")</f>
        <v>224.388774</v>
      </c>
    </row>
    <row r="143" customFormat="false" ht="15" hidden="false" customHeight="false" outlineLevel="0" collapsed="false">
      <c r="A143" s="5" t="s">
        <v>2346</v>
      </c>
      <c r="B143" s="0" t="s">
        <v>2465</v>
      </c>
      <c r="C143" s="0" t="s">
        <v>395</v>
      </c>
      <c r="E143" s="33" t="n">
        <f aca="false">E142</f>
        <v>77.658</v>
      </c>
      <c r="F143" s="33" t="n">
        <f aca="false">F142</f>
        <v>128.32</v>
      </c>
      <c r="G143" s="33" t="n">
        <f aca="false">G142</f>
        <v>220</v>
      </c>
      <c r="H143" s="33" t="n">
        <f aca="false">H142</f>
        <v>253.080086</v>
      </c>
      <c r="I143" s="33" t="n">
        <f aca="false">I142</f>
        <v>266.971568</v>
      </c>
      <c r="J143" s="33" t="n">
        <f aca="false">J142</f>
        <v>278.40589</v>
      </c>
      <c r="K143" s="33" t="n">
        <f aca="false">K142</f>
        <v>235.400884</v>
      </c>
    </row>
    <row r="144" customFormat="false" ht="17.15" hidden="false" customHeight="false" outlineLevel="0" collapsed="false">
      <c r="A144" s="5" t="s">
        <v>2348</v>
      </c>
      <c r="B144" s="0" t="s">
        <v>2466</v>
      </c>
      <c r="C144" s="0" t="s">
        <v>395</v>
      </c>
      <c r="D144" s="33" t="str">
        <f aca="false">IF(In!H182&lt;&gt;"",In!H182,"")</f>
        <v/>
      </c>
      <c r="E144" s="33" t="n">
        <f aca="false">IF(In!I182&lt;&gt;"",In!I182,"")</f>
        <v>25.278105</v>
      </c>
      <c r="F144" s="33" t="n">
        <f aca="false">IF(In!J182&lt;&gt;"",In!J182,"")</f>
        <v>69.568632</v>
      </c>
      <c r="G144" s="33" t="n">
        <f aca="false">IF(In!K182&lt;&gt;"",In!K182,"")</f>
        <v>151.891668</v>
      </c>
      <c r="H144" s="33" t="n">
        <f aca="false">IF(In!L182&lt;&gt;"",In!L182,"")</f>
        <v>177.245913</v>
      </c>
      <c r="I144" s="33" t="n">
        <f aca="false">IF(In!M182&lt;&gt;"",In!M182,"")</f>
        <v>183.579448</v>
      </c>
      <c r="J144" s="33" t="n">
        <f aca="false">IF(In!N182&lt;&gt;"",In!N182,"")</f>
        <v>187.873277</v>
      </c>
      <c r="K144" s="33" t="n">
        <f aca="false">IF(In!O182&lt;&gt;"",In!O182,"")</f>
        <v>138.407038</v>
      </c>
      <c r="L144" s="33" t="n">
        <f aca="false">IF(In!P182&lt;&gt;"",In!P182,"")</f>
        <v>114.703775</v>
      </c>
      <c r="M144" s="33" t="n">
        <f aca="false">IF(In!Q182&lt;&gt;"",In!Q182,"")</f>
        <v>112.986707</v>
      </c>
    </row>
    <row r="145" customFormat="false" ht="17.15" hidden="false" customHeight="false" outlineLevel="0" collapsed="false">
      <c r="A145" s="5" t="s">
        <v>2350</v>
      </c>
      <c r="B145" s="0" t="s">
        <v>2467</v>
      </c>
      <c r="C145" s="0" t="s">
        <v>395</v>
      </c>
      <c r="E145" s="33" t="n">
        <f aca="false">E144</f>
        <v>25.278105</v>
      </c>
      <c r="F145" s="33" t="n">
        <f aca="false">F144</f>
        <v>69.568632</v>
      </c>
      <c r="G145" s="33" t="n">
        <f aca="false">G144</f>
        <v>151.891668</v>
      </c>
      <c r="H145" s="33" t="n">
        <f aca="false">H144</f>
        <v>177.245913</v>
      </c>
      <c r="I145" s="33" t="n">
        <f aca="false">I144</f>
        <v>183.579448</v>
      </c>
      <c r="J145" s="33" t="n">
        <f aca="false">J144</f>
        <v>187.873277</v>
      </c>
      <c r="K145" s="33" t="n">
        <f aca="false">K144</f>
        <v>138.407038</v>
      </c>
    </row>
    <row r="146" customFormat="false" ht="17.15" hidden="false" customHeight="false" outlineLevel="0" collapsed="false">
      <c r="A146" s="5" t="s">
        <v>2352</v>
      </c>
      <c r="B146" s="0" t="s">
        <v>2468</v>
      </c>
      <c r="C146" s="0" t="s">
        <v>395</v>
      </c>
      <c r="E146" s="33" t="str">
        <f aca="false">CapexGW!E54</f>
        <v/>
      </c>
      <c r="F146" s="33" t="n">
        <f aca="false">CapexGW!F54</f>
        <v>87.2576</v>
      </c>
      <c r="G146" s="33" t="n">
        <f aca="false">CapexGW!G54</f>
        <v>149.6</v>
      </c>
      <c r="H146" s="33" t="n">
        <f aca="false">CapexGW!H54</f>
        <v>187.04284</v>
      </c>
      <c r="I146" s="33" t="n">
        <f aca="false">CapexGW!I54</f>
        <v>199.19036</v>
      </c>
      <c r="J146" s="33" t="n">
        <f aca="false">CapexGW!J54</f>
        <v>219.109396</v>
      </c>
      <c r="K146" s="33" t="n">
        <f aca="false">CapexGW!K54</f>
        <v>241.0203356</v>
      </c>
    </row>
    <row r="147" customFormat="false" ht="17.15" hidden="false" customHeight="false" outlineLevel="0" collapsed="false">
      <c r="A147" s="5" t="s">
        <v>2354</v>
      </c>
      <c r="B147" s="0" t="s">
        <v>2469</v>
      </c>
      <c r="C147" s="0" t="s">
        <v>395</v>
      </c>
      <c r="D147" s="33" t="str">
        <f aca="false">IF(In!H181&lt;&gt;"",In!H181,"")</f>
        <v/>
      </c>
      <c r="E147" s="33" t="n">
        <f aca="false">IF(In!I181&lt;&gt;"",In!I181,IF(Funding!E11&lt;&gt;"",Funding!E11,""))</f>
        <v>115.877</v>
      </c>
      <c r="F147" s="33" t="n">
        <f aca="false">IF(In!J181&lt;&gt;"",In!J181,IF(Funding!E12&lt;&gt;"",Funding!E12,""))</f>
        <v>139.514</v>
      </c>
      <c r="G147" s="33" t="n">
        <f aca="false">IF(In!K181&lt;&gt;"",In!K181,"")</f>
        <v>184.680086</v>
      </c>
      <c r="H147" s="33" t="n">
        <f aca="false">IF(In!L181&lt;&gt;"",In!L181,"")</f>
        <v>221.631094</v>
      </c>
      <c r="I147" s="33" t="n">
        <f aca="false">IF(In!M181&lt;&gt;"",In!M181,"")</f>
        <v>269.221281</v>
      </c>
      <c r="J147" s="33" t="n">
        <f aca="false">IF(In!N181&lt;&gt;"",In!N181,"")</f>
        <v>316.265754</v>
      </c>
      <c r="K147" s="33" t="n">
        <f aca="false">IF(In!O181&lt;&gt;"",In!O181,"")</f>
        <v>359.767979</v>
      </c>
      <c r="L147" s="33" t="n">
        <f aca="false">IF(In!P181&lt;&gt;"",In!P181,"")</f>
        <v>398.78021</v>
      </c>
      <c r="M147" s="33" t="n">
        <f aca="false">IF(In!Q181&lt;&gt;"",In!Q181,"")</f>
        <v>433.478036</v>
      </c>
    </row>
    <row r="148" customFormat="false" ht="15" hidden="false" customHeight="false" outlineLevel="0" collapsed="false">
      <c r="A148" s="5" t="s">
        <v>2356</v>
      </c>
      <c r="B148" s="0" t="s">
        <v>2470</v>
      </c>
      <c r="C148" s="0" t="s">
        <v>40</v>
      </c>
      <c r="D148" s="0" t="str">
        <f aca="false">IF(In!H181&lt;&gt;"","模型",IF(D147&lt;&gt;"","Funding 觀測","無模型值"))</f>
        <v>無模型值</v>
      </c>
      <c r="E148" s="0" t="str">
        <f aca="false">IF(In!I181&lt;&gt;"","模型",IF(E147&lt;&gt;"","Funding 觀測","無模型值"))</f>
        <v>模型</v>
      </c>
      <c r="F148" s="0" t="str">
        <f aca="false">IF(In!J181&lt;&gt;"","模型",IF(F147&lt;&gt;"","Funding 觀測","無模型值"))</f>
        <v>模型</v>
      </c>
      <c r="G148" s="0" t="str">
        <f aca="false">IF(In!K181&lt;&gt;"","模型",IF(G147&lt;&gt;"","Funding 觀測","無模型值"))</f>
        <v>模型</v>
      </c>
      <c r="H148" s="0" t="str">
        <f aca="false">IF(In!L181&lt;&gt;"","模型",IF(H147&lt;&gt;"","Funding 觀測","無模型值"))</f>
        <v>模型</v>
      </c>
      <c r="I148" s="0" t="str">
        <f aca="false">IF(In!M181&lt;&gt;"","模型",IF(I147&lt;&gt;"","Funding 觀測","無模型值"))</f>
        <v>模型</v>
      </c>
      <c r="J148" s="0" t="str">
        <f aca="false">IF(In!N181&lt;&gt;"","模型",IF(J147&lt;&gt;"","Funding 觀測","無模型值"))</f>
        <v>模型</v>
      </c>
      <c r="K148" s="0" t="str">
        <f aca="false">IF(In!O181&lt;&gt;"","模型",IF(K147&lt;&gt;"","Funding 觀測","無模型值"))</f>
        <v>模型</v>
      </c>
      <c r="L148" s="0" t="str">
        <f aca="false">IF(In!P181&lt;&gt;"","模型",IF(L147&lt;&gt;"","Funding 觀測","無模型值"))</f>
        <v>模型</v>
      </c>
      <c r="M148" s="0" t="str">
        <f aca="false">IF(In!Q181&lt;&gt;"","模型",IF(M147&lt;&gt;"","Funding 觀測","無模型值"))</f>
        <v>模型</v>
      </c>
    </row>
    <row r="149" customFormat="false" ht="15" hidden="false" customHeight="false" outlineLevel="0" collapsed="false">
      <c r="A149" s="5" t="s">
        <v>2358</v>
      </c>
      <c r="B149" s="0" t="s">
        <v>2471</v>
      </c>
      <c r="C149" s="0" t="s">
        <v>395</v>
      </c>
      <c r="E149" s="40" t="n">
        <f aca="false">E147</f>
        <v>115.877</v>
      </c>
      <c r="F149" s="40" t="n">
        <f aca="false">F147</f>
        <v>139.514</v>
      </c>
      <c r="G149" s="40" t="n">
        <f aca="false">G147</f>
        <v>184.680086</v>
      </c>
      <c r="H149" s="40" t="n">
        <f aca="false">H147</f>
        <v>221.631094</v>
      </c>
      <c r="I149" s="40" t="n">
        <f aca="false">I147</f>
        <v>269.221281</v>
      </c>
      <c r="J149" s="40" t="n">
        <f aca="false">J147</f>
        <v>316.265754</v>
      </c>
      <c r="K149" s="40" t="n">
        <f aca="false">K147</f>
        <v>359.767979</v>
      </c>
    </row>
    <row r="150" customFormat="false" ht="17.15" hidden="false" customHeight="false" outlineLevel="0" collapsed="false">
      <c r="A150" s="5" t="s">
        <v>2360</v>
      </c>
      <c r="B150" s="0" t="s">
        <v>2472</v>
      </c>
      <c r="C150" s="0" t="s">
        <v>40</v>
      </c>
      <c r="E150" s="0" t="str">
        <f aca="false">IF(AND(ABS(E134)&lt;0.000000001,E149&lt;&gt;"",ISNUMBER(E145)),IF(N(E145)&gt;0,"模型值替代（無 GW 證據）",""),"")</f>
        <v/>
      </c>
      <c r="F150" s="0" t="str">
        <f aca="false">IF(AND(ABS(F134)&lt;0.000000001,F149&lt;&gt;"",ISNUMBER(F145)),IF(N(F145)&gt;0,"模型值替代（無 GW 證據）",""),"")</f>
        <v/>
      </c>
      <c r="G150" s="0" t="str">
        <f aca="false">IF(AND(ABS(G134)&lt;0.000000001,G149&lt;&gt;"",ISNUMBER(G145)),IF(N(G145)&gt;0,"模型值替代（無 GW 證據）",""),"")</f>
        <v/>
      </c>
      <c r="H150" s="0" t="str">
        <f aca="false">IF(AND(ABS(H134)&lt;0.000000001,H149&lt;&gt;"",ISNUMBER(H145)),IF(N(H145)&gt;0,"模型值替代（無 GW 證據）",""),"")</f>
        <v/>
      </c>
      <c r="I150" s="0" t="str">
        <f aca="false">IF(AND(ABS(I134)&lt;0.000000001,I149&lt;&gt;"",ISNUMBER(I145)),IF(N(I145)&gt;0,"模型值替代（無 GW 證據）",""),"")</f>
        <v/>
      </c>
      <c r="J150" s="0" t="str">
        <f aca="false">IF(AND(ABS(J134)&lt;0.000000001,J149&lt;&gt;"",ISNUMBER(J145)),IF(N(J145)&gt;0,"模型值替代（無 GW 證據）",""),"")</f>
        <v/>
      </c>
      <c r="K150" s="0" t="str">
        <f aca="false">IF(AND(ABS(K134)&lt;0.000000001,K149&lt;&gt;"",ISNUMBER(K145)),IF(N(K145)&gt;0,"模型值替代（無 GW 證據）",""),"")</f>
        <v/>
      </c>
      <c r="N150" s="5" t="s">
        <v>2362</v>
      </c>
    </row>
    <row r="151" customFormat="false" ht="17.15" hidden="false" customHeight="false" outlineLevel="0" collapsed="false">
      <c r="A151" s="5" t="s">
        <v>2363</v>
      </c>
      <c r="B151" s="0" t="s">
        <v>1841</v>
      </c>
      <c r="C151" s="0" t="s">
        <v>395</v>
      </c>
      <c r="E151" s="40" t="n">
        <f aca="false">IF(E150&lt;&gt;"",E145,E134)</f>
        <v>8.96958779380194</v>
      </c>
      <c r="F151" s="40" t="n">
        <f aca="false">IF(F150&lt;&gt;"",F145,F134)</f>
        <v>57.0112085542884</v>
      </c>
      <c r="G151" s="40" t="n">
        <f aca="false">IF(G150&lt;&gt;"",G145,G134)</f>
        <v>58.5561991578057</v>
      </c>
      <c r="H151" s="40" t="n">
        <f aca="false">IF(H150&lt;&gt;"",H145,H134)</f>
        <v>176.658593549452</v>
      </c>
      <c r="I151" s="40" t="n">
        <f aca="false">IF(I150&lt;&gt;"",I145,I134)</f>
        <v>199.307041419773</v>
      </c>
      <c r="J151" s="40" t="n">
        <f aca="false">IF(J150&lt;&gt;"",J145,J134)</f>
        <v>220.608991613908</v>
      </c>
      <c r="K151" s="40" t="n">
        <f aca="false">IF(K150&lt;&gt;"",K145,K134)</f>
        <v>242.065176468527</v>
      </c>
    </row>
    <row r="152" customFormat="false" ht="17.15" hidden="false" customHeight="false" outlineLevel="0" collapsed="false">
      <c r="A152" s="5" t="s">
        <v>2364</v>
      </c>
      <c r="B152" s="0" t="s">
        <v>2473</v>
      </c>
      <c r="C152" s="0" t="s">
        <v>395</v>
      </c>
      <c r="E152" s="33" t="n">
        <f aca="false">E151</f>
        <v>8.96958779380194</v>
      </c>
      <c r="F152" s="33" t="n">
        <f aca="false">F151</f>
        <v>57.0112085542884</v>
      </c>
      <c r="G152" s="33" t="n">
        <f aca="false">G151</f>
        <v>58.5561991578057</v>
      </c>
      <c r="H152" s="33" t="n">
        <f aca="false">IF(ISNUMBER(H145),H145,H151)</f>
        <v>177.245913</v>
      </c>
      <c r="I152" s="33" t="n">
        <f aca="false">IF(ISNUMBER(I145),I145,I151)</f>
        <v>183.579448</v>
      </c>
      <c r="J152" s="33" t="n">
        <f aca="false">IF(ISNUMBER(J145),J145,J151)</f>
        <v>187.873277</v>
      </c>
      <c r="K152" s="33" t="n">
        <f aca="false">IF(ISNUMBER(K145),K145,K151)</f>
        <v>138.407038</v>
      </c>
    </row>
    <row r="153" customFormat="false" ht="15" hidden="false" customHeight="false" outlineLevel="0" collapsed="false">
      <c r="A153" s="5" t="s">
        <v>2366</v>
      </c>
      <c r="B153" s="0" t="s">
        <v>2474</v>
      </c>
      <c r="C153" s="0" t="s">
        <v>395</v>
      </c>
      <c r="D153" s="33" t="str">
        <f aca="false">IF(In!H185&lt;&gt;"",In!H185,"")</f>
        <v/>
      </c>
      <c r="E153" s="33" t="n">
        <f aca="false">IF(In!I185&lt;&gt;"",In!I185,IF(Funding!T11&lt;&gt;"",Funding!T11,""))</f>
        <v>0</v>
      </c>
      <c r="F153" s="33" t="n">
        <f aca="false">IF(In!J185&lt;&gt;"",In!J185,IF(Funding!T12&lt;&gt;"",Funding!T12,""))</f>
        <v>0</v>
      </c>
      <c r="G153" s="33" t="n">
        <f aca="false">IF(In!K185&lt;&gt;"",In!K185,"")</f>
        <v>0</v>
      </c>
      <c r="H153" s="33" t="n">
        <f aca="false">IF(In!L185&lt;&gt;"",In!L185,"")</f>
        <v>0</v>
      </c>
      <c r="I153" s="33" t="n">
        <f aca="false">IF(In!M185&lt;&gt;"",In!M185,"")</f>
        <v>0</v>
      </c>
      <c r="J153" s="33" t="n">
        <f aca="false">IF(In!N185&lt;&gt;"",In!N185,"")</f>
        <v>0</v>
      </c>
      <c r="K153" s="33" t="n">
        <f aca="false">IF(In!O185&lt;&gt;"",In!O185,"")</f>
        <v>0</v>
      </c>
      <c r="L153" s="33" t="n">
        <f aca="false">IF(In!P185&lt;&gt;"",In!P185,"")</f>
        <v>0</v>
      </c>
      <c r="M153" s="33" t="n">
        <f aca="false">IF(In!Q185&lt;&gt;"",In!Q185,"")</f>
        <v>0</v>
      </c>
    </row>
    <row r="154" customFormat="false" ht="15" hidden="false" customHeight="false" outlineLevel="0" collapsed="false">
      <c r="A154" s="5" t="s">
        <v>2368</v>
      </c>
      <c r="B154" s="0" t="s">
        <v>2475</v>
      </c>
      <c r="C154" s="0" t="s">
        <v>395</v>
      </c>
      <c r="E154" s="33" t="n">
        <f aca="false">E153</f>
        <v>0</v>
      </c>
      <c r="F154" s="33" t="n">
        <f aca="false">F153</f>
        <v>0</v>
      </c>
      <c r="G154" s="33" t="n">
        <f aca="false">G153</f>
        <v>0</v>
      </c>
      <c r="H154" s="33" t="n">
        <f aca="false">H153</f>
        <v>0</v>
      </c>
      <c r="I154" s="33" t="n">
        <f aca="false">I153</f>
        <v>0</v>
      </c>
      <c r="J154" s="33" t="n">
        <f aca="false">J153</f>
        <v>0</v>
      </c>
      <c r="K154" s="33" t="n">
        <f aca="false">K153</f>
        <v>0</v>
      </c>
    </row>
    <row r="155" customFormat="false" ht="17.15" hidden="false" customHeight="false" outlineLevel="0" collapsed="false">
      <c r="A155" s="5" t="s">
        <v>2370</v>
      </c>
      <c r="B155" s="0" t="s">
        <v>2476</v>
      </c>
      <c r="C155" s="0" t="s">
        <v>395</v>
      </c>
      <c r="E155" s="33" t="n">
        <f aca="false">E151+E141</f>
        <v>61.3494827938019</v>
      </c>
      <c r="F155" s="33" t="n">
        <f aca="false">F151+F141</f>
        <v>115.762576554288</v>
      </c>
      <c r="G155" s="33" t="n">
        <f aca="false">G151+G141</f>
        <v>126.664531157806</v>
      </c>
      <c r="H155" s="33" t="n">
        <f aca="false">H151+H141</f>
        <v>252.492766549452</v>
      </c>
      <c r="I155" s="33" t="n">
        <f aca="false">I151+I141</f>
        <v>282.699161419773</v>
      </c>
      <c r="J155" s="33" t="n">
        <f aca="false">J151+J141</f>
        <v>311.141603613908</v>
      </c>
      <c r="K155" s="33" t="n">
        <f aca="false">K151+K141</f>
        <v>339.059023468527</v>
      </c>
    </row>
    <row r="156" customFormat="false" ht="17.15" hidden="false" customHeight="false" outlineLevel="0" collapsed="false">
      <c r="A156" s="5" t="s">
        <v>2372</v>
      </c>
      <c r="B156" s="0" t="s">
        <v>2477</v>
      </c>
      <c r="C156" s="0" t="s">
        <v>41</v>
      </c>
      <c r="E156" s="30" t="n">
        <f aca="false">IF(OR(E149="",E155&lt;=0),"",E149/E155)</f>
        <v>1.88880157946021</v>
      </c>
      <c r="F156" s="30" t="n">
        <f aca="false">IF(OR(F149="",F155&lt;=0),"",F149/F155)</f>
        <v>1.20517359022821</v>
      </c>
      <c r="G156" s="30" t="n">
        <f aca="false">IF(OR(G149="",G155&lt;=0),"",G149/G155)</f>
        <v>1.45802526020418</v>
      </c>
      <c r="H156" s="30" t="n">
        <f aca="false">IF(OR(H149="",H155&lt;=0),"",H149/H155)</f>
        <v>0.87777205275539</v>
      </c>
      <c r="I156" s="30" t="n">
        <f aca="false">IF(OR(I149="",I155&lt;=0),"",I149/I155)</f>
        <v>0.952324299965787</v>
      </c>
      <c r="J156" s="30" t="n">
        <f aca="false">IF(OR(J149="",J155&lt;=0),"",J149/J155)</f>
        <v>1.01646886924338</v>
      </c>
      <c r="K156" s="30" t="n">
        <f aca="false">IF(OR(K149="",K155&lt;=0),"",K149/K155)</f>
        <v>1.06107773012387</v>
      </c>
    </row>
    <row r="157" customFormat="false" ht="17.15" hidden="false" customHeight="false" outlineLevel="0" collapsed="false">
      <c r="A157" s="5" t="s">
        <v>2374</v>
      </c>
      <c r="B157" s="0" t="s">
        <v>2478</v>
      </c>
      <c r="C157" s="0" t="s">
        <v>395</v>
      </c>
      <c r="E157" s="40" t="n">
        <f aca="false">IF(E149="","",E155-E149)</f>
        <v>-54.5275172061981</v>
      </c>
      <c r="F157" s="40" t="n">
        <f aca="false">IF(F149="","",F155-F149)</f>
        <v>-23.7514234457116</v>
      </c>
      <c r="G157" s="40" t="n">
        <f aca="false">IF(G149="","",G155-G149)</f>
        <v>-58.0155548421943</v>
      </c>
      <c r="H157" s="40" t="n">
        <f aca="false">IF(H149="","",H155-H149)</f>
        <v>30.8616725494521</v>
      </c>
      <c r="I157" s="40" t="n">
        <f aca="false">IF(I149="","",I155-I149)</f>
        <v>13.4778804197726</v>
      </c>
      <c r="J157" s="40" t="n">
        <f aca="false">IF(J149="","",J155-J149)</f>
        <v>-5.12415038609231</v>
      </c>
      <c r="K157" s="40" t="n">
        <f aca="false">IF(K149="","",K155-K149)</f>
        <v>-20.7089555314732</v>
      </c>
    </row>
    <row r="158" customFormat="false" ht="17.15" hidden="false" customHeight="false" outlineLevel="0" collapsed="false">
      <c r="A158" s="5" t="s">
        <v>2433</v>
      </c>
      <c r="B158" s="0" t="s">
        <v>2479</v>
      </c>
      <c r="C158" s="0" t="s">
        <v>395</v>
      </c>
      <c r="E158" s="40" t="n">
        <f aca="false">N(Funding!AL11)</f>
        <v>0</v>
      </c>
      <c r="F158" s="40" t="n">
        <f aca="false">N(Funding!AL12)</f>
        <v>17.911</v>
      </c>
    </row>
    <row r="159" customFormat="false" ht="17.15" hidden="false" customHeight="false" outlineLevel="0" collapsed="false">
      <c r="A159" s="5" t="s">
        <v>2435</v>
      </c>
      <c r="B159" s="0" t="s">
        <v>2480</v>
      </c>
      <c r="C159" s="0" t="s">
        <v>395</v>
      </c>
      <c r="E159" s="33" t="n">
        <f aca="false">(N(Funding!J11)+N(Funding!K11)+N(Funding!L11)+N(Funding!M11))</f>
        <v>0</v>
      </c>
      <c r="F159" s="33" t="n">
        <f aca="false">(N(Funding!J12)+N(Funding!K12)+N(Funding!L12)+N(Funding!M12))</f>
        <v>15</v>
      </c>
    </row>
    <row r="160" customFormat="false" ht="15" hidden="false" customHeight="false" outlineLevel="0" collapsed="false">
      <c r="A160" s="5" t="s">
        <v>2437</v>
      </c>
      <c r="B160" s="0" t="s">
        <v>2481</v>
      </c>
      <c r="C160" s="0" t="s">
        <v>395</v>
      </c>
      <c r="E160" s="33" t="n">
        <f aca="false">N(Funding!R11)</f>
        <v>0</v>
      </c>
      <c r="F160" s="33" t="n">
        <f aca="false">N(Funding!R12)</f>
        <v>0</v>
      </c>
    </row>
    <row r="161" customFormat="false" ht="15" hidden="false" customHeight="false" outlineLevel="0" collapsed="false">
      <c r="A161" s="5" t="s">
        <v>2439</v>
      </c>
      <c r="B161" s="0" t="s">
        <v>2482</v>
      </c>
      <c r="C161" s="0" t="s">
        <v>395</v>
      </c>
      <c r="E161" s="33" t="n">
        <f aca="false">(N(Funding!AL11)-(N(Funding!J11)+N(Funding!K11)+N(Funding!L11)+N(Funding!M11))-N(Funding!R11))</f>
        <v>0</v>
      </c>
      <c r="F161" s="33" t="n">
        <f aca="false">(N(Funding!AL12)-(N(Funding!J12)+N(Funding!K12)+N(Funding!L12)+N(Funding!M12))-N(Funding!R12))</f>
        <v>2.911</v>
      </c>
    </row>
    <row r="162" customFormat="false" ht="17.15" hidden="false" customHeight="false" outlineLevel="0" collapsed="false">
      <c r="A162" s="5" t="s">
        <v>2384</v>
      </c>
      <c r="B162" s="0" t="s">
        <v>2483</v>
      </c>
      <c r="C162" s="0" t="s">
        <v>395</v>
      </c>
      <c r="E162" s="33" t="n">
        <f aca="false">IF(E157="","",E157-E158)</f>
        <v>-54.5275172061981</v>
      </c>
      <c r="F162" s="33" t="n">
        <f aca="false">IF(F157="","",F157-F158)</f>
        <v>-41.6624234457116</v>
      </c>
    </row>
    <row r="163" customFormat="false" ht="17.15" hidden="false" customHeight="false" outlineLevel="0" collapsed="false">
      <c r="A163" s="5" t="s">
        <v>2386</v>
      </c>
      <c r="B163" s="0" t="s">
        <v>2484</v>
      </c>
      <c r="C163" s="0" t="s">
        <v>395</v>
      </c>
      <c r="G163" s="33" t="n">
        <f aca="false">IF(Funding!O13&lt;&gt;"",Funding!O13,N(Funding!O12))</f>
        <v>164.922</v>
      </c>
      <c r="N163" s="5" t="s">
        <v>2388</v>
      </c>
    </row>
    <row r="164" customFormat="false" ht="17.15" hidden="false" customHeight="false" outlineLevel="0" collapsed="false">
      <c r="A164" s="5" t="s">
        <v>2389</v>
      </c>
      <c r="B164" s="0" t="s">
        <v>2485</v>
      </c>
      <c r="C164" s="0" t="s">
        <v>395</v>
      </c>
      <c r="G164" s="33" t="n">
        <f aca="false">IF(Funding!Q13&lt;&gt;"",Funding!Q13,N(Funding!Q12))</f>
        <v>0</v>
      </c>
      <c r="N164" s="5" t="s">
        <v>2391</v>
      </c>
    </row>
    <row r="165" customFormat="false" ht="17.15" hidden="false" customHeight="false" outlineLevel="0" collapsed="false">
      <c r="A165" s="5" t="s">
        <v>2392</v>
      </c>
      <c r="B165" s="0" t="s">
        <v>2486</v>
      </c>
      <c r="C165" s="0" t="s">
        <v>395</v>
      </c>
      <c r="G165" s="33" t="n">
        <f aca="false">N(Funding!AL13)</f>
        <v>118.7</v>
      </c>
    </row>
    <row r="166" customFormat="false" ht="17.15" hidden="false" customHeight="false" outlineLevel="0" collapsed="false">
      <c r="A166" s="5" t="s">
        <v>2394</v>
      </c>
      <c r="B166" s="0" t="s">
        <v>2487</v>
      </c>
      <c r="C166" s="0" t="s">
        <v>395</v>
      </c>
      <c r="G166" s="33" t="n">
        <f aca="false">IF(COUNTIFS(FundRaw!$C$4:$C$281,"amzn",FundRaw!$F$4:$F$281,"cash_level",FundRaw!$D$4:$D$281,"2025-12-31",FundRaw!$O$4:$O$281,1)=0,"未取得",SUMIFS(FundRaw!$G$4:$G$281,FundRaw!$C$4:$C$281,"amzn",FundRaw!$F$4:$F$281,"cash_level",FundRaw!$D$4:$D$281,"2025-12-31",FundRaw!$O$4:$O$281,1))</f>
        <v>123.029</v>
      </c>
      <c r="N166" s="5" t="s">
        <v>2396</v>
      </c>
    </row>
    <row r="167" customFormat="false" ht="17.15" hidden="false" customHeight="false" outlineLevel="0" collapsed="false">
      <c r="A167" s="5" t="s">
        <v>2397</v>
      </c>
      <c r="B167" s="0" t="s">
        <v>2488</v>
      </c>
      <c r="C167" s="0" t="s">
        <v>395</v>
      </c>
      <c r="G167" s="33" t="n">
        <f aca="false">IF(ISNUMBER(G166),G166,N(gcash_amzn))</f>
        <v>123.029</v>
      </c>
      <c r="N167" s="5" t="s">
        <v>2489</v>
      </c>
    </row>
    <row r="168" customFormat="false" ht="17.15" hidden="false" customHeight="false" outlineLevel="0" collapsed="false">
      <c r="A168" s="5" t="s">
        <v>2400</v>
      </c>
      <c r="B168" s="0" t="s">
        <v>2490</v>
      </c>
      <c r="C168" s="0" t="s">
        <v>40</v>
      </c>
      <c r="G168" s="0" t="str">
        <f aca="false">IF(ISNUMBER(G166),"Funding 觀測","個股模型（In Y9）")</f>
        <v>Funding 觀測</v>
      </c>
    </row>
    <row r="169" customFormat="false" ht="17.15" hidden="false" customHeight="false" outlineLevel="0" collapsed="false">
      <c r="A169" s="5" t="s">
        <v>2402</v>
      </c>
      <c r="B169" s="0" t="s">
        <v>2491</v>
      </c>
      <c r="C169" s="0" t="s">
        <v>395</v>
      </c>
      <c r="E169" s="33" t="n">
        <f aca="false">IF(E149="","",E149-E155)</f>
        <v>54.5275172061981</v>
      </c>
      <c r="F169" s="33" t="n">
        <f aca="false">IF(F149="","",F149-F155)</f>
        <v>23.7514234457116</v>
      </c>
      <c r="G169" s="33" t="n">
        <f aca="false">IF(G149="","",G149-G155)</f>
        <v>58.0155548421943</v>
      </c>
      <c r="H169" s="33" t="n">
        <f aca="false">IF(H149="","",H149-H155)</f>
        <v>-30.8616725494521</v>
      </c>
      <c r="I169" s="33" t="n">
        <f aca="false">IF(I149="","",I149-I155)</f>
        <v>-13.4778804197726</v>
      </c>
      <c r="J169" s="33" t="n">
        <f aca="false">IF(J149="","",J149-J155)</f>
        <v>5.12415038609231</v>
      </c>
      <c r="K169" s="33" t="n">
        <f aca="false">IF(K149="","",K149-K155)</f>
        <v>20.7089555314732</v>
      </c>
    </row>
    <row r="170" customFormat="false" ht="15" hidden="false" customHeight="false" outlineLevel="0" collapsed="false">
      <c r="A170" s="5" t="s">
        <v>2404</v>
      </c>
      <c r="B170" s="0" t="s">
        <v>2492</v>
      </c>
      <c r="C170" s="0" t="s">
        <v>57</v>
      </c>
      <c r="E170" s="23" t="n">
        <f aca="false">IF(OR(E157="",E155&lt;=0),"",E157/E155)</f>
        <v>-0.888801579460209</v>
      </c>
      <c r="F170" s="23" t="n">
        <f aca="false">IF(OR(F157="",F155&lt;=0),"",F157/F155)</f>
        <v>-0.205173590228212</v>
      </c>
      <c r="G170" s="23" t="n">
        <f aca="false">IF(OR(G157="",G155&lt;=0),"",G157/G155)</f>
        <v>-0.458025260204179</v>
      </c>
      <c r="H170" s="23" t="n">
        <f aca="false">IF(OR(H157="",H155&lt;=0),"",H157/H155)</f>
        <v>0.12222794724461</v>
      </c>
      <c r="I170" s="23" t="n">
        <f aca="false">IF(OR(I157="",I155&lt;=0),"",I157/I155)</f>
        <v>0.0476757000342128</v>
      </c>
      <c r="J170" s="23" t="n">
        <f aca="false">IF(OR(J157="",J155&lt;=0),"",J157/J155)</f>
        <v>-0.0164688692433777</v>
      </c>
      <c r="K170" s="23" t="n">
        <f aca="false">IF(OR(K157="",K155&lt;=0),"",K157/K155)</f>
        <v>-0.0610777301238688</v>
      </c>
    </row>
    <row r="172" customFormat="false" ht="17.15" hidden="false" customHeight="false" outlineLevel="0" collapsed="false">
      <c r="A172" s="8" t="s">
        <v>1429</v>
      </c>
      <c r="B172" s="21" t="s">
        <v>748</v>
      </c>
      <c r="N172" s="5" t="s">
        <v>2493</v>
      </c>
    </row>
    <row r="173" customFormat="false" ht="17.15" hidden="false" customHeight="false" outlineLevel="0" collapsed="false">
      <c r="A173" s="5" t="s">
        <v>2317</v>
      </c>
      <c r="B173" s="0" t="s">
        <v>1445</v>
      </c>
      <c r="C173" s="0" t="s">
        <v>82</v>
      </c>
      <c r="D173" s="25" t="n">
        <f aca="false">CapexGW!D79</f>
        <v>0</v>
      </c>
      <c r="E173" s="25" t="n">
        <f aca="false">CapexGW!E79</f>
        <v>0</v>
      </c>
      <c r="F173" s="25" t="n">
        <f aca="false">CapexGW!F79</f>
        <v>1.50812</v>
      </c>
      <c r="G173" s="25" t="n">
        <f aca="false">CapexGW!G79</f>
        <v>0.676</v>
      </c>
      <c r="H173" s="25" t="n">
        <f aca="false">CapexGW!H79</f>
        <v>0.615</v>
      </c>
      <c r="I173" s="25" t="n">
        <f aca="false">CapexGW!I79</f>
        <v>2.73641202658016</v>
      </c>
      <c r="J173" s="25" t="n">
        <f aca="false">CapexGW!J79</f>
        <v>3.01174825182942</v>
      </c>
      <c r="K173" s="25" t="n">
        <f aca="false">CapexGW!K79</f>
        <v>3.31292307701236</v>
      </c>
      <c r="L173" s="25" t="n">
        <f aca="false">CapexGW!L79</f>
        <v>3.6442153847136</v>
      </c>
      <c r="M173" s="25" t="n">
        <f aca="false">CapexGW!M79</f>
        <v>4.00863692318496</v>
      </c>
      <c r="N173" s="21" t="s">
        <v>2318</v>
      </c>
    </row>
    <row r="174" customFormat="false" ht="17.15" hidden="false" customHeight="false" outlineLevel="0" collapsed="false">
      <c r="A174" s="5" t="s">
        <v>2319</v>
      </c>
      <c r="B174" s="0" t="s">
        <v>1858</v>
      </c>
      <c r="C174" s="0" t="s">
        <v>230</v>
      </c>
      <c r="D174" s="30" t="n">
        <f aca="false">CapexGW!D74</f>
        <v>28.5674343946187</v>
      </c>
      <c r="E174" s="30" t="n">
        <f aca="false">CapexGW!E74</f>
        <v>28.5674343946187</v>
      </c>
      <c r="F174" s="30" t="n">
        <f aca="false">CapexGW!F74</f>
        <v>27.423891719914</v>
      </c>
      <c r="G174" s="30" t="n">
        <f aca="false">CapexGW!G74</f>
        <v>33.0649036341473</v>
      </c>
      <c r="H174" s="30" t="n">
        <f aca="false">CapexGW!H74</f>
        <v>36.5947249242921</v>
      </c>
      <c r="I174" s="30" t="n">
        <f aca="false">CapexGW!I74</f>
        <v>38.802433936281</v>
      </c>
      <c r="J174" s="30" t="n">
        <f aca="false">CapexGW!J74</f>
        <v>38.7783529603329</v>
      </c>
      <c r="K174" s="30" t="n">
        <f aca="false">CapexGW!K74</f>
        <v>38.7783529603329</v>
      </c>
      <c r="L174" s="30" t="n">
        <f aca="false">CapexGW!L74</f>
        <v>38.7783529603329</v>
      </c>
      <c r="M174" s="30" t="n">
        <f aca="false">CapexGW!M74</f>
        <v>38.7783529603329</v>
      </c>
    </row>
    <row r="175" customFormat="false" ht="17.15" hidden="false" customHeight="false" outlineLevel="0" collapsed="false">
      <c r="A175" s="5" t="s">
        <v>2320</v>
      </c>
      <c r="B175" s="0" t="s">
        <v>1859</v>
      </c>
      <c r="C175" s="0" t="s">
        <v>230</v>
      </c>
      <c r="D175" s="30" t="n">
        <f aca="false">CapexGW!D75</f>
        <v>12.2172817673375</v>
      </c>
      <c r="E175" s="30" t="n">
        <f aca="false">CapexGW!E75</f>
        <v>12.2172817673375</v>
      </c>
      <c r="F175" s="30" t="n">
        <f aca="false">CapexGW!F75</f>
        <v>12.2172817673375</v>
      </c>
      <c r="G175" s="30" t="n">
        <f aca="false">CapexGW!G75</f>
        <v>12.2172817673375</v>
      </c>
      <c r="H175" s="30" t="n">
        <f aca="false">CapexGW!H75</f>
        <v>12.1509699108826</v>
      </c>
      <c r="I175" s="30" t="n">
        <f aca="false">CapexGW!I75</f>
        <v>12.157584536667</v>
      </c>
      <c r="J175" s="30" t="n">
        <f aca="false">CapexGW!J75</f>
        <v>12.1527076383687</v>
      </c>
      <c r="K175" s="30" t="n">
        <f aca="false">CapexGW!K75</f>
        <v>12.1527076383687</v>
      </c>
      <c r="L175" s="30" t="n">
        <f aca="false">CapexGW!L75</f>
        <v>12.1527076383687</v>
      </c>
      <c r="M175" s="30" t="n">
        <f aca="false">CapexGW!M75</f>
        <v>12.1527076383687</v>
      </c>
    </row>
    <row r="176" customFormat="false" ht="17.15" hidden="false" customHeight="false" outlineLevel="0" collapsed="false">
      <c r="A176" s="5" t="s">
        <v>2321</v>
      </c>
      <c r="B176" s="0" t="s">
        <v>2494</v>
      </c>
      <c r="C176" s="0" t="s">
        <v>395</v>
      </c>
      <c r="E176" s="33" t="n">
        <f aca="false">E173*(E174+Gap!$D$6*E175)</f>
        <v>0</v>
      </c>
      <c r="F176" s="33" t="n">
        <f aca="false">F173*(F174+Gap!$D$6*F175)</f>
        <v>41.3585195806367</v>
      </c>
      <c r="G176" s="33" t="n">
        <f aca="false">G173*(G174+Gap!$D$6*G175)</f>
        <v>22.3518748566836</v>
      </c>
      <c r="H176" s="33" t="n">
        <f aca="false">H173*(H174+Gap!$D$6*H175)</f>
        <v>22.5057558284397</v>
      </c>
      <c r="I176" s="33" t="n">
        <f aca="false">I173*(I174+Gap!$D$6*I175)</f>
        <v>106.179446883821</v>
      </c>
      <c r="J176" s="33" t="n">
        <f aca="false">J173*(J174+Gap!$D$6*J175)</f>
        <v>116.790636737107</v>
      </c>
      <c r="K176" s="33" t="n">
        <f aca="false">K173*(K174+Gap!$D$6*K175)</f>
        <v>128.469700410817</v>
      </c>
    </row>
    <row r="177" customFormat="false" ht="17.15" hidden="false" customHeight="false" outlineLevel="0" collapsed="false">
      <c r="A177" s="5" t="s">
        <v>2323</v>
      </c>
      <c r="B177" s="0" t="s">
        <v>2495</v>
      </c>
      <c r="C177" s="0" t="s">
        <v>395</v>
      </c>
      <c r="E177" s="33" t="n">
        <f aca="false">Gap!$E$6*F173*F175</f>
        <v>9.21256348947853</v>
      </c>
      <c r="F177" s="33" t="n">
        <f aca="false">Gap!$E$6*G173*G175</f>
        <v>4.12944123736008</v>
      </c>
      <c r="G177" s="33" t="n">
        <f aca="false">Gap!$E$6*H173*H175</f>
        <v>3.73642324759639</v>
      </c>
      <c r="H177" s="33" t="n">
        <f aca="false">Gap!$E$6*I173*I175</f>
        <v>16.6340802701502</v>
      </c>
      <c r="I177" s="33" t="n">
        <f aca="false">Gap!$E$6*J173*J175</f>
        <v>18.3004479924255</v>
      </c>
      <c r="J177" s="33" t="n">
        <f aca="false">Gap!$E$6*K173*K175</f>
        <v>20.1304927916681</v>
      </c>
      <c r="K177" s="33" t="n">
        <f aca="false">Gap!$E$6*L173*L175</f>
        <v>22.1435420708349</v>
      </c>
    </row>
    <row r="178" customFormat="false" ht="17.15" hidden="false" customHeight="false" outlineLevel="0" collapsed="false">
      <c r="A178" s="5" t="s">
        <v>2325</v>
      </c>
      <c r="B178" s="0" t="s">
        <v>2496</v>
      </c>
      <c r="C178" s="0" t="s">
        <v>395</v>
      </c>
      <c r="E178" s="33" t="n">
        <f aca="false">Gap!$F$6*G173*G175</f>
        <v>4.12944123736008</v>
      </c>
      <c r="F178" s="33" t="n">
        <f aca="false">Gap!$F$6*H173*H175</f>
        <v>3.73642324759639</v>
      </c>
      <c r="G178" s="33" t="n">
        <f aca="false">Gap!$F$6*I173*I175</f>
        <v>16.6340802701502</v>
      </c>
      <c r="H178" s="33" t="n">
        <f aca="false">Gap!$F$6*J173*J175</f>
        <v>18.3004479924255</v>
      </c>
      <c r="I178" s="33" t="n">
        <f aca="false">Gap!$F$6*K173*K175</f>
        <v>20.1304927916681</v>
      </c>
      <c r="J178" s="33" t="n">
        <f aca="false">Gap!$F$6*L173*L175</f>
        <v>22.1435420708349</v>
      </c>
      <c r="K178" s="33" t="n">
        <f aca="false">Gap!$F$6*M173*M175</f>
        <v>24.3578962779184</v>
      </c>
    </row>
    <row r="179" customFormat="false" ht="17.15" hidden="false" customHeight="false" outlineLevel="0" collapsed="false">
      <c r="A179" s="5" t="s">
        <v>2327</v>
      </c>
      <c r="B179" s="0" t="s">
        <v>2497</v>
      </c>
      <c r="C179" s="0" t="s">
        <v>395</v>
      </c>
      <c r="E179" s="33" t="n">
        <f aca="false">E176+E177+E178</f>
        <v>13.3420047268386</v>
      </c>
      <c r="F179" s="33" t="n">
        <f aca="false">F176+F177+F178</f>
        <v>49.2243840655931</v>
      </c>
      <c r="G179" s="33" t="n">
        <f aca="false">G176+G177+G178</f>
        <v>42.7223783744302</v>
      </c>
      <c r="H179" s="33" t="n">
        <f aca="false">H176+H177+H178</f>
        <v>57.4402840910154</v>
      </c>
      <c r="I179" s="33" t="n">
        <f aca="false">I176+I177+I178</f>
        <v>144.610387667915</v>
      </c>
      <c r="J179" s="33" t="n">
        <f aca="false">J176+J177+J178</f>
        <v>159.06467159961</v>
      </c>
      <c r="K179" s="33" t="n">
        <f aca="false">K176+K177+K178</f>
        <v>174.971138759571</v>
      </c>
    </row>
    <row r="180" customFormat="false" ht="17.15" hidden="false" customHeight="false" outlineLevel="0" collapsed="false">
      <c r="A180" s="5" t="s">
        <v>2329</v>
      </c>
      <c r="B180" s="0" t="s">
        <v>2498</v>
      </c>
      <c r="C180" s="0" t="s">
        <v>395</v>
      </c>
      <c r="E180" s="33" t="n">
        <f aca="false">E173*(Gap!E$8+Gap!$D$6*Gap!E$9)</f>
        <v>0</v>
      </c>
      <c r="F180" s="33" t="n">
        <f aca="false">F173*(Gap!F$8+Gap!$D$6*Gap!F$9)</f>
        <v>38.9280024144939</v>
      </c>
      <c r="G180" s="33" t="n">
        <f aca="false">G173*(Gap!G$8+Gap!$D$6*Gap!G$9)</f>
        <v>21.2624193728278</v>
      </c>
      <c r="H180" s="33" t="n">
        <f aca="false">H173*(Gap!H$8+Gap!$D$6*Gap!H$9)</f>
        <v>21.3694310968231</v>
      </c>
      <c r="I180" s="33" t="n">
        <f aca="false">I173*(Gap!I$8+Gap!$D$6*Gap!I$9)</f>
        <v>101.187861257851</v>
      </c>
      <c r="J180" s="33" t="n">
        <f aca="false">J173*(Gap!J$8+Gap!$D$6*Gap!J$9)</f>
        <v>111.244513182827</v>
      </c>
      <c r="K180" s="33" t="n">
        <f aca="false">K173*(Gap!K$8+Gap!$D$6*Gap!K$9)</f>
        <v>122.36896450111</v>
      </c>
    </row>
    <row r="181" customFormat="false" ht="17.15" hidden="false" customHeight="false" outlineLevel="0" collapsed="false">
      <c r="A181" s="5" t="s">
        <v>2331</v>
      </c>
      <c r="B181" s="0" t="s">
        <v>2499</v>
      </c>
      <c r="C181" s="0" t="s">
        <v>395</v>
      </c>
      <c r="E181" s="33" t="n">
        <f aca="false">Gap!$E$6*F173*Gap!F$9</f>
        <v>8.80291143685275</v>
      </c>
      <c r="F181" s="33" t="n">
        <f aca="false">Gap!$E$6*G173*Gap!G$9</f>
        <v>3.94581872219217</v>
      </c>
      <c r="G181" s="33" t="n">
        <f aca="false">Gap!$E$6*H173*Gap!H$9</f>
        <v>3.54490114471205</v>
      </c>
      <c r="H181" s="33" t="n">
        <f aca="false">Gap!$E$6*I173*Gap!I$9</f>
        <v>15.7927723682681</v>
      </c>
      <c r="I181" s="33" t="n">
        <f aca="false">Gap!$E$6*J173*Gap!J$9</f>
        <v>17.365675372929</v>
      </c>
      <c r="J181" s="33" t="n">
        <f aca="false">Gap!$E$6*K173*Gap!K$9</f>
        <v>19.1022429102219</v>
      </c>
      <c r="K181" s="33" t="n">
        <f aca="false">Gap!$E$6*L173*Gap!L$9</f>
        <v>21.012467201244</v>
      </c>
    </row>
    <row r="182" customFormat="false" ht="17.15" hidden="false" customHeight="false" outlineLevel="0" collapsed="false">
      <c r="A182" s="5" t="s">
        <v>2333</v>
      </c>
      <c r="B182" s="0" t="s">
        <v>2500</v>
      </c>
      <c r="C182" s="0" t="s">
        <v>395</v>
      </c>
      <c r="E182" s="33" t="n">
        <f aca="false">Gap!$F$6*G173*Gap!G$9</f>
        <v>3.94581872219217</v>
      </c>
      <c r="F182" s="33" t="n">
        <f aca="false">Gap!$F$6*H173*Gap!H$9</f>
        <v>3.54490114471205</v>
      </c>
      <c r="G182" s="33" t="n">
        <f aca="false">Gap!$F$6*I173*Gap!I$9</f>
        <v>15.7927723682681</v>
      </c>
      <c r="H182" s="33" t="n">
        <f aca="false">Gap!$F$6*J173*Gap!J$9</f>
        <v>17.365675372929</v>
      </c>
      <c r="I182" s="33" t="n">
        <f aca="false">Gap!$F$6*K173*Gap!K$9</f>
        <v>19.1022429102219</v>
      </c>
      <c r="J182" s="33" t="n">
        <f aca="false">Gap!$F$6*L173*Gap!L$9</f>
        <v>21.012467201244</v>
      </c>
      <c r="K182" s="33" t="n">
        <f aca="false">Gap!$F$6*M173*Gap!M$9</f>
        <v>23.1137139213684</v>
      </c>
    </row>
    <row r="183" customFormat="false" ht="17.15" hidden="false" customHeight="false" outlineLevel="0" collapsed="false">
      <c r="A183" s="5" t="s">
        <v>2335</v>
      </c>
      <c r="B183" s="0" t="s">
        <v>2501</v>
      </c>
      <c r="C183" s="0" t="s">
        <v>395</v>
      </c>
      <c r="D183" s="33" t="str">
        <f aca="false">IF(In!H189&lt;&gt;"",In!H189,"")</f>
        <v/>
      </c>
      <c r="E183" s="33" t="str">
        <f aca="false">IF(In!I189&lt;&gt;"",In!I189,"")</f>
        <v/>
      </c>
      <c r="F183" s="33" t="str">
        <f aca="false">IF(In!J189&lt;&gt;"",In!J189,"")</f>
        <v/>
      </c>
      <c r="G183" s="33" t="str">
        <f aca="false">IF(In!K189&lt;&gt;"",In!K189,"")</f>
        <v/>
      </c>
      <c r="H183" s="33" t="n">
        <f aca="false">IF(In!L189&lt;&gt;"",In!L189,"")</f>
        <v>12.673327</v>
      </c>
      <c r="I183" s="33" t="n">
        <f aca="false">IF(In!M189&lt;&gt;"",In!M189,"")</f>
        <v>14.948975</v>
      </c>
      <c r="J183" s="33" t="n">
        <f aca="false">IF(In!N189&lt;&gt;"",In!N189,"")</f>
        <v>16.91211</v>
      </c>
      <c r="K183" s="33" t="n">
        <f aca="false">IF(In!O189&lt;&gt;"",In!O189,"")</f>
        <v>18.319678</v>
      </c>
      <c r="L183" s="33" t="n">
        <f aca="false">IF(In!P189&lt;&gt;"",In!P189,"")</f>
        <v>19.846625</v>
      </c>
      <c r="M183" s="33" t="n">
        <f aca="false">IF(In!Q189&lt;&gt;"",In!Q189,"")</f>
        <v>21.503393</v>
      </c>
    </row>
    <row r="184" customFormat="false" ht="17.15" hidden="false" customHeight="false" outlineLevel="0" collapsed="false">
      <c r="A184" s="5" t="s">
        <v>2337</v>
      </c>
      <c r="B184" s="0" t="s">
        <v>2502</v>
      </c>
      <c r="C184" s="0" t="s">
        <v>395</v>
      </c>
      <c r="E184" s="33" t="str">
        <f aca="false">E183</f>
        <v/>
      </c>
      <c r="F184" s="33" t="str">
        <f aca="false">F183</f>
        <v/>
      </c>
      <c r="G184" s="33" t="str">
        <f aca="false">G183</f>
        <v/>
      </c>
      <c r="H184" s="33" t="n">
        <f aca="false">H183</f>
        <v>12.673327</v>
      </c>
      <c r="I184" s="33" t="n">
        <f aca="false">I183</f>
        <v>14.948975</v>
      </c>
      <c r="J184" s="33" t="n">
        <f aca="false">J183</f>
        <v>16.91211</v>
      </c>
      <c r="K184" s="33" t="n">
        <f aca="false">K183</f>
        <v>18.319678</v>
      </c>
    </row>
    <row r="185" customFormat="false" ht="17.15" hidden="false" customHeight="false" outlineLevel="0" collapsed="false">
      <c r="A185" s="5" t="s">
        <v>2339</v>
      </c>
      <c r="B185" s="0" t="s">
        <v>2503</v>
      </c>
      <c r="C185" s="0" t="s">
        <v>40</v>
      </c>
      <c r="E185" s="0" t="str">
        <f aca="false">IF(E184&lt;&gt;"","",IF(CapexGW!E72&lt;&gt;"","以 Y2 × (1−AI 占比) 替代（模型無拆分）","無模型值（以 0 計）"))</f>
        <v>無模型值（以 0 計）</v>
      </c>
      <c r="F185" s="0" t="str">
        <f aca="false">IF(F184&lt;&gt;"","",IF(CapexGW!F72&lt;&gt;"","以 Y2 × (1−AI 占比) 替代（模型無拆分）","無模型值（以 0 計）"))</f>
        <v>無模型值（以 0 計）</v>
      </c>
      <c r="G185" s="0" t="str">
        <f aca="false">IF(G184&lt;&gt;"","",IF(CapexGW!G72&lt;&gt;"","以 Y2 × (1−AI 占比) 替代（模型無拆分）","無模型值（以 0 計）"))</f>
        <v>以 Y2 × (1−AI 占比) 替代（模型無拆分）</v>
      </c>
      <c r="H185" s="0" t="str">
        <f aca="false">IF(H184&lt;&gt;"","",IF(CapexGW!H72&lt;&gt;"","以 Y2 × (1−AI 占比) 替代（模型無拆分）","無模型值（以 0 計）"))</f>
        <v/>
      </c>
      <c r="I185" s="0" t="str">
        <f aca="false">IF(I184&lt;&gt;"","",IF(CapexGW!I72&lt;&gt;"","以 Y2 × (1−AI 占比) 替代（模型無拆分）","無模型值（以 0 計）"))</f>
        <v/>
      </c>
      <c r="J185" s="0" t="str">
        <f aca="false">IF(J184&lt;&gt;"","",IF(CapexGW!J72&lt;&gt;"","以 Y2 × (1−AI 占比) 替代（模型無拆分）","無模型值（以 0 計）"))</f>
        <v/>
      </c>
      <c r="K185" s="0" t="str">
        <f aca="false">IF(K184&lt;&gt;"","",IF(CapexGW!K72&lt;&gt;"","以 Y2 × (1−AI 占比) 替代（模型無拆分）","無模型值（以 0 計）"))</f>
        <v/>
      </c>
      <c r="N185" s="0" t="s">
        <v>2341</v>
      </c>
    </row>
    <row r="186" customFormat="false" ht="17.15" hidden="false" customHeight="false" outlineLevel="0" collapsed="false">
      <c r="A186" s="5" t="s">
        <v>2342</v>
      </c>
      <c r="B186" s="0" t="s">
        <v>2504</v>
      </c>
      <c r="C186" s="0" t="s">
        <v>395</v>
      </c>
      <c r="E186" s="33" t="n">
        <f aca="false">IF(E184&lt;&gt;"",E184,IF(CapexGW!E72&lt;&gt;"",CapexGW!E72*(1-ai_sh),0))</f>
        <v>0</v>
      </c>
      <c r="F186" s="33" t="n">
        <f aca="false">IF(F184&lt;&gt;"",F184,IF(CapexGW!F72&lt;&gt;"",CapexGW!F72*(1-ai_sh),0))</f>
        <v>0</v>
      </c>
      <c r="G186" s="33" t="n">
        <f aca="false">IF(G184&lt;&gt;"",G184,IF(CapexGW!G72&lt;&gt;"",CapexGW!G72*(1-ai_sh),0))</f>
        <v>21</v>
      </c>
      <c r="H186" s="33" t="n">
        <f aca="false">IF(H184&lt;&gt;"",H184,IF(CapexGW!H72&lt;&gt;"",CapexGW!H72*(1-ai_sh),0))</f>
        <v>12.673327</v>
      </c>
      <c r="I186" s="33" t="n">
        <f aca="false">IF(I184&lt;&gt;"",I184,IF(CapexGW!I72&lt;&gt;"",CapexGW!I72*(1-ai_sh),0))</f>
        <v>14.948975</v>
      </c>
      <c r="J186" s="33" t="n">
        <f aca="false">IF(J184&lt;&gt;"",J184,IF(CapexGW!J72&lt;&gt;"",CapexGW!J72*(1-ai_sh),0))</f>
        <v>16.91211</v>
      </c>
      <c r="K186" s="33" t="n">
        <f aca="false">IF(K184&lt;&gt;"",K184,IF(CapexGW!K72&lt;&gt;"",CapexGW!K72*(1-ai_sh),0))</f>
        <v>18.319678</v>
      </c>
    </row>
    <row r="187" customFormat="false" ht="15" hidden="false" customHeight="false" outlineLevel="0" collapsed="false">
      <c r="A187" s="5" t="s">
        <v>2344</v>
      </c>
      <c r="B187" s="0" t="s">
        <v>2505</v>
      </c>
      <c r="C187" s="0" t="s">
        <v>395</v>
      </c>
      <c r="D187" s="33" t="str">
        <f aca="false">IF(In!H190&lt;&gt;"",In!H190,"")</f>
        <v/>
      </c>
      <c r="E187" s="33" t="n">
        <f aca="false">IF(In!I190&lt;&gt;"",In!I190,"")</f>
        <v>39.225</v>
      </c>
      <c r="F187" s="33" t="n">
        <f aca="false">IF(In!J190&lt;&gt;"",In!J190,"")</f>
        <v>72.215</v>
      </c>
      <c r="G187" s="33" t="n">
        <f aca="false">IF(In!K190&lt;&gt;"",In!K190,"")</f>
        <v>140</v>
      </c>
      <c r="H187" s="33" t="n">
        <f aca="false">IF(In!L190&lt;&gt;"",In!L190,"")</f>
        <v>205.705878</v>
      </c>
      <c r="I187" s="33" t="n">
        <f aca="false">IF(In!M190&lt;&gt;"",In!M190,"")</f>
        <v>219.283263</v>
      </c>
      <c r="J187" s="33" t="n">
        <f aca="false">IF(In!N190&lt;&gt;"",In!N190,"")</f>
        <v>194.799863</v>
      </c>
      <c r="K187" s="33" t="n">
        <f aca="false">IF(In!O190&lt;&gt;"",In!O190,"")</f>
        <v>165.565732</v>
      </c>
      <c r="L187" s="33" t="n">
        <f aca="false">IF(In!P190&lt;&gt;"",In!P190,"")</f>
        <v>162.405246</v>
      </c>
      <c r="M187" s="33" t="n">
        <f aca="false">IF(In!Q190&lt;&gt;"",In!Q190,"")</f>
        <v>166.540042</v>
      </c>
    </row>
    <row r="188" customFormat="false" ht="15" hidden="false" customHeight="false" outlineLevel="0" collapsed="false">
      <c r="A188" s="5" t="s">
        <v>2346</v>
      </c>
      <c r="B188" s="0" t="s">
        <v>2506</v>
      </c>
      <c r="C188" s="0" t="s">
        <v>395</v>
      </c>
      <c r="E188" s="33" t="n">
        <f aca="false">E187</f>
        <v>39.225</v>
      </c>
      <c r="F188" s="33" t="n">
        <f aca="false">F187</f>
        <v>72.215</v>
      </c>
      <c r="G188" s="33" t="n">
        <f aca="false">G187</f>
        <v>140</v>
      </c>
      <c r="H188" s="33" t="n">
        <f aca="false">H187</f>
        <v>205.705878</v>
      </c>
      <c r="I188" s="33" t="n">
        <f aca="false">I187</f>
        <v>219.283263</v>
      </c>
      <c r="J188" s="33" t="n">
        <f aca="false">J187</f>
        <v>194.799863</v>
      </c>
      <c r="K188" s="33" t="n">
        <f aca="false">K187</f>
        <v>165.565732</v>
      </c>
    </row>
    <row r="189" customFormat="false" ht="17.15" hidden="false" customHeight="false" outlineLevel="0" collapsed="false">
      <c r="A189" s="5" t="s">
        <v>2348</v>
      </c>
      <c r="B189" s="0" t="s">
        <v>2507</v>
      </c>
      <c r="C189" s="0" t="s">
        <v>395</v>
      </c>
      <c r="D189" s="33" t="str">
        <f aca="false">IF(In!H188&lt;&gt;"",In!H188,"")</f>
        <v/>
      </c>
      <c r="E189" s="33" t="str">
        <f aca="false">IF(In!I188&lt;&gt;"",In!I188,"")</f>
        <v/>
      </c>
      <c r="F189" s="33" t="str">
        <f aca="false">IF(In!J188&lt;&gt;"",In!J188,"")</f>
        <v/>
      </c>
      <c r="G189" s="33" t="str">
        <f aca="false">IF(In!K188&lt;&gt;"",In!K188,"")</f>
        <v/>
      </c>
      <c r="H189" s="33" t="n">
        <f aca="false">IF(In!L188&lt;&gt;"",In!L188,"")</f>
        <v>193.032551</v>
      </c>
      <c r="I189" s="33" t="n">
        <f aca="false">IF(In!M188&lt;&gt;"",In!M188,"")</f>
        <v>204.334288</v>
      </c>
      <c r="J189" s="33" t="n">
        <f aca="false">IF(In!N188&lt;&gt;"",In!N188,"")</f>
        <v>177.887752</v>
      </c>
      <c r="K189" s="33" t="n">
        <f aca="false">IF(In!O188&lt;&gt;"",In!O188,"")</f>
        <v>147.246055</v>
      </c>
      <c r="L189" s="33" t="n">
        <f aca="false">IF(In!P188&lt;&gt;"",In!P188,"")</f>
        <v>142.558622</v>
      </c>
      <c r="M189" s="33" t="n">
        <f aca="false">IF(In!Q188&lt;&gt;"",In!Q188,"")</f>
        <v>145.036649</v>
      </c>
    </row>
    <row r="190" customFormat="false" ht="17.15" hidden="false" customHeight="false" outlineLevel="0" collapsed="false">
      <c r="A190" s="5" t="s">
        <v>2350</v>
      </c>
      <c r="B190" s="0" t="s">
        <v>2508</v>
      </c>
      <c r="C190" s="0" t="s">
        <v>395</v>
      </c>
      <c r="E190" s="33" t="str">
        <f aca="false">E189</f>
        <v/>
      </c>
      <c r="F190" s="33" t="str">
        <f aca="false">F189</f>
        <v/>
      </c>
      <c r="G190" s="33" t="str">
        <f aca="false">G189</f>
        <v/>
      </c>
      <c r="H190" s="33" t="n">
        <f aca="false">H189</f>
        <v>193.032551</v>
      </c>
      <c r="I190" s="33" t="n">
        <f aca="false">I189</f>
        <v>204.334288</v>
      </c>
      <c r="J190" s="33" t="n">
        <f aca="false">J189</f>
        <v>177.887752</v>
      </c>
      <c r="K190" s="33" t="n">
        <f aca="false">K189</f>
        <v>147.246055</v>
      </c>
    </row>
    <row r="191" customFormat="false" ht="17.15" hidden="false" customHeight="false" outlineLevel="0" collapsed="false">
      <c r="A191" s="5" t="s">
        <v>2352</v>
      </c>
      <c r="B191" s="0" t="s">
        <v>2509</v>
      </c>
      <c r="C191" s="0" t="s">
        <v>395</v>
      </c>
      <c r="E191" s="33" t="str">
        <f aca="false">CapexGW!E73</f>
        <v/>
      </c>
      <c r="F191" s="33" t="str">
        <f aca="false">CapexGW!F73</f>
        <v/>
      </c>
      <c r="G191" s="33" t="n">
        <f aca="false">CapexGW!G73</f>
        <v>119</v>
      </c>
      <c r="H191" s="33" t="n">
        <f aca="false">CapexGW!H73</f>
        <v>130.9</v>
      </c>
      <c r="I191" s="33" t="n">
        <f aca="false">CapexGW!I73</f>
        <v>143.99</v>
      </c>
      <c r="J191" s="33" t="n">
        <f aca="false">CapexGW!J73</f>
        <v>158.389</v>
      </c>
      <c r="K191" s="33" t="n">
        <f aca="false">CapexGW!K73</f>
        <v>174.2279</v>
      </c>
    </row>
    <row r="192" customFormat="false" ht="17.15" hidden="false" customHeight="false" outlineLevel="0" collapsed="false">
      <c r="A192" s="5" t="s">
        <v>2354</v>
      </c>
      <c r="B192" s="0" t="s">
        <v>2510</v>
      </c>
      <c r="C192" s="0" t="s">
        <v>395</v>
      </c>
      <c r="D192" s="33" t="str">
        <f aca="false">IF(In!H187&lt;&gt;"",In!H187,"")</f>
        <v/>
      </c>
      <c r="E192" s="33" t="n">
        <f aca="false">IF(In!I187&lt;&gt;"",In!I187,IF(Funding!E14&lt;&gt;"",Funding!E14,""))</f>
        <v>91.328</v>
      </c>
      <c r="F192" s="33" t="n">
        <f aca="false">IF(In!J187&lt;&gt;"",In!J187,IF(Funding!E15&lt;&gt;"",Funding!E15,""))</f>
        <v>115.8</v>
      </c>
      <c r="G192" s="33" t="n">
        <f aca="false">IF(In!K187&lt;&gt;"",In!K187,"")</f>
        <v>136.50051</v>
      </c>
      <c r="H192" s="33" t="n">
        <f aca="false">IF(In!L187&lt;&gt;"",In!L187,"")</f>
        <v>167.454237</v>
      </c>
      <c r="I192" s="33" t="n">
        <f aca="false">IF(In!M187&lt;&gt;"",In!M187,"")</f>
        <v>198.405948</v>
      </c>
      <c r="J192" s="33" t="n">
        <f aca="false">IF(In!N187&lt;&gt;"",In!N187,"")</f>
        <v>225.126641</v>
      </c>
      <c r="K192" s="33" t="n">
        <f aca="false">IF(In!O187&lt;&gt;"",In!O187,"")</f>
        <v>246.375958</v>
      </c>
      <c r="L192" s="33" t="n">
        <f aca="false">IF(In!P187&lt;&gt;"",In!P187,"")</f>
        <v>271.575239</v>
      </c>
      <c r="M192" s="33" t="n">
        <f aca="false">IF(In!Q187&lt;&gt;"",In!Q187,"")</f>
        <v>301.272689</v>
      </c>
    </row>
    <row r="193" customFormat="false" ht="15" hidden="false" customHeight="false" outlineLevel="0" collapsed="false">
      <c r="A193" s="5" t="s">
        <v>2356</v>
      </c>
      <c r="B193" s="0" t="s">
        <v>2511</v>
      </c>
      <c r="C193" s="0" t="s">
        <v>40</v>
      </c>
      <c r="D193" s="0" t="str">
        <f aca="false">IF(In!H187&lt;&gt;"","模型",IF(D192&lt;&gt;"","Funding 觀測","無模型值"))</f>
        <v>無模型值</v>
      </c>
      <c r="E193" s="0" t="str">
        <f aca="false">IF(In!I187&lt;&gt;"","模型",IF(E192&lt;&gt;"","Funding 觀測","無模型值"))</f>
        <v>模型</v>
      </c>
      <c r="F193" s="0" t="str">
        <f aca="false">IF(In!J187&lt;&gt;"","模型",IF(F192&lt;&gt;"","Funding 觀測","無模型值"))</f>
        <v>模型</v>
      </c>
      <c r="G193" s="0" t="str">
        <f aca="false">IF(In!K187&lt;&gt;"","模型",IF(G192&lt;&gt;"","Funding 觀測","無模型值"))</f>
        <v>模型</v>
      </c>
      <c r="H193" s="0" t="str">
        <f aca="false">IF(In!L187&lt;&gt;"","模型",IF(H192&lt;&gt;"","Funding 觀測","無模型值"))</f>
        <v>模型</v>
      </c>
      <c r="I193" s="0" t="str">
        <f aca="false">IF(In!M187&lt;&gt;"","模型",IF(I192&lt;&gt;"","Funding 觀測","無模型值"))</f>
        <v>模型</v>
      </c>
      <c r="J193" s="0" t="str">
        <f aca="false">IF(In!N187&lt;&gt;"","模型",IF(J192&lt;&gt;"","Funding 觀測","無模型值"))</f>
        <v>模型</v>
      </c>
      <c r="K193" s="0" t="str">
        <f aca="false">IF(In!O187&lt;&gt;"","模型",IF(K192&lt;&gt;"","Funding 觀測","無模型值"))</f>
        <v>模型</v>
      </c>
      <c r="L193" s="0" t="str">
        <f aca="false">IF(In!P187&lt;&gt;"","模型",IF(L192&lt;&gt;"","Funding 觀測","無模型值"))</f>
        <v>模型</v>
      </c>
      <c r="M193" s="0" t="str">
        <f aca="false">IF(In!Q187&lt;&gt;"","模型",IF(M192&lt;&gt;"","Funding 觀測","無模型值"))</f>
        <v>模型</v>
      </c>
    </row>
    <row r="194" customFormat="false" ht="15" hidden="false" customHeight="false" outlineLevel="0" collapsed="false">
      <c r="A194" s="5" t="s">
        <v>2358</v>
      </c>
      <c r="B194" s="0" t="s">
        <v>2512</v>
      </c>
      <c r="C194" s="0" t="s">
        <v>395</v>
      </c>
      <c r="E194" s="40" t="n">
        <f aca="false">E192</f>
        <v>91.328</v>
      </c>
      <c r="F194" s="40" t="n">
        <f aca="false">F192</f>
        <v>115.8</v>
      </c>
      <c r="G194" s="40" t="n">
        <f aca="false">G192</f>
        <v>136.50051</v>
      </c>
      <c r="H194" s="40" t="n">
        <f aca="false">H192</f>
        <v>167.454237</v>
      </c>
      <c r="I194" s="40" t="n">
        <f aca="false">I192</f>
        <v>198.405948</v>
      </c>
      <c r="J194" s="40" t="n">
        <f aca="false">J192</f>
        <v>225.126641</v>
      </c>
      <c r="K194" s="40" t="n">
        <f aca="false">K192</f>
        <v>246.375958</v>
      </c>
    </row>
    <row r="195" customFormat="false" ht="17.15" hidden="false" customHeight="false" outlineLevel="0" collapsed="false">
      <c r="A195" s="5" t="s">
        <v>2360</v>
      </c>
      <c r="B195" s="0" t="s">
        <v>2513</v>
      </c>
      <c r="C195" s="0" t="s">
        <v>40</v>
      </c>
      <c r="E195" s="0" t="str">
        <f aca="false">IF(AND(ABS(E179)&lt;0.000000001,E194&lt;&gt;"",ISNUMBER(E190)),IF(N(E190)&gt;0,"模型值替代（無 GW 證據）",""),"")</f>
        <v/>
      </c>
      <c r="F195" s="0" t="str">
        <f aca="false">IF(AND(ABS(F179)&lt;0.000000001,F194&lt;&gt;"",ISNUMBER(F190)),IF(N(F190)&gt;0,"模型值替代（無 GW 證據）",""),"")</f>
        <v/>
      </c>
      <c r="G195" s="0" t="str">
        <f aca="false">IF(AND(ABS(G179)&lt;0.000000001,G194&lt;&gt;"",ISNUMBER(G190)),IF(N(G190)&gt;0,"模型值替代（無 GW 證據）",""),"")</f>
        <v/>
      </c>
      <c r="H195" s="0" t="str">
        <f aca="false">IF(AND(ABS(H179)&lt;0.000000001,H194&lt;&gt;"",ISNUMBER(H190)),IF(N(H190)&gt;0,"模型值替代（無 GW 證據）",""),"")</f>
        <v/>
      </c>
      <c r="I195" s="0" t="str">
        <f aca="false">IF(AND(ABS(I179)&lt;0.000000001,I194&lt;&gt;"",ISNUMBER(I190)),IF(N(I190)&gt;0,"模型值替代（無 GW 證據）",""),"")</f>
        <v/>
      </c>
      <c r="J195" s="0" t="str">
        <f aca="false">IF(AND(ABS(J179)&lt;0.000000001,J194&lt;&gt;"",ISNUMBER(J190)),IF(N(J190)&gt;0,"模型值替代（無 GW 證據）",""),"")</f>
        <v/>
      </c>
      <c r="K195" s="0" t="str">
        <f aca="false">IF(AND(ABS(K179)&lt;0.000000001,K194&lt;&gt;"",ISNUMBER(K190)),IF(N(K190)&gt;0,"模型值替代（無 GW 證據）",""),"")</f>
        <v/>
      </c>
      <c r="N195" s="5" t="s">
        <v>2362</v>
      </c>
    </row>
    <row r="196" customFormat="false" ht="17.15" hidden="false" customHeight="false" outlineLevel="0" collapsed="false">
      <c r="A196" s="5" t="s">
        <v>2363</v>
      </c>
      <c r="B196" s="0" t="s">
        <v>1857</v>
      </c>
      <c r="C196" s="0" t="s">
        <v>395</v>
      </c>
      <c r="E196" s="40" t="n">
        <f aca="false">IF(E195&lt;&gt;"",E190,E179)</f>
        <v>13.3420047268386</v>
      </c>
      <c r="F196" s="40" t="n">
        <f aca="false">IF(F195&lt;&gt;"",F190,F179)</f>
        <v>49.2243840655931</v>
      </c>
      <c r="G196" s="40" t="n">
        <f aca="false">IF(G195&lt;&gt;"",G190,G179)</f>
        <v>42.7223783744302</v>
      </c>
      <c r="H196" s="40" t="n">
        <f aca="false">IF(H195&lt;&gt;"",H190,H179)</f>
        <v>57.4402840910154</v>
      </c>
      <c r="I196" s="40" t="n">
        <f aca="false">IF(I195&lt;&gt;"",I190,I179)</f>
        <v>144.610387667915</v>
      </c>
      <c r="J196" s="40" t="n">
        <f aca="false">IF(J195&lt;&gt;"",J190,J179)</f>
        <v>159.06467159961</v>
      </c>
      <c r="K196" s="40" t="n">
        <f aca="false">IF(K195&lt;&gt;"",K190,K179)</f>
        <v>174.971138759571</v>
      </c>
    </row>
    <row r="197" customFormat="false" ht="17.15" hidden="false" customHeight="false" outlineLevel="0" collapsed="false">
      <c r="A197" s="5" t="s">
        <v>2364</v>
      </c>
      <c r="B197" s="0" t="s">
        <v>2514</v>
      </c>
      <c r="C197" s="0" t="s">
        <v>395</v>
      </c>
      <c r="E197" s="33" t="n">
        <f aca="false">E196</f>
        <v>13.3420047268386</v>
      </c>
      <c r="F197" s="33" t="n">
        <f aca="false">F196</f>
        <v>49.2243840655931</v>
      </c>
      <c r="G197" s="33" t="n">
        <f aca="false">G196</f>
        <v>42.7223783744302</v>
      </c>
      <c r="H197" s="33" t="n">
        <f aca="false">IF(ISNUMBER(H190),H190,H196)</f>
        <v>193.032551</v>
      </c>
      <c r="I197" s="33" t="n">
        <f aca="false">IF(ISNUMBER(I190),I190,I196)</f>
        <v>204.334288</v>
      </c>
      <c r="J197" s="33" t="n">
        <f aca="false">IF(ISNUMBER(J190),J190,J196)</f>
        <v>177.887752</v>
      </c>
      <c r="K197" s="33" t="n">
        <f aca="false">IF(ISNUMBER(K190),K190,K196)</f>
        <v>147.246055</v>
      </c>
    </row>
    <row r="198" customFormat="false" ht="15" hidden="false" customHeight="false" outlineLevel="0" collapsed="false">
      <c r="A198" s="5" t="s">
        <v>2366</v>
      </c>
      <c r="B198" s="0" t="s">
        <v>2515</v>
      </c>
      <c r="C198" s="0" t="s">
        <v>395</v>
      </c>
      <c r="D198" s="33" t="str">
        <f aca="false">IF(In!H191&lt;&gt;"",In!H191,"")</f>
        <v/>
      </c>
      <c r="E198" s="33" t="str">
        <f aca="false">IF(In!I191&lt;&gt;"",In!I191,IF(Funding!T14&lt;&gt;"",Funding!T14,""))</f>
        <v/>
      </c>
      <c r="F198" s="33" t="n">
        <f aca="false">IF(In!J191&lt;&gt;"",In!J191,IF(Funding!T15&lt;&gt;"",Funding!T15,""))</f>
        <v>31.572</v>
      </c>
      <c r="G198" s="33" t="n">
        <f aca="false">IF(In!K191&lt;&gt;"",In!K191,"")</f>
        <v>5.423243</v>
      </c>
      <c r="H198" s="33" t="n">
        <f aca="false">IF(In!L191&lt;&gt;"",In!L191,"")</f>
        <v>6.605363</v>
      </c>
      <c r="I198" s="33" t="n">
        <f aca="false">IF(In!M191&lt;&gt;"",In!M191,"")</f>
        <v>7.074236</v>
      </c>
      <c r="J198" s="33" t="n">
        <f aca="false">IF(In!N191&lt;&gt;"",In!N191,"")</f>
        <v>7.27587</v>
      </c>
      <c r="K198" s="33" t="n">
        <f aca="false">IF(In!O191&lt;&gt;"",In!O191,"")</f>
        <v>7.150075</v>
      </c>
      <c r="L198" s="33" t="n">
        <f aca="false">IF(In!P191&lt;&gt;"",In!P191,"")</f>
        <v>7.612685</v>
      </c>
      <c r="M198" s="33" t="n">
        <f aca="false">IF(In!Q191&lt;&gt;"",In!Q191,"")</f>
        <v>8.105225</v>
      </c>
    </row>
    <row r="199" customFormat="false" ht="15" hidden="false" customHeight="false" outlineLevel="0" collapsed="false">
      <c r="A199" s="5" t="s">
        <v>2368</v>
      </c>
      <c r="B199" s="0" t="s">
        <v>2516</v>
      </c>
      <c r="C199" s="0" t="s">
        <v>395</v>
      </c>
      <c r="E199" s="33" t="str">
        <f aca="false">E198</f>
        <v/>
      </c>
      <c r="F199" s="33" t="n">
        <f aca="false">F198</f>
        <v>31.572</v>
      </c>
      <c r="G199" s="33" t="n">
        <f aca="false">G198</f>
        <v>5.423243</v>
      </c>
      <c r="H199" s="33" t="n">
        <f aca="false">H198</f>
        <v>6.605363</v>
      </c>
      <c r="I199" s="33" t="n">
        <f aca="false">I198</f>
        <v>7.074236</v>
      </c>
      <c r="J199" s="33" t="n">
        <f aca="false">J198</f>
        <v>7.27587</v>
      </c>
      <c r="K199" s="33" t="n">
        <f aca="false">K198</f>
        <v>7.150075</v>
      </c>
    </row>
    <row r="200" customFormat="false" ht="17.15" hidden="false" customHeight="false" outlineLevel="0" collapsed="false">
      <c r="A200" s="5" t="s">
        <v>2370</v>
      </c>
      <c r="B200" s="0" t="s">
        <v>2517</v>
      </c>
      <c r="C200" s="0" t="s">
        <v>395</v>
      </c>
      <c r="E200" s="33" t="n">
        <f aca="false">E196+E186</f>
        <v>13.3420047268386</v>
      </c>
      <c r="F200" s="33" t="n">
        <f aca="false">F196+F186</f>
        <v>49.2243840655931</v>
      </c>
      <c r="G200" s="33" t="n">
        <f aca="false">G196+G186</f>
        <v>63.7223783744302</v>
      </c>
      <c r="H200" s="33" t="n">
        <f aca="false">H196+H186</f>
        <v>70.1136110910154</v>
      </c>
      <c r="I200" s="33" t="n">
        <f aca="false">I196+I186</f>
        <v>159.559362667915</v>
      </c>
      <c r="J200" s="33" t="n">
        <f aca="false">J196+J186</f>
        <v>175.97678159961</v>
      </c>
      <c r="K200" s="33" t="n">
        <f aca="false">K196+K186</f>
        <v>193.290816759571</v>
      </c>
    </row>
    <row r="201" customFormat="false" ht="17.15" hidden="false" customHeight="false" outlineLevel="0" collapsed="false">
      <c r="A201" s="5" t="s">
        <v>2372</v>
      </c>
      <c r="B201" s="0" t="s">
        <v>2518</v>
      </c>
      <c r="C201" s="0" t="s">
        <v>41</v>
      </c>
      <c r="E201" s="30" t="n">
        <f aca="false">IF(OR(E194="",E200&lt;=0),"",E194/E200)</f>
        <v>6.84514822695916</v>
      </c>
      <c r="F201" s="30" t="n">
        <f aca="false">IF(OR(F194="",F200&lt;=0),"",F194/F200)</f>
        <v>2.35249261515782</v>
      </c>
      <c r="G201" s="30" t="n">
        <f aca="false">IF(OR(G194="",G200&lt;=0),"",G194/G200)</f>
        <v>2.14211260599735</v>
      </c>
      <c r="H201" s="30" t="n">
        <f aca="false">IF(OR(H194="",H200&lt;=0),"",H194/H200)</f>
        <v>2.38832709361704</v>
      </c>
      <c r="I201" s="30" t="n">
        <f aca="false">IF(OR(I194="",I200&lt;=0),"",I194/I200)</f>
        <v>1.24346164764355</v>
      </c>
      <c r="J201" s="30" t="n">
        <f aca="false">IF(OR(J194="",J200&lt;=0),"",J194/J200)</f>
        <v>1.27929741045167</v>
      </c>
      <c r="K201" s="30" t="n">
        <f aca="false">IF(OR(K194="",K200&lt;=0),"",K194/K200)</f>
        <v>1.27463871347008</v>
      </c>
    </row>
    <row r="202" customFormat="false" ht="17.15" hidden="false" customHeight="false" outlineLevel="0" collapsed="false">
      <c r="A202" s="5" t="s">
        <v>2374</v>
      </c>
      <c r="B202" s="0" t="s">
        <v>2519</v>
      </c>
      <c r="C202" s="0" t="s">
        <v>395</v>
      </c>
      <c r="E202" s="40" t="n">
        <f aca="false">IF(E194="","",E200-E194)</f>
        <v>-77.9859952731614</v>
      </c>
      <c r="F202" s="40" t="n">
        <f aca="false">IF(F194="","",F200-F194)</f>
        <v>-66.5756159344069</v>
      </c>
      <c r="G202" s="40" t="n">
        <f aca="false">IF(G194="","",G200-G194)</f>
        <v>-72.7781316255698</v>
      </c>
      <c r="H202" s="40" t="n">
        <f aca="false">IF(H194="","",H200-H194)</f>
        <v>-97.3406259089846</v>
      </c>
      <c r="I202" s="40" t="n">
        <f aca="false">IF(I194="","",I200-I194)</f>
        <v>-38.8465853320851</v>
      </c>
      <c r="J202" s="40" t="n">
        <f aca="false">IF(J194="","",J200-J194)</f>
        <v>-49.1498594003903</v>
      </c>
      <c r="K202" s="40" t="n">
        <f aca="false">IF(K194="","",K200-K194)</f>
        <v>-53.0851412404292</v>
      </c>
    </row>
    <row r="203" customFormat="false" ht="17.15" hidden="false" customHeight="false" outlineLevel="0" collapsed="false">
      <c r="A203" s="5" t="s">
        <v>2433</v>
      </c>
      <c r="B203" s="0" t="s">
        <v>2520</v>
      </c>
      <c r="C203" s="0" t="s">
        <v>395</v>
      </c>
      <c r="E203" s="40" t="n">
        <f aca="false">N(Funding!AL14)</f>
        <v>0</v>
      </c>
      <c r="F203" s="40" t="n">
        <f aca="false">N(Funding!AL15)</f>
        <v>57.3</v>
      </c>
    </row>
    <row r="204" customFormat="false" ht="17.15" hidden="false" customHeight="false" outlineLevel="0" collapsed="false">
      <c r="A204" s="5" t="s">
        <v>2435</v>
      </c>
      <c r="B204" s="0" t="s">
        <v>2521</v>
      </c>
      <c r="C204" s="0" t="s">
        <v>395</v>
      </c>
      <c r="E204" s="33" t="n">
        <f aca="false">(N(Funding!J14)+N(Funding!K14)+N(Funding!L14)+N(Funding!M14))</f>
        <v>0</v>
      </c>
      <c r="F204" s="33" t="n">
        <f aca="false">(N(Funding!J15)+N(Funding!K15)+N(Funding!L15)+N(Funding!M15))</f>
        <v>30</v>
      </c>
    </row>
    <row r="205" customFormat="false" ht="15" hidden="false" customHeight="false" outlineLevel="0" collapsed="false">
      <c r="A205" s="5" t="s">
        <v>2437</v>
      </c>
      <c r="B205" s="0" t="s">
        <v>2522</v>
      </c>
      <c r="C205" s="0" t="s">
        <v>395</v>
      </c>
      <c r="E205" s="33" t="n">
        <f aca="false">N(Funding!R14)</f>
        <v>0</v>
      </c>
      <c r="F205" s="33" t="n">
        <f aca="false">N(Funding!R15)</f>
        <v>0</v>
      </c>
    </row>
    <row r="206" customFormat="false" ht="15" hidden="false" customHeight="false" outlineLevel="0" collapsed="false">
      <c r="A206" s="5" t="s">
        <v>2439</v>
      </c>
      <c r="B206" s="0" t="s">
        <v>2523</v>
      </c>
      <c r="C206" s="0" t="s">
        <v>395</v>
      </c>
      <c r="E206" s="33" t="n">
        <f aca="false">(N(Funding!AL14)-(N(Funding!J14)+N(Funding!K14)+N(Funding!L14)+N(Funding!M14))-N(Funding!R14))</f>
        <v>0</v>
      </c>
      <c r="F206" s="33" t="n">
        <f aca="false">(N(Funding!AL15)-(N(Funding!J15)+N(Funding!K15)+N(Funding!L15)+N(Funding!M15))-N(Funding!R15))</f>
        <v>27.3</v>
      </c>
    </row>
    <row r="207" customFormat="false" ht="17.15" hidden="false" customHeight="false" outlineLevel="0" collapsed="false">
      <c r="A207" s="5" t="s">
        <v>2384</v>
      </c>
      <c r="B207" s="0" t="s">
        <v>2524</v>
      </c>
      <c r="C207" s="0" t="s">
        <v>395</v>
      </c>
      <c r="E207" s="33" t="n">
        <f aca="false">IF(E202="","",E202-E203)</f>
        <v>-77.9859952731614</v>
      </c>
      <c r="F207" s="33" t="n">
        <f aca="false">IF(F202="","",F202-F203)</f>
        <v>-123.875615934407</v>
      </c>
    </row>
    <row r="208" customFormat="false" ht="17.15" hidden="false" customHeight="false" outlineLevel="0" collapsed="false">
      <c r="A208" s="5" t="s">
        <v>2386</v>
      </c>
      <c r="B208" s="0" t="s">
        <v>2525</v>
      </c>
      <c r="C208" s="0" t="s">
        <v>395</v>
      </c>
      <c r="G208" s="33" t="n">
        <f aca="false">IF(Funding!O16&lt;&gt;"",Funding!O16,N(Funding!O15))</f>
        <v>355.73</v>
      </c>
      <c r="N208" s="5" t="s">
        <v>2388</v>
      </c>
    </row>
    <row r="209" customFormat="false" ht="17.15" hidden="false" customHeight="false" outlineLevel="0" collapsed="false">
      <c r="A209" s="5" t="s">
        <v>2389</v>
      </c>
      <c r="B209" s="0" t="s">
        <v>2526</v>
      </c>
      <c r="C209" s="0" t="s">
        <v>395</v>
      </c>
      <c r="G209" s="33" t="n">
        <f aca="false">IF(Funding!Q16&lt;&gt;"",Funding!Q16,N(Funding!Q15))</f>
        <v>68.404</v>
      </c>
      <c r="N209" s="5" t="s">
        <v>2391</v>
      </c>
    </row>
    <row r="210" customFormat="false" ht="17.15" hidden="false" customHeight="false" outlineLevel="0" collapsed="false">
      <c r="A210" s="5" t="s">
        <v>2392</v>
      </c>
      <c r="B210" s="0" t="s">
        <v>2527</v>
      </c>
      <c r="C210" s="0" t="s">
        <v>395</v>
      </c>
      <c r="G210" s="33" t="n">
        <f aca="false">N(Funding!AL16)</f>
        <v>41.769</v>
      </c>
    </row>
    <row r="211" customFormat="false" ht="17.15" hidden="false" customHeight="false" outlineLevel="0" collapsed="false">
      <c r="A211" s="5" t="s">
        <v>2394</v>
      </c>
      <c r="B211" s="0" t="s">
        <v>2528</v>
      </c>
      <c r="C211" s="0" t="s">
        <v>395</v>
      </c>
      <c r="G211" s="33" t="n">
        <f aca="false">IF(COUNTIFS(FundRaw!$C$4:$C$281,"meta",FundRaw!$F$4:$F$281,"cash_level",FundRaw!$D$4:$D$281,"2025-12-31",FundRaw!$O$4:$O$281,1)=0,"未取得",SUMIFS(FundRaw!$G$4:$G$281,FundRaw!$C$4:$C$281,"meta",FundRaw!$F$4:$F$281,"cash_level",FundRaw!$D$4:$D$281,"2025-12-31",FundRaw!$O$4:$O$281,1))</f>
        <v>81.592</v>
      </c>
      <c r="N211" s="5" t="s">
        <v>2396</v>
      </c>
    </row>
    <row r="212" customFormat="false" ht="17.15" hidden="false" customHeight="false" outlineLevel="0" collapsed="false">
      <c r="A212" s="5" t="s">
        <v>2397</v>
      </c>
      <c r="B212" s="0" t="s">
        <v>2529</v>
      </c>
      <c r="C212" s="0" t="s">
        <v>395</v>
      </c>
      <c r="G212" s="33" t="n">
        <f aca="false">IF(ISNUMBER(G211),G211,N(gcash_meta))</f>
        <v>81.592</v>
      </c>
      <c r="N212" s="5" t="s">
        <v>2530</v>
      </c>
    </row>
    <row r="213" customFormat="false" ht="17.15" hidden="false" customHeight="false" outlineLevel="0" collapsed="false">
      <c r="A213" s="5" t="s">
        <v>2400</v>
      </c>
      <c r="B213" s="0" t="s">
        <v>2531</v>
      </c>
      <c r="C213" s="0" t="s">
        <v>40</v>
      </c>
      <c r="G213" s="0" t="str">
        <f aca="false">IF(ISNUMBER(G211),"Funding 觀測","個股模型（In Y9）")</f>
        <v>Funding 觀測</v>
      </c>
    </row>
    <row r="214" customFormat="false" ht="17.15" hidden="false" customHeight="false" outlineLevel="0" collapsed="false">
      <c r="A214" s="5" t="s">
        <v>2402</v>
      </c>
      <c r="B214" s="0" t="s">
        <v>2532</v>
      </c>
      <c r="C214" s="0" t="s">
        <v>395</v>
      </c>
      <c r="E214" s="33" t="n">
        <f aca="false">IF(E194="","",E194-E200)</f>
        <v>77.9859952731614</v>
      </c>
      <c r="F214" s="33" t="n">
        <f aca="false">IF(F194="","",F194-F200)</f>
        <v>66.5756159344069</v>
      </c>
      <c r="G214" s="33" t="n">
        <f aca="false">IF(G194="","",G194-G200)</f>
        <v>72.7781316255698</v>
      </c>
      <c r="H214" s="33" t="n">
        <f aca="false">IF(H194="","",H194-H200)</f>
        <v>97.3406259089846</v>
      </c>
      <c r="I214" s="33" t="n">
        <f aca="false">IF(I194="","",I194-I200)</f>
        <v>38.8465853320851</v>
      </c>
      <c r="J214" s="33" t="n">
        <f aca="false">IF(J194="","",J194-J200)</f>
        <v>49.1498594003903</v>
      </c>
      <c r="K214" s="33" t="n">
        <f aca="false">IF(K194="","",K194-K200)</f>
        <v>53.0851412404292</v>
      </c>
    </row>
    <row r="215" customFormat="false" ht="15" hidden="false" customHeight="false" outlineLevel="0" collapsed="false">
      <c r="A215" s="5" t="s">
        <v>2404</v>
      </c>
      <c r="B215" s="0" t="s">
        <v>2533</v>
      </c>
      <c r="C215" s="0" t="s">
        <v>57</v>
      </c>
      <c r="E215" s="23" t="n">
        <f aca="false">IF(OR(E202="",E200&lt;=0),"",E202/E200)</f>
        <v>-5.84514822695916</v>
      </c>
      <c r="F215" s="23" t="n">
        <f aca="false">IF(OR(F202="",F200&lt;=0),"",F202/F200)</f>
        <v>-1.35249261515782</v>
      </c>
      <c r="G215" s="23" t="n">
        <f aca="false">IF(OR(G202="",G200&lt;=0),"",G202/G200)</f>
        <v>-1.14211260599735</v>
      </c>
      <c r="H215" s="23" t="n">
        <f aca="false">IF(OR(H202="",H200&lt;=0),"",H202/H200)</f>
        <v>-1.38832709361704</v>
      </c>
      <c r="I215" s="23" t="n">
        <f aca="false">IF(OR(I202="",I200&lt;=0),"",I202/I200)</f>
        <v>-0.243461647643549</v>
      </c>
      <c r="J215" s="23" t="n">
        <f aca="false">IF(OR(J202="",J200&lt;=0),"",J202/J200)</f>
        <v>-0.279297410451671</v>
      </c>
      <c r="K215" s="23" t="n">
        <f aca="false">IF(OR(K202="",K200&lt;=0),"",K202/K200)</f>
        <v>-0.274638713470079</v>
      </c>
    </row>
    <row r="217" customFormat="false" ht="17.15" hidden="false" customHeight="false" outlineLevel="0" collapsed="false">
      <c r="A217" s="8" t="s">
        <v>2085</v>
      </c>
      <c r="B217" s="21" t="s">
        <v>752</v>
      </c>
      <c r="N217" s="5" t="s">
        <v>2534</v>
      </c>
    </row>
    <row r="218" customFormat="false" ht="17.15" hidden="false" customHeight="false" outlineLevel="0" collapsed="false">
      <c r="A218" s="5" t="s">
        <v>2317</v>
      </c>
      <c r="B218" s="0" t="s">
        <v>1464</v>
      </c>
      <c r="C218" s="0" t="s">
        <v>82</v>
      </c>
      <c r="D218" s="25" t="n">
        <f aca="false">CapexGW!D98</f>
        <v>0</v>
      </c>
      <c r="E218" s="25" t="n">
        <f aca="false">CapexGW!E98</f>
        <v>0</v>
      </c>
      <c r="F218" s="25" t="n">
        <f aca="false">CapexGW!F98</f>
        <v>0.816405</v>
      </c>
      <c r="G218" s="25" t="n">
        <f aca="false">CapexGW!G98</f>
        <v>1.54613</v>
      </c>
      <c r="H218" s="25" t="n">
        <f aca="false">CapexGW!H98</f>
        <v>1.53296918960021</v>
      </c>
      <c r="I218" s="25" t="n">
        <f aca="false">CapexGW!I98</f>
        <v>1.51024789659781</v>
      </c>
      <c r="J218" s="25" t="n">
        <f aca="false">CapexGW!J98</f>
        <v>1.51737350859666</v>
      </c>
      <c r="K218" s="25" t="n">
        <f aca="false">CapexGW!K98</f>
        <v>1.61626956383678</v>
      </c>
      <c r="L218" s="25" t="n">
        <f aca="false">CapexGW!L98</f>
        <v>1.75615170942886</v>
      </c>
      <c r="M218" s="25" t="n">
        <f aca="false">CapexGW!M98</f>
        <v>1.93176688037174</v>
      </c>
      <c r="N218" s="21" t="s">
        <v>2318</v>
      </c>
    </row>
    <row r="219" customFormat="false" ht="17.15" hidden="false" customHeight="false" outlineLevel="0" collapsed="false">
      <c r="A219" s="5" t="s">
        <v>2319</v>
      </c>
      <c r="B219" s="0" t="s">
        <v>1874</v>
      </c>
      <c r="C219" s="0" t="s">
        <v>230</v>
      </c>
      <c r="D219" s="30" t="n">
        <f aca="false">CapexGW!D93</f>
        <v>28.5674343946187</v>
      </c>
      <c r="E219" s="30" t="n">
        <f aca="false">CapexGW!E93</f>
        <v>28.5674343946187</v>
      </c>
      <c r="F219" s="30" t="n">
        <f aca="false">CapexGW!F93</f>
        <v>27.423891719914</v>
      </c>
      <c r="G219" s="30" t="n">
        <f aca="false">CapexGW!G93</f>
        <v>33.0649036341473</v>
      </c>
      <c r="H219" s="30" t="n">
        <f aca="false">CapexGW!H93</f>
        <v>36.5947249242921</v>
      </c>
      <c r="I219" s="30" t="n">
        <f aca="false">CapexGW!I93</f>
        <v>38.802433936281</v>
      </c>
      <c r="J219" s="30" t="n">
        <f aca="false">CapexGW!J93</f>
        <v>38.7783529603329</v>
      </c>
      <c r="K219" s="30" t="n">
        <f aca="false">CapexGW!K93</f>
        <v>38.7783529603329</v>
      </c>
      <c r="L219" s="30" t="n">
        <f aca="false">CapexGW!L93</f>
        <v>38.7783529603329</v>
      </c>
      <c r="M219" s="30" t="n">
        <f aca="false">CapexGW!M93</f>
        <v>38.7783529603329</v>
      </c>
    </row>
    <row r="220" customFormat="false" ht="17.15" hidden="false" customHeight="false" outlineLevel="0" collapsed="false">
      <c r="A220" s="5" t="s">
        <v>2320</v>
      </c>
      <c r="B220" s="0" t="s">
        <v>1875</v>
      </c>
      <c r="C220" s="0" t="s">
        <v>230</v>
      </c>
      <c r="D220" s="30" t="n">
        <f aca="false">CapexGW!D94</f>
        <v>12.2172817673375</v>
      </c>
      <c r="E220" s="30" t="n">
        <f aca="false">CapexGW!E94</f>
        <v>12.2172817673375</v>
      </c>
      <c r="F220" s="30" t="n">
        <f aca="false">CapexGW!F94</f>
        <v>12.2172817673375</v>
      </c>
      <c r="G220" s="30" t="n">
        <f aca="false">CapexGW!G94</f>
        <v>12.2172817673375</v>
      </c>
      <c r="H220" s="30" t="n">
        <f aca="false">CapexGW!H94</f>
        <v>12.1509699108826</v>
      </c>
      <c r="I220" s="30" t="n">
        <f aca="false">CapexGW!I94</f>
        <v>12.157584536667</v>
      </c>
      <c r="J220" s="30" t="n">
        <f aca="false">CapexGW!J94</f>
        <v>12.1527076383687</v>
      </c>
      <c r="K220" s="30" t="n">
        <f aca="false">CapexGW!K94</f>
        <v>12.1527076383687</v>
      </c>
      <c r="L220" s="30" t="n">
        <f aca="false">CapexGW!L94</f>
        <v>12.1527076383687</v>
      </c>
      <c r="M220" s="30" t="n">
        <f aca="false">CapexGW!M94</f>
        <v>12.1527076383687</v>
      </c>
    </row>
    <row r="221" customFormat="false" ht="17.15" hidden="false" customHeight="false" outlineLevel="0" collapsed="false">
      <c r="A221" s="5" t="s">
        <v>2321</v>
      </c>
      <c r="B221" s="0" t="s">
        <v>2535</v>
      </c>
      <c r="C221" s="0" t="s">
        <v>395</v>
      </c>
      <c r="E221" s="33" t="n">
        <f aca="false">E218*(E219+Gap!$D$6*E220)</f>
        <v>0</v>
      </c>
      <c r="F221" s="33" t="n">
        <f aca="false">F218*(F219+Gap!$D$6*F220)</f>
        <v>22.3890023195964</v>
      </c>
      <c r="G221" s="33" t="n">
        <f aca="false">G218*(G219+Gap!$D$6*G220)</f>
        <v>51.1226394558641</v>
      </c>
      <c r="H221" s="33" t="n">
        <f aca="false">H218*(H219+Gap!$D$6*H220)</f>
        <v>56.0985858108347</v>
      </c>
      <c r="I221" s="33" t="n">
        <f aca="false">I218*(I219+Gap!$D$6*I220)</f>
        <v>58.6012942351438</v>
      </c>
      <c r="J221" s="33" t="n">
        <f aca="false">J218*(J219+Gap!$D$6*J220)</f>
        <v>58.8412454890202</v>
      </c>
      <c r="K221" s="33" t="n">
        <f aca="false">K218*(K219+Gap!$D$6*K220)</f>
        <v>62.6762716255058</v>
      </c>
    </row>
    <row r="222" customFormat="false" ht="17.15" hidden="false" customHeight="false" outlineLevel="0" collapsed="false">
      <c r="A222" s="5" t="s">
        <v>2323</v>
      </c>
      <c r="B222" s="0" t="s">
        <v>2536</v>
      </c>
      <c r="C222" s="0" t="s">
        <v>395</v>
      </c>
      <c r="E222" s="33" t="n">
        <f aca="false">Gap!$E$6*F218*F220</f>
        <v>4.98712496063159</v>
      </c>
      <c r="F222" s="33" t="n">
        <f aca="false">Gap!$E$6*G218*G220</f>
        <v>9.44475292946677</v>
      </c>
      <c r="G222" s="33" t="n">
        <f aca="false">Gap!$E$6*H218*H220</f>
        <v>9.31353124857107</v>
      </c>
      <c r="H222" s="33" t="n">
        <f aca="false">Gap!$E$6*I218*I220</f>
        <v>9.18048323710567</v>
      </c>
      <c r="I222" s="33" t="n">
        <f aca="false">Gap!$E$6*J218*J220</f>
        <v>9.22009831409053</v>
      </c>
      <c r="J222" s="33" t="n">
        <f aca="false">Gap!$E$6*K218*K220</f>
        <v>9.82102573705106</v>
      </c>
      <c r="K222" s="33" t="n">
        <f aca="false">Gap!$E$6*L218*L220</f>
        <v>10.6709991466552</v>
      </c>
    </row>
    <row r="223" customFormat="false" ht="17.15" hidden="false" customHeight="false" outlineLevel="0" collapsed="false">
      <c r="A223" s="5" t="s">
        <v>2325</v>
      </c>
      <c r="B223" s="0" t="s">
        <v>2537</v>
      </c>
      <c r="C223" s="0" t="s">
        <v>395</v>
      </c>
      <c r="E223" s="33" t="n">
        <f aca="false">Gap!$F$6*G218*G220</f>
        <v>9.44475292946677</v>
      </c>
      <c r="F223" s="33" t="n">
        <f aca="false">Gap!$F$6*H218*H220</f>
        <v>9.31353124857107</v>
      </c>
      <c r="G223" s="33" t="n">
        <f aca="false">Gap!$F$6*I218*I220</f>
        <v>9.18048323710567</v>
      </c>
      <c r="H223" s="33" t="n">
        <f aca="false">Gap!$F$6*J218*J220</f>
        <v>9.22009831409053</v>
      </c>
      <c r="I223" s="33" t="n">
        <f aca="false">Gap!$F$6*K218*K220</f>
        <v>9.82102573705106</v>
      </c>
      <c r="J223" s="33" t="n">
        <f aca="false">Gap!$F$6*L218*L220</f>
        <v>10.6709991466552</v>
      </c>
      <c r="K223" s="33" t="n">
        <f aca="false">Gap!$F$6*M218*M220</f>
        <v>11.7380990613207</v>
      </c>
    </row>
    <row r="224" customFormat="false" ht="17.15" hidden="false" customHeight="false" outlineLevel="0" collapsed="false">
      <c r="A224" s="5" t="s">
        <v>2327</v>
      </c>
      <c r="B224" s="0" t="s">
        <v>2538</v>
      </c>
      <c r="C224" s="0" t="s">
        <v>395</v>
      </c>
      <c r="E224" s="33" t="n">
        <f aca="false">E221+E222+E223</f>
        <v>14.4318778900984</v>
      </c>
      <c r="F224" s="33" t="n">
        <f aca="false">F221+F222+F223</f>
        <v>41.1472864976342</v>
      </c>
      <c r="G224" s="33" t="n">
        <f aca="false">G221+G222+G223</f>
        <v>69.6166539415409</v>
      </c>
      <c r="H224" s="33" t="n">
        <f aca="false">H221+H222+H223</f>
        <v>74.4991673620309</v>
      </c>
      <c r="I224" s="33" t="n">
        <f aca="false">I221+I222+I223</f>
        <v>77.6424182862854</v>
      </c>
      <c r="J224" s="33" t="n">
        <f aca="false">J221+J222+J223</f>
        <v>79.3332703727264</v>
      </c>
      <c r="K224" s="33" t="n">
        <f aca="false">K221+K222+K223</f>
        <v>85.0853698334817</v>
      </c>
    </row>
    <row r="225" customFormat="false" ht="17.15" hidden="false" customHeight="false" outlineLevel="0" collapsed="false">
      <c r="A225" s="5" t="s">
        <v>2329</v>
      </c>
      <c r="B225" s="0" t="s">
        <v>2539</v>
      </c>
      <c r="C225" s="0" t="s">
        <v>395</v>
      </c>
      <c r="E225" s="33" t="n">
        <f aca="false">E218*(Gap!E$8+Gap!$D$6*Gap!E$9)</f>
        <v>0</v>
      </c>
      <c r="F225" s="33" t="n">
        <f aca="false">F218*(Gap!F$8+Gap!$D$6*Gap!F$9)</f>
        <v>21.0732672540679</v>
      </c>
      <c r="G225" s="33" t="n">
        <f aca="false">G218*(Gap!G$8+Gap!$D$6*Gap!G$9)</f>
        <v>48.6308645930625</v>
      </c>
      <c r="H225" s="33" t="n">
        <f aca="false">H218*(Gap!H$8+Gap!$D$6*Gap!H$9)</f>
        <v>53.2661454808364</v>
      </c>
      <c r="I225" s="33" t="n">
        <f aca="false">I218*(Gap!I$8+Gap!$D$6*Gap!I$9)</f>
        <v>55.8463978163721</v>
      </c>
      <c r="J225" s="33" t="n">
        <f aca="false">J218*(Gap!J$8+Gap!$D$6*Gap!J$9)</f>
        <v>56.0470076401044</v>
      </c>
      <c r="K225" s="33" t="n">
        <f aca="false">K218*(Gap!K$8+Gap!$D$6*Gap!K$9)</f>
        <v>59.6999170471923</v>
      </c>
    </row>
    <row r="226" customFormat="false" ht="17.15" hidden="false" customHeight="false" outlineLevel="0" collapsed="false">
      <c r="A226" s="5" t="s">
        <v>2331</v>
      </c>
      <c r="B226" s="0" t="s">
        <v>2540</v>
      </c>
      <c r="C226" s="0" t="s">
        <v>395</v>
      </c>
      <c r="E226" s="33" t="n">
        <f aca="false">Gap!$E$6*F218*Gap!F$9</f>
        <v>4.7653641033895</v>
      </c>
      <c r="F226" s="33" t="n">
        <f aca="false">Gap!$E$6*G218*Gap!G$9</f>
        <v>9.0247761848269</v>
      </c>
      <c r="G226" s="33" t="n">
        <f aca="false">Gap!$E$6*H218*Gap!H$9</f>
        <v>8.83613696751557</v>
      </c>
      <c r="H226" s="33" t="n">
        <f aca="false">Gap!$E$6*I218*Gap!I$9</f>
        <v>8.71615861169593</v>
      </c>
      <c r="I226" s="33" t="n">
        <f aca="false">Gap!$E$6*J218*Gap!J$9</f>
        <v>8.74914287864732</v>
      </c>
      <c r="J226" s="33" t="n">
        <f aca="false">Gap!$E$6*K218*Gap!K$9</f>
        <v>9.31937539722515</v>
      </c>
      <c r="K226" s="33" t="n">
        <f aca="false">Gap!$E$6*L218*Gap!L$9</f>
        <v>10.1259328275633</v>
      </c>
    </row>
    <row r="227" customFormat="false" ht="17.15" hidden="false" customHeight="false" outlineLevel="0" collapsed="false">
      <c r="A227" s="5" t="s">
        <v>2333</v>
      </c>
      <c r="B227" s="0" t="s">
        <v>2541</v>
      </c>
      <c r="C227" s="0" t="s">
        <v>395</v>
      </c>
      <c r="E227" s="33" t="n">
        <f aca="false">Gap!$F$6*G218*Gap!G$9</f>
        <v>9.0247761848269</v>
      </c>
      <c r="F227" s="33" t="n">
        <f aca="false">Gap!$F$6*H218*Gap!H$9</f>
        <v>8.83613696751557</v>
      </c>
      <c r="G227" s="33" t="n">
        <f aca="false">Gap!$F$6*I218*Gap!I$9</f>
        <v>8.71615861169593</v>
      </c>
      <c r="H227" s="33" t="n">
        <f aca="false">Gap!$F$6*J218*Gap!J$9</f>
        <v>8.74914287864732</v>
      </c>
      <c r="I227" s="33" t="n">
        <f aca="false">Gap!$F$6*K218*Gap!K$9</f>
        <v>9.31937539722515</v>
      </c>
      <c r="J227" s="33" t="n">
        <f aca="false">Gap!$F$6*L218*Gap!L$9</f>
        <v>10.1259328275633</v>
      </c>
      <c r="K227" s="33" t="n">
        <f aca="false">Gap!$F$6*M218*Gap!M$9</f>
        <v>11.1385261103196</v>
      </c>
    </row>
    <row r="228" customFormat="false" ht="17.15" hidden="false" customHeight="false" outlineLevel="0" collapsed="false">
      <c r="A228" s="5" t="s">
        <v>2335</v>
      </c>
      <c r="B228" s="0" t="s">
        <v>2542</v>
      </c>
      <c r="C228" s="0" t="s">
        <v>395</v>
      </c>
      <c r="D228" s="33" t="str">
        <f aca="false">IF(In!H195&lt;&gt;"",In!H195,"")</f>
        <v/>
      </c>
      <c r="E228" s="33" t="str">
        <f aca="false">IF(In!I195&lt;&gt;"",In!I195,"")</f>
        <v/>
      </c>
      <c r="F228" s="33" t="str">
        <f aca="false">IF(In!J195&lt;&gt;"",In!J195,"")</f>
        <v/>
      </c>
      <c r="G228" s="33" t="str">
        <f aca="false">IF(In!K195&lt;&gt;"",In!K195,"")</f>
        <v/>
      </c>
      <c r="H228" s="33" t="n">
        <f aca="false">IF(In!L195&lt;&gt;"",In!L195,"")</f>
        <v>4.969214</v>
      </c>
      <c r="I228" s="33" t="n">
        <f aca="false">IF(In!M195&lt;&gt;"",In!M195,"")</f>
        <v>5.306662</v>
      </c>
      <c r="J228" s="33" t="n">
        <f aca="false">IF(In!N195&lt;&gt;"",In!N195,"")</f>
        <v>5.646097</v>
      </c>
      <c r="K228" s="33" t="n">
        <f aca="false">IF(In!O195&lt;&gt;"",In!O195,"")</f>
        <v>5.976247</v>
      </c>
      <c r="L228" s="33" t="n">
        <f aca="false">IF(In!P195&lt;&gt;"",In!P195,"")</f>
        <v>6.285348</v>
      </c>
      <c r="M228" s="33" t="n">
        <f aca="false">IF(In!Q195&lt;&gt;"",In!Q195,"")</f>
        <v>6.5618</v>
      </c>
    </row>
    <row r="229" customFormat="false" ht="17.15" hidden="false" customHeight="false" outlineLevel="0" collapsed="false">
      <c r="A229" s="5" t="s">
        <v>2337</v>
      </c>
      <c r="B229" s="0" t="s">
        <v>2543</v>
      </c>
      <c r="C229" s="0" t="s">
        <v>395</v>
      </c>
      <c r="E229" s="33" t="str">
        <f aca="false">IF(OR(E228="",F228=""),"",E228*5/12+F228*7/12)</f>
        <v/>
      </c>
      <c r="F229" s="33" t="str">
        <f aca="false">IF(OR(F228="",G228=""),"",F228*5/12+G228*7/12)</f>
        <v/>
      </c>
      <c r="G229" s="33" t="str">
        <f aca="false">IF(OR(G228="",H228=""),"",G228*5/12+H228*7/12)</f>
        <v/>
      </c>
      <c r="H229" s="33" t="n">
        <f aca="false">IF(OR(H228="",I228=""),"",H228*5/12+I228*7/12)</f>
        <v>5.16605866666667</v>
      </c>
      <c r="I229" s="33" t="n">
        <f aca="false">IF(OR(I228="",J228=""),"",I228*5/12+J228*7/12)</f>
        <v>5.50466575</v>
      </c>
      <c r="J229" s="33" t="n">
        <f aca="false">IF(OR(J228="",K228=""),"",J228*5/12+K228*7/12)</f>
        <v>5.8386845</v>
      </c>
      <c r="K229" s="33" t="n">
        <f aca="false">IF(OR(K228="",L228=""),"",K228*5/12+L228*7/12)</f>
        <v>6.15655591666667</v>
      </c>
    </row>
    <row r="230" customFormat="false" ht="17.15" hidden="false" customHeight="false" outlineLevel="0" collapsed="false">
      <c r="A230" s="5" t="s">
        <v>2339</v>
      </c>
      <c r="B230" s="0" t="s">
        <v>2544</v>
      </c>
      <c r="C230" s="0" t="s">
        <v>40</v>
      </c>
      <c r="E230" s="0" t="str">
        <f aca="false">IF(E229&lt;&gt;"","",IF(CapexGW!E91&lt;&gt;"","以 Y2 × (1−AI 占比) 替代（模型無拆分）","無模型值（以 0 計）"))</f>
        <v>無模型值（以 0 計）</v>
      </c>
      <c r="F230" s="0" t="str">
        <f aca="false">IF(F229&lt;&gt;"","",IF(CapexGW!F91&lt;&gt;"","以 Y2 × (1−AI 占比) 替代（模型無拆分）","無模型值（以 0 計）"))</f>
        <v>以 Y2 × (1−AI 占比) 替代（模型無拆分）</v>
      </c>
      <c r="G230" s="0" t="str">
        <f aca="false">IF(G229&lt;&gt;"","",IF(CapexGW!G91&lt;&gt;"","以 Y2 × (1−AI 占比) 替代（模型無拆分）","無模型值（以 0 計）"))</f>
        <v>以 Y2 × (1−AI 占比) 替代（模型無拆分）</v>
      </c>
      <c r="H230" s="0" t="str">
        <f aca="false">IF(H229&lt;&gt;"","",IF(CapexGW!H91&lt;&gt;"","以 Y2 × (1−AI 占比) 替代（模型無拆分）","無模型值（以 0 計）"))</f>
        <v/>
      </c>
      <c r="I230" s="0" t="str">
        <f aca="false">IF(I229&lt;&gt;"","",IF(CapexGW!I91&lt;&gt;"","以 Y2 × (1−AI 占比) 替代（模型無拆分）","無模型值（以 0 計）"))</f>
        <v/>
      </c>
      <c r="J230" s="0" t="str">
        <f aca="false">IF(J229&lt;&gt;"","",IF(CapexGW!J91&lt;&gt;"","以 Y2 × (1−AI 占比) 替代（模型無拆分）","無模型值（以 0 計）"))</f>
        <v/>
      </c>
      <c r="K230" s="0" t="str">
        <f aca="false">IF(K229&lt;&gt;"","",IF(CapexGW!K91&lt;&gt;"","以 Y2 × (1−AI 占比) 替代（模型無拆分）","無模型值（以 0 計）"))</f>
        <v/>
      </c>
      <c r="N230" s="0" t="s">
        <v>2341</v>
      </c>
    </row>
    <row r="231" customFormat="false" ht="17.15" hidden="false" customHeight="false" outlineLevel="0" collapsed="false">
      <c r="A231" s="5" t="s">
        <v>2342</v>
      </c>
      <c r="B231" s="0" t="s">
        <v>2545</v>
      </c>
      <c r="C231" s="0" t="s">
        <v>395</v>
      </c>
      <c r="E231" s="33" t="n">
        <f aca="false">IF(E229&lt;&gt;"",E229,IF(CapexGW!E91&lt;&gt;"",CapexGW!E91*(1-ai_sh),0))</f>
        <v>0</v>
      </c>
      <c r="F231" s="33" t="n">
        <f aca="false">IF(F229&lt;&gt;"",F229,IF(CapexGW!F91&lt;&gt;"",CapexGW!F91*(1-ai_sh),0))</f>
        <v>6.19645</v>
      </c>
      <c r="G231" s="33" t="n">
        <f aca="false">IF(G229&lt;&gt;"",G229,IF(CapexGW!G91&lt;&gt;"",CapexGW!G91*(1-ai_sh),0))</f>
        <v>11.5726875</v>
      </c>
      <c r="H231" s="33" t="n">
        <f aca="false">IF(H229&lt;&gt;"",H229,IF(CapexGW!H91&lt;&gt;"",CapexGW!H91*(1-ai_sh),0))</f>
        <v>5.16605866666667</v>
      </c>
      <c r="I231" s="33" t="n">
        <f aca="false">IF(I229&lt;&gt;"",I229,IF(CapexGW!I91&lt;&gt;"",CapexGW!I91*(1-ai_sh),0))</f>
        <v>5.50466575</v>
      </c>
      <c r="J231" s="33" t="n">
        <f aca="false">IF(J229&lt;&gt;"",J229,IF(CapexGW!J91&lt;&gt;"",CapexGW!J91*(1-ai_sh),0))</f>
        <v>5.8386845</v>
      </c>
      <c r="K231" s="33" t="n">
        <f aca="false">IF(K229&lt;&gt;"",K229,IF(CapexGW!K91&lt;&gt;"",CapexGW!K91*(1-ai_sh),0))</f>
        <v>6.15655591666667</v>
      </c>
    </row>
    <row r="232" customFormat="false" ht="15" hidden="false" customHeight="false" outlineLevel="0" collapsed="false">
      <c r="A232" s="5" t="s">
        <v>2344</v>
      </c>
      <c r="B232" s="0" t="s">
        <v>2546</v>
      </c>
      <c r="C232" s="0" t="s">
        <v>395</v>
      </c>
      <c r="D232" s="33" t="str">
        <f aca="false">IF(In!H196&lt;&gt;"",In!H196,"")</f>
        <v/>
      </c>
      <c r="E232" s="33" t="str">
        <f aca="false">IF(In!I196&lt;&gt;"",In!I196,"")</f>
        <v/>
      </c>
      <c r="F232" s="33" t="str">
        <f aca="false">IF(In!J196&lt;&gt;"",In!J196,"")</f>
        <v/>
      </c>
      <c r="G232" s="33" t="n">
        <f aca="false">IF(In!K196&lt;&gt;"",In!K196,"")</f>
        <v>55.663</v>
      </c>
      <c r="H232" s="33" t="n">
        <f aca="false">IF(In!L196&lt;&gt;"",In!L196,"")</f>
        <v>92.5</v>
      </c>
      <c r="I232" s="33" t="n">
        <f aca="false">IF(In!M196&lt;&gt;"",In!M196,"")</f>
        <v>86.397526</v>
      </c>
      <c r="J232" s="33" t="n">
        <f aca="false">IF(In!N196&lt;&gt;"",In!N196,"")</f>
        <v>38.005563</v>
      </c>
      <c r="K232" s="33" t="n">
        <f aca="false">IF(In!O196&lt;&gt;"",In!O196,"")</f>
        <v>20.011665</v>
      </c>
      <c r="L232" s="33" t="n">
        <f aca="false">IF(In!P196&lt;&gt;"",In!P196,"")</f>
        <v>23.744518</v>
      </c>
      <c r="M232" s="33" t="n">
        <f aca="false">IF(In!Q196&lt;&gt;"",In!Q196,"")</f>
        <v>69.436008</v>
      </c>
    </row>
    <row r="233" customFormat="false" ht="15" hidden="false" customHeight="false" outlineLevel="0" collapsed="false">
      <c r="A233" s="5" t="s">
        <v>2346</v>
      </c>
      <c r="B233" s="0" t="s">
        <v>2547</v>
      </c>
      <c r="C233" s="0" t="s">
        <v>395</v>
      </c>
      <c r="E233" s="33" t="str">
        <f aca="false">IF(OR(E232="",F232=""),"",E232*5/12+F232*7/12)</f>
        <v/>
      </c>
      <c r="F233" s="33" t="str">
        <f aca="false">IF(OR(F232="",G232=""),"",F232*5/12+G232*7/12)</f>
        <v/>
      </c>
      <c r="G233" s="33" t="n">
        <f aca="false">IF(OR(G232="",H232=""),"",G232*5/12+H232*7/12)</f>
        <v>77.15125</v>
      </c>
      <c r="H233" s="33" t="n">
        <f aca="false">IF(OR(H232="",I232=""),"",H232*5/12+I232*7/12)</f>
        <v>88.9402235</v>
      </c>
      <c r="I233" s="33" t="n">
        <f aca="false">IF(OR(I232="",J232=""),"",I232*5/12+J232*7/12)</f>
        <v>58.1688809166667</v>
      </c>
      <c r="J233" s="33" t="n">
        <f aca="false">IF(OR(J232="",K232=""),"",J232*5/12+K232*7/12)</f>
        <v>27.5091225</v>
      </c>
      <c r="K233" s="33" t="n">
        <f aca="false">IF(OR(K232="",L232=""),"",K232*5/12+L232*7/12)</f>
        <v>22.1891625833333</v>
      </c>
    </row>
    <row r="234" customFormat="false" ht="17.15" hidden="false" customHeight="false" outlineLevel="0" collapsed="false">
      <c r="A234" s="5" t="s">
        <v>2348</v>
      </c>
      <c r="B234" s="0" t="s">
        <v>2548</v>
      </c>
      <c r="C234" s="0" t="s">
        <v>395</v>
      </c>
      <c r="D234" s="33" t="str">
        <f aca="false">IF(In!H194&lt;&gt;"",In!H194,"")</f>
        <v/>
      </c>
      <c r="E234" s="33" t="str">
        <f aca="false">IF(In!I194&lt;&gt;"",In!I194,"")</f>
        <v/>
      </c>
      <c r="F234" s="33" t="str">
        <f aca="false">IF(In!J194&lt;&gt;"",In!J194,"")</f>
        <v/>
      </c>
      <c r="G234" s="33" t="str">
        <f aca="false">IF(In!K194&lt;&gt;"",In!K194,"")</f>
        <v/>
      </c>
      <c r="H234" s="33" t="n">
        <f aca="false">IF(In!L194&lt;&gt;"",In!L194,"")</f>
        <v>87.530786</v>
      </c>
      <c r="I234" s="33" t="n">
        <f aca="false">IF(In!M194&lt;&gt;"",In!M194,"")</f>
        <v>81.090864</v>
      </c>
      <c r="J234" s="33" t="n">
        <f aca="false">IF(In!N194&lt;&gt;"",In!N194,"")</f>
        <v>32.359466</v>
      </c>
      <c r="K234" s="33" t="n">
        <f aca="false">IF(In!O194&lt;&gt;"",In!O194,"")</f>
        <v>14.035418</v>
      </c>
      <c r="L234" s="33" t="n">
        <f aca="false">IF(In!P194&lt;&gt;"",In!P194,"")</f>
        <v>17.45917</v>
      </c>
      <c r="M234" s="33" t="n">
        <f aca="false">IF(In!Q194&lt;&gt;"",In!Q194,"")</f>
        <v>62.874208</v>
      </c>
    </row>
    <row r="235" customFormat="false" ht="17.15" hidden="false" customHeight="false" outlineLevel="0" collapsed="false">
      <c r="A235" s="5" t="s">
        <v>2350</v>
      </c>
      <c r="B235" s="0" t="s">
        <v>2549</v>
      </c>
      <c r="C235" s="0" t="s">
        <v>395</v>
      </c>
      <c r="E235" s="33" t="str">
        <f aca="false">IF(OR(E234="",F234=""),"",E234*5/12+F234*7/12)</f>
        <v/>
      </c>
      <c r="F235" s="33" t="str">
        <f aca="false">IF(OR(F234="",G234=""),"",F234*5/12+G234*7/12)</f>
        <v/>
      </c>
      <c r="G235" s="33" t="str">
        <f aca="false">IF(OR(G234="",H234=""),"",G234*5/12+H234*7/12)</f>
        <v/>
      </c>
      <c r="H235" s="33" t="n">
        <f aca="false">IF(OR(H234="",I234=""),"",H234*5/12+I234*7/12)</f>
        <v>83.7741648333333</v>
      </c>
      <c r="I235" s="33" t="n">
        <f aca="false">IF(OR(I234="",J234=""),"",I234*5/12+J234*7/12)</f>
        <v>52.6642151666667</v>
      </c>
      <c r="J235" s="33" t="n">
        <f aca="false">IF(OR(J234="",K234=""),"",J234*5/12+K234*7/12)</f>
        <v>21.670438</v>
      </c>
      <c r="K235" s="33" t="n">
        <f aca="false">IF(OR(K234="",L234=""),"",K234*5/12+L234*7/12)</f>
        <v>16.0326066666667</v>
      </c>
    </row>
    <row r="236" customFormat="false" ht="17.15" hidden="false" customHeight="false" outlineLevel="0" collapsed="false">
      <c r="A236" s="5" t="s">
        <v>2352</v>
      </c>
      <c r="B236" s="0" t="s">
        <v>2550</v>
      </c>
      <c r="C236" s="0" t="s">
        <v>395</v>
      </c>
      <c r="E236" s="33" t="str">
        <f aca="false">CapexGW!E92</f>
        <v/>
      </c>
      <c r="F236" s="33" t="n">
        <f aca="false">CapexGW!F92</f>
        <v>35.1132166666667</v>
      </c>
      <c r="G236" s="33" t="n">
        <f aca="false">CapexGW!G92</f>
        <v>65.5785625</v>
      </c>
      <c r="H236" s="33" t="n">
        <f aca="false">CapexGW!H92</f>
        <v>82.8207416666667</v>
      </c>
      <c r="I236" s="33" t="n">
        <f aca="false">CapexGW!I92</f>
        <v>77.8278416666667</v>
      </c>
      <c r="J236" s="33" t="n">
        <f aca="false">CapexGW!J92</f>
        <v>76.3278466666667</v>
      </c>
      <c r="K236" s="33" t="n">
        <f aca="false">CapexGW!K92</f>
        <v>83.9606313333333</v>
      </c>
    </row>
    <row r="237" customFormat="false" ht="17.15" hidden="false" customHeight="false" outlineLevel="0" collapsed="false">
      <c r="A237" s="5" t="s">
        <v>2354</v>
      </c>
      <c r="B237" s="0" t="s">
        <v>2551</v>
      </c>
      <c r="C237" s="0" t="s">
        <v>395</v>
      </c>
      <c r="D237" s="33" t="str">
        <f aca="false">IF(In!H193&lt;&gt;"",In!H193,"")</f>
        <v/>
      </c>
      <c r="E237" s="33" t="str">
        <f aca="false">IF(In!I193&lt;&gt;"",In!I193,IF(Funding!E17&lt;&gt;"",Funding!E17,""))</f>
        <v/>
      </c>
      <c r="F237" s="33" t="str">
        <f aca="false">IF(In!J193&lt;&gt;"",In!J193,IF(Funding!E18&lt;&gt;"",Funding!E18,""))</f>
        <v/>
      </c>
      <c r="G237" s="33" t="n">
        <f aca="false">IF(In!K193&lt;&gt;"",In!K193,IF(Funding!E19&lt;&gt;"",Funding!E19,""))</f>
        <v>31.977</v>
      </c>
      <c r="H237" s="33" t="n">
        <f aca="false">IF(In!L193&lt;&gt;"",In!L193,"")</f>
        <v>66.747013</v>
      </c>
      <c r="I237" s="33" t="n">
        <f aca="false">IF(In!M193&lt;&gt;"",In!M193,"")</f>
        <v>72.213744</v>
      </c>
      <c r="J237" s="33" t="n">
        <f aca="false">IF(In!N193&lt;&gt;"",In!N193,"")</f>
        <v>71.832044</v>
      </c>
      <c r="K237" s="33" t="n">
        <f aca="false">IF(In!O193&lt;&gt;"",In!O193,"")</f>
        <v>74.612346</v>
      </c>
      <c r="L237" s="33" t="n">
        <f aca="false">IF(In!P193&lt;&gt;"",In!P193,"")</f>
        <v>79.246131</v>
      </c>
      <c r="M237" s="33" t="n">
        <f aca="false">IF(In!Q193&lt;&gt;"",In!Q193,"")</f>
        <v>98.028521</v>
      </c>
    </row>
    <row r="238" customFormat="false" ht="15" hidden="false" customHeight="false" outlineLevel="0" collapsed="false">
      <c r="A238" s="5" t="s">
        <v>2356</v>
      </c>
      <c r="B238" s="0" t="s">
        <v>2552</v>
      </c>
      <c r="C238" s="0" t="s">
        <v>40</v>
      </c>
      <c r="D238" s="0" t="str">
        <f aca="false">IF(In!H193&lt;&gt;"","模型",IF(D237&lt;&gt;"","Funding 觀測","無模型值"))</f>
        <v>無模型值</v>
      </c>
      <c r="E238" s="0" t="str">
        <f aca="false">IF(In!I193&lt;&gt;"","模型",IF(E237&lt;&gt;"","Funding 觀測","無模型值"))</f>
        <v>無模型值</v>
      </c>
      <c r="F238" s="0" t="str">
        <f aca="false">IF(In!J193&lt;&gt;"","模型",IF(F237&lt;&gt;"","Funding 觀測","無模型值"))</f>
        <v>無模型值</v>
      </c>
      <c r="G238" s="0" t="str">
        <f aca="false">IF(In!K193&lt;&gt;"","模型",IF(G237&lt;&gt;"","Funding 觀測","無模型值"))</f>
        <v>模型</v>
      </c>
      <c r="H238" s="0" t="str">
        <f aca="false">IF(In!L193&lt;&gt;"","模型",IF(H237&lt;&gt;"","Funding 觀測","無模型值"))</f>
        <v>模型</v>
      </c>
      <c r="I238" s="0" t="str">
        <f aca="false">IF(In!M193&lt;&gt;"","模型",IF(I237&lt;&gt;"","Funding 觀測","無模型值"))</f>
        <v>模型</v>
      </c>
      <c r="J238" s="0" t="str">
        <f aca="false">IF(In!N193&lt;&gt;"","模型",IF(J237&lt;&gt;"","Funding 觀測","無模型值"))</f>
        <v>模型</v>
      </c>
      <c r="K238" s="0" t="str">
        <f aca="false">IF(In!O193&lt;&gt;"","模型",IF(K237&lt;&gt;"","Funding 觀測","無模型值"))</f>
        <v>模型</v>
      </c>
      <c r="L238" s="0" t="str">
        <f aca="false">IF(In!P193&lt;&gt;"","模型",IF(L237&lt;&gt;"","Funding 觀測","無模型值"))</f>
        <v>模型</v>
      </c>
      <c r="M238" s="0" t="str">
        <f aca="false">IF(In!Q193&lt;&gt;"","模型",IF(M237&lt;&gt;"","Funding 觀測","無模型值"))</f>
        <v>模型</v>
      </c>
    </row>
    <row r="239" customFormat="false" ht="15" hidden="false" customHeight="false" outlineLevel="0" collapsed="false">
      <c r="A239" s="5" t="s">
        <v>2358</v>
      </c>
      <c r="B239" s="0" t="s">
        <v>2553</v>
      </c>
      <c r="C239" s="0" t="s">
        <v>395</v>
      </c>
      <c r="E239" s="40" t="str">
        <f aca="false">IF(OR(E237="",F237=""),"",E237*5/12+F237*7/12)</f>
        <v/>
      </c>
      <c r="F239" s="40" t="str">
        <f aca="false">IF(OR(F237="",G237=""),"",F237*5/12+G237*7/12)</f>
        <v/>
      </c>
      <c r="G239" s="40" t="n">
        <f aca="false">IF(OR(G237="",H237=""),"",G237*5/12+H237*7/12)</f>
        <v>52.2595075833333</v>
      </c>
      <c r="H239" s="40" t="n">
        <f aca="false">IF(OR(H237="",I237=""),"",H237*5/12+I237*7/12)</f>
        <v>69.9359394166667</v>
      </c>
      <c r="I239" s="40" t="n">
        <f aca="false">IF(OR(I237="",J237=""),"",I237*5/12+J237*7/12)</f>
        <v>71.9910856666667</v>
      </c>
      <c r="J239" s="40" t="n">
        <f aca="false">IF(OR(J237="",K237=""),"",J237*5/12+K237*7/12)</f>
        <v>73.4538868333333</v>
      </c>
      <c r="K239" s="40" t="n">
        <f aca="false">IF(OR(K237="",L237=""),"",K237*5/12+L237*7/12)</f>
        <v>77.31538725</v>
      </c>
    </row>
    <row r="240" customFormat="false" ht="17.15" hidden="false" customHeight="false" outlineLevel="0" collapsed="false">
      <c r="A240" s="5" t="s">
        <v>2360</v>
      </c>
      <c r="B240" s="0" t="s">
        <v>2554</v>
      </c>
      <c r="C240" s="0" t="s">
        <v>40</v>
      </c>
      <c r="E240" s="0" t="str">
        <f aca="false">IF(AND(ABS(E224)&lt;0.000000001,E239&lt;&gt;"",ISNUMBER(E235)),IF(N(E235)&gt;0,"模型值替代（無 GW 證據）",""),"")</f>
        <v/>
      </c>
      <c r="F240" s="0" t="str">
        <f aca="false">IF(AND(ABS(F224)&lt;0.000000001,F239&lt;&gt;"",ISNUMBER(F235)),IF(N(F235)&gt;0,"模型值替代（無 GW 證據）",""),"")</f>
        <v/>
      </c>
      <c r="G240" s="0" t="str">
        <f aca="false">IF(AND(ABS(G224)&lt;0.000000001,G239&lt;&gt;"",ISNUMBER(G235)),IF(N(G235)&gt;0,"模型值替代（無 GW 證據）",""),"")</f>
        <v/>
      </c>
      <c r="H240" s="0" t="str">
        <f aca="false">IF(AND(ABS(H224)&lt;0.000000001,H239&lt;&gt;"",ISNUMBER(H235)),IF(N(H235)&gt;0,"模型值替代（無 GW 證據）",""),"")</f>
        <v/>
      </c>
      <c r="I240" s="0" t="str">
        <f aca="false">IF(AND(ABS(I224)&lt;0.000000001,I239&lt;&gt;"",ISNUMBER(I235)),IF(N(I235)&gt;0,"模型值替代（無 GW 證據）",""),"")</f>
        <v/>
      </c>
      <c r="J240" s="0" t="str">
        <f aca="false">IF(AND(ABS(J224)&lt;0.000000001,J239&lt;&gt;"",ISNUMBER(J235)),IF(N(J235)&gt;0,"模型值替代（無 GW 證據）",""),"")</f>
        <v/>
      </c>
      <c r="K240" s="0" t="str">
        <f aca="false">IF(AND(ABS(K224)&lt;0.000000001,K239&lt;&gt;"",ISNUMBER(K235)),IF(N(K235)&gt;0,"模型值替代（無 GW 證據）",""),"")</f>
        <v/>
      </c>
      <c r="N240" s="5" t="s">
        <v>2362</v>
      </c>
    </row>
    <row r="241" customFormat="false" ht="17.15" hidden="false" customHeight="false" outlineLevel="0" collapsed="false">
      <c r="A241" s="5" t="s">
        <v>2363</v>
      </c>
      <c r="B241" s="0" t="s">
        <v>1873</v>
      </c>
      <c r="C241" s="0" t="s">
        <v>395</v>
      </c>
      <c r="E241" s="40" t="n">
        <f aca="false">IF(E240&lt;&gt;"",E235,E224)</f>
        <v>14.4318778900984</v>
      </c>
      <c r="F241" s="40" t="n">
        <f aca="false">IF(F240&lt;&gt;"",F235,F224)</f>
        <v>41.1472864976342</v>
      </c>
      <c r="G241" s="40" t="n">
        <f aca="false">IF(G240&lt;&gt;"",G235,G224)</f>
        <v>69.6166539415409</v>
      </c>
      <c r="H241" s="40" t="n">
        <f aca="false">IF(H240&lt;&gt;"",H235,H224)</f>
        <v>74.4991673620309</v>
      </c>
      <c r="I241" s="40" t="n">
        <f aca="false">IF(I240&lt;&gt;"",I235,I224)</f>
        <v>77.6424182862854</v>
      </c>
      <c r="J241" s="40" t="n">
        <f aca="false">IF(J240&lt;&gt;"",J235,J224)</f>
        <v>79.3332703727264</v>
      </c>
      <c r="K241" s="40" t="n">
        <f aca="false">IF(K240&lt;&gt;"",K235,K224)</f>
        <v>85.0853698334817</v>
      </c>
    </row>
    <row r="242" customFormat="false" ht="17.15" hidden="false" customHeight="false" outlineLevel="0" collapsed="false">
      <c r="A242" s="5" t="s">
        <v>2364</v>
      </c>
      <c r="B242" s="0" t="s">
        <v>2555</v>
      </c>
      <c r="C242" s="0" t="s">
        <v>395</v>
      </c>
      <c r="E242" s="33" t="n">
        <f aca="false">E241</f>
        <v>14.4318778900984</v>
      </c>
      <c r="F242" s="33" t="n">
        <f aca="false">F241</f>
        <v>41.1472864976342</v>
      </c>
      <c r="G242" s="33" t="n">
        <f aca="false">G241</f>
        <v>69.6166539415409</v>
      </c>
      <c r="H242" s="33" t="n">
        <f aca="false">IF(ISNUMBER(H235),H235,H241)</f>
        <v>83.7741648333333</v>
      </c>
      <c r="I242" s="33" t="n">
        <f aca="false">IF(ISNUMBER(I235),I235,I241)</f>
        <v>52.6642151666667</v>
      </c>
      <c r="J242" s="33" t="n">
        <f aca="false">IF(ISNUMBER(J235),J235,J241)</f>
        <v>21.670438</v>
      </c>
      <c r="K242" s="33" t="n">
        <f aca="false">IF(ISNUMBER(K235),K235,K241)</f>
        <v>16.0326066666667</v>
      </c>
    </row>
    <row r="243" customFormat="false" ht="15" hidden="false" customHeight="false" outlineLevel="0" collapsed="false">
      <c r="A243" s="5" t="s">
        <v>2366</v>
      </c>
      <c r="B243" s="0" t="s">
        <v>2556</v>
      </c>
      <c r="C243" s="0" t="s">
        <v>395</v>
      </c>
      <c r="D243" s="33" t="str">
        <f aca="false">IF(In!H197&lt;&gt;"",In!H197,"")</f>
        <v/>
      </c>
      <c r="E243" s="33" t="str">
        <f aca="false">IF(In!I197&lt;&gt;"",In!I197,IF(Funding!T17&lt;&gt;"",Funding!T17,""))</f>
        <v/>
      </c>
      <c r="F243" s="33" t="str">
        <f aca="false">IF(In!J197&lt;&gt;"",In!J197,IF(Funding!T18&lt;&gt;"",Funding!T18,""))</f>
        <v/>
      </c>
      <c r="G243" s="33" t="n">
        <f aca="false">IF(In!K197&lt;&gt;"",In!K197,IF(Funding!T19&lt;&gt;"",Funding!T19,""))</f>
        <v>5.787</v>
      </c>
      <c r="H243" s="33" t="n">
        <f aca="false">IF(In!L197&lt;&gt;"",In!L197,"")</f>
        <v>6.344604</v>
      </c>
      <c r="I243" s="33" t="n">
        <f aca="false">IF(In!M197&lt;&gt;"",In!M197,"")</f>
        <v>6.372472</v>
      </c>
      <c r="J243" s="33" t="n">
        <f aca="false">IF(In!N197&lt;&gt;"",In!N197,"")</f>
        <v>6.291472</v>
      </c>
      <c r="K243" s="33" t="n">
        <f aca="false">IF(In!O197&lt;&gt;"",In!O197,"")</f>
        <v>6.109948</v>
      </c>
      <c r="L243" s="33" t="n">
        <f aca="false">IF(In!P197&lt;&gt;"",In!P197,"")</f>
        <v>6.109948</v>
      </c>
      <c r="M243" s="33" t="n">
        <f aca="false">IF(In!Q197&lt;&gt;"",In!Q197,"")</f>
        <v>6.109948</v>
      </c>
    </row>
    <row r="244" customFormat="false" ht="15" hidden="false" customHeight="false" outlineLevel="0" collapsed="false">
      <c r="A244" s="5" t="s">
        <v>2368</v>
      </c>
      <c r="B244" s="0" t="s">
        <v>2557</v>
      </c>
      <c r="C244" s="0" t="s">
        <v>395</v>
      </c>
      <c r="E244" s="33" t="str">
        <f aca="false">IF(OR(E243="",F243=""),"",E243*5/12+F243*7/12)</f>
        <v/>
      </c>
      <c r="F244" s="33" t="str">
        <f aca="false">IF(OR(F243="",G243=""),"",F243*5/12+G243*7/12)</f>
        <v/>
      </c>
      <c r="G244" s="33" t="n">
        <f aca="false">IF(OR(G243="",H243=""),"",G243*5/12+H243*7/12)</f>
        <v>6.112269</v>
      </c>
      <c r="H244" s="33" t="n">
        <f aca="false">IF(OR(H243="",I243=""),"",H243*5/12+I243*7/12)</f>
        <v>6.36086033333333</v>
      </c>
      <c r="I244" s="33" t="n">
        <f aca="false">IF(OR(I243="",J243=""),"",I243*5/12+J243*7/12)</f>
        <v>6.325222</v>
      </c>
      <c r="J244" s="33" t="n">
        <f aca="false">IF(OR(J243="",K243=""),"",J243*5/12+K243*7/12)</f>
        <v>6.185583</v>
      </c>
      <c r="K244" s="33" t="n">
        <f aca="false">IF(OR(K243="",L243=""),"",K243*5/12+L243*7/12)</f>
        <v>6.109948</v>
      </c>
    </row>
    <row r="245" customFormat="false" ht="17.15" hidden="false" customHeight="false" outlineLevel="0" collapsed="false">
      <c r="A245" s="5" t="s">
        <v>2370</v>
      </c>
      <c r="B245" s="0" t="s">
        <v>2558</v>
      </c>
      <c r="C245" s="0" t="s">
        <v>395</v>
      </c>
      <c r="E245" s="33" t="n">
        <f aca="false">E241+E231</f>
        <v>14.4318778900984</v>
      </c>
      <c r="F245" s="33" t="n">
        <f aca="false">F241+F231</f>
        <v>47.3437364976342</v>
      </c>
      <c r="G245" s="33" t="n">
        <f aca="false">G241+G231</f>
        <v>81.1893414415409</v>
      </c>
      <c r="H245" s="33" t="n">
        <f aca="false">H241+H231</f>
        <v>79.6652260286975</v>
      </c>
      <c r="I245" s="33" t="n">
        <f aca="false">I241+I231</f>
        <v>83.1470840362854</v>
      </c>
      <c r="J245" s="33" t="n">
        <f aca="false">J241+J231</f>
        <v>85.1719548727264</v>
      </c>
      <c r="K245" s="33" t="n">
        <f aca="false">K241+K231</f>
        <v>91.2419257501484</v>
      </c>
    </row>
    <row r="246" customFormat="false" ht="17.15" hidden="false" customHeight="false" outlineLevel="0" collapsed="false">
      <c r="A246" s="5" t="s">
        <v>2372</v>
      </c>
      <c r="B246" s="0" t="s">
        <v>2559</v>
      </c>
      <c r="C246" s="0" t="s">
        <v>41</v>
      </c>
      <c r="E246" s="30" t="str">
        <f aca="false">IF(OR(E239="",E245&lt;=0),"",E239/E245)</f>
        <v/>
      </c>
      <c r="F246" s="30" t="str">
        <f aca="false">IF(OR(F239="",F245&lt;=0),"",F239/F245)</f>
        <v/>
      </c>
      <c r="G246" s="30" t="n">
        <f aca="false">IF(OR(G239="",G245&lt;=0),"",G239/G245)</f>
        <v>0.643674485535296</v>
      </c>
      <c r="H246" s="30" t="n">
        <f aca="false">IF(OR(H239="",H245&lt;=0),"",H239/H245)</f>
        <v>0.877872854982849</v>
      </c>
      <c r="I246" s="30" t="n">
        <f aca="false">IF(OR(I239="",I245&lt;=0),"",I239/I245)</f>
        <v>0.865828146604032</v>
      </c>
      <c r="J246" s="30" t="n">
        <f aca="false">IF(OR(J239="",J245&lt;=0),"",J239/J245)</f>
        <v>0.86241870276544</v>
      </c>
      <c r="K246" s="30" t="n">
        <f aca="false">IF(OR(K239="",K245&lt;=0),"",K239/K245)</f>
        <v>0.847366894268716</v>
      </c>
    </row>
    <row r="247" customFormat="false" ht="17.15" hidden="false" customHeight="false" outlineLevel="0" collapsed="false">
      <c r="A247" s="5" t="s">
        <v>2374</v>
      </c>
      <c r="B247" s="0" t="s">
        <v>2560</v>
      </c>
      <c r="C247" s="0" t="s">
        <v>395</v>
      </c>
      <c r="E247" s="40" t="str">
        <f aca="false">IF(E239="","",E245-E239)</f>
        <v/>
      </c>
      <c r="F247" s="40" t="str">
        <f aca="false">IF(F239="","",F245-F239)</f>
        <v/>
      </c>
      <c r="G247" s="40" t="n">
        <f aca="false">IF(G239="","",G245-G239)</f>
        <v>28.9298338582075</v>
      </c>
      <c r="H247" s="40" t="n">
        <f aca="false">IF(H239="","",H245-H239)</f>
        <v>9.72928661203085</v>
      </c>
      <c r="I247" s="40" t="n">
        <f aca="false">IF(I239="","",I245-I239)</f>
        <v>11.1559983696187</v>
      </c>
      <c r="J247" s="40" t="n">
        <f aca="false">IF(J239="","",J245-J239)</f>
        <v>11.7180680393931</v>
      </c>
      <c r="K247" s="40" t="n">
        <f aca="false">IF(K239="","",K245-K239)</f>
        <v>13.9265385001484</v>
      </c>
    </row>
    <row r="248" customFormat="false" ht="17.15" hidden="false" customHeight="false" outlineLevel="0" collapsed="false">
      <c r="A248" s="5" t="s">
        <v>2376</v>
      </c>
      <c r="B248" s="0" t="s">
        <v>2561</v>
      </c>
      <c r="C248" s="0" t="s">
        <v>395</v>
      </c>
      <c r="E248" s="40" t="n">
        <f aca="false">N(Funding!AL17)*5/12+N(Funding!AL18)*7/12</f>
        <v>8.75</v>
      </c>
      <c r="F248" s="40" t="n">
        <f aca="false">N(Funding!AL18)*5/12+N(Funding!AL19)*7/12</f>
        <v>66.9166666666667</v>
      </c>
    </row>
    <row r="249" customFormat="false" ht="17.15" hidden="false" customHeight="false" outlineLevel="0" collapsed="false">
      <c r="A249" s="5" t="s">
        <v>2378</v>
      </c>
      <c r="B249" s="0" t="s">
        <v>2562</v>
      </c>
      <c r="C249" s="0" t="s">
        <v>395</v>
      </c>
      <c r="E249" s="33" t="n">
        <f aca="false">(N(Funding!J17)+N(Funding!K17)+N(Funding!L17)+N(Funding!M17))*5/12+(N(Funding!J18)+N(Funding!K18)+N(Funding!L18)+N(Funding!M18))*7/12</f>
        <v>0</v>
      </c>
      <c r="F249" s="33" t="n">
        <f aca="false">(N(Funding!J18)+N(Funding!K18)+N(Funding!L18)+N(Funding!M18))*5/12+(N(Funding!J19)+N(Funding!K19)+N(Funding!L19)+N(Funding!M19))*7/12</f>
        <v>25.0833333333333</v>
      </c>
    </row>
    <row r="250" customFormat="false" ht="15" hidden="false" customHeight="false" outlineLevel="0" collapsed="false">
      <c r="A250" s="5" t="s">
        <v>2380</v>
      </c>
      <c r="B250" s="0" t="s">
        <v>2563</v>
      </c>
      <c r="C250" s="0" t="s">
        <v>395</v>
      </c>
      <c r="E250" s="33" t="n">
        <f aca="false">N(Funding!R17)*5/12+N(Funding!R18)*7/12</f>
        <v>0</v>
      </c>
      <c r="F250" s="33" t="n">
        <f aca="false">N(Funding!R18)*5/12+N(Funding!R19)*7/12</f>
        <v>2.91666666666667</v>
      </c>
    </row>
    <row r="251" customFormat="false" ht="15" hidden="false" customHeight="false" outlineLevel="0" collapsed="false">
      <c r="A251" s="5" t="s">
        <v>2382</v>
      </c>
      <c r="B251" s="0" t="s">
        <v>2564</v>
      </c>
      <c r="C251" s="0" t="s">
        <v>395</v>
      </c>
      <c r="E251" s="33" t="n">
        <f aca="false">(N(Funding!AL17)-(N(Funding!J17)+N(Funding!K17)+N(Funding!L17)+N(Funding!M17))-N(Funding!R17))*5/12+(N(Funding!AL18)-(N(Funding!J18)+N(Funding!K18)+N(Funding!L18)+N(Funding!M18))-N(Funding!R18))*7/12</f>
        <v>8.75</v>
      </c>
      <c r="F251" s="33" t="n">
        <f aca="false">(N(Funding!AL18)-(N(Funding!J18)+N(Funding!K18)+N(Funding!L18)+N(Funding!M18))-N(Funding!R18))*5/12+(N(Funding!AL19)-(N(Funding!J19)+N(Funding!K19)+N(Funding!L19)+N(Funding!M19))-N(Funding!R19))*7/12</f>
        <v>38.9166666666667</v>
      </c>
    </row>
    <row r="252" customFormat="false" ht="17.15" hidden="false" customHeight="false" outlineLevel="0" collapsed="false">
      <c r="A252" s="5" t="s">
        <v>2384</v>
      </c>
      <c r="B252" s="0" t="s">
        <v>2565</v>
      </c>
      <c r="C252" s="0" t="s">
        <v>395</v>
      </c>
      <c r="E252" s="33" t="str">
        <f aca="false">IF(E247="","",E247-E248)</f>
        <v/>
      </c>
      <c r="F252" s="33" t="str">
        <f aca="false">IF(F247="","",F247-F248)</f>
        <v/>
      </c>
    </row>
    <row r="253" customFormat="false" ht="17.15" hidden="false" customHeight="false" outlineLevel="0" collapsed="false">
      <c r="A253" s="5" t="s">
        <v>2386</v>
      </c>
      <c r="B253" s="0" t="s">
        <v>2566</v>
      </c>
      <c r="C253" s="0" t="s">
        <v>395</v>
      </c>
      <c r="G253" s="33" t="n">
        <f aca="false">IF(Funding!O19&lt;&gt;"",Funding!O19,N(Funding!O18))</f>
        <v>260</v>
      </c>
      <c r="N253" s="5" t="s">
        <v>2388</v>
      </c>
    </row>
    <row r="254" customFormat="false" ht="17.15" hidden="false" customHeight="false" outlineLevel="0" collapsed="false">
      <c r="A254" s="5" t="s">
        <v>2389</v>
      </c>
      <c r="B254" s="0" t="s">
        <v>2567</v>
      </c>
      <c r="C254" s="0" t="s">
        <v>395</v>
      </c>
      <c r="G254" s="33" t="n">
        <f aca="false">IF(Funding!Q19&lt;&gt;"",Funding!Q19,N(Funding!Q18))</f>
        <v>0</v>
      </c>
      <c r="N254" s="5" t="s">
        <v>2391</v>
      </c>
    </row>
    <row r="255" customFormat="false" ht="17.15" hidden="false" customHeight="false" outlineLevel="0" collapsed="false">
      <c r="A255" s="5" t="s">
        <v>2392</v>
      </c>
      <c r="B255" s="0" t="s">
        <v>2568</v>
      </c>
      <c r="C255" s="0" t="s">
        <v>395</v>
      </c>
      <c r="G255" s="33" t="n">
        <f aca="false">N(Funding!AL19)</f>
        <v>104</v>
      </c>
    </row>
    <row r="256" customFormat="false" ht="17.15" hidden="false" customHeight="false" outlineLevel="0" collapsed="false">
      <c r="A256" s="5" t="s">
        <v>2394</v>
      </c>
      <c r="B256" s="0" t="s">
        <v>2569</v>
      </c>
      <c r="C256" s="0" t="s">
        <v>395</v>
      </c>
      <c r="G256" s="33" t="str">
        <f aca="false">IF(COUNTIFS(FundRaw!$C$4:$C$281,"orcl",FundRaw!$F$4:$F$281,"cash_level",FundRaw!$D$4:$D$281,"2025-12-31",FundRaw!$O$4:$O$281,1)=0,"未取得",SUMIFS(FundRaw!$G$4:$G$281,FundRaw!$C$4:$C$281,"orcl",FundRaw!$F$4:$F$281,"cash_level",FundRaw!$D$4:$D$281,"2025-12-31",FundRaw!$O$4:$O$281,1))</f>
        <v>未取得</v>
      </c>
      <c r="N256" s="5" t="s">
        <v>2396</v>
      </c>
    </row>
    <row r="257" customFormat="false" ht="17.15" hidden="false" customHeight="false" outlineLevel="0" collapsed="false">
      <c r="A257" s="5" t="s">
        <v>2397</v>
      </c>
      <c r="B257" s="0" t="s">
        <v>2570</v>
      </c>
      <c r="C257" s="0" t="s">
        <v>395</v>
      </c>
      <c r="G257" s="33" t="n">
        <f aca="false">IF(ISNUMBER(G256),G256,N(gcash_orcl))</f>
        <v>37.077</v>
      </c>
      <c r="N257" s="5" t="s">
        <v>2571</v>
      </c>
    </row>
    <row r="258" customFormat="false" ht="17.15" hidden="false" customHeight="false" outlineLevel="0" collapsed="false">
      <c r="A258" s="5" t="s">
        <v>2400</v>
      </c>
      <c r="B258" s="0" t="s">
        <v>2572</v>
      </c>
      <c r="C258" s="0" t="s">
        <v>40</v>
      </c>
      <c r="G258" s="0" t="str">
        <f aca="false">IF(ISNUMBER(G256),"Funding 觀測","個股模型（In Y9）")</f>
        <v>個股模型（In Y9）</v>
      </c>
    </row>
    <row r="259" customFormat="false" ht="17.15" hidden="false" customHeight="false" outlineLevel="0" collapsed="false">
      <c r="A259" s="5" t="s">
        <v>2402</v>
      </c>
      <c r="B259" s="0" t="s">
        <v>2573</v>
      </c>
      <c r="C259" s="0" t="s">
        <v>395</v>
      </c>
      <c r="E259" s="33" t="str">
        <f aca="false">IF(E239="","",E239-E245)</f>
        <v/>
      </c>
      <c r="F259" s="33" t="str">
        <f aca="false">IF(F239="","",F239-F245)</f>
        <v/>
      </c>
      <c r="G259" s="33" t="n">
        <f aca="false">IF(G239="","",G239-G245)</f>
        <v>-28.9298338582075</v>
      </c>
      <c r="H259" s="33" t="n">
        <f aca="false">IF(H239="","",H239-H245)</f>
        <v>-9.72928661203085</v>
      </c>
      <c r="I259" s="33" t="n">
        <f aca="false">IF(I239="","",I239-I245)</f>
        <v>-11.1559983696187</v>
      </c>
      <c r="J259" s="33" t="n">
        <f aca="false">IF(J239="","",J239-J245)</f>
        <v>-11.7180680393931</v>
      </c>
      <c r="K259" s="33" t="n">
        <f aca="false">IF(K239="","",K239-K245)</f>
        <v>-13.9265385001484</v>
      </c>
    </row>
    <row r="260" customFormat="false" ht="15" hidden="false" customHeight="false" outlineLevel="0" collapsed="false">
      <c r="A260" s="5" t="s">
        <v>2404</v>
      </c>
      <c r="B260" s="0" t="s">
        <v>2574</v>
      </c>
      <c r="C260" s="0" t="s">
        <v>57</v>
      </c>
      <c r="E260" s="23" t="str">
        <f aca="false">IF(OR(E247="",E245&lt;=0),"",E247/E245)</f>
        <v/>
      </c>
      <c r="F260" s="23" t="str">
        <f aca="false">IF(OR(F247="",F245&lt;=0),"",F247/F245)</f>
        <v/>
      </c>
      <c r="G260" s="23" t="n">
        <f aca="false">IF(OR(G247="",G245&lt;=0),"",G247/G245)</f>
        <v>0.356325514464704</v>
      </c>
      <c r="H260" s="23" t="n">
        <f aca="false">IF(OR(H247="",H245&lt;=0),"",H247/H245)</f>
        <v>0.122127145017151</v>
      </c>
      <c r="I260" s="23" t="n">
        <f aca="false">IF(OR(I247="",I245&lt;=0),"",I247/I245)</f>
        <v>0.134171853395968</v>
      </c>
      <c r="J260" s="23" t="n">
        <f aca="false">IF(OR(J247="",J245&lt;=0),"",J247/J245)</f>
        <v>0.13758129723456</v>
      </c>
      <c r="K260" s="23" t="n">
        <f aca="false">IF(OR(K247="",K245&lt;=0),"",K247/K245)</f>
        <v>0.152633105731284</v>
      </c>
    </row>
    <row r="262" customFormat="false" ht="17.15" hidden="false" customHeight="false" outlineLevel="0" collapsed="false">
      <c r="A262" s="8" t="s">
        <v>1467</v>
      </c>
      <c r="B262" s="21" t="s">
        <v>842</v>
      </c>
      <c r="N262" s="5" t="s">
        <v>2575</v>
      </c>
    </row>
    <row r="263" customFormat="false" ht="17.15" hidden="false" customHeight="false" outlineLevel="0" collapsed="false">
      <c r="A263" s="5" t="s">
        <v>2317</v>
      </c>
      <c r="B263" s="0" t="s">
        <v>1483</v>
      </c>
      <c r="C263" s="0" t="s">
        <v>82</v>
      </c>
      <c r="D263" s="25" t="n">
        <f aca="false">CapexGW!D117</f>
        <v>0</v>
      </c>
      <c r="E263" s="25" t="n">
        <f aca="false">CapexGW!E117</f>
        <v>0.29</v>
      </c>
      <c r="F263" s="25" t="n">
        <f aca="false">CapexGW!F117</f>
        <v>0.49</v>
      </c>
      <c r="G263" s="25" t="n">
        <f aca="false">CapexGW!G117</f>
        <v>1</v>
      </c>
      <c r="H263" s="25" t="n">
        <f aca="false">CapexGW!H117</f>
        <v>1.5375</v>
      </c>
      <c r="I263" s="25" t="n">
        <f aca="false">CapexGW!I117</f>
        <v>0.758042293208187</v>
      </c>
      <c r="J263" s="25" t="n">
        <f aca="false">CapexGW!J117</f>
        <v>0.842675104355277</v>
      </c>
      <c r="K263" s="25" t="n">
        <f aca="false">CapexGW!K117</f>
        <v>0.925106142735673</v>
      </c>
      <c r="L263" s="25" t="n">
        <f aca="false">CapexGW!L117</f>
        <v>1.01761675700924</v>
      </c>
      <c r="M263" s="25" t="n">
        <f aca="false">CapexGW!M117</f>
        <v>1.11937843271016</v>
      </c>
      <c r="N263" s="21" t="s">
        <v>2318</v>
      </c>
    </row>
    <row r="264" customFormat="false" ht="17.15" hidden="false" customHeight="false" outlineLevel="0" collapsed="false">
      <c r="A264" s="5" t="s">
        <v>2319</v>
      </c>
      <c r="B264" s="0" t="s">
        <v>1890</v>
      </c>
      <c r="C264" s="0" t="s">
        <v>230</v>
      </c>
      <c r="D264" s="30" t="n">
        <f aca="false">CapexGW!D112</f>
        <v>27.510214</v>
      </c>
      <c r="E264" s="30" t="n">
        <f aca="false">CapexGW!E112</f>
        <v>27.510214</v>
      </c>
      <c r="F264" s="30" t="n">
        <f aca="false">CapexGW!F112</f>
        <v>26.009088</v>
      </c>
      <c r="G264" s="30" t="n">
        <f aca="false">CapexGW!G112</f>
        <v>33.41403216</v>
      </c>
      <c r="H264" s="30" t="n">
        <f aca="false">CapexGW!H112</f>
        <v>38.3403893327246</v>
      </c>
      <c r="I264" s="30" t="n">
        <f aca="false">CapexGW!I112</f>
        <v>41.3326208898258</v>
      </c>
      <c r="J264" s="30" t="n">
        <f aca="false">CapexGW!J112</f>
        <v>41.3326208898258</v>
      </c>
      <c r="K264" s="30" t="n">
        <f aca="false">CapexGW!K112</f>
        <v>41.3326208898258</v>
      </c>
      <c r="L264" s="30" t="n">
        <f aca="false">CapexGW!L112</f>
        <v>41.3326208898258</v>
      </c>
      <c r="M264" s="30" t="n">
        <f aca="false">CapexGW!M112</f>
        <v>41.3326208898258</v>
      </c>
    </row>
    <row r="265" customFormat="false" ht="17.15" hidden="false" customHeight="false" outlineLevel="0" collapsed="false">
      <c r="A265" s="5" t="s">
        <v>2320</v>
      </c>
      <c r="B265" s="0" t="s">
        <v>1891</v>
      </c>
      <c r="C265" s="0" t="s">
        <v>230</v>
      </c>
      <c r="D265" s="30" t="n">
        <f aca="false">CapexGW!D113</f>
        <v>12.67</v>
      </c>
      <c r="E265" s="30" t="n">
        <f aca="false">CapexGW!E113</f>
        <v>12.67</v>
      </c>
      <c r="F265" s="30" t="n">
        <f aca="false">CapexGW!F113</f>
        <v>12.67</v>
      </c>
      <c r="G265" s="30" t="n">
        <f aca="false">CapexGW!G113</f>
        <v>12.67</v>
      </c>
      <c r="H265" s="30" t="n">
        <f aca="false">CapexGW!H113</f>
        <v>12.67</v>
      </c>
      <c r="I265" s="30" t="n">
        <f aca="false">CapexGW!I113</f>
        <v>12.67</v>
      </c>
      <c r="J265" s="30" t="n">
        <f aca="false">CapexGW!J113</f>
        <v>12.67</v>
      </c>
      <c r="K265" s="30" t="n">
        <f aca="false">CapexGW!K113</f>
        <v>12.67</v>
      </c>
      <c r="L265" s="30" t="n">
        <f aca="false">CapexGW!L113</f>
        <v>12.67</v>
      </c>
      <c r="M265" s="30" t="n">
        <f aca="false">CapexGW!M113</f>
        <v>12.67</v>
      </c>
    </row>
    <row r="266" customFormat="false" ht="17.15" hidden="false" customHeight="false" outlineLevel="0" collapsed="false">
      <c r="A266" s="5" t="s">
        <v>2321</v>
      </c>
      <c r="B266" s="0" t="s">
        <v>2576</v>
      </c>
      <c r="C266" s="0" t="s">
        <v>395</v>
      </c>
      <c r="E266" s="33" t="n">
        <f aca="false">E263*(E264+Gap!$D$6*E265)</f>
        <v>7.97796206</v>
      </c>
      <c r="F266" s="33" t="n">
        <f aca="false">F263*(F264+Gap!$D$6*F265)</f>
        <v>12.74445312</v>
      </c>
      <c r="G266" s="33" t="n">
        <f aca="false">G263*(G264+Gap!$D$6*G265)</f>
        <v>33.41403216</v>
      </c>
      <c r="H266" s="33" t="n">
        <f aca="false">H263*(H264+Gap!$D$6*H265)</f>
        <v>58.9483485990641</v>
      </c>
      <c r="I266" s="33" t="n">
        <f aca="false">I263*(I264+Gap!$D$6*I265)</f>
        <v>31.3318747236282</v>
      </c>
      <c r="J266" s="33" t="n">
        <f aca="false">J263*(J264+Gap!$D$6*J265)</f>
        <v>34.8299706216111</v>
      </c>
      <c r="K266" s="33" t="n">
        <f aca="false">K263*(K264+Gap!$D$6*K265)</f>
        <v>38.2370614805426</v>
      </c>
    </row>
    <row r="267" customFormat="false" ht="17.15" hidden="false" customHeight="false" outlineLevel="0" collapsed="false">
      <c r="A267" s="5" t="s">
        <v>2323</v>
      </c>
      <c r="B267" s="0" t="s">
        <v>2577</v>
      </c>
      <c r="C267" s="0" t="s">
        <v>395</v>
      </c>
      <c r="E267" s="33" t="n">
        <f aca="false">Gap!$E$6*F263*F265</f>
        <v>3.10415</v>
      </c>
      <c r="F267" s="33" t="n">
        <f aca="false">Gap!$E$6*G263*G265</f>
        <v>6.335</v>
      </c>
      <c r="G267" s="33" t="n">
        <f aca="false">Gap!$E$6*H263*H265</f>
        <v>9.7400625</v>
      </c>
      <c r="H267" s="33" t="n">
        <f aca="false">Gap!$E$6*I263*I265</f>
        <v>4.80219792747387</v>
      </c>
      <c r="I267" s="33" t="n">
        <f aca="false">Gap!$E$6*J263*J265</f>
        <v>5.33834678609068</v>
      </c>
      <c r="J267" s="33" t="n">
        <f aca="false">Gap!$E$6*K263*K265</f>
        <v>5.86054741423049</v>
      </c>
      <c r="K267" s="33" t="n">
        <f aca="false">Gap!$E$6*L263*L265</f>
        <v>6.44660215565353</v>
      </c>
    </row>
    <row r="268" customFormat="false" ht="17.15" hidden="false" customHeight="false" outlineLevel="0" collapsed="false">
      <c r="A268" s="5" t="s">
        <v>2325</v>
      </c>
      <c r="B268" s="0" t="s">
        <v>2578</v>
      </c>
      <c r="C268" s="0" t="s">
        <v>395</v>
      </c>
      <c r="E268" s="33" t="n">
        <f aca="false">Gap!$F$6*G263*G265</f>
        <v>6.335</v>
      </c>
      <c r="F268" s="33" t="n">
        <f aca="false">Gap!$F$6*H263*H265</f>
        <v>9.7400625</v>
      </c>
      <c r="G268" s="33" t="n">
        <f aca="false">Gap!$F$6*I263*I265</f>
        <v>4.80219792747387</v>
      </c>
      <c r="H268" s="33" t="n">
        <f aca="false">Gap!$F$6*J263*J265</f>
        <v>5.33834678609068</v>
      </c>
      <c r="I268" s="33" t="n">
        <f aca="false">Gap!$F$6*K263*K265</f>
        <v>5.86054741423049</v>
      </c>
      <c r="J268" s="33" t="n">
        <f aca="false">Gap!$F$6*L263*L265</f>
        <v>6.44660215565353</v>
      </c>
      <c r="K268" s="33" t="n">
        <f aca="false">Gap!$F$6*M263*M265</f>
        <v>7.09126237121889</v>
      </c>
    </row>
    <row r="269" customFormat="false" ht="17.15" hidden="false" customHeight="false" outlineLevel="0" collapsed="false">
      <c r="A269" s="5" t="s">
        <v>2327</v>
      </c>
      <c r="B269" s="0" t="s">
        <v>2579</v>
      </c>
      <c r="C269" s="0" t="s">
        <v>395</v>
      </c>
      <c r="E269" s="33" t="n">
        <f aca="false">E266+E267+E268</f>
        <v>17.41711206</v>
      </c>
      <c r="F269" s="33" t="n">
        <f aca="false">F266+F267+F268</f>
        <v>28.81951562</v>
      </c>
      <c r="G269" s="33" t="n">
        <f aca="false">G266+G267+G268</f>
        <v>47.9562925874739</v>
      </c>
      <c r="H269" s="33" t="n">
        <f aca="false">H266+H267+H268</f>
        <v>69.0888933126286</v>
      </c>
      <c r="I269" s="33" t="n">
        <f aca="false">I266+I267+I268</f>
        <v>42.5307689239494</v>
      </c>
      <c r="J269" s="33" t="n">
        <f aca="false">J266+J267+J268</f>
        <v>47.1371201914951</v>
      </c>
      <c r="K269" s="33" t="n">
        <f aca="false">K266+K267+K268</f>
        <v>51.7749260074151</v>
      </c>
    </row>
    <row r="270" customFormat="false" ht="17.15" hidden="false" customHeight="false" outlineLevel="0" collapsed="false">
      <c r="A270" s="5" t="s">
        <v>2329</v>
      </c>
      <c r="B270" s="0" t="s">
        <v>2580</v>
      </c>
      <c r="C270" s="0" t="s">
        <v>395</v>
      </c>
      <c r="E270" s="33" t="n">
        <f aca="false">E263*(Gap!E$8+Gap!$D$6*Gap!E$9)</f>
        <v>7.81718601834745</v>
      </c>
      <c r="F270" s="33" t="n">
        <f aca="false">F263*(Gap!F$8+Gap!$D$6*Gap!F$9)</f>
        <v>12.6480128790162</v>
      </c>
      <c r="G270" s="33" t="n">
        <f aca="false">G263*(Gap!G$8+Gap!$D$6*Gap!G$9)</f>
        <v>31.4532830958991</v>
      </c>
      <c r="H270" s="33" t="n">
        <f aca="false">H263*(Gap!H$8+Gap!$D$6*Gap!H$9)</f>
        <v>53.4235777420577</v>
      </c>
      <c r="I270" s="33" t="n">
        <f aca="false">I263*(Gap!I$8+Gap!$D$6*Gap!I$9)</f>
        <v>28.031114337922</v>
      </c>
      <c r="J270" s="33" t="n">
        <f aca="false">J263*(Gap!J$8+Gap!$D$6*Gap!J$9)</f>
        <v>31.1257694591003</v>
      </c>
      <c r="K270" s="33" t="n">
        <f aca="false">K263*(Gap!K$8+Gap!$D$6*Gap!K$9)</f>
        <v>34.1705129001273</v>
      </c>
    </row>
    <row r="271" customFormat="false" ht="17.15" hidden="false" customHeight="false" outlineLevel="0" collapsed="false">
      <c r="A271" s="5" t="s">
        <v>2331</v>
      </c>
      <c r="B271" s="0" t="s">
        <v>2581</v>
      </c>
      <c r="C271" s="0" t="s">
        <v>395</v>
      </c>
      <c r="E271" s="33" t="n">
        <f aca="false">Gap!$E$6*F263*Gap!F$9</f>
        <v>2.86013487259492</v>
      </c>
      <c r="F271" s="33" t="n">
        <f aca="false">Gap!$E$6*G263*Gap!G$9</f>
        <v>5.83700994407126</v>
      </c>
      <c r="G271" s="33" t="n">
        <f aca="false">Gap!$E$6*H263*Gap!H$9</f>
        <v>8.86225286178011</v>
      </c>
      <c r="H271" s="33" t="n">
        <f aca="false">Gap!$E$6*I263*Gap!I$9</f>
        <v>4.37492207528353</v>
      </c>
      <c r="I271" s="33" t="n">
        <f aca="false">Gap!$E$6*J263*Gap!J$9</f>
        <v>4.85884645178889</v>
      </c>
      <c r="J271" s="33" t="n">
        <f aca="false">Gap!$E$6*K263*Gap!K$9</f>
        <v>5.33414203876164</v>
      </c>
      <c r="K271" s="33" t="n">
        <f aca="false">Gap!$E$6*L263*Gap!L$9</f>
        <v>5.8675562426378</v>
      </c>
    </row>
    <row r="272" customFormat="false" ht="17.15" hidden="false" customHeight="false" outlineLevel="0" collapsed="false">
      <c r="A272" s="5" t="s">
        <v>2333</v>
      </c>
      <c r="B272" s="0" t="s">
        <v>2582</v>
      </c>
      <c r="C272" s="0" t="s">
        <v>395</v>
      </c>
      <c r="E272" s="33" t="n">
        <f aca="false">Gap!$F$6*G263*Gap!G$9</f>
        <v>5.83700994407126</v>
      </c>
      <c r="F272" s="33" t="n">
        <f aca="false">Gap!$F$6*H263*Gap!H$9</f>
        <v>8.86225286178011</v>
      </c>
      <c r="G272" s="33" t="n">
        <f aca="false">Gap!$F$6*I263*Gap!I$9</f>
        <v>4.37492207528353</v>
      </c>
      <c r="H272" s="33" t="n">
        <f aca="false">Gap!$F$6*J263*Gap!J$9</f>
        <v>4.85884645178889</v>
      </c>
      <c r="I272" s="33" t="n">
        <f aca="false">Gap!$F$6*K263*Gap!K$9</f>
        <v>5.33414203876164</v>
      </c>
      <c r="J272" s="33" t="n">
        <f aca="false">Gap!$F$6*L263*Gap!L$9</f>
        <v>5.8675562426378</v>
      </c>
      <c r="K272" s="33" t="n">
        <f aca="false">Gap!$F$6*M263*Gap!M$9</f>
        <v>6.45431186690158</v>
      </c>
    </row>
    <row r="273" customFormat="false" ht="17.15" hidden="false" customHeight="false" outlineLevel="0" collapsed="false">
      <c r="A273" s="5" t="s">
        <v>2335</v>
      </c>
      <c r="B273" s="0" t="s">
        <v>2583</v>
      </c>
      <c r="C273" s="0" t="s">
        <v>395</v>
      </c>
      <c r="D273" s="33" t="str">
        <f aca="false">IF(In!H201&lt;&gt;"",In!H201,"")</f>
        <v/>
      </c>
      <c r="E273" s="33" t="str">
        <f aca="false">IF(In!I201&lt;&gt;"",In!I201,"")</f>
        <v/>
      </c>
      <c r="F273" s="33" t="str">
        <f aca="false">IF(In!J201&lt;&gt;"",In!J201,"")</f>
        <v/>
      </c>
      <c r="G273" s="33" t="str">
        <f aca="false">IF(In!K201&lt;&gt;"",In!K201,"")</f>
        <v/>
      </c>
      <c r="H273" s="33" t="str">
        <f aca="false">IF(In!L201&lt;&gt;"",In!L201,"")</f>
        <v/>
      </c>
      <c r="I273" s="33" t="str">
        <f aca="false">IF(In!M201&lt;&gt;"",In!M201,"")</f>
        <v/>
      </c>
      <c r="J273" s="33" t="str">
        <f aca="false">IF(In!N201&lt;&gt;"",In!N201,"")</f>
        <v/>
      </c>
      <c r="K273" s="33" t="str">
        <f aca="false">IF(In!O201&lt;&gt;"",In!O201,"")</f>
        <v/>
      </c>
      <c r="L273" s="33" t="str">
        <f aca="false">IF(In!P201&lt;&gt;"",In!P201,"")</f>
        <v/>
      </c>
      <c r="M273" s="33" t="str">
        <f aca="false">IF(In!Q201&lt;&gt;"",In!Q201,"")</f>
        <v/>
      </c>
    </row>
    <row r="274" customFormat="false" ht="17.15" hidden="false" customHeight="false" outlineLevel="0" collapsed="false">
      <c r="A274" s="5" t="s">
        <v>2337</v>
      </c>
      <c r="B274" s="0" t="s">
        <v>2584</v>
      </c>
      <c r="C274" s="0" t="s">
        <v>395</v>
      </c>
      <c r="E274" s="33" t="str">
        <f aca="false">E273</f>
        <v/>
      </c>
      <c r="F274" s="33" t="str">
        <f aca="false">F273</f>
        <v/>
      </c>
      <c r="G274" s="33" t="str">
        <f aca="false">G273</f>
        <v/>
      </c>
      <c r="H274" s="33" t="str">
        <f aca="false">H273</f>
        <v/>
      </c>
      <c r="I274" s="33" t="str">
        <f aca="false">I273</f>
        <v/>
      </c>
      <c r="J274" s="33" t="str">
        <f aca="false">J273</f>
        <v/>
      </c>
      <c r="K274" s="33" t="str">
        <f aca="false">K273</f>
        <v/>
      </c>
    </row>
    <row r="275" customFormat="false" ht="17.15" hidden="false" customHeight="false" outlineLevel="0" collapsed="false">
      <c r="A275" s="5" t="s">
        <v>2339</v>
      </c>
      <c r="B275" s="0" t="s">
        <v>2585</v>
      </c>
      <c r="C275" s="0" t="s">
        <v>40</v>
      </c>
      <c r="E275" s="0" t="str">
        <f aca="false">IF(E274&lt;&gt;"","",IF(CapexGW!E110&lt;&gt;"","以 Y2 × (1−AI 占比) 替代（模型無拆分）","無模型值（以 0 計）"))</f>
        <v>無模型值（以 0 計）</v>
      </c>
      <c r="F275" s="0" t="str">
        <f aca="false">IF(F274&lt;&gt;"","",IF(CapexGW!F110&lt;&gt;"","以 Y2 × (1−AI 占比) 替代（模型無拆分）","無模型值（以 0 計）"))</f>
        <v>無模型值（以 0 計）</v>
      </c>
      <c r="G275" s="0" t="str">
        <f aca="false">IF(G274&lt;&gt;"","",IF(CapexGW!G110&lt;&gt;"","以 Y2 × (1−AI 占比) 替代（模型無拆分）","無模型值（以 0 計）"))</f>
        <v>以 Y2 × (1−AI 占比) 替代（模型無拆分）</v>
      </c>
      <c r="H275" s="0" t="str">
        <f aca="false">IF(H274&lt;&gt;"","",IF(CapexGW!H110&lt;&gt;"","以 Y2 × (1−AI 占比) 替代（模型無拆分）","無模型值（以 0 計）"))</f>
        <v>以 Y2 × (1−AI 占比) 替代（模型無拆分）</v>
      </c>
      <c r="I275" s="0" t="str">
        <f aca="false">IF(I274&lt;&gt;"","",IF(CapexGW!I110&lt;&gt;"","以 Y2 × (1−AI 占比) 替代（模型無拆分）","無模型值（以 0 計）"))</f>
        <v>以 Y2 × (1−AI 占比) 替代（模型無拆分）</v>
      </c>
      <c r="J275" s="0" t="str">
        <f aca="false">IF(J274&lt;&gt;"","",IF(CapexGW!J110&lt;&gt;"","以 Y2 × (1−AI 占比) 替代（模型無拆分）","無模型值（以 0 計）"))</f>
        <v>以 Y2 × (1−AI 占比) 替代（模型無拆分）</v>
      </c>
      <c r="K275" s="0" t="str">
        <f aca="false">IF(K274&lt;&gt;"","",IF(CapexGW!K110&lt;&gt;"","以 Y2 × (1−AI 占比) 替代（模型無拆分）","無模型值（以 0 計）"))</f>
        <v>以 Y2 × (1−AI 占比) 替代（模型無拆分）</v>
      </c>
      <c r="N275" s="0" t="s">
        <v>2341</v>
      </c>
    </row>
    <row r="276" customFormat="false" ht="17.15" hidden="false" customHeight="false" outlineLevel="0" collapsed="false">
      <c r="A276" s="5" t="s">
        <v>2342</v>
      </c>
      <c r="B276" s="0" t="s">
        <v>2586</v>
      </c>
      <c r="C276" s="0" t="s">
        <v>395</v>
      </c>
      <c r="E276" s="33" t="n">
        <f aca="false">IF(E274&lt;&gt;"",E274,IF(CapexGW!E110&lt;&gt;"",CapexGW!E110*(1-ai_sh),0))</f>
        <v>0</v>
      </c>
      <c r="F276" s="33" t="n">
        <f aca="false">IF(F274&lt;&gt;"",F274,IF(CapexGW!F110&lt;&gt;"",CapexGW!F110*(1-ai_sh),0))</f>
        <v>0</v>
      </c>
      <c r="G276" s="33" t="n">
        <f aca="false">IF(G274&lt;&gt;"",G274,IF(CapexGW!G110&lt;&gt;"",CapexGW!G110*(1-ai_sh),0))</f>
        <v>5.55</v>
      </c>
      <c r="H276" s="33" t="n">
        <f aca="false">IF(H274&lt;&gt;"",H274,IF(CapexGW!H110&lt;&gt;"",CapexGW!H110*(1-ai_sh),0))</f>
        <v>6.9714</v>
      </c>
      <c r="I276" s="33" t="n">
        <f aca="false">IF(I274&lt;&gt;"",I274,IF(CapexGW!I110&lt;&gt;"",CapexGW!I110*(1-ai_sh),0))</f>
        <v>7.51935</v>
      </c>
      <c r="J276" s="33" t="n">
        <f aca="false">IF(J274&lt;&gt;"",J274,IF(CapexGW!J110&lt;&gt;"",CapexGW!J110*(1-ai_sh),0))</f>
        <v>8.271285</v>
      </c>
      <c r="K276" s="33" t="n">
        <f aca="false">IF(K274&lt;&gt;"",K274,IF(CapexGW!K110&lt;&gt;"",CapexGW!K110*(1-ai_sh),0))</f>
        <v>9.0984135</v>
      </c>
    </row>
    <row r="277" customFormat="false" ht="15" hidden="false" customHeight="false" outlineLevel="0" collapsed="false">
      <c r="A277" s="5" t="s">
        <v>2344</v>
      </c>
      <c r="B277" s="0" t="s">
        <v>2587</v>
      </c>
      <c r="C277" s="0" t="s">
        <v>395</v>
      </c>
      <c r="D277" s="33" t="str">
        <f aca="false">IF(In!H202&lt;&gt;"",In!H202,"")</f>
        <v/>
      </c>
      <c r="E277" s="33" t="str">
        <f aca="false">IF(In!I202&lt;&gt;"",In!I202,"")</f>
        <v/>
      </c>
      <c r="F277" s="33" t="str">
        <f aca="false">IF(In!J202&lt;&gt;"",In!J202,"")</f>
        <v/>
      </c>
      <c r="G277" s="33" t="n">
        <f aca="false">IF(In!K202&lt;&gt;"",In!K202,"")</f>
        <v>32.978</v>
      </c>
      <c r="H277" s="33" t="n">
        <f aca="false">IF(In!L202&lt;&gt;"",In!L202,"")</f>
        <v>39.363041</v>
      </c>
      <c r="I277" s="33" t="n">
        <f aca="false">IF(In!M202&lt;&gt;"",In!M202,"")</f>
        <v>32.512194</v>
      </c>
      <c r="J277" s="33" t="n">
        <f aca="false">IF(In!N202&lt;&gt;"",In!N202,"")</f>
        <v>32.700126</v>
      </c>
      <c r="K277" s="33" t="n">
        <f aca="false">IF(In!O202&lt;&gt;"",In!O202,"")</f>
        <v>37.022557</v>
      </c>
      <c r="L277" s="33" t="str">
        <f aca="false">IF(In!P202&lt;&gt;"",In!P202,"")</f>
        <v/>
      </c>
      <c r="M277" s="33" t="str">
        <f aca="false">IF(In!Q202&lt;&gt;"",In!Q202,"")</f>
        <v/>
      </c>
    </row>
    <row r="278" customFormat="false" ht="15" hidden="false" customHeight="false" outlineLevel="0" collapsed="false">
      <c r="A278" s="5" t="s">
        <v>2346</v>
      </c>
      <c r="B278" s="0" t="s">
        <v>2588</v>
      </c>
      <c r="C278" s="0" t="s">
        <v>395</v>
      </c>
      <c r="E278" s="33" t="str">
        <f aca="false">E277</f>
        <v/>
      </c>
      <c r="F278" s="33" t="str">
        <f aca="false">F277</f>
        <v/>
      </c>
      <c r="G278" s="33" t="n">
        <f aca="false">G277</f>
        <v>32.978</v>
      </c>
      <c r="H278" s="33" t="n">
        <f aca="false">H277</f>
        <v>39.363041</v>
      </c>
      <c r="I278" s="33" t="n">
        <f aca="false">I277</f>
        <v>32.512194</v>
      </c>
      <c r="J278" s="33" t="n">
        <f aca="false">J277</f>
        <v>32.700126</v>
      </c>
      <c r="K278" s="33" t="n">
        <f aca="false">K277</f>
        <v>37.022557</v>
      </c>
    </row>
    <row r="279" customFormat="false" ht="17.15" hidden="false" customHeight="false" outlineLevel="0" collapsed="false">
      <c r="A279" s="5" t="s">
        <v>2348</v>
      </c>
      <c r="B279" s="0" t="s">
        <v>2589</v>
      </c>
      <c r="C279" s="0" t="s">
        <v>395</v>
      </c>
      <c r="D279" s="33" t="str">
        <f aca="false">IF(In!H200&lt;&gt;"",In!H200,"")</f>
        <v/>
      </c>
      <c r="E279" s="33" t="str">
        <f aca="false">IF(In!I200&lt;&gt;"",In!I200,"")</f>
        <v/>
      </c>
      <c r="F279" s="33" t="str">
        <f aca="false">IF(In!J200&lt;&gt;"",In!J200,"")</f>
        <v/>
      </c>
      <c r="G279" s="33" t="n">
        <f aca="false">IF(In!K200&lt;&gt;"",In!K200,"")</f>
        <v>32.978</v>
      </c>
      <c r="H279" s="33" t="n">
        <f aca="false">IF(In!L200&lt;&gt;"",In!L200,"")</f>
        <v>39.363041</v>
      </c>
      <c r="I279" s="33" t="n">
        <f aca="false">IF(In!M200&lt;&gt;"",In!M200,"")</f>
        <v>32.512194</v>
      </c>
      <c r="J279" s="33" t="n">
        <f aca="false">IF(In!N200&lt;&gt;"",In!N200,"")</f>
        <v>32.700126</v>
      </c>
      <c r="K279" s="33" t="n">
        <f aca="false">IF(In!O200&lt;&gt;"",In!O200,"")</f>
        <v>37.022557</v>
      </c>
      <c r="L279" s="33" t="str">
        <f aca="false">IF(In!P200&lt;&gt;"",In!P200,"")</f>
        <v/>
      </c>
      <c r="M279" s="33" t="str">
        <f aca="false">IF(In!Q200&lt;&gt;"",In!Q200,"")</f>
        <v/>
      </c>
    </row>
    <row r="280" customFormat="false" ht="17.15" hidden="false" customHeight="false" outlineLevel="0" collapsed="false">
      <c r="A280" s="5" t="s">
        <v>2350</v>
      </c>
      <c r="B280" s="0" t="s">
        <v>2590</v>
      </c>
      <c r="C280" s="0" t="s">
        <v>395</v>
      </c>
      <c r="E280" s="33" t="str">
        <f aca="false">E279</f>
        <v/>
      </c>
      <c r="F280" s="33" t="str">
        <f aca="false">F279</f>
        <v/>
      </c>
      <c r="G280" s="33" t="n">
        <f aca="false">G279</f>
        <v>32.978</v>
      </c>
      <c r="H280" s="33" t="n">
        <f aca="false">H279</f>
        <v>39.363041</v>
      </c>
      <c r="I280" s="33" t="n">
        <f aca="false">I279</f>
        <v>32.512194</v>
      </c>
      <c r="J280" s="33" t="n">
        <f aca="false">J279</f>
        <v>32.700126</v>
      </c>
      <c r="K280" s="33" t="n">
        <f aca="false">K279</f>
        <v>37.022557</v>
      </c>
    </row>
    <row r="281" customFormat="false" ht="17.15" hidden="false" customHeight="false" outlineLevel="0" collapsed="false">
      <c r="A281" s="5" t="s">
        <v>2352</v>
      </c>
      <c r="B281" s="0" t="s">
        <v>2591</v>
      </c>
      <c r="C281" s="0" t="s">
        <v>395</v>
      </c>
      <c r="E281" s="33" t="str">
        <f aca="false">CapexGW!E111</f>
        <v/>
      </c>
      <c r="F281" s="33" t="str">
        <f aca="false">CapexGW!F111</f>
        <v/>
      </c>
      <c r="G281" s="33" t="n">
        <f aca="false">CapexGW!G111</f>
        <v>31.45</v>
      </c>
      <c r="H281" s="33" t="n">
        <f aca="false">CapexGW!H111</f>
        <v>39.5046</v>
      </c>
      <c r="I281" s="33" t="n">
        <f aca="false">CapexGW!I111</f>
        <v>42.60965</v>
      </c>
      <c r="J281" s="33" t="n">
        <f aca="false">CapexGW!J111</f>
        <v>46.870615</v>
      </c>
      <c r="K281" s="33" t="n">
        <f aca="false">CapexGW!K111</f>
        <v>51.5576765</v>
      </c>
    </row>
    <row r="282" customFormat="false" ht="17.15" hidden="false" customHeight="false" outlineLevel="0" collapsed="false">
      <c r="A282" s="5" t="s">
        <v>2354</v>
      </c>
      <c r="B282" s="0" t="s">
        <v>2592</v>
      </c>
      <c r="C282" s="0" t="s">
        <v>395</v>
      </c>
      <c r="D282" s="33" t="str">
        <f aca="false">IF(In!H199&lt;&gt;"",In!H199,"")</f>
        <v/>
      </c>
      <c r="E282" s="33" t="n">
        <f aca="false">IF(In!I199&lt;&gt;"",In!I199,IF(Funding!E20&lt;&gt;"",Funding!E20,""))</f>
        <v>2.749</v>
      </c>
      <c r="F282" s="33" t="n">
        <f aca="false">IF(In!J199&lt;&gt;"",In!J199,IF(Funding!E21&lt;&gt;"",Funding!E21,""))</f>
        <v>3.058</v>
      </c>
      <c r="G282" s="33" t="n">
        <f aca="false">IF(In!K199&lt;&gt;"",In!K199,"")</f>
        <v>6.90582</v>
      </c>
      <c r="H282" s="33" t="n">
        <f aca="false">IF(In!L199&lt;&gt;"",In!L199,"")</f>
        <v>9.363183</v>
      </c>
      <c r="I282" s="33" t="n">
        <f aca="false">IF(In!M199&lt;&gt;"",In!M199,"")</f>
        <v>15.172889</v>
      </c>
      <c r="J282" s="33" t="n">
        <f aca="false">IF(In!N199&lt;&gt;"",In!N199,"")</f>
        <v>19.53623</v>
      </c>
      <c r="K282" s="33" t="n">
        <f aca="false">IF(In!O199&lt;&gt;"",In!O199,"")</f>
        <v>20.930234</v>
      </c>
      <c r="L282" s="33" t="str">
        <f aca="false">IF(In!P199&lt;&gt;"",In!P199,"")</f>
        <v/>
      </c>
      <c r="M282" s="33" t="str">
        <f aca="false">IF(In!Q199&lt;&gt;"",In!Q199,"")</f>
        <v/>
      </c>
    </row>
    <row r="283" customFormat="false" ht="17.15" hidden="false" customHeight="false" outlineLevel="0" collapsed="false">
      <c r="A283" s="5" t="s">
        <v>2356</v>
      </c>
      <c r="B283" s="0" t="s">
        <v>2593</v>
      </c>
      <c r="C283" s="0" t="s">
        <v>40</v>
      </c>
      <c r="D283" s="0" t="str">
        <f aca="false">IF(In!H199&lt;&gt;"","模型",IF(D282&lt;&gt;"","Funding 觀測","無模型值"))</f>
        <v>無模型值</v>
      </c>
      <c r="E283" s="0" t="str">
        <f aca="false">IF(In!I199&lt;&gt;"","模型",IF(E282&lt;&gt;"","Funding 觀測","無模型值"))</f>
        <v>Funding 觀測</v>
      </c>
      <c r="F283" s="0" t="str">
        <f aca="false">IF(In!J199&lt;&gt;"","模型",IF(F282&lt;&gt;"","Funding 觀測","無模型值"))</f>
        <v>Funding 觀測</v>
      </c>
      <c r="G283" s="0" t="str">
        <f aca="false">IF(In!K199&lt;&gt;"","模型",IF(G282&lt;&gt;"","Funding 觀測","無模型值"))</f>
        <v>模型</v>
      </c>
      <c r="H283" s="0" t="str">
        <f aca="false">IF(In!L199&lt;&gt;"","模型",IF(H282&lt;&gt;"","Funding 觀測","無模型值"))</f>
        <v>模型</v>
      </c>
      <c r="I283" s="0" t="str">
        <f aca="false">IF(In!M199&lt;&gt;"","模型",IF(I282&lt;&gt;"","Funding 觀測","無模型值"))</f>
        <v>模型</v>
      </c>
      <c r="J283" s="0" t="str">
        <f aca="false">IF(In!N199&lt;&gt;"","模型",IF(J282&lt;&gt;"","Funding 觀測","無模型值"))</f>
        <v>模型</v>
      </c>
      <c r="K283" s="0" t="str">
        <f aca="false">IF(In!O199&lt;&gt;"","模型",IF(K282&lt;&gt;"","Funding 觀測","無模型值"))</f>
        <v>模型</v>
      </c>
      <c r="L283" s="0" t="str">
        <f aca="false">IF(In!P199&lt;&gt;"","模型",IF(L282&lt;&gt;"","Funding 觀測","無模型值"))</f>
        <v>無模型值</v>
      </c>
      <c r="M283" s="0" t="str">
        <f aca="false">IF(In!Q199&lt;&gt;"","模型",IF(M282&lt;&gt;"","Funding 觀測","無模型值"))</f>
        <v>無模型值</v>
      </c>
    </row>
    <row r="284" customFormat="false" ht="15" hidden="false" customHeight="false" outlineLevel="0" collapsed="false">
      <c r="A284" s="5" t="s">
        <v>2358</v>
      </c>
      <c r="B284" s="0" t="s">
        <v>2594</v>
      </c>
      <c r="C284" s="0" t="s">
        <v>395</v>
      </c>
      <c r="E284" s="40" t="n">
        <f aca="false">E282</f>
        <v>2.749</v>
      </c>
      <c r="F284" s="40" t="n">
        <f aca="false">F282</f>
        <v>3.058</v>
      </c>
      <c r="G284" s="40" t="n">
        <f aca="false">G282</f>
        <v>6.90582</v>
      </c>
      <c r="H284" s="40" t="n">
        <f aca="false">H282</f>
        <v>9.363183</v>
      </c>
      <c r="I284" s="40" t="n">
        <f aca="false">I282</f>
        <v>15.172889</v>
      </c>
      <c r="J284" s="40" t="n">
        <f aca="false">J282</f>
        <v>19.53623</v>
      </c>
      <c r="K284" s="40" t="n">
        <f aca="false">K282</f>
        <v>20.930234</v>
      </c>
    </row>
    <row r="285" customFormat="false" ht="17.15" hidden="false" customHeight="false" outlineLevel="0" collapsed="false">
      <c r="A285" s="5" t="s">
        <v>2360</v>
      </c>
      <c r="B285" s="0" t="s">
        <v>2595</v>
      </c>
      <c r="C285" s="0" t="s">
        <v>40</v>
      </c>
      <c r="E285" s="0" t="str">
        <f aca="false">IF(AND(ABS(E269)&lt;0.000000001,E284&lt;&gt;"",ISNUMBER(E280)),IF(N(E280)&gt;0,"模型值替代（無 GW 證據）",""),"")</f>
        <v/>
      </c>
      <c r="F285" s="0" t="str">
        <f aca="false">IF(AND(ABS(F269)&lt;0.000000001,F284&lt;&gt;"",ISNUMBER(F280)),IF(N(F280)&gt;0,"模型值替代（無 GW 證據）",""),"")</f>
        <v/>
      </c>
      <c r="G285" s="0" t="str">
        <f aca="false">IF(AND(ABS(G269)&lt;0.000000001,G284&lt;&gt;"",ISNUMBER(G280)),IF(N(G280)&gt;0,"模型值替代（無 GW 證據）",""),"")</f>
        <v/>
      </c>
      <c r="H285" s="0" t="str">
        <f aca="false">IF(AND(ABS(H269)&lt;0.000000001,H284&lt;&gt;"",ISNUMBER(H280)),IF(N(H280)&gt;0,"模型值替代（無 GW 證據）",""),"")</f>
        <v/>
      </c>
      <c r="I285" s="0" t="str">
        <f aca="false">IF(AND(ABS(I269)&lt;0.000000001,I284&lt;&gt;"",ISNUMBER(I280)),IF(N(I280)&gt;0,"模型值替代（無 GW 證據）",""),"")</f>
        <v/>
      </c>
      <c r="J285" s="0" t="str">
        <f aca="false">IF(AND(ABS(J269)&lt;0.000000001,J284&lt;&gt;"",ISNUMBER(J280)),IF(N(J280)&gt;0,"模型值替代（無 GW 證據）",""),"")</f>
        <v/>
      </c>
      <c r="K285" s="0" t="str">
        <f aca="false">IF(AND(ABS(K269)&lt;0.000000001,K284&lt;&gt;"",ISNUMBER(K280)),IF(N(K280)&gt;0,"模型值替代（無 GW 證據）",""),"")</f>
        <v/>
      </c>
      <c r="N285" s="5" t="s">
        <v>2362</v>
      </c>
    </row>
    <row r="286" customFormat="false" ht="17.15" hidden="false" customHeight="false" outlineLevel="0" collapsed="false">
      <c r="A286" s="5" t="s">
        <v>2363</v>
      </c>
      <c r="B286" s="0" t="s">
        <v>1889</v>
      </c>
      <c r="C286" s="0" t="s">
        <v>395</v>
      </c>
      <c r="E286" s="40" t="n">
        <f aca="false">IF(E285&lt;&gt;"",E280,E269)</f>
        <v>17.41711206</v>
      </c>
      <c r="F286" s="40" t="n">
        <f aca="false">IF(F285&lt;&gt;"",F280,F269)</f>
        <v>28.81951562</v>
      </c>
      <c r="G286" s="40" t="n">
        <f aca="false">IF(G285&lt;&gt;"",G280,G269)</f>
        <v>47.9562925874739</v>
      </c>
      <c r="H286" s="40" t="n">
        <f aca="false">IF(H285&lt;&gt;"",H280,H269)</f>
        <v>69.0888933126286</v>
      </c>
      <c r="I286" s="40" t="n">
        <f aca="false">IF(I285&lt;&gt;"",I280,I269)</f>
        <v>42.5307689239494</v>
      </c>
      <c r="J286" s="40" t="n">
        <f aca="false">IF(J285&lt;&gt;"",J280,J269)</f>
        <v>47.1371201914951</v>
      </c>
      <c r="K286" s="40" t="n">
        <f aca="false">IF(K285&lt;&gt;"",K280,K269)</f>
        <v>51.7749260074151</v>
      </c>
    </row>
    <row r="287" customFormat="false" ht="17.15" hidden="false" customHeight="false" outlineLevel="0" collapsed="false">
      <c r="A287" s="5" t="s">
        <v>2364</v>
      </c>
      <c r="B287" s="0" t="s">
        <v>2596</v>
      </c>
      <c r="C287" s="0" t="s">
        <v>395</v>
      </c>
      <c r="E287" s="33" t="n">
        <f aca="false">E286</f>
        <v>17.41711206</v>
      </c>
      <c r="F287" s="33" t="n">
        <f aca="false">F286</f>
        <v>28.81951562</v>
      </c>
      <c r="G287" s="33" t="n">
        <f aca="false">G286</f>
        <v>47.9562925874739</v>
      </c>
      <c r="H287" s="33" t="n">
        <f aca="false">IF(ISNUMBER(H280),H280,H286)</f>
        <v>39.363041</v>
      </c>
      <c r="I287" s="33" t="n">
        <f aca="false">IF(ISNUMBER(I280),I280,I286)</f>
        <v>32.512194</v>
      </c>
      <c r="J287" s="33" t="n">
        <f aca="false">IF(ISNUMBER(J280),J280,J286)</f>
        <v>32.700126</v>
      </c>
      <c r="K287" s="33" t="n">
        <f aca="false">IF(ISNUMBER(K280),K280,K286)</f>
        <v>37.022557</v>
      </c>
    </row>
    <row r="288" customFormat="false" ht="15" hidden="false" customHeight="false" outlineLevel="0" collapsed="false">
      <c r="A288" s="5" t="s">
        <v>2366</v>
      </c>
      <c r="B288" s="0" t="s">
        <v>2597</v>
      </c>
      <c r="C288" s="0" t="s">
        <v>395</v>
      </c>
      <c r="D288" s="33" t="str">
        <f aca="false">IF(In!H203&lt;&gt;"",In!H203,"")</f>
        <v/>
      </c>
      <c r="E288" s="33" t="str">
        <f aca="false">IF(In!I203&lt;&gt;"",In!I203,IF(Funding!T20&lt;&gt;"",Funding!T20,""))</f>
        <v/>
      </c>
      <c r="F288" s="33" t="str">
        <f aca="false">IF(In!J203&lt;&gt;"",In!J203,IF(Funding!T21&lt;&gt;"",Funding!T21,""))</f>
        <v/>
      </c>
      <c r="G288" s="33" t="str">
        <f aca="false">IF(In!K203&lt;&gt;"",In!K203,"")</f>
        <v/>
      </c>
      <c r="H288" s="33" t="str">
        <f aca="false">IF(In!L203&lt;&gt;"",In!L203,"")</f>
        <v/>
      </c>
      <c r="I288" s="33" t="str">
        <f aca="false">IF(In!M203&lt;&gt;"",In!M203,"")</f>
        <v/>
      </c>
      <c r="J288" s="33" t="str">
        <f aca="false">IF(In!N203&lt;&gt;"",In!N203,"")</f>
        <v/>
      </c>
      <c r="K288" s="33" t="str">
        <f aca="false">IF(In!O203&lt;&gt;"",In!O203,"")</f>
        <v/>
      </c>
      <c r="L288" s="33" t="str">
        <f aca="false">IF(In!P203&lt;&gt;"",In!P203,"")</f>
        <v/>
      </c>
      <c r="M288" s="33" t="str">
        <f aca="false">IF(In!Q203&lt;&gt;"",In!Q203,"")</f>
        <v/>
      </c>
    </row>
    <row r="289" customFormat="false" ht="15" hidden="false" customHeight="false" outlineLevel="0" collapsed="false">
      <c r="A289" s="5" t="s">
        <v>2368</v>
      </c>
      <c r="B289" s="0" t="s">
        <v>2598</v>
      </c>
      <c r="C289" s="0" t="s">
        <v>395</v>
      </c>
      <c r="E289" s="33" t="str">
        <f aca="false">E288</f>
        <v/>
      </c>
      <c r="F289" s="33" t="str">
        <f aca="false">F288</f>
        <v/>
      </c>
      <c r="G289" s="33" t="str">
        <f aca="false">G288</f>
        <v/>
      </c>
      <c r="H289" s="33" t="str">
        <f aca="false">H288</f>
        <v/>
      </c>
      <c r="I289" s="33" t="str">
        <f aca="false">I288</f>
        <v/>
      </c>
      <c r="J289" s="33" t="str">
        <f aca="false">J288</f>
        <v/>
      </c>
      <c r="K289" s="33" t="str">
        <f aca="false">K288</f>
        <v/>
      </c>
    </row>
    <row r="290" customFormat="false" ht="17.15" hidden="false" customHeight="false" outlineLevel="0" collapsed="false">
      <c r="A290" s="5" t="s">
        <v>2370</v>
      </c>
      <c r="B290" s="0" t="s">
        <v>2599</v>
      </c>
      <c r="C290" s="0" t="s">
        <v>395</v>
      </c>
      <c r="E290" s="33" t="n">
        <f aca="false">E286+E276</f>
        <v>17.41711206</v>
      </c>
      <c r="F290" s="33" t="n">
        <f aca="false">F286+F276</f>
        <v>28.81951562</v>
      </c>
      <c r="G290" s="33" t="n">
        <f aca="false">G286+G276</f>
        <v>53.5062925874739</v>
      </c>
      <c r="H290" s="33" t="n">
        <f aca="false">H286+H276</f>
        <v>76.0602933126286</v>
      </c>
      <c r="I290" s="33" t="n">
        <f aca="false">I286+I276</f>
        <v>50.0501189239494</v>
      </c>
      <c r="J290" s="33" t="n">
        <f aca="false">J286+J276</f>
        <v>55.4084051914951</v>
      </c>
      <c r="K290" s="33" t="n">
        <f aca="false">K286+K276</f>
        <v>60.8733395074151</v>
      </c>
    </row>
    <row r="291" customFormat="false" ht="17.15" hidden="false" customHeight="false" outlineLevel="0" collapsed="false">
      <c r="A291" s="5" t="s">
        <v>2372</v>
      </c>
      <c r="B291" s="0" t="s">
        <v>2600</v>
      </c>
      <c r="C291" s="0" t="s">
        <v>41</v>
      </c>
      <c r="E291" s="30" t="n">
        <f aca="false">IF(OR(E284="",E290&lt;=0),"",E284/E290)</f>
        <v>0.157833284331524</v>
      </c>
      <c r="F291" s="30" t="n">
        <f aca="false">IF(OR(F284="",F290&lt;=0),"",F284/F290)</f>
        <v>0.10610865360547</v>
      </c>
      <c r="G291" s="30" t="n">
        <f aca="false">IF(OR(G284="",G290&lt;=0),"",G284/G290)</f>
        <v>0.12906556717063</v>
      </c>
      <c r="H291" s="30" t="n">
        <f aca="false">IF(OR(H284="",H290&lt;=0),"",H284/H290)</f>
        <v>0.123102115337825</v>
      </c>
      <c r="I291" s="30" t="n">
        <f aca="false">IF(OR(I284="",I290&lt;=0),"",I284/I290)</f>
        <v>0.303153905049757</v>
      </c>
      <c r="J291" s="30" t="n">
        <f aca="false">IF(OR(J284="",J290&lt;=0),"",J284/J290)</f>
        <v>0.352586036946588</v>
      </c>
      <c r="K291" s="30" t="n">
        <f aca="false">IF(OR(K284="",K290&lt;=0),"",K284/K290)</f>
        <v>0.343832524539753</v>
      </c>
    </row>
    <row r="292" customFormat="false" ht="17.15" hidden="false" customHeight="false" outlineLevel="0" collapsed="false">
      <c r="A292" s="5" t="s">
        <v>2374</v>
      </c>
      <c r="B292" s="0" t="s">
        <v>2601</v>
      </c>
      <c r="C292" s="0" t="s">
        <v>395</v>
      </c>
      <c r="E292" s="40" t="n">
        <f aca="false">IF(E284="","",E290-E284)</f>
        <v>14.66811206</v>
      </c>
      <c r="F292" s="40" t="n">
        <f aca="false">IF(F284="","",F290-F284)</f>
        <v>25.76151562</v>
      </c>
      <c r="G292" s="40" t="n">
        <f aca="false">IF(G284="","",G290-G284)</f>
        <v>46.6004725874739</v>
      </c>
      <c r="H292" s="40" t="n">
        <f aca="false">IF(H284="","",H290-H284)</f>
        <v>66.6971103126286</v>
      </c>
      <c r="I292" s="40" t="n">
        <f aca="false">IF(I284="","",I290-I284)</f>
        <v>34.8772299239494</v>
      </c>
      <c r="J292" s="40" t="n">
        <f aca="false">IF(J284="","",J290-J284)</f>
        <v>35.8721751914951</v>
      </c>
      <c r="K292" s="40" t="n">
        <f aca="false">IF(K284="","",K290-K284)</f>
        <v>39.9431055074151</v>
      </c>
    </row>
    <row r="293" customFormat="false" ht="17.15" hidden="false" customHeight="false" outlineLevel="0" collapsed="false">
      <c r="A293" s="5" t="s">
        <v>2433</v>
      </c>
      <c r="B293" s="0" t="s">
        <v>2602</v>
      </c>
      <c r="C293" s="0" t="s">
        <v>395</v>
      </c>
      <c r="E293" s="40" t="n">
        <f aca="false">N(Funding!AL20)</f>
        <v>7.018</v>
      </c>
      <c r="F293" s="40" t="n">
        <f aca="false">N(Funding!AL21)</f>
        <v>13.32</v>
      </c>
    </row>
    <row r="294" customFormat="false" ht="17.15" hidden="false" customHeight="false" outlineLevel="0" collapsed="false">
      <c r="A294" s="5" t="s">
        <v>2435</v>
      </c>
      <c r="B294" s="0" t="s">
        <v>2603</v>
      </c>
      <c r="C294" s="0" t="s">
        <v>395</v>
      </c>
      <c r="E294" s="33" t="n">
        <f aca="false">(N(Funding!J20)+N(Funding!K20)+N(Funding!L20)+N(Funding!M20))</f>
        <v>7.018</v>
      </c>
      <c r="F294" s="33" t="n">
        <f aca="false">(N(Funding!J21)+N(Funding!K21)+N(Funding!L21)+N(Funding!M21))</f>
        <v>11.829</v>
      </c>
    </row>
    <row r="295" customFormat="false" ht="15" hidden="false" customHeight="false" outlineLevel="0" collapsed="false">
      <c r="A295" s="5" t="s">
        <v>2437</v>
      </c>
      <c r="B295" s="0" t="s">
        <v>2604</v>
      </c>
      <c r="C295" s="0" t="s">
        <v>395</v>
      </c>
      <c r="E295" s="33" t="n">
        <f aca="false">N(Funding!R20)</f>
        <v>0</v>
      </c>
      <c r="F295" s="33" t="n">
        <f aca="false">N(Funding!R21)</f>
        <v>1.491</v>
      </c>
    </row>
    <row r="296" customFormat="false" ht="15" hidden="false" customHeight="false" outlineLevel="0" collapsed="false">
      <c r="A296" s="5" t="s">
        <v>2439</v>
      </c>
      <c r="B296" s="0" t="s">
        <v>2605</v>
      </c>
      <c r="C296" s="0" t="s">
        <v>395</v>
      </c>
      <c r="E296" s="33" t="n">
        <f aca="false">(N(Funding!AL20)-(N(Funding!J20)+N(Funding!K20)+N(Funding!L20)+N(Funding!M20))-N(Funding!R20))</f>
        <v>0</v>
      </c>
      <c r="F296" s="33" t="n">
        <f aca="false">(N(Funding!AL21)-(N(Funding!J21)+N(Funding!K21)+N(Funding!L21)+N(Funding!M21))-N(Funding!R21))</f>
        <v>0</v>
      </c>
    </row>
    <row r="297" customFormat="false" ht="17.15" hidden="false" customHeight="false" outlineLevel="0" collapsed="false">
      <c r="A297" s="5" t="s">
        <v>2384</v>
      </c>
      <c r="B297" s="0" t="s">
        <v>2606</v>
      </c>
      <c r="C297" s="0" t="s">
        <v>395</v>
      </c>
      <c r="E297" s="33" t="n">
        <f aca="false">IF(E292="","",E292-E293)</f>
        <v>7.65011206</v>
      </c>
      <c r="F297" s="33" t="n">
        <f aca="false">IF(F292="","",F292-F293)</f>
        <v>12.44151562</v>
      </c>
    </row>
    <row r="298" customFormat="false" ht="17.15" hidden="false" customHeight="false" outlineLevel="0" collapsed="false">
      <c r="A298" s="5" t="s">
        <v>2386</v>
      </c>
      <c r="B298" s="0" t="s">
        <v>2607</v>
      </c>
      <c r="C298" s="0" t="s">
        <v>395</v>
      </c>
      <c r="G298" s="33" t="n">
        <f aca="false">IF(Funding!O22&lt;&gt;"",Funding!O22,N(Funding!O21))</f>
        <v>0</v>
      </c>
      <c r="N298" s="5" t="s">
        <v>2388</v>
      </c>
    </row>
    <row r="299" customFormat="false" ht="17.15" hidden="false" customHeight="false" outlineLevel="0" collapsed="false">
      <c r="A299" s="5" t="s">
        <v>2389</v>
      </c>
      <c r="B299" s="0" t="s">
        <v>2608</v>
      </c>
      <c r="C299" s="0" t="s">
        <v>395</v>
      </c>
      <c r="G299" s="33" t="n">
        <f aca="false">IF(Funding!Q22&lt;&gt;"",Funding!Q22,N(Funding!Q21))</f>
        <v>0</v>
      </c>
      <c r="N299" s="5" t="s">
        <v>2391</v>
      </c>
    </row>
    <row r="300" customFormat="false" ht="17.15" hidden="false" customHeight="false" outlineLevel="0" collapsed="false">
      <c r="A300" s="5" t="s">
        <v>2392</v>
      </c>
      <c r="B300" s="0" t="s">
        <v>2609</v>
      </c>
      <c r="C300" s="0" t="s">
        <v>395</v>
      </c>
      <c r="G300" s="33" t="n">
        <f aca="false">N(Funding!AL22)</f>
        <v>19.729</v>
      </c>
    </row>
    <row r="301" customFormat="false" ht="17.15" hidden="false" customHeight="false" outlineLevel="0" collapsed="false">
      <c r="A301" s="5" t="s">
        <v>2394</v>
      </c>
      <c r="B301" s="0" t="s">
        <v>2610</v>
      </c>
      <c r="C301" s="0" t="s">
        <v>395</v>
      </c>
      <c r="G301" s="33" t="str">
        <f aca="false">IF(COUNTIFS(FundRaw!$C$4:$C$281,"crwv",FundRaw!$F$4:$F$281,"cash_level",FundRaw!$D$4:$D$281,"2025-12-31",FundRaw!$O$4:$O$281,1)=0,"未取得",SUMIFS(FundRaw!$G$4:$G$281,FundRaw!$C$4:$C$281,"crwv",FundRaw!$F$4:$F$281,"cash_level",FundRaw!$D$4:$D$281,"2025-12-31",FundRaw!$O$4:$O$281,1))</f>
        <v>未取得</v>
      </c>
      <c r="N301" s="5" t="s">
        <v>2396</v>
      </c>
    </row>
    <row r="302" customFormat="false" ht="17.15" hidden="false" customHeight="false" outlineLevel="0" collapsed="false">
      <c r="A302" s="5" t="s">
        <v>2397</v>
      </c>
      <c r="B302" s="0" t="s">
        <v>2611</v>
      </c>
      <c r="C302" s="0" t="s">
        <v>395</v>
      </c>
      <c r="G302" s="33" t="n">
        <f aca="false">IF(ISNUMBER(G301),G301,N(gcash_crwv))</f>
        <v>3.127</v>
      </c>
      <c r="N302" s="5" t="s">
        <v>2612</v>
      </c>
    </row>
    <row r="303" customFormat="false" ht="17.15" hidden="false" customHeight="false" outlineLevel="0" collapsed="false">
      <c r="A303" s="5" t="s">
        <v>2400</v>
      </c>
      <c r="B303" s="0" t="s">
        <v>2613</v>
      </c>
      <c r="C303" s="0" t="s">
        <v>40</v>
      </c>
      <c r="G303" s="0" t="str">
        <f aca="false">IF(ISNUMBER(G301),"Funding 觀測","個股模型（In Y9）")</f>
        <v>個股模型（In Y9）</v>
      </c>
    </row>
    <row r="304" customFormat="false" ht="17.15" hidden="false" customHeight="false" outlineLevel="0" collapsed="false">
      <c r="A304" s="5" t="s">
        <v>2402</v>
      </c>
      <c r="B304" s="0" t="s">
        <v>2614</v>
      </c>
      <c r="C304" s="0" t="s">
        <v>395</v>
      </c>
      <c r="E304" s="33" t="n">
        <f aca="false">IF(E284="","",E284-E290)</f>
        <v>-14.66811206</v>
      </c>
      <c r="F304" s="33" t="n">
        <f aca="false">IF(F284="","",F284-F290)</f>
        <v>-25.76151562</v>
      </c>
      <c r="G304" s="33" t="n">
        <f aca="false">IF(G284="","",G284-G290)</f>
        <v>-46.6004725874739</v>
      </c>
      <c r="H304" s="33" t="n">
        <f aca="false">IF(H284="","",H284-H290)</f>
        <v>-66.6971103126286</v>
      </c>
      <c r="I304" s="33" t="n">
        <f aca="false">IF(I284="","",I284-I290)</f>
        <v>-34.8772299239494</v>
      </c>
      <c r="J304" s="33" t="n">
        <f aca="false">IF(J284="","",J284-J290)</f>
        <v>-35.8721751914951</v>
      </c>
      <c r="K304" s="33" t="n">
        <f aca="false">IF(K284="","",K284-K290)</f>
        <v>-39.9431055074151</v>
      </c>
    </row>
    <row r="305" customFormat="false" ht="15" hidden="false" customHeight="false" outlineLevel="0" collapsed="false">
      <c r="A305" s="5" t="s">
        <v>2404</v>
      </c>
      <c r="B305" s="0" t="s">
        <v>2615</v>
      </c>
      <c r="C305" s="0" t="s">
        <v>57</v>
      </c>
      <c r="E305" s="23" t="n">
        <f aca="false">IF(OR(E292="",E290&lt;=0),"",E292/E290)</f>
        <v>0.842166715668476</v>
      </c>
      <c r="F305" s="23" t="n">
        <f aca="false">IF(OR(F292="",F290&lt;=0),"",F292/F290)</f>
        <v>0.89389134639453</v>
      </c>
      <c r="G305" s="23" t="n">
        <f aca="false">IF(OR(G292="",G290&lt;=0),"",G292/G290)</f>
        <v>0.87093443282937</v>
      </c>
      <c r="H305" s="23" t="n">
        <f aca="false">IF(OR(H292="",H290&lt;=0),"",H292/H290)</f>
        <v>0.876897884662175</v>
      </c>
      <c r="I305" s="23" t="n">
        <f aca="false">IF(OR(I292="",I290&lt;=0),"",I292/I290)</f>
        <v>0.696846094950243</v>
      </c>
      <c r="J305" s="23" t="n">
        <f aca="false">IF(OR(J292="",J290&lt;=0),"",J292/J290)</f>
        <v>0.647413963053412</v>
      </c>
      <c r="K305" s="23" t="n">
        <f aca="false">IF(OR(K292="",K290&lt;=0),"",K292/K290)</f>
        <v>0.656167475460247</v>
      </c>
    </row>
    <row r="307" customFormat="false" ht="17.15" hidden="false" customHeight="false" outlineLevel="0" collapsed="false">
      <c r="A307" s="8" t="s">
        <v>1486</v>
      </c>
      <c r="B307" s="21" t="s">
        <v>873</v>
      </c>
      <c r="N307" s="5" t="s">
        <v>2616</v>
      </c>
    </row>
    <row r="308" customFormat="false" ht="17.15" hidden="false" customHeight="false" outlineLevel="0" collapsed="false">
      <c r="A308" s="5" t="s">
        <v>2317</v>
      </c>
      <c r="B308" s="0" t="s">
        <v>1502</v>
      </c>
      <c r="C308" s="0" t="s">
        <v>82</v>
      </c>
      <c r="D308" s="25" t="n">
        <f aca="false">CapexGW!D136</f>
        <v>0</v>
      </c>
      <c r="E308" s="25" t="n">
        <f aca="false">CapexGW!E136</f>
        <v>0</v>
      </c>
      <c r="F308" s="25" t="n">
        <f aca="false">CapexGW!F136</f>
        <v>0</v>
      </c>
      <c r="G308" s="25" t="n">
        <f aca="false">CapexGW!G136</f>
        <v>0.73</v>
      </c>
      <c r="H308" s="25" t="n">
        <f aca="false">CapexGW!H136</f>
        <v>0.396179366526544</v>
      </c>
      <c r="I308" s="25" t="n">
        <f aca="false">CapexGW!I136</f>
        <v>0.554335434150153</v>
      </c>
      <c r="J308" s="25" t="n">
        <f aca="false">CapexGW!J136</f>
        <v>0.629924193744744</v>
      </c>
      <c r="K308" s="25" t="n">
        <f aca="false">CapexGW!K136</f>
        <v>0.708468647282461</v>
      </c>
      <c r="L308" s="25" t="n">
        <f aca="false">CapexGW!L136</f>
        <v>0.779315512010707</v>
      </c>
      <c r="M308" s="25" t="n">
        <f aca="false">CapexGW!M136</f>
        <v>0.857247063211778</v>
      </c>
      <c r="N308" s="21" t="s">
        <v>2318</v>
      </c>
    </row>
    <row r="309" customFormat="false" ht="17.15" hidden="false" customHeight="false" outlineLevel="0" collapsed="false">
      <c r="A309" s="5" t="s">
        <v>2319</v>
      </c>
      <c r="B309" s="0" t="s">
        <v>1906</v>
      </c>
      <c r="C309" s="0" t="s">
        <v>230</v>
      </c>
      <c r="D309" s="30" t="n">
        <f aca="false">CapexGW!D131</f>
        <v>27.510214</v>
      </c>
      <c r="E309" s="30" t="n">
        <f aca="false">CapexGW!E131</f>
        <v>27.510214</v>
      </c>
      <c r="F309" s="30" t="n">
        <f aca="false">CapexGW!F131</f>
        <v>26.009088</v>
      </c>
      <c r="G309" s="30" t="n">
        <f aca="false">CapexGW!G131</f>
        <v>33.41403216</v>
      </c>
      <c r="H309" s="30" t="n">
        <f aca="false">CapexGW!H131</f>
        <v>38.3403893327246</v>
      </c>
      <c r="I309" s="30" t="n">
        <f aca="false">CapexGW!I131</f>
        <v>41.3326208898258</v>
      </c>
      <c r="J309" s="30" t="n">
        <f aca="false">CapexGW!J131</f>
        <v>41.3326208898258</v>
      </c>
      <c r="K309" s="30" t="n">
        <f aca="false">CapexGW!K131</f>
        <v>41.3326208898258</v>
      </c>
      <c r="L309" s="30" t="n">
        <f aca="false">CapexGW!L131</f>
        <v>41.3326208898258</v>
      </c>
      <c r="M309" s="30" t="n">
        <f aca="false">CapexGW!M131</f>
        <v>41.3326208898258</v>
      </c>
    </row>
    <row r="310" customFormat="false" ht="17.15" hidden="false" customHeight="false" outlineLevel="0" collapsed="false">
      <c r="A310" s="5" t="s">
        <v>2320</v>
      </c>
      <c r="B310" s="0" t="s">
        <v>1907</v>
      </c>
      <c r="C310" s="0" t="s">
        <v>230</v>
      </c>
      <c r="D310" s="30" t="n">
        <f aca="false">CapexGW!D132</f>
        <v>12.67</v>
      </c>
      <c r="E310" s="30" t="n">
        <f aca="false">CapexGW!E132</f>
        <v>12.67</v>
      </c>
      <c r="F310" s="30" t="n">
        <f aca="false">CapexGW!F132</f>
        <v>12.67</v>
      </c>
      <c r="G310" s="30" t="n">
        <f aca="false">CapexGW!G132</f>
        <v>12.67</v>
      </c>
      <c r="H310" s="30" t="n">
        <f aca="false">CapexGW!H132</f>
        <v>12.67</v>
      </c>
      <c r="I310" s="30" t="n">
        <f aca="false">CapexGW!I132</f>
        <v>12.67</v>
      </c>
      <c r="J310" s="30" t="n">
        <f aca="false">CapexGW!J132</f>
        <v>12.67</v>
      </c>
      <c r="K310" s="30" t="n">
        <f aca="false">CapexGW!K132</f>
        <v>12.67</v>
      </c>
      <c r="L310" s="30" t="n">
        <f aca="false">CapexGW!L132</f>
        <v>12.67</v>
      </c>
      <c r="M310" s="30" t="n">
        <f aca="false">CapexGW!M132</f>
        <v>12.67</v>
      </c>
    </row>
    <row r="311" customFormat="false" ht="17.15" hidden="false" customHeight="false" outlineLevel="0" collapsed="false">
      <c r="A311" s="5" t="s">
        <v>2321</v>
      </c>
      <c r="B311" s="0" t="s">
        <v>2617</v>
      </c>
      <c r="C311" s="0" t="s">
        <v>395</v>
      </c>
      <c r="E311" s="33" t="n">
        <f aca="false">E308*(E309+Gap!$D$6*E310)</f>
        <v>0</v>
      </c>
      <c r="F311" s="33" t="n">
        <f aca="false">F308*(F309+Gap!$D$6*F310)</f>
        <v>0</v>
      </c>
      <c r="G311" s="33" t="n">
        <f aca="false">G308*(G309+Gap!$D$6*G310)</f>
        <v>24.3922434768</v>
      </c>
      <c r="H311" s="33" t="n">
        <f aca="false">H308*(H309+Gap!$D$6*H310)</f>
        <v>15.1896711582199</v>
      </c>
      <c r="I311" s="33" t="n">
        <f aca="false">I308*(I309+Gap!$D$6*I310)</f>
        <v>22.9121363455253</v>
      </c>
      <c r="J311" s="33" t="n">
        <f aca="false">J308*(J309+Gap!$D$6*J310)</f>
        <v>26.0364178893807</v>
      </c>
      <c r="K311" s="33" t="n">
        <f aca="false">K308*(K309+Gap!$D$6*K310)</f>
        <v>29.2828660104537</v>
      </c>
    </row>
    <row r="312" customFormat="false" ht="17.15" hidden="false" customHeight="false" outlineLevel="0" collapsed="false">
      <c r="A312" s="5" t="s">
        <v>2323</v>
      </c>
      <c r="B312" s="0" t="s">
        <v>2618</v>
      </c>
      <c r="C312" s="0" t="s">
        <v>395</v>
      </c>
      <c r="E312" s="33" t="n">
        <f aca="false">Gap!$E$6*F308*F310</f>
        <v>0</v>
      </c>
      <c r="F312" s="33" t="n">
        <f aca="false">Gap!$E$6*G308*G310</f>
        <v>4.62455</v>
      </c>
      <c r="G312" s="33" t="n">
        <f aca="false">Gap!$E$6*H308*H310</f>
        <v>2.50979628694566</v>
      </c>
      <c r="H312" s="33" t="n">
        <f aca="false">Gap!$E$6*I308*I310</f>
        <v>3.51171497534122</v>
      </c>
      <c r="I312" s="33" t="n">
        <f aca="false">Gap!$E$6*J308*J310</f>
        <v>3.99056976737295</v>
      </c>
      <c r="J312" s="33" t="n">
        <f aca="false">Gap!$E$6*K308*K310</f>
        <v>4.48814888053439</v>
      </c>
      <c r="K312" s="33" t="n">
        <f aca="false">Gap!$E$6*L308*L310</f>
        <v>4.93696376858783</v>
      </c>
    </row>
    <row r="313" customFormat="false" ht="17.15" hidden="false" customHeight="false" outlineLevel="0" collapsed="false">
      <c r="A313" s="5" t="s">
        <v>2325</v>
      </c>
      <c r="B313" s="0" t="s">
        <v>2619</v>
      </c>
      <c r="C313" s="0" t="s">
        <v>395</v>
      </c>
      <c r="E313" s="33" t="n">
        <f aca="false">Gap!$F$6*G308*G310</f>
        <v>4.62455</v>
      </c>
      <c r="F313" s="33" t="n">
        <f aca="false">Gap!$F$6*H308*H310</f>
        <v>2.50979628694566</v>
      </c>
      <c r="G313" s="33" t="n">
        <f aca="false">Gap!$F$6*I308*I310</f>
        <v>3.51171497534122</v>
      </c>
      <c r="H313" s="33" t="n">
        <f aca="false">Gap!$F$6*J308*J310</f>
        <v>3.99056976737295</v>
      </c>
      <c r="I313" s="33" t="n">
        <f aca="false">Gap!$F$6*K308*K310</f>
        <v>4.48814888053439</v>
      </c>
      <c r="J313" s="33" t="n">
        <f aca="false">Gap!$F$6*L308*L310</f>
        <v>4.93696376858783</v>
      </c>
      <c r="K313" s="33" t="n">
        <f aca="false">Gap!$F$6*M308*M310</f>
        <v>5.43066014544661</v>
      </c>
    </row>
    <row r="314" customFormat="false" ht="17.15" hidden="false" customHeight="false" outlineLevel="0" collapsed="false">
      <c r="A314" s="5" t="s">
        <v>2327</v>
      </c>
      <c r="B314" s="0" t="s">
        <v>2620</v>
      </c>
      <c r="C314" s="0" t="s">
        <v>395</v>
      </c>
      <c r="E314" s="33" t="n">
        <f aca="false">E311+E312+E313</f>
        <v>4.62455</v>
      </c>
      <c r="F314" s="33" t="n">
        <f aca="false">F311+F312+F313</f>
        <v>7.13434628694566</v>
      </c>
      <c r="G314" s="33" t="n">
        <f aca="false">G311+G312+G313</f>
        <v>30.4137547390869</v>
      </c>
      <c r="H314" s="33" t="n">
        <f aca="false">H311+H312+H313</f>
        <v>22.6919559009341</v>
      </c>
      <c r="I314" s="33" t="n">
        <f aca="false">I311+I312+I313</f>
        <v>31.3908549934326</v>
      </c>
      <c r="J314" s="33" t="n">
        <f aca="false">J311+J312+J313</f>
        <v>35.4615305385029</v>
      </c>
      <c r="K314" s="33" t="n">
        <f aca="false">K311+K312+K313</f>
        <v>39.6504899244881</v>
      </c>
    </row>
    <row r="315" customFormat="false" ht="17.15" hidden="false" customHeight="false" outlineLevel="0" collapsed="false">
      <c r="A315" s="5" t="s">
        <v>2329</v>
      </c>
      <c r="B315" s="0" t="s">
        <v>2621</v>
      </c>
      <c r="C315" s="0" t="s">
        <v>395</v>
      </c>
      <c r="E315" s="33" t="n">
        <f aca="false">E308*(Gap!E$8+Gap!$D$6*Gap!E$9)</f>
        <v>0</v>
      </c>
      <c r="F315" s="33" t="n">
        <f aca="false">F308*(Gap!F$8+Gap!$D$6*Gap!F$9)</f>
        <v>0</v>
      </c>
      <c r="G315" s="33" t="n">
        <f aca="false">G308*(Gap!G$8+Gap!$D$6*Gap!G$9)</f>
        <v>22.9608966600063</v>
      </c>
      <c r="H315" s="33" t="n">
        <f aca="false">H308*(Gap!H$8+Gap!$D$6*Gap!H$9)</f>
        <v>13.7660612601171</v>
      </c>
      <c r="I315" s="33" t="n">
        <f aca="false">I308*(Gap!I$8+Gap!$D$6*Gap!I$9)</f>
        <v>20.4983812584677</v>
      </c>
      <c r="J315" s="33" t="n">
        <f aca="false">J308*(Gap!J$8+Gap!$D$6*Gap!J$9)</f>
        <v>23.267419590151</v>
      </c>
      <c r="K315" s="33" t="n">
        <f aca="false">K308*(Gap!K$8+Gap!$D$6*Gap!K$9)</f>
        <v>26.1686048043226</v>
      </c>
    </row>
    <row r="316" customFormat="false" ht="17.15" hidden="false" customHeight="false" outlineLevel="0" collapsed="false">
      <c r="A316" s="5" t="s">
        <v>2331</v>
      </c>
      <c r="B316" s="0" t="s">
        <v>2622</v>
      </c>
      <c r="C316" s="0" t="s">
        <v>395</v>
      </c>
      <c r="E316" s="33" t="n">
        <f aca="false">Gap!$E$6*F308*Gap!F$9</f>
        <v>0</v>
      </c>
      <c r="F316" s="33" t="n">
        <f aca="false">Gap!$E$6*G308*Gap!G$9</f>
        <v>4.26101725917202</v>
      </c>
      <c r="G316" s="33" t="n">
        <f aca="false">Gap!$E$6*H308*Gap!H$9</f>
        <v>2.28360437383941</v>
      </c>
      <c r="H316" s="33" t="n">
        <f aca="false">Gap!$E$6*I308*Gap!I$9</f>
        <v>3.19925992217605</v>
      </c>
      <c r="I316" s="33" t="n">
        <f aca="false">Gap!$E$6*J308*Gap!J$9</f>
        <v>3.63212929615898</v>
      </c>
      <c r="J316" s="33" t="n">
        <f aca="false">Gap!$E$6*K308*Gap!K$9</f>
        <v>4.0850149188705</v>
      </c>
      <c r="K316" s="33" t="n">
        <f aca="false">Gap!$E$6*L308*Gap!L$9</f>
        <v>4.49351641075755</v>
      </c>
    </row>
    <row r="317" customFormat="false" ht="17.15" hidden="false" customHeight="false" outlineLevel="0" collapsed="false">
      <c r="A317" s="5" t="s">
        <v>2333</v>
      </c>
      <c r="B317" s="0" t="s">
        <v>2623</v>
      </c>
      <c r="C317" s="0" t="s">
        <v>395</v>
      </c>
      <c r="E317" s="33" t="n">
        <f aca="false">Gap!$F$6*G308*Gap!G$9</f>
        <v>4.26101725917202</v>
      </c>
      <c r="F317" s="33" t="n">
        <f aca="false">Gap!$F$6*H308*Gap!H$9</f>
        <v>2.28360437383941</v>
      </c>
      <c r="G317" s="33" t="n">
        <f aca="false">Gap!$F$6*I308*Gap!I$9</f>
        <v>3.19925992217605</v>
      </c>
      <c r="H317" s="33" t="n">
        <f aca="false">Gap!$F$6*J308*Gap!J$9</f>
        <v>3.63212929615898</v>
      </c>
      <c r="I317" s="33" t="n">
        <f aca="false">Gap!$F$6*K308*Gap!K$9</f>
        <v>4.0850149188705</v>
      </c>
      <c r="J317" s="33" t="n">
        <f aca="false">Gap!$F$6*L308*Gap!L$9</f>
        <v>4.49351641075755</v>
      </c>
      <c r="K317" s="33" t="n">
        <f aca="false">Gap!$F$6*M308*Gap!M$9</f>
        <v>4.9428680518333</v>
      </c>
    </row>
    <row r="318" customFormat="false" ht="17.15" hidden="false" customHeight="false" outlineLevel="0" collapsed="false">
      <c r="A318" s="5" t="s">
        <v>2335</v>
      </c>
      <c r="B318" s="0" t="s">
        <v>2624</v>
      </c>
      <c r="C318" s="0" t="s">
        <v>395</v>
      </c>
      <c r="D318" s="33" t="str">
        <f aca="false">IF(In!H207&lt;&gt;"",In!H207,"")</f>
        <v/>
      </c>
      <c r="E318" s="33" t="str">
        <f aca="false">IF(In!I207&lt;&gt;"",In!I207,"")</f>
        <v/>
      </c>
      <c r="F318" s="33" t="str">
        <f aca="false">IF(In!J207&lt;&gt;"",In!J207,"")</f>
        <v/>
      </c>
      <c r="G318" s="33" t="str">
        <f aca="false">IF(In!K207&lt;&gt;"",In!K207,"")</f>
        <v/>
      </c>
      <c r="H318" s="33" t="str">
        <f aca="false">IF(In!L207&lt;&gt;"",In!L207,"")</f>
        <v/>
      </c>
      <c r="I318" s="33" t="str">
        <f aca="false">IF(In!M207&lt;&gt;"",In!M207,"")</f>
        <v/>
      </c>
      <c r="J318" s="33" t="str">
        <f aca="false">IF(In!N207&lt;&gt;"",In!N207,"")</f>
        <v/>
      </c>
      <c r="K318" s="33" t="str">
        <f aca="false">IF(In!O207&lt;&gt;"",In!O207,"")</f>
        <v/>
      </c>
      <c r="L318" s="33" t="str">
        <f aca="false">IF(In!P207&lt;&gt;"",In!P207,"")</f>
        <v/>
      </c>
      <c r="M318" s="33" t="str">
        <f aca="false">IF(In!Q207&lt;&gt;"",In!Q207,"")</f>
        <v/>
      </c>
    </row>
    <row r="319" customFormat="false" ht="17.15" hidden="false" customHeight="false" outlineLevel="0" collapsed="false">
      <c r="A319" s="5" t="s">
        <v>2337</v>
      </c>
      <c r="B319" s="0" t="s">
        <v>2625</v>
      </c>
      <c r="C319" s="0" t="s">
        <v>395</v>
      </c>
      <c r="E319" s="33" t="str">
        <f aca="false">E318</f>
        <v/>
      </c>
      <c r="F319" s="33" t="str">
        <f aca="false">F318</f>
        <v/>
      </c>
      <c r="G319" s="33" t="str">
        <f aca="false">G318</f>
        <v/>
      </c>
      <c r="H319" s="33" t="str">
        <f aca="false">H318</f>
        <v/>
      </c>
      <c r="I319" s="33" t="str">
        <f aca="false">I318</f>
        <v/>
      </c>
      <c r="J319" s="33" t="str">
        <f aca="false">J318</f>
        <v/>
      </c>
      <c r="K319" s="33" t="str">
        <f aca="false">K318</f>
        <v/>
      </c>
    </row>
    <row r="320" customFormat="false" ht="17.15" hidden="false" customHeight="false" outlineLevel="0" collapsed="false">
      <c r="A320" s="5" t="s">
        <v>2339</v>
      </c>
      <c r="B320" s="0" t="s">
        <v>2626</v>
      </c>
      <c r="C320" s="0" t="s">
        <v>40</v>
      </c>
      <c r="E320" s="0" t="str">
        <f aca="false">IF(E319&lt;&gt;"","",IF(CapexGW!E129&lt;&gt;"","以 Y2 × (1−AI 占比) 替代（模型無拆分）","無模型值（以 0 計）"))</f>
        <v>無模型值（以 0 計）</v>
      </c>
      <c r="F320" s="0" t="str">
        <f aca="false">IF(F319&lt;&gt;"","",IF(CapexGW!F129&lt;&gt;"","以 Y2 × (1−AI 占比) 替代（模型無拆分）","無模型值（以 0 計）"))</f>
        <v>以 Y2 × (1−AI 占比) 替代（模型無拆分）</v>
      </c>
      <c r="G320" s="0" t="str">
        <f aca="false">IF(G319&lt;&gt;"","",IF(CapexGW!G129&lt;&gt;"","以 Y2 × (1−AI 占比) 替代（模型無拆分）","無模型值（以 0 計）"))</f>
        <v>以 Y2 × (1−AI 占比) 替代（模型無拆分）</v>
      </c>
      <c r="H320" s="0" t="str">
        <f aca="false">IF(H319&lt;&gt;"","",IF(CapexGW!H129&lt;&gt;"","以 Y2 × (1−AI 占比) 替代（模型無拆分）","無模型值（以 0 計）"))</f>
        <v>以 Y2 × (1−AI 占比) 替代（模型無拆分）</v>
      </c>
      <c r="I320" s="0" t="str">
        <f aca="false">IF(I319&lt;&gt;"","",IF(CapexGW!I129&lt;&gt;"","以 Y2 × (1−AI 占比) 替代（模型無拆分）","無模型值（以 0 計）"))</f>
        <v>以 Y2 × (1−AI 占比) 替代（模型無拆分）</v>
      </c>
      <c r="J320" s="0" t="str">
        <f aca="false">IF(J319&lt;&gt;"","",IF(CapexGW!J129&lt;&gt;"","以 Y2 × (1−AI 占比) 替代（模型無拆分）","無模型值（以 0 計）"))</f>
        <v>以 Y2 × (1−AI 占比) 替代（模型無拆分）</v>
      </c>
      <c r="K320" s="0" t="str">
        <f aca="false">IF(K319&lt;&gt;"","",IF(CapexGW!K129&lt;&gt;"","以 Y2 × (1−AI 占比) 替代（模型無拆分）","無模型值（以 0 計）"))</f>
        <v>以 Y2 × (1−AI 占比) 替代（模型無拆分）</v>
      </c>
      <c r="N320" s="0" t="s">
        <v>2341</v>
      </c>
    </row>
    <row r="321" customFormat="false" ht="17.15" hidden="false" customHeight="false" outlineLevel="0" collapsed="false">
      <c r="A321" s="5" t="s">
        <v>2342</v>
      </c>
      <c r="B321" s="0" t="s">
        <v>2627</v>
      </c>
      <c r="C321" s="0" t="s">
        <v>395</v>
      </c>
      <c r="E321" s="33" t="n">
        <f aca="false">IF(E319&lt;&gt;"",E319,IF(CapexGW!E129&lt;&gt;"",CapexGW!E129*(1-ai_sh),0))</f>
        <v>0</v>
      </c>
      <c r="F321" s="33" t="n">
        <f aca="false">IF(F319&lt;&gt;"",F319,IF(CapexGW!F129&lt;&gt;"",CapexGW!F129*(1-ai_sh),0))</f>
        <v>0.6099</v>
      </c>
      <c r="G321" s="33" t="n">
        <f aca="false">IF(G319&lt;&gt;"",G319,IF(CapexGW!G129&lt;&gt;"",CapexGW!G129*(1-ai_sh),0))</f>
        <v>3.375</v>
      </c>
      <c r="H321" s="33" t="n">
        <f aca="false">IF(H319&lt;&gt;"",H319,IF(CapexGW!H129&lt;&gt;"",CapexGW!H129*(1-ai_sh),0))</f>
        <v>4.08645</v>
      </c>
      <c r="I321" s="33" t="n">
        <f aca="false">IF(I319&lt;&gt;"",I319,IF(CapexGW!I129&lt;&gt;"",CapexGW!I129*(1-ai_sh),0))</f>
        <v>5.7585</v>
      </c>
      <c r="J321" s="33" t="n">
        <f aca="false">IF(J319&lt;&gt;"",J319,IF(CapexGW!J129&lt;&gt;"",CapexGW!J129*(1-ai_sh),0))</f>
        <v>6.33435</v>
      </c>
      <c r="K321" s="33" t="n">
        <f aca="false">IF(K319&lt;&gt;"",K319,IF(CapexGW!K129&lt;&gt;"",CapexGW!K129*(1-ai_sh),0))</f>
        <v>6.967785</v>
      </c>
    </row>
    <row r="322" customFormat="false" ht="15" hidden="false" customHeight="false" outlineLevel="0" collapsed="false">
      <c r="A322" s="5" t="s">
        <v>2344</v>
      </c>
      <c r="B322" s="0" t="s">
        <v>2628</v>
      </c>
      <c r="C322" s="0" t="s">
        <v>395</v>
      </c>
      <c r="D322" s="33" t="str">
        <f aca="false">IF(In!H208&lt;&gt;"",In!H208,"")</f>
        <v/>
      </c>
      <c r="E322" s="33" t="str">
        <f aca="false">IF(In!I208&lt;&gt;"",In!I208,"")</f>
        <v/>
      </c>
      <c r="F322" s="33" t="str">
        <f aca="false">IF(In!J208&lt;&gt;"",In!J208,"")</f>
        <v/>
      </c>
      <c r="G322" s="33" t="n">
        <f aca="false">IF(In!K208&lt;&gt;"",In!K208,"")</f>
        <v>26.04619</v>
      </c>
      <c r="H322" s="33" t="n">
        <f aca="false">IF(In!L208&lt;&gt;"",In!L208,"")</f>
        <v>27.597437</v>
      </c>
      <c r="I322" s="33" t="n">
        <f aca="false">IF(In!M208&lt;&gt;"",In!M208,"")</f>
        <v>29.148684</v>
      </c>
      <c r="J322" s="33" t="n">
        <f aca="false">IF(In!N208&lt;&gt;"",In!N208,"")</f>
        <v>29.148684</v>
      </c>
      <c r="K322" s="33" t="n">
        <f aca="false">IF(In!O208&lt;&gt;"",In!O208,"")</f>
        <v>37.692264</v>
      </c>
      <c r="L322" s="33" t="str">
        <f aca="false">IF(In!P208&lt;&gt;"",In!P208,"")</f>
        <v/>
      </c>
      <c r="M322" s="33" t="str">
        <f aca="false">IF(In!Q208&lt;&gt;"",In!Q208,"")</f>
        <v/>
      </c>
    </row>
    <row r="323" customFormat="false" ht="15" hidden="false" customHeight="false" outlineLevel="0" collapsed="false">
      <c r="A323" s="5" t="s">
        <v>2346</v>
      </c>
      <c r="B323" s="0" t="s">
        <v>2629</v>
      </c>
      <c r="C323" s="0" t="s">
        <v>395</v>
      </c>
      <c r="E323" s="33" t="str">
        <f aca="false">E322</f>
        <v/>
      </c>
      <c r="F323" s="33" t="str">
        <f aca="false">F322</f>
        <v/>
      </c>
      <c r="G323" s="33" t="n">
        <f aca="false">G322</f>
        <v>26.04619</v>
      </c>
      <c r="H323" s="33" t="n">
        <f aca="false">H322</f>
        <v>27.597437</v>
      </c>
      <c r="I323" s="33" t="n">
        <f aca="false">I322</f>
        <v>29.148684</v>
      </c>
      <c r="J323" s="33" t="n">
        <f aca="false">J322</f>
        <v>29.148684</v>
      </c>
      <c r="K323" s="33" t="n">
        <f aca="false">K322</f>
        <v>37.692264</v>
      </c>
    </row>
    <row r="324" customFormat="false" ht="17.15" hidden="false" customHeight="false" outlineLevel="0" collapsed="false">
      <c r="A324" s="5" t="s">
        <v>2348</v>
      </c>
      <c r="B324" s="0" t="s">
        <v>2630</v>
      </c>
      <c r="C324" s="0" t="s">
        <v>395</v>
      </c>
      <c r="D324" s="33" t="str">
        <f aca="false">IF(In!H206&lt;&gt;"",In!H206,"")</f>
        <v/>
      </c>
      <c r="E324" s="33" t="str">
        <f aca="false">IF(In!I206&lt;&gt;"",In!I206,"")</f>
        <v/>
      </c>
      <c r="F324" s="33" t="str">
        <f aca="false">IF(In!J206&lt;&gt;"",In!J206,"")</f>
        <v/>
      </c>
      <c r="G324" s="33" t="n">
        <f aca="false">IF(In!K206&lt;&gt;"",In!K206,"")</f>
        <v>26.04619</v>
      </c>
      <c r="H324" s="33" t="n">
        <f aca="false">IF(In!L206&lt;&gt;"",In!L206,"")</f>
        <v>27.597437</v>
      </c>
      <c r="I324" s="33" t="n">
        <f aca="false">IF(In!M206&lt;&gt;"",In!M206,"")</f>
        <v>29.148684</v>
      </c>
      <c r="J324" s="33" t="n">
        <f aca="false">IF(In!N206&lt;&gt;"",In!N206,"")</f>
        <v>29.148684</v>
      </c>
      <c r="K324" s="33" t="n">
        <f aca="false">IF(In!O206&lt;&gt;"",In!O206,"")</f>
        <v>37.692264</v>
      </c>
      <c r="L324" s="33" t="str">
        <f aca="false">IF(In!P206&lt;&gt;"",In!P206,"")</f>
        <v/>
      </c>
      <c r="M324" s="33" t="str">
        <f aca="false">IF(In!Q206&lt;&gt;"",In!Q206,"")</f>
        <v/>
      </c>
    </row>
    <row r="325" customFormat="false" ht="17.15" hidden="false" customHeight="false" outlineLevel="0" collapsed="false">
      <c r="A325" s="5" t="s">
        <v>2350</v>
      </c>
      <c r="B325" s="0" t="s">
        <v>2631</v>
      </c>
      <c r="C325" s="0" t="s">
        <v>395</v>
      </c>
      <c r="E325" s="33" t="str">
        <f aca="false">E324</f>
        <v/>
      </c>
      <c r="F325" s="33" t="str">
        <f aca="false">F324</f>
        <v/>
      </c>
      <c r="G325" s="33" t="n">
        <f aca="false">G324</f>
        <v>26.04619</v>
      </c>
      <c r="H325" s="33" t="n">
        <f aca="false">H324</f>
        <v>27.597437</v>
      </c>
      <c r="I325" s="33" t="n">
        <f aca="false">I324</f>
        <v>29.148684</v>
      </c>
      <c r="J325" s="33" t="n">
        <f aca="false">J324</f>
        <v>29.148684</v>
      </c>
      <c r="K325" s="33" t="n">
        <f aca="false">K324</f>
        <v>37.692264</v>
      </c>
    </row>
    <row r="326" customFormat="false" ht="17.15" hidden="false" customHeight="false" outlineLevel="0" collapsed="false">
      <c r="A326" s="5" t="s">
        <v>2352</v>
      </c>
      <c r="B326" s="0" t="s">
        <v>2632</v>
      </c>
      <c r="C326" s="0" t="s">
        <v>395</v>
      </c>
      <c r="E326" s="33" t="str">
        <f aca="false">CapexGW!E130</f>
        <v/>
      </c>
      <c r="F326" s="33" t="n">
        <f aca="false">CapexGW!F130</f>
        <v>3.4561</v>
      </c>
      <c r="G326" s="33" t="n">
        <f aca="false">CapexGW!G130</f>
        <v>19.125</v>
      </c>
      <c r="H326" s="33" t="n">
        <f aca="false">CapexGW!H130</f>
        <v>23.15655</v>
      </c>
      <c r="I326" s="33" t="n">
        <f aca="false">CapexGW!I130</f>
        <v>32.6315</v>
      </c>
      <c r="J326" s="33" t="n">
        <f aca="false">CapexGW!J130</f>
        <v>35.89465</v>
      </c>
      <c r="K326" s="33" t="n">
        <f aca="false">CapexGW!K130</f>
        <v>39.484115</v>
      </c>
    </row>
    <row r="327" customFormat="false" ht="17.15" hidden="false" customHeight="false" outlineLevel="0" collapsed="false">
      <c r="A327" s="5" t="s">
        <v>2354</v>
      </c>
      <c r="B327" s="0" t="s">
        <v>2633</v>
      </c>
      <c r="C327" s="0" t="s">
        <v>395</v>
      </c>
      <c r="D327" s="33" t="str">
        <f aca="false">IF(In!H205&lt;&gt;"",In!H205,"")</f>
        <v/>
      </c>
      <c r="E327" s="33" t="str">
        <f aca="false">IF(In!I205&lt;&gt;"",In!I205,"")</f>
        <v/>
      </c>
      <c r="F327" s="33" t="str">
        <f aca="false">IF(In!J205&lt;&gt;"",In!J205,IF(Funding!E23&lt;&gt;"",Funding!E23,""))</f>
        <v/>
      </c>
      <c r="G327" s="33" t="n">
        <f aca="false">IF(In!K205&lt;&gt;"",In!K205,"")</f>
        <v>11.180806</v>
      </c>
      <c r="H327" s="33" t="n">
        <f aca="false">IF(In!L205&lt;&gt;"",In!L205,"")</f>
        <v>9.724413</v>
      </c>
      <c r="I327" s="33" t="n">
        <f aca="false">IF(In!M205&lt;&gt;"",In!M205,"")</f>
        <v>10.91293</v>
      </c>
      <c r="J327" s="33" t="n">
        <f aca="false">IF(In!N205&lt;&gt;"",In!N205,"")</f>
        <v>11.913019</v>
      </c>
      <c r="K327" s="33" t="n">
        <f aca="false">IF(In!O205&lt;&gt;"",In!O205,"")</f>
        <v>12.152047</v>
      </c>
      <c r="L327" s="33" t="str">
        <f aca="false">IF(In!P205&lt;&gt;"",In!P205,"")</f>
        <v/>
      </c>
      <c r="M327" s="33" t="str">
        <f aca="false">IF(In!Q205&lt;&gt;"",In!Q205,"")</f>
        <v/>
      </c>
    </row>
    <row r="328" customFormat="false" ht="15" hidden="false" customHeight="false" outlineLevel="0" collapsed="false">
      <c r="A328" s="5" t="s">
        <v>2356</v>
      </c>
      <c r="B328" s="0" t="s">
        <v>2634</v>
      </c>
      <c r="C328" s="0" t="s">
        <v>40</v>
      </c>
      <c r="D328" s="0" t="str">
        <f aca="false">IF(In!H205&lt;&gt;"","模型",IF(D327&lt;&gt;"","Funding 觀測","無模型值"))</f>
        <v>無模型值</v>
      </c>
      <c r="E328" s="0" t="str">
        <f aca="false">IF(In!I205&lt;&gt;"","模型",IF(E327&lt;&gt;"","Funding 觀測","無模型值"))</f>
        <v>無模型值</v>
      </c>
      <c r="F328" s="0" t="str">
        <f aca="false">IF(In!J205&lt;&gt;"","模型",IF(F327&lt;&gt;"","Funding 觀測","無模型值"))</f>
        <v>無模型值</v>
      </c>
      <c r="G328" s="0" t="str">
        <f aca="false">IF(In!K205&lt;&gt;"","模型",IF(G327&lt;&gt;"","Funding 觀測","無模型值"))</f>
        <v>模型</v>
      </c>
      <c r="H328" s="0" t="str">
        <f aca="false">IF(In!L205&lt;&gt;"","模型",IF(H327&lt;&gt;"","Funding 觀測","無模型值"))</f>
        <v>模型</v>
      </c>
      <c r="I328" s="0" t="str">
        <f aca="false">IF(In!M205&lt;&gt;"","模型",IF(I327&lt;&gt;"","Funding 觀測","無模型值"))</f>
        <v>模型</v>
      </c>
      <c r="J328" s="0" t="str">
        <f aca="false">IF(In!N205&lt;&gt;"","模型",IF(J327&lt;&gt;"","Funding 觀測","無模型值"))</f>
        <v>模型</v>
      </c>
      <c r="K328" s="0" t="str">
        <f aca="false">IF(In!O205&lt;&gt;"","模型",IF(K327&lt;&gt;"","Funding 觀測","無模型值"))</f>
        <v>模型</v>
      </c>
      <c r="L328" s="0" t="str">
        <f aca="false">IF(In!P205&lt;&gt;"","模型",IF(L327&lt;&gt;"","Funding 觀測","無模型值"))</f>
        <v>無模型值</v>
      </c>
      <c r="M328" s="0" t="str">
        <f aca="false">IF(In!Q205&lt;&gt;"","模型",IF(M327&lt;&gt;"","Funding 觀測","無模型值"))</f>
        <v>無模型值</v>
      </c>
    </row>
    <row r="329" customFormat="false" ht="15" hidden="false" customHeight="false" outlineLevel="0" collapsed="false">
      <c r="A329" s="5" t="s">
        <v>2358</v>
      </c>
      <c r="B329" s="0" t="s">
        <v>2635</v>
      </c>
      <c r="C329" s="0" t="s">
        <v>395</v>
      </c>
      <c r="E329" s="40" t="str">
        <f aca="false">E327</f>
        <v/>
      </c>
      <c r="F329" s="40" t="str">
        <f aca="false">F327</f>
        <v/>
      </c>
      <c r="G329" s="40" t="n">
        <f aca="false">G327</f>
        <v>11.180806</v>
      </c>
      <c r="H329" s="40" t="n">
        <f aca="false">H327</f>
        <v>9.724413</v>
      </c>
      <c r="I329" s="40" t="n">
        <f aca="false">I327</f>
        <v>10.91293</v>
      </c>
      <c r="J329" s="40" t="n">
        <f aca="false">J327</f>
        <v>11.913019</v>
      </c>
      <c r="K329" s="40" t="n">
        <f aca="false">K327</f>
        <v>12.152047</v>
      </c>
    </row>
    <row r="330" customFormat="false" ht="17.15" hidden="false" customHeight="false" outlineLevel="0" collapsed="false">
      <c r="A330" s="5" t="s">
        <v>2360</v>
      </c>
      <c r="B330" s="0" t="s">
        <v>2636</v>
      </c>
      <c r="C330" s="0" t="s">
        <v>40</v>
      </c>
      <c r="E330" s="0" t="str">
        <f aca="false">IF(AND(ABS(E314)&lt;0.000000001,E329&lt;&gt;"",ISNUMBER(E325)),IF(N(E325)&gt;0,"模型值替代（無 GW 證據）",""),"")</f>
        <v/>
      </c>
      <c r="F330" s="0" t="str">
        <f aca="false">IF(AND(ABS(F314)&lt;0.000000001,F329&lt;&gt;"",ISNUMBER(F325)),IF(N(F325)&gt;0,"模型值替代（無 GW 證據）",""),"")</f>
        <v/>
      </c>
      <c r="G330" s="0" t="str">
        <f aca="false">IF(AND(ABS(G314)&lt;0.000000001,G329&lt;&gt;"",ISNUMBER(G325)),IF(N(G325)&gt;0,"模型值替代（無 GW 證據）",""),"")</f>
        <v/>
      </c>
      <c r="H330" s="0" t="str">
        <f aca="false">IF(AND(ABS(H314)&lt;0.000000001,H329&lt;&gt;"",ISNUMBER(H325)),IF(N(H325)&gt;0,"模型值替代（無 GW 證據）",""),"")</f>
        <v/>
      </c>
      <c r="I330" s="0" t="str">
        <f aca="false">IF(AND(ABS(I314)&lt;0.000000001,I329&lt;&gt;"",ISNUMBER(I325)),IF(N(I325)&gt;0,"模型值替代（無 GW 證據）",""),"")</f>
        <v/>
      </c>
      <c r="J330" s="0" t="str">
        <f aca="false">IF(AND(ABS(J314)&lt;0.000000001,J329&lt;&gt;"",ISNUMBER(J325)),IF(N(J325)&gt;0,"模型值替代（無 GW 證據）",""),"")</f>
        <v/>
      </c>
      <c r="K330" s="0" t="str">
        <f aca="false">IF(AND(ABS(K314)&lt;0.000000001,K329&lt;&gt;"",ISNUMBER(K325)),IF(N(K325)&gt;0,"模型值替代（無 GW 證據）",""),"")</f>
        <v/>
      </c>
      <c r="N330" s="5" t="s">
        <v>2362</v>
      </c>
    </row>
    <row r="331" customFormat="false" ht="17.15" hidden="false" customHeight="false" outlineLevel="0" collapsed="false">
      <c r="A331" s="5" t="s">
        <v>2363</v>
      </c>
      <c r="B331" s="0" t="s">
        <v>1905</v>
      </c>
      <c r="C331" s="0" t="s">
        <v>395</v>
      </c>
      <c r="E331" s="40" t="n">
        <f aca="false">IF(E330&lt;&gt;"",E325,E314)</f>
        <v>4.62455</v>
      </c>
      <c r="F331" s="40" t="n">
        <f aca="false">IF(F330&lt;&gt;"",F325,F314)</f>
        <v>7.13434628694566</v>
      </c>
      <c r="G331" s="40" t="n">
        <f aca="false">IF(G330&lt;&gt;"",G325,G314)</f>
        <v>30.4137547390869</v>
      </c>
      <c r="H331" s="40" t="n">
        <f aca="false">IF(H330&lt;&gt;"",H325,H314)</f>
        <v>22.6919559009341</v>
      </c>
      <c r="I331" s="40" t="n">
        <f aca="false">IF(I330&lt;&gt;"",I325,I314)</f>
        <v>31.3908549934326</v>
      </c>
      <c r="J331" s="40" t="n">
        <f aca="false">IF(J330&lt;&gt;"",J325,J314)</f>
        <v>35.4615305385029</v>
      </c>
      <c r="K331" s="40" t="n">
        <f aca="false">IF(K330&lt;&gt;"",K325,K314)</f>
        <v>39.6504899244881</v>
      </c>
    </row>
    <row r="332" customFormat="false" ht="17.15" hidden="false" customHeight="false" outlineLevel="0" collapsed="false">
      <c r="A332" s="5" t="s">
        <v>2364</v>
      </c>
      <c r="B332" s="0" t="s">
        <v>2637</v>
      </c>
      <c r="C332" s="0" t="s">
        <v>395</v>
      </c>
      <c r="E332" s="33" t="n">
        <f aca="false">E331</f>
        <v>4.62455</v>
      </c>
      <c r="F332" s="33" t="n">
        <f aca="false">F331</f>
        <v>7.13434628694566</v>
      </c>
      <c r="G332" s="33" t="n">
        <f aca="false">G331</f>
        <v>30.4137547390869</v>
      </c>
      <c r="H332" s="33" t="n">
        <f aca="false">IF(ISNUMBER(H325),H325,H331)</f>
        <v>27.597437</v>
      </c>
      <c r="I332" s="33" t="n">
        <f aca="false">IF(ISNUMBER(I325),I325,I331)</f>
        <v>29.148684</v>
      </c>
      <c r="J332" s="33" t="n">
        <f aca="false">IF(ISNUMBER(J325),J325,J331)</f>
        <v>29.148684</v>
      </c>
      <c r="K332" s="33" t="n">
        <f aca="false">IF(ISNUMBER(K325),K325,K331)</f>
        <v>37.692264</v>
      </c>
    </row>
    <row r="333" customFormat="false" ht="15" hidden="false" customHeight="false" outlineLevel="0" collapsed="false">
      <c r="A333" s="5" t="s">
        <v>2366</v>
      </c>
      <c r="B333" s="0" t="s">
        <v>2638</v>
      </c>
      <c r="C333" s="0" t="s">
        <v>395</v>
      </c>
      <c r="D333" s="33" t="str">
        <f aca="false">IF(In!H209&lt;&gt;"",In!H209,"")</f>
        <v/>
      </c>
      <c r="E333" s="33" t="str">
        <f aca="false">IF(In!I209&lt;&gt;"",In!I209,"")</f>
        <v/>
      </c>
      <c r="F333" s="33" t="str">
        <f aca="false">IF(In!J209&lt;&gt;"",In!J209,IF(Funding!T23&lt;&gt;"",Funding!T23,""))</f>
        <v/>
      </c>
      <c r="G333" s="33" t="str">
        <f aca="false">IF(In!K209&lt;&gt;"",In!K209,"")</f>
        <v/>
      </c>
      <c r="H333" s="33" t="str">
        <f aca="false">IF(In!L209&lt;&gt;"",In!L209,"")</f>
        <v/>
      </c>
      <c r="I333" s="33" t="str">
        <f aca="false">IF(In!M209&lt;&gt;"",In!M209,"")</f>
        <v/>
      </c>
      <c r="J333" s="33" t="str">
        <f aca="false">IF(In!N209&lt;&gt;"",In!N209,"")</f>
        <v/>
      </c>
      <c r="K333" s="33" t="str">
        <f aca="false">IF(In!O209&lt;&gt;"",In!O209,"")</f>
        <v/>
      </c>
      <c r="L333" s="33" t="str">
        <f aca="false">IF(In!P209&lt;&gt;"",In!P209,"")</f>
        <v/>
      </c>
      <c r="M333" s="33" t="str">
        <f aca="false">IF(In!Q209&lt;&gt;"",In!Q209,"")</f>
        <v/>
      </c>
    </row>
    <row r="334" customFormat="false" ht="15" hidden="false" customHeight="false" outlineLevel="0" collapsed="false">
      <c r="A334" s="5" t="s">
        <v>2368</v>
      </c>
      <c r="B334" s="0" t="s">
        <v>2639</v>
      </c>
      <c r="C334" s="0" t="s">
        <v>395</v>
      </c>
      <c r="E334" s="33" t="str">
        <f aca="false">E333</f>
        <v/>
      </c>
      <c r="F334" s="33" t="str">
        <f aca="false">F333</f>
        <v/>
      </c>
      <c r="G334" s="33" t="str">
        <f aca="false">G333</f>
        <v/>
      </c>
      <c r="H334" s="33" t="str">
        <f aca="false">H333</f>
        <v/>
      </c>
      <c r="I334" s="33" t="str">
        <f aca="false">I333</f>
        <v/>
      </c>
      <c r="J334" s="33" t="str">
        <f aca="false">J333</f>
        <v/>
      </c>
      <c r="K334" s="33" t="str">
        <f aca="false">K333</f>
        <v/>
      </c>
    </row>
    <row r="335" customFormat="false" ht="17.15" hidden="false" customHeight="false" outlineLevel="0" collapsed="false">
      <c r="A335" s="5" t="s">
        <v>2370</v>
      </c>
      <c r="B335" s="0" t="s">
        <v>2640</v>
      </c>
      <c r="C335" s="0" t="s">
        <v>395</v>
      </c>
      <c r="E335" s="33" t="n">
        <f aca="false">E331+E321</f>
        <v>4.62455</v>
      </c>
      <c r="F335" s="33" t="n">
        <f aca="false">F331+F321</f>
        <v>7.74424628694566</v>
      </c>
      <c r="G335" s="33" t="n">
        <f aca="false">G331+G321</f>
        <v>33.7887547390869</v>
      </c>
      <c r="H335" s="33" t="n">
        <f aca="false">H331+H321</f>
        <v>26.7784059009341</v>
      </c>
      <c r="I335" s="33" t="n">
        <f aca="false">I331+I321</f>
        <v>37.1493549934326</v>
      </c>
      <c r="J335" s="33" t="n">
        <f aca="false">J331+J321</f>
        <v>41.7958805385029</v>
      </c>
      <c r="K335" s="33" t="n">
        <f aca="false">K331+K321</f>
        <v>46.6182749244881</v>
      </c>
    </row>
    <row r="336" customFormat="false" ht="17.15" hidden="false" customHeight="false" outlineLevel="0" collapsed="false">
      <c r="A336" s="5" t="s">
        <v>2372</v>
      </c>
      <c r="B336" s="0" t="s">
        <v>2641</v>
      </c>
      <c r="C336" s="0" t="s">
        <v>41</v>
      </c>
      <c r="E336" s="30" t="str">
        <f aca="false">IF(OR(E329="",E335&lt;=0),"",E329/E335)</f>
        <v/>
      </c>
      <c r="F336" s="30" t="str">
        <f aca="false">IF(OR(F329="",F335&lt;=0),"",F329/F335)</f>
        <v/>
      </c>
      <c r="G336" s="30" t="n">
        <f aca="false">IF(OR(G329="",G335&lt;=0),"",G329/G335)</f>
        <v>0.330903168416149</v>
      </c>
      <c r="H336" s="30" t="n">
        <f aca="false">IF(OR(H329="",H335&lt;=0),"",H329/H335)</f>
        <v>0.363143834475255</v>
      </c>
      <c r="I336" s="30" t="n">
        <f aca="false">IF(OR(I329="",I335&lt;=0),"",I329/I335)</f>
        <v>0.293758263149636</v>
      </c>
      <c r="J336" s="30" t="n">
        <f aca="false">IF(OR(J329="",J335&lt;=0),"",J329/J335)</f>
        <v>0.285028544596054</v>
      </c>
      <c r="K336" s="30" t="n">
        <f aca="false">IF(OR(K329="",K335&lt;=0),"",K329/K335)</f>
        <v>0.260671314408004</v>
      </c>
    </row>
    <row r="337" customFormat="false" ht="17.15" hidden="false" customHeight="false" outlineLevel="0" collapsed="false">
      <c r="A337" s="5" t="s">
        <v>2374</v>
      </c>
      <c r="B337" s="0" t="s">
        <v>2642</v>
      </c>
      <c r="C337" s="0" t="s">
        <v>395</v>
      </c>
      <c r="E337" s="40" t="str">
        <f aca="false">IF(E329="","",E335-E329)</f>
        <v/>
      </c>
      <c r="F337" s="40" t="str">
        <f aca="false">IF(F329="","",F335-F329)</f>
        <v/>
      </c>
      <c r="G337" s="40" t="n">
        <f aca="false">IF(G329="","",G335-G329)</f>
        <v>22.6079487390869</v>
      </c>
      <c r="H337" s="40" t="n">
        <f aca="false">IF(H329="","",H335-H329)</f>
        <v>17.0539929009341</v>
      </c>
      <c r="I337" s="40" t="n">
        <f aca="false">IF(I329="","",I335-I329)</f>
        <v>26.2364249934326</v>
      </c>
      <c r="J337" s="40" t="n">
        <f aca="false">IF(J329="","",J335-J329)</f>
        <v>29.8828615385029</v>
      </c>
      <c r="K337" s="40" t="n">
        <f aca="false">IF(K329="","",K335-K329)</f>
        <v>34.4662279244881</v>
      </c>
    </row>
    <row r="338" customFormat="false" ht="17.15" hidden="false" customHeight="false" outlineLevel="0" collapsed="false">
      <c r="A338" s="5" t="s">
        <v>2433</v>
      </c>
      <c r="B338" s="0" t="s">
        <v>2643</v>
      </c>
      <c r="C338" s="0" t="s">
        <v>395</v>
      </c>
      <c r="E338" s="40" t="n">
        <f aca="false">0</f>
        <v>0</v>
      </c>
      <c r="F338" s="40" t="n">
        <f aca="false">N(Funding!AL23)</f>
        <v>0</v>
      </c>
    </row>
    <row r="339" customFormat="false" ht="17.15" hidden="false" customHeight="false" outlineLevel="0" collapsed="false">
      <c r="A339" s="5" t="s">
        <v>2435</v>
      </c>
      <c r="B339" s="0" t="s">
        <v>2644</v>
      </c>
      <c r="C339" s="0" t="s">
        <v>395</v>
      </c>
      <c r="E339" s="33" t="n">
        <f aca="false">0</f>
        <v>0</v>
      </c>
      <c r="F339" s="33" t="n">
        <f aca="false">(N(Funding!J23)+N(Funding!K23)+N(Funding!L23)+N(Funding!M23))</f>
        <v>0</v>
      </c>
    </row>
    <row r="340" customFormat="false" ht="15" hidden="false" customHeight="false" outlineLevel="0" collapsed="false">
      <c r="A340" s="5" t="s">
        <v>2437</v>
      </c>
      <c r="B340" s="0" t="s">
        <v>2645</v>
      </c>
      <c r="C340" s="0" t="s">
        <v>395</v>
      </c>
      <c r="E340" s="33" t="n">
        <f aca="false">0</f>
        <v>0</v>
      </c>
      <c r="F340" s="33" t="n">
        <f aca="false">N(Funding!R23)</f>
        <v>0</v>
      </c>
    </row>
    <row r="341" customFormat="false" ht="15" hidden="false" customHeight="false" outlineLevel="0" collapsed="false">
      <c r="A341" s="5" t="s">
        <v>2439</v>
      </c>
      <c r="B341" s="0" t="s">
        <v>2646</v>
      </c>
      <c r="C341" s="0" t="s">
        <v>395</v>
      </c>
      <c r="E341" s="33" t="n">
        <f aca="false">0</f>
        <v>0</v>
      </c>
      <c r="F341" s="33" t="n">
        <f aca="false">(N(Funding!AL23)-(N(Funding!J23)+N(Funding!K23)+N(Funding!L23)+N(Funding!M23))-N(Funding!R23))</f>
        <v>0</v>
      </c>
    </row>
    <row r="342" customFormat="false" ht="17.15" hidden="false" customHeight="false" outlineLevel="0" collapsed="false">
      <c r="A342" s="5" t="s">
        <v>2384</v>
      </c>
      <c r="B342" s="0" t="s">
        <v>2647</v>
      </c>
      <c r="C342" s="0" t="s">
        <v>395</v>
      </c>
      <c r="E342" s="33" t="str">
        <f aca="false">IF(E337="","",E337-E338)</f>
        <v/>
      </c>
      <c r="F342" s="33" t="str">
        <f aca="false">IF(F337="","",F337-F338)</f>
        <v/>
      </c>
    </row>
    <row r="343" customFormat="false" ht="17.15" hidden="false" customHeight="false" outlineLevel="0" collapsed="false">
      <c r="A343" s="5" t="s">
        <v>2386</v>
      </c>
      <c r="B343" s="0" t="s">
        <v>2648</v>
      </c>
      <c r="C343" s="0" t="s">
        <v>395</v>
      </c>
      <c r="G343" s="33" t="n">
        <f aca="false">IF(Funding!O24&lt;&gt;"",Funding!O24,N(Funding!O23))</f>
        <v>12.054</v>
      </c>
      <c r="N343" s="5" t="s">
        <v>2388</v>
      </c>
    </row>
    <row r="344" customFormat="false" ht="17.15" hidden="false" customHeight="false" outlineLevel="0" collapsed="false">
      <c r="A344" s="5" t="s">
        <v>2389</v>
      </c>
      <c r="B344" s="0" t="s">
        <v>2649</v>
      </c>
      <c r="C344" s="0" t="s">
        <v>395</v>
      </c>
      <c r="G344" s="33" t="n">
        <f aca="false">IF(Funding!Q24&lt;&gt;"",Funding!Q24,N(Funding!Q23))</f>
        <v>0</v>
      </c>
      <c r="N344" s="5" t="s">
        <v>2391</v>
      </c>
    </row>
    <row r="345" customFormat="false" ht="17.15" hidden="false" customHeight="false" outlineLevel="0" collapsed="false">
      <c r="A345" s="5" t="s">
        <v>2392</v>
      </c>
      <c r="B345" s="0" t="s">
        <v>2650</v>
      </c>
      <c r="C345" s="0" t="s">
        <v>395</v>
      </c>
      <c r="G345" s="33" t="n">
        <f aca="false">N(Funding!AL24)</f>
        <v>9.149</v>
      </c>
    </row>
    <row r="346" customFormat="false" ht="17.15" hidden="false" customHeight="false" outlineLevel="0" collapsed="false">
      <c r="A346" s="5" t="s">
        <v>2394</v>
      </c>
      <c r="B346" s="0" t="s">
        <v>2651</v>
      </c>
      <c r="C346" s="0" t="s">
        <v>395</v>
      </c>
      <c r="G346" s="33" t="str">
        <f aca="false">IF(COUNTIFS(FundRaw!$C$4:$C$281,"nbis",FundRaw!$F$4:$F$281,"cash_level",FundRaw!$D$4:$D$281,"2025-12-31",FundRaw!$O$4:$O$281,1)=0,"未取得",SUMIFS(FundRaw!$G$4:$G$281,FundRaw!$C$4:$C$281,"nbis",FundRaw!$F$4:$F$281,"cash_level",FundRaw!$D$4:$D$281,"2025-12-31",FundRaw!$O$4:$O$281,1))</f>
        <v>未取得</v>
      </c>
      <c r="N346" s="5" t="s">
        <v>2396</v>
      </c>
    </row>
    <row r="347" customFormat="false" ht="17.15" hidden="false" customHeight="false" outlineLevel="0" collapsed="false">
      <c r="A347" s="5" t="s">
        <v>2397</v>
      </c>
      <c r="B347" s="0" t="s">
        <v>2652</v>
      </c>
      <c r="C347" s="0" t="s">
        <v>395</v>
      </c>
      <c r="G347" s="33" t="n">
        <f aca="false">IF(ISNUMBER(G346),G346,N(gcash_nbis))</f>
        <v>3.6781</v>
      </c>
      <c r="N347" s="5" t="s">
        <v>2653</v>
      </c>
    </row>
    <row r="348" customFormat="false" ht="17.15" hidden="false" customHeight="false" outlineLevel="0" collapsed="false">
      <c r="A348" s="5" t="s">
        <v>2400</v>
      </c>
      <c r="B348" s="0" t="s">
        <v>2654</v>
      </c>
      <c r="C348" s="0" t="s">
        <v>40</v>
      </c>
      <c r="G348" s="0" t="str">
        <f aca="false">IF(ISNUMBER(G346),"Funding 觀測","個股模型（In Y9）")</f>
        <v>個股模型（In Y9）</v>
      </c>
    </row>
    <row r="349" customFormat="false" ht="17.15" hidden="false" customHeight="false" outlineLevel="0" collapsed="false">
      <c r="A349" s="5" t="s">
        <v>2402</v>
      </c>
      <c r="B349" s="0" t="s">
        <v>2655</v>
      </c>
      <c r="C349" s="0" t="s">
        <v>395</v>
      </c>
      <c r="E349" s="33" t="str">
        <f aca="false">IF(E329="","",E329-E335)</f>
        <v/>
      </c>
      <c r="F349" s="33" t="str">
        <f aca="false">IF(F329="","",F329-F335)</f>
        <v/>
      </c>
      <c r="G349" s="33" t="n">
        <f aca="false">IF(G329="","",G329-G335)</f>
        <v>-22.6079487390869</v>
      </c>
      <c r="H349" s="33" t="n">
        <f aca="false">IF(H329="","",H329-H335)</f>
        <v>-17.0539929009341</v>
      </c>
      <c r="I349" s="33" t="n">
        <f aca="false">IF(I329="","",I329-I335)</f>
        <v>-26.2364249934326</v>
      </c>
      <c r="J349" s="33" t="n">
        <f aca="false">IF(J329="","",J329-J335)</f>
        <v>-29.8828615385029</v>
      </c>
      <c r="K349" s="33" t="n">
        <f aca="false">IF(K329="","",K329-K335)</f>
        <v>-34.4662279244881</v>
      </c>
    </row>
    <row r="350" customFormat="false" ht="15" hidden="false" customHeight="false" outlineLevel="0" collapsed="false">
      <c r="A350" s="5" t="s">
        <v>2404</v>
      </c>
      <c r="B350" s="0" t="s">
        <v>2656</v>
      </c>
      <c r="C350" s="0" t="s">
        <v>57</v>
      </c>
      <c r="E350" s="23" t="str">
        <f aca="false">IF(OR(E337="",E335&lt;=0),"",E337/E335)</f>
        <v/>
      </c>
      <c r="F350" s="23" t="str">
        <f aca="false">IF(OR(F337="",F335&lt;=0),"",F337/F335)</f>
        <v/>
      </c>
      <c r="G350" s="23" t="n">
        <f aca="false">IF(OR(G337="",G335&lt;=0),"",G337/G335)</f>
        <v>0.669096831583852</v>
      </c>
      <c r="H350" s="23" t="n">
        <f aca="false">IF(OR(H337="",H335&lt;=0),"",H337/H335)</f>
        <v>0.636856165524745</v>
      </c>
      <c r="I350" s="23" t="n">
        <f aca="false">IF(OR(I337="",I335&lt;=0),"",I337/I335)</f>
        <v>0.706241736850365</v>
      </c>
      <c r="J350" s="23" t="n">
        <f aca="false">IF(OR(J337="",J335&lt;=0),"",J337/J335)</f>
        <v>0.714971455403946</v>
      </c>
      <c r="K350" s="23" t="n">
        <f aca="false">IF(OR(K337="",K335&lt;=0),"",K337/K335)</f>
        <v>0.739328685591996</v>
      </c>
    </row>
    <row r="352" customFormat="false" ht="17.15" hidden="false" customHeight="false" outlineLevel="0" collapsed="false">
      <c r="A352" s="8" t="s">
        <v>2657</v>
      </c>
      <c r="B352" s="21" t="s">
        <v>1506</v>
      </c>
      <c r="N352" s="5" t="s">
        <v>2658</v>
      </c>
    </row>
    <row r="353" customFormat="false" ht="17.15" hidden="false" customHeight="false" outlineLevel="0" collapsed="false">
      <c r="A353" s="5" t="s">
        <v>2659</v>
      </c>
      <c r="B353" s="0" t="s">
        <v>1522</v>
      </c>
      <c r="C353" s="0" t="s">
        <v>82</v>
      </c>
      <c r="D353" s="25" t="n">
        <f aca="false">Players!D169</f>
        <v>0</v>
      </c>
      <c r="E353" s="25" t="n">
        <f aca="false">Players!E169</f>
        <v>0</v>
      </c>
      <c r="F353" s="25" t="n">
        <f aca="false">Players!F169</f>
        <v>0</v>
      </c>
      <c r="G353" s="25" t="n">
        <f aca="false">Players!G169</f>
        <v>0.009074</v>
      </c>
      <c r="H353" s="25" t="n">
        <f aca="false">Players!H169</f>
        <v>0.001974</v>
      </c>
      <c r="I353" s="25" t="n">
        <f aca="false">Players!I169</f>
        <v>0</v>
      </c>
      <c r="J353" s="25" t="n">
        <f aca="false">Players!J169</f>
        <v>0</v>
      </c>
      <c r="K353" s="25" t="n">
        <f aca="false">Players!K169</f>
        <v>0</v>
      </c>
      <c r="L353" s="25" t="n">
        <f aca="false">Players!L169</f>
        <v>0</v>
      </c>
      <c r="M353" s="25" t="n">
        <f aca="false">Players!M169</f>
        <v>0</v>
      </c>
    </row>
    <row r="354" customFormat="false" ht="17.15" hidden="false" customHeight="false" outlineLevel="0" collapsed="false">
      <c r="A354" s="5" t="s">
        <v>2660</v>
      </c>
      <c r="B354" s="0" t="s">
        <v>2661</v>
      </c>
      <c r="C354" s="0" t="s">
        <v>230</v>
      </c>
      <c r="D354" s="30" t="n">
        <f aca="false">(1-Players!D171)*CapexGW!D7+Players!D171*TK_NonNV_Hold_AMD*TK_CapexIT_VR200</f>
        <v>27.510214</v>
      </c>
      <c r="E354" s="30" t="n">
        <f aca="false">(1-Players!E171)*CapexGW!E7+Players!E171*TK_NonNV_Hold_AMD*TK_CapexIT_VR200</f>
        <v>27.510214</v>
      </c>
      <c r="F354" s="30" t="n">
        <f aca="false">(1-Players!F171)*CapexGW!F7+Players!F171*TK_NonNV_Hold_AMD*TK_CapexIT_VR200</f>
        <v>26.009088</v>
      </c>
      <c r="G354" s="30" t="n">
        <f aca="false">(1-Players!G171)*CapexGW!G7+Players!G171*TK_NonNV_Hold_AMD*TK_CapexIT_VR200</f>
        <v>33.41403216</v>
      </c>
      <c r="H354" s="30" t="n">
        <f aca="false">(1-Players!H171)*CapexGW!H7+Players!H171*TK_NonNV_Hold_AMD*TK_CapexIT_VR200</f>
        <v>38.3403893327246</v>
      </c>
      <c r="I354" s="30" t="n">
        <f aca="false">(1-Players!I171)*CapexGW!I7+Players!I171*TK_NonNV_Hold_AMD*TK_CapexIT_VR200</f>
        <v>41.3326208898258</v>
      </c>
      <c r="J354" s="30" t="n">
        <f aca="false">(1-Players!J171)*CapexGW!J7+Players!J171*TK_NonNV_Hold_AMD*TK_CapexIT_VR200</f>
        <v>41.3326208898258</v>
      </c>
      <c r="K354" s="30" t="n">
        <f aca="false">(1-Players!K171)*CapexGW!K7+Players!K171*TK_NonNV_Hold_AMD*TK_CapexIT_VR200</f>
        <v>41.3326208898258</v>
      </c>
      <c r="L354" s="30" t="n">
        <f aca="false">(1-Players!L171)*CapexGW!L7+Players!L171*TK_NonNV_Hold_AMD*TK_CapexIT_VR200</f>
        <v>41.3326208898258</v>
      </c>
      <c r="M354" s="30" t="n">
        <f aca="false">(1-Players!M171)*CapexGW!M7+Players!M171*TK_NonNV_Hold_AMD*TK_CapexIT_VR200</f>
        <v>41.3326208898258</v>
      </c>
    </row>
    <row r="355" customFormat="false" ht="17.15" hidden="false" customHeight="false" outlineLevel="0" collapsed="false">
      <c r="A355" s="5" t="s">
        <v>2662</v>
      </c>
      <c r="B355" s="0" t="s">
        <v>2663</v>
      </c>
      <c r="C355" s="0" t="s">
        <v>230</v>
      </c>
      <c r="D355" s="30" t="n">
        <f aca="false">(1-Players!D171)*CapexGW!D8+Players!D171*TK_NonNV_Hold_AMD*TK_CapexFacility_VR200</f>
        <v>12.67</v>
      </c>
      <c r="E355" s="30" t="n">
        <f aca="false">(1-Players!E171)*CapexGW!E8+Players!E171*TK_NonNV_Hold_AMD*TK_CapexFacility_VR200</f>
        <v>12.67</v>
      </c>
      <c r="F355" s="30" t="n">
        <f aca="false">(1-Players!F171)*CapexGW!F8+Players!F171*TK_NonNV_Hold_AMD*TK_CapexFacility_VR200</f>
        <v>12.67</v>
      </c>
      <c r="G355" s="30" t="n">
        <f aca="false">(1-Players!G171)*CapexGW!G8+Players!G171*TK_NonNV_Hold_AMD*TK_CapexFacility_VR200</f>
        <v>12.67</v>
      </c>
      <c r="H355" s="30" t="n">
        <f aca="false">(1-Players!H171)*CapexGW!H8+Players!H171*TK_NonNV_Hold_AMD*TK_CapexFacility_VR200</f>
        <v>12.67</v>
      </c>
      <c r="I355" s="30" t="n">
        <f aca="false">(1-Players!I171)*CapexGW!I8+Players!I171*TK_NonNV_Hold_AMD*TK_CapexFacility_VR200</f>
        <v>12.67</v>
      </c>
      <c r="J355" s="30" t="n">
        <f aca="false">(1-Players!J171)*CapexGW!J8+Players!J171*TK_NonNV_Hold_AMD*TK_CapexFacility_VR200</f>
        <v>12.67</v>
      </c>
      <c r="K355" s="30" t="n">
        <f aca="false">(1-Players!K171)*CapexGW!K8+Players!K171*TK_NonNV_Hold_AMD*TK_CapexFacility_VR200</f>
        <v>12.67</v>
      </c>
      <c r="L355" s="30" t="n">
        <f aca="false">(1-Players!L171)*CapexGW!L8+Players!L171*TK_NonNV_Hold_AMD*TK_CapexFacility_VR200</f>
        <v>12.67</v>
      </c>
      <c r="M355" s="30" t="n">
        <f aca="false">(1-Players!M171)*CapexGW!M8+Players!M171*TK_NonNV_Hold_AMD*TK_CapexFacility_VR200</f>
        <v>12.67</v>
      </c>
    </row>
    <row r="356" customFormat="false" ht="17.15" hidden="false" customHeight="false" outlineLevel="0" collapsed="false">
      <c r="A356" s="5" t="s">
        <v>2321</v>
      </c>
      <c r="B356" s="0" t="s">
        <v>2664</v>
      </c>
      <c r="C356" s="0" t="s">
        <v>395</v>
      </c>
      <c r="E356" s="33" t="n">
        <f aca="false">E353*(E354+Gap!$D$6*E355)</f>
        <v>0</v>
      </c>
      <c r="F356" s="33" t="n">
        <f aca="false">F353*(F354+Gap!$D$6*F355)</f>
        <v>0</v>
      </c>
      <c r="G356" s="33" t="n">
        <f aca="false">G353*(G354+Gap!$D$6*G355)</f>
        <v>0.30319892781984</v>
      </c>
      <c r="H356" s="33" t="n">
        <f aca="false">H353*(H354+Gap!$D$6*H355)</f>
        <v>0.0756839285427982</v>
      </c>
      <c r="I356" s="33" t="n">
        <f aca="false">I353*(I354+Gap!$D$6*I355)</f>
        <v>0</v>
      </c>
      <c r="J356" s="33" t="n">
        <f aca="false">J353*(J354+Gap!$D$6*J355)</f>
        <v>0</v>
      </c>
      <c r="K356" s="33" t="n">
        <f aca="false">K353*(K354+Gap!$D$6*K355)</f>
        <v>0</v>
      </c>
    </row>
    <row r="357" customFormat="false" ht="17.15" hidden="false" customHeight="false" outlineLevel="0" collapsed="false">
      <c r="A357" s="5" t="s">
        <v>2323</v>
      </c>
      <c r="B357" s="0" t="s">
        <v>2665</v>
      </c>
      <c r="C357" s="0" t="s">
        <v>395</v>
      </c>
      <c r="E357" s="33" t="n">
        <f aca="false">Gap!$E$6*F353*F355</f>
        <v>0</v>
      </c>
      <c r="F357" s="33" t="n">
        <f aca="false">Gap!$E$6*G353*G355</f>
        <v>0.05748379</v>
      </c>
      <c r="G357" s="33" t="n">
        <f aca="false">Gap!$E$6*H353*H355</f>
        <v>0.01250529</v>
      </c>
      <c r="H357" s="33" t="n">
        <f aca="false">Gap!$E$6*I353*I355</f>
        <v>0</v>
      </c>
      <c r="I357" s="33" t="n">
        <f aca="false">Gap!$E$6*J353*J355</f>
        <v>0</v>
      </c>
      <c r="J357" s="33" t="n">
        <f aca="false">Gap!$E$6*K353*K355</f>
        <v>0</v>
      </c>
      <c r="K357" s="33" t="n">
        <f aca="false">Gap!$E$6*L353*L355</f>
        <v>0</v>
      </c>
    </row>
    <row r="358" customFormat="false" ht="17.15" hidden="false" customHeight="false" outlineLevel="0" collapsed="false">
      <c r="A358" s="5" t="s">
        <v>2325</v>
      </c>
      <c r="B358" s="0" t="s">
        <v>2666</v>
      </c>
      <c r="C358" s="0" t="s">
        <v>395</v>
      </c>
      <c r="E358" s="33" t="n">
        <f aca="false">Gap!$F$6*G353*G355</f>
        <v>0.05748379</v>
      </c>
      <c r="F358" s="33" t="n">
        <f aca="false">Gap!$F$6*H353*H355</f>
        <v>0.01250529</v>
      </c>
      <c r="G358" s="33" t="n">
        <f aca="false">Gap!$F$6*I353*I355</f>
        <v>0</v>
      </c>
      <c r="H358" s="33" t="n">
        <f aca="false">Gap!$F$6*J353*J355</f>
        <v>0</v>
      </c>
      <c r="I358" s="33" t="n">
        <f aca="false">Gap!$F$6*K353*K355</f>
        <v>0</v>
      </c>
      <c r="J358" s="33" t="n">
        <f aca="false">Gap!$F$6*L353*L355</f>
        <v>0</v>
      </c>
      <c r="K358" s="33" t="n">
        <f aca="false">Gap!$F$6*M353*M355</f>
        <v>0</v>
      </c>
    </row>
    <row r="359" customFormat="false" ht="17.15" hidden="false" customHeight="false" outlineLevel="0" collapsed="false">
      <c r="A359" s="5" t="s">
        <v>2327</v>
      </c>
      <c r="B359" s="0" t="s">
        <v>2667</v>
      </c>
      <c r="C359" s="0" t="s">
        <v>395</v>
      </c>
      <c r="E359" s="33" t="n">
        <f aca="false">E356+E357+E358</f>
        <v>0.05748379</v>
      </c>
      <c r="F359" s="33" t="n">
        <f aca="false">F356+F357+F358</f>
        <v>0.06998908</v>
      </c>
      <c r="G359" s="33" t="n">
        <f aca="false">G356+G357+G358</f>
        <v>0.31570421781984</v>
      </c>
      <c r="H359" s="33" t="n">
        <f aca="false">H356+H357+H358</f>
        <v>0.0756839285427982</v>
      </c>
      <c r="I359" s="33" t="n">
        <f aca="false">I356+I357+I358</f>
        <v>0</v>
      </c>
      <c r="J359" s="33" t="n">
        <f aca="false">J356+J357+J358</f>
        <v>0</v>
      </c>
      <c r="K359" s="33" t="n">
        <f aca="false">K356+K357+K358</f>
        <v>0</v>
      </c>
    </row>
    <row r="360" customFormat="false" ht="17.15" hidden="false" customHeight="false" outlineLevel="0" collapsed="false">
      <c r="A360" s="5" t="s">
        <v>2329</v>
      </c>
      <c r="B360" s="0" t="s">
        <v>2668</v>
      </c>
      <c r="C360" s="0" t="s">
        <v>395</v>
      </c>
      <c r="E360" s="33" t="n">
        <f aca="false">E353*(Gap!E$8+Gap!$D$6*Gap!E$9)</f>
        <v>0</v>
      </c>
      <c r="F360" s="33" t="n">
        <f aca="false">F353*(Gap!F$8+Gap!$D$6*Gap!F$9)</f>
        <v>0</v>
      </c>
      <c r="G360" s="33" t="n">
        <f aca="false">G353*(Gap!G$8+Gap!$D$6*Gap!G$9)</f>
        <v>0.285407090812189</v>
      </c>
      <c r="H360" s="33" t="n">
        <f aca="false">H353*(Gap!H$8+Gap!$D$6*Gap!H$9)</f>
        <v>0.0685906617644369</v>
      </c>
      <c r="I360" s="33" t="n">
        <f aca="false">I353*(Gap!I$8+Gap!$D$6*Gap!I$9)</f>
        <v>0</v>
      </c>
      <c r="J360" s="33" t="n">
        <f aca="false">J353*(Gap!J$8+Gap!$D$6*Gap!J$9)</f>
        <v>0</v>
      </c>
      <c r="K360" s="33" t="n">
        <f aca="false">K353*(Gap!K$8+Gap!$D$6*Gap!K$9)</f>
        <v>0</v>
      </c>
    </row>
    <row r="361" customFormat="false" ht="17.15" hidden="false" customHeight="false" outlineLevel="0" collapsed="false">
      <c r="A361" s="5" t="s">
        <v>2331</v>
      </c>
      <c r="B361" s="0" t="s">
        <v>2669</v>
      </c>
      <c r="C361" s="0" t="s">
        <v>395</v>
      </c>
      <c r="E361" s="33" t="n">
        <f aca="false">Gap!$E$6*F353*Gap!F$9</f>
        <v>0</v>
      </c>
      <c r="F361" s="33" t="n">
        <f aca="false">Gap!$E$6*G353*Gap!G$9</f>
        <v>0.0529650282325026</v>
      </c>
      <c r="G361" s="33" t="n">
        <f aca="false">Gap!$E$6*H353*Gap!H$9</f>
        <v>0.0113782680644903</v>
      </c>
      <c r="H361" s="33" t="n">
        <f aca="false">Gap!$E$6*I353*Gap!I$9</f>
        <v>0</v>
      </c>
      <c r="I361" s="33" t="n">
        <f aca="false">Gap!$E$6*J353*Gap!J$9</f>
        <v>0</v>
      </c>
      <c r="J361" s="33" t="n">
        <f aca="false">Gap!$E$6*K353*Gap!K$9</f>
        <v>0</v>
      </c>
      <c r="K361" s="33" t="n">
        <f aca="false">Gap!$E$6*L353*Gap!L$9</f>
        <v>0</v>
      </c>
    </row>
    <row r="362" customFormat="false" ht="17.15" hidden="false" customHeight="false" outlineLevel="0" collapsed="false">
      <c r="A362" s="5" t="s">
        <v>2333</v>
      </c>
      <c r="B362" s="0" t="s">
        <v>2670</v>
      </c>
      <c r="C362" s="0" t="s">
        <v>395</v>
      </c>
      <c r="E362" s="33" t="n">
        <f aca="false">Gap!$F$6*G353*Gap!G$9</f>
        <v>0.0529650282325026</v>
      </c>
      <c r="F362" s="33" t="n">
        <f aca="false">Gap!$F$6*H353*Gap!H$9</f>
        <v>0.0113782680644903</v>
      </c>
      <c r="G362" s="33" t="n">
        <f aca="false">Gap!$F$6*I353*Gap!I$9</f>
        <v>0</v>
      </c>
      <c r="H362" s="33" t="n">
        <f aca="false">Gap!$F$6*J353*Gap!J$9</f>
        <v>0</v>
      </c>
      <c r="I362" s="33" t="n">
        <f aca="false">Gap!$F$6*K353*Gap!K$9</f>
        <v>0</v>
      </c>
      <c r="J362" s="33" t="n">
        <f aca="false">Gap!$F$6*L353*Gap!L$9</f>
        <v>0</v>
      </c>
      <c r="K362" s="33" t="n">
        <f aca="false">Gap!$F$6*M353*Gap!M$9</f>
        <v>0</v>
      </c>
    </row>
    <row r="363" customFormat="false" ht="17.15" hidden="false" customHeight="false" outlineLevel="0" collapsed="false">
      <c r="A363" s="5" t="s">
        <v>2335</v>
      </c>
      <c r="B363" s="0" t="s">
        <v>2671</v>
      </c>
      <c r="C363" s="0" t="s">
        <v>395</v>
      </c>
      <c r="D363" s="33" t="str">
        <f aca="false">IF(In!H213&lt;&gt;"",In!H213,"")</f>
        <v/>
      </c>
      <c r="E363" s="33" t="str">
        <f aca="false">IF(In!I213&lt;&gt;"",In!I213,"")</f>
        <v/>
      </c>
      <c r="F363" s="33" t="str">
        <f aca="false">IF(In!J213&lt;&gt;"",In!J213,"")</f>
        <v/>
      </c>
      <c r="G363" s="33" t="str">
        <f aca="false">IF(In!K213&lt;&gt;"",In!K213,"")</f>
        <v/>
      </c>
      <c r="H363" s="33" t="str">
        <f aca="false">IF(In!L213&lt;&gt;"",In!L213,"")</f>
        <v/>
      </c>
      <c r="I363" s="33" t="str">
        <f aca="false">IF(In!M213&lt;&gt;"",In!M213,"")</f>
        <v/>
      </c>
      <c r="J363" s="33" t="str">
        <f aca="false">IF(In!N213&lt;&gt;"",In!N213,"")</f>
        <v/>
      </c>
      <c r="K363" s="33" t="str">
        <f aca="false">IF(In!O213&lt;&gt;"",In!O213,"")</f>
        <v/>
      </c>
      <c r="L363" s="33" t="str">
        <f aca="false">IF(In!P213&lt;&gt;"",In!P213,"")</f>
        <v/>
      </c>
      <c r="M363" s="33" t="str">
        <f aca="false">IF(In!Q213&lt;&gt;"",In!Q213,"")</f>
        <v/>
      </c>
    </row>
    <row r="364" customFormat="false" ht="17.15" hidden="false" customHeight="false" outlineLevel="0" collapsed="false">
      <c r="A364" s="5" t="s">
        <v>2337</v>
      </c>
      <c r="B364" s="0" t="s">
        <v>2672</v>
      </c>
      <c r="C364" s="0" t="s">
        <v>395</v>
      </c>
      <c r="E364" s="33" t="str">
        <f aca="false">E363</f>
        <v/>
      </c>
      <c r="F364" s="33" t="str">
        <f aca="false">F363</f>
        <v/>
      </c>
      <c r="G364" s="33" t="str">
        <f aca="false">G363</f>
        <v/>
      </c>
      <c r="H364" s="33" t="str">
        <f aca="false">H363</f>
        <v/>
      </c>
      <c r="I364" s="33" t="str">
        <f aca="false">I363</f>
        <v/>
      </c>
      <c r="J364" s="33" t="str">
        <f aca="false">J363</f>
        <v/>
      </c>
      <c r="K364" s="33" t="str">
        <f aca="false">K363</f>
        <v/>
      </c>
    </row>
    <row r="365" customFormat="false" ht="17.15" hidden="false" customHeight="false" outlineLevel="0" collapsed="false">
      <c r="A365" s="5" t="s">
        <v>2339</v>
      </c>
      <c r="B365" s="0" t="s">
        <v>2673</v>
      </c>
      <c r="C365" s="0" t="s">
        <v>40</v>
      </c>
      <c r="E365" s="0" t="str">
        <f aca="false">IF(E364&lt;&gt;"","","無模型值（以 0 計；無 Y2 資本支出）")</f>
        <v>無模型值（以 0 計；無 Y2 資本支出）</v>
      </c>
      <c r="F365" s="0" t="str">
        <f aca="false">IF(F364&lt;&gt;"","","無模型值（以 0 計；無 Y2 資本支出）")</f>
        <v>無模型值（以 0 計；無 Y2 資本支出）</v>
      </c>
      <c r="G365" s="0" t="str">
        <f aca="false">IF(G364&lt;&gt;"","","無模型值（以 0 計；無 Y2 資本支出）")</f>
        <v>無模型值（以 0 計；無 Y2 資本支出）</v>
      </c>
      <c r="H365" s="0" t="str">
        <f aca="false">IF(H364&lt;&gt;"","","無模型值（以 0 計；無 Y2 資本支出）")</f>
        <v>無模型值（以 0 計；無 Y2 資本支出）</v>
      </c>
      <c r="I365" s="0" t="str">
        <f aca="false">IF(I364&lt;&gt;"","","無模型值（以 0 計；無 Y2 資本支出）")</f>
        <v>無模型值（以 0 計；無 Y2 資本支出）</v>
      </c>
      <c r="J365" s="0" t="str">
        <f aca="false">IF(J364&lt;&gt;"","","無模型值（以 0 計；無 Y2 資本支出）")</f>
        <v>無模型值（以 0 計；無 Y2 資本支出）</v>
      </c>
      <c r="K365" s="0" t="str">
        <f aca="false">IF(K364&lt;&gt;"","","無模型值（以 0 計；無 Y2 資本支出）")</f>
        <v>無模型值（以 0 計；無 Y2 資本支出）</v>
      </c>
    </row>
    <row r="366" customFormat="false" ht="17.15" hidden="false" customHeight="false" outlineLevel="0" collapsed="false">
      <c r="A366" s="5" t="s">
        <v>2674</v>
      </c>
      <c r="B366" s="0" t="s">
        <v>2675</v>
      </c>
      <c r="C366" s="0" t="s">
        <v>395</v>
      </c>
      <c r="E366" s="33" t="n">
        <f aca="false">N(E364)</f>
        <v>0</v>
      </c>
      <c r="F366" s="33" t="n">
        <f aca="false">N(F364)</f>
        <v>0</v>
      </c>
      <c r="G366" s="33" t="n">
        <f aca="false">N(G364)</f>
        <v>0</v>
      </c>
      <c r="H366" s="33" t="n">
        <f aca="false">N(H364)</f>
        <v>0</v>
      </c>
      <c r="I366" s="33" t="n">
        <f aca="false">N(I364)</f>
        <v>0</v>
      </c>
      <c r="J366" s="33" t="n">
        <f aca="false">N(J364)</f>
        <v>0</v>
      </c>
      <c r="K366" s="33" t="n">
        <f aca="false">N(K364)</f>
        <v>0</v>
      </c>
    </row>
    <row r="367" customFormat="false" ht="15" hidden="false" customHeight="false" outlineLevel="0" collapsed="false">
      <c r="A367" s="5" t="s">
        <v>2344</v>
      </c>
      <c r="B367" s="0" t="s">
        <v>2676</v>
      </c>
      <c r="C367" s="0" t="s">
        <v>395</v>
      </c>
      <c r="D367" s="33" t="str">
        <f aca="false">IF(In!H214&lt;&gt;"",In!H214,"")</f>
        <v/>
      </c>
      <c r="E367" s="33" t="str">
        <f aca="false">IF(In!I214&lt;&gt;"",In!I214,"")</f>
        <v/>
      </c>
      <c r="F367" s="33" t="str">
        <f aca="false">IF(In!J214&lt;&gt;"",In!J214,"")</f>
        <v/>
      </c>
      <c r="G367" s="33" t="n">
        <f aca="false">IF(In!K214&lt;&gt;"",In!K214,"")</f>
        <v>0.473244</v>
      </c>
      <c r="H367" s="33" t="n">
        <f aca="false">IF(In!L214&lt;&gt;"",In!L214,"")</f>
        <v>0.427141</v>
      </c>
      <c r="I367" s="33" t="n">
        <f aca="false">IF(In!M214&lt;&gt;"",In!M214,"")</f>
        <v>0.052368</v>
      </c>
      <c r="J367" s="33" t="n">
        <f aca="false">IF(In!N214&lt;&gt;"",In!N214,"")</f>
        <v>0.05638</v>
      </c>
      <c r="K367" s="33" t="n">
        <f aca="false">IF(In!O214&lt;&gt;"",In!O214,"")</f>
        <v>0.11197</v>
      </c>
      <c r="L367" s="33" t="str">
        <f aca="false">IF(In!P214&lt;&gt;"",In!P214,"")</f>
        <v/>
      </c>
      <c r="M367" s="33" t="str">
        <f aca="false">IF(In!Q214&lt;&gt;"",In!Q214,"")</f>
        <v/>
      </c>
    </row>
    <row r="368" customFormat="false" ht="15" hidden="false" customHeight="false" outlineLevel="0" collapsed="false">
      <c r="A368" s="5" t="s">
        <v>2346</v>
      </c>
      <c r="B368" s="0" t="s">
        <v>2677</v>
      </c>
      <c r="C368" s="0" t="s">
        <v>395</v>
      </c>
      <c r="E368" s="33" t="str">
        <f aca="false">E367</f>
        <v/>
      </c>
      <c r="F368" s="33" t="str">
        <f aca="false">F367</f>
        <v/>
      </c>
      <c r="G368" s="33" t="n">
        <f aca="false">G367</f>
        <v>0.473244</v>
      </c>
      <c r="H368" s="33" t="n">
        <f aca="false">H367</f>
        <v>0.427141</v>
      </c>
      <c r="I368" s="33" t="n">
        <f aca="false">I367</f>
        <v>0.052368</v>
      </c>
      <c r="J368" s="33" t="n">
        <f aca="false">J367</f>
        <v>0.05638</v>
      </c>
      <c r="K368" s="33" t="n">
        <f aca="false">K367</f>
        <v>0.11197</v>
      </c>
    </row>
    <row r="369" customFormat="false" ht="17.15" hidden="false" customHeight="false" outlineLevel="0" collapsed="false">
      <c r="A369" s="5" t="s">
        <v>2348</v>
      </c>
      <c r="B369" s="0" t="s">
        <v>2678</v>
      </c>
      <c r="C369" s="0" t="s">
        <v>395</v>
      </c>
      <c r="D369" s="33" t="str">
        <f aca="false">IF(In!H212&lt;&gt;"",In!H212,"")</f>
        <v/>
      </c>
      <c r="E369" s="33" t="str">
        <f aca="false">IF(In!I212&lt;&gt;"",In!I212,"")</f>
        <v/>
      </c>
      <c r="F369" s="33" t="str">
        <f aca="false">IF(In!J212&lt;&gt;"",In!J212,"")</f>
        <v/>
      </c>
      <c r="G369" s="33" t="n">
        <f aca="false">IF(In!K212&lt;&gt;"",In!K212,"")</f>
        <v>0.473244</v>
      </c>
      <c r="H369" s="33" t="n">
        <f aca="false">IF(In!L212&lt;&gt;"",In!L212,"")</f>
        <v>0.427141</v>
      </c>
      <c r="I369" s="33" t="n">
        <f aca="false">IF(In!M212&lt;&gt;"",In!M212,"")</f>
        <v>0.052368</v>
      </c>
      <c r="J369" s="33" t="n">
        <f aca="false">IF(In!N212&lt;&gt;"",In!N212,"")</f>
        <v>0.05638</v>
      </c>
      <c r="K369" s="33" t="n">
        <f aca="false">IF(In!O212&lt;&gt;"",In!O212,"")</f>
        <v>0.11197</v>
      </c>
      <c r="L369" s="33" t="str">
        <f aca="false">IF(In!P212&lt;&gt;"",In!P212,"")</f>
        <v/>
      </c>
      <c r="M369" s="33" t="str">
        <f aca="false">IF(In!Q212&lt;&gt;"",In!Q212,"")</f>
        <v/>
      </c>
    </row>
    <row r="370" customFormat="false" ht="17.15" hidden="false" customHeight="false" outlineLevel="0" collapsed="false">
      <c r="A370" s="5" t="s">
        <v>2350</v>
      </c>
      <c r="B370" s="0" t="s">
        <v>2679</v>
      </c>
      <c r="C370" s="0" t="s">
        <v>395</v>
      </c>
      <c r="E370" s="33" t="str">
        <f aca="false">E369</f>
        <v/>
      </c>
      <c r="F370" s="33" t="str">
        <f aca="false">F369</f>
        <v/>
      </c>
      <c r="G370" s="33" t="n">
        <f aca="false">G369</f>
        <v>0.473244</v>
      </c>
      <c r="H370" s="33" t="n">
        <f aca="false">H369</f>
        <v>0.427141</v>
      </c>
      <c r="I370" s="33" t="n">
        <f aca="false">I369</f>
        <v>0.052368</v>
      </c>
      <c r="J370" s="33" t="n">
        <f aca="false">J369</f>
        <v>0.05638</v>
      </c>
      <c r="K370" s="33" t="n">
        <f aca="false">K369</f>
        <v>0.11197</v>
      </c>
    </row>
    <row r="371" customFormat="false" ht="17.15" hidden="false" customHeight="false" outlineLevel="0" collapsed="false">
      <c r="A371" s="5" t="s">
        <v>2354</v>
      </c>
      <c r="B371" s="0" t="s">
        <v>2680</v>
      </c>
      <c r="C371" s="0" t="s">
        <v>395</v>
      </c>
      <c r="D371" s="33" t="str">
        <f aca="false">IF(In!H211&lt;&gt;"",In!H211,"")</f>
        <v/>
      </c>
      <c r="E371" s="33" t="str">
        <f aca="false">IF(In!I211&lt;&gt;"",In!I211,"")</f>
        <v/>
      </c>
      <c r="F371" s="33" t="str">
        <f aca="false">IF(In!J211&lt;&gt;"",In!J211,"")</f>
        <v/>
      </c>
      <c r="G371" s="33" t="n">
        <f aca="false">IF(In!K211&lt;&gt;"",In!K211,"")</f>
        <v>0.10217</v>
      </c>
      <c r="H371" s="33" t="n">
        <f aca="false">IF(In!L211&lt;&gt;"",In!L211,"")</f>
        <v>0.043523</v>
      </c>
      <c r="I371" s="33" t="n">
        <f aca="false">IF(In!M211&lt;&gt;"",In!M211,"")</f>
        <v>0.01167</v>
      </c>
      <c r="J371" s="33" t="n">
        <f aca="false">IF(In!N211&lt;&gt;"",In!N211,"")</f>
        <v>0.054481</v>
      </c>
      <c r="K371" s="33" t="n">
        <f aca="false">IF(In!O211&lt;&gt;"",In!O211,"")</f>
        <v>0.089807</v>
      </c>
      <c r="L371" s="33" t="str">
        <f aca="false">IF(In!P211&lt;&gt;"",In!P211,"")</f>
        <v/>
      </c>
      <c r="M371" s="33" t="str">
        <f aca="false">IF(In!Q211&lt;&gt;"",In!Q211,"")</f>
        <v/>
      </c>
    </row>
    <row r="372" customFormat="false" ht="15" hidden="false" customHeight="false" outlineLevel="0" collapsed="false">
      <c r="A372" s="5" t="s">
        <v>2356</v>
      </c>
      <c r="B372" s="0" t="s">
        <v>2681</v>
      </c>
      <c r="C372" s="0" t="s">
        <v>40</v>
      </c>
      <c r="D372" s="0" t="str">
        <f aca="false">IF(In!H211&lt;&gt;"","模型",IF(D371&lt;&gt;"","Funding 觀測","無模型值"))</f>
        <v>無模型值</v>
      </c>
      <c r="E372" s="0" t="str">
        <f aca="false">IF(In!I211&lt;&gt;"","模型",IF(E371&lt;&gt;"","Funding 觀測","無模型值"))</f>
        <v>無模型值</v>
      </c>
      <c r="F372" s="0" t="str">
        <f aca="false">IF(In!J211&lt;&gt;"","模型",IF(F371&lt;&gt;"","Funding 觀測","無模型值"))</f>
        <v>無模型值</v>
      </c>
      <c r="G372" s="0" t="str">
        <f aca="false">IF(In!K211&lt;&gt;"","模型",IF(G371&lt;&gt;"","Funding 觀測","無模型值"))</f>
        <v>模型</v>
      </c>
      <c r="H372" s="0" t="str">
        <f aca="false">IF(In!L211&lt;&gt;"","模型",IF(H371&lt;&gt;"","Funding 觀測","無模型值"))</f>
        <v>模型</v>
      </c>
      <c r="I372" s="0" t="str">
        <f aca="false">IF(In!M211&lt;&gt;"","模型",IF(I371&lt;&gt;"","Funding 觀測","無模型值"))</f>
        <v>模型</v>
      </c>
      <c r="J372" s="0" t="str">
        <f aca="false">IF(In!N211&lt;&gt;"","模型",IF(J371&lt;&gt;"","Funding 觀測","無模型值"))</f>
        <v>模型</v>
      </c>
      <c r="K372" s="0" t="str">
        <f aca="false">IF(In!O211&lt;&gt;"","模型",IF(K371&lt;&gt;"","Funding 觀測","無模型值"))</f>
        <v>模型</v>
      </c>
      <c r="L372" s="0" t="str">
        <f aca="false">IF(In!P211&lt;&gt;"","模型",IF(L371&lt;&gt;"","Funding 觀測","無模型值"))</f>
        <v>無模型值</v>
      </c>
      <c r="M372" s="0" t="str">
        <f aca="false">IF(In!Q211&lt;&gt;"","模型",IF(M371&lt;&gt;"","Funding 觀測","無模型值"))</f>
        <v>無模型值</v>
      </c>
    </row>
    <row r="373" customFormat="false" ht="15" hidden="false" customHeight="false" outlineLevel="0" collapsed="false">
      <c r="A373" s="5" t="s">
        <v>2358</v>
      </c>
      <c r="B373" s="0" t="s">
        <v>2682</v>
      </c>
      <c r="C373" s="0" t="s">
        <v>395</v>
      </c>
      <c r="E373" s="40" t="str">
        <f aca="false">E371</f>
        <v/>
      </c>
      <c r="F373" s="40" t="str">
        <f aca="false">F371</f>
        <v/>
      </c>
      <c r="G373" s="40" t="n">
        <f aca="false">G371</f>
        <v>0.10217</v>
      </c>
      <c r="H373" s="40" t="n">
        <f aca="false">H371</f>
        <v>0.043523</v>
      </c>
      <c r="I373" s="40" t="n">
        <f aca="false">I371</f>
        <v>0.01167</v>
      </c>
      <c r="J373" s="40" t="n">
        <f aca="false">J371</f>
        <v>0.054481</v>
      </c>
      <c r="K373" s="40" t="n">
        <f aca="false">K371</f>
        <v>0.089807</v>
      </c>
    </row>
    <row r="374" customFormat="false" ht="17.15" hidden="false" customHeight="false" outlineLevel="0" collapsed="false">
      <c r="A374" s="5" t="s">
        <v>2360</v>
      </c>
      <c r="B374" s="0" t="s">
        <v>2683</v>
      </c>
      <c r="C374" s="0" t="s">
        <v>40</v>
      </c>
      <c r="E374" s="0" t="str">
        <f aca="false">IF(AND(ABS(E359)&lt;0.000000001,E373&lt;&gt;"",ISNUMBER(E370)),IF(N(E370)&gt;0,"模型值替代（無 GW 證據）",""),"")</f>
        <v/>
      </c>
      <c r="F374" s="0" t="str">
        <f aca="false">IF(AND(ABS(F359)&lt;0.000000001,F373&lt;&gt;"",ISNUMBER(F370)),IF(N(F370)&gt;0,"模型值替代（無 GW 證據）",""),"")</f>
        <v/>
      </c>
      <c r="G374" s="0" t="str">
        <f aca="false">IF(AND(ABS(G359)&lt;0.000000001,G373&lt;&gt;"",ISNUMBER(G370)),IF(N(G370)&gt;0,"模型值替代（無 GW 證據）",""),"")</f>
        <v/>
      </c>
      <c r="H374" s="0" t="str">
        <f aca="false">IF(AND(ABS(H359)&lt;0.000000001,H373&lt;&gt;"",ISNUMBER(H370)),IF(N(H370)&gt;0,"模型值替代（無 GW 證據）",""),"")</f>
        <v/>
      </c>
      <c r="I374" s="0" t="str">
        <f aca="false">IF(AND(ABS(I359)&lt;0.000000001,I373&lt;&gt;"",ISNUMBER(I370)),IF(N(I370)&gt;0,"模型值替代（無 GW 證據）",""),"")</f>
        <v>模型值替代（無 GW 證據）</v>
      </c>
      <c r="J374" s="0" t="str">
        <f aca="false">IF(AND(ABS(J359)&lt;0.000000001,J373&lt;&gt;"",ISNUMBER(J370)),IF(N(J370)&gt;0,"模型值替代（無 GW 證據）",""),"")</f>
        <v>模型值替代（無 GW 證據）</v>
      </c>
      <c r="K374" s="0" t="str">
        <f aca="false">IF(AND(ABS(K359)&lt;0.000000001,K373&lt;&gt;"",ISNUMBER(K370)),IF(N(K370)&gt;0,"模型值替代（無 GW 證據）",""),"")</f>
        <v>模型值替代（無 GW 證據）</v>
      </c>
      <c r="N374" s="5" t="s">
        <v>2362</v>
      </c>
    </row>
    <row r="375" customFormat="false" ht="17.15" hidden="false" customHeight="false" outlineLevel="0" collapsed="false">
      <c r="A375" s="5" t="s">
        <v>2363</v>
      </c>
      <c r="B375" s="0" t="s">
        <v>2684</v>
      </c>
      <c r="C375" s="0" t="s">
        <v>395</v>
      </c>
      <c r="E375" s="40" t="n">
        <f aca="false">IF(E374&lt;&gt;"",E370,E359)</f>
        <v>0.05748379</v>
      </c>
      <c r="F375" s="40" t="n">
        <f aca="false">IF(F374&lt;&gt;"",F370,F359)</f>
        <v>0.06998908</v>
      </c>
      <c r="G375" s="40" t="n">
        <f aca="false">IF(G374&lt;&gt;"",G370,G359)</f>
        <v>0.31570421781984</v>
      </c>
      <c r="H375" s="40" t="n">
        <f aca="false">IF(H374&lt;&gt;"",H370,H359)</f>
        <v>0.0756839285427982</v>
      </c>
      <c r="I375" s="40" t="n">
        <f aca="false">IF(I374&lt;&gt;"",I370,I359)</f>
        <v>0.052368</v>
      </c>
      <c r="J375" s="40" t="n">
        <f aca="false">IF(J374&lt;&gt;"",J370,J359)</f>
        <v>0.05638</v>
      </c>
      <c r="K375" s="40" t="n">
        <f aca="false">IF(K374&lt;&gt;"",K370,K359)</f>
        <v>0.11197</v>
      </c>
    </row>
    <row r="376" customFormat="false" ht="17.15" hidden="false" customHeight="false" outlineLevel="0" collapsed="false">
      <c r="A376" s="5" t="s">
        <v>2685</v>
      </c>
      <c r="B376" s="0" t="s">
        <v>2686</v>
      </c>
      <c r="C376" s="0" t="s">
        <v>395</v>
      </c>
      <c r="E376" s="33" t="n">
        <f aca="false">E375</f>
        <v>0.05748379</v>
      </c>
      <c r="F376" s="33" t="n">
        <f aca="false">F375</f>
        <v>0.06998908</v>
      </c>
      <c r="G376" s="33" t="n">
        <f aca="false">G375</f>
        <v>0.31570421781984</v>
      </c>
      <c r="H376" s="33" t="n">
        <f aca="false">H375</f>
        <v>0.0756839285427982</v>
      </c>
      <c r="I376" s="33" t="n">
        <f aca="false">I375</f>
        <v>0.052368</v>
      </c>
      <c r="J376" s="33" t="n">
        <f aca="false">J375</f>
        <v>0.05638</v>
      </c>
      <c r="K376" s="33" t="n">
        <f aca="false">K375</f>
        <v>0.11197</v>
      </c>
    </row>
    <row r="377" customFormat="false" ht="15" hidden="false" customHeight="false" outlineLevel="0" collapsed="false">
      <c r="A377" s="5" t="s">
        <v>2366</v>
      </c>
      <c r="B377" s="0" t="s">
        <v>2687</v>
      </c>
      <c r="C377" s="0" t="s">
        <v>395</v>
      </c>
      <c r="D377" s="33" t="str">
        <f aca="false">IF(In!H215&lt;&gt;"",In!H215,"")</f>
        <v/>
      </c>
      <c r="E377" s="33" t="str">
        <f aca="false">IF(In!I215&lt;&gt;"",In!I215,"")</f>
        <v/>
      </c>
      <c r="F377" s="33" t="str">
        <f aca="false">IF(In!J215&lt;&gt;"",In!J215,"")</f>
        <v/>
      </c>
      <c r="G377" s="33" t="n">
        <f aca="false">IF(In!K215&lt;&gt;"",In!K215,"")</f>
        <v>0</v>
      </c>
      <c r="H377" s="33" t="n">
        <f aca="false">IF(In!L215&lt;&gt;"",In!L215,"")</f>
        <v>0</v>
      </c>
      <c r="I377" s="33" t="n">
        <f aca="false">IF(In!M215&lt;&gt;"",In!M215,"")</f>
        <v>0</v>
      </c>
      <c r="J377" s="33" t="n">
        <f aca="false">IF(In!N215&lt;&gt;"",In!N215,"")</f>
        <v>0</v>
      </c>
      <c r="K377" s="33" t="n">
        <f aca="false">IF(In!O215&lt;&gt;"",In!O215,"")</f>
        <v>0</v>
      </c>
      <c r="L377" s="33" t="str">
        <f aca="false">IF(In!P215&lt;&gt;"",In!P215,"")</f>
        <v/>
      </c>
      <c r="M377" s="33" t="str">
        <f aca="false">IF(In!Q215&lt;&gt;"",In!Q215,"")</f>
        <v/>
      </c>
    </row>
    <row r="378" customFormat="false" ht="15" hidden="false" customHeight="false" outlineLevel="0" collapsed="false">
      <c r="A378" s="5" t="s">
        <v>2368</v>
      </c>
      <c r="B378" s="0" t="s">
        <v>2688</v>
      </c>
      <c r="C378" s="0" t="s">
        <v>395</v>
      </c>
      <c r="E378" s="33" t="str">
        <f aca="false">E377</f>
        <v/>
      </c>
      <c r="F378" s="33" t="str">
        <f aca="false">F377</f>
        <v/>
      </c>
      <c r="G378" s="33" t="n">
        <f aca="false">G377</f>
        <v>0</v>
      </c>
      <c r="H378" s="33" t="n">
        <f aca="false">H377</f>
        <v>0</v>
      </c>
      <c r="I378" s="33" t="n">
        <f aca="false">I377</f>
        <v>0</v>
      </c>
      <c r="J378" s="33" t="n">
        <f aca="false">J377</f>
        <v>0</v>
      </c>
      <c r="K378" s="33" t="n">
        <f aca="false">K377</f>
        <v>0</v>
      </c>
    </row>
    <row r="379" customFormat="false" ht="17.15" hidden="false" customHeight="false" outlineLevel="0" collapsed="false">
      <c r="A379" s="5" t="s">
        <v>2370</v>
      </c>
      <c r="B379" s="0" t="s">
        <v>2689</v>
      </c>
      <c r="C379" s="0" t="s">
        <v>395</v>
      </c>
      <c r="E379" s="33" t="n">
        <f aca="false">E375+E366</f>
        <v>0.05748379</v>
      </c>
      <c r="F379" s="33" t="n">
        <f aca="false">F375+F366</f>
        <v>0.06998908</v>
      </c>
      <c r="G379" s="33" t="n">
        <f aca="false">G375+G366</f>
        <v>0.31570421781984</v>
      </c>
      <c r="H379" s="33" t="n">
        <f aca="false">H375+H366</f>
        <v>0.0756839285427982</v>
      </c>
      <c r="I379" s="33" t="n">
        <f aca="false">I375+I366</f>
        <v>0.052368</v>
      </c>
      <c r="J379" s="33" t="n">
        <f aca="false">J375+J366</f>
        <v>0.05638</v>
      </c>
      <c r="K379" s="33" t="n">
        <f aca="false">K375+K366</f>
        <v>0.11197</v>
      </c>
    </row>
    <row r="380" customFormat="false" ht="17.15" hidden="false" customHeight="false" outlineLevel="0" collapsed="false">
      <c r="A380" s="5" t="s">
        <v>2372</v>
      </c>
      <c r="B380" s="0" t="s">
        <v>2690</v>
      </c>
      <c r="C380" s="0" t="s">
        <v>41</v>
      </c>
      <c r="E380" s="30" t="str">
        <f aca="false">IF(OR(E373="",E379&lt;=0),"",E373/E379)</f>
        <v/>
      </c>
      <c r="F380" s="30" t="str">
        <f aca="false">IF(OR(F373="",F379&lt;=0),"",F373/F379)</f>
        <v/>
      </c>
      <c r="G380" s="30" t="n">
        <f aca="false">IF(OR(G373="",G379&lt;=0),"",G373/G379)</f>
        <v>0.323625704799118</v>
      </c>
      <c r="H380" s="30" t="n">
        <f aca="false">IF(OR(H373="",H379&lt;=0),"",H373/H379)</f>
        <v>0.575062643258382</v>
      </c>
      <c r="I380" s="30" t="n">
        <f aca="false">IF(OR(I373="",I379&lt;=0),"",I373/I379)</f>
        <v>0.222846012832264</v>
      </c>
      <c r="J380" s="30" t="n">
        <f aca="false">IF(OR(J373="",J379&lt;=0),"",J373/J379)</f>
        <v>0.966317843206811</v>
      </c>
      <c r="K380" s="30" t="n">
        <f aca="false">IF(OR(K373="",K379&lt;=0),"",K373/K379)</f>
        <v>0.802063052603376</v>
      </c>
    </row>
    <row r="381" customFormat="false" ht="17.15" hidden="false" customHeight="false" outlineLevel="0" collapsed="false">
      <c r="A381" s="5" t="s">
        <v>2374</v>
      </c>
      <c r="B381" s="0" t="s">
        <v>2691</v>
      </c>
      <c r="C381" s="0" t="s">
        <v>395</v>
      </c>
      <c r="E381" s="40" t="str">
        <f aca="false">IF(E373="","",E379-E373)</f>
        <v/>
      </c>
      <c r="F381" s="40" t="str">
        <f aca="false">IF(F373="","",F379-F373)</f>
        <v/>
      </c>
      <c r="G381" s="40" t="n">
        <f aca="false">IF(G373="","",G379-G373)</f>
        <v>0.21353421781984</v>
      </c>
      <c r="H381" s="40" t="n">
        <f aca="false">IF(H373="","",H379-H373)</f>
        <v>0.0321609285427982</v>
      </c>
      <c r="I381" s="40" t="n">
        <f aca="false">IF(I373="","",I379-I373)</f>
        <v>0.040698</v>
      </c>
      <c r="J381" s="40" t="n">
        <f aca="false">IF(J373="","",J379-J373)</f>
        <v>0.001899</v>
      </c>
      <c r="K381" s="40" t="n">
        <f aca="false">IF(K373="","",K379-K373)</f>
        <v>0.022163</v>
      </c>
    </row>
    <row r="382" customFormat="false" ht="17.15" hidden="false" customHeight="false" outlineLevel="0" collapsed="false">
      <c r="A382" s="5" t="s">
        <v>2692</v>
      </c>
      <c r="B382" s="0" t="s">
        <v>2693</v>
      </c>
      <c r="C382" s="0" t="s">
        <v>395</v>
      </c>
      <c r="G382" s="33" t="n">
        <f aca="false">N(gcash_wyfi)</f>
        <v>0.114441</v>
      </c>
      <c r="N382" s="21" t="s">
        <v>658</v>
      </c>
    </row>
    <row r="383" customFormat="false" ht="17.15" hidden="false" customHeight="false" outlineLevel="0" collapsed="false">
      <c r="A383" s="5" t="s">
        <v>2402</v>
      </c>
      <c r="B383" s="0" t="s">
        <v>2694</v>
      </c>
      <c r="C383" s="0" t="s">
        <v>395</v>
      </c>
      <c r="E383" s="33" t="str">
        <f aca="false">IF(E373="","",E373-E379)</f>
        <v/>
      </c>
      <c r="F383" s="33" t="str">
        <f aca="false">IF(F373="","",F373-F379)</f>
        <v/>
      </c>
      <c r="G383" s="33" t="n">
        <f aca="false">IF(G373="","",G373-G379)</f>
        <v>-0.21353421781984</v>
      </c>
      <c r="H383" s="33" t="n">
        <f aca="false">IF(H373="","",H373-H379)</f>
        <v>-0.0321609285427982</v>
      </c>
      <c r="I383" s="33" t="n">
        <f aca="false">IF(I373="","",I373-I379)</f>
        <v>-0.040698</v>
      </c>
      <c r="J383" s="33" t="n">
        <f aca="false">IF(J373="","",J373-J379)</f>
        <v>-0.001899</v>
      </c>
      <c r="K383" s="33" t="n">
        <f aca="false">IF(K373="","",K373-K379)</f>
        <v>-0.022163</v>
      </c>
    </row>
    <row r="384" customFormat="false" ht="15" hidden="false" customHeight="false" outlineLevel="0" collapsed="false">
      <c r="A384" s="5" t="s">
        <v>2404</v>
      </c>
      <c r="B384" s="0" t="s">
        <v>2695</v>
      </c>
      <c r="C384" s="0" t="s">
        <v>57</v>
      </c>
      <c r="E384" s="23" t="str">
        <f aca="false">IF(OR(E381="",E379&lt;=0),"",E381/E379)</f>
        <v/>
      </c>
      <c r="F384" s="23" t="str">
        <f aca="false">IF(OR(F381="",F379&lt;=0),"",F381/F379)</f>
        <v/>
      </c>
      <c r="G384" s="23" t="n">
        <f aca="false">IF(OR(G381="",G379&lt;=0),"",G381/G379)</f>
        <v>0.676374295200882</v>
      </c>
      <c r="H384" s="23" t="n">
        <f aca="false">IF(OR(H381="",H379&lt;=0),"",H381/H379)</f>
        <v>0.424937356741618</v>
      </c>
      <c r="I384" s="23" t="n">
        <f aca="false">IF(OR(I381="",I379&lt;=0),"",I381/I379)</f>
        <v>0.777153987167736</v>
      </c>
      <c r="J384" s="23" t="n">
        <f aca="false">IF(OR(J381="",J379&lt;=0),"",J381/J379)</f>
        <v>0.033682156793189</v>
      </c>
      <c r="K384" s="23" t="n">
        <f aca="false">IF(OR(K381="",K379&lt;=0),"",K381/K379)</f>
        <v>0.197936947396624</v>
      </c>
    </row>
    <row r="386" customFormat="false" ht="17.15" hidden="false" customHeight="false" outlineLevel="0" collapsed="false">
      <c r="A386" s="8" t="s">
        <v>2696</v>
      </c>
      <c r="B386" s="21" t="s">
        <v>757</v>
      </c>
      <c r="N386" s="5" t="s">
        <v>2697</v>
      </c>
    </row>
    <row r="387" customFormat="false" ht="17.15" hidden="false" customHeight="false" outlineLevel="0" collapsed="false">
      <c r="A387" s="5" t="s">
        <v>2659</v>
      </c>
      <c r="B387" s="0" t="s">
        <v>1541</v>
      </c>
      <c r="C387" s="0" t="s">
        <v>82</v>
      </c>
      <c r="D387" s="25" t="n">
        <f aca="false">Players!D188</f>
        <v>0</v>
      </c>
      <c r="E387" s="25" t="n">
        <f aca="false">Players!E188</f>
        <v>0</v>
      </c>
      <c r="F387" s="25" t="n">
        <f aca="false">Players!F188</f>
        <v>0</v>
      </c>
      <c r="G387" s="25" t="n">
        <f aca="false">Players!G188</f>
        <v>1.4302</v>
      </c>
      <c r="H387" s="25" t="n">
        <f aca="false">Players!H188</f>
        <v>0.585</v>
      </c>
      <c r="I387" s="25" t="n">
        <f aca="false">Players!I188</f>
        <v>0</v>
      </c>
      <c r="J387" s="25" t="n">
        <f aca="false">Players!J188</f>
        <v>0</v>
      </c>
      <c r="K387" s="25" t="n">
        <f aca="false">Players!K188</f>
        <v>0</v>
      </c>
      <c r="L387" s="25" t="n">
        <f aca="false">Players!L188</f>
        <v>0</v>
      </c>
      <c r="M387" s="25" t="n">
        <f aca="false">Players!M188</f>
        <v>0</v>
      </c>
    </row>
    <row r="388" customFormat="false" ht="17.15" hidden="false" customHeight="false" outlineLevel="0" collapsed="false">
      <c r="A388" s="5" t="s">
        <v>2660</v>
      </c>
      <c r="B388" s="0" t="s">
        <v>2698</v>
      </c>
      <c r="C388" s="0" t="s">
        <v>230</v>
      </c>
      <c r="D388" s="30" t="n">
        <f aca="false">(1-Players!D190)*CapexGW!D7+Players!D190*TK_NonNV_Hold_AMD*TK_CapexIT_VR200</f>
        <v>27.510214</v>
      </c>
      <c r="E388" s="30" t="n">
        <f aca="false">(1-Players!E190)*CapexGW!E7+Players!E190*TK_NonNV_Hold_AMD*TK_CapexIT_VR200</f>
        <v>27.510214</v>
      </c>
      <c r="F388" s="30" t="n">
        <f aca="false">(1-Players!F190)*CapexGW!F7+Players!F190*TK_NonNV_Hold_AMD*TK_CapexIT_VR200</f>
        <v>26.009088</v>
      </c>
      <c r="G388" s="30" t="n">
        <f aca="false">(1-Players!G190)*CapexGW!G7+Players!G190*TK_NonNV_Hold_AMD*TK_CapexIT_VR200</f>
        <v>33.41403216</v>
      </c>
      <c r="H388" s="30" t="n">
        <f aca="false">(1-Players!H190)*CapexGW!H7+Players!H190*TK_NonNV_Hold_AMD*TK_CapexIT_VR200</f>
        <v>38.3403893327246</v>
      </c>
      <c r="I388" s="30" t="n">
        <f aca="false">(1-Players!I190)*CapexGW!I7+Players!I190*TK_NonNV_Hold_AMD*TK_CapexIT_VR200</f>
        <v>41.3326208898258</v>
      </c>
      <c r="J388" s="30" t="n">
        <f aca="false">(1-Players!J190)*CapexGW!J7+Players!J190*TK_NonNV_Hold_AMD*TK_CapexIT_VR200</f>
        <v>41.3326208898258</v>
      </c>
      <c r="K388" s="30" t="n">
        <f aca="false">(1-Players!K190)*CapexGW!K7+Players!K190*TK_NonNV_Hold_AMD*TK_CapexIT_VR200</f>
        <v>41.3326208898258</v>
      </c>
      <c r="L388" s="30" t="n">
        <f aca="false">(1-Players!L190)*CapexGW!L7+Players!L190*TK_NonNV_Hold_AMD*TK_CapexIT_VR200</f>
        <v>41.3326208898258</v>
      </c>
      <c r="M388" s="30" t="n">
        <f aca="false">(1-Players!M190)*CapexGW!M7+Players!M190*TK_NonNV_Hold_AMD*TK_CapexIT_VR200</f>
        <v>41.3326208898258</v>
      </c>
    </row>
    <row r="389" customFormat="false" ht="17.15" hidden="false" customHeight="false" outlineLevel="0" collapsed="false">
      <c r="A389" s="5" t="s">
        <v>2662</v>
      </c>
      <c r="B389" s="0" t="s">
        <v>2699</v>
      </c>
      <c r="C389" s="0" t="s">
        <v>230</v>
      </c>
      <c r="D389" s="30" t="n">
        <f aca="false">(1-Players!D190)*CapexGW!D8+Players!D190*TK_NonNV_Hold_AMD*TK_CapexFacility_VR200</f>
        <v>12.67</v>
      </c>
      <c r="E389" s="30" t="n">
        <f aca="false">(1-Players!E190)*CapexGW!E8+Players!E190*TK_NonNV_Hold_AMD*TK_CapexFacility_VR200</f>
        <v>12.67</v>
      </c>
      <c r="F389" s="30" t="n">
        <f aca="false">(1-Players!F190)*CapexGW!F8+Players!F190*TK_NonNV_Hold_AMD*TK_CapexFacility_VR200</f>
        <v>12.67</v>
      </c>
      <c r="G389" s="30" t="n">
        <f aca="false">(1-Players!G190)*CapexGW!G8+Players!G190*TK_NonNV_Hold_AMD*TK_CapexFacility_VR200</f>
        <v>12.67</v>
      </c>
      <c r="H389" s="30" t="n">
        <f aca="false">(1-Players!H190)*CapexGW!H8+Players!H190*TK_NonNV_Hold_AMD*TK_CapexFacility_VR200</f>
        <v>12.67</v>
      </c>
      <c r="I389" s="30" t="n">
        <f aca="false">(1-Players!I190)*CapexGW!I8+Players!I190*TK_NonNV_Hold_AMD*TK_CapexFacility_VR200</f>
        <v>12.67</v>
      </c>
      <c r="J389" s="30" t="n">
        <f aca="false">(1-Players!J190)*CapexGW!J8+Players!J190*TK_NonNV_Hold_AMD*TK_CapexFacility_VR200</f>
        <v>12.67</v>
      </c>
      <c r="K389" s="30" t="n">
        <f aca="false">(1-Players!K190)*CapexGW!K8+Players!K190*TK_NonNV_Hold_AMD*TK_CapexFacility_VR200</f>
        <v>12.67</v>
      </c>
      <c r="L389" s="30" t="n">
        <f aca="false">(1-Players!L190)*CapexGW!L8+Players!L190*TK_NonNV_Hold_AMD*TK_CapexFacility_VR200</f>
        <v>12.67</v>
      </c>
      <c r="M389" s="30" t="n">
        <f aca="false">(1-Players!M190)*CapexGW!M8+Players!M190*TK_NonNV_Hold_AMD*TK_CapexFacility_VR200</f>
        <v>12.67</v>
      </c>
    </row>
    <row r="390" customFormat="false" ht="17.15" hidden="false" customHeight="false" outlineLevel="0" collapsed="false">
      <c r="A390" s="5" t="s">
        <v>2321</v>
      </c>
      <c r="B390" s="0" t="s">
        <v>2700</v>
      </c>
      <c r="C390" s="0" t="s">
        <v>395</v>
      </c>
      <c r="E390" s="33" t="n">
        <f aca="false">E387*(E388+Gap!$D$6*E389)</f>
        <v>0</v>
      </c>
      <c r="F390" s="33" t="n">
        <f aca="false">F387*(F388+Gap!$D$6*F389)</f>
        <v>0</v>
      </c>
      <c r="G390" s="33" t="n">
        <f aca="false">G387*(G388+Gap!$D$6*G389)</f>
        <v>47.788748795232</v>
      </c>
      <c r="H390" s="33" t="n">
        <f aca="false">H387*(H388+Gap!$D$6*H389)</f>
        <v>22.4291277596439</v>
      </c>
      <c r="I390" s="33" t="n">
        <f aca="false">I387*(I388+Gap!$D$6*I389)</f>
        <v>0</v>
      </c>
      <c r="J390" s="33" t="n">
        <f aca="false">J387*(J388+Gap!$D$6*J389)</f>
        <v>0</v>
      </c>
      <c r="K390" s="33" t="n">
        <f aca="false">K387*(K388+Gap!$D$6*K389)</f>
        <v>0</v>
      </c>
    </row>
    <row r="391" customFormat="false" ht="17.15" hidden="false" customHeight="false" outlineLevel="0" collapsed="false">
      <c r="A391" s="5" t="s">
        <v>2323</v>
      </c>
      <c r="B391" s="0" t="s">
        <v>2701</v>
      </c>
      <c r="C391" s="0" t="s">
        <v>395</v>
      </c>
      <c r="E391" s="33" t="n">
        <f aca="false">Gap!$E$6*F387*F389</f>
        <v>0</v>
      </c>
      <c r="F391" s="33" t="n">
        <f aca="false">Gap!$E$6*G387*G389</f>
        <v>9.060317</v>
      </c>
      <c r="G391" s="33" t="n">
        <f aca="false">Gap!$E$6*H387*H389</f>
        <v>3.705975</v>
      </c>
      <c r="H391" s="33" t="n">
        <f aca="false">Gap!$E$6*I387*I389</f>
        <v>0</v>
      </c>
      <c r="I391" s="33" t="n">
        <f aca="false">Gap!$E$6*J387*J389</f>
        <v>0</v>
      </c>
      <c r="J391" s="33" t="n">
        <f aca="false">Gap!$E$6*K387*K389</f>
        <v>0</v>
      </c>
      <c r="K391" s="33" t="n">
        <f aca="false">Gap!$E$6*L387*L389</f>
        <v>0</v>
      </c>
    </row>
    <row r="392" customFormat="false" ht="17.15" hidden="false" customHeight="false" outlineLevel="0" collapsed="false">
      <c r="A392" s="5" t="s">
        <v>2325</v>
      </c>
      <c r="B392" s="0" t="s">
        <v>2702</v>
      </c>
      <c r="C392" s="0" t="s">
        <v>395</v>
      </c>
      <c r="E392" s="33" t="n">
        <f aca="false">Gap!$F$6*G387*G389</f>
        <v>9.060317</v>
      </c>
      <c r="F392" s="33" t="n">
        <f aca="false">Gap!$F$6*H387*H389</f>
        <v>3.705975</v>
      </c>
      <c r="G392" s="33" t="n">
        <f aca="false">Gap!$F$6*I387*I389</f>
        <v>0</v>
      </c>
      <c r="H392" s="33" t="n">
        <f aca="false">Gap!$F$6*J387*J389</f>
        <v>0</v>
      </c>
      <c r="I392" s="33" t="n">
        <f aca="false">Gap!$F$6*K387*K389</f>
        <v>0</v>
      </c>
      <c r="J392" s="33" t="n">
        <f aca="false">Gap!$F$6*L387*L389</f>
        <v>0</v>
      </c>
      <c r="K392" s="33" t="n">
        <f aca="false">Gap!$F$6*M387*M389</f>
        <v>0</v>
      </c>
    </row>
    <row r="393" customFormat="false" ht="17.15" hidden="false" customHeight="false" outlineLevel="0" collapsed="false">
      <c r="A393" s="5" t="s">
        <v>2327</v>
      </c>
      <c r="B393" s="0" t="s">
        <v>2703</v>
      </c>
      <c r="C393" s="0" t="s">
        <v>395</v>
      </c>
      <c r="E393" s="33" t="n">
        <f aca="false">E390+E391+E392</f>
        <v>9.060317</v>
      </c>
      <c r="F393" s="33" t="n">
        <f aca="false">F390+F391+F392</f>
        <v>12.766292</v>
      </c>
      <c r="G393" s="33" t="n">
        <f aca="false">G390+G391+G392</f>
        <v>51.494723795232</v>
      </c>
      <c r="H393" s="33" t="n">
        <f aca="false">H390+H391+H392</f>
        <v>22.4291277596439</v>
      </c>
      <c r="I393" s="33" t="n">
        <f aca="false">I390+I391+I392</f>
        <v>0</v>
      </c>
      <c r="J393" s="33" t="n">
        <f aca="false">J390+J391+J392</f>
        <v>0</v>
      </c>
      <c r="K393" s="33" t="n">
        <f aca="false">K390+K391+K392</f>
        <v>0</v>
      </c>
    </row>
    <row r="394" customFormat="false" ht="17.15" hidden="false" customHeight="false" outlineLevel="0" collapsed="false">
      <c r="A394" s="5" t="s">
        <v>2329</v>
      </c>
      <c r="B394" s="0" t="s">
        <v>2704</v>
      </c>
      <c r="C394" s="0" t="s">
        <v>395</v>
      </c>
      <c r="E394" s="33" t="n">
        <f aca="false">E387*(Gap!E$8+Gap!$D$6*Gap!E$9)</f>
        <v>0</v>
      </c>
      <c r="F394" s="33" t="n">
        <f aca="false">F387*(Gap!F$8+Gap!$D$6*Gap!F$9)</f>
        <v>0</v>
      </c>
      <c r="G394" s="33" t="n">
        <f aca="false">G387*(Gap!G$8+Gap!$D$6*Gap!G$9)</f>
        <v>44.9844854837549</v>
      </c>
      <c r="H394" s="33" t="n">
        <f aca="false">H387*(Gap!H$8+Gap!$D$6*Gap!H$9)</f>
        <v>20.3270198238073</v>
      </c>
      <c r="I394" s="33" t="n">
        <f aca="false">I387*(Gap!I$8+Gap!$D$6*Gap!I$9)</f>
        <v>0</v>
      </c>
      <c r="J394" s="33" t="n">
        <f aca="false">J387*(Gap!J$8+Gap!$D$6*Gap!J$9)</f>
        <v>0</v>
      </c>
      <c r="K394" s="33" t="n">
        <f aca="false">K387*(Gap!K$8+Gap!$D$6*Gap!K$9)</f>
        <v>0</v>
      </c>
    </row>
    <row r="395" customFormat="false" ht="17.15" hidden="false" customHeight="false" outlineLevel="0" collapsed="false">
      <c r="A395" s="5" t="s">
        <v>2331</v>
      </c>
      <c r="B395" s="0" t="s">
        <v>2705</v>
      </c>
      <c r="C395" s="0" t="s">
        <v>395</v>
      </c>
      <c r="E395" s="33" t="n">
        <f aca="false">Gap!$E$6*F387*Gap!F$9</f>
        <v>0</v>
      </c>
      <c r="F395" s="33" t="n">
        <f aca="false">Gap!$E$6*G387*Gap!G$9</f>
        <v>8.34809162201072</v>
      </c>
      <c r="G395" s="33" t="n">
        <f aca="false">Gap!$E$6*H387*Gap!H$9</f>
        <v>3.37197913765292</v>
      </c>
      <c r="H395" s="33" t="n">
        <f aca="false">Gap!$E$6*I387*Gap!I$9</f>
        <v>0</v>
      </c>
      <c r="I395" s="33" t="n">
        <f aca="false">Gap!$E$6*J387*Gap!J$9</f>
        <v>0</v>
      </c>
      <c r="J395" s="33" t="n">
        <f aca="false">Gap!$E$6*K387*Gap!K$9</f>
        <v>0</v>
      </c>
      <c r="K395" s="33" t="n">
        <f aca="false">Gap!$E$6*L387*Gap!L$9</f>
        <v>0</v>
      </c>
    </row>
    <row r="396" customFormat="false" ht="17.15" hidden="false" customHeight="false" outlineLevel="0" collapsed="false">
      <c r="A396" s="5" t="s">
        <v>2333</v>
      </c>
      <c r="B396" s="0" t="s">
        <v>2706</v>
      </c>
      <c r="C396" s="0" t="s">
        <v>395</v>
      </c>
      <c r="E396" s="33" t="n">
        <f aca="false">Gap!$F$6*G387*Gap!G$9</f>
        <v>8.34809162201072</v>
      </c>
      <c r="F396" s="33" t="n">
        <f aca="false">Gap!$F$6*H387*Gap!H$9</f>
        <v>3.37197913765292</v>
      </c>
      <c r="G396" s="33" t="n">
        <f aca="false">Gap!$F$6*I387*Gap!I$9</f>
        <v>0</v>
      </c>
      <c r="H396" s="33" t="n">
        <f aca="false">Gap!$F$6*J387*Gap!J$9</f>
        <v>0</v>
      </c>
      <c r="I396" s="33" t="n">
        <f aca="false">Gap!$F$6*K387*Gap!K$9</f>
        <v>0</v>
      </c>
      <c r="J396" s="33" t="n">
        <f aca="false">Gap!$F$6*L387*Gap!L$9</f>
        <v>0</v>
      </c>
      <c r="K396" s="33" t="n">
        <f aca="false">Gap!$F$6*M387*Gap!M$9</f>
        <v>0</v>
      </c>
    </row>
    <row r="397" customFormat="false" ht="17.15" hidden="false" customHeight="false" outlineLevel="0" collapsed="false">
      <c r="A397" s="5" t="s">
        <v>2335</v>
      </c>
      <c r="B397" s="0" t="s">
        <v>2707</v>
      </c>
      <c r="C397" s="0" t="s">
        <v>395</v>
      </c>
      <c r="D397" s="33" t="str">
        <f aca="false">IF(In!H219&lt;&gt;"",In!H219,"")</f>
        <v/>
      </c>
      <c r="E397" s="33" t="str">
        <f aca="false">IF(In!I219&lt;&gt;"",In!I219,"")</f>
        <v/>
      </c>
      <c r="F397" s="33" t="str">
        <f aca="false">IF(In!J219&lt;&gt;"",In!J219,"")</f>
        <v/>
      </c>
      <c r="G397" s="33" t="n">
        <f aca="false">IF(In!K219&lt;&gt;"",In!K219,"")</f>
        <v>11.510881</v>
      </c>
      <c r="H397" s="33" t="n">
        <f aca="false">IF(In!L219&lt;&gt;"",In!L219,"")</f>
        <v>14.509095</v>
      </c>
      <c r="I397" s="33" t="n">
        <f aca="false">IF(In!M219&lt;&gt;"",In!M219,"")</f>
        <v>16.71983</v>
      </c>
      <c r="J397" s="33" t="n">
        <f aca="false">IF(In!N219&lt;&gt;"",In!N219,"")</f>
        <v>18.386119</v>
      </c>
      <c r="K397" s="33" t="n">
        <f aca="false">IF(In!O219&lt;&gt;"",In!O219,"")</f>
        <v>19.017069</v>
      </c>
      <c r="L397" s="33" t="n">
        <f aca="false">IF(In!P219&lt;&gt;"",In!P219,"")</f>
        <v>20.845147</v>
      </c>
      <c r="M397" s="33" t="n">
        <f aca="false">IF(In!Q219&lt;&gt;"",In!Q219,"")</f>
        <v>22.609799</v>
      </c>
    </row>
    <row r="398" customFormat="false" ht="17.15" hidden="false" customHeight="false" outlineLevel="0" collapsed="false">
      <c r="A398" s="5" t="s">
        <v>2337</v>
      </c>
      <c r="B398" s="0" t="s">
        <v>2708</v>
      </c>
      <c r="C398" s="0" t="s">
        <v>395</v>
      </c>
      <c r="E398" s="33" t="str">
        <f aca="false">E397</f>
        <v/>
      </c>
      <c r="F398" s="33" t="str">
        <f aca="false">F397</f>
        <v/>
      </c>
      <c r="G398" s="33" t="n">
        <f aca="false">G397</f>
        <v>11.510881</v>
      </c>
      <c r="H398" s="33" t="n">
        <f aca="false">H397</f>
        <v>14.509095</v>
      </c>
      <c r="I398" s="33" t="n">
        <f aca="false">I397</f>
        <v>16.71983</v>
      </c>
      <c r="J398" s="33" t="n">
        <f aca="false">J397</f>
        <v>18.386119</v>
      </c>
      <c r="K398" s="33" t="n">
        <f aca="false">K397</f>
        <v>19.017069</v>
      </c>
    </row>
    <row r="399" customFormat="false" ht="17.15" hidden="false" customHeight="false" outlineLevel="0" collapsed="false">
      <c r="A399" s="5" t="s">
        <v>2339</v>
      </c>
      <c r="B399" s="0" t="s">
        <v>2709</v>
      </c>
      <c r="C399" s="0" t="s">
        <v>40</v>
      </c>
      <c r="E399" s="0" t="str">
        <f aca="false">IF(E398&lt;&gt;"","","無模型值（以 0 計；無 Y2 資本支出）")</f>
        <v>無模型值（以 0 計；無 Y2 資本支出）</v>
      </c>
      <c r="F399" s="0" t="str">
        <f aca="false">IF(F398&lt;&gt;"","","無模型值（以 0 計；無 Y2 資本支出）")</f>
        <v>無模型值（以 0 計；無 Y2 資本支出）</v>
      </c>
      <c r="G399" s="0" t="str">
        <f aca="false">IF(G398&lt;&gt;"","","無模型值（以 0 計；無 Y2 資本支出）")</f>
        <v/>
      </c>
      <c r="H399" s="0" t="str">
        <f aca="false">IF(H398&lt;&gt;"","","無模型值（以 0 計；無 Y2 資本支出）")</f>
        <v/>
      </c>
      <c r="I399" s="0" t="str">
        <f aca="false">IF(I398&lt;&gt;"","","無模型值（以 0 計；無 Y2 資本支出）")</f>
        <v/>
      </c>
      <c r="J399" s="0" t="str">
        <f aca="false">IF(J398&lt;&gt;"","","無模型值（以 0 計；無 Y2 資本支出）")</f>
        <v/>
      </c>
      <c r="K399" s="0" t="str">
        <f aca="false">IF(K398&lt;&gt;"","","無模型值（以 0 計；無 Y2 資本支出）")</f>
        <v/>
      </c>
    </row>
    <row r="400" customFormat="false" ht="17.15" hidden="false" customHeight="false" outlineLevel="0" collapsed="false">
      <c r="A400" s="5" t="s">
        <v>2674</v>
      </c>
      <c r="B400" s="0" t="s">
        <v>2710</v>
      </c>
      <c r="C400" s="0" t="s">
        <v>395</v>
      </c>
      <c r="E400" s="33" t="n">
        <f aca="false">N(E398)</f>
        <v>0</v>
      </c>
      <c r="F400" s="33" t="n">
        <f aca="false">N(F398)</f>
        <v>0</v>
      </c>
      <c r="G400" s="33" t="n">
        <f aca="false">N(G398)</f>
        <v>11.510881</v>
      </c>
      <c r="H400" s="33" t="n">
        <f aca="false">N(H398)</f>
        <v>14.509095</v>
      </c>
      <c r="I400" s="33" t="n">
        <f aca="false">N(I398)</f>
        <v>16.71983</v>
      </c>
      <c r="J400" s="33" t="n">
        <f aca="false">N(J398)</f>
        <v>18.386119</v>
      </c>
      <c r="K400" s="33" t="n">
        <f aca="false">N(K398)</f>
        <v>19.017069</v>
      </c>
    </row>
    <row r="401" customFormat="false" ht="15" hidden="false" customHeight="false" outlineLevel="0" collapsed="false">
      <c r="A401" s="5" t="s">
        <v>2344</v>
      </c>
      <c r="B401" s="0" t="s">
        <v>2711</v>
      </c>
      <c r="C401" s="0" t="s">
        <v>395</v>
      </c>
      <c r="D401" s="33" t="str">
        <f aca="false">IF(In!H220&lt;&gt;"",In!H220,"")</f>
        <v/>
      </c>
      <c r="E401" s="33" t="str">
        <f aca="false">IF(In!I220&lt;&gt;"",In!I220,"")</f>
        <v/>
      </c>
      <c r="F401" s="33" t="str">
        <f aca="false">IF(In!J220&lt;&gt;"",In!J220,"")</f>
        <v/>
      </c>
      <c r="G401" s="33" t="n">
        <f aca="false">IF(In!K220&lt;&gt;"",In!K220,"")</f>
        <v>85.569</v>
      </c>
      <c r="H401" s="33" t="n">
        <f aca="false">IF(In!L220&lt;&gt;"",In!L220,"")</f>
        <v>150.761572</v>
      </c>
      <c r="I401" s="33" t="n">
        <f aca="false">IF(In!M220&lt;&gt;"",In!M220,"")</f>
        <v>160.84055</v>
      </c>
      <c r="J401" s="33" t="n">
        <f aca="false">IF(In!N220&lt;&gt;"",In!N220,"")</f>
        <v>129.558646</v>
      </c>
      <c r="K401" s="33" t="n">
        <f aca="false">IF(In!O220&lt;&gt;"",In!O220,"")</f>
        <v>109.177958</v>
      </c>
      <c r="L401" s="33" t="n">
        <f aca="false">IF(In!P220&lt;&gt;"",In!P220,"")</f>
        <v>87.535184</v>
      </c>
      <c r="M401" s="33" t="n">
        <f aca="false">IF(In!Q220&lt;&gt;"",In!Q220,"")</f>
        <v>108.90522</v>
      </c>
    </row>
    <row r="402" customFormat="false" ht="15" hidden="false" customHeight="false" outlineLevel="0" collapsed="false">
      <c r="A402" s="5" t="s">
        <v>2346</v>
      </c>
      <c r="B402" s="0" t="s">
        <v>2712</v>
      </c>
      <c r="C402" s="0" t="s">
        <v>395</v>
      </c>
      <c r="E402" s="33" t="str">
        <f aca="false">E401</f>
        <v/>
      </c>
      <c r="F402" s="33" t="str">
        <f aca="false">F401</f>
        <v/>
      </c>
      <c r="G402" s="33" t="n">
        <f aca="false">G401</f>
        <v>85.569</v>
      </c>
      <c r="H402" s="33" t="n">
        <f aca="false">H401</f>
        <v>150.761572</v>
      </c>
      <c r="I402" s="33" t="n">
        <f aca="false">I401</f>
        <v>160.84055</v>
      </c>
      <c r="J402" s="33" t="n">
        <f aca="false">J401</f>
        <v>129.558646</v>
      </c>
      <c r="K402" s="33" t="n">
        <f aca="false">K401</f>
        <v>109.177958</v>
      </c>
    </row>
    <row r="403" customFormat="false" ht="17.15" hidden="false" customHeight="false" outlineLevel="0" collapsed="false">
      <c r="A403" s="5" t="s">
        <v>2348</v>
      </c>
      <c r="B403" s="0" t="s">
        <v>2713</v>
      </c>
      <c r="C403" s="0" t="s">
        <v>395</v>
      </c>
      <c r="D403" s="33" t="str">
        <f aca="false">IF(In!H218&lt;&gt;"",In!H218,"")</f>
        <v/>
      </c>
      <c r="E403" s="33" t="str">
        <f aca="false">IF(In!I218&lt;&gt;"",In!I218,"")</f>
        <v/>
      </c>
      <c r="F403" s="33" t="str">
        <f aca="false">IF(In!J218&lt;&gt;"",In!J218,"")</f>
        <v/>
      </c>
      <c r="G403" s="33" t="n">
        <f aca="false">IF(In!K218&lt;&gt;"",In!K218,"")</f>
        <v>74.058119</v>
      </c>
      <c r="H403" s="33" t="n">
        <f aca="false">IF(In!L218&lt;&gt;"",In!L218,"")</f>
        <v>136.252477</v>
      </c>
      <c r="I403" s="33" t="n">
        <f aca="false">IF(In!M218&lt;&gt;"",In!M218,"")</f>
        <v>144.12072</v>
      </c>
      <c r="J403" s="33" t="n">
        <f aca="false">IF(In!N218&lt;&gt;"",In!N218,"")</f>
        <v>111.172527</v>
      </c>
      <c r="K403" s="33" t="n">
        <f aca="false">IF(In!O218&lt;&gt;"",In!O218,"")</f>
        <v>90.160889</v>
      </c>
      <c r="L403" s="33" t="n">
        <f aca="false">IF(In!P218&lt;&gt;"",In!P218,"")</f>
        <v>66.690036</v>
      </c>
      <c r="M403" s="33" t="n">
        <f aca="false">IF(In!Q218&lt;&gt;"",In!Q218,"")</f>
        <v>86.295421</v>
      </c>
    </row>
    <row r="404" customFormat="false" ht="17.15" hidden="false" customHeight="false" outlineLevel="0" collapsed="false">
      <c r="A404" s="5" t="s">
        <v>2350</v>
      </c>
      <c r="B404" s="0" t="s">
        <v>2714</v>
      </c>
      <c r="C404" s="0" t="s">
        <v>395</v>
      </c>
      <c r="E404" s="33" t="str">
        <f aca="false">E403</f>
        <v/>
      </c>
      <c r="F404" s="33" t="str">
        <f aca="false">F403</f>
        <v/>
      </c>
      <c r="G404" s="33" t="n">
        <f aca="false">G403</f>
        <v>74.058119</v>
      </c>
      <c r="H404" s="33" t="n">
        <f aca="false">H403</f>
        <v>136.252477</v>
      </c>
      <c r="I404" s="33" t="n">
        <f aca="false">I403</f>
        <v>144.12072</v>
      </c>
      <c r="J404" s="33" t="n">
        <f aca="false">J403</f>
        <v>111.172527</v>
      </c>
      <c r="K404" s="33" t="n">
        <f aca="false">K403</f>
        <v>90.160889</v>
      </c>
    </row>
    <row r="405" customFormat="false" ht="17.15" hidden="false" customHeight="false" outlineLevel="0" collapsed="false">
      <c r="A405" s="5" t="s">
        <v>2354</v>
      </c>
      <c r="B405" s="0" t="s">
        <v>2715</v>
      </c>
      <c r="C405" s="0" t="s">
        <v>395</v>
      </c>
      <c r="D405" s="33" t="str">
        <f aca="false">IF(In!H217&lt;&gt;"",In!H217,"")</f>
        <v/>
      </c>
      <c r="E405" s="33" t="str">
        <f aca="false">IF(In!I217&lt;&gt;"",In!I217,"")</f>
        <v/>
      </c>
      <c r="F405" s="33" t="n">
        <f aca="false">IF(In!J217&lt;&gt;"",In!J217,IF(Funding!E25&lt;&gt;"",Funding!E25,""))</f>
        <v>6.8</v>
      </c>
      <c r="G405" s="33" t="n">
        <f aca="false">IF(In!K217&lt;&gt;"",In!K217,"")</f>
        <v>24.056468</v>
      </c>
      <c r="H405" s="33" t="n">
        <f aca="false">IF(In!L217&lt;&gt;"",In!L217,"")</f>
        <v>68.835673</v>
      </c>
      <c r="I405" s="33" t="n">
        <f aca="false">IF(In!M217&lt;&gt;"",In!M217,"")</f>
        <v>99.959296</v>
      </c>
      <c r="J405" s="33" t="n">
        <f aca="false">IF(In!N217&lt;&gt;"",In!N217,"")</f>
        <v>120.470028</v>
      </c>
      <c r="K405" s="33" t="n">
        <f aca="false">IF(In!O217&lt;&gt;"",In!O217,"")</f>
        <v>129.653278</v>
      </c>
      <c r="L405" s="33" t="n">
        <f aca="false">IF(In!P217&lt;&gt;"",In!P217,"")</f>
        <v>146.935362</v>
      </c>
      <c r="M405" s="33" t="n">
        <f aca="false">IF(In!Q217&lt;&gt;"",In!Q217,"")</f>
        <v>159.095572</v>
      </c>
    </row>
    <row r="406" customFormat="false" ht="17.15" hidden="false" customHeight="false" outlineLevel="0" collapsed="false">
      <c r="A406" s="5" t="s">
        <v>2356</v>
      </c>
      <c r="B406" s="0" t="s">
        <v>2716</v>
      </c>
      <c r="C406" s="0" t="s">
        <v>40</v>
      </c>
      <c r="D406" s="0" t="str">
        <f aca="false">IF(In!H217&lt;&gt;"","模型",IF(D405&lt;&gt;"","Funding 觀測","無模型值"))</f>
        <v>無模型值</v>
      </c>
      <c r="E406" s="0" t="str">
        <f aca="false">IF(In!I217&lt;&gt;"","模型",IF(E405&lt;&gt;"","Funding 觀測","無模型值"))</f>
        <v>無模型值</v>
      </c>
      <c r="F406" s="0" t="str">
        <f aca="false">IF(In!J217&lt;&gt;"","模型",IF(F405&lt;&gt;"","Funding 觀測","無模型值"))</f>
        <v>Funding 觀測</v>
      </c>
      <c r="G406" s="0" t="str">
        <f aca="false">IF(In!K217&lt;&gt;"","模型",IF(G405&lt;&gt;"","Funding 觀測","無模型值"))</f>
        <v>模型</v>
      </c>
      <c r="H406" s="0" t="str">
        <f aca="false">IF(In!L217&lt;&gt;"","模型",IF(H405&lt;&gt;"","Funding 觀測","無模型值"))</f>
        <v>模型</v>
      </c>
      <c r="I406" s="0" t="str">
        <f aca="false">IF(In!M217&lt;&gt;"","模型",IF(I405&lt;&gt;"","Funding 觀測","無模型值"))</f>
        <v>模型</v>
      </c>
      <c r="J406" s="0" t="str">
        <f aca="false">IF(In!N217&lt;&gt;"","模型",IF(J405&lt;&gt;"","Funding 觀測","無模型值"))</f>
        <v>模型</v>
      </c>
      <c r="K406" s="0" t="str">
        <f aca="false">IF(In!O217&lt;&gt;"","模型",IF(K405&lt;&gt;"","Funding 觀測","無模型值"))</f>
        <v>模型</v>
      </c>
      <c r="L406" s="0" t="str">
        <f aca="false">IF(In!P217&lt;&gt;"","模型",IF(L405&lt;&gt;"","Funding 觀測","無模型值"))</f>
        <v>模型</v>
      </c>
      <c r="M406" s="0" t="str">
        <f aca="false">IF(In!Q217&lt;&gt;"","模型",IF(M405&lt;&gt;"","Funding 觀測","無模型值"))</f>
        <v>模型</v>
      </c>
    </row>
    <row r="407" customFormat="false" ht="15" hidden="false" customHeight="false" outlineLevel="0" collapsed="false">
      <c r="A407" s="5" t="s">
        <v>2358</v>
      </c>
      <c r="B407" s="0" t="s">
        <v>2717</v>
      </c>
      <c r="C407" s="0" t="s">
        <v>395</v>
      </c>
      <c r="E407" s="40" t="str">
        <f aca="false">E405</f>
        <v/>
      </c>
      <c r="F407" s="40" t="n">
        <f aca="false">F405</f>
        <v>6.8</v>
      </c>
      <c r="G407" s="40" t="n">
        <f aca="false">G405</f>
        <v>24.056468</v>
      </c>
      <c r="H407" s="40" t="n">
        <f aca="false">H405</f>
        <v>68.835673</v>
      </c>
      <c r="I407" s="40" t="n">
        <f aca="false">I405</f>
        <v>99.959296</v>
      </c>
      <c r="J407" s="40" t="n">
        <f aca="false">J405</f>
        <v>120.470028</v>
      </c>
      <c r="K407" s="40" t="n">
        <f aca="false">K405</f>
        <v>129.653278</v>
      </c>
    </row>
    <row r="408" customFormat="false" ht="17.15" hidden="false" customHeight="false" outlineLevel="0" collapsed="false">
      <c r="A408" s="5" t="s">
        <v>2360</v>
      </c>
      <c r="B408" s="0" t="s">
        <v>2718</v>
      </c>
      <c r="C408" s="0" t="s">
        <v>40</v>
      </c>
      <c r="E408" s="0" t="str">
        <f aca="false">IF(AND(ABS(E393)&lt;0.000000001,E407&lt;&gt;"",ISNUMBER(E404)),IF(N(E404)&gt;0,"模型值替代（無 GW 證據）",""),"")</f>
        <v/>
      </c>
      <c r="F408" s="0" t="str">
        <f aca="false">IF(AND(ABS(F393)&lt;0.000000001,F407&lt;&gt;"",ISNUMBER(F404)),IF(N(F404)&gt;0,"模型值替代（無 GW 證據）",""),"")</f>
        <v/>
      </c>
      <c r="G408" s="0" t="str">
        <f aca="false">IF(AND(ABS(G393)&lt;0.000000001,G407&lt;&gt;"",ISNUMBER(G404)),IF(N(G404)&gt;0,"模型值替代（無 GW 證據）",""),"")</f>
        <v/>
      </c>
      <c r="H408" s="0" t="str">
        <f aca="false">IF(AND(ABS(H393)&lt;0.000000001,H407&lt;&gt;"",ISNUMBER(H404)),IF(N(H404)&gt;0,"模型值替代（無 GW 證據）",""),"")</f>
        <v/>
      </c>
      <c r="I408" s="0" t="str">
        <f aca="false">IF(AND(ABS(I393)&lt;0.000000001,I407&lt;&gt;"",ISNUMBER(I404)),IF(N(I404)&gt;0,"模型值替代（無 GW 證據）",""),"")</f>
        <v>模型值替代（無 GW 證據）</v>
      </c>
      <c r="J408" s="0" t="str">
        <f aca="false">IF(AND(ABS(J393)&lt;0.000000001,J407&lt;&gt;"",ISNUMBER(J404)),IF(N(J404)&gt;0,"模型值替代（無 GW 證據）",""),"")</f>
        <v>模型值替代（無 GW 證據）</v>
      </c>
      <c r="K408" s="0" t="str">
        <f aca="false">IF(AND(ABS(K393)&lt;0.000000001,K407&lt;&gt;"",ISNUMBER(K404)),IF(N(K404)&gt;0,"模型值替代（無 GW 證據）",""),"")</f>
        <v>模型值替代（無 GW 證據）</v>
      </c>
      <c r="N408" s="5" t="s">
        <v>2362</v>
      </c>
    </row>
    <row r="409" customFormat="false" ht="17.15" hidden="false" customHeight="false" outlineLevel="0" collapsed="false">
      <c r="A409" s="5" t="s">
        <v>2363</v>
      </c>
      <c r="B409" s="0" t="s">
        <v>2719</v>
      </c>
      <c r="C409" s="0" t="s">
        <v>395</v>
      </c>
      <c r="E409" s="40" t="n">
        <f aca="false">IF(E408&lt;&gt;"",E404,E393)</f>
        <v>9.060317</v>
      </c>
      <c r="F409" s="40" t="n">
        <f aca="false">IF(F408&lt;&gt;"",F404,F393)</f>
        <v>12.766292</v>
      </c>
      <c r="G409" s="40" t="n">
        <f aca="false">IF(G408&lt;&gt;"",G404,G393)</f>
        <v>51.494723795232</v>
      </c>
      <c r="H409" s="40" t="n">
        <f aca="false">IF(H408&lt;&gt;"",H404,H393)</f>
        <v>22.4291277596439</v>
      </c>
      <c r="I409" s="40" t="n">
        <f aca="false">IF(I408&lt;&gt;"",I404,I393)</f>
        <v>144.12072</v>
      </c>
      <c r="J409" s="40" t="n">
        <f aca="false">IF(J408&lt;&gt;"",J404,J393)</f>
        <v>111.172527</v>
      </c>
      <c r="K409" s="40" t="n">
        <f aca="false">IF(K408&lt;&gt;"",K404,K393)</f>
        <v>90.160889</v>
      </c>
    </row>
    <row r="410" customFormat="false" ht="17.15" hidden="false" customHeight="false" outlineLevel="0" collapsed="false">
      <c r="A410" s="5" t="s">
        <v>2685</v>
      </c>
      <c r="B410" s="0" t="s">
        <v>2720</v>
      </c>
      <c r="C410" s="0" t="s">
        <v>395</v>
      </c>
      <c r="E410" s="33" t="n">
        <f aca="false">E409</f>
        <v>9.060317</v>
      </c>
      <c r="F410" s="33" t="n">
        <f aca="false">F409</f>
        <v>12.766292</v>
      </c>
      <c r="G410" s="33" t="n">
        <f aca="false">G409</f>
        <v>51.494723795232</v>
      </c>
      <c r="H410" s="33" t="n">
        <f aca="false">H409</f>
        <v>22.4291277596439</v>
      </c>
      <c r="I410" s="33" t="n">
        <f aca="false">I409</f>
        <v>144.12072</v>
      </c>
      <c r="J410" s="33" t="n">
        <f aca="false">J409</f>
        <v>111.172527</v>
      </c>
      <c r="K410" s="33" t="n">
        <f aca="false">K409</f>
        <v>90.160889</v>
      </c>
    </row>
    <row r="411" customFormat="false" ht="15" hidden="false" customHeight="false" outlineLevel="0" collapsed="false">
      <c r="A411" s="5" t="s">
        <v>2366</v>
      </c>
      <c r="B411" s="0" t="s">
        <v>2721</v>
      </c>
      <c r="C411" s="0" t="s">
        <v>395</v>
      </c>
      <c r="D411" s="33" t="str">
        <f aca="false">IF(In!H221&lt;&gt;"",In!H221,"")</f>
        <v/>
      </c>
      <c r="E411" s="33" t="str">
        <f aca="false">IF(In!I221&lt;&gt;"",In!I221,"")</f>
        <v/>
      </c>
      <c r="F411" s="33" t="str">
        <f aca="false">IF(In!J221&lt;&gt;"",In!J221,IF(Funding!T25&lt;&gt;"",Funding!T25,""))</f>
        <v/>
      </c>
      <c r="G411" s="33" t="str">
        <f aca="false">IF(In!K221&lt;&gt;"",In!K221,"")</f>
        <v/>
      </c>
      <c r="H411" s="33" t="str">
        <f aca="false">IF(In!L221&lt;&gt;"",In!L221,"")</f>
        <v/>
      </c>
      <c r="I411" s="33" t="str">
        <f aca="false">IF(In!M221&lt;&gt;"",In!M221,"")</f>
        <v/>
      </c>
      <c r="J411" s="33" t="str">
        <f aca="false">IF(In!N221&lt;&gt;"",In!N221,"")</f>
        <v/>
      </c>
      <c r="K411" s="33" t="str">
        <f aca="false">IF(In!O221&lt;&gt;"",In!O221,"")</f>
        <v/>
      </c>
      <c r="L411" s="33" t="str">
        <f aca="false">IF(In!P221&lt;&gt;"",In!P221,"")</f>
        <v/>
      </c>
      <c r="M411" s="33" t="str">
        <f aca="false">IF(In!Q221&lt;&gt;"",In!Q221,"")</f>
        <v/>
      </c>
    </row>
    <row r="412" customFormat="false" ht="15" hidden="false" customHeight="false" outlineLevel="0" collapsed="false">
      <c r="A412" s="5" t="s">
        <v>2368</v>
      </c>
      <c r="B412" s="0" t="s">
        <v>2722</v>
      </c>
      <c r="C412" s="0" t="s">
        <v>395</v>
      </c>
      <c r="E412" s="33" t="str">
        <f aca="false">E411</f>
        <v/>
      </c>
      <c r="F412" s="33" t="str">
        <f aca="false">F411</f>
        <v/>
      </c>
      <c r="G412" s="33" t="str">
        <f aca="false">G411</f>
        <v/>
      </c>
      <c r="H412" s="33" t="str">
        <f aca="false">H411</f>
        <v/>
      </c>
      <c r="I412" s="33" t="str">
        <f aca="false">I411</f>
        <v/>
      </c>
      <c r="J412" s="33" t="str">
        <f aca="false">J411</f>
        <v/>
      </c>
      <c r="K412" s="33" t="str">
        <f aca="false">K411</f>
        <v/>
      </c>
    </row>
    <row r="413" customFormat="false" ht="17.15" hidden="false" customHeight="false" outlineLevel="0" collapsed="false">
      <c r="A413" s="5" t="s">
        <v>2370</v>
      </c>
      <c r="B413" s="0" t="s">
        <v>2723</v>
      </c>
      <c r="C413" s="0" t="s">
        <v>395</v>
      </c>
      <c r="E413" s="33" t="n">
        <f aca="false">E409+E400</f>
        <v>9.060317</v>
      </c>
      <c r="F413" s="33" t="n">
        <f aca="false">F409+F400</f>
        <v>12.766292</v>
      </c>
      <c r="G413" s="33" t="n">
        <f aca="false">G409+G400</f>
        <v>63.005604795232</v>
      </c>
      <c r="H413" s="33" t="n">
        <f aca="false">H409+H400</f>
        <v>36.9382227596439</v>
      </c>
      <c r="I413" s="33" t="n">
        <f aca="false">I409+I400</f>
        <v>160.84055</v>
      </c>
      <c r="J413" s="33" t="n">
        <f aca="false">J409+J400</f>
        <v>129.558646</v>
      </c>
      <c r="K413" s="33" t="n">
        <f aca="false">K409+K400</f>
        <v>109.177958</v>
      </c>
    </row>
    <row r="414" customFormat="false" ht="17.15" hidden="false" customHeight="false" outlineLevel="0" collapsed="false">
      <c r="A414" s="5" t="s">
        <v>2372</v>
      </c>
      <c r="B414" s="0" t="s">
        <v>2724</v>
      </c>
      <c r="C414" s="0" t="s">
        <v>41</v>
      </c>
      <c r="E414" s="30" t="str">
        <f aca="false">IF(OR(E407="",E413&lt;=0),"",E407/E413)</f>
        <v/>
      </c>
      <c r="F414" s="30" t="n">
        <f aca="false">IF(OR(F407="",F413&lt;=0),"",F407/F413)</f>
        <v>0.532652707614709</v>
      </c>
      <c r="G414" s="30" t="n">
        <f aca="false">IF(OR(G407="",G413&lt;=0),"",G407/G413)</f>
        <v>0.381814730263814</v>
      </c>
      <c r="H414" s="30" t="n">
        <f aca="false">IF(OR(H407="",H413&lt;=0),"",H407/H413)</f>
        <v>1.86353505548743</v>
      </c>
      <c r="I414" s="30" t="n">
        <f aca="false">IF(OR(I407="",I413&lt;=0),"",I407/I413)</f>
        <v>0.621480690037431</v>
      </c>
      <c r="J414" s="30" t="n">
        <f aca="false">IF(OR(J407="",J413&lt;=0),"",J407/J413)</f>
        <v>0.929849390367973</v>
      </c>
      <c r="K414" s="30" t="n">
        <f aca="false">IF(OR(K407="",K413&lt;=0),"",K407/K413)</f>
        <v>1.18754078547613</v>
      </c>
    </row>
    <row r="415" customFormat="false" ht="17.15" hidden="false" customHeight="false" outlineLevel="0" collapsed="false">
      <c r="A415" s="5" t="s">
        <v>2374</v>
      </c>
      <c r="B415" s="0" t="s">
        <v>2725</v>
      </c>
      <c r="C415" s="0" t="s">
        <v>395</v>
      </c>
      <c r="E415" s="40" t="str">
        <f aca="false">IF(E407="","",E413-E407)</f>
        <v/>
      </c>
      <c r="F415" s="40" t="n">
        <f aca="false">IF(F407="","",F413-F407)</f>
        <v>5.966292</v>
      </c>
      <c r="G415" s="40" t="n">
        <f aca="false">IF(G407="","",G413-G407)</f>
        <v>38.949136795232</v>
      </c>
      <c r="H415" s="40" t="n">
        <f aca="false">IF(H407="","",H413-H407)</f>
        <v>-31.8974502403561</v>
      </c>
      <c r="I415" s="40" t="n">
        <f aca="false">IF(I407="","",I413-I407)</f>
        <v>60.881254</v>
      </c>
      <c r="J415" s="40" t="n">
        <f aca="false">IF(J407="","",J413-J407)</f>
        <v>9.08861800000001</v>
      </c>
      <c r="K415" s="40" t="n">
        <f aca="false">IF(K407="","",K413-K407)</f>
        <v>-20.47532</v>
      </c>
    </row>
    <row r="416" customFormat="false" ht="17.15" hidden="false" customHeight="false" outlineLevel="0" collapsed="false">
      <c r="A416" s="5" t="s">
        <v>2433</v>
      </c>
      <c r="B416" s="0" t="s">
        <v>2726</v>
      </c>
      <c r="C416" s="0" t="s">
        <v>395</v>
      </c>
      <c r="E416" s="40" t="n">
        <f aca="false">0</f>
        <v>0</v>
      </c>
      <c r="F416" s="40" t="n">
        <f aca="false">N(Funding!AL25)</f>
        <v>16</v>
      </c>
    </row>
    <row r="417" customFormat="false" ht="17.15" hidden="false" customHeight="false" outlineLevel="0" collapsed="false">
      <c r="A417" s="5" t="s">
        <v>2435</v>
      </c>
      <c r="B417" s="0" t="s">
        <v>2727</v>
      </c>
      <c r="C417" s="0" t="s">
        <v>395</v>
      </c>
      <c r="E417" s="33" t="n">
        <f aca="false">0</f>
        <v>0</v>
      </c>
      <c r="F417" s="33" t="n">
        <f aca="false">(N(Funding!J25)+N(Funding!K25)+N(Funding!L25)+N(Funding!M25))</f>
        <v>16</v>
      </c>
    </row>
    <row r="418" customFormat="false" ht="15" hidden="false" customHeight="false" outlineLevel="0" collapsed="false">
      <c r="A418" s="5" t="s">
        <v>2437</v>
      </c>
      <c r="B418" s="0" t="s">
        <v>2728</v>
      </c>
      <c r="C418" s="0" t="s">
        <v>395</v>
      </c>
      <c r="E418" s="33" t="n">
        <f aca="false">0</f>
        <v>0</v>
      </c>
      <c r="F418" s="33" t="n">
        <f aca="false">N(Funding!R25)</f>
        <v>0</v>
      </c>
    </row>
    <row r="419" customFormat="false" ht="15" hidden="false" customHeight="false" outlineLevel="0" collapsed="false">
      <c r="A419" s="5" t="s">
        <v>2439</v>
      </c>
      <c r="B419" s="0" t="s">
        <v>2729</v>
      </c>
      <c r="C419" s="0" t="s">
        <v>395</v>
      </c>
      <c r="E419" s="33" t="n">
        <f aca="false">0</f>
        <v>0</v>
      </c>
      <c r="F419" s="33" t="n">
        <f aca="false">(N(Funding!AL25)-(N(Funding!J25)+N(Funding!K25)+N(Funding!L25)+N(Funding!M25))-N(Funding!R25))</f>
        <v>0</v>
      </c>
    </row>
    <row r="420" customFormat="false" ht="17.15" hidden="false" customHeight="false" outlineLevel="0" collapsed="false">
      <c r="A420" s="5" t="s">
        <v>2384</v>
      </c>
      <c r="B420" s="0" t="s">
        <v>2730</v>
      </c>
      <c r="C420" s="0" t="s">
        <v>395</v>
      </c>
      <c r="E420" s="33" t="str">
        <f aca="false">IF(E415="","",E415-E416)</f>
        <v/>
      </c>
      <c r="F420" s="33" t="n">
        <f aca="false">IF(F415="","",F415-F416)</f>
        <v>-10.033708</v>
      </c>
    </row>
    <row r="421" customFormat="false" ht="17.15" hidden="false" customHeight="false" outlineLevel="0" collapsed="false">
      <c r="A421" s="5" t="s">
        <v>2386</v>
      </c>
      <c r="B421" s="0" t="s">
        <v>2731</v>
      </c>
      <c r="C421" s="0" t="s">
        <v>395</v>
      </c>
      <c r="G421" s="33" t="n">
        <f aca="false">IF(Funding!O26&lt;&gt;"",Funding!O26,N(Funding!O25))</f>
        <v>0</v>
      </c>
      <c r="N421" s="5" t="s">
        <v>2388</v>
      </c>
    </row>
    <row r="422" customFormat="false" ht="17.15" hidden="false" customHeight="false" outlineLevel="0" collapsed="false">
      <c r="A422" s="5" t="s">
        <v>2389</v>
      </c>
      <c r="B422" s="0" t="s">
        <v>2732</v>
      </c>
      <c r="C422" s="0" t="s">
        <v>395</v>
      </c>
      <c r="G422" s="33" t="n">
        <f aca="false">IF(Funding!Q26&lt;&gt;"",Funding!Q26,N(Funding!Q25))</f>
        <v>0</v>
      </c>
      <c r="N422" s="5" t="s">
        <v>2391</v>
      </c>
    </row>
    <row r="423" customFormat="false" ht="17.15" hidden="false" customHeight="false" outlineLevel="0" collapsed="false">
      <c r="A423" s="5" t="s">
        <v>2392</v>
      </c>
      <c r="B423" s="0" t="s">
        <v>2733</v>
      </c>
      <c r="C423" s="0" t="s">
        <v>395</v>
      </c>
      <c r="G423" s="33" t="n">
        <f aca="false">N(Funding!AL26)</f>
        <v>100</v>
      </c>
    </row>
    <row r="424" customFormat="false" ht="17.15" hidden="false" customHeight="false" outlineLevel="0" collapsed="false">
      <c r="A424" s="5" t="s">
        <v>2394</v>
      </c>
      <c r="B424" s="0" t="s">
        <v>2734</v>
      </c>
      <c r="C424" s="0" t="s">
        <v>395</v>
      </c>
      <c r="G424" s="33" t="str">
        <f aca="false">IF(COUNTIFS(FundRaw!$C$4:$C$281,"xai",FundRaw!$F$4:$F$281,"cash_level",FundRaw!$D$4:$D$281,"2025-12-31",FundRaw!$O$4:$O$281,1)=0,"未取得",SUMIFS(FundRaw!$G$4:$G$281,FundRaw!$C$4:$C$281,"xai",FundRaw!$F$4:$F$281,"cash_level",FundRaw!$D$4:$D$281,"2025-12-31",FundRaw!$O$4:$O$281,1))</f>
        <v>未取得</v>
      </c>
      <c r="N424" s="5" t="s">
        <v>2396</v>
      </c>
    </row>
    <row r="425" customFormat="false" ht="17.15" hidden="false" customHeight="false" outlineLevel="0" collapsed="false">
      <c r="A425" s="5" t="s">
        <v>2397</v>
      </c>
      <c r="B425" s="0" t="s">
        <v>2735</v>
      </c>
      <c r="C425" s="0" t="s">
        <v>395</v>
      </c>
      <c r="G425" s="33" t="n">
        <f aca="false">IF(ISNUMBER(G424),G424,N(gcash_xai))</f>
        <v>24.747</v>
      </c>
      <c r="N425" s="5" t="s">
        <v>2736</v>
      </c>
    </row>
    <row r="426" customFormat="false" ht="17.15" hidden="false" customHeight="false" outlineLevel="0" collapsed="false">
      <c r="A426" s="5" t="s">
        <v>2400</v>
      </c>
      <c r="B426" s="0" t="s">
        <v>2737</v>
      </c>
      <c r="C426" s="0" t="s">
        <v>40</v>
      </c>
      <c r="G426" s="0" t="str">
        <f aca="false">IF(ISNUMBER(G424),"Funding 觀測","個股模型（In Y9）")</f>
        <v>個股模型（In Y9）</v>
      </c>
    </row>
    <row r="427" customFormat="false" ht="17.15" hidden="false" customHeight="false" outlineLevel="0" collapsed="false">
      <c r="A427" s="5" t="s">
        <v>2402</v>
      </c>
      <c r="B427" s="0" t="s">
        <v>2738</v>
      </c>
      <c r="C427" s="0" t="s">
        <v>395</v>
      </c>
      <c r="E427" s="33" t="str">
        <f aca="false">IF(E407="","",E407-E413)</f>
        <v/>
      </c>
      <c r="F427" s="33" t="n">
        <f aca="false">IF(F407="","",F407-F413)</f>
        <v>-5.966292</v>
      </c>
      <c r="G427" s="33" t="n">
        <f aca="false">IF(G407="","",G407-G413)</f>
        <v>-38.949136795232</v>
      </c>
      <c r="H427" s="33" t="n">
        <f aca="false">IF(H407="","",H407-H413)</f>
        <v>31.8974502403561</v>
      </c>
      <c r="I427" s="33" t="n">
        <f aca="false">IF(I407="","",I407-I413)</f>
        <v>-60.881254</v>
      </c>
      <c r="J427" s="33" t="n">
        <f aca="false">IF(J407="","",J407-J413)</f>
        <v>-9.08861800000001</v>
      </c>
      <c r="K427" s="33" t="n">
        <f aca="false">IF(K407="","",K407-K413)</f>
        <v>20.47532</v>
      </c>
    </row>
    <row r="428" customFormat="false" ht="15" hidden="false" customHeight="false" outlineLevel="0" collapsed="false">
      <c r="A428" s="5" t="s">
        <v>2404</v>
      </c>
      <c r="B428" s="0" t="s">
        <v>2739</v>
      </c>
      <c r="C428" s="0" t="s">
        <v>57</v>
      </c>
      <c r="E428" s="23" t="str">
        <f aca="false">IF(OR(E415="",E413&lt;=0),"",E415/E413)</f>
        <v/>
      </c>
      <c r="F428" s="23" t="n">
        <f aca="false">IF(OR(F415="",F413&lt;=0),"",F415/F413)</f>
        <v>0.467347292385291</v>
      </c>
      <c r="G428" s="23" t="n">
        <f aca="false">IF(OR(G415="",G413&lt;=0),"",G415/G413)</f>
        <v>0.618185269736186</v>
      </c>
      <c r="H428" s="23" t="n">
        <f aca="false">IF(OR(H415="",H413&lt;=0),"",H415/H413)</f>
        <v>-0.86353505548743</v>
      </c>
      <c r="I428" s="23" t="n">
        <f aca="false">IF(OR(I415="",I413&lt;=0),"",I415/I413)</f>
        <v>0.378519309962569</v>
      </c>
      <c r="J428" s="23" t="n">
        <f aca="false">IF(OR(J415="",J413&lt;=0),"",J415/J413)</f>
        <v>0.0701506096320273</v>
      </c>
      <c r="K428" s="23" t="n">
        <f aca="false">IF(OR(K415="",K413&lt;=0),"",K415/K413)</f>
        <v>-0.187540785476131</v>
      </c>
    </row>
    <row r="430" customFormat="false" ht="17.15" hidden="false" customHeight="false" outlineLevel="0" collapsed="false">
      <c r="A430" s="8" t="s">
        <v>1682</v>
      </c>
      <c r="B430" s="21" t="s">
        <v>753</v>
      </c>
      <c r="N430" s="5" t="s">
        <v>2740</v>
      </c>
    </row>
    <row r="431" customFormat="false" ht="17.15" hidden="false" customHeight="false" outlineLevel="0" collapsed="false">
      <c r="A431" s="5" t="s">
        <v>2741</v>
      </c>
      <c r="B431" s="0" t="s">
        <v>2742</v>
      </c>
      <c r="C431" s="0" t="s">
        <v>82</v>
      </c>
      <c r="D431" s="25" t="n">
        <f aca="false">Players!D207</f>
        <v>0</v>
      </c>
      <c r="E431" s="25" t="n">
        <f aca="false">Players!E207</f>
        <v>0</v>
      </c>
      <c r="F431" s="25" t="n">
        <f aca="false">Players!F207</f>
        <v>0</v>
      </c>
      <c r="G431" s="25" t="n">
        <f aca="false">Players!G207</f>
        <v>0</v>
      </c>
      <c r="H431" s="25" t="n">
        <f aca="false">Players!H207</f>
        <v>0.522</v>
      </c>
      <c r="I431" s="25" t="n">
        <f aca="false">Players!I207</f>
        <v>1.245</v>
      </c>
      <c r="J431" s="25" t="n">
        <f aca="false">Players!J207</f>
        <v>1.149</v>
      </c>
      <c r="K431" s="25" t="n">
        <f aca="false">Players!K207</f>
        <v>1.149</v>
      </c>
      <c r="L431" s="25" t="n">
        <f aca="false">Players!L207</f>
        <v>1.15</v>
      </c>
      <c r="M431" s="25" t="n">
        <f aca="false">Players!M207</f>
        <v>0</v>
      </c>
      <c r="N431" s="5" t="s">
        <v>2743</v>
      </c>
    </row>
    <row r="432" customFormat="false" ht="17.15" hidden="false" customHeight="false" outlineLevel="0" collapsed="false">
      <c r="A432" s="5" t="s">
        <v>2744</v>
      </c>
      <c r="B432" s="0" t="s">
        <v>1560</v>
      </c>
      <c r="C432" s="0" t="s">
        <v>82</v>
      </c>
      <c r="D432" s="25" t="n">
        <f aca="false">0</f>
        <v>0</v>
      </c>
      <c r="E432" s="25" t="n">
        <f aca="false">0</f>
        <v>0</v>
      </c>
      <c r="F432" s="25" t="n">
        <f aca="false">0</f>
        <v>0</v>
      </c>
      <c r="G432" s="25" t="n">
        <f aca="false">0</f>
        <v>0</v>
      </c>
      <c r="H432" s="25" t="n">
        <f aca="false">0</f>
        <v>0</v>
      </c>
      <c r="I432" s="25" t="n">
        <f aca="false">0</f>
        <v>0</v>
      </c>
      <c r="J432" s="25" t="n">
        <f aca="false">0</f>
        <v>0</v>
      </c>
      <c r="K432" s="25" t="n">
        <f aca="false">0</f>
        <v>0</v>
      </c>
      <c r="L432" s="25" t="n">
        <f aca="false">0</f>
        <v>0</v>
      </c>
      <c r="M432" s="25" t="n">
        <f aca="false">0</f>
        <v>0</v>
      </c>
      <c r="N432" s="21" t="s">
        <v>2745</v>
      </c>
    </row>
    <row r="433" customFormat="false" ht="17.15" hidden="false" customHeight="false" outlineLevel="0" collapsed="false">
      <c r="A433" s="5" t="s">
        <v>2660</v>
      </c>
      <c r="B433" s="0" t="s">
        <v>2746</v>
      </c>
      <c r="C433" s="0" t="s">
        <v>230</v>
      </c>
      <c r="D433" s="30" t="n">
        <f aca="false">(1-Players!D209)*CapexGW!D7+Players!D209*TK_NonNV_Hold_OAI*TK_CapexIT_VR200</f>
        <v>28.1197620228831</v>
      </c>
      <c r="E433" s="30" t="n">
        <f aca="false">(1-Players!E209)*CapexGW!E7+Players!E209*TK_NonNV_Hold_OAI*TK_CapexIT_VR200</f>
        <v>28.1197620228831</v>
      </c>
      <c r="F433" s="30" t="n">
        <f aca="false">(1-Players!F209)*CapexGW!F7+Players!F209*TK_NonNV_Hold_OAI*TK_CapexIT_VR200</f>
        <v>26.9762193481784</v>
      </c>
      <c r="G433" s="30" t="n">
        <f aca="false">(1-Players!G209)*CapexGW!G7+Players!G209*TK_NonNV_Hold_OAI*TK_CapexIT_VR200</f>
        <v>32.6172312624117</v>
      </c>
      <c r="H433" s="30" t="n">
        <f aca="false">(1-Players!H209)*CapexGW!H7+Players!H209*TK_NonNV_Hold_OAI*TK_CapexIT_VR200</f>
        <v>36.0814797880606</v>
      </c>
      <c r="I433" s="30" t="n">
        <f aca="false">(1-Players!I209)*CapexGW!I7+Players!I209*TK_NonNV_Hold_OAI*TK_CapexIT_VR200</f>
        <v>38.2957297012092</v>
      </c>
      <c r="J433" s="30" t="n">
        <f aca="false">(1-Players!J209)*CapexGW!J7+Players!J209*TK_NonNV_Hold_OAI*TK_CapexIT_VR200</f>
        <v>38.2668261834009</v>
      </c>
      <c r="K433" s="30" t="n">
        <f aca="false">(1-Players!K209)*CapexGW!K7+Players!K209*TK_NonNV_Hold_OAI*TK_CapexIT_VR200</f>
        <v>38.2668261834009</v>
      </c>
      <c r="L433" s="30" t="n">
        <f aca="false">(1-Players!L209)*CapexGW!L7+Players!L209*TK_NonNV_Hold_OAI*TK_CapexIT_VR200</f>
        <v>38.2668261834009</v>
      </c>
      <c r="M433" s="30" t="n">
        <f aca="false">(1-Players!M209)*CapexGW!M7+Players!M209*TK_NonNV_Hold_OAI*TK_CapexIT_VR200</f>
        <v>38.2668261834009</v>
      </c>
    </row>
    <row r="434" customFormat="false" ht="17.15" hidden="false" customHeight="false" outlineLevel="0" collapsed="false">
      <c r="A434" s="5" t="s">
        <v>2662</v>
      </c>
      <c r="B434" s="0" t="s">
        <v>2747</v>
      </c>
      <c r="C434" s="0" t="s">
        <v>230</v>
      </c>
      <c r="D434" s="30" t="n">
        <f aca="false">(1-Players!D209)*CapexGW!D8+Players!D209*TK_NonNV_Hold_OAI*TK_CapexFacility_VR200</f>
        <v>12.0663756897833</v>
      </c>
      <c r="E434" s="30" t="n">
        <f aca="false">(1-Players!E209)*CapexGW!E8+Players!E209*TK_NonNV_Hold_OAI*TK_CapexFacility_VR200</f>
        <v>12.0663756897833</v>
      </c>
      <c r="F434" s="30" t="n">
        <f aca="false">(1-Players!F209)*CapexGW!F8+Players!F209*TK_NonNV_Hold_OAI*TK_CapexFacility_VR200</f>
        <v>12.0663756897833</v>
      </c>
      <c r="G434" s="30" t="n">
        <f aca="false">(1-Players!G209)*CapexGW!G8+Players!G209*TK_NonNV_Hold_OAI*TK_CapexFacility_VR200</f>
        <v>12.0663756897833</v>
      </c>
      <c r="H434" s="30" t="n">
        <f aca="false">(1-Players!H209)*CapexGW!H8+Players!H209*TK_NonNV_Hold_OAI*TK_CapexFacility_VR200</f>
        <v>11.9779598811767</v>
      </c>
      <c r="I434" s="30" t="n">
        <f aca="false">(1-Players!I209)*CapexGW!I8+Players!I209*TK_NonNV_Hold_OAI*TK_CapexFacility_VR200</f>
        <v>11.9867793822226</v>
      </c>
      <c r="J434" s="30" t="n">
        <f aca="false">(1-Players!J209)*CapexGW!J8+Players!J209*TK_NonNV_Hold_OAI*TK_CapexFacility_VR200</f>
        <v>11.9802768511583</v>
      </c>
      <c r="K434" s="30" t="n">
        <f aca="false">(1-Players!K209)*CapexGW!K8+Players!K209*TK_NonNV_Hold_OAI*TK_CapexFacility_VR200</f>
        <v>11.9802768511583</v>
      </c>
      <c r="L434" s="30" t="n">
        <f aca="false">(1-Players!L209)*CapexGW!L8+Players!L209*TK_NonNV_Hold_OAI*TK_CapexFacility_VR200</f>
        <v>11.9802768511583</v>
      </c>
      <c r="M434" s="30" t="n">
        <f aca="false">(1-Players!M209)*CapexGW!M8+Players!M209*TK_NonNV_Hold_OAI*TK_CapexFacility_VR200</f>
        <v>11.9802768511583</v>
      </c>
    </row>
    <row r="435" customFormat="false" ht="17.15" hidden="false" customHeight="false" outlineLevel="0" collapsed="false">
      <c r="A435" s="5" t="s">
        <v>2321</v>
      </c>
      <c r="B435" s="0" t="s">
        <v>2748</v>
      </c>
      <c r="C435" s="0" t="s">
        <v>395</v>
      </c>
      <c r="E435" s="33" t="n">
        <f aca="false">E432*(E433+Gap!$D$6*E434)</f>
        <v>0</v>
      </c>
      <c r="F435" s="33" t="n">
        <f aca="false">F432*(F433+Gap!$D$6*F434)</f>
        <v>0</v>
      </c>
      <c r="G435" s="33" t="n">
        <f aca="false">G432*(G433+Gap!$D$6*G434)</f>
        <v>0</v>
      </c>
      <c r="H435" s="33" t="n">
        <f aca="false">H432*(H433+Gap!$D$6*H434)</f>
        <v>0</v>
      </c>
      <c r="I435" s="33" t="n">
        <f aca="false">I432*(I433+Gap!$D$6*I434)</f>
        <v>0</v>
      </c>
      <c r="J435" s="33" t="n">
        <f aca="false">J432*(J433+Gap!$D$6*J434)</f>
        <v>0</v>
      </c>
      <c r="K435" s="33" t="n">
        <f aca="false">K432*(K433+Gap!$D$6*K434)</f>
        <v>0</v>
      </c>
    </row>
    <row r="436" customFormat="false" ht="17.15" hidden="false" customHeight="false" outlineLevel="0" collapsed="false">
      <c r="A436" s="5" t="s">
        <v>2323</v>
      </c>
      <c r="B436" s="0" t="s">
        <v>2749</v>
      </c>
      <c r="C436" s="0" t="s">
        <v>395</v>
      </c>
      <c r="E436" s="33" t="n">
        <f aca="false">Gap!$E$6*F432*F434</f>
        <v>0</v>
      </c>
      <c r="F436" s="33" t="n">
        <f aca="false">Gap!$E$6*G432*G434</f>
        <v>0</v>
      </c>
      <c r="G436" s="33" t="n">
        <f aca="false">Gap!$E$6*H432*H434</f>
        <v>0</v>
      </c>
      <c r="H436" s="33" t="n">
        <f aca="false">Gap!$E$6*I432*I434</f>
        <v>0</v>
      </c>
      <c r="I436" s="33" t="n">
        <f aca="false">Gap!$E$6*J432*J434</f>
        <v>0</v>
      </c>
      <c r="J436" s="33" t="n">
        <f aca="false">Gap!$E$6*K432*K434</f>
        <v>0</v>
      </c>
      <c r="K436" s="33" t="n">
        <f aca="false">Gap!$E$6*L432*L434</f>
        <v>0</v>
      </c>
    </row>
    <row r="437" customFormat="false" ht="17.15" hidden="false" customHeight="false" outlineLevel="0" collapsed="false">
      <c r="A437" s="5" t="s">
        <v>2325</v>
      </c>
      <c r="B437" s="0" t="s">
        <v>2750</v>
      </c>
      <c r="C437" s="0" t="s">
        <v>395</v>
      </c>
      <c r="E437" s="33" t="n">
        <f aca="false">Gap!$F$6*G432*G434</f>
        <v>0</v>
      </c>
      <c r="F437" s="33" t="n">
        <f aca="false">Gap!$F$6*H432*H434</f>
        <v>0</v>
      </c>
      <c r="G437" s="33" t="n">
        <f aca="false">Gap!$F$6*I432*I434</f>
        <v>0</v>
      </c>
      <c r="H437" s="33" t="n">
        <f aca="false">Gap!$F$6*J432*J434</f>
        <v>0</v>
      </c>
      <c r="I437" s="33" t="n">
        <f aca="false">Gap!$F$6*K432*K434</f>
        <v>0</v>
      </c>
      <c r="J437" s="33" t="n">
        <f aca="false">Gap!$F$6*L432*L434</f>
        <v>0</v>
      </c>
      <c r="K437" s="33" t="n">
        <f aca="false">Gap!$F$6*M432*M434</f>
        <v>0</v>
      </c>
    </row>
    <row r="438" customFormat="false" ht="17.15" hidden="false" customHeight="false" outlineLevel="0" collapsed="false">
      <c r="A438" s="5" t="s">
        <v>2327</v>
      </c>
      <c r="B438" s="0" t="s">
        <v>2751</v>
      </c>
      <c r="C438" s="0" t="s">
        <v>395</v>
      </c>
      <c r="E438" s="33" t="n">
        <f aca="false">E435+E436+E437</f>
        <v>0</v>
      </c>
      <c r="F438" s="33" t="n">
        <f aca="false">F435+F436+F437</f>
        <v>0</v>
      </c>
      <c r="G438" s="33" t="n">
        <f aca="false">G435+G436+G437</f>
        <v>0</v>
      </c>
      <c r="H438" s="33" t="n">
        <f aca="false">H435+H436+H437</f>
        <v>0</v>
      </c>
      <c r="I438" s="33" t="n">
        <f aca="false">I435+I436+I437</f>
        <v>0</v>
      </c>
      <c r="J438" s="33" t="n">
        <f aca="false">J435+J436+J437</f>
        <v>0</v>
      </c>
      <c r="K438" s="33" t="n">
        <f aca="false">K435+K436+K437</f>
        <v>0</v>
      </c>
    </row>
    <row r="439" customFormat="false" ht="17.15" hidden="false" customHeight="false" outlineLevel="0" collapsed="false">
      <c r="A439" s="5" t="s">
        <v>2329</v>
      </c>
      <c r="B439" s="0" t="s">
        <v>2752</v>
      </c>
      <c r="C439" s="0" t="s">
        <v>395</v>
      </c>
      <c r="E439" s="33" t="n">
        <f aca="false">E432*(Gap!E$8+Gap!$D$6*Gap!E$9)</f>
        <v>0</v>
      </c>
      <c r="F439" s="33" t="n">
        <f aca="false">F432*(Gap!F$8+Gap!$D$6*Gap!F$9)</f>
        <v>0</v>
      </c>
      <c r="G439" s="33" t="n">
        <f aca="false">G432*(Gap!G$8+Gap!$D$6*Gap!G$9)</f>
        <v>0</v>
      </c>
      <c r="H439" s="33" t="n">
        <f aca="false">H432*(Gap!H$8+Gap!$D$6*Gap!H$9)</f>
        <v>0</v>
      </c>
      <c r="I439" s="33" t="n">
        <f aca="false">I432*(Gap!I$8+Gap!$D$6*Gap!I$9)</f>
        <v>0</v>
      </c>
      <c r="J439" s="33" t="n">
        <f aca="false">J432*(Gap!J$8+Gap!$D$6*Gap!J$9)</f>
        <v>0</v>
      </c>
      <c r="K439" s="33" t="n">
        <f aca="false">K432*(Gap!K$8+Gap!$D$6*Gap!K$9)</f>
        <v>0</v>
      </c>
    </row>
    <row r="440" customFormat="false" ht="17.15" hidden="false" customHeight="false" outlineLevel="0" collapsed="false">
      <c r="A440" s="5" t="s">
        <v>2331</v>
      </c>
      <c r="B440" s="0" t="s">
        <v>2753</v>
      </c>
      <c r="C440" s="0" t="s">
        <v>395</v>
      </c>
      <c r="E440" s="33" t="n">
        <f aca="false">Gap!$E$6*F432*Gap!F$9</f>
        <v>0</v>
      </c>
      <c r="F440" s="33" t="n">
        <f aca="false">Gap!$E$6*G432*Gap!G$9</f>
        <v>0</v>
      </c>
      <c r="G440" s="33" t="n">
        <f aca="false">Gap!$E$6*H432*Gap!H$9</f>
        <v>0</v>
      </c>
      <c r="H440" s="33" t="n">
        <f aca="false">Gap!$E$6*I432*Gap!I$9</f>
        <v>0</v>
      </c>
      <c r="I440" s="33" t="n">
        <f aca="false">Gap!$E$6*J432*Gap!J$9</f>
        <v>0</v>
      </c>
      <c r="J440" s="33" t="n">
        <f aca="false">Gap!$E$6*K432*Gap!K$9</f>
        <v>0</v>
      </c>
      <c r="K440" s="33" t="n">
        <f aca="false">Gap!$E$6*L432*Gap!L$9</f>
        <v>0</v>
      </c>
    </row>
    <row r="441" customFormat="false" ht="17.15" hidden="false" customHeight="false" outlineLevel="0" collapsed="false">
      <c r="A441" s="5" t="s">
        <v>2333</v>
      </c>
      <c r="B441" s="0" t="s">
        <v>2754</v>
      </c>
      <c r="C441" s="0" t="s">
        <v>395</v>
      </c>
      <c r="E441" s="33" t="n">
        <f aca="false">Gap!$F$6*G432*Gap!G$9</f>
        <v>0</v>
      </c>
      <c r="F441" s="33" t="n">
        <f aca="false">Gap!$F$6*H432*Gap!H$9</f>
        <v>0</v>
      </c>
      <c r="G441" s="33" t="n">
        <f aca="false">Gap!$F$6*I432*Gap!I$9</f>
        <v>0</v>
      </c>
      <c r="H441" s="33" t="n">
        <f aca="false">Gap!$F$6*J432*Gap!J$9</f>
        <v>0</v>
      </c>
      <c r="I441" s="33" t="n">
        <f aca="false">Gap!$F$6*K432*Gap!K$9</f>
        <v>0</v>
      </c>
      <c r="J441" s="33" t="n">
        <f aca="false">Gap!$F$6*L432*Gap!L$9</f>
        <v>0</v>
      </c>
      <c r="K441" s="33" t="n">
        <f aca="false">Gap!$F$6*M432*Gap!M$9</f>
        <v>0</v>
      </c>
    </row>
    <row r="442" customFormat="false" ht="17.15" hidden="false" customHeight="false" outlineLevel="0" collapsed="false">
      <c r="A442" s="5" t="s">
        <v>2335</v>
      </c>
      <c r="B442" s="0" t="s">
        <v>2755</v>
      </c>
      <c r="C442" s="0" t="s">
        <v>395</v>
      </c>
      <c r="D442" s="33" t="str">
        <f aca="false">IF(In!H225&lt;&gt;"",In!H225,"")</f>
        <v/>
      </c>
      <c r="E442" s="33" t="str">
        <f aca="false">IF(In!I225&lt;&gt;"",In!I225,"")</f>
        <v/>
      </c>
      <c r="F442" s="33" t="str">
        <f aca="false">IF(In!J225&lt;&gt;"",In!J225,"")</f>
        <v/>
      </c>
      <c r="G442" s="33" t="str">
        <f aca="false">IF(In!K225&lt;&gt;"",In!K225,"")</f>
        <v/>
      </c>
      <c r="H442" s="33" t="str">
        <f aca="false">IF(In!L225&lt;&gt;"",In!L225,"")</f>
        <v/>
      </c>
      <c r="I442" s="33" t="str">
        <f aca="false">IF(In!M225&lt;&gt;"",In!M225,"")</f>
        <v/>
      </c>
      <c r="J442" s="33" t="str">
        <f aca="false">IF(In!N225&lt;&gt;"",In!N225,"")</f>
        <v/>
      </c>
      <c r="K442" s="33" t="str">
        <f aca="false">IF(In!O225&lt;&gt;"",In!O225,"")</f>
        <v/>
      </c>
      <c r="L442" s="33" t="str">
        <f aca="false">IF(In!P225&lt;&gt;"",In!P225,"")</f>
        <v/>
      </c>
      <c r="M442" s="33" t="str">
        <f aca="false">IF(In!Q225&lt;&gt;"",In!Q225,"")</f>
        <v/>
      </c>
    </row>
    <row r="443" customFormat="false" ht="17.15" hidden="false" customHeight="false" outlineLevel="0" collapsed="false">
      <c r="A443" s="5" t="s">
        <v>2337</v>
      </c>
      <c r="B443" s="0" t="s">
        <v>2756</v>
      </c>
      <c r="C443" s="0" t="s">
        <v>395</v>
      </c>
      <c r="E443" s="33" t="str">
        <f aca="false">E442</f>
        <v/>
      </c>
      <c r="F443" s="33" t="str">
        <f aca="false">F442</f>
        <v/>
      </c>
      <c r="G443" s="33" t="str">
        <f aca="false">G442</f>
        <v/>
      </c>
      <c r="H443" s="33" t="str">
        <f aca="false">H442</f>
        <v/>
      </c>
      <c r="I443" s="33" t="str">
        <f aca="false">I442</f>
        <v/>
      </c>
      <c r="J443" s="33" t="str">
        <f aca="false">J442</f>
        <v/>
      </c>
      <c r="K443" s="33" t="str">
        <f aca="false">K442</f>
        <v/>
      </c>
    </row>
    <row r="444" customFormat="false" ht="17.15" hidden="false" customHeight="false" outlineLevel="0" collapsed="false">
      <c r="A444" s="5" t="s">
        <v>2339</v>
      </c>
      <c r="B444" s="0" t="s">
        <v>2757</v>
      </c>
      <c r="C444" s="0" t="s">
        <v>40</v>
      </c>
      <c r="E444" s="0" t="str">
        <f aca="false">IF(E443&lt;&gt;"","","無模型值（以 0 計；無 Y2 資本支出）")</f>
        <v>無模型值（以 0 計；無 Y2 資本支出）</v>
      </c>
      <c r="F444" s="0" t="str">
        <f aca="false">IF(F443&lt;&gt;"","","無模型值（以 0 計；無 Y2 資本支出）")</f>
        <v>無模型值（以 0 計；無 Y2 資本支出）</v>
      </c>
      <c r="G444" s="0" t="str">
        <f aca="false">IF(G443&lt;&gt;"","","無模型值（以 0 計；無 Y2 資本支出）")</f>
        <v>無模型值（以 0 計；無 Y2 資本支出）</v>
      </c>
      <c r="H444" s="0" t="str">
        <f aca="false">IF(H443&lt;&gt;"","","無模型值（以 0 計；無 Y2 資本支出）")</f>
        <v>無模型值（以 0 計；無 Y2 資本支出）</v>
      </c>
      <c r="I444" s="0" t="str">
        <f aca="false">IF(I443&lt;&gt;"","","無模型值（以 0 計；無 Y2 資本支出）")</f>
        <v>無模型值（以 0 計；無 Y2 資本支出）</v>
      </c>
      <c r="J444" s="0" t="str">
        <f aca="false">IF(J443&lt;&gt;"","","無模型值（以 0 計；無 Y2 資本支出）")</f>
        <v>無模型值（以 0 計；無 Y2 資本支出）</v>
      </c>
      <c r="K444" s="0" t="str">
        <f aca="false">IF(K443&lt;&gt;"","","無模型值（以 0 計；無 Y2 資本支出）")</f>
        <v>無模型值（以 0 計；無 Y2 資本支出）</v>
      </c>
    </row>
    <row r="445" customFormat="false" ht="17.15" hidden="false" customHeight="false" outlineLevel="0" collapsed="false">
      <c r="A445" s="5" t="s">
        <v>2674</v>
      </c>
      <c r="B445" s="0" t="s">
        <v>2758</v>
      </c>
      <c r="C445" s="0" t="s">
        <v>395</v>
      </c>
      <c r="E445" s="33" t="n">
        <f aca="false">N(E443)</f>
        <v>0</v>
      </c>
      <c r="F445" s="33" t="n">
        <f aca="false">N(F443)</f>
        <v>0</v>
      </c>
      <c r="G445" s="33" t="n">
        <f aca="false">N(G443)</f>
        <v>0</v>
      </c>
      <c r="H445" s="33" t="n">
        <f aca="false">N(H443)</f>
        <v>0</v>
      </c>
      <c r="I445" s="33" t="n">
        <f aca="false">N(I443)</f>
        <v>0</v>
      </c>
      <c r="J445" s="33" t="n">
        <f aca="false">N(J443)</f>
        <v>0</v>
      </c>
      <c r="K445" s="33" t="n">
        <f aca="false">N(K443)</f>
        <v>0</v>
      </c>
    </row>
    <row r="446" customFormat="false" ht="15" hidden="false" customHeight="false" outlineLevel="0" collapsed="false">
      <c r="A446" s="5" t="s">
        <v>2344</v>
      </c>
      <c r="B446" s="0" t="s">
        <v>2759</v>
      </c>
      <c r="C446" s="0" t="s">
        <v>395</v>
      </c>
      <c r="D446" s="33" t="str">
        <f aca="false">IF(In!H226&lt;&gt;"",In!H226,"")</f>
        <v/>
      </c>
      <c r="E446" s="33" t="str">
        <f aca="false">IF(In!I226&lt;&gt;"",In!I226,"")</f>
        <v/>
      </c>
      <c r="F446" s="33" t="str">
        <f aca="false">IF(In!J226&lt;&gt;"",In!J226,"")</f>
        <v/>
      </c>
      <c r="G446" s="33" t="n">
        <f aca="false">IF(In!K226&lt;&gt;"",In!K226,"")</f>
        <v>20</v>
      </c>
      <c r="H446" s="33" t="n">
        <f aca="false">IF(In!L226&lt;&gt;"",In!L226,"")</f>
        <v>30</v>
      </c>
      <c r="I446" s="33" t="n">
        <f aca="false">IF(In!M226&lt;&gt;"",In!M226,"")</f>
        <v>45</v>
      </c>
      <c r="J446" s="33" t="n">
        <f aca="false">IF(In!N226&lt;&gt;"",In!N226,"")</f>
        <v>60</v>
      </c>
      <c r="K446" s="33" t="n">
        <f aca="false">IF(In!O226&lt;&gt;"",In!O226,"")</f>
        <v>70</v>
      </c>
      <c r="L446" s="33" t="str">
        <f aca="false">IF(In!P226&lt;&gt;"",In!P226,"")</f>
        <v/>
      </c>
      <c r="M446" s="33" t="str">
        <f aca="false">IF(In!Q226&lt;&gt;"",In!Q226,"")</f>
        <v/>
      </c>
    </row>
    <row r="447" customFormat="false" ht="15" hidden="false" customHeight="false" outlineLevel="0" collapsed="false">
      <c r="A447" s="5" t="s">
        <v>2346</v>
      </c>
      <c r="B447" s="0" t="s">
        <v>2760</v>
      </c>
      <c r="C447" s="0" t="s">
        <v>395</v>
      </c>
      <c r="E447" s="33" t="str">
        <f aca="false">E446</f>
        <v/>
      </c>
      <c r="F447" s="33" t="str">
        <f aca="false">F446</f>
        <v/>
      </c>
      <c r="G447" s="33" t="n">
        <f aca="false">G446</f>
        <v>20</v>
      </c>
      <c r="H447" s="33" t="n">
        <f aca="false">H446</f>
        <v>30</v>
      </c>
      <c r="I447" s="33" t="n">
        <f aca="false">I446</f>
        <v>45</v>
      </c>
      <c r="J447" s="33" t="n">
        <f aca="false">J446</f>
        <v>60</v>
      </c>
      <c r="K447" s="33" t="n">
        <f aca="false">K446</f>
        <v>70</v>
      </c>
    </row>
    <row r="448" customFormat="false" ht="17.15" hidden="false" customHeight="false" outlineLevel="0" collapsed="false">
      <c r="A448" s="5" t="s">
        <v>2348</v>
      </c>
      <c r="B448" s="0" t="s">
        <v>2761</v>
      </c>
      <c r="C448" s="0" t="s">
        <v>395</v>
      </c>
      <c r="D448" s="33" t="str">
        <f aca="false">IF(In!H224&lt;&gt;"",In!H224,"")</f>
        <v/>
      </c>
      <c r="E448" s="33" t="str">
        <f aca="false">IF(In!I224&lt;&gt;"",In!I224,"")</f>
        <v/>
      </c>
      <c r="F448" s="33" t="str">
        <f aca="false">IF(In!J224&lt;&gt;"",In!J224,"")</f>
        <v/>
      </c>
      <c r="G448" s="33" t="n">
        <f aca="false">IF(In!K224&lt;&gt;"",In!K224,"")</f>
        <v>20</v>
      </c>
      <c r="H448" s="33" t="n">
        <f aca="false">IF(In!L224&lt;&gt;"",In!L224,"")</f>
        <v>30</v>
      </c>
      <c r="I448" s="33" t="n">
        <f aca="false">IF(In!M224&lt;&gt;"",In!M224,"")</f>
        <v>45</v>
      </c>
      <c r="J448" s="33" t="n">
        <f aca="false">IF(In!N224&lt;&gt;"",In!N224,"")</f>
        <v>60</v>
      </c>
      <c r="K448" s="33" t="n">
        <f aca="false">IF(In!O224&lt;&gt;"",In!O224,"")</f>
        <v>70</v>
      </c>
      <c r="L448" s="33" t="str">
        <f aca="false">IF(In!P224&lt;&gt;"",In!P224,"")</f>
        <v/>
      </c>
      <c r="M448" s="33" t="str">
        <f aca="false">IF(In!Q224&lt;&gt;"",In!Q224,"")</f>
        <v/>
      </c>
    </row>
    <row r="449" customFormat="false" ht="17.15" hidden="false" customHeight="false" outlineLevel="0" collapsed="false">
      <c r="A449" s="5" t="s">
        <v>2350</v>
      </c>
      <c r="B449" s="0" t="s">
        <v>2762</v>
      </c>
      <c r="C449" s="0" t="s">
        <v>395</v>
      </c>
      <c r="E449" s="33" t="str">
        <f aca="false">E448</f>
        <v/>
      </c>
      <c r="F449" s="33" t="str">
        <f aca="false">F448</f>
        <v/>
      </c>
      <c r="G449" s="33" t="n">
        <f aca="false">G448</f>
        <v>20</v>
      </c>
      <c r="H449" s="33" t="n">
        <f aca="false">H448</f>
        <v>30</v>
      </c>
      <c r="I449" s="33" t="n">
        <f aca="false">I448</f>
        <v>45</v>
      </c>
      <c r="J449" s="33" t="n">
        <f aca="false">J448</f>
        <v>60</v>
      </c>
      <c r="K449" s="33" t="n">
        <f aca="false">K448</f>
        <v>70</v>
      </c>
    </row>
    <row r="450" customFormat="false" ht="17.15" hidden="false" customHeight="false" outlineLevel="0" collapsed="false">
      <c r="A450" s="5" t="s">
        <v>2354</v>
      </c>
      <c r="B450" s="0" t="s">
        <v>2763</v>
      </c>
      <c r="C450" s="0" t="s">
        <v>395</v>
      </c>
      <c r="D450" s="33" t="str">
        <f aca="false">IF(In!H223&lt;&gt;"",In!H223,"")</f>
        <v/>
      </c>
      <c r="E450" s="33" t="str">
        <f aca="false">IF(In!I223&lt;&gt;"",In!I223,"")</f>
        <v/>
      </c>
      <c r="F450" s="33" t="str">
        <f aca="false">IF(In!J223&lt;&gt;"",In!J223,IF(Funding!E27&lt;&gt;"",Funding!E27,""))</f>
        <v/>
      </c>
      <c r="G450" s="33" t="n">
        <f aca="false">IF(In!K223&lt;&gt;"",In!K223,"")</f>
        <v>-19.41593</v>
      </c>
      <c r="H450" s="33" t="n">
        <f aca="false">IF(In!L223&lt;&gt;"",In!L223,"")</f>
        <v>-86.01732</v>
      </c>
      <c r="I450" s="33" t="n">
        <f aca="false">IF(In!M223&lt;&gt;"",In!M223,"")</f>
        <v>-89.878131</v>
      </c>
      <c r="J450" s="33" t="n">
        <f aca="false">IF(In!N223&lt;&gt;"",In!N223,"")</f>
        <v>-77.624622</v>
      </c>
      <c r="K450" s="33" t="n">
        <f aca="false">IF(In!O223&lt;&gt;"",In!O223,"")</f>
        <v>-61.908809</v>
      </c>
      <c r="L450" s="33" t="str">
        <f aca="false">IF(In!P223&lt;&gt;"",In!P223,"")</f>
        <v/>
      </c>
      <c r="M450" s="33" t="str">
        <f aca="false">IF(In!Q223&lt;&gt;"",In!Q223,"")</f>
        <v/>
      </c>
    </row>
    <row r="451" customFormat="false" ht="15" hidden="false" customHeight="false" outlineLevel="0" collapsed="false">
      <c r="A451" s="5" t="s">
        <v>2356</v>
      </c>
      <c r="B451" s="0" t="s">
        <v>2764</v>
      </c>
      <c r="C451" s="0" t="s">
        <v>40</v>
      </c>
      <c r="D451" s="0" t="str">
        <f aca="false">IF(In!H223&lt;&gt;"","模型",IF(D450&lt;&gt;"","Funding 觀測","無模型值"))</f>
        <v>無模型值</v>
      </c>
      <c r="E451" s="0" t="str">
        <f aca="false">IF(In!I223&lt;&gt;"","模型",IF(E450&lt;&gt;"","Funding 觀測","無模型值"))</f>
        <v>無模型值</v>
      </c>
      <c r="F451" s="0" t="str">
        <f aca="false">IF(In!J223&lt;&gt;"","模型",IF(F450&lt;&gt;"","Funding 觀測","無模型值"))</f>
        <v>無模型值</v>
      </c>
      <c r="G451" s="0" t="str">
        <f aca="false">IF(In!K223&lt;&gt;"","模型",IF(G450&lt;&gt;"","Funding 觀測","無模型值"))</f>
        <v>模型</v>
      </c>
      <c r="H451" s="0" t="str">
        <f aca="false">IF(In!L223&lt;&gt;"","模型",IF(H450&lt;&gt;"","Funding 觀測","無模型值"))</f>
        <v>模型</v>
      </c>
      <c r="I451" s="0" t="str">
        <f aca="false">IF(In!M223&lt;&gt;"","模型",IF(I450&lt;&gt;"","Funding 觀測","無模型值"))</f>
        <v>模型</v>
      </c>
      <c r="J451" s="0" t="str">
        <f aca="false">IF(In!N223&lt;&gt;"","模型",IF(J450&lt;&gt;"","Funding 觀測","無模型值"))</f>
        <v>模型</v>
      </c>
      <c r="K451" s="0" t="str">
        <f aca="false">IF(In!O223&lt;&gt;"","模型",IF(K450&lt;&gt;"","Funding 觀測","無模型值"))</f>
        <v>模型</v>
      </c>
      <c r="L451" s="0" t="str">
        <f aca="false">IF(In!P223&lt;&gt;"","模型",IF(L450&lt;&gt;"","Funding 觀測","無模型值"))</f>
        <v>無模型值</v>
      </c>
      <c r="M451" s="0" t="str">
        <f aca="false">IF(In!Q223&lt;&gt;"","模型",IF(M450&lt;&gt;"","Funding 觀測","無模型值"))</f>
        <v>無模型值</v>
      </c>
    </row>
    <row r="452" customFormat="false" ht="15" hidden="false" customHeight="false" outlineLevel="0" collapsed="false">
      <c r="A452" s="5" t="s">
        <v>2358</v>
      </c>
      <c r="B452" s="0" t="s">
        <v>2765</v>
      </c>
      <c r="C452" s="0" t="s">
        <v>395</v>
      </c>
      <c r="E452" s="40" t="str">
        <f aca="false">E450</f>
        <v/>
      </c>
      <c r="F452" s="40" t="str">
        <f aca="false">F450</f>
        <v/>
      </c>
      <c r="G452" s="40" t="n">
        <f aca="false">G450</f>
        <v>-19.41593</v>
      </c>
      <c r="H452" s="40" t="n">
        <f aca="false">H450</f>
        <v>-86.01732</v>
      </c>
      <c r="I452" s="40" t="n">
        <f aca="false">I450</f>
        <v>-89.878131</v>
      </c>
      <c r="J452" s="40" t="n">
        <f aca="false">J450</f>
        <v>-77.624622</v>
      </c>
      <c r="K452" s="40" t="n">
        <f aca="false">K450</f>
        <v>-61.908809</v>
      </c>
    </row>
    <row r="453" customFormat="false" ht="17.15" hidden="false" customHeight="false" outlineLevel="0" collapsed="false">
      <c r="A453" s="5" t="s">
        <v>2360</v>
      </c>
      <c r="B453" s="0" t="s">
        <v>2766</v>
      </c>
      <c r="C453" s="0" t="s">
        <v>40</v>
      </c>
      <c r="E453" s="0" t="str">
        <f aca="false">""</f>
        <v/>
      </c>
      <c r="F453" s="0" t="str">
        <f aca="false">""</f>
        <v/>
      </c>
      <c r="G453" s="0" t="str">
        <f aca="false">""</f>
        <v/>
      </c>
      <c r="H453" s="0" t="str">
        <f aca="false">""</f>
        <v/>
      </c>
      <c r="I453" s="0" t="str">
        <f aca="false">""</f>
        <v/>
      </c>
      <c r="J453" s="0" t="str">
        <f aca="false">""</f>
        <v/>
      </c>
      <c r="K453" s="0" t="str">
        <f aca="false">""</f>
        <v/>
      </c>
      <c r="N453" s="0" t="s">
        <v>2767</v>
      </c>
    </row>
    <row r="454" customFormat="false" ht="17.15" hidden="false" customHeight="false" outlineLevel="0" collapsed="false">
      <c r="A454" s="5" t="s">
        <v>2363</v>
      </c>
      <c r="B454" s="0" t="s">
        <v>2768</v>
      </c>
      <c r="C454" s="0" t="s">
        <v>395</v>
      </c>
      <c r="E454" s="40" t="n">
        <f aca="false">IF(E453&lt;&gt;"",E449,E438)</f>
        <v>0</v>
      </c>
      <c r="F454" s="40" t="n">
        <f aca="false">IF(F453&lt;&gt;"",F449,F438)</f>
        <v>0</v>
      </c>
      <c r="G454" s="40" t="n">
        <f aca="false">IF(G453&lt;&gt;"",G449,G438)</f>
        <v>0</v>
      </c>
      <c r="H454" s="40" t="n">
        <f aca="false">IF(H453&lt;&gt;"",H449,H438)</f>
        <v>0</v>
      </c>
      <c r="I454" s="40" t="n">
        <f aca="false">IF(I453&lt;&gt;"",I449,I438)</f>
        <v>0</v>
      </c>
      <c r="J454" s="40" t="n">
        <f aca="false">IF(J453&lt;&gt;"",J449,J438)</f>
        <v>0</v>
      </c>
      <c r="K454" s="40" t="n">
        <f aca="false">IF(K453&lt;&gt;"",K449,K438)</f>
        <v>0</v>
      </c>
    </row>
    <row r="455" customFormat="false" ht="17.15" hidden="false" customHeight="false" outlineLevel="0" collapsed="false">
      <c r="A455" s="5" t="s">
        <v>2685</v>
      </c>
      <c r="B455" s="0" t="s">
        <v>2769</v>
      </c>
      <c r="C455" s="0" t="s">
        <v>395</v>
      </c>
      <c r="E455" s="33" t="n">
        <f aca="false">E454</f>
        <v>0</v>
      </c>
      <c r="F455" s="33" t="n">
        <f aca="false">F454</f>
        <v>0</v>
      </c>
      <c r="G455" s="33" t="n">
        <f aca="false">G454</f>
        <v>0</v>
      </c>
      <c r="H455" s="33" t="n">
        <f aca="false">H454</f>
        <v>0</v>
      </c>
      <c r="I455" s="33" t="n">
        <f aca="false">I454</f>
        <v>0</v>
      </c>
      <c r="J455" s="33" t="n">
        <f aca="false">J454</f>
        <v>0</v>
      </c>
      <c r="K455" s="33" t="n">
        <f aca="false">K454</f>
        <v>0</v>
      </c>
    </row>
    <row r="456" customFormat="false" ht="15" hidden="false" customHeight="false" outlineLevel="0" collapsed="false">
      <c r="A456" s="5" t="s">
        <v>2366</v>
      </c>
      <c r="B456" s="0" t="s">
        <v>2770</v>
      </c>
      <c r="C456" s="0" t="s">
        <v>395</v>
      </c>
      <c r="D456" s="33" t="str">
        <f aca="false">IF(In!H227&lt;&gt;"",In!H227,"")</f>
        <v/>
      </c>
      <c r="E456" s="33" t="str">
        <f aca="false">IF(In!I227&lt;&gt;"",In!I227,"")</f>
        <v/>
      </c>
      <c r="F456" s="33" t="str">
        <f aca="false">IF(In!J227&lt;&gt;"",In!J227,IF(Funding!T27&lt;&gt;"",Funding!T27,""))</f>
        <v/>
      </c>
      <c r="G456" s="33" t="str">
        <f aca="false">IF(In!K227&lt;&gt;"",In!K227,"")</f>
        <v/>
      </c>
      <c r="H456" s="33" t="str">
        <f aca="false">IF(In!L227&lt;&gt;"",In!L227,"")</f>
        <v/>
      </c>
      <c r="I456" s="33" t="str">
        <f aca="false">IF(In!M227&lt;&gt;"",In!M227,"")</f>
        <v/>
      </c>
      <c r="J456" s="33" t="str">
        <f aca="false">IF(In!N227&lt;&gt;"",In!N227,"")</f>
        <v/>
      </c>
      <c r="K456" s="33" t="str">
        <f aca="false">IF(In!O227&lt;&gt;"",In!O227,"")</f>
        <v/>
      </c>
      <c r="L456" s="33" t="str">
        <f aca="false">IF(In!P227&lt;&gt;"",In!P227,"")</f>
        <v/>
      </c>
      <c r="M456" s="33" t="str">
        <f aca="false">IF(In!Q227&lt;&gt;"",In!Q227,"")</f>
        <v/>
      </c>
    </row>
    <row r="457" customFormat="false" ht="15" hidden="false" customHeight="false" outlineLevel="0" collapsed="false">
      <c r="A457" s="5" t="s">
        <v>2368</v>
      </c>
      <c r="B457" s="0" t="s">
        <v>2771</v>
      </c>
      <c r="C457" s="0" t="s">
        <v>395</v>
      </c>
      <c r="E457" s="33" t="str">
        <f aca="false">E456</f>
        <v/>
      </c>
      <c r="F457" s="33" t="str">
        <f aca="false">F456</f>
        <v/>
      </c>
      <c r="G457" s="33" t="str">
        <f aca="false">G456</f>
        <v/>
      </c>
      <c r="H457" s="33" t="str">
        <f aca="false">H456</f>
        <v/>
      </c>
      <c r="I457" s="33" t="str">
        <f aca="false">I456</f>
        <v/>
      </c>
      <c r="J457" s="33" t="str">
        <f aca="false">J456</f>
        <v/>
      </c>
      <c r="K457" s="33" t="str">
        <f aca="false">K456</f>
        <v/>
      </c>
    </row>
    <row r="458" customFormat="false" ht="17.15" hidden="false" customHeight="false" outlineLevel="0" collapsed="false">
      <c r="A458" s="5" t="s">
        <v>2370</v>
      </c>
      <c r="B458" s="0" t="s">
        <v>2772</v>
      </c>
      <c r="C458" s="0" t="s">
        <v>395</v>
      </c>
      <c r="E458" s="33" t="n">
        <f aca="false">E454+E445</f>
        <v>0</v>
      </c>
      <c r="F458" s="33" t="n">
        <f aca="false">F454+F445</f>
        <v>0</v>
      </c>
      <c r="G458" s="33" t="n">
        <f aca="false">G454+G445</f>
        <v>0</v>
      </c>
      <c r="H458" s="33" t="n">
        <f aca="false">H454+H445</f>
        <v>0</v>
      </c>
      <c r="I458" s="33" t="n">
        <f aca="false">I454+I445</f>
        <v>0</v>
      </c>
      <c r="J458" s="33" t="n">
        <f aca="false">J454+J445</f>
        <v>0</v>
      </c>
      <c r="K458" s="33" t="n">
        <f aca="false">K454+K445</f>
        <v>0</v>
      </c>
    </row>
    <row r="459" customFormat="false" ht="17.15" hidden="false" customHeight="false" outlineLevel="0" collapsed="false">
      <c r="A459" s="5" t="s">
        <v>2372</v>
      </c>
      <c r="B459" s="0" t="s">
        <v>2773</v>
      </c>
      <c r="C459" s="0" t="s">
        <v>41</v>
      </c>
      <c r="E459" s="30" t="str">
        <f aca="false">IF(OR(E452="",E458&lt;=0),"",E452/E458)</f>
        <v/>
      </c>
      <c r="F459" s="30" t="str">
        <f aca="false">IF(OR(F452="",F458&lt;=0),"",F452/F458)</f>
        <v/>
      </c>
      <c r="G459" s="30" t="str">
        <f aca="false">IF(OR(G452="",G458&lt;=0),"",G452/G458)</f>
        <v/>
      </c>
      <c r="H459" s="30" t="str">
        <f aca="false">IF(OR(H452="",H458&lt;=0),"",H452/H458)</f>
        <v/>
      </c>
      <c r="I459" s="30" t="str">
        <f aca="false">IF(OR(I452="",I458&lt;=0),"",I452/I458)</f>
        <v/>
      </c>
      <c r="J459" s="30" t="str">
        <f aca="false">IF(OR(J452="",J458&lt;=0),"",J452/J458)</f>
        <v/>
      </c>
      <c r="K459" s="30" t="str">
        <f aca="false">IF(OR(K452="",K458&lt;=0),"",K452/K458)</f>
        <v/>
      </c>
    </row>
    <row r="460" customFormat="false" ht="17.15" hidden="false" customHeight="false" outlineLevel="0" collapsed="false">
      <c r="A460" s="5" t="s">
        <v>2374</v>
      </c>
      <c r="B460" s="0" t="s">
        <v>2774</v>
      </c>
      <c r="C460" s="0" t="s">
        <v>395</v>
      </c>
      <c r="E460" s="40" t="str">
        <f aca="false">IF(E452="","",E458-E452)</f>
        <v/>
      </c>
      <c r="F460" s="40" t="str">
        <f aca="false">IF(F452="","",F458-F452)</f>
        <v/>
      </c>
      <c r="G460" s="40" t="n">
        <f aca="false">IF(G452="","",G458-G452)</f>
        <v>19.41593</v>
      </c>
      <c r="H460" s="40" t="n">
        <f aca="false">IF(H452="","",H458-H452)</f>
        <v>86.01732</v>
      </c>
      <c r="I460" s="40" t="n">
        <f aca="false">IF(I452="","",I458-I452)</f>
        <v>89.878131</v>
      </c>
      <c r="J460" s="40" t="n">
        <f aca="false">IF(J452="","",J458-J452)</f>
        <v>77.624622</v>
      </c>
      <c r="K460" s="40" t="n">
        <f aca="false">IF(K452="","",K458-K452)</f>
        <v>61.908809</v>
      </c>
    </row>
    <row r="461" customFormat="false" ht="17.15" hidden="false" customHeight="false" outlineLevel="0" collapsed="false">
      <c r="A461" s="5" t="s">
        <v>2433</v>
      </c>
      <c r="B461" s="0" t="s">
        <v>2775</v>
      </c>
      <c r="C461" s="0" t="s">
        <v>395</v>
      </c>
      <c r="E461" s="40" t="n">
        <f aca="false">0</f>
        <v>0</v>
      </c>
      <c r="F461" s="40" t="n">
        <f aca="false">N(Funding!AL27)</f>
        <v>0</v>
      </c>
    </row>
    <row r="462" customFormat="false" ht="17.15" hidden="false" customHeight="false" outlineLevel="0" collapsed="false">
      <c r="A462" s="5" t="s">
        <v>2435</v>
      </c>
      <c r="B462" s="0" t="s">
        <v>2776</v>
      </c>
      <c r="C462" s="0" t="s">
        <v>395</v>
      </c>
      <c r="E462" s="33" t="n">
        <f aca="false">0</f>
        <v>0</v>
      </c>
      <c r="F462" s="33" t="n">
        <f aca="false">(N(Funding!J27)+N(Funding!K27)+N(Funding!L27)+N(Funding!M27))</f>
        <v>0</v>
      </c>
    </row>
    <row r="463" customFormat="false" ht="15" hidden="false" customHeight="false" outlineLevel="0" collapsed="false">
      <c r="A463" s="5" t="s">
        <v>2437</v>
      </c>
      <c r="B463" s="0" t="s">
        <v>2777</v>
      </c>
      <c r="C463" s="0" t="s">
        <v>395</v>
      </c>
      <c r="E463" s="33" t="n">
        <f aca="false">0</f>
        <v>0</v>
      </c>
      <c r="F463" s="33" t="n">
        <f aca="false">N(Funding!R27)</f>
        <v>0</v>
      </c>
    </row>
    <row r="464" customFormat="false" ht="15" hidden="false" customHeight="false" outlineLevel="0" collapsed="false">
      <c r="A464" s="5" t="s">
        <v>2439</v>
      </c>
      <c r="B464" s="0" t="s">
        <v>2778</v>
      </c>
      <c r="C464" s="0" t="s">
        <v>395</v>
      </c>
      <c r="E464" s="33" t="n">
        <f aca="false">0</f>
        <v>0</v>
      </c>
      <c r="F464" s="33" t="n">
        <f aca="false">(N(Funding!AL27)-(N(Funding!J27)+N(Funding!K27)+N(Funding!L27)+N(Funding!M27))-N(Funding!R27))</f>
        <v>0</v>
      </c>
    </row>
    <row r="465" customFormat="false" ht="17.15" hidden="false" customHeight="false" outlineLevel="0" collapsed="false">
      <c r="A465" s="5" t="s">
        <v>2384</v>
      </c>
      <c r="B465" s="0" t="s">
        <v>2779</v>
      </c>
      <c r="C465" s="0" t="s">
        <v>395</v>
      </c>
      <c r="E465" s="33" t="str">
        <f aca="false">IF(E460="","",E460-E461)</f>
        <v/>
      </c>
      <c r="F465" s="33" t="str">
        <f aca="false">IF(F460="","",F460-F461)</f>
        <v/>
      </c>
    </row>
    <row r="466" customFormat="false" ht="17.15" hidden="false" customHeight="false" outlineLevel="0" collapsed="false">
      <c r="A466" s="5" t="s">
        <v>2386</v>
      </c>
      <c r="B466" s="0" t="s">
        <v>2780</v>
      </c>
      <c r="C466" s="0" t="s">
        <v>395</v>
      </c>
      <c r="G466" s="33" t="n">
        <f aca="false">IF(Funding!O28&lt;&gt;"",Funding!O28,N(Funding!O27))</f>
        <v>0</v>
      </c>
      <c r="N466" s="5" t="s">
        <v>2388</v>
      </c>
    </row>
    <row r="467" customFormat="false" ht="17.15" hidden="false" customHeight="false" outlineLevel="0" collapsed="false">
      <c r="A467" s="5" t="s">
        <v>2389</v>
      </c>
      <c r="B467" s="0" t="s">
        <v>2781</v>
      </c>
      <c r="C467" s="0" t="s">
        <v>395</v>
      </c>
      <c r="G467" s="33" t="n">
        <f aca="false">IF(Funding!Q28&lt;&gt;"",Funding!Q28,N(Funding!Q27))</f>
        <v>0</v>
      </c>
      <c r="N467" s="5" t="s">
        <v>2391</v>
      </c>
    </row>
    <row r="468" customFormat="false" ht="17.15" hidden="false" customHeight="false" outlineLevel="0" collapsed="false">
      <c r="A468" s="5" t="s">
        <v>2392</v>
      </c>
      <c r="B468" s="0" t="s">
        <v>2782</v>
      </c>
      <c r="C468" s="0" t="s">
        <v>395</v>
      </c>
      <c r="G468" s="33" t="n">
        <f aca="false">N(Funding!AL28)</f>
        <v>227</v>
      </c>
    </row>
    <row r="469" customFormat="false" ht="17.15" hidden="false" customHeight="false" outlineLevel="0" collapsed="false">
      <c r="A469" s="5" t="s">
        <v>2394</v>
      </c>
      <c r="B469" s="0" t="s">
        <v>2783</v>
      </c>
      <c r="C469" s="0" t="s">
        <v>395</v>
      </c>
      <c r="G469" s="33" t="str">
        <f aca="false">IF(COUNTIFS(FundRaw!$C$4:$C$281,"oai",FundRaw!$F$4:$F$281,"cash_level",FundRaw!$D$4:$D$281,"2025-12-31",FundRaw!$O$4:$O$281,1)=0,"未取得",SUMIFS(FundRaw!$G$4:$G$281,FundRaw!$C$4:$C$281,"oai",FundRaw!$F$4:$F$281,"cash_level",FundRaw!$D$4:$D$281,"2025-12-31",FundRaw!$O$4:$O$281,1))</f>
        <v>未取得</v>
      </c>
      <c r="N469" s="5" t="s">
        <v>2396</v>
      </c>
    </row>
    <row r="470" customFormat="false" ht="17.15" hidden="false" customHeight="false" outlineLevel="0" collapsed="false">
      <c r="A470" s="5" t="s">
        <v>2397</v>
      </c>
      <c r="B470" s="0" t="s">
        <v>2784</v>
      </c>
      <c r="C470" s="0" t="s">
        <v>395</v>
      </c>
      <c r="G470" s="33" t="n">
        <f aca="false">IF(ISNUMBER(G469),G469,N(gcash_oai))</f>
        <v>40</v>
      </c>
      <c r="N470" s="5" t="s">
        <v>2785</v>
      </c>
    </row>
    <row r="471" customFormat="false" ht="17.15" hidden="false" customHeight="false" outlineLevel="0" collapsed="false">
      <c r="A471" s="5" t="s">
        <v>2400</v>
      </c>
      <c r="B471" s="0" t="s">
        <v>2786</v>
      </c>
      <c r="C471" s="0" t="s">
        <v>40</v>
      </c>
      <c r="G471" s="0" t="str">
        <f aca="false">IF(ISNUMBER(G469),"Funding 觀測","個股模型（In Y9）")</f>
        <v>個股模型（In Y9）</v>
      </c>
    </row>
    <row r="472" customFormat="false" ht="17.15" hidden="false" customHeight="false" outlineLevel="0" collapsed="false">
      <c r="A472" s="5" t="s">
        <v>2402</v>
      </c>
      <c r="B472" s="0" t="s">
        <v>2787</v>
      </c>
      <c r="C472" s="0" t="s">
        <v>395</v>
      </c>
      <c r="E472" s="33" t="str">
        <f aca="false">IF(E452="","",E452-E458)</f>
        <v/>
      </c>
      <c r="F472" s="33" t="str">
        <f aca="false">IF(F452="","",F452-F458)</f>
        <v/>
      </c>
      <c r="G472" s="33" t="n">
        <f aca="false">IF(G452="","",G452-G458)</f>
        <v>-19.41593</v>
      </c>
      <c r="H472" s="33" t="n">
        <f aca="false">IF(H452="","",H452-H458)</f>
        <v>-86.01732</v>
      </c>
      <c r="I472" s="33" t="n">
        <f aca="false">IF(I452="","",I452-I458)</f>
        <v>-89.878131</v>
      </c>
      <c r="J472" s="33" t="n">
        <f aca="false">IF(J452="","",J452-J458)</f>
        <v>-77.624622</v>
      </c>
      <c r="K472" s="33" t="n">
        <f aca="false">IF(K452="","",K452-K458)</f>
        <v>-61.908809</v>
      </c>
    </row>
    <row r="473" customFormat="false" ht="15" hidden="false" customHeight="false" outlineLevel="0" collapsed="false">
      <c r="A473" s="5" t="s">
        <v>2404</v>
      </c>
      <c r="B473" s="0" t="s">
        <v>2788</v>
      </c>
      <c r="C473" s="0" t="s">
        <v>57</v>
      </c>
      <c r="E473" s="23" t="str">
        <f aca="false">IF(OR(E460="",E458&lt;=0),"",E460/E458)</f>
        <v/>
      </c>
      <c r="F473" s="23" t="str">
        <f aca="false">IF(OR(F460="",F458&lt;=0),"",F460/F458)</f>
        <v/>
      </c>
      <c r="G473" s="23" t="str">
        <f aca="false">IF(OR(G460="",G458&lt;=0),"",G460/G458)</f>
        <v/>
      </c>
      <c r="H473" s="23" t="str">
        <f aca="false">IF(OR(H460="",H458&lt;=0),"",H460/H458)</f>
        <v/>
      </c>
      <c r="I473" s="23" t="str">
        <f aca="false">IF(OR(I460="",I458&lt;=0),"",I460/I458)</f>
        <v/>
      </c>
      <c r="J473" s="23" t="str">
        <f aca="false">IF(OR(J460="",J458&lt;=0),"",J460/J458)</f>
        <v/>
      </c>
      <c r="K473" s="23" t="str">
        <f aca="false">IF(OR(K460="",K458&lt;=0),"",K460/K458)</f>
        <v/>
      </c>
    </row>
    <row r="475" customFormat="false" ht="17.15" hidden="false" customHeight="false" outlineLevel="0" collapsed="false">
      <c r="A475" s="8" t="s">
        <v>1683</v>
      </c>
      <c r="B475" s="21" t="s">
        <v>737</v>
      </c>
      <c r="N475" s="5" t="s">
        <v>2789</v>
      </c>
    </row>
    <row r="476" customFormat="false" ht="17.15" hidden="false" customHeight="false" outlineLevel="0" collapsed="false">
      <c r="A476" s="5" t="s">
        <v>2659</v>
      </c>
      <c r="B476" s="0" t="s">
        <v>1579</v>
      </c>
      <c r="C476" s="0" t="s">
        <v>82</v>
      </c>
      <c r="D476" s="25" t="n">
        <f aca="false">Players!D226</f>
        <v>0</v>
      </c>
      <c r="E476" s="25" t="n">
        <f aca="false">Players!E226</f>
        <v>0</v>
      </c>
      <c r="F476" s="25" t="n">
        <f aca="false">Players!F226</f>
        <v>0</v>
      </c>
      <c r="G476" s="25" t="n">
        <f aca="false">Players!G226</f>
        <v>0</v>
      </c>
      <c r="H476" s="25" t="n">
        <f aca="false">Players!H226</f>
        <v>0</v>
      </c>
      <c r="I476" s="25" t="n">
        <f aca="false">Players!I226</f>
        <v>0</v>
      </c>
      <c r="J476" s="25" t="n">
        <f aca="false">Players!J226</f>
        <v>0</v>
      </c>
      <c r="K476" s="25" t="n">
        <f aca="false">Players!K226</f>
        <v>0</v>
      </c>
      <c r="L476" s="25" t="n">
        <f aca="false">Players!L226</f>
        <v>0</v>
      </c>
      <c r="M476" s="25" t="n">
        <f aca="false">Players!M226</f>
        <v>0</v>
      </c>
    </row>
    <row r="477" customFormat="false" ht="17.15" hidden="false" customHeight="false" outlineLevel="0" collapsed="false">
      <c r="A477" s="5" t="s">
        <v>2660</v>
      </c>
      <c r="B477" s="0" t="s">
        <v>2790</v>
      </c>
      <c r="C477" s="0" t="s">
        <v>230</v>
      </c>
      <c r="D477" s="30" t="n">
        <f aca="false">(1-Players!D228)*CapexGW!D7+Players!D228*TK_NonNV_Hold_TPU*TK_CapexIT_VR200</f>
        <v>27.2244172794119</v>
      </c>
      <c r="E477" s="30" t="n">
        <f aca="false">(1-Players!E228)*CapexGW!E7+Players!E228*TK_NonNV_Hold_TPU*TK_CapexIT_VR200</f>
        <v>27.2244172794119</v>
      </c>
      <c r="F477" s="30" t="n">
        <f aca="false">(1-Players!F228)*CapexGW!F7+Players!F228*TK_NonNV_Hold_TPU*TK_CapexIT_VR200</f>
        <v>26.0808746047072</v>
      </c>
      <c r="G477" s="30" t="n">
        <f aca="false">(1-Players!G228)*CapexGW!G7+Players!G228*TK_NonNV_Hold_TPU*TK_CapexIT_VR200</f>
        <v>31.7218865189405</v>
      </c>
      <c r="H477" s="30" t="n">
        <f aca="false">(1-Players!H228)*CapexGW!H7+Players!H228*TK_NonNV_Hold_TPU*TK_CapexIT_VR200</f>
        <v>35.0549895155976</v>
      </c>
      <c r="I477" s="30" t="n">
        <f aca="false">(1-Players!I228)*CapexGW!I7+Players!I228*TK_NonNV_Hold_TPU*TK_CapexIT_VR200</f>
        <v>37.2823212310656</v>
      </c>
      <c r="J477" s="30" t="n">
        <f aca="false">(1-Players!J228)*CapexGW!J7+Players!J228*TK_NonNV_Hold_TPU*TK_CapexIT_VR200</f>
        <v>37.243772629537</v>
      </c>
      <c r="K477" s="30" t="n">
        <f aca="false">(1-Players!K228)*CapexGW!K7+Players!K228*TK_NonNV_Hold_TPU*TK_CapexIT_VR200</f>
        <v>37.243772629537</v>
      </c>
      <c r="L477" s="30" t="n">
        <f aca="false">(1-Players!L228)*CapexGW!L7+Players!L228*TK_NonNV_Hold_TPU*TK_CapexIT_VR200</f>
        <v>37.243772629537</v>
      </c>
      <c r="M477" s="30" t="n">
        <f aca="false">(1-Players!M228)*CapexGW!M7+Players!M228*TK_NonNV_Hold_TPU*TK_CapexIT_VR200</f>
        <v>37.243772629537</v>
      </c>
    </row>
    <row r="478" customFormat="false" ht="17.15" hidden="false" customHeight="false" outlineLevel="0" collapsed="false">
      <c r="A478" s="5" t="s">
        <v>2662</v>
      </c>
      <c r="B478" s="0" t="s">
        <v>2791</v>
      </c>
      <c r="C478" s="0" t="s">
        <v>230</v>
      </c>
      <c r="D478" s="30" t="n">
        <f aca="false">(1-Players!D228)*CapexGW!D8+Players!D228*TK_NonNV_Hold_TPU*TK_CapexFacility_VR200</f>
        <v>11.764563534675</v>
      </c>
      <c r="E478" s="30" t="n">
        <f aca="false">(1-Players!E228)*CapexGW!E8+Players!E228*TK_NonNV_Hold_TPU*TK_CapexFacility_VR200</f>
        <v>11.764563534675</v>
      </c>
      <c r="F478" s="30" t="n">
        <f aca="false">(1-Players!F228)*CapexGW!F8+Players!F228*TK_NonNV_Hold_TPU*TK_CapexFacility_VR200</f>
        <v>11.764563534675</v>
      </c>
      <c r="G478" s="30" t="n">
        <f aca="false">(1-Players!G228)*CapexGW!G8+Players!G228*TK_NonNV_Hold_TPU*TK_CapexFacility_VR200</f>
        <v>11.764563534675</v>
      </c>
      <c r="H478" s="30" t="n">
        <f aca="false">(1-Players!H228)*CapexGW!H8+Players!H228*TK_NonNV_Hold_TPU*TK_CapexFacility_VR200</f>
        <v>11.6319398217651</v>
      </c>
      <c r="I478" s="30" t="n">
        <f aca="false">(1-Players!I228)*CapexGW!I8+Players!I228*TK_NonNV_Hold_TPU*TK_CapexFacility_VR200</f>
        <v>11.6451690733339</v>
      </c>
      <c r="J478" s="30" t="n">
        <f aca="false">(1-Players!J228)*CapexGW!J8+Players!J228*TK_NonNV_Hold_TPU*TK_CapexFacility_VR200</f>
        <v>11.6354152767375</v>
      </c>
      <c r="K478" s="30" t="n">
        <f aca="false">(1-Players!K228)*CapexGW!K8+Players!K228*TK_NonNV_Hold_TPU*TK_CapexFacility_VR200</f>
        <v>11.6354152767375</v>
      </c>
      <c r="L478" s="30" t="n">
        <f aca="false">(1-Players!L228)*CapexGW!L8+Players!L228*TK_NonNV_Hold_TPU*TK_CapexFacility_VR200</f>
        <v>11.6354152767375</v>
      </c>
      <c r="M478" s="30" t="n">
        <f aca="false">(1-Players!M228)*CapexGW!M8+Players!M228*TK_NonNV_Hold_TPU*TK_CapexFacility_VR200</f>
        <v>11.6354152767375</v>
      </c>
    </row>
    <row r="479" customFormat="false" ht="17.15" hidden="false" customHeight="false" outlineLevel="0" collapsed="false">
      <c r="A479" s="5" t="s">
        <v>2321</v>
      </c>
      <c r="B479" s="0" t="s">
        <v>2792</v>
      </c>
      <c r="C479" s="0" t="s">
        <v>395</v>
      </c>
      <c r="E479" s="33" t="n">
        <f aca="false">E476*(E477+Gap!$D$6*E478)</f>
        <v>0</v>
      </c>
      <c r="F479" s="33" t="n">
        <f aca="false">F476*(F477+Gap!$D$6*F478)</f>
        <v>0</v>
      </c>
      <c r="G479" s="33" t="n">
        <f aca="false">G476*(G477+Gap!$D$6*G478)</f>
        <v>0</v>
      </c>
      <c r="H479" s="33" t="n">
        <f aca="false">H476*(H477+Gap!$D$6*H478)</f>
        <v>0</v>
      </c>
      <c r="I479" s="33" t="n">
        <f aca="false">I476*(I477+Gap!$D$6*I478)</f>
        <v>0</v>
      </c>
      <c r="J479" s="33" t="n">
        <f aca="false">J476*(J477+Gap!$D$6*J478)</f>
        <v>0</v>
      </c>
      <c r="K479" s="33" t="n">
        <f aca="false">K476*(K477+Gap!$D$6*K478)</f>
        <v>0</v>
      </c>
    </row>
    <row r="480" customFormat="false" ht="17.15" hidden="false" customHeight="false" outlineLevel="0" collapsed="false">
      <c r="A480" s="5" t="s">
        <v>2323</v>
      </c>
      <c r="B480" s="0" t="s">
        <v>2793</v>
      </c>
      <c r="C480" s="0" t="s">
        <v>395</v>
      </c>
      <c r="E480" s="33" t="n">
        <f aca="false">Gap!$E$6*F476*F478</f>
        <v>0</v>
      </c>
      <c r="F480" s="33" t="n">
        <f aca="false">Gap!$E$6*G476*G478</f>
        <v>0</v>
      </c>
      <c r="G480" s="33" t="n">
        <f aca="false">Gap!$E$6*H476*H478</f>
        <v>0</v>
      </c>
      <c r="H480" s="33" t="n">
        <f aca="false">Gap!$E$6*I476*I478</f>
        <v>0</v>
      </c>
      <c r="I480" s="33" t="n">
        <f aca="false">Gap!$E$6*J476*J478</f>
        <v>0</v>
      </c>
      <c r="J480" s="33" t="n">
        <f aca="false">Gap!$E$6*K476*K478</f>
        <v>0</v>
      </c>
      <c r="K480" s="33" t="n">
        <f aca="false">Gap!$E$6*L476*L478</f>
        <v>0</v>
      </c>
    </row>
    <row r="481" customFormat="false" ht="17.15" hidden="false" customHeight="false" outlineLevel="0" collapsed="false">
      <c r="A481" s="5" t="s">
        <v>2325</v>
      </c>
      <c r="B481" s="0" t="s">
        <v>2794</v>
      </c>
      <c r="C481" s="0" t="s">
        <v>395</v>
      </c>
      <c r="E481" s="33" t="n">
        <f aca="false">Gap!$F$6*G476*G478</f>
        <v>0</v>
      </c>
      <c r="F481" s="33" t="n">
        <f aca="false">Gap!$F$6*H476*H478</f>
        <v>0</v>
      </c>
      <c r="G481" s="33" t="n">
        <f aca="false">Gap!$F$6*I476*I478</f>
        <v>0</v>
      </c>
      <c r="H481" s="33" t="n">
        <f aca="false">Gap!$F$6*J476*J478</f>
        <v>0</v>
      </c>
      <c r="I481" s="33" t="n">
        <f aca="false">Gap!$F$6*K476*K478</f>
        <v>0</v>
      </c>
      <c r="J481" s="33" t="n">
        <f aca="false">Gap!$F$6*L476*L478</f>
        <v>0</v>
      </c>
      <c r="K481" s="33" t="n">
        <f aca="false">Gap!$F$6*M476*M478</f>
        <v>0</v>
      </c>
    </row>
    <row r="482" customFormat="false" ht="17.15" hidden="false" customHeight="false" outlineLevel="0" collapsed="false">
      <c r="A482" s="5" t="s">
        <v>2327</v>
      </c>
      <c r="B482" s="0" t="s">
        <v>2795</v>
      </c>
      <c r="C482" s="0" t="s">
        <v>395</v>
      </c>
      <c r="E482" s="33" t="n">
        <f aca="false">E479+E480+E481</f>
        <v>0</v>
      </c>
      <c r="F482" s="33" t="n">
        <f aca="false">F479+F480+F481</f>
        <v>0</v>
      </c>
      <c r="G482" s="33" t="n">
        <f aca="false">G479+G480+G481</f>
        <v>0</v>
      </c>
      <c r="H482" s="33" t="n">
        <f aca="false">H479+H480+H481</f>
        <v>0</v>
      </c>
      <c r="I482" s="33" t="n">
        <f aca="false">I479+I480+I481</f>
        <v>0</v>
      </c>
      <c r="J482" s="33" t="n">
        <f aca="false">J479+J480+J481</f>
        <v>0</v>
      </c>
      <c r="K482" s="33" t="n">
        <f aca="false">K479+K480+K481</f>
        <v>0</v>
      </c>
    </row>
    <row r="483" customFormat="false" ht="17.15" hidden="false" customHeight="false" outlineLevel="0" collapsed="false">
      <c r="A483" s="5" t="s">
        <v>2329</v>
      </c>
      <c r="B483" s="0" t="s">
        <v>2796</v>
      </c>
      <c r="C483" s="0" t="s">
        <v>395</v>
      </c>
      <c r="E483" s="33" t="n">
        <f aca="false">E476*(Gap!E$8+Gap!$D$6*Gap!E$9)</f>
        <v>0</v>
      </c>
      <c r="F483" s="33" t="n">
        <f aca="false">F476*(Gap!F$8+Gap!$D$6*Gap!F$9)</f>
        <v>0</v>
      </c>
      <c r="G483" s="33" t="n">
        <f aca="false">G476*(Gap!G$8+Gap!$D$6*Gap!G$9)</f>
        <v>0</v>
      </c>
      <c r="H483" s="33" t="n">
        <f aca="false">H476*(Gap!H$8+Gap!$D$6*Gap!H$9)</f>
        <v>0</v>
      </c>
      <c r="I483" s="33" t="n">
        <f aca="false">I476*(Gap!I$8+Gap!$D$6*Gap!I$9)</f>
        <v>0</v>
      </c>
      <c r="J483" s="33" t="n">
        <f aca="false">J476*(Gap!J$8+Gap!$D$6*Gap!J$9)</f>
        <v>0</v>
      </c>
      <c r="K483" s="33" t="n">
        <f aca="false">K476*(Gap!K$8+Gap!$D$6*Gap!K$9)</f>
        <v>0</v>
      </c>
    </row>
    <row r="484" customFormat="false" ht="17.15" hidden="false" customHeight="false" outlineLevel="0" collapsed="false">
      <c r="A484" s="5" t="s">
        <v>2331</v>
      </c>
      <c r="B484" s="0" t="s">
        <v>2797</v>
      </c>
      <c r="C484" s="0" t="s">
        <v>395</v>
      </c>
      <c r="E484" s="33" t="n">
        <f aca="false">Gap!$E$6*F476*Gap!F$9</f>
        <v>0</v>
      </c>
      <c r="F484" s="33" t="n">
        <f aca="false">Gap!$E$6*G476*Gap!G$9</f>
        <v>0</v>
      </c>
      <c r="G484" s="33" t="n">
        <f aca="false">Gap!$E$6*H476*Gap!H$9</f>
        <v>0</v>
      </c>
      <c r="H484" s="33" t="n">
        <f aca="false">Gap!$E$6*I476*Gap!I$9</f>
        <v>0</v>
      </c>
      <c r="I484" s="33" t="n">
        <f aca="false">Gap!$E$6*J476*Gap!J$9</f>
        <v>0</v>
      </c>
      <c r="J484" s="33" t="n">
        <f aca="false">Gap!$E$6*K476*Gap!K$9</f>
        <v>0</v>
      </c>
      <c r="K484" s="33" t="n">
        <f aca="false">Gap!$E$6*L476*Gap!L$9</f>
        <v>0</v>
      </c>
    </row>
    <row r="485" customFormat="false" ht="17.15" hidden="false" customHeight="false" outlineLevel="0" collapsed="false">
      <c r="A485" s="5" t="s">
        <v>2333</v>
      </c>
      <c r="B485" s="0" t="s">
        <v>2798</v>
      </c>
      <c r="C485" s="0" t="s">
        <v>395</v>
      </c>
      <c r="E485" s="33" t="n">
        <f aca="false">Gap!$F$6*G476*Gap!G$9</f>
        <v>0</v>
      </c>
      <c r="F485" s="33" t="n">
        <f aca="false">Gap!$F$6*H476*Gap!H$9</f>
        <v>0</v>
      </c>
      <c r="G485" s="33" t="n">
        <f aca="false">Gap!$F$6*I476*Gap!I$9</f>
        <v>0</v>
      </c>
      <c r="H485" s="33" t="n">
        <f aca="false">Gap!$F$6*J476*Gap!J$9</f>
        <v>0</v>
      </c>
      <c r="I485" s="33" t="n">
        <f aca="false">Gap!$F$6*K476*Gap!K$9</f>
        <v>0</v>
      </c>
      <c r="J485" s="33" t="n">
        <f aca="false">Gap!$F$6*L476*Gap!L$9</f>
        <v>0</v>
      </c>
      <c r="K485" s="33" t="n">
        <f aca="false">Gap!$F$6*M476*Gap!M$9</f>
        <v>0</v>
      </c>
    </row>
    <row r="486" customFormat="false" ht="17.15" hidden="false" customHeight="false" outlineLevel="0" collapsed="false">
      <c r="A486" s="5" t="s">
        <v>2335</v>
      </c>
      <c r="B486" s="0" t="s">
        <v>2799</v>
      </c>
      <c r="C486" s="0" t="s">
        <v>395</v>
      </c>
      <c r="D486" s="33" t="str">
        <f aca="false">IF(In!H231&lt;&gt;"",In!H231,"")</f>
        <v/>
      </c>
      <c r="E486" s="33" t="str">
        <f aca="false">IF(In!I231&lt;&gt;"",In!I231,"")</f>
        <v/>
      </c>
      <c r="F486" s="33" t="str">
        <f aca="false">IF(In!J231&lt;&gt;"",In!J231,"")</f>
        <v/>
      </c>
      <c r="G486" s="33" t="str">
        <f aca="false">IF(In!K231&lt;&gt;"",In!K231,"")</f>
        <v/>
      </c>
      <c r="H486" s="33" t="str">
        <f aca="false">IF(In!L231&lt;&gt;"",In!L231,"")</f>
        <v/>
      </c>
      <c r="I486" s="33" t="str">
        <f aca="false">IF(In!M231&lt;&gt;"",In!M231,"")</f>
        <v/>
      </c>
      <c r="J486" s="33" t="str">
        <f aca="false">IF(In!N231&lt;&gt;"",In!N231,"")</f>
        <v/>
      </c>
      <c r="K486" s="33" t="str">
        <f aca="false">IF(In!O231&lt;&gt;"",In!O231,"")</f>
        <v/>
      </c>
      <c r="L486" s="33" t="str">
        <f aca="false">IF(In!P231&lt;&gt;"",In!P231,"")</f>
        <v/>
      </c>
      <c r="M486" s="33" t="str">
        <f aca="false">IF(In!Q231&lt;&gt;"",In!Q231,"")</f>
        <v/>
      </c>
    </row>
    <row r="487" customFormat="false" ht="17.15" hidden="false" customHeight="false" outlineLevel="0" collapsed="false">
      <c r="A487" s="5" t="s">
        <v>2337</v>
      </c>
      <c r="B487" s="0" t="s">
        <v>2800</v>
      </c>
      <c r="C487" s="0" t="s">
        <v>395</v>
      </c>
      <c r="E487" s="33" t="str">
        <f aca="false">E486</f>
        <v/>
      </c>
      <c r="F487" s="33" t="str">
        <f aca="false">F486</f>
        <v/>
      </c>
      <c r="G487" s="33" t="str">
        <f aca="false">G486</f>
        <v/>
      </c>
      <c r="H487" s="33" t="str">
        <f aca="false">H486</f>
        <v/>
      </c>
      <c r="I487" s="33" t="str">
        <f aca="false">I486</f>
        <v/>
      </c>
      <c r="J487" s="33" t="str">
        <f aca="false">J486</f>
        <v/>
      </c>
      <c r="K487" s="33" t="str">
        <f aca="false">K486</f>
        <v/>
      </c>
    </row>
    <row r="488" customFormat="false" ht="17.15" hidden="false" customHeight="false" outlineLevel="0" collapsed="false">
      <c r="A488" s="5" t="s">
        <v>2339</v>
      </c>
      <c r="B488" s="0" t="s">
        <v>2801</v>
      </c>
      <c r="C488" s="0" t="s">
        <v>40</v>
      </c>
      <c r="E488" s="0" t="str">
        <f aca="false">IF(E487&lt;&gt;"","","無模型值（以 0 計；無 Y2 資本支出）")</f>
        <v>無模型值（以 0 計；無 Y2 資本支出）</v>
      </c>
      <c r="F488" s="0" t="str">
        <f aca="false">IF(F487&lt;&gt;"","","無模型值（以 0 計；無 Y2 資本支出）")</f>
        <v>無模型值（以 0 計；無 Y2 資本支出）</v>
      </c>
      <c r="G488" s="0" t="str">
        <f aca="false">IF(G487&lt;&gt;"","","無模型值（以 0 計；無 Y2 資本支出）")</f>
        <v>無模型值（以 0 計；無 Y2 資本支出）</v>
      </c>
      <c r="H488" s="0" t="str">
        <f aca="false">IF(H487&lt;&gt;"","","無模型值（以 0 計；無 Y2 資本支出）")</f>
        <v>無模型值（以 0 計；無 Y2 資本支出）</v>
      </c>
      <c r="I488" s="0" t="str">
        <f aca="false">IF(I487&lt;&gt;"","","無模型值（以 0 計；無 Y2 資本支出）")</f>
        <v>無模型值（以 0 計；無 Y2 資本支出）</v>
      </c>
      <c r="J488" s="0" t="str">
        <f aca="false">IF(J487&lt;&gt;"","","無模型值（以 0 計；無 Y2 資本支出）")</f>
        <v>無模型值（以 0 計；無 Y2 資本支出）</v>
      </c>
      <c r="K488" s="0" t="str">
        <f aca="false">IF(K487&lt;&gt;"","","無模型值（以 0 計；無 Y2 資本支出）")</f>
        <v>無模型值（以 0 計；無 Y2 資本支出）</v>
      </c>
    </row>
    <row r="489" customFormat="false" ht="17.15" hidden="false" customHeight="false" outlineLevel="0" collapsed="false">
      <c r="A489" s="5" t="s">
        <v>2674</v>
      </c>
      <c r="B489" s="0" t="s">
        <v>2802</v>
      </c>
      <c r="C489" s="0" t="s">
        <v>395</v>
      </c>
      <c r="E489" s="33" t="n">
        <f aca="false">N(E487)</f>
        <v>0</v>
      </c>
      <c r="F489" s="33" t="n">
        <f aca="false">N(F487)</f>
        <v>0</v>
      </c>
      <c r="G489" s="33" t="n">
        <f aca="false">N(G487)</f>
        <v>0</v>
      </c>
      <c r="H489" s="33" t="n">
        <f aca="false">N(H487)</f>
        <v>0</v>
      </c>
      <c r="I489" s="33" t="n">
        <f aca="false">N(I487)</f>
        <v>0</v>
      </c>
      <c r="J489" s="33" t="n">
        <f aca="false">N(J487)</f>
        <v>0</v>
      </c>
      <c r="K489" s="33" t="n">
        <f aca="false">N(K487)</f>
        <v>0</v>
      </c>
    </row>
    <row r="490" customFormat="false" ht="15" hidden="false" customHeight="false" outlineLevel="0" collapsed="false">
      <c r="A490" s="5" t="s">
        <v>2344</v>
      </c>
      <c r="B490" s="0" t="s">
        <v>2803</v>
      </c>
      <c r="C490" s="0" t="s">
        <v>395</v>
      </c>
      <c r="D490" s="33" t="str">
        <f aca="false">IF(In!H232&lt;&gt;"",In!H232,"")</f>
        <v/>
      </c>
      <c r="E490" s="33" t="str">
        <f aca="false">IF(In!I232&lt;&gt;"",In!I232,"")</f>
        <v/>
      </c>
      <c r="F490" s="33" t="str">
        <f aca="false">IF(In!J232&lt;&gt;"",In!J232,"")</f>
        <v/>
      </c>
      <c r="G490" s="33" t="n">
        <f aca="false">IF(In!K232&lt;&gt;"",In!K232,"")</f>
        <v>16.666667</v>
      </c>
      <c r="H490" s="33" t="n">
        <f aca="false">IF(In!L232&lt;&gt;"",In!L232,"")</f>
        <v>16.666667</v>
      </c>
      <c r="I490" s="33" t="n">
        <f aca="false">IF(In!M232&lt;&gt;"",In!M232,"")</f>
        <v>16.666667</v>
      </c>
      <c r="J490" s="33" t="n">
        <f aca="false">IF(In!N232&lt;&gt;"",In!N232,"")</f>
        <v>0</v>
      </c>
      <c r="K490" s="33" t="n">
        <f aca="false">IF(In!O232&lt;&gt;"",In!O232,"")</f>
        <v>0</v>
      </c>
      <c r="L490" s="33" t="str">
        <f aca="false">IF(In!P232&lt;&gt;"",In!P232,"")</f>
        <v/>
      </c>
      <c r="M490" s="33" t="str">
        <f aca="false">IF(In!Q232&lt;&gt;"",In!Q232,"")</f>
        <v/>
      </c>
    </row>
    <row r="491" customFormat="false" ht="15" hidden="false" customHeight="false" outlineLevel="0" collapsed="false">
      <c r="A491" s="5" t="s">
        <v>2346</v>
      </c>
      <c r="B491" s="0" t="s">
        <v>2804</v>
      </c>
      <c r="C491" s="0" t="s">
        <v>395</v>
      </c>
      <c r="E491" s="33" t="str">
        <f aca="false">E490</f>
        <v/>
      </c>
      <c r="F491" s="33" t="str">
        <f aca="false">F490</f>
        <v/>
      </c>
      <c r="G491" s="33" t="n">
        <f aca="false">G490</f>
        <v>16.666667</v>
      </c>
      <c r="H491" s="33" t="n">
        <f aca="false">H490</f>
        <v>16.666667</v>
      </c>
      <c r="I491" s="33" t="n">
        <f aca="false">I490</f>
        <v>16.666667</v>
      </c>
      <c r="J491" s="33" t="n">
        <f aca="false">J490</f>
        <v>0</v>
      </c>
      <c r="K491" s="33" t="n">
        <f aca="false">K490</f>
        <v>0</v>
      </c>
    </row>
    <row r="492" customFormat="false" ht="17.15" hidden="false" customHeight="false" outlineLevel="0" collapsed="false">
      <c r="A492" s="5" t="s">
        <v>2348</v>
      </c>
      <c r="B492" s="0" t="s">
        <v>2805</v>
      </c>
      <c r="C492" s="0" t="s">
        <v>395</v>
      </c>
      <c r="D492" s="33" t="str">
        <f aca="false">IF(In!H230&lt;&gt;"",In!H230,"")</f>
        <v/>
      </c>
      <c r="E492" s="33" t="str">
        <f aca="false">IF(In!I230&lt;&gt;"",In!I230,"")</f>
        <v/>
      </c>
      <c r="F492" s="33" t="str">
        <f aca="false">IF(In!J230&lt;&gt;"",In!J230,"")</f>
        <v/>
      </c>
      <c r="G492" s="33" t="n">
        <f aca="false">IF(In!K230&lt;&gt;"",In!K230,"")</f>
        <v>16.666667</v>
      </c>
      <c r="H492" s="33" t="n">
        <f aca="false">IF(In!L230&lt;&gt;"",In!L230,"")</f>
        <v>16.666667</v>
      </c>
      <c r="I492" s="33" t="n">
        <f aca="false">IF(In!M230&lt;&gt;"",In!M230,"")</f>
        <v>16.666667</v>
      </c>
      <c r="J492" s="33" t="n">
        <f aca="false">IF(In!N230&lt;&gt;"",In!N230,"")</f>
        <v>0</v>
      </c>
      <c r="K492" s="33" t="n">
        <f aca="false">IF(In!O230&lt;&gt;"",In!O230,"")</f>
        <v>0</v>
      </c>
      <c r="L492" s="33" t="str">
        <f aca="false">IF(In!P230&lt;&gt;"",In!P230,"")</f>
        <v/>
      </c>
      <c r="M492" s="33" t="str">
        <f aca="false">IF(In!Q230&lt;&gt;"",In!Q230,"")</f>
        <v/>
      </c>
    </row>
    <row r="493" customFormat="false" ht="17.15" hidden="false" customHeight="false" outlineLevel="0" collapsed="false">
      <c r="A493" s="5" t="s">
        <v>2350</v>
      </c>
      <c r="B493" s="0" t="s">
        <v>2806</v>
      </c>
      <c r="C493" s="0" t="s">
        <v>395</v>
      </c>
      <c r="E493" s="33" t="str">
        <f aca="false">E492</f>
        <v/>
      </c>
      <c r="F493" s="33" t="str">
        <f aca="false">F492</f>
        <v/>
      </c>
      <c r="G493" s="33" t="n">
        <f aca="false">G492</f>
        <v>16.666667</v>
      </c>
      <c r="H493" s="33" t="n">
        <f aca="false">H492</f>
        <v>16.666667</v>
      </c>
      <c r="I493" s="33" t="n">
        <f aca="false">I492</f>
        <v>16.666667</v>
      </c>
      <c r="J493" s="33" t="n">
        <f aca="false">J492</f>
        <v>0</v>
      </c>
      <c r="K493" s="33" t="n">
        <f aca="false">K492</f>
        <v>0</v>
      </c>
    </row>
    <row r="494" customFormat="false" ht="17.15" hidden="false" customHeight="false" outlineLevel="0" collapsed="false">
      <c r="A494" s="5" t="s">
        <v>2354</v>
      </c>
      <c r="B494" s="0" t="s">
        <v>2807</v>
      </c>
      <c r="C494" s="0" t="s">
        <v>395</v>
      </c>
      <c r="D494" s="33" t="str">
        <f aca="false">IF(In!H229&lt;&gt;"",In!H229,"")</f>
        <v/>
      </c>
      <c r="E494" s="33" t="str">
        <f aca="false">IF(In!I229&lt;&gt;"",In!I229,"")</f>
        <v/>
      </c>
      <c r="F494" s="33" t="str">
        <f aca="false">IF(In!J229&lt;&gt;"",In!J229,IF(Funding!E29&lt;&gt;"",Funding!E29,""))</f>
        <v/>
      </c>
      <c r="G494" s="33" t="n">
        <f aca="false">IF(In!K229&lt;&gt;"",In!K229,"")</f>
        <v>14.065522</v>
      </c>
      <c r="H494" s="33" t="n">
        <f aca="false">IF(In!L229&lt;&gt;"",In!L229,"")</f>
        <v>-1.858273</v>
      </c>
      <c r="I494" s="33" t="n">
        <f aca="false">IF(In!M229&lt;&gt;"",In!M229,"")</f>
        <v>1.674789</v>
      </c>
      <c r="J494" s="33" t="n">
        <f aca="false">IF(In!N229&lt;&gt;"",In!N229,"")</f>
        <v>47.554557</v>
      </c>
      <c r="K494" s="33" t="n">
        <f aca="false">IF(In!O229&lt;&gt;"",In!O229,"")</f>
        <v>96.074285</v>
      </c>
      <c r="L494" s="33" t="str">
        <f aca="false">IF(In!P229&lt;&gt;"",In!P229,"")</f>
        <v/>
      </c>
      <c r="M494" s="33" t="str">
        <f aca="false">IF(In!Q229&lt;&gt;"",In!Q229,"")</f>
        <v/>
      </c>
    </row>
    <row r="495" customFormat="false" ht="15" hidden="false" customHeight="false" outlineLevel="0" collapsed="false">
      <c r="A495" s="5" t="s">
        <v>2356</v>
      </c>
      <c r="B495" s="0" t="s">
        <v>2808</v>
      </c>
      <c r="C495" s="0" t="s">
        <v>40</v>
      </c>
      <c r="D495" s="0" t="str">
        <f aca="false">IF(In!H229&lt;&gt;"","模型",IF(D494&lt;&gt;"","Funding 觀測","無模型值"))</f>
        <v>無模型值</v>
      </c>
      <c r="E495" s="0" t="str">
        <f aca="false">IF(In!I229&lt;&gt;"","模型",IF(E494&lt;&gt;"","Funding 觀測","無模型值"))</f>
        <v>無模型值</v>
      </c>
      <c r="F495" s="0" t="str">
        <f aca="false">IF(In!J229&lt;&gt;"","模型",IF(F494&lt;&gt;"","Funding 觀測","無模型值"))</f>
        <v>無模型值</v>
      </c>
      <c r="G495" s="0" t="str">
        <f aca="false">IF(In!K229&lt;&gt;"","模型",IF(G494&lt;&gt;"","Funding 觀測","無模型值"))</f>
        <v>模型</v>
      </c>
      <c r="H495" s="0" t="str">
        <f aca="false">IF(In!L229&lt;&gt;"","模型",IF(H494&lt;&gt;"","Funding 觀測","無模型值"))</f>
        <v>模型</v>
      </c>
      <c r="I495" s="0" t="str">
        <f aca="false">IF(In!M229&lt;&gt;"","模型",IF(I494&lt;&gt;"","Funding 觀測","無模型值"))</f>
        <v>模型</v>
      </c>
      <c r="J495" s="0" t="str">
        <f aca="false">IF(In!N229&lt;&gt;"","模型",IF(J494&lt;&gt;"","Funding 觀測","無模型值"))</f>
        <v>模型</v>
      </c>
      <c r="K495" s="0" t="str">
        <f aca="false">IF(In!O229&lt;&gt;"","模型",IF(K494&lt;&gt;"","Funding 觀測","無模型值"))</f>
        <v>模型</v>
      </c>
      <c r="L495" s="0" t="str">
        <f aca="false">IF(In!P229&lt;&gt;"","模型",IF(L494&lt;&gt;"","Funding 觀測","無模型值"))</f>
        <v>無模型值</v>
      </c>
      <c r="M495" s="0" t="str">
        <f aca="false">IF(In!Q229&lt;&gt;"","模型",IF(M494&lt;&gt;"","Funding 觀測","無模型值"))</f>
        <v>無模型值</v>
      </c>
    </row>
    <row r="496" customFormat="false" ht="15" hidden="false" customHeight="false" outlineLevel="0" collapsed="false">
      <c r="A496" s="5" t="s">
        <v>2358</v>
      </c>
      <c r="B496" s="0" t="s">
        <v>2809</v>
      </c>
      <c r="C496" s="0" t="s">
        <v>395</v>
      </c>
      <c r="E496" s="40" t="str">
        <f aca="false">E494</f>
        <v/>
      </c>
      <c r="F496" s="40" t="str">
        <f aca="false">F494</f>
        <v/>
      </c>
      <c r="G496" s="40" t="n">
        <f aca="false">G494</f>
        <v>14.065522</v>
      </c>
      <c r="H496" s="40" t="n">
        <f aca="false">H494</f>
        <v>-1.858273</v>
      </c>
      <c r="I496" s="40" t="n">
        <f aca="false">I494</f>
        <v>1.674789</v>
      </c>
      <c r="J496" s="40" t="n">
        <f aca="false">J494</f>
        <v>47.554557</v>
      </c>
      <c r="K496" s="40" t="n">
        <f aca="false">K494</f>
        <v>96.074285</v>
      </c>
    </row>
    <row r="497" customFormat="false" ht="17.15" hidden="false" customHeight="false" outlineLevel="0" collapsed="false">
      <c r="A497" s="5" t="s">
        <v>2360</v>
      </c>
      <c r="B497" s="0" t="s">
        <v>2810</v>
      </c>
      <c r="C497" s="0" t="s">
        <v>40</v>
      </c>
      <c r="E497" s="0" t="str">
        <f aca="false">""</f>
        <v/>
      </c>
      <c r="F497" s="0" t="str">
        <f aca="false">""</f>
        <v/>
      </c>
      <c r="G497" s="0" t="str">
        <f aca="false">""</f>
        <v/>
      </c>
      <c r="H497" s="0" t="str">
        <f aca="false">""</f>
        <v/>
      </c>
      <c r="I497" s="0" t="str">
        <f aca="false">""</f>
        <v/>
      </c>
      <c r="J497" s="0" t="str">
        <f aca="false">""</f>
        <v/>
      </c>
      <c r="K497" s="0" t="str">
        <f aca="false">""</f>
        <v/>
      </c>
      <c r="N497" s="0" t="s">
        <v>2811</v>
      </c>
    </row>
    <row r="498" customFormat="false" ht="17.15" hidden="false" customHeight="false" outlineLevel="0" collapsed="false">
      <c r="A498" s="5" t="s">
        <v>2363</v>
      </c>
      <c r="B498" s="0" t="s">
        <v>2812</v>
      </c>
      <c r="C498" s="0" t="s">
        <v>395</v>
      </c>
      <c r="E498" s="40" t="n">
        <f aca="false">IF(E497&lt;&gt;"",E493,E482)</f>
        <v>0</v>
      </c>
      <c r="F498" s="40" t="n">
        <f aca="false">IF(F497&lt;&gt;"",F493,F482)</f>
        <v>0</v>
      </c>
      <c r="G498" s="40" t="n">
        <f aca="false">IF(G497&lt;&gt;"",G493,G482)</f>
        <v>0</v>
      </c>
      <c r="H498" s="40" t="n">
        <f aca="false">IF(H497&lt;&gt;"",H493,H482)</f>
        <v>0</v>
      </c>
      <c r="I498" s="40" t="n">
        <f aca="false">IF(I497&lt;&gt;"",I493,I482)</f>
        <v>0</v>
      </c>
      <c r="J498" s="40" t="n">
        <f aca="false">IF(J497&lt;&gt;"",J493,J482)</f>
        <v>0</v>
      </c>
      <c r="K498" s="40" t="n">
        <f aca="false">IF(K497&lt;&gt;"",K493,K482)</f>
        <v>0</v>
      </c>
    </row>
    <row r="499" customFormat="false" ht="17.15" hidden="false" customHeight="false" outlineLevel="0" collapsed="false">
      <c r="A499" s="5" t="s">
        <v>2685</v>
      </c>
      <c r="B499" s="0" t="s">
        <v>2813</v>
      </c>
      <c r="C499" s="0" t="s">
        <v>395</v>
      </c>
      <c r="E499" s="33" t="n">
        <f aca="false">E498</f>
        <v>0</v>
      </c>
      <c r="F499" s="33" t="n">
        <f aca="false">F498</f>
        <v>0</v>
      </c>
      <c r="G499" s="33" t="n">
        <f aca="false">G498</f>
        <v>0</v>
      </c>
      <c r="H499" s="33" t="n">
        <f aca="false">H498</f>
        <v>0</v>
      </c>
      <c r="I499" s="33" t="n">
        <f aca="false">I498</f>
        <v>0</v>
      </c>
      <c r="J499" s="33" t="n">
        <f aca="false">J498</f>
        <v>0</v>
      </c>
      <c r="K499" s="33" t="n">
        <f aca="false">K498</f>
        <v>0</v>
      </c>
    </row>
    <row r="500" customFormat="false" ht="15" hidden="false" customHeight="false" outlineLevel="0" collapsed="false">
      <c r="A500" s="5" t="s">
        <v>2366</v>
      </c>
      <c r="B500" s="0" t="s">
        <v>2814</v>
      </c>
      <c r="C500" s="0" t="s">
        <v>395</v>
      </c>
      <c r="D500" s="33" t="str">
        <f aca="false">IF(In!H233&lt;&gt;"",In!H233,"")</f>
        <v/>
      </c>
      <c r="E500" s="33" t="str">
        <f aca="false">IF(In!I233&lt;&gt;"",In!I233,"")</f>
        <v/>
      </c>
      <c r="F500" s="33" t="str">
        <f aca="false">IF(In!J233&lt;&gt;"",In!J233,IF(Funding!T29&lt;&gt;"",Funding!T29,""))</f>
        <v/>
      </c>
      <c r="G500" s="33" t="str">
        <f aca="false">IF(In!K233&lt;&gt;"",In!K233,"")</f>
        <v/>
      </c>
      <c r="H500" s="33" t="str">
        <f aca="false">IF(In!L233&lt;&gt;"",In!L233,"")</f>
        <v/>
      </c>
      <c r="I500" s="33" t="str">
        <f aca="false">IF(In!M233&lt;&gt;"",In!M233,"")</f>
        <v/>
      </c>
      <c r="J500" s="33" t="str">
        <f aca="false">IF(In!N233&lt;&gt;"",In!N233,"")</f>
        <v/>
      </c>
      <c r="K500" s="33" t="str">
        <f aca="false">IF(In!O233&lt;&gt;"",In!O233,"")</f>
        <v/>
      </c>
      <c r="L500" s="33" t="str">
        <f aca="false">IF(In!P233&lt;&gt;"",In!P233,"")</f>
        <v/>
      </c>
      <c r="M500" s="33" t="str">
        <f aca="false">IF(In!Q233&lt;&gt;"",In!Q233,"")</f>
        <v/>
      </c>
    </row>
    <row r="501" customFormat="false" ht="15" hidden="false" customHeight="false" outlineLevel="0" collapsed="false">
      <c r="A501" s="5" t="s">
        <v>2368</v>
      </c>
      <c r="B501" s="0" t="s">
        <v>2815</v>
      </c>
      <c r="C501" s="0" t="s">
        <v>395</v>
      </c>
      <c r="E501" s="33" t="str">
        <f aca="false">E500</f>
        <v/>
      </c>
      <c r="F501" s="33" t="str">
        <f aca="false">F500</f>
        <v/>
      </c>
      <c r="G501" s="33" t="str">
        <f aca="false">G500</f>
        <v/>
      </c>
      <c r="H501" s="33" t="str">
        <f aca="false">H500</f>
        <v/>
      </c>
      <c r="I501" s="33" t="str">
        <f aca="false">I500</f>
        <v/>
      </c>
      <c r="J501" s="33" t="str">
        <f aca="false">J500</f>
        <v/>
      </c>
      <c r="K501" s="33" t="str">
        <f aca="false">K500</f>
        <v/>
      </c>
    </row>
    <row r="502" customFormat="false" ht="17.15" hidden="false" customHeight="false" outlineLevel="0" collapsed="false">
      <c r="A502" s="5" t="s">
        <v>2370</v>
      </c>
      <c r="B502" s="0" t="s">
        <v>2816</v>
      </c>
      <c r="C502" s="0" t="s">
        <v>395</v>
      </c>
      <c r="E502" s="33" t="n">
        <f aca="false">E498+E489</f>
        <v>0</v>
      </c>
      <c r="F502" s="33" t="n">
        <f aca="false">F498+F489</f>
        <v>0</v>
      </c>
      <c r="G502" s="33" t="n">
        <f aca="false">G498+G489</f>
        <v>0</v>
      </c>
      <c r="H502" s="33" t="n">
        <f aca="false">H498+H489</f>
        <v>0</v>
      </c>
      <c r="I502" s="33" t="n">
        <f aca="false">I498+I489</f>
        <v>0</v>
      </c>
      <c r="J502" s="33" t="n">
        <f aca="false">J498+J489</f>
        <v>0</v>
      </c>
      <c r="K502" s="33" t="n">
        <f aca="false">K498+K489</f>
        <v>0</v>
      </c>
    </row>
    <row r="503" customFormat="false" ht="17.15" hidden="false" customHeight="false" outlineLevel="0" collapsed="false">
      <c r="A503" s="5" t="s">
        <v>2372</v>
      </c>
      <c r="B503" s="0" t="s">
        <v>2817</v>
      </c>
      <c r="C503" s="0" t="s">
        <v>41</v>
      </c>
      <c r="E503" s="30" t="str">
        <f aca="false">IF(OR(E496="",E502&lt;=0),"",E496/E502)</f>
        <v/>
      </c>
      <c r="F503" s="30" t="str">
        <f aca="false">IF(OR(F496="",F502&lt;=0),"",F496/F502)</f>
        <v/>
      </c>
      <c r="G503" s="30" t="str">
        <f aca="false">IF(OR(G496="",G502&lt;=0),"",G496/G502)</f>
        <v/>
      </c>
      <c r="H503" s="30" t="str">
        <f aca="false">IF(OR(H496="",H502&lt;=0),"",H496/H502)</f>
        <v/>
      </c>
      <c r="I503" s="30" t="str">
        <f aca="false">IF(OR(I496="",I502&lt;=0),"",I496/I502)</f>
        <v/>
      </c>
      <c r="J503" s="30" t="str">
        <f aca="false">IF(OR(J496="",J502&lt;=0),"",J496/J502)</f>
        <v/>
      </c>
      <c r="K503" s="30" t="str">
        <f aca="false">IF(OR(K496="",K502&lt;=0),"",K496/K502)</f>
        <v/>
      </c>
    </row>
    <row r="504" customFormat="false" ht="17.15" hidden="false" customHeight="false" outlineLevel="0" collapsed="false">
      <c r="A504" s="5" t="s">
        <v>2374</v>
      </c>
      <c r="B504" s="0" t="s">
        <v>2818</v>
      </c>
      <c r="C504" s="0" t="s">
        <v>395</v>
      </c>
      <c r="E504" s="40" t="str">
        <f aca="false">IF(E496="","",E502-E496)</f>
        <v/>
      </c>
      <c r="F504" s="40" t="str">
        <f aca="false">IF(F496="","",F502-F496)</f>
        <v/>
      </c>
      <c r="G504" s="40" t="n">
        <f aca="false">IF(G496="","",G502-G496)</f>
        <v>-14.065522</v>
      </c>
      <c r="H504" s="40" t="n">
        <f aca="false">IF(H496="","",H502-H496)</f>
        <v>1.858273</v>
      </c>
      <c r="I504" s="40" t="n">
        <f aca="false">IF(I496="","",I502-I496)</f>
        <v>-1.674789</v>
      </c>
      <c r="J504" s="40" t="n">
        <f aca="false">IF(J496="","",J502-J496)</f>
        <v>-47.554557</v>
      </c>
      <c r="K504" s="40" t="n">
        <f aca="false">IF(K496="","",K502-K496)</f>
        <v>-96.074285</v>
      </c>
    </row>
    <row r="505" customFormat="false" ht="17.15" hidden="false" customHeight="false" outlineLevel="0" collapsed="false">
      <c r="A505" s="5" t="s">
        <v>2433</v>
      </c>
      <c r="B505" s="0" t="s">
        <v>2819</v>
      </c>
      <c r="C505" s="0" t="s">
        <v>395</v>
      </c>
      <c r="E505" s="40" t="n">
        <f aca="false">0</f>
        <v>0</v>
      </c>
      <c r="F505" s="40" t="n">
        <f aca="false">N(Funding!AL29)</f>
        <v>0</v>
      </c>
    </row>
    <row r="506" customFormat="false" ht="17.15" hidden="false" customHeight="false" outlineLevel="0" collapsed="false">
      <c r="A506" s="5" t="s">
        <v>2435</v>
      </c>
      <c r="B506" s="0" t="s">
        <v>2820</v>
      </c>
      <c r="C506" s="0" t="s">
        <v>395</v>
      </c>
      <c r="E506" s="33" t="n">
        <f aca="false">0</f>
        <v>0</v>
      </c>
      <c r="F506" s="33" t="n">
        <f aca="false">(N(Funding!J29)+N(Funding!K29)+N(Funding!L29)+N(Funding!M29))</f>
        <v>0</v>
      </c>
    </row>
    <row r="507" customFormat="false" ht="15" hidden="false" customHeight="false" outlineLevel="0" collapsed="false">
      <c r="A507" s="5" t="s">
        <v>2437</v>
      </c>
      <c r="B507" s="0" t="s">
        <v>2821</v>
      </c>
      <c r="C507" s="0" t="s">
        <v>395</v>
      </c>
      <c r="E507" s="33" t="n">
        <f aca="false">0</f>
        <v>0</v>
      </c>
      <c r="F507" s="33" t="n">
        <f aca="false">N(Funding!R29)</f>
        <v>0</v>
      </c>
    </row>
    <row r="508" customFormat="false" ht="15" hidden="false" customHeight="false" outlineLevel="0" collapsed="false">
      <c r="A508" s="5" t="s">
        <v>2439</v>
      </c>
      <c r="B508" s="0" t="s">
        <v>2822</v>
      </c>
      <c r="C508" s="0" t="s">
        <v>395</v>
      </c>
      <c r="E508" s="33" t="n">
        <f aca="false">0</f>
        <v>0</v>
      </c>
      <c r="F508" s="33" t="n">
        <f aca="false">(N(Funding!AL29)-(N(Funding!J29)+N(Funding!K29)+N(Funding!L29)+N(Funding!M29))-N(Funding!R29))</f>
        <v>0</v>
      </c>
    </row>
    <row r="509" customFormat="false" ht="17.15" hidden="false" customHeight="false" outlineLevel="0" collapsed="false">
      <c r="A509" s="5" t="s">
        <v>2384</v>
      </c>
      <c r="B509" s="0" t="s">
        <v>2823</v>
      </c>
      <c r="C509" s="0" t="s">
        <v>395</v>
      </c>
      <c r="E509" s="33" t="str">
        <f aca="false">IF(E504="","",E504-E505)</f>
        <v/>
      </c>
      <c r="F509" s="33" t="str">
        <f aca="false">IF(F504="","",F504-F505)</f>
        <v/>
      </c>
    </row>
    <row r="510" customFormat="false" ht="17.15" hidden="false" customHeight="false" outlineLevel="0" collapsed="false">
      <c r="A510" s="5" t="s">
        <v>2386</v>
      </c>
      <c r="B510" s="0" t="s">
        <v>2824</v>
      </c>
      <c r="C510" s="0" t="s">
        <v>395</v>
      </c>
      <c r="G510" s="33" t="n">
        <f aca="false">IF(Funding!O30&lt;&gt;"",Funding!O30,N(Funding!O29))</f>
        <v>0</v>
      </c>
      <c r="N510" s="5" t="s">
        <v>2388</v>
      </c>
    </row>
    <row r="511" customFormat="false" ht="17.15" hidden="false" customHeight="false" outlineLevel="0" collapsed="false">
      <c r="A511" s="5" t="s">
        <v>2389</v>
      </c>
      <c r="B511" s="0" t="s">
        <v>2825</v>
      </c>
      <c r="C511" s="0" t="s">
        <v>395</v>
      </c>
      <c r="G511" s="33" t="n">
        <f aca="false">IF(Funding!Q30&lt;&gt;"",Funding!Q30,N(Funding!Q29))</f>
        <v>0</v>
      </c>
      <c r="N511" s="5" t="s">
        <v>2391</v>
      </c>
    </row>
    <row r="512" customFormat="false" ht="17.15" hidden="false" customHeight="false" outlineLevel="0" collapsed="false">
      <c r="A512" s="5" t="s">
        <v>2392</v>
      </c>
      <c r="B512" s="0" t="s">
        <v>2826</v>
      </c>
      <c r="C512" s="0" t="s">
        <v>395</v>
      </c>
      <c r="G512" s="33" t="n">
        <f aca="false">N(Funding!AL30)</f>
        <v>130</v>
      </c>
    </row>
    <row r="513" customFormat="false" ht="17.15" hidden="false" customHeight="false" outlineLevel="0" collapsed="false">
      <c r="A513" s="5" t="s">
        <v>2394</v>
      </c>
      <c r="B513" s="0" t="s">
        <v>2827</v>
      </c>
      <c r="C513" s="0" t="s">
        <v>395</v>
      </c>
      <c r="G513" s="33" t="str">
        <f aca="false">IF(COUNTIFS(FundRaw!$C$4:$C$281,"ant",FundRaw!$F$4:$F$281,"cash_level",FundRaw!$D$4:$D$281,"2025-12-31",FundRaw!$O$4:$O$281,1)=0,"未取得",SUMIFS(FundRaw!$G$4:$G$281,FundRaw!$C$4:$C$281,"ant",FundRaw!$F$4:$F$281,"cash_level",FundRaw!$D$4:$D$281,"2025-12-31",FundRaw!$O$4:$O$281,1))</f>
        <v>未取得</v>
      </c>
      <c r="N513" s="5" t="s">
        <v>2396</v>
      </c>
    </row>
    <row r="514" customFormat="false" ht="17.15" hidden="false" customHeight="false" outlineLevel="0" collapsed="false">
      <c r="A514" s="5" t="s">
        <v>2397</v>
      </c>
      <c r="B514" s="0" t="s">
        <v>2828</v>
      </c>
      <c r="C514" s="0" t="s">
        <v>395</v>
      </c>
      <c r="G514" s="33" t="n">
        <f aca="false">IF(ISNUMBER(G513),G513,N(gcash_ant))</f>
        <v>20.28</v>
      </c>
      <c r="N514" s="5" t="s">
        <v>2829</v>
      </c>
    </row>
    <row r="515" customFormat="false" ht="17.15" hidden="false" customHeight="false" outlineLevel="0" collapsed="false">
      <c r="A515" s="5" t="s">
        <v>2400</v>
      </c>
      <c r="B515" s="0" t="s">
        <v>2830</v>
      </c>
      <c r="C515" s="0" t="s">
        <v>40</v>
      </c>
      <c r="G515" s="0" t="str">
        <f aca="false">IF(ISNUMBER(G513),"Funding 觀測","個股模型（In Y9）")</f>
        <v>個股模型（In Y9）</v>
      </c>
    </row>
    <row r="516" customFormat="false" ht="17.15" hidden="false" customHeight="false" outlineLevel="0" collapsed="false">
      <c r="A516" s="5" t="s">
        <v>2402</v>
      </c>
      <c r="B516" s="0" t="s">
        <v>2831</v>
      </c>
      <c r="C516" s="0" t="s">
        <v>395</v>
      </c>
      <c r="E516" s="33" t="str">
        <f aca="false">IF(E496="","",E496-E502)</f>
        <v/>
      </c>
      <c r="F516" s="33" t="str">
        <f aca="false">IF(F496="","",F496-F502)</f>
        <v/>
      </c>
      <c r="G516" s="33" t="n">
        <f aca="false">IF(G496="","",G496-G502)</f>
        <v>14.065522</v>
      </c>
      <c r="H516" s="33" t="n">
        <f aca="false">IF(H496="","",H496-H502)</f>
        <v>-1.858273</v>
      </c>
      <c r="I516" s="33" t="n">
        <f aca="false">IF(I496="","",I496-I502)</f>
        <v>1.674789</v>
      </c>
      <c r="J516" s="33" t="n">
        <f aca="false">IF(J496="","",J496-J502)</f>
        <v>47.554557</v>
      </c>
      <c r="K516" s="33" t="n">
        <f aca="false">IF(K496="","",K496-K502)</f>
        <v>96.074285</v>
      </c>
    </row>
    <row r="517" customFormat="false" ht="15" hidden="false" customHeight="false" outlineLevel="0" collapsed="false">
      <c r="A517" s="5" t="s">
        <v>2404</v>
      </c>
      <c r="B517" s="0" t="s">
        <v>2832</v>
      </c>
      <c r="C517" s="0" t="s">
        <v>57</v>
      </c>
      <c r="E517" s="23" t="str">
        <f aca="false">IF(OR(E504="",E502&lt;=0),"",E504/E502)</f>
        <v/>
      </c>
      <c r="F517" s="23" t="str">
        <f aca="false">IF(OR(F504="",F502&lt;=0),"",F504/F502)</f>
        <v/>
      </c>
      <c r="G517" s="23" t="str">
        <f aca="false">IF(OR(G504="",G502&lt;=0),"",G504/G502)</f>
        <v/>
      </c>
      <c r="H517" s="23" t="str">
        <f aca="false">IF(OR(H504="",H502&lt;=0),"",H504/H502)</f>
        <v/>
      </c>
      <c r="I517" s="23" t="str">
        <f aca="false">IF(OR(I504="",I502&lt;=0),"",I504/I502)</f>
        <v/>
      </c>
      <c r="J517" s="23" t="str">
        <f aca="false">IF(OR(J504="",J502&lt;=0),"",J504/J502)</f>
        <v/>
      </c>
      <c r="K517" s="23" t="str">
        <f aca="false">IF(OR(K504="",K502&lt;=0),"",K504/K502)</f>
        <v/>
      </c>
    </row>
    <row r="519" customFormat="false" ht="17.15" hidden="false" customHeight="false" outlineLevel="0" collapsed="false">
      <c r="A519" s="22" t="s">
        <v>2833</v>
      </c>
    </row>
    <row r="520" customFormat="false" ht="17.15" hidden="false" customHeight="false" outlineLevel="0" collapsed="false">
      <c r="A520" s="5" t="s">
        <v>2834</v>
      </c>
      <c r="B520" s="0" t="s">
        <v>2835</v>
      </c>
      <c r="D520" s="0" t="str">
        <f aca="false">IF(SUMPRODUCT((G59:K59="")*1)&gt;0,"未定（資料不足）",IF(OR(K79&lt;0,OR(AND(N(G80)&gt;0.3,N(H80)&gt;0.3,N(I80)&gt;0.3),AND(N(H80)&gt;0.3,N(I80)&gt;0.3,N(J80)&gt;0.3),AND(N(I80)&gt;0.3,N(J80)&gt;0.3,N(K80)&gt;0.3))),"OpenAI 型",IF(MIN(G79:K79)&gt;=0,"Anthropic 型（2026–2030 皆為正）","Anthropic 型（"&amp;IF(AND(G79&gt;=0,H79&gt;=0,I79&gt;=0,J79&gt;=0,K79&gt;=0),"2026",IF(AND(H79&gt;=0,I79&gt;=0,J79&gt;=0,K79&gt;=0),"2027",IF(AND(I79&gt;=0,J79&gt;=0,K79&gt;=0),"2028",IF(AND(J79&gt;=0,K79&gt;=0),"2029",IF(AND(K79&gt;=0),"2030","—")))))&amp;" 起轉正）")))</f>
        <v>Anthropic 型（2026–2030 皆為正）</v>
      </c>
    </row>
    <row r="521" customFormat="false" ht="17.15" hidden="false" customHeight="false" outlineLevel="0" collapsed="false">
      <c r="A521" s="5" t="s">
        <v>2836</v>
      </c>
      <c r="B521" s="0" t="s">
        <v>2837</v>
      </c>
      <c r="D521" s="0" t="str">
        <f aca="false">IF(SUMPRODUCT((G104:K104="")*1)&gt;0,"未定（資料不足）",IF(OR(K124&lt;0,OR(AND(N(G125)&gt;0.3,N(H125)&gt;0.3,N(I125)&gt;0.3),AND(N(H125)&gt;0.3,N(I125)&gt;0.3,N(J125)&gt;0.3),AND(N(I125)&gt;0.3,N(J125)&gt;0.3,N(K125)&gt;0.3))),"OpenAI 型",IF(MIN(G124:K124)&gt;=0,"Anthropic 型（2026–2030 皆為正）","Anthropic 型（"&amp;IF(AND(G124&gt;=0,H124&gt;=0,I124&gt;=0,J124&gt;=0,K124&gt;=0),"2026",IF(AND(H124&gt;=0,I124&gt;=0,J124&gt;=0,K124&gt;=0),"2027",IF(AND(I124&gt;=0,J124&gt;=0,K124&gt;=0),"2028",IF(AND(J124&gt;=0,K124&gt;=0),"2029",IF(AND(K124&gt;=0),"2030","—")))))&amp;" 起轉正）")))</f>
        <v>OpenAI 型</v>
      </c>
    </row>
    <row r="522" customFormat="false" ht="17.15" hidden="false" customHeight="false" outlineLevel="0" collapsed="false">
      <c r="A522" s="5" t="s">
        <v>2838</v>
      </c>
      <c r="B522" s="0" t="s">
        <v>2839</v>
      </c>
      <c r="D522" s="0" t="str">
        <f aca="false">IF(SUMPRODUCT((G149:K149="")*1)&gt;0,"未定（資料不足）",IF(OR(K169&lt;0,OR(AND(N(G170)&gt;0.3,N(H170)&gt;0.3,N(I170)&gt;0.3),AND(N(H170)&gt;0.3,N(I170)&gt;0.3,N(J170)&gt;0.3),AND(N(I170)&gt;0.3,N(J170)&gt;0.3,N(K170)&gt;0.3))),"OpenAI 型",IF(MIN(G169:K169)&gt;=0,"Anthropic 型（2026–2030 皆為正）","Anthropic 型（"&amp;IF(AND(G169&gt;=0,H169&gt;=0,I169&gt;=0,J169&gt;=0,K169&gt;=0),"2026",IF(AND(H169&gt;=0,I169&gt;=0,J169&gt;=0,K169&gt;=0),"2027",IF(AND(I169&gt;=0,J169&gt;=0,K169&gt;=0),"2028",IF(AND(J169&gt;=0,K169&gt;=0),"2029",IF(AND(K169&gt;=0),"2030","—")))))&amp;" 起轉正）")))</f>
        <v>Anthropic 型（2029 起轉正）</v>
      </c>
    </row>
    <row r="523" customFormat="false" ht="17.15" hidden="false" customHeight="false" outlineLevel="0" collapsed="false">
      <c r="A523" s="5" t="s">
        <v>2840</v>
      </c>
      <c r="B523" s="0" t="s">
        <v>2841</v>
      </c>
      <c r="D523" s="0" t="str">
        <f aca="false">IF(SUMPRODUCT((G194:K194="")*1)&gt;0,"未定（資料不足）",IF(OR(K214&lt;0,OR(AND(N(G215)&gt;0.3,N(H215)&gt;0.3,N(I215)&gt;0.3),AND(N(H215)&gt;0.3,N(I215)&gt;0.3,N(J215)&gt;0.3),AND(N(I215)&gt;0.3,N(J215)&gt;0.3,N(K215)&gt;0.3))),"OpenAI 型",IF(MIN(G214:K214)&gt;=0,"Anthropic 型（2026–2030 皆為正）","Anthropic 型（"&amp;IF(AND(G214&gt;=0,H214&gt;=0,I214&gt;=0,J214&gt;=0,K214&gt;=0),"2026",IF(AND(H214&gt;=0,I214&gt;=0,J214&gt;=0,K214&gt;=0),"2027",IF(AND(I214&gt;=0,J214&gt;=0,K214&gt;=0),"2028",IF(AND(J214&gt;=0,K214&gt;=0),"2029",IF(AND(K214&gt;=0),"2030","—")))))&amp;" 起轉正）")))</f>
        <v>Anthropic 型（2026–2030 皆為正）</v>
      </c>
    </row>
    <row r="524" customFormat="false" ht="17.15" hidden="false" customHeight="false" outlineLevel="0" collapsed="false">
      <c r="A524" s="5" t="s">
        <v>2842</v>
      </c>
      <c r="B524" s="0" t="s">
        <v>2843</v>
      </c>
      <c r="D524" s="0" t="str">
        <f aca="false">IF(SUMPRODUCT((G239:K239="")*1)&gt;0,"未定（資料不足）",IF(OR(K259&lt;0,OR(AND(N(G260)&gt;0.3,N(H260)&gt;0.3,N(I260)&gt;0.3),AND(N(H260)&gt;0.3,N(I260)&gt;0.3,N(J260)&gt;0.3),AND(N(I260)&gt;0.3,N(J260)&gt;0.3,N(K260)&gt;0.3))),"OpenAI 型",IF(MIN(G259:K259)&gt;=0,"Anthropic 型（2026–2030 皆為正）","Anthropic 型（"&amp;IF(AND(G259&gt;=0,H259&gt;=0,I259&gt;=0,J259&gt;=0,K259&gt;=0),"2026",IF(AND(H259&gt;=0,I259&gt;=0,J259&gt;=0,K259&gt;=0),"2027",IF(AND(I259&gt;=0,J259&gt;=0,K259&gt;=0),"2028",IF(AND(J259&gt;=0,K259&gt;=0),"2029",IF(AND(K259&gt;=0),"2030","—")))))&amp;" 起轉正）")))</f>
        <v>OpenAI 型</v>
      </c>
    </row>
    <row r="525" customFormat="false" ht="17.15" hidden="false" customHeight="false" outlineLevel="0" collapsed="false">
      <c r="A525" s="5" t="s">
        <v>2844</v>
      </c>
      <c r="B525" s="0" t="s">
        <v>2845</v>
      </c>
      <c r="D525" s="0" t="str">
        <f aca="false">IF(SUMPRODUCT((G284:K284="")*1)&gt;0,"未定（資料不足）",IF(OR(K304&lt;0,OR(AND(N(G305)&gt;0.3,N(H305)&gt;0.3,N(I305)&gt;0.3),AND(N(H305)&gt;0.3,N(I305)&gt;0.3,N(J305)&gt;0.3),AND(N(I305)&gt;0.3,N(J305)&gt;0.3,N(K305)&gt;0.3))),"OpenAI 型",IF(MIN(G304:K304)&gt;=0,"Anthropic 型（2026–2030 皆為正）","Anthropic 型（"&amp;IF(AND(G304&gt;=0,H304&gt;=0,I304&gt;=0,J304&gt;=0,K304&gt;=0),"2026",IF(AND(H304&gt;=0,I304&gt;=0,J304&gt;=0,K304&gt;=0),"2027",IF(AND(I304&gt;=0,J304&gt;=0,K304&gt;=0),"2028",IF(AND(J304&gt;=0,K304&gt;=0),"2029",IF(AND(K304&gt;=0),"2030","—")))))&amp;" 起轉正）")))</f>
        <v>OpenAI 型</v>
      </c>
    </row>
    <row r="526" customFormat="false" ht="17.15" hidden="false" customHeight="false" outlineLevel="0" collapsed="false">
      <c r="A526" s="5" t="s">
        <v>2846</v>
      </c>
      <c r="B526" s="0" t="s">
        <v>2847</v>
      </c>
      <c r="D526" s="0" t="str">
        <f aca="false">IF(SUMPRODUCT((G329:K329="")*1)&gt;0,"未定（資料不足）",IF(OR(K349&lt;0,OR(AND(N(G350)&gt;0.3,N(H350)&gt;0.3,N(I350)&gt;0.3),AND(N(H350)&gt;0.3,N(I350)&gt;0.3,N(J350)&gt;0.3),AND(N(I350)&gt;0.3,N(J350)&gt;0.3,N(K350)&gt;0.3))),"OpenAI 型",IF(MIN(G349:K349)&gt;=0,"Anthropic 型（2026–2030 皆為正）","Anthropic 型（"&amp;IF(AND(G349&gt;=0,H349&gt;=0,I349&gt;=0,J349&gt;=0,K349&gt;=0),"2026",IF(AND(H349&gt;=0,I349&gt;=0,J349&gt;=0,K349&gt;=0),"2027",IF(AND(I349&gt;=0,J349&gt;=0,K349&gt;=0),"2028",IF(AND(J349&gt;=0,K349&gt;=0),"2029",IF(AND(K349&gt;=0),"2030","—")))))&amp;" 起轉正）")))</f>
        <v>OpenAI 型</v>
      </c>
    </row>
    <row r="527" customFormat="false" ht="17.15" hidden="false" customHeight="false" outlineLevel="0" collapsed="false">
      <c r="A527" s="5" t="s">
        <v>2848</v>
      </c>
      <c r="B527" s="0" t="s">
        <v>2849</v>
      </c>
      <c r="D527" s="0" t="str">
        <f aca="false">IF(SUMPRODUCT((G373:K373="")*1)&gt;0,"未定（資料不足）",IF(OR(K383&lt;0,OR(AND(N(G384)&gt;0.3,N(H384)&gt;0.3,N(I384)&gt;0.3),AND(N(H384)&gt;0.3,N(I384)&gt;0.3,N(J384)&gt;0.3),AND(N(I384)&gt;0.3,N(J384)&gt;0.3,N(K384)&gt;0.3))),"OpenAI 型",IF(MIN(G383:K383)&gt;=0,"Anthropic 型（2026–2030 皆為正）","Anthropic 型（"&amp;IF(AND(G383&gt;=0,H383&gt;=0,I383&gt;=0,J383&gt;=0,K383&gt;=0),"2026",IF(AND(H383&gt;=0,I383&gt;=0,J383&gt;=0,K383&gt;=0),"2027",IF(AND(I383&gt;=0,J383&gt;=0,K383&gt;=0),"2028",IF(AND(J383&gt;=0,K383&gt;=0),"2029",IF(AND(K383&gt;=0),"2030","—")))))&amp;" 起轉正）")))</f>
        <v>OpenAI 型</v>
      </c>
    </row>
    <row r="528" customFormat="false" ht="17.15" hidden="false" customHeight="false" outlineLevel="0" collapsed="false">
      <c r="A528" s="5" t="s">
        <v>2850</v>
      </c>
      <c r="B528" s="0" t="s">
        <v>2851</v>
      </c>
      <c r="D528" s="0" t="str">
        <f aca="false">IF(SUMPRODUCT((G407:K407="")*1)&gt;0,"未定（資料不足）",IF(OR(K427&lt;0,OR(AND(N(G428)&gt;0.3,N(H428)&gt;0.3,N(I428)&gt;0.3),AND(N(H428)&gt;0.3,N(I428)&gt;0.3,N(J428)&gt;0.3),AND(N(I428)&gt;0.3,N(J428)&gt;0.3,N(K428)&gt;0.3))),"OpenAI 型",IF(MIN(G427:K427)&gt;=0,"Anthropic 型（2026–2030 皆為正）","Anthropic 型（"&amp;IF(AND(G427&gt;=0,H427&gt;=0,I427&gt;=0,J427&gt;=0,K427&gt;=0),"2026",IF(AND(H427&gt;=0,I427&gt;=0,J427&gt;=0,K427&gt;=0),"2027",IF(AND(I427&gt;=0,J427&gt;=0,K427&gt;=0),"2028",IF(AND(J427&gt;=0,K427&gt;=0),"2029",IF(AND(K427&gt;=0),"2030","—")))))&amp;" 起轉正）")))</f>
        <v>Anthropic 型（2030 起轉正）</v>
      </c>
    </row>
    <row r="529" customFormat="false" ht="17.15" hidden="false" customHeight="false" outlineLevel="0" collapsed="false">
      <c r="A529" s="5" t="s">
        <v>2852</v>
      </c>
      <c r="B529" s="0" t="s">
        <v>2853</v>
      </c>
      <c r="D529" s="0" t="str">
        <f aca="false">IF(SUMPRODUCT((G452:K452="")*1)&gt;0,"未定（資料不足）",IF(OR(K472&lt;0,OR(AND(N(G473)&gt;0.3,N(H473)&gt;0.3,N(I473)&gt;0.3),AND(N(H473)&gt;0.3,N(I473)&gt;0.3,N(J473)&gt;0.3),AND(N(I473)&gt;0.3,N(J473)&gt;0.3,N(K473)&gt;0.3))),"OpenAI 型",IF(MIN(G472:K472)&gt;=0,"Anthropic 型（2026–2030 皆為正）","Anthropic 型（"&amp;IF(AND(G472&gt;=0,H472&gt;=0,I472&gt;=0,J472&gt;=0,K472&gt;=0),"2026",IF(AND(H472&gt;=0,I472&gt;=0,J472&gt;=0,K472&gt;=0),"2027",IF(AND(I472&gt;=0,J472&gt;=0,K472&gt;=0),"2028",IF(AND(J472&gt;=0,K472&gt;=0),"2029",IF(AND(K472&gt;=0),"2030","—")))))&amp;" 起轉正）")))</f>
        <v>OpenAI 型</v>
      </c>
    </row>
    <row r="530" customFormat="false" ht="17.15" hidden="false" customHeight="false" outlineLevel="0" collapsed="false">
      <c r="A530" s="5" t="s">
        <v>2854</v>
      </c>
      <c r="B530" s="0" t="s">
        <v>2855</v>
      </c>
      <c r="D530" s="0" t="str">
        <f aca="false">IF(SUMPRODUCT((G496:K496="")*1)&gt;0,"未定（資料不足）",IF(OR(K516&lt;0,OR(AND(N(G517)&gt;0.3,N(H517)&gt;0.3,N(I517)&gt;0.3),AND(N(H517)&gt;0.3,N(I517)&gt;0.3,N(J517)&gt;0.3),AND(N(I517)&gt;0.3,N(J517)&gt;0.3,N(K517)&gt;0.3))),"OpenAI 型",IF(MIN(G516:K516)&gt;=0,"Anthropic 型（2026–2030 皆為正）","Anthropic 型（"&amp;IF(AND(G516&gt;=0,H516&gt;=0,I516&gt;=0,J516&gt;=0,K516&gt;=0),"2026",IF(AND(H516&gt;=0,I516&gt;=0,J516&gt;=0,K516&gt;=0),"2027",IF(AND(I516&gt;=0,J516&gt;=0,K516&gt;=0),"2028",IF(AND(J516&gt;=0,K516&gt;=0),"2029",IF(AND(K516&gt;=0),"2030","—")))))&amp;" 起轉正）")))</f>
        <v>Anthropic 型（2028 起轉正）</v>
      </c>
    </row>
    <row r="532" customFormat="false" ht="19.4" hidden="false" customHeight="false" outlineLevel="0" collapsed="false">
      <c r="A532" s="35" t="s">
        <v>2856</v>
      </c>
    </row>
    <row r="533" customFormat="false" ht="17.15" hidden="false" customHeight="false" outlineLevel="0" collapsed="false">
      <c r="A533" s="0" t="s">
        <v>2857</v>
      </c>
      <c r="B533" s="0" t="s">
        <v>2858</v>
      </c>
      <c r="C533" s="0" t="s">
        <v>395</v>
      </c>
      <c r="E533" s="40" t="n">
        <f aca="false">N(E61)+N(E106)+N(E151)+N(E196)+N(E241)+N(E286)+N(E331)+N(E375)+N(E409)+N(E454)+N(E498)</f>
        <v>137.658722405791</v>
      </c>
      <c r="F533" s="40" t="n">
        <f aca="false">N(F61)+N(F106)+N(F151)+N(F196)+N(F241)+N(F286)+N(F331)+N(F375)+N(F409)+N(F454)+N(F498)</f>
        <v>369.33777525741</v>
      </c>
      <c r="G533" s="40" t="n">
        <f aca="false">N(G61)+N(G106)+N(G151)+N(G196)+N(G241)+N(G286)+N(G331)+N(G375)+N(G409)+N(G454)+N(G498)</f>
        <v>463.387464218903</v>
      </c>
      <c r="H533" s="40" t="n">
        <f aca="false">N(H61)+N(H106)+N(H151)+N(H196)+N(H241)+N(H286)+N(H331)+N(H375)+N(H409)+N(H454)+N(H498)</f>
        <v>826.111229126079</v>
      </c>
      <c r="I533" s="40" t="n">
        <f aca="false">N(I61)+N(I106)+N(I151)+N(I196)+N(I241)+N(I286)+N(I331)+N(I375)+N(I409)+N(I454)+N(I498)</f>
        <v>1119.53131505253</v>
      </c>
      <c r="J533" s="40" t="n">
        <f aca="false">N(J61)+N(J106)+N(J151)+N(J196)+N(J241)+N(J286)+N(J331)+N(J375)+N(J409)+N(J454)+N(J498)</f>
        <v>1194.60508675985</v>
      </c>
      <c r="K533" s="40" t="n">
        <f aca="false">N(K61)+N(K106)+N(K151)+N(K196)+N(K241)+N(K286)+N(K331)+N(K375)+N(K409)+N(K454)+N(K498)</f>
        <v>1281.6612118993</v>
      </c>
    </row>
    <row r="534" customFormat="false" ht="17.15" hidden="false" customHeight="false" outlineLevel="0" collapsed="false">
      <c r="A534" s="5" t="s">
        <v>2859</v>
      </c>
      <c r="B534" s="0" t="s">
        <v>2860</v>
      </c>
      <c r="C534" s="0" t="s">
        <v>395</v>
      </c>
      <c r="E534" s="33" t="n">
        <f aca="false">N(E44)+N(E89)+N(E134)+N(E179)+N(E224)+N(E269)+N(E314)+N(E359)+N(E393)+N(E438)+N(E482)</f>
        <v>137.658722405791</v>
      </c>
      <c r="F534" s="33" t="n">
        <f aca="false">N(F44)+N(F89)+N(F134)+N(F179)+N(F224)+N(F269)+N(F314)+N(F359)+N(F393)+N(F438)+N(F482)</f>
        <v>369.33777525741</v>
      </c>
      <c r="G534" s="33" t="n">
        <f aca="false">N(G44)+N(G89)+N(G134)+N(G179)+N(G224)+N(G269)+N(G314)+N(G359)+N(G393)+N(G438)+N(G482)</f>
        <v>463.387464218903</v>
      </c>
      <c r="H534" s="33" t="n">
        <f aca="false">N(H44)+N(H89)+N(H134)+N(H179)+N(H224)+N(H269)+N(H314)+N(H359)+N(H393)+N(H438)+N(H482)</f>
        <v>826.111229126079</v>
      </c>
      <c r="I534" s="33" t="n">
        <f aca="false">N(I44)+N(I89)+N(I134)+N(I179)+N(I224)+N(I269)+N(I314)+N(I359)+N(I393)+N(I438)+N(I482)</f>
        <v>975.35822705253</v>
      </c>
      <c r="J534" s="33" t="n">
        <f aca="false">N(J44)+N(J89)+N(J134)+N(J179)+N(J224)+N(J269)+N(J314)+N(J359)+N(J393)+N(J438)+N(J482)</f>
        <v>1083.37617975985</v>
      </c>
      <c r="K534" s="33" t="n">
        <f aca="false">N(K44)+N(K89)+N(K134)+N(K179)+N(K224)+N(K269)+N(K314)+N(K359)+N(K393)+N(K438)+N(K482)</f>
        <v>1191.3883528993</v>
      </c>
    </row>
    <row r="535" customFormat="false" ht="17.15" hidden="false" customHeight="false" outlineLevel="0" collapsed="false">
      <c r="A535" s="5" t="s">
        <v>2861</v>
      </c>
      <c r="B535" s="0" t="s">
        <v>2862</v>
      </c>
      <c r="C535" s="0" t="s">
        <v>395</v>
      </c>
      <c r="E535" s="33" t="n">
        <f aca="false">E533-E534</f>
        <v>0</v>
      </c>
      <c r="F535" s="33" t="n">
        <f aca="false">F533-F534</f>
        <v>0</v>
      </c>
      <c r="G535" s="33" t="n">
        <f aca="false">G533-G534</f>
        <v>0</v>
      </c>
      <c r="H535" s="33" t="n">
        <f aca="false">H533-H534</f>
        <v>0</v>
      </c>
      <c r="I535" s="33" t="n">
        <f aca="false">I533-I534</f>
        <v>144.173088</v>
      </c>
      <c r="J535" s="33" t="n">
        <f aca="false">J533-J534</f>
        <v>111.228907</v>
      </c>
      <c r="K535" s="33" t="n">
        <f aca="false">K533-K534</f>
        <v>90.2728589999999</v>
      </c>
    </row>
    <row r="536" customFormat="false" ht="15" hidden="false" customHeight="false" outlineLevel="0" collapsed="false">
      <c r="A536" s="5" t="s">
        <v>2863</v>
      </c>
      <c r="B536" s="0" t="s">
        <v>2864</v>
      </c>
      <c r="C536" s="5" t="s">
        <v>2865</v>
      </c>
      <c r="E536" s="27" t="n">
        <f aca="false">(E60&lt;&gt;"")+(E105&lt;&gt;"")+(E150&lt;&gt;"")+(E195&lt;&gt;"")+(E240&lt;&gt;"")+(E285&lt;&gt;"")+(E330&lt;&gt;"")+(E374&lt;&gt;"")+(E408&lt;&gt;"")+(E453&lt;&gt;"")+(E497&lt;&gt;"")</f>
        <v>0</v>
      </c>
      <c r="F536" s="27" t="n">
        <f aca="false">(F60&lt;&gt;"")+(F105&lt;&gt;"")+(F150&lt;&gt;"")+(F195&lt;&gt;"")+(F240&lt;&gt;"")+(F285&lt;&gt;"")+(F330&lt;&gt;"")+(F374&lt;&gt;"")+(F408&lt;&gt;"")+(F453&lt;&gt;"")+(F497&lt;&gt;"")</f>
        <v>0</v>
      </c>
      <c r="G536" s="27" t="n">
        <f aca="false">(G60&lt;&gt;"")+(G105&lt;&gt;"")+(G150&lt;&gt;"")+(G195&lt;&gt;"")+(G240&lt;&gt;"")+(G285&lt;&gt;"")+(G330&lt;&gt;"")+(G374&lt;&gt;"")+(G408&lt;&gt;"")+(G453&lt;&gt;"")+(G497&lt;&gt;"")</f>
        <v>0</v>
      </c>
      <c r="H536" s="27" t="n">
        <f aca="false">(H60&lt;&gt;"")+(H105&lt;&gt;"")+(H150&lt;&gt;"")+(H195&lt;&gt;"")+(H240&lt;&gt;"")+(H285&lt;&gt;"")+(H330&lt;&gt;"")+(H374&lt;&gt;"")+(H408&lt;&gt;"")+(H453&lt;&gt;"")+(H497&lt;&gt;"")</f>
        <v>0</v>
      </c>
      <c r="I536" s="27" t="n">
        <f aca="false">(I60&lt;&gt;"")+(I105&lt;&gt;"")+(I150&lt;&gt;"")+(I195&lt;&gt;"")+(I240&lt;&gt;"")+(I285&lt;&gt;"")+(I330&lt;&gt;"")+(I374&lt;&gt;"")+(I408&lt;&gt;"")+(I453&lt;&gt;"")+(I497&lt;&gt;"")</f>
        <v>2</v>
      </c>
      <c r="J536" s="27" t="n">
        <f aca="false">(J60&lt;&gt;"")+(J105&lt;&gt;"")+(J150&lt;&gt;"")+(J195&lt;&gt;"")+(J240&lt;&gt;"")+(J285&lt;&gt;"")+(J330&lt;&gt;"")+(J374&lt;&gt;"")+(J408&lt;&gt;"")+(J453&lt;&gt;"")+(J497&lt;&gt;"")</f>
        <v>2</v>
      </c>
      <c r="K536" s="27" t="n">
        <f aca="false">(K60&lt;&gt;"")+(K105&lt;&gt;"")+(K150&lt;&gt;"")+(K195&lt;&gt;"")+(K240&lt;&gt;"")+(K285&lt;&gt;"")+(K330&lt;&gt;"")+(K374&lt;&gt;"")+(K408&lt;&gt;"")+(K453&lt;&gt;"")+(K497&lt;&gt;"")</f>
        <v>2</v>
      </c>
    </row>
    <row r="537" customFormat="false" ht="17.15" hidden="false" customHeight="false" outlineLevel="0" collapsed="false">
      <c r="A537" s="5" t="s">
        <v>2866</v>
      </c>
      <c r="B537" s="0" t="s">
        <v>2867</v>
      </c>
      <c r="C537" s="0" t="s">
        <v>395</v>
      </c>
      <c r="E537" s="33" t="n">
        <f aca="false">N(E62)+N(E107)+N(E152)+N(E197)+N(E242)+N(E287)+N(E332)+N(E376)+N(E410)+N(E455)+N(E499)</f>
        <v>137.658722405791</v>
      </c>
      <c r="F537" s="33" t="n">
        <f aca="false">N(F62)+N(F107)+N(F152)+N(F197)+N(F242)+N(F287)+N(F332)+N(F376)+N(F410)+N(F455)+N(F499)</f>
        <v>369.33777525741</v>
      </c>
      <c r="G537" s="33" t="n">
        <f aca="false">N(G62)+N(G107)+N(G152)+N(G197)+N(G242)+N(G287)+N(G332)+N(G376)+N(G410)+N(G455)+N(G499)</f>
        <v>463.387464218903</v>
      </c>
      <c r="H537" s="33" t="n">
        <f aca="false">N(H62)+N(H107)+N(H152)+N(H197)+N(H242)+N(H287)+N(H332)+N(H376)+N(H410)+N(H455)+N(H499)</f>
        <v>959.30962952152</v>
      </c>
      <c r="I537" s="33" t="n">
        <f aca="false">N(I62)+N(I107)+N(I152)+N(I197)+N(I242)+N(I287)+N(I332)+N(I376)+N(I410)+N(I455)+N(I499)</f>
        <v>1089.28961816667</v>
      </c>
      <c r="J537" s="33" t="n">
        <f aca="false">N(J62)+N(J107)+N(J152)+N(J197)+N(J242)+N(J287)+N(J332)+N(J376)+N(J410)+N(J455)+N(J499)</f>
        <v>954.698869</v>
      </c>
      <c r="K537" s="33" t="n">
        <f aca="false">N(K62)+N(K107)+N(K152)+N(K197)+N(K242)+N(K287)+N(K332)+N(K376)+N(K410)+N(K455)+N(K499)</f>
        <v>799.588804166667</v>
      </c>
    </row>
    <row r="538" customFormat="false" ht="17.15" hidden="false" customHeight="false" outlineLevel="0" collapsed="false">
      <c r="A538" s="0" t="s">
        <v>2868</v>
      </c>
      <c r="B538" s="0" t="s">
        <v>2869</v>
      </c>
      <c r="C538" s="0" t="s">
        <v>82</v>
      </c>
      <c r="E538" s="25" t="n">
        <f aca="false">N(E38)+N(E83)+N(E128)+N(E173)+N(E218)+N(E263)+N(E308)+N(E353)+N(E387)+N(E432)+N(E476)</f>
        <v>1.61980834349181</v>
      </c>
      <c r="F538" s="25" t="n">
        <f aca="false">N(F38)+N(F83)+N(F128)+N(F173)+N(F218)+N(F263)+N(F308)+N(F353)+N(F387)+N(F432)+N(F476)</f>
        <v>8.74912429484715</v>
      </c>
      <c r="G538" s="25" t="n">
        <f aca="false">N(G38)+N(G83)+N(G128)+N(G173)+N(G218)+N(G263)+N(G308)+N(G353)+N(G387)+N(G432)+N(G476)</f>
        <v>7.98203812772586</v>
      </c>
      <c r="H538" s="25" t="n">
        <f aca="false">N(H38)+N(H83)+N(H128)+N(H173)+N(H218)+N(H263)+N(H308)+N(H353)+N(H387)+N(H432)+N(H476)</f>
        <v>18.4757494681966</v>
      </c>
      <c r="I538" s="25" t="n">
        <f aca="false">N(I38)+N(I83)+N(I128)+N(I173)+N(I218)+N(I263)+N(I308)+N(I353)+N(I387)+N(I432)+N(I476)</f>
        <v>21.3980787384407</v>
      </c>
      <c r="J538" s="25" t="n">
        <f aca="false">N(J38)+N(J83)+N(J128)+N(J173)+N(J218)+N(J263)+N(J308)+N(J353)+N(J387)+N(J432)+N(J476)</f>
        <v>23.901946773905</v>
      </c>
      <c r="K538" s="25" t="n">
        <f aca="false">N(K38)+N(K83)+N(K128)+N(K173)+N(K218)+N(K263)+N(K308)+N(K353)+N(K387)+N(K432)+N(K476)</f>
        <v>26.2870412589026</v>
      </c>
    </row>
    <row r="539" customFormat="false" ht="17.15" hidden="false" customHeight="false" outlineLevel="0" collapsed="false">
      <c r="A539" s="0" t="s">
        <v>2870</v>
      </c>
      <c r="B539" s="0" t="s">
        <v>2871</v>
      </c>
      <c r="C539" s="0" t="s">
        <v>395</v>
      </c>
      <c r="E539" s="33" t="n">
        <f aca="false">N(E51)+N(E96)+N(E141)+N(E186)+N(E231)+N(E276)+N(E321)+N(E366)+N(E400)+N(E445)+N(E489)</f>
        <v>60.556995</v>
      </c>
      <c r="F539" s="33" t="n">
        <f aca="false">N(F51)+N(F96)+N(F141)+N(F186)+N(F231)+N(F276)+N(F321)+N(F366)+N(F400)+N(F445)+N(F489)</f>
        <v>92.812193</v>
      </c>
      <c r="G539" s="33" t="n">
        <f aca="false">N(G51)+N(G96)+N(G141)+N(G186)+N(G231)+N(G276)+N(G321)+N(G366)+N(G400)+N(G445)+N(G489)</f>
        <v>184.082278</v>
      </c>
      <c r="H539" s="33" t="n">
        <f aca="false">N(H51)+N(H96)+N(H141)+N(H186)+N(H231)+N(H276)+N(H321)+N(H366)+N(H400)+N(H445)+N(H489)</f>
        <v>212.566374166667</v>
      </c>
      <c r="I539" s="33" t="n">
        <f aca="false">N(I51)+N(I96)+N(I141)+N(I186)+N(I231)+N(I276)+N(I321)+N(I366)+N(I400)+N(I445)+N(I489)</f>
        <v>246.95029175</v>
      </c>
      <c r="J539" s="33" t="n">
        <f aca="false">N(J51)+N(J96)+N(J141)+N(J186)+N(J231)+N(J276)+N(J321)+N(J366)+N(J400)+N(J445)+N(J489)</f>
        <v>277.130736</v>
      </c>
      <c r="K539" s="33" t="n">
        <f aca="false">N(K51)+N(K96)+N(K141)+N(K186)+N(K231)+N(K276)+N(K321)+N(K366)+N(K400)+N(K445)+N(K489)</f>
        <v>299.026397916667</v>
      </c>
    </row>
    <row r="540" customFormat="false" ht="17.15" hidden="false" customHeight="false" outlineLevel="0" collapsed="false">
      <c r="A540" s="5" t="s">
        <v>2872</v>
      </c>
      <c r="B540" s="0" t="s">
        <v>2873</v>
      </c>
      <c r="C540" s="5" t="s">
        <v>2865</v>
      </c>
      <c r="E540" s="27" t="n">
        <f aca="false">(E50="以 Y2 × (1−AI 占比) 替代（模型無拆分）")+(E95="以 Y2 × (1−AI 占比) 替代（模型無拆分）")+(E140="以 Y2 × (1−AI 占比) 替代（模型無拆分）")+(E185="以 Y2 × (1−AI 占比) 替代（模型無拆分）")+(E230="以 Y2 × (1−AI 占比) 替代（模型無拆分）")+(E275="以 Y2 × (1−AI 占比) 替代（模型無拆分）")+(E320="以 Y2 × (1−AI 占比) 替代（模型無拆分）")+(E365="以 Y2 × (1−AI 占比) 替代（模型無拆分）")+(E399="以 Y2 × (1−AI 占比) 替代（模型無拆分）")+(E444="以 Y2 × (1−AI 占比) 替代（模型無拆分）")+(E488="以 Y2 × (1−AI 占比) 替代（模型無拆分）")</f>
        <v>1</v>
      </c>
      <c r="F540" s="27" t="n">
        <f aca="false">(F50="以 Y2 × (1−AI 占比) 替代（模型無拆分）")+(F95="以 Y2 × (1−AI 占比) 替代（模型無拆分）")+(F140="以 Y2 × (1−AI 占比) 替代（模型無拆分）")+(F185="以 Y2 × (1−AI 占比) 替代（模型無拆分）")+(F230="以 Y2 × (1−AI 占比) 替代（模型無拆分）")+(F275="以 Y2 × (1−AI 占比) 替代（模型無拆分）")+(F320="以 Y2 × (1−AI 占比) 替代（模型無拆分）")+(F365="以 Y2 × (1−AI 占比) 替代（模型無拆分）")+(F399="以 Y2 × (1−AI 占比) 替代（模型無拆分）")+(F444="以 Y2 × (1−AI 占比) 替代（模型無拆分）")+(F488="以 Y2 × (1−AI 占比) 替代（模型無拆分）")</f>
        <v>4</v>
      </c>
      <c r="G540" s="27" t="n">
        <f aca="false">(G50="以 Y2 × (1−AI 占比) 替代（模型無拆分）")+(G95="以 Y2 × (1−AI 占比) 替代（模型無拆分）")+(G140="以 Y2 × (1−AI 占比) 替代（模型無拆分）")+(G185="以 Y2 × (1−AI 占比) 替代（模型無拆分）")+(G230="以 Y2 × (1−AI 占比) 替代（模型無拆分）")+(G275="以 Y2 × (1−AI 占比) 替代（模型無拆分）")+(G320="以 Y2 × (1−AI 占比) 替代（模型無拆分）")+(G365="以 Y2 × (1−AI 占比) 替代（模型無拆分）")+(G399="以 Y2 × (1−AI 占比) 替代（模型無拆分）")+(G444="以 Y2 × (1−AI 占比) 替代（模型無拆分）")+(G488="以 Y2 × (1−AI 占比) 替代（模型無拆分）")</f>
        <v>5</v>
      </c>
      <c r="H540" s="27" t="n">
        <f aca="false">(H50="以 Y2 × (1−AI 占比) 替代（模型無拆分）")+(H95="以 Y2 × (1−AI 占比) 替代（模型無拆分）")+(H140="以 Y2 × (1−AI 占比) 替代（模型無拆分）")+(H185="以 Y2 × (1−AI 占比) 替代（模型無拆分）")+(H230="以 Y2 × (1−AI 占比) 替代（模型無拆分）")+(H275="以 Y2 × (1−AI 占比) 替代（模型無拆分）")+(H320="以 Y2 × (1−AI 占比) 替代（模型無拆分）")+(H365="以 Y2 × (1−AI 占比) 替代（模型無拆分）")+(H399="以 Y2 × (1−AI 占比) 替代（模型無拆分）")+(H444="以 Y2 × (1−AI 占比) 替代（模型無拆分）")+(H488="以 Y2 × (1−AI 占比) 替代（模型無拆分）")</f>
        <v>2</v>
      </c>
      <c r="I540" s="27" t="n">
        <f aca="false">(I50="以 Y2 × (1−AI 占比) 替代（模型無拆分）")+(I95="以 Y2 × (1−AI 占比) 替代（模型無拆分）")+(I140="以 Y2 × (1−AI 占比) 替代（模型無拆分）")+(I185="以 Y2 × (1−AI 占比) 替代（模型無拆分）")+(I230="以 Y2 × (1−AI 占比) 替代（模型無拆分）")+(I275="以 Y2 × (1−AI 占比) 替代（模型無拆分）")+(I320="以 Y2 × (1−AI 占比) 替代（模型無拆分）")+(I365="以 Y2 × (1−AI 占比) 替代（模型無拆分）")+(I399="以 Y2 × (1−AI 占比) 替代（模型無拆分）")+(I444="以 Y2 × (1−AI 占比) 替代（模型無拆分）")+(I488="以 Y2 × (1−AI 占比) 替代（模型無拆分）")</f>
        <v>2</v>
      </c>
      <c r="J540" s="27" t="n">
        <f aca="false">(J50="以 Y2 × (1−AI 占比) 替代（模型無拆分）")+(J95="以 Y2 × (1−AI 占比) 替代（模型無拆分）")+(J140="以 Y2 × (1−AI 占比) 替代（模型無拆分）")+(J185="以 Y2 × (1−AI 占比) 替代（模型無拆分）")+(J230="以 Y2 × (1−AI 占比) 替代（模型無拆分）")+(J275="以 Y2 × (1−AI 占比) 替代（模型無拆分）")+(J320="以 Y2 × (1−AI 占比) 替代（模型無拆分）")+(J365="以 Y2 × (1−AI 占比) 替代（模型無拆分）")+(J399="以 Y2 × (1−AI 占比) 替代（模型無拆分）")+(J444="以 Y2 × (1−AI 占比) 替代（模型無拆分）")+(J488="以 Y2 × (1−AI 占比) 替代（模型無拆分）")</f>
        <v>2</v>
      </c>
      <c r="K540" s="27" t="n">
        <f aca="false">(K50="以 Y2 × (1−AI 占比) 替代（模型無拆分）")+(K95="以 Y2 × (1−AI 占比) 替代（模型無拆分）")+(K140="以 Y2 × (1−AI 占比) 替代（模型無拆分）")+(K185="以 Y2 × (1−AI 占比) 替代（模型無拆分）")+(K230="以 Y2 × (1−AI 占比) 替代（模型無拆分）")+(K275="以 Y2 × (1−AI 占比) 替代（模型無拆分）")+(K320="以 Y2 × (1−AI 占比) 替代（模型無拆分）")+(K365="以 Y2 × (1−AI 占比) 替代（模型無拆分）")+(K399="以 Y2 × (1−AI 占比) 替代（模型無拆分）")+(K444="以 Y2 × (1−AI 占比) 替代（模型無拆分）")+(K488="以 Y2 × (1−AI 占比) 替代（模型無拆分）")</f>
        <v>2</v>
      </c>
    </row>
    <row r="541" customFormat="false" ht="17.15" hidden="false" customHeight="false" outlineLevel="0" collapsed="false">
      <c r="A541" s="5" t="s">
        <v>2874</v>
      </c>
      <c r="B541" s="0" t="s">
        <v>2875</v>
      </c>
      <c r="C541" s="5" t="s">
        <v>2865</v>
      </c>
      <c r="E541" s="27" t="n">
        <f aca="false">(LEFT(E50,5)="無模型值（")+(LEFT(E95,5)="無模型值（")+(LEFT(E140,5)="無模型值（")+(LEFT(E185,5)="無模型值（")+(LEFT(E230,5)="無模型值（")+(LEFT(E275,5)="無模型值（")+(LEFT(E320,5)="無模型值（")+(LEFT(E365,5)="無模型值（")+(LEFT(E399,5)="無模型值（")+(LEFT(E444,5)="無模型值（")+(LEFT(E488,5)="無模型值（")</f>
        <v>9</v>
      </c>
      <c r="F541" s="27" t="n">
        <f aca="false">(LEFT(F50,5)="無模型值（")+(LEFT(F95,5)="無模型值（")+(LEFT(F140,5)="無模型值（")+(LEFT(F185,5)="無模型值（")+(LEFT(F230,5)="無模型值（")+(LEFT(F275,5)="無模型值（")+(LEFT(F320,5)="無模型值（")+(LEFT(F365,5)="無模型值（")+(LEFT(F399,5)="無模型值（")+(LEFT(F444,5)="無模型值（")+(LEFT(F488,5)="無模型值（")</f>
        <v>6</v>
      </c>
      <c r="G541" s="27" t="n">
        <f aca="false">(LEFT(G50,5)="無模型值（")+(LEFT(G95,5)="無模型值（")+(LEFT(G140,5)="無模型值（")+(LEFT(G185,5)="無模型值（")+(LEFT(G230,5)="無模型值（")+(LEFT(G275,5)="無模型值（")+(LEFT(G320,5)="無模型值（")+(LEFT(G365,5)="無模型值（")+(LEFT(G399,5)="無模型值（")+(LEFT(G444,5)="無模型值（")+(LEFT(G488,5)="無模型值（")</f>
        <v>3</v>
      </c>
      <c r="H541" s="27" t="n">
        <f aca="false">(LEFT(H50,5)="無模型值（")+(LEFT(H95,5)="無模型值（")+(LEFT(H140,5)="無模型值（")+(LEFT(H185,5)="無模型值（")+(LEFT(H230,5)="無模型值（")+(LEFT(H275,5)="無模型值（")+(LEFT(H320,5)="無模型值（")+(LEFT(H365,5)="無模型值（")+(LEFT(H399,5)="無模型值（")+(LEFT(H444,5)="無模型值（")+(LEFT(H488,5)="無模型值（")</f>
        <v>3</v>
      </c>
      <c r="I541" s="27" t="n">
        <f aca="false">(LEFT(I50,5)="無模型值（")+(LEFT(I95,5)="無模型值（")+(LEFT(I140,5)="無模型值（")+(LEFT(I185,5)="無模型值（")+(LEFT(I230,5)="無模型值（")+(LEFT(I275,5)="無模型值（")+(LEFT(I320,5)="無模型值（")+(LEFT(I365,5)="無模型值（")+(LEFT(I399,5)="無模型值（")+(LEFT(I444,5)="無模型值（")+(LEFT(I488,5)="無模型值（")</f>
        <v>3</v>
      </c>
      <c r="J541" s="27" t="n">
        <f aca="false">(LEFT(J50,5)="無模型值（")+(LEFT(J95,5)="無模型值（")+(LEFT(J140,5)="無模型值（")+(LEFT(J185,5)="無模型值（")+(LEFT(J230,5)="無模型值（")+(LEFT(J275,5)="無模型值（")+(LEFT(J320,5)="無模型值（")+(LEFT(J365,5)="無模型值（")+(LEFT(J399,5)="無模型值（")+(LEFT(J444,5)="無模型值（")+(LEFT(J488,5)="無模型值（")</f>
        <v>3</v>
      </c>
      <c r="K541" s="27" t="n">
        <f aca="false">(LEFT(K50,5)="無模型值（")+(LEFT(K95,5)="無模型值（")+(LEFT(K140,5)="無模型值（")+(LEFT(K185,5)="無模型值（")+(LEFT(K230,5)="無模型值（")+(LEFT(K275,5)="無模型值（")+(LEFT(K320,5)="無模型值（")+(LEFT(K365,5)="無模型值（")+(LEFT(K399,5)="無模型值（")+(LEFT(K444,5)="無模型值（")+(LEFT(K488,5)="無模型值（")</f>
        <v>3</v>
      </c>
    </row>
    <row r="542" customFormat="false" ht="17.15" hidden="false" customHeight="false" outlineLevel="0" collapsed="false">
      <c r="A542" s="0" t="s">
        <v>2876</v>
      </c>
      <c r="B542" s="0" t="s">
        <v>2877</v>
      </c>
      <c r="C542" s="0" t="s">
        <v>395</v>
      </c>
      <c r="E542" s="40" t="n">
        <f aca="false">N(E59)+N(E104)+N(E149)+N(E194)+N(E239)+N(E284)+N(E329)+N(E373)+N(E407)+N(E452)+N(E496)</f>
        <v>335.253</v>
      </c>
      <c r="F542" s="40" t="n">
        <f aca="false">N(F59)+N(F104)+N(F149)+N(F194)+N(F239)+N(F284)+N(F329)+N(F373)+N(F407)+N(F452)+N(F496)</f>
        <v>589.4335</v>
      </c>
      <c r="G542" s="40" t="n">
        <f aca="false">N(G59)+N(G104)+N(G149)+N(G194)+N(G239)+N(G284)+N(G329)+N(G373)+N(G407)+N(G452)+N(G496)</f>
        <v>800.087775083333</v>
      </c>
      <c r="H542" s="40" t="n">
        <f aca="false">N(H59)+N(H104)+N(H149)+N(H194)+N(H239)+N(H284)+N(H329)+N(H373)+N(H407)+N(H452)+N(H496)</f>
        <v>942.583301916667</v>
      </c>
      <c r="I542" s="40" t="n">
        <f aca="false">N(I59)+N(I104)+N(I149)+N(I194)+N(I239)+N(I284)+N(I329)+N(I373)+N(I407)+N(I452)+N(I496)</f>
        <v>1153.28686216667</v>
      </c>
      <c r="J542" s="40" t="n">
        <f aca="false">N(J59)+N(J104)+N(J149)+N(J194)+N(J239)+N(J284)+N(J329)+N(J373)+N(J407)+N(J452)+N(J496)</f>
        <v>1408.73059683333</v>
      </c>
      <c r="K542" s="40" t="n">
        <f aca="false">N(K59)+N(K104)+N(K149)+N(K194)+N(K239)+N(K284)+N(K329)+N(K373)+N(K407)+N(K452)+N(K496)</f>
        <v>1631.71418825</v>
      </c>
    </row>
    <row r="543" customFormat="false" ht="15" hidden="false" customHeight="false" outlineLevel="0" collapsed="false">
      <c r="A543" s="5" t="s">
        <v>2878</v>
      </c>
      <c r="B543" s="0" t="s">
        <v>2879</v>
      </c>
      <c r="C543" s="5" t="s">
        <v>2880</v>
      </c>
      <c r="E543" s="27" t="n">
        <f aca="false">(E59="")+(E104="")+(E149="")+(E194="")+(E239="")+(E284="")+(E329="")+(E373="")+(E407="")+(E452="")+(E496="")</f>
        <v>7</v>
      </c>
      <c r="F543" s="27" t="n">
        <f aca="false">(F59="")+(F104="")+(F149="")+(F194="")+(F239="")+(F284="")+(F329="")+(F373="")+(F407="")+(F452="")+(F496="")</f>
        <v>5</v>
      </c>
      <c r="G543" s="27" t="n">
        <f aca="false">(G59="")+(G104="")+(G149="")+(G194="")+(G239="")+(G284="")+(G329="")+(G373="")+(G407="")+(G452="")+(G496="")</f>
        <v>0</v>
      </c>
      <c r="H543" s="27" t="n">
        <f aca="false">(H59="")+(H104="")+(H149="")+(H194="")+(H239="")+(H284="")+(H329="")+(H373="")+(H407="")+(H452="")+(H496="")</f>
        <v>0</v>
      </c>
      <c r="I543" s="27" t="n">
        <f aca="false">(I59="")+(I104="")+(I149="")+(I194="")+(I239="")+(I284="")+(I329="")+(I373="")+(I407="")+(I452="")+(I496="")</f>
        <v>0</v>
      </c>
      <c r="J543" s="27" t="n">
        <f aca="false">(J59="")+(J104="")+(J149="")+(J194="")+(J239="")+(J284="")+(J329="")+(J373="")+(J407="")+(J452="")+(J496="")</f>
        <v>0</v>
      </c>
      <c r="K543" s="27" t="n">
        <f aca="false">(K59="")+(K104="")+(K149="")+(K194="")+(K239="")+(K284="")+(K329="")+(K373="")+(K407="")+(K452="")+(K496="")</f>
        <v>0</v>
      </c>
    </row>
    <row r="544" customFormat="false" ht="17.15" hidden="false" customHeight="false" outlineLevel="0" collapsed="false">
      <c r="A544" s="5" t="s">
        <v>2881</v>
      </c>
      <c r="B544" s="0" t="s">
        <v>2882</v>
      </c>
      <c r="C544" s="0" t="s">
        <v>395</v>
      </c>
      <c r="E544" s="33" t="n">
        <f aca="false">N(E68)+N(E113)+N(E158)+N(E203)+N(E248)+N(E293)+N(E338)+N(E416)+N(E461)+N(E505)</f>
        <v>38.221</v>
      </c>
      <c r="F544" s="33" t="n">
        <f aca="false">N(F68)+N(F113)+N(F158)+N(F203)+N(F248)+N(F293)+N(F338)+N(F416)+N(F461)+N(F505)</f>
        <v>258.571166666667</v>
      </c>
    </row>
    <row r="545" customFormat="false" ht="15" hidden="false" customHeight="false" outlineLevel="0" collapsed="false">
      <c r="A545" s="5" t="s">
        <v>2883</v>
      </c>
      <c r="B545" s="0" t="s">
        <v>2884</v>
      </c>
      <c r="C545" s="0" t="s">
        <v>395</v>
      </c>
      <c r="E545" s="33" t="n">
        <f aca="false">N(E64)+N(E109)+N(E154)+N(E199)+N(E244)+N(E289)+N(E334)+N(E378)+N(E412)+N(E457)+N(E501)</f>
        <v>40.7635</v>
      </c>
      <c r="F545" s="33" t="n">
        <f aca="false">N(F64)+N(F109)+N(F154)+N(F199)+N(F244)+N(F289)+N(F334)+N(F378)+N(F412)+N(F457)+N(F501)</f>
        <v>132.939</v>
      </c>
      <c r="G545" s="33" t="n">
        <f aca="false">N(G64)+N(G109)+N(G154)+N(G199)+N(G244)+N(G289)+N(G334)+N(G378)+N(G412)+N(G457)+N(G501)</f>
        <v>61.5815855</v>
      </c>
      <c r="H545" s="33" t="n">
        <f aca="false">N(H64)+N(H109)+N(H154)+N(H199)+N(H244)+N(H289)+N(H334)+N(H378)+N(H412)+N(H457)+N(H501)</f>
        <v>72.6296863333333</v>
      </c>
      <c r="I545" s="33" t="n">
        <f aca="false">N(I64)+N(I109)+N(I154)+N(I199)+N(I244)+N(I289)+N(I334)+N(I378)+N(I412)+N(I457)+N(I501)</f>
        <v>70.290903</v>
      </c>
      <c r="J545" s="33" t="n">
        <f aca="false">N(J64)+N(J109)+N(J154)+N(J199)+N(J244)+N(J289)+N(J334)+N(J378)+N(J412)+N(J457)+N(J501)</f>
        <v>101.3441095</v>
      </c>
      <c r="K545" s="33" t="n">
        <f aca="false">N(K64)+N(K109)+N(K154)+N(K199)+N(K244)+N(K289)+N(K334)+N(K378)+N(K412)+N(K457)+N(K501)</f>
        <v>104.2079605</v>
      </c>
    </row>
    <row r="546" customFormat="false" ht="17.15" hidden="false" customHeight="false" outlineLevel="0" collapsed="false">
      <c r="A546" s="5" t="s">
        <v>2885</v>
      </c>
      <c r="B546" s="0" t="s">
        <v>2886</v>
      </c>
      <c r="C546" s="0" t="s">
        <v>395</v>
      </c>
      <c r="G546" s="40" t="n">
        <f aca="false">N(G77)+N(G122)+N(G167)+N(G212)+N(G257)+N(G302)+N(G347)+N(G382)+N(G425)+N(G470)+N(G514)</f>
        <v>531.017541</v>
      </c>
      <c r="N546" s="21" t="s">
        <v>2887</v>
      </c>
    </row>
    <row r="547" customFormat="false" ht="15" hidden="false" customHeight="false" outlineLevel="0" collapsed="false">
      <c r="A547" s="5" t="s">
        <v>2888</v>
      </c>
      <c r="B547" s="0" t="s">
        <v>2889</v>
      </c>
      <c r="C547" s="0" t="s">
        <v>395</v>
      </c>
      <c r="G547" s="40" t="n">
        <f aca="false">N(G73)+N(G74)+N(G118)+N(G119)+N(G163)+N(G164)+N(G208)+N(G209)+N(G253)+N(G254)+N(G298)+N(G299)+N(G343)+N(G344)+N(G421)+N(G422)+N(G466)+N(G467)+N(G510)+N(G511)</f>
        <v>1319.41</v>
      </c>
      <c r="N547" s="5" t="s">
        <v>2391</v>
      </c>
    </row>
    <row r="548" customFormat="false" ht="17.15" hidden="false" customHeight="false" outlineLevel="0" collapsed="false">
      <c r="A548" s="5" t="s">
        <v>2890</v>
      </c>
      <c r="B548" s="0" t="s">
        <v>2891</v>
      </c>
      <c r="C548" s="0" t="s">
        <v>395</v>
      </c>
      <c r="G548" s="33" t="n">
        <f aca="false">N(G75)+N(G120)+N(G165)+N(G210)+N(G255)+N(G300)+N(G345)+N(G423)+N(G468)+N(G512)</f>
        <v>922.11</v>
      </c>
    </row>
    <row r="549" customFormat="false" ht="17.15" hidden="false" customHeight="false" outlineLevel="0" collapsed="false">
      <c r="A549" s="5" t="s">
        <v>2892</v>
      </c>
      <c r="B549" s="0" t="s">
        <v>2893</v>
      </c>
      <c r="C549" s="0" t="s">
        <v>395</v>
      </c>
      <c r="G549" s="33" t="n">
        <f aca="false">SUM(G545:K545)</f>
        <v>410.054244833333</v>
      </c>
    </row>
    <row r="550" customFormat="false" ht="17.15" hidden="false" customHeight="false" outlineLevel="0" collapsed="false">
      <c r="A550" s="5" t="s">
        <v>2894</v>
      </c>
      <c r="B550" s="0" t="s">
        <v>2895</v>
      </c>
      <c r="C550" s="5" t="s">
        <v>2865</v>
      </c>
      <c r="G550" s="27" t="n">
        <f aca="false">SUM(G543:K543)</f>
        <v>0</v>
      </c>
    </row>
    <row r="551" customFormat="false" ht="17.15" hidden="false" customHeight="false" outlineLevel="0" collapsed="false">
      <c r="A551" s="5" t="s">
        <v>2896</v>
      </c>
      <c r="B551" s="0" t="s">
        <v>2897</v>
      </c>
      <c r="C551" s="0" t="s">
        <v>395</v>
      </c>
      <c r="E551" s="33" t="n">
        <f aca="false">IF(E60&lt;&gt;"",E55,E41)+IF(E105&lt;&gt;"",E100,E86)+IF(E150&lt;&gt;"",E145,E131)+IF(E195&lt;&gt;"",E190,E176)+IF(E240&lt;&gt;"",E235,E221)+IF(E285&lt;&gt;"",E280,E266)+IF(E330&lt;&gt;"",E325,E311)</f>
        <v>43.3598920620025</v>
      </c>
      <c r="F551" s="33" t="n">
        <f aca="false">IF(F60&lt;&gt;"",F55,F41)+IF(F105&lt;&gt;"",F100,F86)+IF(F150&lt;&gt;"",F145,F131)+IF(F195&lt;&gt;"",F190,F176)+IF(F240&lt;&gt;"",F235,F221)+IF(F285&lt;&gt;"",F280,F266)+IF(F330&lt;&gt;"",F325,F311)</f>
        <v>224.852831101643</v>
      </c>
      <c r="G551" s="33" t="n">
        <f aca="false">IF(G60&lt;&gt;"",G55,G41)+IF(G105&lt;&gt;"",G100,G86)+IF(G150&lt;&gt;"",G145,G131)+IF(G195&lt;&gt;"",G190,G176)+IF(G240&lt;&gt;"",G235,G221)+IF(G285&lt;&gt;"",G280,G266)+IF(G330&lt;&gt;"",G325,G311)</f>
        <v>204.542044149271</v>
      </c>
      <c r="H551" s="33" t="n">
        <f aca="false">IF(H60&lt;&gt;"",H55,H41)+IF(H105&lt;&gt;"",H100,H86)+IF(H150&lt;&gt;"",H145,H131)+IF(H195&lt;&gt;"",H190,H176)+IF(H240&lt;&gt;"",H235,H221)+IF(H285&lt;&gt;"",H280,H266)+IF(H330&lt;&gt;"",H325,H311)</f>
        <v>564.538030360084</v>
      </c>
      <c r="I551" s="33" t="n">
        <f aca="false">IF(I60&lt;&gt;"",I55,I41)+IF(I105&lt;&gt;"",I100,I86)+IF(I150&lt;&gt;"",I145,I131)+IF(I195&lt;&gt;"",I190,I176)+IF(I240&lt;&gt;"",I235,I221)+IF(I285&lt;&gt;"",I280,I266)+IF(I330&lt;&gt;"",I325,I311)</f>
        <v>710.716840206195</v>
      </c>
      <c r="J551" s="33" t="n">
        <f aca="false">IF(J60&lt;&gt;"",J55,J41)+IF(J105&lt;&gt;"",J100,J86)+IF(J150&lt;&gt;"",J145,J131)+IF(J195&lt;&gt;"",J190,J176)+IF(J240&lt;&gt;"",J235,J221)+IF(J285&lt;&gt;"",J280,J266)+IF(J330&lt;&gt;"",J325,J311)</f>
        <v>792.37076961448</v>
      </c>
      <c r="K551" s="33" t="n">
        <f aca="false">IF(K60&lt;&gt;"",K55,K41)+IF(K105&lt;&gt;"",K100,K86)+IF(K150&lt;&gt;"",K145,K131)+IF(K195&lt;&gt;"",K190,K176)+IF(K240&lt;&gt;"",K235,K221)+IF(K285&lt;&gt;"",K280,K266)+IF(K330&lt;&gt;"",K325,K311)</f>
        <v>871.338559474973</v>
      </c>
    </row>
    <row r="552" customFormat="false" ht="17.15" hidden="false" customHeight="false" outlineLevel="0" collapsed="false">
      <c r="A552" s="5" t="s">
        <v>2898</v>
      </c>
      <c r="B552" s="0" t="s">
        <v>2899</v>
      </c>
      <c r="C552" s="0" t="s">
        <v>395</v>
      </c>
      <c r="E552" s="33" t="n">
        <f aca="false">IF(E60&lt;&gt;"",0,E42)+IF(E105&lt;&gt;"",0,E87)+IF(E150&lt;&gt;"",0,E132)+IF(E195&lt;&gt;"",0,E177)+IF(E240&lt;&gt;"",0,E222)+IF(E285&lt;&gt;"",0,E267)+IF(E330&lt;&gt;"",0,E312)</f>
        <v>47.5396116931509</v>
      </c>
      <c r="F552" s="33" t="n">
        <f aca="false">IF(F60&lt;&gt;"",0,F42)+IF(F105&lt;&gt;"",0,F87)+IF(F150&lt;&gt;"",0,F132)+IF(F195&lt;&gt;"",0,F177)+IF(F240&lt;&gt;"",0,F222)+IF(F285&lt;&gt;"",0,F267)+IF(F330&lt;&gt;"",0,F312)</f>
        <v>37.6414178606373</v>
      </c>
      <c r="G552" s="33" t="n">
        <f aca="false">IF(G60&lt;&gt;"",0,G42)+IF(G105&lt;&gt;"",0,G87)+IF(G150&lt;&gt;"",0,G132)+IF(G195&lt;&gt;"",0,G177)+IF(G240&lt;&gt;"",0,G222)+IF(G285&lt;&gt;"",0,G267)+IF(G330&lt;&gt;"",0,G312)</f>
        <v>94.0072452151297</v>
      </c>
      <c r="H552" s="33" t="n">
        <f aca="false">IF(H60&lt;&gt;"",0,H42)+IF(H105&lt;&gt;"",0,H87)+IF(H150&lt;&gt;"",0,H132)+IF(H195&lt;&gt;"",0,H177)+IF(H240&lt;&gt;"",0,H222)+IF(H285&lt;&gt;"",0,H267)+IF(H330&lt;&gt;"",0,H312)</f>
        <v>113.027746841451</v>
      </c>
      <c r="I552" s="33" t="n">
        <f aca="false">IF(I60&lt;&gt;"",0,I42)+IF(I105&lt;&gt;"",0,I87)+IF(I150&lt;&gt;"",0,I132)+IF(I195&lt;&gt;"",0,I177)+IF(I240&lt;&gt;"",0,I222)+IF(I285&lt;&gt;"",0,I267)+IF(I330&lt;&gt;"",0,I312)</f>
        <v>126.040640236357</v>
      </c>
      <c r="J552" s="33" t="n">
        <f aca="false">IF(J60&lt;&gt;"",0,J42)+IF(J105&lt;&gt;"",0,J87)+IF(J150&lt;&gt;"",0,J132)+IF(J195&lt;&gt;"",0,J177)+IF(J240&lt;&gt;"",0,J222)+IF(J285&lt;&gt;"",0,J267)+IF(J330&lt;&gt;"",0,J312)</f>
        <v>138.600746609978</v>
      </c>
      <c r="K552" s="33" t="n">
        <f aca="false">IF(K60&lt;&gt;"",0,K42)+IF(K105&lt;&gt;"",0,K87)+IF(K150&lt;&gt;"",0,K132)+IF(K195&lt;&gt;"",0,K177)+IF(K240&lt;&gt;"",0,K222)+IF(K285&lt;&gt;"",0,K267)+IF(K330&lt;&gt;"",0,K312)</f>
        <v>152.404663535391</v>
      </c>
    </row>
    <row r="553" customFormat="false" ht="17.15" hidden="false" customHeight="false" outlineLevel="0" collapsed="false">
      <c r="A553" s="5" t="s">
        <v>2900</v>
      </c>
      <c r="B553" s="0" t="s">
        <v>2901</v>
      </c>
      <c r="C553" s="0" t="s">
        <v>395</v>
      </c>
      <c r="E553" s="33" t="n">
        <f aca="false">IF(E60&lt;&gt;"",0,E43)+IF(E105&lt;&gt;"",0,E88)+IF(E150&lt;&gt;"",0,E133)+IF(E195&lt;&gt;"",0,E178)+IF(E240&lt;&gt;"",0,E223)+IF(E285&lt;&gt;"",0,E268)+IF(E330&lt;&gt;"",0,E313)</f>
        <v>37.6414178606373</v>
      </c>
      <c r="F553" s="33" t="n">
        <f aca="false">IF(F60&lt;&gt;"",0,F43)+IF(F105&lt;&gt;"",0,F88)+IF(F150&lt;&gt;"",0,F133)+IF(F195&lt;&gt;"",0,F178)+IF(F240&lt;&gt;"",0,F223)+IF(F285&lt;&gt;"",0,F268)+IF(F330&lt;&gt;"",0,F313)</f>
        <v>94.0072452151297</v>
      </c>
      <c r="G553" s="33" t="n">
        <f aca="false">IF(G60&lt;&gt;"",0,G43)+IF(G105&lt;&gt;"",0,G88)+IF(G150&lt;&gt;"",0,G133)+IF(G195&lt;&gt;"",0,G178)+IF(G240&lt;&gt;"",0,G223)+IF(G285&lt;&gt;"",0,G268)+IF(G330&lt;&gt;"",0,G313)</f>
        <v>113.027746841451</v>
      </c>
      <c r="H553" s="33" t="n">
        <f aca="false">IF(H60&lt;&gt;"",0,H43)+IF(H105&lt;&gt;"",0,H88)+IF(H150&lt;&gt;"",0,H133)+IF(H195&lt;&gt;"",0,H178)+IF(H240&lt;&gt;"",0,H223)+IF(H285&lt;&gt;"",0,H268)+IF(H330&lt;&gt;"",0,H313)</f>
        <v>126.040640236357</v>
      </c>
      <c r="I553" s="33" t="n">
        <f aca="false">IF(I60&lt;&gt;"",0,I43)+IF(I105&lt;&gt;"",0,I88)+IF(I150&lt;&gt;"",0,I133)+IF(I195&lt;&gt;"",0,I178)+IF(I240&lt;&gt;"",0,I223)+IF(I285&lt;&gt;"",0,I268)+IF(I330&lt;&gt;"",0,I313)</f>
        <v>138.600746609978</v>
      </c>
      <c r="J553" s="33" t="n">
        <f aca="false">IF(J60&lt;&gt;"",0,J43)+IF(J105&lt;&gt;"",0,J88)+IF(J150&lt;&gt;"",0,J133)+IF(J195&lt;&gt;"",0,J178)+IF(J240&lt;&gt;"",0,J223)+IF(J285&lt;&gt;"",0,J268)+IF(J330&lt;&gt;"",0,J313)</f>
        <v>152.404663535391</v>
      </c>
      <c r="K553" s="33" t="n">
        <f aca="false">IF(K60&lt;&gt;"",0,K43)+IF(K105&lt;&gt;"",0,K88)+IF(K150&lt;&gt;"",0,K133)+IF(K195&lt;&gt;"",0,K178)+IF(K240&lt;&gt;"",0,K223)+IF(K285&lt;&gt;"",0,K268)+IF(K330&lt;&gt;"",0,K313)</f>
        <v>167.645129888931</v>
      </c>
    </row>
    <row r="554" customFormat="false" ht="17.15" hidden="false" customHeight="false" outlineLevel="0" collapsed="false">
      <c r="A554" s="5" t="s">
        <v>2902</v>
      </c>
      <c r="B554" s="0" t="s">
        <v>2903</v>
      </c>
      <c r="C554" s="0" t="s">
        <v>395</v>
      </c>
      <c r="E554" s="33" t="n">
        <f aca="false">IF(E374&lt;&gt;"",E370,E356)+IF(E408&lt;&gt;"",E404,E390)+IF(E453&lt;&gt;"",E449,E435)+IF(E497&lt;&gt;"",E493,E479)</f>
        <v>0</v>
      </c>
      <c r="F554" s="33" t="n">
        <f aca="false">IF(F374&lt;&gt;"",F370,F356)+IF(F408&lt;&gt;"",F404,F390)+IF(F453&lt;&gt;"",F449,F435)+IF(F497&lt;&gt;"",F493,F479)</f>
        <v>0</v>
      </c>
      <c r="G554" s="33" t="n">
        <f aca="false">IF(G374&lt;&gt;"",G370,G356)+IF(G408&lt;&gt;"",G404,G390)+IF(G453&lt;&gt;"",G449,G435)+IF(G497&lt;&gt;"",G493,G479)</f>
        <v>48.0919477230518</v>
      </c>
      <c r="H554" s="33" t="n">
        <f aca="false">IF(H374&lt;&gt;"",H370,H356)+IF(H408&lt;&gt;"",H404,H390)+IF(H453&lt;&gt;"",H449,H435)+IF(H497&lt;&gt;"",H493,H479)</f>
        <v>22.5048116881867</v>
      </c>
      <c r="I554" s="33" t="n">
        <f aca="false">IF(I374&lt;&gt;"",I370,I356)+IF(I408&lt;&gt;"",I404,I390)+IF(I453&lt;&gt;"",I449,I435)+IF(I497&lt;&gt;"",I493,I479)</f>
        <v>144.173088</v>
      </c>
      <c r="J554" s="33" t="n">
        <f aca="false">IF(J374&lt;&gt;"",J370,J356)+IF(J408&lt;&gt;"",J404,J390)+IF(J453&lt;&gt;"",J449,J435)+IF(J497&lt;&gt;"",J493,J479)</f>
        <v>111.228907</v>
      </c>
      <c r="K554" s="33" t="n">
        <f aca="false">IF(K374&lt;&gt;"",K370,K356)+IF(K408&lt;&gt;"",K404,K390)+IF(K453&lt;&gt;"",K449,K435)+IF(K497&lt;&gt;"",K493,K479)</f>
        <v>90.272859</v>
      </c>
    </row>
    <row r="555" customFormat="false" ht="17.15" hidden="false" customHeight="false" outlineLevel="0" collapsed="false">
      <c r="A555" s="5" t="s">
        <v>2904</v>
      </c>
      <c r="B555" s="0" t="s">
        <v>2905</v>
      </c>
      <c r="C555" s="0" t="s">
        <v>395</v>
      </c>
      <c r="E555" s="33" t="n">
        <f aca="false">IF(E374&lt;&gt;"",0,E357)+IF(E408&lt;&gt;"",0,E391)+IF(E453&lt;&gt;"",0,E436)+IF(E497&lt;&gt;"",0,E480)</f>
        <v>0</v>
      </c>
      <c r="F555" s="33" t="n">
        <f aca="false">IF(F374&lt;&gt;"",0,F357)+IF(F408&lt;&gt;"",0,F391)+IF(F453&lt;&gt;"",0,F436)+IF(F497&lt;&gt;"",0,F480)</f>
        <v>9.11780079</v>
      </c>
      <c r="G555" s="33" t="n">
        <f aca="false">IF(G374&lt;&gt;"",0,G357)+IF(G408&lt;&gt;"",0,G391)+IF(G453&lt;&gt;"",0,G436)+IF(G497&lt;&gt;"",0,G480)</f>
        <v>3.71848029</v>
      </c>
      <c r="H555" s="33" t="n">
        <f aca="false">IF(H374&lt;&gt;"",0,H357)+IF(H408&lt;&gt;"",0,H391)+IF(H453&lt;&gt;"",0,H436)+IF(H497&lt;&gt;"",0,H480)</f>
        <v>0</v>
      </c>
      <c r="I555" s="33" t="n">
        <f aca="false">IF(I374&lt;&gt;"",0,I357)+IF(I408&lt;&gt;"",0,I391)+IF(I453&lt;&gt;"",0,I436)+IF(I497&lt;&gt;"",0,I480)</f>
        <v>0</v>
      </c>
      <c r="J555" s="33" t="n">
        <f aca="false">IF(J374&lt;&gt;"",0,J357)+IF(J408&lt;&gt;"",0,J391)+IF(J453&lt;&gt;"",0,J436)+IF(J497&lt;&gt;"",0,J480)</f>
        <v>0</v>
      </c>
      <c r="K555" s="33" t="n">
        <f aca="false">IF(K374&lt;&gt;"",0,K357)+IF(K408&lt;&gt;"",0,K391)+IF(K453&lt;&gt;"",0,K436)+IF(K497&lt;&gt;"",0,K480)</f>
        <v>0</v>
      </c>
    </row>
    <row r="556" customFormat="false" ht="17.15" hidden="false" customHeight="false" outlineLevel="0" collapsed="false">
      <c r="A556" s="5" t="s">
        <v>2906</v>
      </c>
      <c r="B556" s="0" t="s">
        <v>2907</v>
      </c>
      <c r="C556" s="0" t="s">
        <v>395</v>
      </c>
      <c r="E556" s="33" t="n">
        <f aca="false">IF(E374&lt;&gt;"",0,E358)+IF(E408&lt;&gt;"",0,E392)+IF(E453&lt;&gt;"",0,E437)+IF(E497&lt;&gt;"",0,E481)</f>
        <v>9.11780079</v>
      </c>
      <c r="F556" s="33" t="n">
        <f aca="false">IF(F374&lt;&gt;"",0,F358)+IF(F408&lt;&gt;"",0,F392)+IF(F453&lt;&gt;"",0,F437)+IF(F497&lt;&gt;"",0,F481)</f>
        <v>3.71848029</v>
      </c>
      <c r="G556" s="33" t="n">
        <f aca="false">IF(G374&lt;&gt;"",0,G358)+IF(G408&lt;&gt;"",0,G392)+IF(G453&lt;&gt;"",0,G437)+IF(G497&lt;&gt;"",0,G481)</f>
        <v>0</v>
      </c>
      <c r="H556" s="33" t="n">
        <f aca="false">IF(H374&lt;&gt;"",0,H358)+IF(H408&lt;&gt;"",0,H392)+IF(H453&lt;&gt;"",0,H437)+IF(H497&lt;&gt;"",0,H481)</f>
        <v>0</v>
      </c>
      <c r="I556" s="33" t="n">
        <f aca="false">IF(I374&lt;&gt;"",0,I358)+IF(I408&lt;&gt;"",0,I392)+IF(I453&lt;&gt;"",0,I437)+IF(I497&lt;&gt;"",0,I481)</f>
        <v>0</v>
      </c>
      <c r="J556" s="33" t="n">
        <f aca="false">IF(J374&lt;&gt;"",0,J358)+IF(J408&lt;&gt;"",0,J392)+IF(J453&lt;&gt;"",0,J437)+IF(J497&lt;&gt;"",0,J481)</f>
        <v>0</v>
      </c>
      <c r="K556" s="33" t="n">
        <f aca="false">IF(K374&lt;&gt;"",0,K358)+IF(K408&lt;&gt;"",0,K392)+IF(K453&lt;&gt;"",0,K437)+IF(K497&lt;&gt;"",0,K481)</f>
        <v>0</v>
      </c>
    </row>
    <row r="557" customFormat="false" ht="17.15" hidden="false" customHeight="false" outlineLevel="0" collapsed="false">
      <c r="A557" s="5" t="s">
        <v>2908</v>
      </c>
      <c r="B557" s="0" t="s">
        <v>2909</v>
      </c>
      <c r="C557" s="0" t="s">
        <v>395</v>
      </c>
      <c r="E557" s="33" t="n">
        <f aca="false">N(E62)+N(E107)+N(E152)+N(E197)+N(E242)+N(E287)+N(E332)</f>
        <v>128.540921615791</v>
      </c>
      <c r="F557" s="33" t="n">
        <f aca="false">N(F62)+N(F107)+N(F152)+N(F197)+N(F242)+N(F287)+N(F332)</f>
        <v>356.50149417741</v>
      </c>
      <c r="G557" s="33" t="n">
        <f aca="false">N(G62)+N(G107)+N(G152)+N(G197)+N(G242)+N(G287)+N(G332)</f>
        <v>411.577036205852</v>
      </c>
      <c r="H557" s="33" t="n">
        <f aca="false">N(H62)+N(H107)+N(H152)+N(H197)+N(H242)+N(H287)+N(H332)</f>
        <v>936.804817833333</v>
      </c>
      <c r="I557" s="33" t="n">
        <f aca="false">N(I62)+N(I107)+N(I152)+N(I197)+N(I242)+N(I287)+N(I332)</f>
        <v>945.116530166667</v>
      </c>
      <c r="J557" s="33" t="n">
        <f aca="false">N(J62)+N(J107)+N(J152)+N(J197)+N(J242)+N(J287)+N(J332)</f>
        <v>843.469962</v>
      </c>
      <c r="K557" s="33" t="n">
        <f aca="false">N(K62)+N(K107)+N(K152)+N(K197)+N(K242)+N(K287)+N(K332)</f>
        <v>709.315945166667</v>
      </c>
    </row>
    <row r="558" customFormat="false" ht="17.15" hidden="false" customHeight="false" outlineLevel="0" collapsed="false">
      <c r="A558" s="5" t="s">
        <v>2910</v>
      </c>
      <c r="B558" s="0" t="s">
        <v>2911</v>
      </c>
      <c r="C558" s="0" t="s">
        <v>395</v>
      </c>
      <c r="E558" s="33" t="n">
        <f aca="false">IF(E60&lt;&gt;"",E55,E45+E46+E47)+IF(E105&lt;&gt;"",E100,E90+E91+E92)+IF(E150&lt;&gt;"",E145,E135+E136+E137)+IF(E195&lt;&gt;"",E190,E180+E181+E182)+IF(E240&lt;&gt;"",E235,E225+E226+E227)+IF(E285&lt;&gt;"",E280,E270+E271+E272)+IF(E330&lt;&gt;"",E325,E315+E316+E317)+IF(E374&lt;&gt;"",E370,E360+E361+E362)+IF(E408&lt;&gt;"",E404,E394+E395+E396)+IF(E453&lt;&gt;"",E449,E439+E440+E441)+IF(E497&lt;&gt;"",E493,E483+E484+E485)</f>
        <v>141.323213626591</v>
      </c>
      <c r="F558" s="33" t="n">
        <f aca="false">IF(F60&lt;&gt;"",F55,F45+F46+F47)+IF(F105&lt;&gt;"",F100,F90+F91+F92)+IF(F150&lt;&gt;"",F145,F135+F136+F137)+IF(F195&lt;&gt;"",F190,F180+F181+F182)+IF(F240&lt;&gt;"",F235,F225+F226+F227)+IF(F285&lt;&gt;"",F280,F270+F271+F272)+IF(F330&lt;&gt;"",F325,F315+F316+F317)+IF(F374&lt;&gt;"",F370,F360+F361+F362)+IF(F408&lt;&gt;"",F404,F394+F395+F396)+IF(F453&lt;&gt;"",F449,F439+F440+F441)+IF(F497&lt;&gt;"",F493,F483+F484+F485)</f>
        <v>378.921460824924</v>
      </c>
      <c r="G558" s="33" t="n">
        <f aca="false">IF(G60&lt;&gt;"",G55,G45+G46+G47)+IF(G105&lt;&gt;"",G100,G90+G91+G92)+IF(G150&lt;&gt;"",G145,G135+G136+G137)+IF(G195&lt;&gt;"",G190,G180+G181+G182)+IF(G240&lt;&gt;"",G235,G225+G226+G227)+IF(G285&lt;&gt;"",G280,G270+G271+G272)+IF(G330&lt;&gt;"",G325,G315+G316+G317)+IF(G374&lt;&gt;"",G370,G360+G361+G362)+IF(G408&lt;&gt;"",G404,G394+G395+G396)+IF(G453&lt;&gt;"",G449,G439+G440+G441)+IF(G497&lt;&gt;"",G493,G483+G484+G485)</f>
        <v>481.052412646066</v>
      </c>
      <c r="H558" s="33" t="n">
        <f aca="false">IF(H60&lt;&gt;"",H55,H45+H46+H47)+IF(H105&lt;&gt;"",H100,H90+H91+H92)+IF(H150&lt;&gt;"",H145,H135+H136+H137)+IF(H195&lt;&gt;"",H190,H180+H181+H182)+IF(H240&lt;&gt;"",H235,H225+H226+H227)+IF(H285&lt;&gt;"",H280,H270+H271+H272)+IF(H330&lt;&gt;"",H325,H315+H316+H317)+IF(H374&lt;&gt;"",H370,H360+H361+H362)+IF(H408&lt;&gt;"",H404,H394+H395+H396)+IF(H453&lt;&gt;"",H449,H439+H440+H441)+IF(H497&lt;&gt;"",H493,H483+H484+H485)</f>
        <v>903.29141137148</v>
      </c>
      <c r="I558" s="33" t="n">
        <f aca="false">IF(I60&lt;&gt;"",I55,I45+I46+I47)+IF(I105&lt;&gt;"",I100,I90+I91+I92)+IF(I150&lt;&gt;"",I145,I135+I136+I137)+IF(I195&lt;&gt;"",I190,I180+I181+I182)+IF(I240&lt;&gt;"",I235,I225+I226+I227)+IF(I285&lt;&gt;"",I280,I270+I271+I272)+IF(I330&lt;&gt;"",I325,I315+I316+I317)+IF(I374&lt;&gt;"",I370,I360+I361+I362)+IF(I408&lt;&gt;"",I404,I394+I395+I396)+IF(I453&lt;&gt;"",I449,I439+I440+I441)+IF(I497&lt;&gt;"",I493,I483+I484+I485)</f>
        <v>1224.82625600841</v>
      </c>
      <c r="J558" s="33" t="n">
        <f aca="false">IF(J60&lt;&gt;"",J55,J45+J46+J47)+IF(J105&lt;&gt;"",J100,J90+J91+J92)+IF(J150&lt;&gt;"",J145,J135+J136+J137)+IF(J195&lt;&gt;"",J190,J180+J181+J182)+IF(J240&lt;&gt;"",J235,J225+J226+J227)+IF(J285&lt;&gt;"",J280,J270+J271+J272)+IF(J330&lt;&gt;"",J325,J315+J316+J317)+IF(J374&lt;&gt;"",J370,J360+J361+J362)+IF(J408&lt;&gt;"",J404,J394+J395+J396)+IF(J453&lt;&gt;"",J449,J439+J440+J441)+IF(J497&lt;&gt;"",J493,J483+J484+J485)</f>
        <v>1312.34442254423</v>
      </c>
      <c r="K558" s="33" t="n">
        <f aca="false">IF(K60&lt;&gt;"",K55,K45+K46+K47)+IF(K105&lt;&gt;"",K100,K90+K91+K92)+IF(K150&lt;&gt;"",K145,K135+K136+K137)+IF(K195&lt;&gt;"",K190,K180+K181+K182)+IF(K240&lt;&gt;"",K235,K225+K226+K227)+IF(K285&lt;&gt;"",K280,K270+K271+K272)+IF(K330&lt;&gt;"",K325,K315+K316+K317)+IF(K374&lt;&gt;"",K370,K360+K361+K362)+IF(K408&lt;&gt;"",K404,K394+K395+K396)+IF(K453&lt;&gt;"",K449,K439+K440+K441)+IF(K497&lt;&gt;"",K493,K483+K484+K485)</f>
        <v>1411.26620146568</v>
      </c>
    </row>
    <row r="559" customFormat="false" ht="17.15" hidden="false" customHeight="false" outlineLevel="0" collapsed="false">
      <c r="A559" s="5" t="s">
        <v>2912</v>
      </c>
      <c r="B559" s="0" t="s">
        <v>2913</v>
      </c>
      <c r="C559" s="0" t="s">
        <v>395</v>
      </c>
      <c r="E559" s="29" t="n">
        <f aca="false">E551+E554+E552+E555+E553+E556-E533</f>
        <v>0</v>
      </c>
      <c r="F559" s="29" t="n">
        <f aca="false">F551+F554+F552+F555+F553+F556-F533</f>
        <v>0</v>
      </c>
      <c r="G559" s="29" t="n">
        <f aca="false">G551+G554+G552+G555+G553+G556-G533</f>
        <v>0</v>
      </c>
      <c r="H559" s="29" t="n">
        <f aca="false">H551+H554+H552+H555+H553+H556-H533</f>
        <v>0</v>
      </c>
      <c r="I559" s="29" t="n">
        <f aca="false">I551+I554+I552+I555+I553+I556-I533</f>
        <v>0</v>
      </c>
      <c r="J559" s="29" t="n">
        <f aca="false">J551+J554+J552+J555+J553+J556-J533</f>
        <v>0</v>
      </c>
      <c r="K559" s="29" t="n">
        <f aca="false">K551+K554+K552+K555+K553+K556-K533</f>
        <v>0</v>
      </c>
    </row>
    <row r="561" customFormat="false" ht="19.4" hidden="false" customHeight="false" outlineLevel="0" collapsed="false">
      <c r="A561" s="35" t="s">
        <v>2914</v>
      </c>
    </row>
    <row r="562" customFormat="false" ht="17.15" hidden="false" customHeight="false" outlineLevel="0" collapsed="false">
      <c r="A562" s="5" t="s">
        <v>2915</v>
      </c>
      <c r="E562" s="33" t="n">
        <f aca="false">E567-E534</f>
        <v>31.876705950478</v>
      </c>
      <c r="F562" s="33" t="n">
        <f aca="false">F567-F534</f>
        <v>75.4130574214237</v>
      </c>
      <c r="G562" s="33" t="n">
        <f aca="false">G567-G534</f>
        <v>223.765649322046</v>
      </c>
      <c r="H562" s="33" t="n">
        <f aca="false">H567-H534</f>
        <v>321.396741650027</v>
      </c>
      <c r="I562" s="33" t="n">
        <f aca="false">I567-I534</f>
        <v>341.586675754921</v>
      </c>
      <c r="J562" s="33" t="n">
        <f aca="false">J567-J534</f>
        <v>242.384684144807</v>
      </c>
      <c r="K562" s="33" t="n">
        <f aca="false">K567-K534</f>
        <v>85.1009449165331</v>
      </c>
    </row>
    <row r="563" customFormat="false" ht="17.15" hidden="false" customHeight="false" outlineLevel="0" collapsed="false">
      <c r="A563" s="22" t="s">
        <v>2916</v>
      </c>
    </row>
    <row r="564" customFormat="false" ht="17.15" hidden="false" customHeight="false" outlineLevel="0" collapsed="false">
      <c r="A564" s="5" t="s">
        <v>2917</v>
      </c>
      <c r="B564" s="0" t="s">
        <v>2918</v>
      </c>
      <c r="C564" s="0" t="s">
        <v>82</v>
      </c>
      <c r="D564" s="25" t="n">
        <f aca="false">Deploy!D19</f>
        <v>0</v>
      </c>
      <c r="E564" s="25" t="n">
        <f aca="false">Deploy!E19</f>
        <v>1.61980834349181</v>
      </c>
      <c r="F564" s="25" t="n">
        <f aca="false">Deploy!F19</f>
        <v>9.04912429484716</v>
      </c>
      <c r="G564" s="25" t="n">
        <f aca="false">Deploy!G19</f>
        <v>12.5153714610592</v>
      </c>
      <c r="H564" s="25" t="n">
        <f aca="false">Deploy!H19</f>
        <v>23.9622539260371</v>
      </c>
      <c r="I564" s="25" t="n">
        <f aca="false">Deploy!I19</f>
        <v>26.9232927993498</v>
      </c>
      <c r="J564" s="25" t="n">
        <f aca="false">Deploy!J19</f>
        <v>27.6634681049025</v>
      </c>
      <c r="K564" s="25" t="n">
        <f aca="false">Deploy!K19</f>
        <v>28.071624456532</v>
      </c>
      <c r="L564" s="25" t="n">
        <f aca="false">Deploy!L19</f>
        <v>24.6443743325068</v>
      </c>
      <c r="M564" s="25" t="n">
        <f aca="false">Deploy!M19</f>
        <v>16.9117528413721</v>
      </c>
    </row>
    <row r="565" customFormat="false" ht="17.15" hidden="false" customHeight="false" outlineLevel="0" collapsed="false">
      <c r="A565" s="5" t="s">
        <v>2919</v>
      </c>
      <c r="B565" s="0" t="s">
        <v>2920</v>
      </c>
      <c r="C565" s="0" t="s">
        <v>41</v>
      </c>
      <c r="D565" s="25" t="n">
        <f aca="false">IF(Deploy!D19&lt;=0,1,Deploy!D19/Deploy!D19)</f>
        <v>1</v>
      </c>
      <c r="E565" s="25" t="n">
        <f aca="false">IF(Deploy!E19&lt;=0,1,Deploy!E19/Deploy!E19)</f>
        <v>1</v>
      </c>
      <c r="F565" s="25" t="n">
        <f aca="false">IF(Deploy!F19&lt;=0,1,Deploy!F19/Deploy!F19)</f>
        <v>1</v>
      </c>
      <c r="G565" s="25" t="n">
        <f aca="false">IF(Deploy!G19&lt;=0,1,Deploy!G19/Deploy!G19)</f>
        <v>1</v>
      </c>
      <c r="H565" s="25" t="n">
        <f aca="false">IF(Deploy!H19&lt;=0,1,Deploy!H19/Deploy!H19)</f>
        <v>1</v>
      </c>
      <c r="I565" s="25" t="n">
        <f aca="false">IF(Deploy!I19&lt;=0,1,Deploy!I19/Deploy!I19)</f>
        <v>1</v>
      </c>
      <c r="J565" s="25" t="n">
        <f aca="false">IF(Deploy!J19&lt;=0,1,Deploy!J19/Deploy!J19)</f>
        <v>1</v>
      </c>
      <c r="K565" s="25" t="n">
        <f aca="false">IF(Deploy!K19&lt;=0,1,Deploy!K19/Deploy!K19)</f>
        <v>1</v>
      </c>
      <c r="L565" s="25" t="n">
        <f aca="false">IF(Deploy!L19&lt;=0,1,Deploy!L19/Deploy!L19)</f>
        <v>1</v>
      </c>
      <c r="M565" s="25" t="n">
        <f aca="false">IF(Deploy!M19&lt;=0,1,Deploy!M19/Deploy!M19)</f>
        <v>1</v>
      </c>
    </row>
    <row r="566" customFormat="false" ht="17.15" hidden="false" customHeight="false" outlineLevel="0" collapsed="false">
      <c r="A566" s="5" t="s">
        <v>2921</v>
      </c>
      <c r="B566" s="0" t="s">
        <v>2922</v>
      </c>
      <c r="C566" s="0" t="s">
        <v>40</v>
      </c>
      <c r="E566" s="0" t="str">
        <f aca="false">IF(Deploy!E19&lt;=0,"r＝1（A／D0 年新增 ≤ 0）","")</f>
        <v/>
      </c>
      <c r="F566" s="0" t="str">
        <f aca="false">IF(Deploy!F19&lt;=0,"r＝1（A／D0 年新增 ≤ 0）","")</f>
        <v/>
      </c>
      <c r="G566" s="0" t="str">
        <f aca="false">IF(Deploy!G19&lt;=0,"r＝1（A／D0 年新增 ≤ 0）","")</f>
        <v/>
      </c>
      <c r="H566" s="0" t="str">
        <f aca="false">IF(Deploy!H19&lt;=0,"r＝1（A／D0 年新增 ≤ 0）","")</f>
        <v/>
      </c>
      <c r="I566" s="0" t="str">
        <f aca="false">IF(Deploy!I19&lt;=0,"r＝1（A／D0 年新增 ≤ 0）","")</f>
        <v/>
      </c>
      <c r="J566" s="0" t="str">
        <f aca="false">IF(Deploy!J19&lt;=0,"r＝1（A／D0 年新增 ≤ 0）","")</f>
        <v/>
      </c>
      <c r="K566" s="0" t="str">
        <f aca="false">IF(Deploy!K19&lt;=0,"r＝1（A／D0 年新增 ≤ 0）","")</f>
        <v/>
      </c>
    </row>
    <row r="567" customFormat="false" ht="17.15" hidden="false" customHeight="false" outlineLevel="0" collapsed="false">
      <c r="A567" s="5" t="s">
        <v>2923</v>
      </c>
      <c r="B567" s="0" t="s">
        <v>2924</v>
      </c>
      <c r="C567" s="0" t="s">
        <v>395</v>
      </c>
      <c r="E567" s="33" t="n">
        <f aca="false">E564*(E8+Gap!$D$6*E9)+Gap!$E$6*F564*F9+Gap!$F$6*G564*G9</f>
        <v>169.535428356269</v>
      </c>
      <c r="F567" s="33" t="n">
        <f aca="false">F564*(F8+Gap!$D$6*F9)+Gap!$E$6*G564*G9+Gap!$F$6*H564*H9</f>
        <v>444.750832678834</v>
      </c>
      <c r="G567" s="33" t="n">
        <f aca="false">G564*(G8+Gap!$D$6*G9)+Gap!$E$6*H564*H9+Gap!$F$6*I564*I9</f>
        <v>687.153113540949</v>
      </c>
      <c r="H567" s="33" t="n">
        <f aca="false">H564*(H8+Gap!$D$6*H9)+Gap!$E$6*I564*I9+Gap!$F$6*J564*J9</f>
        <v>1147.50797077611</v>
      </c>
      <c r="I567" s="33" t="n">
        <f aca="false">I564*(I8+Gap!$D$6*I9)+Gap!$E$6*J564*J9+Gap!$F$6*K564*K9</f>
        <v>1316.94490280745</v>
      </c>
      <c r="J567" s="33" t="n">
        <f aca="false">J564*(J8+Gap!$D$6*J9)+Gap!$E$6*K564*K9+Gap!$F$6*L564*L9</f>
        <v>1325.76086390466</v>
      </c>
      <c r="K567" s="33" t="n">
        <f aca="false">K564*(K8+Gap!$D$6*K9)+Gap!$E$6*L564*L9+Gap!$F$6*M564*M9</f>
        <v>1276.48929781583</v>
      </c>
    </row>
    <row r="568" customFormat="false" ht="17.15" hidden="false" customHeight="false" outlineLevel="0" collapsed="false">
      <c r="A568" s="5" t="s">
        <v>2925</v>
      </c>
      <c r="B568" s="0" t="s">
        <v>2926</v>
      </c>
      <c r="C568" s="0" t="s">
        <v>395</v>
      </c>
      <c r="E568" s="33" t="n">
        <f aca="false">E539</f>
        <v>60.556995</v>
      </c>
      <c r="F568" s="33" t="n">
        <f aca="false">F539</f>
        <v>92.812193</v>
      </c>
      <c r="G568" s="33" t="n">
        <f aca="false">G539</f>
        <v>184.082278</v>
      </c>
      <c r="H568" s="33" t="n">
        <f aca="false">H539</f>
        <v>212.566374166667</v>
      </c>
      <c r="I568" s="33" t="n">
        <f aca="false">I539</f>
        <v>246.95029175</v>
      </c>
      <c r="J568" s="33" t="n">
        <f aca="false">J539</f>
        <v>277.130736</v>
      </c>
      <c r="K568" s="33" t="n">
        <f aca="false">K539</f>
        <v>299.026397916667</v>
      </c>
    </row>
    <row r="569" customFormat="false" ht="17.15" hidden="false" customHeight="false" outlineLevel="0" collapsed="false">
      <c r="A569" s="5" t="s">
        <v>2927</v>
      </c>
      <c r="B569" s="0" t="s">
        <v>2928</v>
      </c>
      <c r="C569" s="0" t="s">
        <v>395</v>
      </c>
      <c r="E569" s="33" t="n">
        <f aca="false">E542</f>
        <v>335.253</v>
      </c>
      <c r="F569" s="33" t="n">
        <f aca="false">F542</f>
        <v>589.4335</v>
      </c>
      <c r="G569" s="33" t="n">
        <f aca="false">G542</f>
        <v>800.087775083333</v>
      </c>
      <c r="H569" s="33" t="n">
        <f aca="false">H542</f>
        <v>942.583301916667</v>
      </c>
      <c r="I569" s="33" t="n">
        <f aca="false">I542</f>
        <v>1153.28686216667</v>
      </c>
      <c r="J569" s="33" t="n">
        <f aca="false">J542</f>
        <v>1408.73059683333</v>
      </c>
      <c r="K569" s="33" t="n">
        <f aca="false">K542</f>
        <v>1631.71418825</v>
      </c>
    </row>
    <row r="570" customFormat="false" ht="17.15" hidden="false" customHeight="false" outlineLevel="0" collapsed="false">
      <c r="A570" s="5" t="s">
        <v>2929</v>
      </c>
      <c r="B570" s="0" t="s">
        <v>2930</v>
      </c>
      <c r="C570" s="0" t="s">
        <v>395</v>
      </c>
      <c r="E570" s="33" t="n">
        <f aca="false">E544</f>
        <v>38.221</v>
      </c>
      <c r="F570" s="33" t="n">
        <f aca="false">F544</f>
        <v>258.571166666667</v>
      </c>
      <c r="G570" s="33" t="n">
        <f aca="false">0</f>
        <v>0</v>
      </c>
      <c r="H570" s="33" t="n">
        <f aca="false">0</f>
        <v>0</v>
      </c>
      <c r="I570" s="33" t="n">
        <f aca="false">0</f>
        <v>0</v>
      </c>
      <c r="J570" s="33" t="n">
        <f aca="false">0</f>
        <v>0</v>
      </c>
      <c r="K570" s="33" t="n">
        <f aca="false">0</f>
        <v>0</v>
      </c>
    </row>
    <row r="571" customFormat="false" ht="17.15" hidden="false" customHeight="false" outlineLevel="0" collapsed="false">
      <c r="A571" s="22" t="s">
        <v>2931</v>
      </c>
    </row>
    <row r="572" customFormat="false" ht="17.15" hidden="false" customHeight="false" outlineLevel="0" collapsed="false">
      <c r="A572" s="5" t="s">
        <v>2932</v>
      </c>
      <c r="B572" s="0" t="s">
        <v>2933</v>
      </c>
      <c r="C572" s="0" t="s">
        <v>395</v>
      </c>
      <c r="E572" s="40" t="n">
        <f aca="false">(E565*E551+F565*E552+G565*E553)+(E565*E554+F565*E555+G565*E556)</f>
        <v>137.658722405791</v>
      </c>
      <c r="F572" s="40" t="n">
        <f aca="false">(F565*F551+G565*F552+H565*F553)+(F565*F554+G565*F555+H565*F556)</f>
        <v>369.33777525741</v>
      </c>
      <c r="G572" s="40" t="n">
        <f aca="false">(G565*G551+H565*G552+I565*G553)+(G565*G554+H565*G555+I565*G556)</f>
        <v>463.387464218903</v>
      </c>
      <c r="H572" s="40" t="n">
        <f aca="false">(H565*H551+I565*H552+J565*H553)+(H565*H554+I565*H555+J565*H556)</f>
        <v>826.111229126079</v>
      </c>
      <c r="I572" s="40" t="n">
        <f aca="false">(I565*I551+J565*I552+K565*I553)+(I565*I554+J565*I555+K565*I556)</f>
        <v>1119.53131505253</v>
      </c>
      <c r="J572" s="40" t="n">
        <f aca="false">(J565*J551+K565*J552+L565*J553)+(J565*J554+K565*J555+L565*J556)</f>
        <v>1194.60508675985</v>
      </c>
      <c r="K572" s="40" t="n">
        <f aca="false">(K565*K551+L565*K552+M565*K553)+(K565*K554+L565*K555+M565*K556)</f>
        <v>1281.6612118993</v>
      </c>
    </row>
    <row r="573" customFormat="false" ht="15" hidden="false" customHeight="false" outlineLevel="0" collapsed="false">
      <c r="A573" s="5" t="s">
        <v>2934</v>
      </c>
      <c r="B573" s="0" t="s">
        <v>2935</v>
      </c>
      <c r="C573" s="0" t="s">
        <v>395</v>
      </c>
      <c r="E573" s="33" t="n">
        <f aca="false">E572+E568</f>
        <v>198.215717405791</v>
      </c>
      <c r="F573" s="33" t="n">
        <f aca="false">F572+F568</f>
        <v>462.14996825741</v>
      </c>
      <c r="G573" s="33" t="n">
        <f aca="false">G572+G568</f>
        <v>647.469742218903</v>
      </c>
      <c r="H573" s="33" t="n">
        <f aca="false">H572+H568</f>
        <v>1038.67760329275</v>
      </c>
      <c r="I573" s="33" t="n">
        <f aca="false">I572+I568</f>
        <v>1366.48160680253</v>
      </c>
      <c r="J573" s="33" t="n">
        <f aca="false">J572+J568</f>
        <v>1471.73582275985</v>
      </c>
      <c r="K573" s="33" t="n">
        <f aca="false">K572+K568</f>
        <v>1580.68760981596</v>
      </c>
    </row>
    <row r="574" customFormat="false" ht="15" hidden="false" customHeight="false" outlineLevel="0" collapsed="false">
      <c r="A574" s="5" t="s">
        <v>2936</v>
      </c>
      <c r="B574" s="0" t="s">
        <v>2937</v>
      </c>
      <c r="C574" s="0" t="s">
        <v>395</v>
      </c>
      <c r="E574" s="40" t="n">
        <f aca="false">E573-E569-E570</f>
        <v>-175.258282594209</v>
      </c>
      <c r="F574" s="40" t="n">
        <f aca="false">F573-F569-F570</f>
        <v>-385.854698409257</v>
      </c>
      <c r="G574" s="40" t="n">
        <f aca="false">G573-G569-G570</f>
        <v>-152.61803286443</v>
      </c>
      <c r="H574" s="40" t="n">
        <f aca="false">H573-H569-H570</f>
        <v>96.0943013760785</v>
      </c>
      <c r="I574" s="40" t="n">
        <f aca="false">I573-I569-I570</f>
        <v>213.194744635864</v>
      </c>
      <c r="J574" s="40" t="n">
        <f aca="false">J573-J569-J570</f>
        <v>63.0052259265167</v>
      </c>
      <c r="K574" s="40" t="n">
        <f aca="false">K573-K569-K570</f>
        <v>-51.0265784340384</v>
      </c>
    </row>
    <row r="575" customFormat="false" ht="17.15" hidden="false" customHeight="false" outlineLevel="0" collapsed="false">
      <c r="A575" s="5" t="s">
        <v>2938</v>
      </c>
      <c r="B575" s="0" t="s">
        <v>2939</v>
      </c>
      <c r="C575" s="0" t="s">
        <v>395</v>
      </c>
      <c r="G575" s="33" t="n">
        <f aca="false">SUM($G574:G574)</f>
        <v>-152.61803286443</v>
      </c>
      <c r="H575" s="33" t="n">
        <f aca="false">SUM($G574:H574)</f>
        <v>-56.5237314883512</v>
      </c>
      <c r="I575" s="33" t="n">
        <f aca="false">SUM($G574:I574)</f>
        <v>156.671013147512</v>
      </c>
      <c r="J575" s="33" t="n">
        <f aca="false">SUM($G574:J574)</f>
        <v>219.676239074029</v>
      </c>
      <c r="K575" s="33" t="n">
        <f aca="false">SUM($G574:K574)</f>
        <v>168.649660639991</v>
      </c>
    </row>
    <row r="576" customFormat="false" ht="15" hidden="false" customHeight="false" outlineLevel="0" collapsed="false">
      <c r="A576" s="5" t="s">
        <v>2940</v>
      </c>
      <c r="B576" s="0" t="s">
        <v>2941</v>
      </c>
      <c r="C576" s="0" t="s">
        <v>395</v>
      </c>
      <c r="G576" s="40" t="n">
        <f aca="false">G575-G546</f>
        <v>-683.63557386443</v>
      </c>
      <c r="H576" s="40" t="n">
        <f aca="false">H575-G546</f>
        <v>-587.541272488351</v>
      </c>
      <c r="I576" s="40" t="n">
        <f aca="false">I575-G546</f>
        <v>-374.346527852488</v>
      </c>
      <c r="J576" s="40" t="n">
        <f aca="false">J575-G546</f>
        <v>-311.341301925971</v>
      </c>
      <c r="K576" s="40" t="n">
        <f aca="false">K575-G546</f>
        <v>-362.367880360009</v>
      </c>
    </row>
    <row r="577" customFormat="false" ht="15" hidden="false" customHeight="false" outlineLevel="0" collapsed="false">
      <c r="A577" s="5" t="s">
        <v>2942</v>
      </c>
      <c r="B577" s="0" t="s">
        <v>2943</v>
      </c>
      <c r="C577" s="0" t="s">
        <v>395</v>
      </c>
      <c r="G577" s="33" t="n">
        <f aca="false">G576-G547</f>
        <v>-2003.04557386443</v>
      </c>
      <c r="H577" s="33" t="n">
        <f aca="false">H576-G547</f>
        <v>-1906.95127248835</v>
      </c>
      <c r="I577" s="33" t="n">
        <f aca="false">I576-G547</f>
        <v>-1693.75652785249</v>
      </c>
      <c r="J577" s="33" t="n">
        <f aca="false">J576-G547</f>
        <v>-1630.75130192597</v>
      </c>
      <c r="K577" s="33" t="n">
        <f aca="false">K576-G547</f>
        <v>-1681.77788036001</v>
      </c>
    </row>
    <row r="578" customFormat="false" ht="15" hidden="false" customHeight="false" outlineLevel="0" collapsed="false">
      <c r="A578" s="5" t="s">
        <v>2944</v>
      </c>
      <c r="B578" s="0" t="s">
        <v>2945</v>
      </c>
      <c r="C578" s="0" t="s">
        <v>395</v>
      </c>
      <c r="E578" s="33" t="n">
        <f aca="false">E569-E573</f>
        <v>137.037282594209</v>
      </c>
      <c r="F578" s="33" t="n">
        <f aca="false">F569-F573</f>
        <v>127.28353174259</v>
      </c>
      <c r="G578" s="33" t="n">
        <f aca="false">G569-G573</f>
        <v>152.61803286443</v>
      </c>
      <c r="H578" s="33" t="n">
        <f aca="false">H569-H573</f>
        <v>-96.0943013760785</v>
      </c>
      <c r="I578" s="33" t="n">
        <f aca="false">I569-I573</f>
        <v>-213.194744635864</v>
      </c>
      <c r="J578" s="33" t="n">
        <f aca="false">J569-J573</f>
        <v>-63.0052259265167</v>
      </c>
      <c r="K578" s="33" t="n">
        <f aca="false">K569-K573</f>
        <v>51.0265784340384</v>
      </c>
    </row>
    <row r="579" customFormat="false" ht="15" hidden="false" customHeight="false" outlineLevel="0" collapsed="false">
      <c r="A579" s="5" t="s">
        <v>2404</v>
      </c>
      <c r="B579" s="0" t="s">
        <v>2946</v>
      </c>
      <c r="C579" s="0" t="s">
        <v>57</v>
      </c>
      <c r="E579" s="23" t="n">
        <f aca="false">IF(E573&lt;=0,"",(E573-E569)/E573)</f>
        <v>-0.691354269922319</v>
      </c>
      <c r="F579" s="23" t="n">
        <f aca="false">IF(F573&lt;=0,"",(F573-F569)/F573)</f>
        <v>-0.275416078080731</v>
      </c>
      <c r="G579" s="23" t="n">
        <f aca="false">IF(G573&lt;=0,"",(G573-G569)/G573)</f>
        <v>-0.235714540638458</v>
      </c>
      <c r="H579" s="23" t="n">
        <f aca="false">IF(H573&lt;=0,"",(H573-H569)/H573)</f>
        <v>0.0925160040723386</v>
      </c>
      <c r="I579" s="23" t="n">
        <f aca="false">IF(I573&lt;=0,"",(I573-I569)/I573)</f>
        <v>0.156017280858045</v>
      </c>
      <c r="J579" s="23" t="n">
        <f aca="false">IF(J573&lt;=0,"",(J573-J569)/J573)</f>
        <v>0.0428101463266465</v>
      </c>
      <c r="K579" s="23" t="n">
        <f aca="false">IF(K573&lt;=0,"",(K573-K569)/K573)</f>
        <v>-0.0322812541309028</v>
      </c>
    </row>
    <row r="580" customFormat="false" ht="17.15" hidden="false" customHeight="false" outlineLevel="0" collapsed="false">
      <c r="A580" s="5" t="s">
        <v>2947</v>
      </c>
      <c r="B580" s="0" t="s">
        <v>2948</v>
      </c>
      <c r="D580" s="0" t="str">
        <f aca="false">IF(G550&gt;0,"未定（資料不足）",IF(OR(K578&lt;0,OR(AND(N(G579)&gt;0.3,N(H579)&gt;0.3,N(I579)&gt;0.3),AND(N(H579)&gt;0.3,N(I579)&gt;0.3,N(J579)&gt;0.3),AND(N(I579)&gt;0.3,N(J579)&gt;0.3,N(K579)&gt;0.3))),"OpenAI 型",IF(MIN(G578:K578)&gt;=0,"Anthropic 型（2026–2030 皆為正）","Anthropic 型（"&amp;IF(AND(G578&gt;=0,H578&gt;=0,I578&gt;=0,J578&gt;=0,K578&gt;=0),"2026",IF(AND(H578&gt;=0,I578&gt;=0,J578&gt;=0,K578&gt;=0),"2027",IF(AND(I578&gt;=0,J578&gt;=0,K578&gt;=0),"2028",IF(AND(J578&gt;=0,K578&gt;=0),"2029",IF(AND(K578&gt;=0),"2030","—")))))&amp;" 起轉正）")))</f>
        <v>Anthropic 型（2030 起轉正）</v>
      </c>
    </row>
    <row r="581" customFormat="false" ht="17.15" hidden="false" customHeight="false" outlineLevel="0" collapsed="false">
      <c r="A581" s="22" t="s">
        <v>2949</v>
      </c>
    </row>
    <row r="582" customFormat="false" ht="17.15" hidden="false" customHeight="false" outlineLevel="0" collapsed="false">
      <c r="A582" s="5" t="s">
        <v>2932</v>
      </c>
      <c r="B582" s="0" t="s">
        <v>2950</v>
      </c>
      <c r="C582" s="0" t="s">
        <v>395</v>
      </c>
      <c r="E582" s="40" t="n">
        <f aca="false">(E565*E551+F565*E552+G565*E553)+(E565*E554+F565*E555+G565*E556)</f>
        <v>137.658722405791</v>
      </c>
      <c r="F582" s="40" t="n">
        <f aca="false">(F565*F551+G565*F552+H565*F553)+(F565*F554+G565*F555+H565*F556)</f>
        <v>369.33777525741</v>
      </c>
      <c r="G582" s="40" t="n">
        <f aca="false">(G565*G551+H565*G552+I565*G553)+(G565*G554+H565*G555+I565*G556)</f>
        <v>463.387464218903</v>
      </c>
      <c r="H582" s="40" t="n">
        <f aca="false">H565*H557+(H565*H554+I565*H555+J565*H556)</f>
        <v>959.30962952152</v>
      </c>
      <c r="I582" s="40" t="n">
        <f aca="false">I565*I557+(I565*I554+J565*I555+K565*I556)</f>
        <v>1089.28961816667</v>
      </c>
      <c r="J582" s="40" t="n">
        <f aca="false">J565*J557+(J565*J554+K565*J555+L565*J556)</f>
        <v>954.698869</v>
      </c>
      <c r="K582" s="40" t="n">
        <f aca="false">K565*K557+(K565*K554+L565*K555+M565*K556)</f>
        <v>799.588804166667</v>
      </c>
    </row>
    <row r="583" customFormat="false" ht="15" hidden="false" customHeight="false" outlineLevel="0" collapsed="false">
      <c r="A583" s="5" t="s">
        <v>2934</v>
      </c>
      <c r="B583" s="0" t="s">
        <v>2951</v>
      </c>
      <c r="C583" s="0" t="s">
        <v>395</v>
      </c>
      <c r="E583" s="33" t="n">
        <f aca="false">E582+E568</f>
        <v>198.215717405791</v>
      </c>
      <c r="F583" s="33" t="n">
        <f aca="false">F582+F568</f>
        <v>462.14996825741</v>
      </c>
      <c r="G583" s="33" t="n">
        <f aca="false">G582+G568</f>
        <v>647.469742218903</v>
      </c>
      <c r="H583" s="33" t="n">
        <f aca="false">H582+H568</f>
        <v>1171.87600368819</v>
      </c>
      <c r="I583" s="33" t="n">
        <f aca="false">I582+I568</f>
        <v>1336.23990991667</v>
      </c>
      <c r="J583" s="33" t="n">
        <f aca="false">J582+J568</f>
        <v>1231.829605</v>
      </c>
      <c r="K583" s="33" t="n">
        <f aca="false">K582+K568</f>
        <v>1098.61520208333</v>
      </c>
    </row>
    <row r="584" customFormat="false" ht="15" hidden="false" customHeight="false" outlineLevel="0" collapsed="false">
      <c r="A584" s="5" t="s">
        <v>2936</v>
      </c>
      <c r="B584" s="0" t="s">
        <v>2952</v>
      </c>
      <c r="C584" s="0" t="s">
        <v>395</v>
      </c>
      <c r="E584" s="40" t="n">
        <f aca="false">E583-E569-E570</f>
        <v>-175.258282594209</v>
      </c>
      <c r="F584" s="40" t="n">
        <f aca="false">F583-F569-F570</f>
        <v>-385.854698409257</v>
      </c>
      <c r="G584" s="40" t="n">
        <f aca="false">G583-G569-G570</f>
        <v>-152.61803286443</v>
      </c>
      <c r="H584" s="40" t="n">
        <f aca="false">H583-H569-H570</f>
        <v>229.29270177152</v>
      </c>
      <c r="I584" s="40" t="n">
        <f aca="false">I583-I569-I570</f>
        <v>182.95304775</v>
      </c>
      <c r="J584" s="40" t="n">
        <f aca="false">J583-J569-J570</f>
        <v>-176.900991833333</v>
      </c>
      <c r="K584" s="40" t="n">
        <f aca="false">K583-K569-K570</f>
        <v>-533.098986166667</v>
      </c>
    </row>
    <row r="585" customFormat="false" ht="17.15" hidden="false" customHeight="false" outlineLevel="0" collapsed="false">
      <c r="A585" s="5" t="s">
        <v>2938</v>
      </c>
      <c r="B585" s="0" t="s">
        <v>2953</v>
      </c>
      <c r="C585" s="0" t="s">
        <v>395</v>
      </c>
      <c r="G585" s="33" t="n">
        <f aca="false">SUM($G584:G584)</f>
        <v>-152.61803286443</v>
      </c>
      <c r="H585" s="33" t="n">
        <f aca="false">SUM($G584:H584)</f>
        <v>76.67466890709</v>
      </c>
      <c r="I585" s="33" t="n">
        <f aca="false">SUM($G584:I584)</f>
        <v>259.62771665709</v>
      </c>
      <c r="J585" s="33" t="n">
        <f aca="false">SUM($G584:J584)</f>
        <v>82.7267248237569</v>
      </c>
      <c r="K585" s="33" t="n">
        <f aca="false">SUM($G584:K584)</f>
        <v>-450.37226134291</v>
      </c>
    </row>
    <row r="586" customFormat="false" ht="15" hidden="false" customHeight="false" outlineLevel="0" collapsed="false">
      <c r="A586" s="5" t="s">
        <v>2940</v>
      </c>
      <c r="B586" s="0" t="s">
        <v>2954</v>
      </c>
      <c r="C586" s="0" t="s">
        <v>395</v>
      </c>
      <c r="G586" s="40" t="n">
        <f aca="false">G585-G546</f>
        <v>-683.63557386443</v>
      </c>
      <c r="H586" s="40" t="n">
        <f aca="false">H585-G546</f>
        <v>-454.34287209291</v>
      </c>
      <c r="I586" s="40" t="n">
        <f aca="false">I585-G546</f>
        <v>-271.38982434291</v>
      </c>
      <c r="J586" s="40" t="n">
        <f aca="false">J585-G546</f>
        <v>-448.290816176243</v>
      </c>
      <c r="K586" s="40" t="n">
        <f aca="false">K585-G546</f>
        <v>-981.38980234291</v>
      </c>
    </row>
    <row r="587" customFormat="false" ht="15" hidden="false" customHeight="false" outlineLevel="0" collapsed="false">
      <c r="A587" s="5" t="s">
        <v>2942</v>
      </c>
      <c r="B587" s="0" t="s">
        <v>2955</v>
      </c>
      <c r="C587" s="0" t="s">
        <v>395</v>
      </c>
      <c r="G587" s="33" t="n">
        <f aca="false">G586-G547</f>
        <v>-2003.04557386443</v>
      </c>
      <c r="H587" s="33" t="n">
        <f aca="false">H586-G547</f>
        <v>-1773.75287209291</v>
      </c>
      <c r="I587" s="33" t="n">
        <f aca="false">I586-G547</f>
        <v>-1590.79982434291</v>
      </c>
      <c r="J587" s="33" t="n">
        <f aca="false">J586-G547</f>
        <v>-1767.70081617624</v>
      </c>
      <c r="K587" s="33" t="n">
        <f aca="false">K586-G547</f>
        <v>-2300.79980234291</v>
      </c>
    </row>
    <row r="588" customFormat="false" ht="15" hidden="false" customHeight="false" outlineLevel="0" collapsed="false">
      <c r="A588" s="5" t="s">
        <v>2944</v>
      </c>
      <c r="B588" s="0" t="s">
        <v>2956</v>
      </c>
      <c r="C588" s="0" t="s">
        <v>395</v>
      </c>
      <c r="E588" s="33" t="n">
        <f aca="false">E569-E583</f>
        <v>137.037282594209</v>
      </c>
      <c r="F588" s="33" t="n">
        <f aca="false">F569-F583</f>
        <v>127.28353174259</v>
      </c>
      <c r="G588" s="33" t="n">
        <f aca="false">G569-G583</f>
        <v>152.61803286443</v>
      </c>
      <c r="H588" s="33" t="n">
        <f aca="false">H569-H583</f>
        <v>-229.29270177152</v>
      </c>
      <c r="I588" s="33" t="n">
        <f aca="false">I569-I583</f>
        <v>-182.95304775</v>
      </c>
      <c r="J588" s="33" t="n">
        <f aca="false">J569-J583</f>
        <v>176.900991833333</v>
      </c>
      <c r="K588" s="33" t="n">
        <f aca="false">K569-K583</f>
        <v>533.098986166667</v>
      </c>
    </row>
    <row r="589" customFormat="false" ht="15" hidden="false" customHeight="false" outlineLevel="0" collapsed="false">
      <c r="A589" s="5" t="s">
        <v>2404</v>
      </c>
      <c r="B589" s="0" t="s">
        <v>2957</v>
      </c>
      <c r="C589" s="0" t="s">
        <v>57</v>
      </c>
      <c r="E589" s="23" t="n">
        <f aca="false">IF(E583&lt;=0,"",(E583-E569)/E583)</f>
        <v>-0.691354269922319</v>
      </c>
      <c r="F589" s="23" t="n">
        <f aca="false">IF(F583&lt;=0,"",(F583-F569)/F583)</f>
        <v>-0.275416078080731</v>
      </c>
      <c r="G589" s="23" t="n">
        <f aca="false">IF(G583&lt;=0,"",(G583-G569)/G583)</f>
        <v>-0.235714540638458</v>
      </c>
      <c r="H589" s="23" t="n">
        <f aca="false">IF(H583&lt;=0,"",(H583-H569)/H583)</f>
        <v>0.195662937930189</v>
      </c>
      <c r="I589" s="23" t="n">
        <f aca="false">IF(I583&lt;=0,"",(I583-I569)/I583)</f>
        <v>0.136916317490779</v>
      </c>
      <c r="J589" s="23" t="n">
        <f aca="false">IF(J583&lt;=0,"",(J583-J569)/J583)</f>
        <v>-0.143608329524872</v>
      </c>
      <c r="K589" s="23" t="n">
        <f aca="false">IF(K583&lt;=0,"",(K583-K569)/K583)</f>
        <v>-0.485246322056837</v>
      </c>
    </row>
    <row r="590" customFormat="false" ht="17.15" hidden="false" customHeight="false" outlineLevel="0" collapsed="false">
      <c r="A590" s="5" t="s">
        <v>2958</v>
      </c>
      <c r="B590" s="0" t="s">
        <v>2959</v>
      </c>
      <c r="D590" s="0" t="str">
        <f aca="false">IF(G550&gt;0,"未定（資料不足）",IF(OR(K588&lt;0,OR(AND(N(G589)&gt;0.3,N(H589)&gt;0.3,N(I589)&gt;0.3),AND(N(H589)&gt;0.3,N(I589)&gt;0.3,N(J589)&gt;0.3),AND(N(I589)&gt;0.3,N(J589)&gt;0.3,N(K589)&gt;0.3))),"OpenAI 型",IF(MIN(G588:K588)&gt;=0,"Anthropic 型（2026–2030 皆為正）","Anthropic 型（"&amp;IF(AND(G588&gt;=0,H588&gt;=0,I588&gt;=0,J588&gt;=0,K588&gt;=0),"2026",IF(AND(H588&gt;=0,I588&gt;=0,J588&gt;=0,K588&gt;=0),"2027",IF(AND(I588&gt;=0,J588&gt;=0,K588&gt;=0),"2028",IF(AND(J588&gt;=0,K588&gt;=0),"2029",IF(AND(K588&gt;=0),"2030","—")))))&amp;" 起轉正）")))</f>
        <v>Anthropic 型（2029 起轉正）</v>
      </c>
    </row>
    <row r="591" customFormat="false" ht="17.15" hidden="false" customHeight="false" outlineLevel="0" collapsed="false">
      <c r="A591" s="5" t="s">
        <v>2960</v>
      </c>
      <c r="B591" s="0" t="s">
        <v>2961</v>
      </c>
      <c r="C591" s="0" t="s">
        <v>57</v>
      </c>
      <c r="E591" s="23" t="n">
        <f aca="false">IF(E567&lt;=0,"",(E572-E565*E535)/E567)</f>
        <v>0.811976138205809</v>
      </c>
      <c r="F591" s="23" t="n">
        <f aca="false">IF(F567&lt;=0,"",(F572-F565*F535)/F567)</f>
        <v>0.830437512691783</v>
      </c>
      <c r="G591" s="23" t="n">
        <f aca="false">IF(G567&lt;=0,"",(G572-G565*G535)/G567)</f>
        <v>0.674358385471085</v>
      </c>
      <c r="H591" s="23" t="n">
        <f aca="false">IF(H567&lt;=0,"",(H572-H565*H535)/H567)</f>
        <v>0.719917639062103</v>
      </c>
      <c r="I591" s="23" t="n">
        <f aca="false">IF(I567&lt;=0,"",(I572-I565*I535)/I567)</f>
        <v>0.740621893120411</v>
      </c>
      <c r="J591" s="23" t="n">
        <f aca="false">IF(J567&lt;=0,"",(J572-J565*J535)/J567)</f>
        <v>0.817173148835507</v>
      </c>
      <c r="K591" s="23" t="n">
        <f aca="false">IF(K567&lt;=0,"",(K572-K565*K535)/K567)</f>
        <v>0.933332034148545</v>
      </c>
    </row>
    <row r="593" customFormat="false" ht="17.15" hidden="false" customHeight="false" outlineLevel="0" collapsed="false">
      <c r="A593" s="22" t="s">
        <v>2962</v>
      </c>
    </row>
    <row r="594" customFormat="false" ht="17.15" hidden="false" customHeight="false" outlineLevel="0" collapsed="false">
      <c r="A594" s="5" t="s">
        <v>2917</v>
      </c>
      <c r="B594" s="0" t="s">
        <v>2963</v>
      </c>
      <c r="C594" s="0" t="s">
        <v>82</v>
      </c>
      <c r="D594" s="25" t="n">
        <f aca="false">Deploy!D20</f>
        <v>0</v>
      </c>
      <c r="E594" s="25" t="n">
        <f aca="false">Deploy!E20</f>
        <v>1.61980834349181</v>
      </c>
      <c r="F594" s="25" t="n">
        <f aca="false">Deploy!F20</f>
        <v>9.04912429484716</v>
      </c>
      <c r="G594" s="25" t="n">
        <f aca="false">Deploy!G20</f>
        <v>11.7062917618926</v>
      </c>
      <c r="H594" s="25" t="n">
        <f aca="false">Deploy!H20</f>
        <v>20.2797100214805</v>
      </c>
      <c r="I594" s="25" t="n">
        <f aca="false">Deploy!I20</f>
        <v>26.1728568298534</v>
      </c>
      <c r="J594" s="25" t="n">
        <f aca="false">Deploy!J20</f>
        <v>27.6795957597641</v>
      </c>
      <c r="K594" s="25" t="n">
        <f aca="false">Deploy!K20</f>
        <v>27.9487470949969</v>
      </c>
      <c r="L594" s="25" t="n">
        <f aca="false">Deploy!L20</f>
        <v>25.4320931042112</v>
      </c>
      <c r="M594" s="25" t="n">
        <f aca="false">Deploy!M20</f>
        <v>18.0642366023206</v>
      </c>
    </row>
    <row r="595" customFormat="false" ht="17.15" hidden="false" customHeight="false" outlineLevel="0" collapsed="false">
      <c r="A595" s="5" t="s">
        <v>2919</v>
      </c>
      <c r="B595" s="0" t="s">
        <v>2964</v>
      </c>
      <c r="C595" s="0" t="s">
        <v>41</v>
      </c>
      <c r="D595" s="25" t="n">
        <f aca="false">IF(Deploy!D19&lt;=0,1,Deploy!D20/Deploy!D19)</f>
        <v>1</v>
      </c>
      <c r="E595" s="25" t="n">
        <f aca="false">IF(Deploy!E19&lt;=0,1,Deploy!E20/Deploy!E19)</f>
        <v>1</v>
      </c>
      <c r="F595" s="25" t="n">
        <f aca="false">IF(Deploy!F19&lt;=0,1,Deploy!F20/Deploy!F19)</f>
        <v>1</v>
      </c>
      <c r="G595" s="25" t="n">
        <f aca="false">IF(Deploy!G19&lt;=0,1,Deploy!G20/Deploy!G19)</f>
        <v>0.935353121424805</v>
      </c>
      <c r="H595" s="25" t="n">
        <f aca="false">IF(Deploy!H19&lt;=0,1,Deploy!H20/Deploy!H19)</f>
        <v>0.846318968327299</v>
      </c>
      <c r="I595" s="25" t="n">
        <f aca="false">IF(Deploy!I19&lt;=0,1,Deploy!I20/Deploy!I19)</f>
        <v>0.972126887484041</v>
      </c>
      <c r="J595" s="25" t="n">
        <f aca="false">IF(Deploy!J19&lt;=0,1,Deploy!J20/Deploy!J19)</f>
        <v>1.00058299468456</v>
      </c>
      <c r="K595" s="25" t="n">
        <f aca="false">IF(Deploy!K19&lt;=0,1,Deploy!K20/Deploy!K19)</f>
        <v>0.995622719956039</v>
      </c>
      <c r="L595" s="25" t="n">
        <f aca="false">IF(Deploy!L19&lt;=0,1,Deploy!L20/Deploy!L19)</f>
        <v>1.03196343153518</v>
      </c>
      <c r="M595" s="25" t="n">
        <f aca="false">IF(Deploy!M19&lt;=0,1,Deploy!M20/Deploy!M19)</f>
        <v>1.0681469136735</v>
      </c>
    </row>
    <row r="596" customFormat="false" ht="17.15" hidden="false" customHeight="false" outlineLevel="0" collapsed="false">
      <c r="A596" s="5" t="s">
        <v>2921</v>
      </c>
      <c r="B596" s="0" t="s">
        <v>2965</v>
      </c>
      <c r="C596" s="0" t="s">
        <v>40</v>
      </c>
      <c r="E596" s="0" t="str">
        <f aca="false">IF(Deploy!E19&lt;=0,"r＝1（A／D0 年新增 ≤ 0）","")</f>
        <v/>
      </c>
      <c r="F596" s="0" t="str">
        <f aca="false">IF(Deploy!F19&lt;=0,"r＝1（A／D0 年新增 ≤ 0）","")</f>
        <v/>
      </c>
      <c r="G596" s="0" t="str">
        <f aca="false">IF(Deploy!G19&lt;=0,"r＝1（A／D0 年新增 ≤ 0）","")</f>
        <v/>
      </c>
      <c r="H596" s="0" t="str">
        <f aca="false">IF(Deploy!H19&lt;=0,"r＝1（A／D0 年新增 ≤ 0）","")</f>
        <v/>
      </c>
      <c r="I596" s="0" t="str">
        <f aca="false">IF(Deploy!I19&lt;=0,"r＝1（A／D0 年新增 ≤ 0）","")</f>
        <v/>
      </c>
      <c r="J596" s="0" t="str">
        <f aca="false">IF(Deploy!J19&lt;=0,"r＝1（A／D0 年新增 ≤ 0）","")</f>
        <v/>
      </c>
      <c r="K596" s="0" t="str">
        <f aca="false">IF(Deploy!K19&lt;=0,"r＝1（A／D0 年新增 ≤ 0）","")</f>
        <v/>
      </c>
    </row>
    <row r="597" customFormat="false" ht="17.15" hidden="false" customHeight="false" outlineLevel="0" collapsed="false">
      <c r="A597" s="5" t="s">
        <v>2923</v>
      </c>
      <c r="B597" s="0" t="s">
        <v>2966</v>
      </c>
      <c r="C597" s="0" t="s">
        <v>395</v>
      </c>
      <c r="E597" s="33" t="n">
        <f aca="false">E594*(E8+Gap!$D$6*E9)+Gap!$E$6*F594*F9+Gap!$F$6*G594*G9</f>
        <v>164.812822106687</v>
      </c>
      <c r="F597" s="33" t="n">
        <f aca="false">F594*(F8+Gap!$D$6*F9)+Gap!$E$6*G594*G9+Gap!$F$6*H594*H9</f>
        <v>418.801796993943</v>
      </c>
      <c r="G597" s="33" t="n">
        <f aca="false">G594*(G8+Gap!$D$6*G9)+Gap!$E$6*H594*H9+Gap!$F$6*I594*I9</f>
        <v>636.147447908362</v>
      </c>
      <c r="H597" s="33" t="n">
        <f aca="false">H594*(H8+Gap!$D$6*H9)+Gap!$E$6*I594*I9+Gap!$F$6*J594*J9</f>
        <v>1015.31242979729</v>
      </c>
      <c r="I597" s="33" t="n">
        <f aca="false">I594*(I8+Gap!$D$6*I9)+Gap!$E$6*J594*J9+Gap!$F$6*K594*K9</f>
        <v>1288.57954087656</v>
      </c>
      <c r="J597" s="33" t="n">
        <f aca="false">J594*(J8+Gap!$D$6*J9)+Gap!$E$6*K594*K9+Gap!$F$6*L594*L9</f>
        <v>1330.19002999091</v>
      </c>
      <c r="K597" s="33" t="n">
        <f aca="false">K594*(K8+Gap!$D$6*K9)+Gap!$E$6*L594*L9+Gap!$F$6*M594*M9</f>
        <v>1283.1377602371</v>
      </c>
    </row>
    <row r="598" customFormat="false" ht="17.15" hidden="false" customHeight="false" outlineLevel="0" collapsed="false">
      <c r="A598" s="5" t="s">
        <v>2925</v>
      </c>
      <c r="B598" s="0" t="s">
        <v>2967</v>
      </c>
      <c r="C598" s="0" t="s">
        <v>395</v>
      </c>
      <c r="E598" s="33" t="n">
        <f aca="false">E539</f>
        <v>60.556995</v>
      </c>
      <c r="F598" s="33" t="n">
        <f aca="false">F539</f>
        <v>92.812193</v>
      </c>
      <c r="G598" s="33" t="n">
        <f aca="false">G539</f>
        <v>184.082278</v>
      </c>
      <c r="H598" s="33" t="n">
        <f aca="false">H539</f>
        <v>212.566374166667</v>
      </c>
      <c r="I598" s="33" t="n">
        <f aca="false">I539</f>
        <v>246.95029175</v>
      </c>
      <c r="J598" s="33" t="n">
        <f aca="false">J539</f>
        <v>277.130736</v>
      </c>
      <c r="K598" s="33" t="n">
        <f aca="false">K539</f>
        <v>299.026397916667</v>
      </c>
    </row>
    <row r="599" customFormat="false" ht="17.15" hidden="false" customHeight="false" outlineLevel="0" collapsed="false">
      <c r="A599" s="5" t="s">
        <v>2927</v>
      </c>
      <c r="B599" s="0" t="s">
        <v>2968</v>
      </c>
      <c r="C599" s="0" t="s">
        <v>395</v>
      </c>
      <c r="E599" s="33" t="n">
        <f aca="false">E542</f>
        <v>335.253</v>
      </c>
      <c r="F599" s="33" t="n">
        <f aca="false">F542</f>
        <v>589.4335</v>
      </c>
      <c r="G599" s="33" t="n">
        <f aca="false">G542</f>
        <v>800.087775083333</v>
      </c>
      <c r="H599" s="33" t="n">
        <f aca="false">H542</f>
        <v>942.583301916667</v>
      </c>
      <c r="I599" s="33" t="n">
        <f aca="false">I542</f>
        <v>1153.28686216667</v>
      </c>
      <c r="J599" s="33" t="n">
        <f aca="false">J542</f>
        <v>1408.73059683333</v>
      </c>
      <c r="K599" s="33" t="n">
        <f aca="false">K542</f>
        <v>1631.71418825</v>
      </c>
    </row>
    <row r="600" customFormat="false" ht="17.15" hidden="false" customHeight="false" outlineLevel="0" collapsed="false">
      <c r="A600" s="5" t="s">
        <v>2929</v>
      </c>
      <c r="B600" s="0" t="s">
        <v>2969</v>
      </c>
      <c r="C600" s="0" t="s">
        <v>395</v>
      </c>
      <c r="E600" s="33" t="n">
        <f aca="false">E544</f>
        <v>38.221</v>
      </c>
      <c r="F600" s="33" t="n">
        <f aca="false">F544</f>
        <v>258.571166666667</v>
      </c>
      <c r="G600" s="33" t="n">
        <f aca="false">0</f>
        <v>0</v>
      </c>
      <c r="H600" s="33" t="n">
        <f aca="false">0</f>
        <v>0</v>
      </c>
      <c r="I600" s="33" t="n">
        <f aca="false">0</f>
        <v>0</v>
      </c>
      <c r="J600" s="33" t="n">
        <f aca="false">0</f>
        <v>0</v>
      </c>
      <c r="K600" s="33" t="n">
        <f aca="false">0</f>
        <v>0</v>
      </c>
    </row>
    <row r="601" customFormat="false" ht="17.15" hidden="false" customHeight="false" outlineLevel="0" collapsed="false">
      <c r="A601" s="22" t="s">
        <v>2931</v>
      </c>
    </row>
    <row r="602" customFormat="false" ht="17.15" hidden="false" customHeight="false" outlineLevel="0" collapsed="false">
      <c r="A602" s="5" t="s">
        <v>2932</v>
      </c>
      <c r="B602" s="0" t="s">
        <v>2970</v>
      </c>
      <c r="C602" s="0" t="s">
        <v>395</v>
      </c>
      <c r="E602" s="40" t="n">
        <f aca="false">(E595*E551+F595*E552+G595*E553)+(E595*E554+F595*E555+G595*E556)</f>
        <v>134.635884875412</v>
      </c>
      <c r="F602" s="40" t="n">
        <f aca="false">(F595*F551+G595*F552+H595*F553)+(F595*F554+G595*F555+H595*F556)</f>
        <v>351.29634741044</v>
      </c>
      <c r="G602" s="40" t="n">
        <f aca="false">(G595*G551+H595*G552+I595*G553)+(G595*G554+H595*G555+I595*G556)</f>
        <v>428.886439800638</v>
      </c>
      <c r="H602" s="40" t="n">
        <f aca="false">(H595*H551+I595*H552+J595*H553)+(H595*H554+I595*H555+J595*H556)</f>
        <v>732.816925442185</v>
      </c>
      <c r="I602" s="40" t="n">
        <f aca="false">(I595*I551+J595*I552+K595*I553)+(I595*I554+J595*I555+K595*I556)</f>
        <v>1095.16965863596</v>
      </c>
      <c r="J602" s="40" t="n">
        <f aca="false">(J595*J551+K595*J552+L595*J553)+(J595*J554+K595*J555+L595*J556)</f>
        <v>1199.39656231463</v>
      </c>
      <c r="K602" s="40" t="n">
        <f aca="false">(K595*K551+L595*K552+M595*K553)+(K595*K554+L595*K555+M595*K556)</f>
        <v>1293.74784365004</v>
      </c>
    </row>
    <row r="603" customFormat="false" ht="15" hidden="false" customHeight="false" outlineLevel="0" collapsed="false">
      <c r="A603" s="5" t="s">
        <v>2934</v>
      </c>
      <c r="B603" s="0" t="s">
        <v>2971</v>
      </c>
      <c r="C603" s="0" t="s">
        <v>395</v>
      </c>
      <c r="E603" s="33" t="n">
        <f aca="false">E602+E598</f>
        <v>195.192879875412</v>
      </c>
      <c r="F603" s="33" t="n">
        <f aca="false">F602+F598</f>
        <v>444.10854041044</v>
      </c>
      <c r="G603" s="33" t="n">
        <f aca="false">G602+G598</f>
        <v>612.968717800638</v>
      </c>
      <c r="H603" s="33" t="n">
        <f aca="false">H602+H598</f>
        <v>945.383299608852</v>
      </c>
      <c r="I603" s="33" t="n">
        <f aca="false">I602+I598</f>
        <v>1342.11995038596</v>
      </c>
      <c r="J603" s="33" t="n">
        <f aca="false">J602+J598</f>
        <v>1476.52729831463</v>
      </c>
      <c r="K603" s="33" t="n">
        <f aca="false">K602+K598</f>
        <v>1592.77424156671</v>
      </c>
    </row>
    <row r="604" customFormat="false" ht="15" hidden="false" customHeight="false" outlineLevel="0" collapsed="false">
      <c r="A604" s="5" t="s">
        <v>2936</v>
      </c>
      <c r="B604" s="0" t="s">
        <v>2972</v>
      </c>
      <c r="C604" s="0" t="s">
        <v>395</v>
      </c>
      <c r="E604" s="40" t="n">
        <f aca="false">E603-E599-E600</f>
        <v>-178.281120124588</v>
      </c>
      <c r="F604" s="40" t="n">
        <f aca="false">F603-F599-F600</f>
        <v>-403.896126256227</v>
      </c>
      <c r="G604" s="40" t="n">
        <f aca="false">G603-G599-G600</f>
        <v>-187.119057282695</v>
      </c>
      <c r="H604" s="40" t="n">
        <f aca="false">H603-H599-H600</f>
        <v>2.79999769218512</v>
      </c>
      <c r="I604" s="40" t="n">
        <f aca="false">I603-I599-I600</f>
        <v>188.833088219294</v>
      </c>
      <c r="J604" s="40" t="n">
        <f aca="false">J603-J599-J600</f>
        <v>67.7967014812932</v>
      </c>
      <c r="K604" s="40" t="n">
        <f aca="false">K603-K599-K600</f>
        <v>-38.9399466832947</v>
      </c>
    </row>
    <row r="605" customFormat="false" ht="17.15" hidden="false" customHeight="false" outlineLevel="0" collapsed="false">
      <c r="A605" s="5" t="s">
        <v>2938</v>
      </c>
      <c r="B605" s="0" t="s">
        <v>2973</v>
      </c>
      <c r="C605" s="0" t="s">
        <v>395</v>
      </c>
      <c r="G605" s="33" t="n">
        <f aca="false">SUM($G604:G604)</f>
        <v>-187.119057282695</v>
      </c>
      <c r="H605" s="33" t="n">
        <f aca="false">SUM($G604:H604)</f>
        <v>-184.31905959051</v>
      </c>
      <c r="I605" s="33" t="n">
        <f aca="false">SUM($G604:I604)</f>
        <v>4.51402862878399</v>
      </c>
      <c r="J605" s="33" t="n">
        <f aca="false">SUM($G604:J604)</f>
        <v>72.3107301100772</v>
      </c>
      <c r="K605" s="33" t="n">
        <f aca="false">SUM($G604:K604)</f>
        <v>33.3707834267825</v>
      </c>
    </row>
    <row r="606" customFormat="false" ht="15" hidden="false" customHeight="false" outlineLevel="0" collapsed="false">
      <c r="A606" s="5" t="s">
        <v>2940</v>
      </c>
      <c r="B606" s="0" t="s">
        <v>2974</v>
      </c>
      <c r="C606" s="0" t="s">
        <v>395</v>
      </c>
      <c r="G606" s="40" t="n">
        <f aca="false">G605-G546</f>
        <v>-718.136598282695</v>
      </c>
      <c r="H606" s="40" t="n">
        <f aca="false">H605-G546</f>
        <v>-715.33660059051</v>
      </c>
      <c r="I606" s="40" t="n">
        <f aca="false">I605-G546</f>
        <v>-526.503512371216</v>
      </c>
      <c r="J606" s="40" t="n">
        <f aca="false">J605-G546</f>
        <v>-458.706810889923</v>
      </c>
      <c r="K606" s="40" t="n">
        <f aca="false">K605-G546</f>
        <v>-497.646757573217</v>
      </c>
    </row>
    <row r="607" customFormat="false" ht="15" hidden="false" customHeight="false" outlineLevel="0" collapsed="false">
      <c r="A607" s="5" t="s">
        <v>2942</v>
      </c>
      <c r="B607" s="0" t="s">
        <v>2975</v>
      </c>
      <c r="C607" s="0" t="s">
        <v>395</v>
      </c>
      <c r="G607" s="33" t="n">
        <f aca="false">G606-G547</f>
        <v>-2037.5465982827</v>
      </c>
      <c r="H607" s="33" t="n">
        <f aca="false">H606-G547</f>
        <v>-2034.74660059051</v>
      </c>
      <c r="I607" s="33" t="n">
        <f aca="false">I606-G547</f>
        <v>-1845.91351237122</v>
      </c>
      <c r="J607" s="33" t="n">
        <f aca="false">J606-G547</f>
        <v>-1778.11681088992</v>
      </c>
      <c r="K607" s="33" t="n">
        <f aca="false">K606-G547</f>
        <v>-1817.05675757322</v>
      </c>
    </row>
    <row r="608" customFormat="false" ht="15" hidden="false" customHeight="false" outlineLevel="0" collapsed="false">
      <c r="A608" s="5" t="s">
        <v>2944</v>
      </c>
      <c r="B608" s="0" t="s">
        <v>2976</v>
      </c>
      <c r="C608" s="0" t="s">
        <v>395</v>
      </c>
      <c r="E608" s="33" t="n">
        <f aca="false">E599-E603</f>
        <v>140.060120124588</v>
      </c>
      <c r="F608" s="33" t="n">
        <f aca="false">F599-F603</f>
        <v>145.32495958956</v>
      </c>
      <c r="G608" s="33" t="n">
        <f aca="false">G599-G603</f>
        <v>187.119057282695</v>
      </c>
      <c r="H608" s="33" t="n">
        <f aca="false">H599-H603</f>
        <v>-2.79999769218512</v>
      </c>
      <c r="I608" s="33" t="n">
        <f aca="false">I599-I603</f>
        <v>-188.833088219294</v>
      </c>
      <c r="J608" s="33" t="n">
        <f aca="false">J599-J603</f>
        <v>-67.7967014812932</v>
      </c>
      <c r="K608" s="33" t="n">
        <f aca="false">K599-K603</f>
        <v>38.9399466832947</v>
      </c>
    </row>
    <row r="609" customFormat="false" ht="15" hidden="false" customHeight="false" outlineLevel="0" collapsed="false">
      <c r="A609" s="5" t="s">
        <v>2404</v>
      </c>
      <c r="B609" s="0" t="s">
        <v>2977</v>
      </c>
      <c r="C609" s="0" t="s">
        <v>57</v>
      </c>
      <c r="E609" s="23" t="n">
        <f aca="false">IF(E603&lt;=0,"",(E603-E599)/E603)</f>
        <v>-0.717547280484748</v>
      </c>
      <c r="F609" s="23" t="n">
        <f aca="false">IF(F603&lt;=0,"",(F603-F599)/F603)</f>
        <v>-0.327228473145896</v>
      </c>
      <c r="G609" s="23" t="n">
        <f aca="false">IF(G603&lt;=0,"",(G603-G599)/G603)</f>
        <v>-0.305266895110223</v>
      </c>
      <c r="H609" s="23" t="n">
        <f aca="false">IF(H603&lt;=0,"",(H603-H599)/H603)</f>
        <v>0.00296175920744909</v>
      </c>
      <c r="I609" s="23" t="n">
        <f aca="false">IF(I603&lt;=0,"",(I603-I599)/I603)</f>
        <v>0.140697624057366</v>
      </c>
      <c r="J609" s="23" t="n">
        <f aca="false">IF(J603&lt;=0,"",(J603-J599)/J603)</f>
        <v>0.045916321058662</v>
      </c>
      <c r="K609" s="23" t="n">
        <f aca="false">IF(K603&lt;=0,"",(K603-K599)/K603)</f>
        <v>-0.0244478757045895</v>
      </c>
    </row>
    <row r="610" customFormat="false" ht="17.15" hidden="false" customHeight="false" outlineLevel="0" collapsed="false">
      <c r="A610" s="5" t="s">
        <v>2947</v>
      </c>
      <c r="B610" s="0" t="s">
        <v>2978</v>
      </c>
      <c r="D610" s="0" t="str">
        <f aca="false">IF(G550&gt;0,"未定（資料不足）",IF(OR(K608&lt;0,OR(AND(N(G609)&gt;0.3,N(H609)&gt;0.3,N(I609)&gt;0.3),AND(N(H609)&gt;0.3,N(I609)&gt;0.3,N(J609)&gt;0.3),AND(N(I609)&gt;0.3,N(J609)&gt;0.3,N(K609)&gt;0.3))),"OpenAI 型",IF(MIN(G608:K608)&gt;=0,"Anthropic 型（2026–2030 皆為正）","Anthropic 型（"&amp;IF(AND(G608&gt;=0,H608&gt;=0,I608&gt;=0,J608&gt;=0,K608&gt;=0),"2026",IF(AND(H608&gt;=0,I608&gt;=0,J608&gt;=0,K608&gt;=0),"2027",IF(AND(I608&gt;=0,J608&gt;=0,K608&gt;=0),"2028",IF(AND(J608&gt;=0,K608&gt;=0),"2029",IF(AND(K608&gt;=0),"2030","—")))))&amp;" 起轉正）")))</f>
        <v>Anthropic 型（2030 起轉正）</v>
      </c>
    </row>
    <row r="611" customFormat="false" ht="17.15" hidden="false" customHeight="false" outlineLevel="0" collapsed="false">
      <c r="A611" s="22" t="s">
        <v>2949</v>
      </c>
    </row>
    <row r="612" customFormat="false" ht="17.15" hidden="false" customHeight="false" outlineLevel="0" collapsed="false">
      <c r="A612" s="5" t="s">
        <v>2932</v>
      </c>
      <c r="B612" s="0" t="s">
        <v>2979</v>
      </c>
      <c r="C612" s="0" t="s">
        <v>395</v>
      </c>
      <c r="E612" s="40" t="n">
        <f aca="false">(E595*E551+F595*E552+G595*E553)+(E595*E554+F595*E555+G595*E556)</f>
        <v>134.635884875412</v>
      </c>
      <c r="F612" s="40" t="n">
        <f aca="false">(F595*F551+G595*F552+H595*F553)+(F595*F554+G595*F555+H595*F556)</f>
        <v>351.29634741044</v>
      </c>
      <c r="G612" s="40" t="n">
        <f aca="false">(G595*G551+H595*G552+I595*G553)+(G595*G554+H595*G555+I595*G556)</f>
        <v>428.886439800638</v>
      </c>
      <c r="H612" s="40" t="n">
        <f aca="false">H595*H557+(H595*H554+I595*H555+J595*H556)</f>
        <v>811.881935963096</v>
      </c>
      <c r="I612" s="40" t="n">
        <f aca="false">I595*I557+(I595*I554+J595*I555+K595*I556)</f>
        <v>1058.92772607704</v>
      </c>
      <c r="J612" s="40" t="n">
        <f aca="false">J595*J557+(J595*J554+K595*J555+L595*J556)</f>
        <v>955.255453365981</v>
      </c>
      <c r="K612" s="40" t="n">
        <f aca="false">K595*K557+(K595*K554+L595*K555+M595*K556)</f>
        <v>796.088780050813</v>
      </c>
    </row>
    <row r="613" customFormat="false" ht="15" hidden="false" customHeight="false" outlineLevel="0" collapsed="false">
      <c r="A613" s="5" t="s">
        <v>2934</v>
      </c>
      <c r="B613" s="0" t="s">
        <v>2980</v>
      </c>
      <c r="C613" s="0" t="s">
        <v>395</v>
      </c>
      <c r="E613" s="33" t="n">
        <f aca="false">E612+E598</f>
        <v>195.192879875412</v>
      </c>
      <c r="F613" s="33" t="n">
        <f aca="false">F612+F598</f>
        <v>444.10854041044</v>
      </c>
      <c r="G613" s="33" t="n">
        <f aca="false">G612+G598</f>
        <v>612.968717800638</v>
      </c>
      <c r="H613" s="33" t="n">
        <f aca="false">H612+H598</f>
        <v>1024.44831012976</v>
      </c>
      <c r="I613" s="33" t="n">
        <f aca="false">I612+I598</f>
        <v>1305.87801782704</v>
      </c>
      <c r="J613" s="33" t="n">
        <f aca="false">J612+J598</f>
        <v>1232.38618936598</v>
      </c>
      <c r="K613" s="33" t="n">
        <f aca="false">K612+K598</f>
        <v>1095.11517796748</v>
      </c>
    </row>
    <row r="614" customFormat="false" ht="15" hidden="false" customHeight="false" outlineLevel="0" collapsed="false">
      <c r="A614" s="5" t="s">
        <v>2936</v>
      </c>
      <c r="B614" s="0" t="s">
        <v>2981</v>
      </c>
      <c r="C614" s="0" t="s">
        <v>395</v>
      </c>
      <c r="E614" s="40" t="n">
        <f aca="false">E613-E599-E600</f>
        <v>-178.281120124588</v>
      </c>
      <c r="F614" s="40" t="n">
        <f aca="false">F613-F599-F600</f>
        <v>-403.896126256227</v>
      </c>
      <c r="G614" s="40" t="n">
        <f aca="false">G613-G599-G600</f>
        <v>-187.119057282695</v>
      </c>
      <c r="H614" s="40" t="n">
        <f aca="false">H613-H599-H600</f>
        <v>81.8650082130961</v>
      </c>
      <c r="I614" s="40" t="n">
        <f aca="false">I613-I599-I600</f>
        <v>152.591155660374</v>
      </c>
      <c r="J614" s="40" t="n">
        <f aca="false">J613-J599-J600</f>
        <v>-176.344407467353</v>
      </c>
      <c r="K614" s="40" t="n">
        <f aca="false">K613-K599-K600</f>
        <v>-536.59901028252</v>
      </c>
    </row>
    <row r="615" customFormat="false" ht="17.15" hidden="false" customHeight="false" outlineLevel="0" collapsed="false">
      <c r="A615" s="5" t="s">
        <v>2938</v>
      </c>
      <c r="B615" s="0" t="s">
        <v>2982</v>
      </c>
      <c r="C615" s="0" t="s">
        <v>395</v>
      </c>
      <c r="G615" s="33" t="n">
        <f aca="false">SUM($G614:G614)</f>
        <v>-187.119057282695</v>
      </c>
      <c r="H615" s="33" t="n">
        <f aca="false">SUM($G614:H614)</f>
        <v>-105.254049069599</v>
      </c>
      <c r="I615" s="33" t="n">
        <f aca="false">SUM($G614:I614)</f>
        <v>47.3371065907751</v>
      </c>
      <c r="J615" s="33" t="n">
        <f aca="false">SUM($G614:J614)</f>
        <v>-129.007300876577</v>
      </c>
      <c r="K615" s="33" t="n">
        <f aca="false">SUM($G614:K614)</f>
        <v>-665.606311159098</v>
      </c>
    </row>
    <row r="616" customFormat="false" ht="15" hidden="false" customHeight="false" outlineLevel="0" collapsed="false">
      <c r="A616" s="5" t="s">
        <v>2940</v>
      </c>
      <c r="B616" s="0" t="s">
        <v>2983</v>
      </c>
      <c r="C616" s="0" t="s">
        <v>395</v>
      </c>
      <c r="G616" s="40" t="n">
        <f aca="false">G615-G546</f>
        <v>-718.136598282695</v>
      </c>
      <c r="H616" s="40" t="n">
        <f aca="false">H615-G546</f>
        <v>-636.271590069599</v>
      </c>
      <c r="I616" s="40" t="n">
        <f aca="false">I615-G546</f>
        <v>-483.680434409225</v>
      </c>
      <c r="J616" s="40" t="n">
        <f aca="false">J615-G546</f>
        <v>-660.024841876577</v>
      </c>
      <c r="K616" s="40" t="n">
        <f aca="false">K615-G546</f>
        <v>-1196.6238521591</v>
      </c>
    </row>
    <row r="617" customFormat="false" ht="15" hidden="false" customHeight="false" outlineLevel="0" collapsed="false">
      <c r="A617" s="5" t="s">
        <v>2942</v>
      </c>
      <c r="B617" s="0" t="s">
        <v>2984</v>
      </c>
      <c r="C617" s="0" t="s">
        <v>395</v>
      </c>
      <c r="G617" s="33" t="n">
        <f aca="false">G616-G547</f>
        <v>-2037.5465982827</v>
      </c>
      <c r="H617" s="33" t="n">
        <f aca="false">H616-G547</f>
        <v>-1955.6815900696</v>
      </c>
      <c r="I617" s="33" t="n">
        <f aca="false">I616-G547</f>
        <v>-1803.09043440923</v>
      </c>
      <c r="J617" s="33" t="n">
        <f aca="false">J616-G547</f>
        <v>-1979.43484187658</v>
      </c>
      <c r="K617" s="33" t="n">
        <f aca="false">K616-G547</f>
        <v>-2516.0338521591</v>
      </c>
    </row>
    <row r="618" customFormat="false" ht="15" hidden="false" customHeight="false" outlineLevel="0" collapsed="false">
      <c r="A618" s="5" t="s">
        <v>2944</v>
      </c>
      <c r="B618" s="0" t="s">
        <v>2985</v>
      </c>
      <c r="C618" s="0" t="s">
        <v>395</v>
      </c>
      <c r="E618" s="33" t="n">
        <f aca="false">E599-E613</f>
        <v>140.060120124588</v>
      </c>
      <c r="F618" s="33" t="n">
        <f aca="false">F599-F613</f>
        <v>145.32495958956</v>
      </c>
      <c r="G618" s="33" t="n">
        <f aca="false">G599-G613</f>
        <v>187.119057282695</v>
      </c>
      <c r="H618" s="33" t="n">
        <f aca="false">H599-H613</f>
        <v>-81.8650082130961</v>
      </c>
      <c r="I618" s="33" t="n">
        <f aca="false">I599-I613</f>
        <v>-152.591155660374</v>
      </c>
      <c r="J618" s="33" t="n">
        <f aca="false">J599-J613</f>
        <v>176.344407467353</v>
      </c>
      <c r="K618" s="33" t="n">
        <f aca="false">K599-K613</f>
        <v>536.59901028252</v>
      </c>
    </row>
    <row r="619" customFormat="false" ht="15" hidden="false" customHeight="false" outlineLevel="0" collapsed="false">
      <c r="A619" s="5" t="s">
        <v>2404</v>
      </c>
      <c r="B619" s="0" t="s">
        <v>2986</v>
      </c>
      <c r="C619" s="0" t="s">
        <v>57</v>
      </c>
      <c r="E619" s="23" t="n">
        <f aca="false">IF(E613&lt;=0,"",(E613-E599)/E613)</f>
        <v>-0.717547280484748</v>
      </c>
      <c r="F619" s="23" t="n">
        <f aca="false">IF(F613&lt;=0,"",(F613-F599)/F613)</f>
        <v>-0.327228473145896</v>
      </c>
      <c r="G619" s="23" t="n">
        <f aca="false">IF(G613&lt;=0,"",(G613-G599)/G613)</f>
        <v>-0.305266895110223</v>
      </c>
      <c r="H619" s="23" t="n">
        <f aca="false">IF(H613&lt;=0,"",(H613-H599)/H613)</f>
        <v>0.0799113116822132</v>
      </c>
      <c r="I619" s="23" t="n">
        <f aca="false">IF(I613&lt;=0,"",(I613-I599)/I613)</f>
        <v>0.116849471066435</v>
      </c>
      <c r="J619" s="23" t="n">
        <f aca="false">IF(J613&lt;=0,"",(J613-J599)/J613)</f>
        <v>-0.143091840032771</v>
      </c>
      <c r="K619" s="23" t="n">
        <f aca="false">IF(K613&lt;=0,"",(K613-K599)/K613)</f>
        <v>-0.489993218136599</v>
      </c>
    </row>
    <row r="620" customFormat="false" ht="17.15" hidden="false" customHeight="false" outlineLevel="0" collapsed="false">
      <c r="A620" s="5" t="s">
        <v>2958</v>
      </c>
      <c r="B620" s="0" t="s">
        <v>2987</v>
      </c>
      <c r="D620" s="0" t="str">
        <f aca="false">IF(G550&gt;0,"未定（資料不足）",IF(OR(K618&lt;0,OR(AND(N(G619)&gt;0.3,N(H619)&gt;0.3,N(I619)&gt;0.3),AND(N(H619)&gt;0.3,N(I619)&gt;0.3,N(J619)&gt;0.3),AND(N(I619)&gt;0.3,N(J619)&gt;0.3,N(K619)&gt;0.3))),"OpenAI 型",IF(MIN(G618:K618)&gt;=0,"Anthropic 型（2026–2030 皆為正）","Anthropic 型（"&amp;IF(AND(G618&gt;=0,H618&gt;=0,I618&gt;=0,J618&gt;=0,K618&gt;=0),"2026",IF(AND(H618&gt;=0,I618&gt;=0,J618&gt;=0,K618&gt;=0),"2027",IF(AND(I618&gt;=0,J618&gt;=0,K618&gt;=0),"2028",IF(AND(J618&gt;=0,K618&gt;=0),"2029",IF(AND(K618&gt;=0),"2030","—")))))&amp;" 起轉正）")))</f>
        <v>Anthropic 型（2029 起轉正）</v>
      </c>
    </row>
    <row r="621" customFormat="false" ht="17.15" hidden="false" customHeight="false" outlineLevel="0" collapsed="false">
      <c r="A621" s="5" t="s">
        <v>2960</v>
      </c>
      <c r="B621" s="0" t="s">
        <v>2988</v>
      </c>
      <c r="C621" s="0" t="s">
        <v>57</v>
      </c>
      <c r="E621" s="23" t="n">
        <f aca="false">IF(E597&lt;=0,"",(E602-E595*E535)/E597)</f>
        <v>0.816901762584096</v>
      </c>
      <c r="F621" s="23" t="n">
        <f aca="false">IF(F597&lt;=0,"",(F602-F595*F535)/F597)</f>
        <v>0.838812894146966</v>
      </c>
      <c r="G621" s="23" t="n">
        <f aca="false">IF(G597&lt;=0,"",(G602-G595*G535)/G597)</f>
        <v>0.674193445577446</v>
      </c>
      <c r="H621" s="23" t="n">
        <f aca="false">IF(H597&lt;=0,"",(H602-H595*H535)/H597)</f>
        <v>0.72176495031041</v>
      </c>
      <c r="I621" s="23" t="n">
        <f aca="false">IF(I597&lt;=0,"",(I602-I595*I535)/I597)</f>
        <v>0.741137891022164</v>
      </c>
      <c r="J621" s="23" t="n">
        <f aca="false">IF(J597&lt;=0,"",(J602-J595*J535)/J597)</f>
        <v>0.81800553674313</v>
      </c>
      <c r="K621" s="23" t="n">
        <f aca="false">IF(K597&lt;=0,"",(K602-K595*K535)/K597)</f>
        <v>0.938223604308705</v>
      </c>
    </row>
    <row r="623" customFormat="false" ht="17.15" hidden="false" customHeight="false" outlineLevel="0" collapsed="false">
      <c r="A623" s="22" t="s">
        <v>2989</v>
      </c>
    </row>
    <row r="624" customFormat="false" ht="17.15" hidden="false" customHeight="false" outlineLevel="0" collapsed="false">
      <c r="A624" s="5" t="s">
        <v>2917</v>
      </c>
      <c r="B624" s="0" t="s">
        <v>2990</v>
      </c>
      <c r="C624" s="0" t="s">
        <v>82</v>
      </c>
      <c r="D624" s="25" t="n">
        <f aca="false">Deploy!D21</f>
        <v>0</v>
      </c>
      <c r="E624" s="25" t="n">
        <f aca="false">Deploy!E21</f>
        <v>1.61980834349181</v>
      </c>
      <c r="F624" s="25" t="n">
        <f aca="false">Deploy!F21</f>
        <v>9.04912429484716</v>
      </c>
      <c r="G624" s="25" t="n">
        <f aca="false">Deploy!G21</f>
        <v>11.7062917618926</v>
      </c>
      <c r="H624" s="25" t="n">
        <f aca="false">Deploy!H21</f>
        <v>12.5413778925549</v>
      </c>
      <c r="I624" s="25" t="n">
        <f aca="false">Deploy!I21</f>
        <v>24.1617662268376</v>
      </c>
      <c r="J624" s="25" t="n">
        <f aca="false">Deploy!J21</f>
        <v>35.3537546624176</v>
      </c>
      <c r="K624" s="25" t="n">
        <f aca="false">Deploy!K21</f>
        <v>30.0240109242847</v>
      </c>
      <c r="L624" s="25" t="n">
        <f aca="false">Deploy!L21</f>
        <v>25.4320931042112</v>
      </c>
      <c r="M624" s="25" t="n">
        <f aca="false">Deploy!M21</f>
        <v>18.0642366023206</v>
      </c>
    </row>
    <row r="625" customFormat="false" ht="17.15" hidden="false" customHeight="false" outlineLevel="0" collapsed="false">
      <c r="A625" s="5" t="s">
        <v>2919</v>
      </c>
      <c r="B625" s="0" t="s">
        <v>2991</v>
      </c>
      <c r="C625" s="0" t="s">
        <v>41</v>
      </c>
      <c r="D625" s="25" t="n">
        <f aca="false">IF(Deploy!D19&lt;=0,1,Deploy!D21/Deploy!D19)</f>
        <v>1</v>
      </c>
      <c r="E625" s="25" t="n">
        <f aca="false">IF(Deploy!E19&lt;=0,1,Deploy!E21/Deploy!E19)</f>
        <v>1</v>
      </c>
      <c r="F625" s="25" t="n">
        <f aca="false">IF(Deploy!F19&lt;=0,1,Deploy!F21/Deploy!F19)</f>
        <v>1</v>
      </c>
      <c r="G625" s="25" t="n">
        <f aca="false">IF(Deploy!G19&lt;=0,1,Deploy!G21/Deploy!G19)</f>
        <v>0.935353121424805</v>
      </c>
      <c r="H625" s="25" t="n">
        <f aca="false">IF(Deploy!H19&lt;=0,1,Deploy!H21/Deploy!H19)</f>
        <v>0.523380560579387</v>
      </c>
      <c r="I625" s="25" t="n">
        <f aca="false">IF(Deploy!I19&lt;=0,1,Deploy!I21/Deploy!I19)</f>
        <v>0.897429835455384</v>
      </c>
      <c r="J625" s="25" t="n">
        <f aca="false">IF(Deploy!J19&lt;=0,1,Deploy!J21/Deploy!J19)</f>
        <v>1.27799430383612</v>
      </c>
      <c r="K625" s="25" t="n">
        <f aca="false">IF(Deploy!K19&lt;=0,1,Deploy!K21/Deploy!K19)</f>
        <v>1.06955017764561</v>
      </c>
      <c r="L625" s="25" t="n">
        <f aca="false">IF(Deploy!L19&lt;=0,1,Deploy!L21/Deploy!L19)</f>
        <v>1.03196343153518</v>
      </c>
      <c r="M625" s="25" t="n">
        <f aca="false">IF(Deploy!M19&lt;=0,1,Deploy!M21/Deploy!M19)</f>
        <v>1.0681469136735</v>
      </c>
    </row>
    <row r="626" customFormat="false" ht="17.15" hidden="false" customHeight="false" outlineLevel="0" collapsed="false">
      <c r="A626" s="5" t="s">
        <v>2921</v>
      </c>
      <c r="B626" s="0" t="s">
        <v>2992</v>
      </c>
      <c r="C626" s="0" t="s">
        <v>40</v>
      </c>
      <c r="E626" s="0" t="str">
        <f aca="false">IF(Deploy!E19&lt;=0,"r＝1（A／D0 年新增 ≤ 0）","")</f>
        <v/>
      </c>
      <c r="F626" s="0" t="str">
        <f aca="false">IF(Deploy!F19&lt;=0,"r＝1（A／D0 年新增 ≤ 0）","")</f>
        <v/>
      </c>
      <c r="G626" s="0" t="str">
        <f aca="false">IF(Deploy!G19&lt;=0,"r＝1（A／D0 年新增 ≤ 0）","")</f>
        <v/>
      </c>
      <c r="H626" s="0" t="str">
        <f aca="false">IF(Deploy!H19&lt;=0,"r＝1（A／D0 年新增 ≤ 0）","")</f>
        <v/>
      </c>
      <c r="I626" s="0" t="str">
        <f aca="false">IF(Deploy!I19&lt;=0,"r＝1（A／D0 年新增 ≤ 0）","")</f>
        <v/>
      </c>
      <c r="J626" s="0" t="str">
        <f aca="false">IF(Deploy!J19&lt;=0,"r＝1（A／D0 年新增 ≤ 0）","")</f>
        <v/>
      </c>
      <c r="K626" s="0" t="str">
        <f aca="false">IF(Deploy!K19&lt;=0,"r＝1（A／D0 年新增 ≤ 0）","")</f>
        <v/>
      </c>
    </row>
    <row r="627" customFormat="false" ht="17.15" hidden="false" customHeight="false" outlineLevel="0" collapsed="false">
      <c r="A627" s="5" t="s">
        <v>2923</v>
      </c>
      <c r="B627" s="0" t="s">
        <v>2993</v>
      </c>
      <c r="C627" s="0" t="s">
        <v>395</v>
      </c>
      <c r="E627" s="33" t="n">
        <f aca="false">E624*(E8+Gap!$D$6*E9)+Gap!$E$6*F624*F9+Gap!$F$6*G624*G9</f>
        <v>164.812822106687</v>
      </c>
      <c r="F627" s="33" t="n">
        <f aca="false">F624*(F8+Gap!$D$6*F9)+Gap!$E$6*G624*G9+Gap!$F$6*H624*H9</f>
        <v>374.197532893146</v>
      </c>
      <c r="G627" s="33" t="n">
        <f aca="false">G624*(G8+Gap!$D$6*G9)+Gap!$E$6*H624*H9+Gap!$F$6*I624*I9</f>
        <v>579.936490152924</v>
      </c>
      <c r="H627" s="33" t="n">
        <f aca="false">H624*(H8+Gap!$D$6*H9)+Gap!$E$6*I624*I9+Gap!$F$6*J624*J9</f>
        <v>779.070615779378</v>
      </c>
      <c r="I627" s="33" t="n">
        <f aca="false">I624*(I8+Gap!$D$6*I9)+Gap!$E$6*J624*J9+Gap!$F$6*K624*K9</f>
        <v>1270.42779277189</v>
      </c>
      <c r="J627" s="33" t="n">
        <f aca="false">J624*(J8+Gap!$D$6*J9)+Gap!$E$6*K624*K9+Gap!$F$6*L624*L9</f>
        <v>1625.61526304135</v>
      </c>
      <c r="K627" s="33" t="n">
        <f aca="false">K624*(K8+Gap!$D$6*K9)+Gap!$E$6*L624*L9+Gap!$F$6*M624*M9</f>
        <v>1359.79148263067</v>
      </c>
    </row>
    <row r="628" customFormat="false" ht="17.15" hidden="false" customHeight="false" outlineLevel="0" collapsed="false">
      <c r="A628" s="5" t="s">
        <v>2925</v>
      </c>
      <c r="B628" s="0" t="s">
        <v>2994</v>
      </c>
      <c r="C628" s="0" t="s">
        <v>395</v>
      </c>
      <c r="E628" s="33" t="n">
        <f aca="false">E539</f>
        <v>60.556995</v>
      </c>
      <c r="F628" s="33" t="n">
        <f aca="false">F539</f>
        <v>92.812193</v>
      </c>
      <c r="G628" s="33" t="n">
        <f aca="false">G539</f>
        <v>184.082278</v>
      </c>
      <c r="H628" s="33" t="n">
        <f aca="false">H539</f>
        <v>212.566374166667</v>
      </c>
      <c r="I628" s="33" t="n">
        <f aca="false">I539</f>
        <v>246.95029175</v>
      </c>
      <c r="J628" s="33" t="n">
        <f aca="false">J539</f>
        <v>277.130736</v>
      </c>
      <c r="K628" s="33" t="n">
        <f aca="false">K539</f>
        <v>299.026397916667</v>
      </c>
    </row>
    <row r="629" customFormat="false" ht="17.15" hidden="false" customHeight="false" outlineLevel="0" collapsed="false">
      <c r="A629" s="5" t="s">
        <v>2927</v>
      </c>
      <c r="B629" s="0" t="s">
        <v>2995</v>
      </c>
      <c r="C629" s="0" t="s">
        <v>395</v>
      </c>
      <c r="E629" s="33" t="n">
        <f aca="false">E542</f>
        <v>335.253</v>
      </c>
      <c r="F629" s="33" t="n">
        <f aca="false">F542</f>
        <v>589.4335</v>
      </c>
      <c r="G629" s="33" t="n">
        <f aca="false">G542</f>
        <v>800.087775083333</v>
      </c>
      <c r="H629" s="33" t="n">
        <f aca="false">H542</f>
        <v>942.583301916667</v>
      </c>
      <c r="I629" s="33" t="n">
        <f aca="false">I542</f>
        <v>1153.28686216667</v>
      </c>
      <c r="J629" s="33" t="n">
        <f aca="false">J542</f>
        <v>1408.73059683333</v>
      </c>
      <c r="K629" s="33" t="n">
        <f aca="false">K542</f>
        <v>1631.71418825</v>
      </c>
    </row>
    <row r="630" customFormat="false" ht="17.15" hidden="false" customHeight="false" outlineLevel="0" collapsed="false">
      <c r="A630" s="5" t="s">
        <v>2929</v>
      </c>
      <c r="B630" s="0" t="s">
        <v>2996</v>
      </c>
      <c r="C630" s="0" t="s">
        <v>395</v>
      </c>
      <c r="E630" s="33" t="n">
        <f aca="false">E544</f>
        <v>38.221</v>
      </c>
      <c r="F630" s="33" t="n">
        <f aca="false">F544</f>
        <v>258.571166666667</v>
      </c>
      <c r="G630" s="33" t="n">
        <f aca="false">0</f>
        <v>0</v>
      </c>
      <c r="H630" s="33" t="n">
        <f aca="false">0</f>
        <v>0</v>
      </c>
      <c r="I630" s="33" t="n">
        <f aca="false">0</f>
        <v>0</v>
      </c>
      <c r="J630" s="33" t="n">
        <f aca="false">0</f>
        <v>0</v>
      </c>
      <c r="K630" s="33" t="n">
        <f aca="false">0</f>
        <v>0</v>
      </c>
    </row>
    <row r="631" customFormat="false" ht="17.15" hidden="false" customHeight="false" outlineLevel="0" collapsed="false">
      <c r="A631" s="22" t="s">
        <v>2931</v>
      </c>
    </row>
    <row r="632" customFormat="false" ht="17.15" hidden="false" customHeight="false" outlineLevel="0" collapsed="false">
      <c r="A632" s="5" t="s">
        <v>2932</v>
      </c>
      <c r="B632" s="0" t="s">
        <v>2997</v>
      </c>
      <c r="C632" s="0" t="s">
        <v>395</v>
      </c>
      <c r="E632" s="40" t="n">
        <f aca="false">(E625*E551+F625*E552+G625*E553)+(E625*E554+F625*E555+G625*E556)</f>
        <v>134.635884875412</v>
      </c>
      <c r="F632" s="40" t="n">
        <f aca="false">(F625*F551+G625*F552+H625*F553)+(F625*F554+G625*F555+H625*F556)</f>
        <v>319.736957219803</v>
      </c>
      <c r="G632" s="40" t="n">
        <f aca="false">(G625*G551+H625*G552+I625*G553)+(G625*G554+H625*G555+I625*G556)</f>
        <v>388.884210123504</v>
      </c>
      <c r="H632" s="40" t="n">
        <f aca="false">(H625*H551+I625*H552+J625*H553)+(H625*H554+I625*H555+J625*H556)</f>
        <v>569.760504279079</v>
      </c>
      <c r="I632" s="40" t="n">
        <f aca="false">(I625*I551+J625*I552+K625*I553)+(I625*I554+J625*I555+K625*I556)</f>
        <v>1076.52340103499</v>
      </c>
      <c r="J632" s="40" t="n">
        <f aca="false">(J625*J551+K625*J552+L625*J553)+(J625*J554+K625*J555+L625*J556)</f>
        <v>1460.31173238393</v>
      </c>
      <c r="K632" s="40" t="n">
        <f aca="false">(K625*K551+L625*K552+M625*K553)+(K625*K554+L625*K555+M625*K556)</f>
        <v>1364.83733110316</v>
      </c>
    </row>
    <row r="633" customFormat="false" ht="15" hidden="false" customHeight="false" outlineLevel="0" collapsed="false">
      <c r="A633" s="5" t="s">
        <v>2934</v>
      </c>
      <c r="B633" s="0" t="s">
        <v>2998</v>
      </c>
      <c r="C633" s="0" t="s">
        <v>395</v>
      </c>
      <c r="E633" s="33" t="n">
        <f aca="false">E632+E628</f>
        <v>195.192879875412</v>
      </c>
      <c r="F633" s="33" t="n">
        <f aca="false">F632+F628</f>
        <v>412.549150219803</v>
      </c>
      <c r="G633" s="33" t="n">
        <f aca="false">G632+G628</f>
        <v>572.966488123504</v>
      </c>
      <c r="H633" s="33" t="n">
        <f aca="false">H632+H628</f>
        <v>782.326878445746</v>
      </c>
      <c r="I633" s="33" t="n">
        <f aca="false">I632+I628</f>
        <v>1323.47369278499</v>
      </c>
      <c r="J633" s="33" t="n">
        <f aca="false">J632+J628</f>
        <v>1737.44246838393</v>
      </c>
      <c r="K633" s="33" t="n">
        <f aca="false">K632+K628</f>
        <v>1663.86372901982</v>
      </c>
    </row>
    <row r="634" customFormat="false" ht="15" hidden="false" customHeight="false" outlineLevel="0" collapsed="false">
      <c r="A634" s="5" t="s">
        <v>2936</v>
      </c>
      <c r="B634" s="0" t="s">
        <v>2999</v>
      </c>
      <c r="C634" s="0" t="s">
        <v>395</v>
      </c>
      <c r="E634" s="40" t="n">
        <f aca="false">E633-E629-E630</f>
        <v>-178.281120124588</v>
      </c>
      <c r="F634" s="40" t="n">
        <f aca="false">F633-F629-F630</f>
        <v>-435.455516446863</v>
      </c>
      <c r="G634" s="40" t="n">
        <f aca="false">G633-G629-G630</f>
        <v>-227.121286959829</v>
      </c>
      <c r="H634" s="40" t="n">
        <f aca="false">H633-H629-H630</f>
        <v>-160.256423470921</v>
      </c>
      <c r="I634" s="40" t="n">
        <f aca="false">I633-I629-I630</f>
        <v>170.186830618323</v>
      </c>
      <c r="J634" s="40" t="n">
        <f aca="false">J633-J629-J630</f>
        <v>328.711871550598</v>
      </c>
      <c r="K634" s="40" t="n">
        <f aca="false">K633-K629-K630</f>
        <v>32.149540769823</v>
      </c>
    </row>
    <row r="635" customFormat="false" ht="17.15" hidden="false" customHeight="false" outlineLevel="0" collapsed="false">
      <c r="A635" s="5" t="s">
        <v>2938</v>
      </c>
      <c r="B635" s="0" t="s">
        <v>3000</v>
      </c>
      <c r="C635" s="0" t="s">
        <v>395</v>
      </c>
      <c r="G635" s="33" t="n">
        <f aca="false">SUM($G634:G634)</f>
        <v>-227.121286959829</v>
      </c>
      <c r="H635" s="33" t="n">
        <f aca="false">SUM($G634:H634)</f>
        <v>-387.37771043075</v>
      </c>
      <c r="I635" s="33" t="n">
        <f aca="false">SUM($G634:I634)</f>
        <v>-217.190879812427</v>
      </c>
      <c r="J635" s="33" t="n">
        <f aca="false">SUM($G634:J634)</f>
        <v>111.520991738171</v>
      </c>
      <c r="K635" s="33" t="n">
        <f aca="false">SUM($G634:K634)</f>
        <v>143.670532507994</v>
      </c>
    </row>
    <row r="636" customFormat="false" ht="15" hidden="false" customHeight="false" outlineLevel="0" collapsed="false">
      <c r="A636" s="5" t="s">
        <v>2940</v>
      </c>
      <c r="B636" s="0" t="s">
        <v>3001</v>
      </c>
      <c r="C636" s="0" t="s">
        <v>395</v>
      </c>
      <c r="G636" s="40" t="n">
        <f aca="false">G635-G546</f>
        <v>-758.138827959829</v>
      </c>
      <c r="H636" s="40" t="n">
        <f aca="false">H635-G546</f>
        <v>-918.39525143075</v>
      </c>
      <c r="I636" s="40" t="n">
        <f aca="false">I635-G546</f>
        <v>-748.208420812427</v>
      </c>
      <c r="J636" s="40" t="n">
        <f aca="false">J635-G546</f>
        <v>-419.496549261829</v>
      </c>
      <c r="K636" s="40" t="n">
        <f aca="false">K635-G546</f>
        <v>-387.347008492006</v>
      </c>
    </row>
    <row r="637" customFormat="false" ht="15" hidden="false" customHeight="false" outlineLevel="0" collapsed="false">
      <c r="A637" s="5" t="s">
        <v>2942</v>
      </c>
      <c r="B637" s="0" t="s">
        <v>3002</v>
      </c>
      <c r="C637" s="0" t="s">
        <v>395</v>
      </c>
      <c r="G637" s="33" t="n">
        <f aca="false">G636-G547</f>
        <v>-2077.54882795983</v>
      </c>
      <c r="H637" s="33" t="n">
        <f aca="false">H636-G547</f>
        <v>-2237.80525143075</v>
      </c>
      <c r="I637" s="33" t="n">
        <f aca="false">I636-G547</f>
        <v>-2067.61842081243</v>
      </c>
      <c r="J637" s="33" t="n">
        <f aca="false">J636-G547</f>
        <v>-1738.90654926183</v>
      </c>
      <c r="K637" s="33" t="n">
        <f aca="false">K636-G547</f>
        <v>-1706.75700849201</v>
      </c>
    </row>
    <row r="638" customFormat="false" ht="15" hidden="false" customHeight="false" outlineLevel="0" collapsed="false">
      <c r="A638" s="5" t="s">
        <v>2944</v>
      </c>
      <c r="B638" s="0" t="s">
        <v>3003</v>
      </c>
      <c r="C638" s="0" t="s">
        <v>395</v>
      </c>
      <c r="E638" s="33" t="n">
        <f aca="false">E629-E633</f>
        <v>140.060120124588</v>
      </c>
      <c r="F638" s="33" t="n">
        <f aca="false">F629-F633</f>
        <v>176.884349780197</v>
      </c>
      <c r="G638" s="33" t="n">
        <f aca="false">G629-G633</f>
        <v>227.121286959829</v>
      </c>
      <c r="H638" s="33" t="n">
        <f aca="false">H629-H633</f>
        <v>160.256423470921</v>
      </c>
      <c r="I638" s="33" t="n">
        <f aca="false">I629-I633</f>
        <v>-170.186830618323</v>
      </c>
      <c r="J638" s="33" t="n">
        <f aca="false">J629-J633</f>
        <v>-328.711871550598</v>
      </c>
      <c r="K638" s="33" t="n">
        <f aca="false">K629-K633</f>
        <v>-32.149540769823</v>
      </c>
    </row>
    <row r="639" customFormat="false" ht="15" hidden="false" customHeight="false" outlineLevel="0" collapsed="false">
      <c r="A639" s="5" t="s">
        <v>2404</v>
      </c>
      <c r="B639" s="0" t="s">
        <v>3004</v>
      </c>
      <c r="C639" s="0" t="s">
        <v>57</v>
      </c>
      <c r="E639" s="23" t="n">
        <f aca="false">IF(E633&lt;=0,"",(E633-E629)/E633)</f>
        <v>-0.717547280484748</v>
      </c>
      <c r="F639" s="23" t="n">
        <f aca="false">IF(F633&lt;=0,"",(F633-F629)/F633)</f>
        <v>-0.428759457354242</v>
      </c>
      <c r="G639" s="23" t="n">
        <f aca="false">IF(G633&lt;=0,"",(G633-G629)/G633)</f>
        <v>-0.39639541171712</v>
      </c>
      <c r="H639" s="23" t="n">
        <f aca="false">IF(H633&lt;=0,"",(H633-H629)/H633)</f>
        <v>-0.20484586160366</v>
      </c>
      <c r="I639" s="23" t="n">
        <f aca="false">IF(I633&lt;=0,"",(I633-I629)/I633)</f>
        <v>0.128591018881681</v>
      </c>
      <c r="J639" s="23" t="n">
        <f aca="false">IF(J633&lt;=0,"",(J633-J629)/J633)</f>
        <v>0.189192953166586</v>
      </c>
      <c r="K639" s="23" t="n">
        <f aca="false">IF(K633&lt;=0,"",(K633-K629)/K633)</f>
        <v>0.0193222198483539</v>
      </c>
    </row>
    <row r="640" customFormat="false" ht="17.15" hidden="false" customHeight="false" outlineLevel="0" collapsed="false">
      <c r="A640" s="5" t="s">
        <v>2947</v>
      </c>
      <c r="B640" s="0" t="s">
        <v>3005</v>
      </c>
      <c r="D640" s="0" t="str">
        <f aca="false">IF(G550&gt;0,"未定（資料不足）",IF(OR(K638&lt;0,OR(AND(N(G639)&gt;0.3,N(H639)&gt;0.3,N(I639)&gt;0.3),AND(N(H639)&gt;0.3,N(I639)&gt;0.3,N(J639)&gt;0.3),AND(N(I639)&gt;0.3,N(J639)&gt;0.3,N(K639)&gt;0.3))),"OpenAI 型",IF(MIN(G638:K638)&gt;=0,"Anthropic 型（2026–2030 皆為正）","Anthropic 型（"&amp;IF(AND(G638&gt;=0,H638&gt;=0,I638&gt;=0,J638&gt;=0,K638&gt;=0),"2026",IF(AND(H638&gt;=0,I638&gt;=0,J638&gt;=0,K638&gt;=0),"2027",IF(AND(I638&gt;=0,J638&gt;=0,K638&gt;=0),"2028",IF(AND(J638&gt;=0,K638&gt;=0),"2029",IF(AND(K638&gt;=0),"2030","—")))))&amp;" 起轉正）")))</f>
        <v>OpenAI 型</v>
      </c>
    </row>
    <row r="641" customFormat="false" ht="17.15" hidden="false" customHeight="false" outlineLevel="0" collapsed="false">
      <c r="A641" s="22" t="s">
        <v>2949</v>
      </c>
    </row>
    <row r="642" customFormat="false" ht="17.15" hidden="false" customHeight="false" outlineLevel="0" collapsed="false">
      <c r="A642" s="5" t="s">
        <v>2932</v>
      </c>
      <c r="B642" s="0" t="s">
        <v>3006</v>
      </c>
      <c r="C642" s="0" t="s">
        <v>395</v>
      </c>
      <c r="E642" s="40" t="n">
        <f aca="false">(E625*E551+F625*E552+G625*E553)+(E625*E554+F625*E555+G625*E556)</f>
        <v>134.635884875412</v>
      </c>
      <c r="F642" s="40" t="n">
        <f aca="false">(F625*F551+G625*F552+H625*F553)+(F625*F554+G625*F555+H625*F556)</f>
        <v>319.736957219803</v>
      </c>
      <c r="G642" s="40" t="n">
        <f aca="false">(G625*G551+H625*G552+I625*G553)+(G625*G554+H625*G555+I625*G556)</f>
        <v>388.884210123504</v>
      </c>
      <c r="H642" s="40" t="n">
        <f aca="false">H625*H557+(H625*H554+I625*H555+J625*H556)</f>
        <v>502.084011668177</v>
      </c>
      <c r="I642" s="40" t="n">
        <f aca="false">I625*I557+(I625*I554+J625*I555+K625*I556)</f>
        <v>977.56100279457</v>
      </c>
      <c r="J642" s="40" t="n">
        <f aca="false">J625*J557+(J625*J554+K625*J555+L625*J556)</f>
        <v>1220.09971646079</v>
      </c>
      <c r="K642" s="40" t="n">
        <f aca="false">K625*K557+(K625*K554+L625*K555+M625*K556)</f>
        <v>855.2003475399</v>
      </c>
    </row>
    <row r="643" customFormat="false" ht="15" hidden="false" customHeight="false" outlineLevel="0" collapsed="false">
      <c r="A643" s="5" t="s">
        <v>2934</v>
      </c>
      <c r="B643" s="0" t="s">
        <v>3007</v>
      </c>
      <c r="C643" s="0" t="s">
        <v>395</v>
      </c>
      <c r="E643" s="33" t="n">
        <f aca="false">E642+E628</f>
        <v>195.192879875412</v>
      </c>
      <c r="F643" s="33" t="n">
        <f aca="false">F642+F628</f>
        <v>412.549150219803</v>
      </c>
      <c r="G643" s="33" t="n">
        <f aca="false">G642+G628</f>
        <v>572.966488123504</v>
      </c>
      <c r="H643" s="33" t="n">
        <f aca="false">H642+H628</f>
        <v>714.650385834844</v>
      </c>
      <c r="I643" s="33" t="n">
        <f aca="false">I642+I628</f>
        <v>1224.51129454457</v>
      </c>
      <c r="J643" s="33" t="n">
        <f aca="false">J642+J628</f>
        <v>1497.23045246079</v>
      </c>
      <c r="K643" s="33" t="n">
        <f aca="false">K642+K628</f>
        <v>1154.22674545657</v>
      </c>
    </row>
    <row r="644" customFormat="false" ht="15" hidden="false" customHeight="false" outlineLevel="0" collapsed="false">
      <c r="A644" s="5" t="s">
        <v>2936</v>
      </c>
      <c r="B644" s="0" t="s">
        <v>3008</v>
      </c>
      <c r="C644" s="0" t="s">
        <v>395</v>
      </c>
      <c r="E644" s="40" t="n">
        <f aca="false">E643-E629-E630</f>
        <v>-178.281120124588</v>
      </c>
      <c r="F644" s="40" t="n">
        <f aca="false">F643-F629-F630</f>
        <v>-435.455516446863</v>
      </c>
      <c r="G644" s="40" t="n">
        <f aca="false">G643-G629-G630</f>
        <v>-227.121286959829</v>
      </c>
      <c r="H644" s="40" t="n">
        <f aca="false">H643-H629-H630</f>
        <v>-227.932916081823</v>
      </c>
      <c r="I644" s="40" t="n">
        <f aca="false">I643-I629-I630</f>
        <v>71.2244323779032</v>
      </c>
      <c r="J644" s="40" t="n">
        <f aca="false">J643-J629-J630</f>
        <v>88.4998556274545</v>
      </c>
      <c r="K644" s="40" t="n">
        <f aca="false">K643-K629-K630</f>
        <v>-477.487442793434</v>
      </c>
    </row>
    <row r="645" customFormat="false" ht="17.15" hidden="false" customHeight="false" outlineLevel="0" collapsed="false">
      <c r="A645" s="5" t="s">
        <v>2938</v>
      </c>
      <c r="B645" s="0" t="s">
        <v>3009</v>
      </c>
      <c r="C645" s="0" t="s">
        <v>395</v>
      </c>
      <c r="G645" s="33" t="n">
        <f aca="false">SUM($G644:G644)</f>
        <v>-227.121286959829</v>
      </c>
      <c r="H645" s="33" t="n">
        <f aca="false">SUM($G644:H644)</f>
        <v>-455.054203041652</v>
      </c>
      <c r="I645" s="33" t="n">
        <f aca="false">SUM($G644:I644)</f>
        <v>-383.829770663748</v>
      </c>
      <c r="J645" s="33" t="n">
        <f aca="false">SUM($G644:J644)</f>
        <v>-295.329915036294</v>
      </c>
      <c r="K645" s="33" t="n">
        <f aca="false">SUM($G644:K644)</f>
        <v>-772.817357829727</v>
      </c>
    </row>
    <row r="646" customFormat="false" ht="15" hidden="false" customHeight="false" outlineLevel="0" collapsed="false">
      <c r="A646" s="5" t="s">
        <v>2940</v>
      </c>
      <c r="B646" s="0" t="s">
        <v>3010</v>
      </c>
      <c r="C646" s="0" t="s">
        <v>395</v>
      </c>
      <c r="G646" s="40" t="n">
        <f aca="false">G645-G546</f>
        <v>-758.138827959829</v>
      </c>
      <c r="H646" s="40" t="n">
        <f aca="false">H645-G546</f>
        <v>-986.071744041652</v>
      </c>
      <c r="I646" s="40" t="n">
        <f aca="false">I645-G546</f>
        <v>-914.847311663748</v>
      </c>
      <c r="J646" s="40" t="n">
        <f aca="false">J645-G546</f>
        <v>-826.347456036294</v>
      </c>
      <c r="K646" s="40" t="n">
        <f aca="false">K645-G546</f>
        <v>-1303.83489882973</v>
      </c>
    </row>
    <row r="647" customFormat="false" ht="15" hidden="false" customHeight="false" outlineLevel="0" collapsed="false">
      <c r="A647" s="5" t="s">
        <v>2942</v>
      </c>
      <c r="B647" s="0" t="s">
        <v>3011</v>
      </c>
      <c r="C647" s="0" t="s">
        <v>395</v>
      </c>
      <c r="G647" s="33" t="n">
        <f aca="false">G646-G547</f>
        <v>-2077.54882795983</v>
      </c>
      <c r="H647" s="33" t="n">
        <f aca="false">H646-G547</f>
        <v>-2305.48174404165</v>
      </c>
      <c r="I647" s="33" t="n">
        <f aca="false">I646-G547</f>
        <v>-2234.25731166375</v>
      </c>
      <c r="J647" s="33" t="n">
        <f aca="false">J646-G547</f>
        <v>-2145.75745603629</v>
      </c>
      <c r="K647" s="33" t="n">
        <f aca="false">K646-G547</f>
        <v>-2623.24489882973</v>
      </c>
    </row>
    <row r="648" customFormat="false" ht="15" hidden="false" customHeight="false" outlineLevel="0" collapsed="false">
      <c r="A648" s="5" t="s">
        <v>2944</v>
      </c>
      <c r="B648" s="0" t="s">
        <v>3012</v>
      </c>
      <c r="C648" s="0" t="s">
        <v>395</v>
      </c>
      <c r="E648" s="33" t="n">
        <f aca="false">E629-E643</f>
        <v>140.060120124588</v>
      </c>
      <c r="F648" s="33" t="n">
        <f aca="false">F629-F643</f>
        <v>176.884349780197</v>
      </c>
      <c r="G648" s="33" t="n">
        <f aca="false">G629-G643</f>
        <v>227.121286959829</v>
      </c>
      <c r="H648" s="33" t="n">
        <f aca="false">H629-H643</f>
        <v>227.932916081823</v>
      </c>
      <c r="I648" s="33" t="n">
        <f aca="false">I629-I643</f>
        <v>-71.2244323779032</v>
      </c>
      <c r="J648" s="33" t="n">
        <f aca="false">J629-J643</f>
        <v>-88.4998556274545</v>
      </c>
      <c r="K648" s="33" t="n">
        <f aca="false">K629-K643</f>
        <v>477.487442793434</v>
      </c>
    </row>
    <row r="649" customFormat="false" ht="15" hidden="false" customHeight="false" outlineLevel="0" collapsed="false">
      <c r="A649" s="5" t="s">
        <v>2404</v>
      </c>
      <c r="B649" s="0" t="s">
        <v>3013</v>
      </c>
      <c r="C649" s="0" t="s">
        <v>57</v>
      </c>
      <c r="E649" s="23" t="n">
        <f aca="false">IF(E643&lt;=0,"",(E643-E629)/E643)</f>
        <v>-0.717547280484748</v>
      </c>
      <c r="F649" s="23" t="n">
        <f aca="false">IF(F643&lt;=0,"",(F643-F629)/F643)</f>
        <v>-0.428759457354242</v>
      </c>
      <c r="G649" s="23" t="n">
        <f aca="false">IF(G643&lt;=0,"",(G643-G629)/G643)</f>
        <v>-0.39639541171712</v>
      </c>
      <c r="H649" s="23" t="n">
        <f aca="false">IF(H643&lt;=0,"",(H643-H629)/H643)</f>
        <v>-0.318943249174287</v>
      </c>
      <c r="I649" s="23" t="n">
        <f aca="false">IF(I643&lt;=0,"",(I643-I629)/I643)</f>
        <v>0.0581655985495778</v>
      </c>
      <c r="J649" s="23" t="n">
        <f aca="false">IF(J643&lt;=0,"",(J643-J629)/J643)</f>
        <v>0.0591090406169603</v>
      </c>
      <c r="K649" s="23" t="n">
        <f aca="false">IF(K643&lt;=0,"",(K643-K629)/K643)</f>
        <v>-0.413685997723574</v>
      </c>
    </row>
    <row r="650" customFormat="false" ht="17.15" hidden="false" customHeight="false" outlineLevel="0" collapsed="false">
      <c r="A650" s="5" t="s">
        <v>2958</v>
      </c>
      <c r="B650" s="0" t="s">
        <v>3014</v>
      </c>
      <c r="D650" s="0" t="str">
        <f aca="false">IF(G550&gt;0,"未定（資料不足）",IF(OR(K648&lt;0,OR(AND(N(G649)&gt;0.3,N(H649)&gt;0.3,N(I649)&gt;0.3),AND(N(H649)&gt;0.3,N(I649)&gt;0.3,N(J649)&gt;0.3),AND(N(I649)&gt;0.3,N(J649)&gt;0.3,N(K649)&gt;0.3))),"OpenAI 型",IF(MIN(G648:K648)&gt;=0,"Anthropic 型（2026–2030 皆為正）","Anthropic 型（"&amp;IF(AND(G648&gt;=0,H648&gt;=0,I648&gt;=0,J648&gt;=0,K648&gt;=0),"2026",IF(AND(H648&gt;=0,I648&gt;=0,J648&gt;=0,K648&gt;=0),"2027",IF(AND(I648&gt;=0,J648&gt;=0,K648&gt;=0),"2028",IF(AND(J648&gt;=0,K648&gt;=0),"2029",IF(AND(K648&gt;=0),"2030","—")))))&amp;" 起轉正）")))</f>
        <v>Anthropic 型（2030 起轉正）</v>
      </c>
    </row>
    <row r="651" customFormat="false" ht="17.15" hidden="false" customHeight="false" outlineLevel="0" collapsed="false">
      <c r="A651" s="5" t="s">
        <v>2960</v>
      </c>
      <c r="B651" s="0" t="s">
        <v>3015</v>
      </c>
      <c r="C651" s="0" t="s">
        <v>57</v>
      </c>
      <c r="E651" s="23" t="n">
        <f aca="false">IF(E627&lt;=0,"",(E632-E625*E535)/E627)</f>
        <v>0.816901762584096</v>
      </c>
      <c r="F651" s="23" t="n">
        <f aca="false">IF(F627&lt;=0,"",(F632-F625*F535)/F627)</f>
        <v>0.854460356132562</v>
      </c>
      <c r="G651" s="23" t="n">
        <f aca="false">IF(G627&lt;=0,"",(G632-G625*G535)/G627)</f>
        <v>0.67056344397463</v>
      </c>
      <c r="H651" s="23" t="n">
        <f aca="false">IF(H627&lt;=0,"",(H632-H625*H535)/H627)</f>
        <v>0.73133358226981</v>
      </c>
      <c r="I651" s="23" t="n">
        <f aca="false">IF(I627&lt;=0,"",(I632-I625*I535)/I627)</f>
        <v>0.745526960117536</v>
      </c>
      <c r="J651" s="23" t="n">
        <f aca="false">IF(J627&lt;=0,"",(J632-J625*J535)/J627)</f>
        <v>0.810869492176076</v>
      </c>
      <c r="K651" s="23" t="n">
        <f aca="false">IF(K627&lt;=0,"",(K632-K625*K535)/K627)</f>
        <v>0.932706223655326</v>
      </c>
    </row>
    <row r="653" customFormat="false" ht="17.15" hidden="false" customHeight="false" outlineLevel="0" collapsed="false">
      <c r="A653" s="22" t="s">
        <v>3016</v>
      </c>
    </row>
    <row r="654" customFormat="false" ht="17.15" hidden="false" customHeight="false" outlineLevel="0" collapsed="false">
      <c r="A654" s="5" t="s">
        <v>2917</v>
      </c>
      <c r="B654" s="0" t="s">
        <v>3017</v>
      </c>
      <c r="C654" s="0" t="s">
        <v>82</v>
      </c>
      <c r="D654" s="25" t="n">
        <f aca="false">Deploy!D35</f>
        <v>0</v>
      </c>
      <c r="E654" s="25" t="n">
        <f aca="false">Deploy!E35</f>
        <v>1.61980834349181</v>
      </c>
      <c r="F654" s="25" t="n">
        <f aca="false">Deploy!F35</f>
        <v>9.04912429484716</v>
      </c>
      <c r="G654" s="25" t="n">
        <f aca="false">Deploy!G35</f>
        <v>12.5153714610592</v>
      </c>
      <c r="H654" s="25" t="n">
        <f aca="false">Deploy!H35</f>
        <v>23.9622539260371</v>
      </c>
      <c r="I654" s="25" t="n">
        <f aca="false">Deploy!I35</f>
        <v>21.5386342394798</v>
      </c>
      <c r="J654" s="25" t="n">
        <f aca="false">Deploy!J35</f>
        <v>23.5139478891671</v>
      </c>
      <c r="K654" s="25" t="n">
        <f aca="false">Deploy!K35</f>
        <v>23.6603912321806</v>
      </c>
      <c r="L654" s="25" t="n">
        <f aca="false">Deploy!L35</f>
        <v>20.9757835743525</v>
      </c>
      <c r="M654" s="25" t="n">
        <f aca="false">Deploy!M35</f>
        <v>15.150352565561</v>
      </c>
    </row>
    <row r="655" customFormat="false" ht="17.15" hidden="false" customHeight="false" outlineLevel="0" collapsed="false">
      <c r="A655" s="5" t="s">
        <v>2919</v>
      </c>
      <c r="B655" s="0" t="s">
        <v>3018</v>
      </c>
      <c r="C655" s="0" t="s">
        <v>41</v>
      </c>
      <c r="D655" s="25" t="n">
        <f aca="false">IF(Deploy!D19&lt;=0,1,Deploy!D35/Deploy!D19)</f>
        <v>1</v>
      </c>
      <c r="E655" s="25" t="n">
        <f aca="false">IF(Deploy!E19&lt;=0,1,Deploy!E35/Deploy!E19)</f>
        <v>1</v>
      </c>
      <c r="F655" s="25" t="n">
        <f aca="false">IF(Deploy!F19&lt;=0,1,Deploy!F35/Deploy!F19)</f>
        <v>1</v>
      </c>
      <c r="G655" s="25" t="n">
        <f aca="false">IF(Deploy!G19&lt;=0,1,Deploy!G35/Deploy!G19)</f>
        <v>1</v>
      </c>
      <c r="H655" s="25" t="n">
        <f aca="false">IF(Deploy!H19&lt;=0,1,Deploy!H35/Deploy!H19)</f>
        <v>1</v>
      </c>
      <c r="I655" s="25" t="n">
        <f aca="false">IF(Deploy!I19&lt;=0,1,Deploy!I35/Deploy!I19)</f>
        <v>0.8</v>
      </c>
      <c r="J655" s="25" t="n">
        <f aca="false">IF(Deploy!J19&lt;=0,1,Deploy!J35/Deploy!J19)</f>
        <v>0.85</v>
      </c>
      <c r="K655" s="25" t="n">
        <f aca="false">IF(Deploy!K19&lt;=0,1,Deploy!K35/Deploy!K19)</f>
        <v>0.842857928254843</v>
      </c>
      <c r="L655" s="25" t="n">
        <f aca="false">IF(Deploy!L19&lt;=0,1,Deploy!L35/Deploy!L19)</f>
        <v>0.851138815347594</v>
      </c>
      <c r="M655" s="25" t="n">
        <f aca="false">IF(Deploy!M19&lt;=0,1,Deploy!M35/Deploy!M19)</f>
        <v>0.895847562796559</v>
      </c>
    </row>
    <row r="656" customFormat="false" ht="17.15" hidden="false" customHeight="false" outlineLevel="0" collapsed="false">
      <c r="A656" s="5" t="s">
        <v>2921</v>
      </c>
      <c r="B656" s="0" t="s">
        <v>3019</v>
      </c>
      <c r="C656" s="0" t="s">
        <v>40</v>
      </c>
      <c r="E656" s="0" t="str">
        <f aca="false">IF(Deploy!E19&lt;=0,"r＝1（A／D0 年新增 ≤ 0）","")</f>
        <v/>
      </c>
      <c r="F656" s="0" t="str">
        <f aca="false">IF(Deploy!F19&lt;=0,"r＝1（A／D0 年新增 ≤ 0）","")</f>
        <v/>
      </c>
      <c r="G656" s="0" t="str">
        <f aca="false">IF(Deploy!G19&lt;=0,"r＝1（A／D0 年新增 ≤ 0）","")</f>
        <v/>
      </c>
      <c r="H656" s="0" t="str">
        <f aca="false">IF(Deploy!H19&lt;=0,"r＝1（A／D0 年新增 ≤ 0）","")</f>
        <v/>
      </c>
      <c r="I656" s="0" t="str">
        <f aca="false">IF(Deploy!I19&lt;=0,"r＝1（A／D0 年新增 ≤ 0）","")</f>
        <v/>
      </c>
      <c r="J656" s="0" t="str">
        <f aca="false">IF(Deploy!J19&lt;=0,"r＝1（A／D0 年新增 ≤ 0）","")</f>
        <v/>
      </c>
      <c r="K656" s="0" t="str">
        <f aca="false">IF(Deploy!K19&lt;=0,"r＝1（A／D0 年新增 ≤ 0）","")</f>
        <v/>
      </c>
    </row>
    <row r="657" customFormat="false" ht="17.15" hidden="false" customHeight="false" outlineLevel="0" collapsed="false">
      <c r="A657" s="5" t="s">
        <v>2923</v>
      </c>
      <c r="B657" s="0" t="s">
        <v>3020</v>
      </c>
      <c r="C657" s="0" t="s">
        <v>395</v>
      </c>
      <c r="E657" s="33" t="n">
        <f aca="false">E654*(E8+Gap!$D$6*E9)+Gap!$E$6*F654*F9+Gap!$F$6*G654*G9</f>
        <v>169.535428356269</v>
      </c>
      <c r="F657" s="33" t="n">
        <f aca="false">F654*(F8+Gap!$D$6*F9)+Gap!$E$6*G654*G9+Gap!$F$6*H654*H9</f>
        <v>444.750832678834</v>
      </c>
      <c r="G657" s="33" t="n">
        <f aca="false">G654*(G8+Gap!$D$6*G9)+Gap!$E$6*H654*H9+Gap!$F$6*I654*I9</f>
        <v>656.076402106104</v>
      </c>
      <c r="H657" s="33" t="n">
        <f aca="false">H654*(H8+Gap!$D$6*H9)+Gap!$E$6*I654*I9+Gap!$F$6*J654*J9</f>
        <v>1092.50521539781</v>
      </c>
      <c r="I657" s="33" t="n">
        <f aca="false">I654*(I8+Gap!$D$6*I9)+Gap!$E$6*J654*J9+Gap!$F$6*K654*K9</f>
        <v>1068.46827079464</v>
      </c>
      <c r="J657" s="33" t="n">
        <f aca="false">J654*(J8+Gap!$D$6*J9)+Gap!$E$6*K654*K9+Gap!$F$6*L654*L9</f>
        <v>1125.90254031245</v>
      </c>
      <c r="K657" s="33" t="n">
        <f aca="false">K654*(K8+Gap!$D$6*K9)+Gap!$E$6*L654*L9+Gap!$F$6*M654*M9</f>
        <v>1082.24299791434</v>
      </c>
    </row>
    <row r="658" customFormat="false" ht="17.15" hidden="false" customHeight="false" outlineLevel="0" collapsed="false">
      <c r="A658" s="5" t="s">
        <v>2925</v>
      </c>
      <c r="B658" s="0" t="s">
        <v>3021</v>
      </c>
      <c r="C658" s="0" t="s">
        <v>395</v>
      </c>
      <c r="E658" s="33" t="n">
        <f aca="false">E539</f>
        <v>60.556995</v>
      </c>
      <c r="F658" s="33" t="n">
        <f aca="false">F539</f>
        <v>92.812193</v>
      </c>
      <c r="G658" s="33" t="n">
        <f aca="false">G539</f>
        <v>184.082278</v>
      </c>
      <c r="H658" s="33" t="n">
        <f aca="false">H539</f>
        <v>212.566374166667</v>
      </c>
      <c r="I658" s="33" t="n">
        <f aca="false">I539</f>
        <v>246.95029175</v>
      </c>
      <c r="J658" s="33" t="n">
        <f aca="false">J539</f>
        <v>277.130736</v>
      </c>
      <c r="K658" s="33" t="n">
        <f aca="false">K539</f>
        <v>299.026397916667</v>
      </c>
    </row>
    <row r="659" customFormat="false" ht="17.15" hidden="false" customHeight="false" outlineLevel="0" collapsed="false">
      <c r="A659" s="5" t="s">
        <v>2927</v>
      </c>
      <c r="B659" s="0" t="s">
        <v>3022</v>
      </c>
      <c r="C659" s="0" t="s">
        <v>395</v>
      </c>
      <c r="E659" s="33" t="n">
        <f aca="false">E542</f>
        <v>335.253</v>
      </c>
      <c r="F659" s="33" t="n">
        <f aca="false">F542</f>
        <v>589.4335</v>
      </c>
      <c r="G659" s="33" t="n">
        <f aca="false">G542</f>
        <v>800.087775083333</v>
      </c>
      <c r="H659" s="33" t="n">
        <f aca="false">H542</f>
        <v>942.583301916667</v>
      </c>
      <c r="I659" s="33" t="n">
        <f aca="false">I542</f>
        <v>1153.28686216667</v>
      </c>
      <c r="J659" s="33" t="n">
        <f aca="false">J542</f>
        <v>1408.73059683333</v>
      </c>
      <c r="K659" s="33" t="n">
        <f aca="false">K542</f>
        <v>1631.71418825</v>
      </c>
    </row>
    <row r="660" customFormat="false" ht="17.15" hidden="false" customHeight="false" outlineLevel="0" collapsed="false">
      <c r="A660" s="5" t="s">
        <v>2929</v>
      </c>
      <c r="B660" s="0" t="s">
        <v>3023</v>
      </c>
      <c r="C660" s="0" t="s">
        <v>395</v>
      </c>
      <c r="E660" s="33" t="n">
        <f aca="false">E544</f>
        <v>38.221</v>
      </c>
      <c r="F660" s="33" t="n">
        <f aca="false">F544</f>
        <v>258.571166666667</v>
      </c>
      <c r="G660" s="33" t="n">
        <f aca="false">0</f>
        <v>0</v>
      </c>
      <c r="H660" s="33" t="n">
        <f aca="false">0</f>
        <v>0</v>
      </c>
      <c r="I660" s="33" t="n">
        <f aca="false">0</f>
        <v>0</v>
      </c>
      <c r="J660" s="33" t="n">
        <f aca="false">0</f>
        <v>0</v>
      </c>
      <c r="K660" s="33" t="n">
        <f aca="false">0</f>
        <v>0</v>
      </c>
    </row>
    <row r="661" customFormat="false" ht="17.15" hidden="false" customHeight="false" outlineLevel="0" collapsed="false">
      <c r="A661" s="22" t="s">
        <v>2931</v>
      </c>
    </row>
    <row r="662" customFormat="false" ht="17.15" hidden="false" customHeight="false" outlineLevel="0" collapsed="false">
      <c r="A662" s="5" t="s">
        <v>2932</v>
      </c>
      <c r="B662" s="0" t="s">
        <v>3024</v>
      </c>
      <c r="C662" s="0" t="s">
        <v>395</v>
      </c>
      <c r="E662" s="40" t="n">
        <f aca="false">(E655*E551+F655*E552+G655*E553)+(E655*E554+F655*E555+G655*E556)</f>
        <v>137.658722405791</v>
      </c>
      <c r="F662" s="40" t="n">
        <f aca="false">(F655*F551+G655*F552+H655*F553)+(F655*F554+G655*F555+H655*F556)</f>
        <v>369.33777525741</v>
      </c>
      <c r="G662" s="40" t="n">
        <f aca="false">(G655*G551+H655*G552+I655*G553)+(G655*G554+H655*G555+I655*G556)</f>
        <v>440.781914850613</v>
      </c>
      <c r="H662" s="40" t="n">
        <f aca="false">(H655*H551+I655*H552+J655*H553)+(H655*H554+I655*H555+J655*H556)</f>
        <v>784.599583722335</v>
      </c>
      <c r="I662" s="40" t="n">
        <f aca="false">(I655*I551+J655*I552+K655*I553)+(I655*I554+J655*I555+K655*I556)</f>
        <v>907.86722490812</v>
      </c>
      <c r="J662" s="40" t="n">
        <f aca="false">(J655*J551+K655*J552+L655*J553)+(J655*J554+K655*J555+L655*J556)</f>
        <v>1014.59798803953</v>
      </c>
      <c r="K662" s="40" t="n">
        <f aca="false">(K655*K551+L655*K552+M655*K553)+(K655*K554+L655*K555+M655*K556)</f>
        <v>1090.40381376269</v>
      </c>
    </row>
    <row r="663" customFormat="false" ht="15" hidden="false" customHeight="false" outlineLevel="0" collapsed="false">
      <c r="A663" s="5" t="s">
        <v>2934</v>
      </c>
      <c r="B663" s="0" t="s">
        <v>3025</v>
      </c>
      <c r="C663" s="0" t="s">
        <v>395</v>
      </c>
      <c r="E663" s="33" t="n">
        <f aca="false">E662+E658</f>
        <v>198.215717405791</v>
      </c>
      <c r="F663" s="33" t="n">
        <f aca="false">F662+F658</f>
        <v>462.14996825741</v>
      </c>
      <c r="G663" s="33" t="n">
        <f aca="false">G662+G658</f>
        <v>624.864192850613</v>
      </c>
      <c r="H663" s="33" t="n">
        <f aca="false">H662+H658</f>
        <v>997.165957889002</v>
      </c>
      <c r="I663" s="33" t="n">
        <f aca="false">I662+I658</f>
        <v>1154.81751665812</v>
      </c>
      <c r="J663" s="33" t="n">
        <f aca="false">J662+J658</f>
        <v>1291.72872403953</v>
      </c>
      <c r="K663" s="33" t="n">
        <f aca="false">K662+K658</f>
        <v>1389.43021167936</v>
      </c>
    </row>
    <row r="664" customFormat="false" ht="15" hidden="false" customHeight="false" outlineLevel="0" collapsed="false">
      <c r="A664" s="5" t="s">
        <v>2936</v>
      </c>
      <c r="B664" s="0" t="s">
        <v>3026</v>
      </c>
      <c r="C664" s="0" t="s">
        <v>395</v>
      </c>
      <c r="E664" s="40" t="n">
        <f aca="false">E663-E659-E660</f>
        <v>-175.258282594209</v>
      </c>
      <c r="F664" s="40" t="n">
        <f aca="false">F663-F659-F660</f>
        <v>-385.854698409257</v>
      </c>
      <c r="G664" s="40" t="n">
        <f aca="false">G663-G659-G660</f>
        <v>-175.22358223272</v>
      </c>
      <c r="H664" s="40" t="n">
        <f aca="false">H663-H659-H660</f>
        <v>54.5826559723349</v>
      </c>
      <c r="I664" s="40" t="n">
        <f aca="false">I663-I659-I660</f>
        <v>1.53065449145333</v>
      </c>
      <c r="J664" s="40" t="n">
        <f aca="false">J663-J659-J660</f>
        <v>-117.001872793802</v>
      </c>
      <c r="K664" s="40" t="n">
        <f aca="false">K663-K659-K660</f>
        <v>-242.283976570644</v>
      </c>
    </row>
    <row r="665" customFormat="false" ht="17.15" hidden="false" customHeight="false" outlineLevel="0" collapsed="false">
      <c r="A665" s="5" t="s">
        <v>2938</v>
      </c>
      <c r="B665" s="0" t="s">
        <v>3027</v>
      </c>
      <c r="C665" s="0" t="s">
        <v>395</v>
      </c>
      <c r="G665" s="33" t="n">
        <f aca="false">SUM($G664:G664)</f>
        <v>-175.22358223272</v>
      </c>
      <c r="H665" s="33" t="n">
        <f aca="false">SUM($G664:H664)</f>
        <v>-120.640926260385</v>
      </c>
      <c r="I665" s="33" t="n">
        <f aca="false">SUM($G664:I664)</f>
        <v>-119.110271768932</v>
      </c>
      <c r="J665" s="33" t="n">
        <f aca="false">SUM($G664:J664)</f>
        <v>-236.112144562734</v>
      </c>
      <c r="K665" s="33" t="n">
        <f aca="false">SUM($G664:K664)</f>
        <v>-478.396121133378</v>
      </c>
    </row>
    <row r="666" customFormat="false" ht="15" hidden="false" customHeight="false" outlineLevel="0" collapsed="false">
      <c r="A666" s="5" t="s">
        <v>2940</v>
      </c>
      <c r="B666" s="0" t="s">
        <v>3028</v>
      </c>
      <c r="C666" s="0" t="s">
        <v>395</v>
      </c>
      <c r="G666" s="40" t="n">
        <f aca="false">G665-G546</f>
        <v>-706.24112323272</v>
      </c>
      <c r="H666" s="40" t="n">
        <f aca="false">H665-G546</f>
        <v>-651.658467260385</v>
      </c>
      <c r="I666" s="40" t="n">
        <f aca="false">I665-G546</f>
        <v>-650.127812768932</v>
      </c>
      <c r="J666" s="40" t="n">
        <f aca="false">J665-G546</f>
        <v>-767.129685562734</v>
      </c>
      <c r="K666" s="40" t="n">
        <f aca="false">K665-G546</f>
        <v>-1009.41366213338</v>
      </c>
    </row>
    <row r="667" customFormat="false" ht="15" hidden="false" customHeight="false" outlineLevel="0" collapsed="false">
      <c r="A667" s="5" t="s">
        <v>2942</v>
      </c>
      <c r="B667" s="0" t="s">
        <v>3029</v>
      </c>
      <c r="C667" s="0" t="s">
        <v>395</v>
      </c>
      <c r="G667" s="33" t="n">
        <f aca="false">G666-G547</f>
        <v>-2025.65112323272</v>
      </c>
      <c r="H667" s="33" t="n">
        <f aca="false">H666-G547</f>
        <v>-1971.06846726039</v>
      </c>
      <c r="I667" s="33" t="n">
        <f aca="false">I666-G547</f>
        <v>-1969.53781276893</v>
      </c>
      <c r="J667" s="33" t="n">
        <f aca="false">J666-G547</f>
        <v>-2086.53968556273</v>
      </c>
      <c r="K667" s="33" t="n">
        <f aca="false">K666-G547</f>
        <v>-2328.82366213338</v>
      </c>
    </row>
    <row r="668" customFormat="false" ht="15" hidden="false" customHeight="false" outlineLevel="0" collapsed="false">
      <c r="A668" s="5" t="s">
        <v>2944</v>
      </c>
      <c r="B668" s="0" t="s">
        <v>3030</v>
      </c>
      <c r="C668" s="0" t="s">
        <v>395</v>
      </c>
      <c r="E668" s="33" t="n">
        <f aca="false">E659-E663</f>
        <v>137.037282594209</v>
      </c>
      <c r="F668" s="33" t="n">
        <f aca="false">F659-F663</f>
        <v>127.28353174259</v>
      </c>
      <c r="G668" s="33" t="n">
        <f aca="false">G659-G663</f>
        <v>175.22358223272</v>
      </c>
      <c r="H668" s="33" t="n">
        <f aca="false">H659-H663</f>
        <v>-54.5826559723349</v>
      </c>
      <c r="I668" s="33" t="n">
        <f aca="false">I659-I663</f>
        <v>-1.53065449145333</v>
      </c>
      <c r="J668" s="33" t="n">
        <f aca="false">J659-J663</f>
        <v>117.001872793802</v>
      </c>
      <c r="K668" s="33" t="n">
        <f aca="false">K659-K663</f>
        <v>242.283976570644</v>
      </c>
    </row>
    <row r="669" customFormat="false" ht="15" hidden="false" customHeight="false" outlineLevel="0" collapsed="false">
      <c r="A669" s="5" t="s">
        <v>2404</v>
      </c>
      <c r="B669" s="0" t="s">
        <v>3031</v>
      </c>
      <c r="C669" s="0" t="s">
        <v>57</v>
      </c>
      <c r="E669" s="23" t="n">
        <f aca="false">IF(E663&lt;=0,"",(E663-E659)/E663)</f>
        <v>-0.691354269922319</v>
      </c>
      <c r="F669" s="23" t="n">
        <f aca="false">IF(F663&lt;=0,"",(F663-F659)/F663)</f>
        <v>-0.275416078080731</v>
      </c>
      <c r="G669" s="23" t="n">
        <f aca="false">IF(G663&lt;=0,"",(G663-G659)/G663)</f>
        <v>-0.280418664147412</v>
      </c>
      <c r="H669" s="23" t="n">
        <f aca="false">IF(H663&lt;=0,"",(H663-H659)/H663)</f>
        <v>0.0547377851605427</v>
      </c>
      <c r="I669" s="23" t="n">
        <f aca="false">IF(I663&lt;=0,"",(I663-I659)/I663)</f>
        <v>0.0013254513976224</v>
      </c>
      <c r="J669" s="23" t="n">
        <f aca="false">IF(J663&lt;=0,"",(J663-J659)/J663)</f>
        <v>-0.0905777433112354</v>
      </c>
      <c r="K669" s="23" t="n">
        <f aca="false">IF(K663&lt;=0,"",(K663-K659)/K663)</f>
        <v>-0.174376499470098</v>
      </c>
    </row>
    <row r="670" customFormat="false" ht="17.15" hidden="false" customHeight="false" outlineLevel="0" collapsed="false">
      <c r="A670" s="5" t="s">
        <v>2947</v>
      </c>
      <c r="B670" s="0" t="s">
        <v>3032</v>
      </c>
      <c r="D670" s="0" t="str">
        <f aca="false">IF(G550&gt;0,"未定（資料不足）",IF(OR(K668&lt;0,OR(AND(N(G669)&gt;0.3,N(H669)&gt;0.3,N(I669)&gt;0.3),AND(N(H669)&gt;0.3,N(I669)&gt;0.3,N(J669)&gt;0.3),AND(N(I669)&gt;0.3,N(J669)&gt;0.3,N(K669)&gt;0.3))),"OpenAI 型",IF(MIN(G668:K668)&gt;=0,"Anthropic 型（2026–2030 皆為正）","Anthropic 型（"&amp;IF(AND(G668&gt;=0,H668&gt;=0,I668&gt;=0,J668&gt;=0,K668&gt;=0),"2026",IF(AND(H668&gt;=0,I668&gt;=0,J668&gt;=0,K668&gt;=0),"2027",IF(AND(I668&gt;=0,J668&gt;=0,K668&gt;=0),"2028",IF(AND(J668&gt;=0,K668&gt;=0),"2029",IF(AND(K668&gt;=0),"2030","—")))))&amp;" 起轉正）")))</f>
        <v>Anthropic 型（2029 起轉正）</v>
      </c>
    </row>
    <row r="671" customFormat="false" ht="17.15" hidden="false" customHeight="false" outlineLevel="0" collapsed="false">
      <c r="A671" s="22" t="s">
        <v>2949</v>
      </c>
    </row>
    <row r="672" customFormat="false" ht="17.15" hidden="false" customHeight="false" outlineLevel="0" collapsed="false">
      <c r="A672" s="5" t="s">
        <v>2932</v>
      </c>
      <c r="B672" s="0" t="s">
        <v>3033</v>
      </c>
      <c r="C672" s="0" t="s">
        <v>395</v>
      </c>
      <c r="E672" s="40" t="n">
        <f aca="false">(E655*E551+F655*E552+G655*E553)+(E655*E554+F655*E555+G655*E556)</f>
        <v>137.658722405791</v>
      </c>
      <c r="F672" s="40" t="n">
        <f aca="false">(F655*F551+G655*F552+H655*F553)+(F655*F554+G655*F555+H655*F556)</f>
        <v>369.33777525741</v>
      </c>
      <c r="G672" s="40" t="n">
        <f aca="false">(G655*G551+H655*G552+I655*G553)+(G655*G554+H655*G555+I655*G556)</f>
        <v>440.781914850613</v>
      </c>
      <c r="H672" s="40" t="n">
        <f aca="false">H655*H557+(H655*H554+I655*H555+J655*H556)</f>
        <v>959.30962952152</v>
      </c>
      <c r="I672" s="40" t="n">
        <f aca="false">I655*I557+(I655*I554+J655*I555+K655*I556)</f>
        <v>871.431694533333</v>
      </c>
      <c r="J672" s="40" t="n">
        <f aca="false">J655*J557+(J655*J554+K655*J555+L655*J556)</f>
        <v>811.49403865</v>
      </c>
      <c r="K672" s="40" t="n">
        <f aca="false">K655*K557+(K655*K554+L655*K555+M655*K556)</f>
        <v>673.939762935684</v>
      </c>
    </row>
    <row r="673" customFormat="false" ht="15" hidden="false" customHeight="false" outlineLevel="0" collapsed="false">
      <c r="A673" s="5" t="s">
        <v>2934</v>
      </c>
      <c r="B673" s="0" t="s">
        <v>3034</v>
      </c>
      <c r="C673" s="0" t="s">
        <v>395</v>
      </c>
      <c r="E673" s="33" t="n">
        <f aca="false">E672+E658</f>
        <v>198.215717405791</v>
      </c>
      <c r="F673" s="33" t="n">
        <f aca="false">F672+F658</f>
        <v>462.14996825741</v>
      </c>
      <c r="G673" s="33" t="n">
        <f aca="false">G672+G658</f>
        <v>624.864192850613</v>
      </c>
      <c r="H673" s="33" t="n">
        <f aca="false">H672+H658</f>
        <v>1171.87600368819</v>
      </c>
      <c r="I673" s="33" t="n">
        <f aca="false">I672+I658</f>
        <v>1118.38198628333</v>
      </c>
      <c r="J673" s="33" t="n">
        <f aca="false">J672+J658</f>
        <v>1088.62477465</v>
      </c>
      <c r="K673" s="33" t="n">
        <f aca="false">K672+K658</f>
        <v>972.966160852351</v>
      </c>
    </row>
    <row r="674" customFormat="false" ht="15" hidden="false" customHeight="false" outlineLevel="0" collapsed="false">
      <c r="A674" s="5" t="s">
        <v>2936</v>
      </c>
      <c r="B674" s="0" t="s">
        <v>3035</v>
      </c>
      <c r="C674" s="0" t="s">
        <v>395</v>
      </c>
      <c r="E674" s="40" t="n">
        <f aca="false">E673-E659-E660</f>
        <v>-175.258282594209</v>
      </c>
      <c r="F674" s="40" t="n">
        <f aca="false">F673-F659-F660</f>
        <v>-385.854698409257</v>
      </c>
      <c r="G674" s="40" t="n">
        <f aca="false">G673-G659-G660</f>
        <v>-175.22358223272</v>
      </c>
      <c r="H674" s="40" t="n">
        <f aca="false">H673-H659-H660</f>
        <v>229.29270177152</v>
      </c>
      <c r="I674" s="40" t="n">
        <f aca="false">I673-I659-I660</f>
        <v>-34.9048758833337</v>
      </c>
      <c r="J674" s="40" t="n">
        <f aca="false">J673-J659-J660</f>
        <v>-320.105822183333</v>
      </c>
      <c r="K674" s="40" t="n">
        <f aca="false">K673-K659-K660</f>
        <v>-658.748027397649</v>
      </c>
    </row>
    <row r="675" customFormat="false" ht="17.15" hidden="false" customHeight="false" outlineLevel="0" collapsed="false">
      <c r="A675" s="5" t="s">
        <v>2938</v>
      </c>
      <c r="B675" s="0" t="s">
        <v>3036</v>
      </c>
      <c r="C675" s="0" t="s">
        <v>395</v>
      </c>
      <c r="G675" s="33" t="n">
        <f aca="false">SUM($G674:G674)</f>
        <v>-175.22358223272</v>
      </c>
      <c r="H675" s="33" t="n">
        <f aca="false">SUM($G674:H674)</f>
        <v>54.0691195387998</v>
      </c>
      <c r="I675" s="33" t="n">
        <f aca="false">SUM($G674:I674)</f>
        <v>19.1642436554661</v>
      </c>
      <c r="J675" s="33" t="n">
        <f aca="false">SUM($G674:J674)</f>
        <v>-300.941578527867</v>
      </c>
      <c r="K675" s="33" t="n">
        <f aca="false">SUM($G674:K674)</f>
        <v>-959.689605925516</v>
      </c>
    </row>
    <row r="676" customFormat="false" ht="15" hidden="false" customHeight="false" outlineLevel="0" collapsed="false">
      <c r="A676" s="5" t="s">
        <v>2940</v>
      </c>
      <c r="B676" s="0" t="s">
        <v>3037</v>
      </c>
      <c r="C676" s="0" t="s">
        <v>395</v>
      </c>
      <c r="G676" s="40" t="n">
        <f aca="false">G675-G546</f>
        <v>-706.24112323272</v>
      </c>
      <c r="H676" s="40" t="n">
        <f aca="false">H675-G546</f>
        <v>-476.9484214612</v>
      </c>
      <c r="I676" s="40" t="n">
        <f aca="false">I675-G546</f>
        <v>-511.853297344534</v>
      </c>
      <c r="J676" s="40" t="n">
        <f aca="false">J675-G546</f>
        <v>-831.959119527867</v>
      </c>
      <c r="K676" s="40" t="n">
        <f aca="false">K675-G546</f>
        <v>-1490.70714692552</v>
      </c>
    </row>
    <row r="677" customFormat="false" ht="15" hidden="false" customHeight="false" outlineLevel="0" collapsed="false">
      <c r="A677" s="5" t="s">
        <v>2942</v>
      </c>
      <c r="B677" s="0" t="s">
        <v>3038</v>
      </c>
      <c r="C677" s="0" t="s">
        <v>395</v>
      </c>
      <c r="G677" s="33" t="n">
        <f aca="false">G676-G547</f>
        <v>-2025.65112323272</v>
      </c>
      <c r="H677" s="33" t="n">
        <f aca="false">H676-G547</f>
        <v>-1796.3584214612</v>
      </c>
      <c r="I677" s="33" t="n">
        <f aca="false">I676-G547</f>
        <v>-1831.26329734453</v>
      </c>
      <c r="J677" s="33" t="n">
        <f aca="false">J676-G547</f>
        <v>-2151.36911952787</v>
      </c>
      <c r="K677" s="33" t="n">
        <f aca="false">K676-G547</f>
        <v>-2810.11714692552</v>
      </c>
    </row>
    <row r="678" customFormat="false" ht="15" hidden="false" customHeight="false" outlineLevel="0" collapsed="false">
      <c r="A678" s="5" t="s">
        <v>2944</v>
      </c>
      <c r="B678" s="0" t="s">
        <v>3039</v>
      </c>
      <c r="C678" s="0" t="s">
        <v>395</v>
      </c>
      <c r="E678" s="33" t="n">
        <f aca="false">E659-E673</f>
        <v>137.037282594209</v>
      </c>
      <c r="F678" s="33" t="n">
        <f aca="false">F659-F673</f>
        <v>127.28353174259</v>
      </c>
      <c r="G678" s="33" t="n">
        <f aca="false">G659-G673</f>
        <v>175.22358223272</v>
      </c>
      <c r="H678" s="33" t="n">
        <f aca="false">H659-H673</f>
        <v>-229.29270177152</v>
      </c>
      <c r="I678" s="33" t="n">
        <f aca="false">I659-I673</f>
        <v>34.9048758833337</v>
      </c>
      <c r="J678" s="33" t="n">
        <f aca="false">J659-J673</f>
        <v>320.105822183333</v>
      </c>
      <c r="K678" s="33" t="n">
        <f aca="false">K659-K673</f>
        <v>658.748027397649</v>
      </c>
    </row>
    <row r="679" customFormat="false" ht="15" hidden="false" customHeight="false" outlineLevel="0" collapsed="false">
      <c r="A679" s="5" t="s">
        <v>2404</v>
      </c>
      <c r="B679" s="0" t="s">
        <v>3040</v>
      </c>
      <c r="C679" s="0" t="s">
        <v>57</v>
      </c>
      <c r="E679" s="23" t="n">
        <f aca="false">IF(E673&lt;=0,"",(E673-E659)/E673)</f>
        <v>-0.691354269922319</v>
      </c>
      <c r="F679" s="23" t="n">
        <f aca="false">IF(F673&lt;=0,"",(F673-F659)/F673)</f>
        <v>-0.275416078080731</v>
      </c>
      <c r="G679" s="23" t="n">
        <f aca="false">IF(G673&lt;=0,"",(G673-G659)/G673)</f>
        <v>-0.280418664147412</v>
      </c>
      <c r="H679" s="23" t="n">
        <f aca="false">IF(H673&lt;=0,"",(H673-H659)/H673)</f>
        <v>0.195662937930189</v>
      </c>
      <c r="I679" s="23" t="n">
        <f aca="false">IF(I673&lt;=0,"",(I673-I659)/I673)</f>
        <v>-0.0312101556636579</v>
      </c>
      <c r="J679" s="23" t="n">
        <f aca="false">IF(J673&lt;=0,"",(J673-J659)/J673)</f>
        <v>-0.294046056673888</v>
      </c>
      <c r="K679" s="23" t="n">
        <f aca="false">IF(K673&lt;=0,"",(K673-K659)/K673)</f>
        <v>-0.677051323984962</v>
      </c>
    </row>
    <row r="680" customFormat="false" ht="17.15" hidden="false" customHeight="false" outlineLevel="0" collapsed="false">
      <c r="A680" s="5" t="s">
        <v>2958</v>
      </c>
      <c r="B680" s="0" t="s">
        <v>3041</v>
      </c>
      <c r="D680" s="0" t="str">
        <f aca="false">IF(G550&gt;0,"未定（資料不足）",IF(OR(K678&lt;0,OR(AND(N(G679)&gt;0.3,N(H679)&gt;0.3,N(I679)&gt;0.3),AND(N(H679)&gt;0.3,N(I679)&gt;0.3,N(J679)&gt;0.3),AND(N(I679)&gt;0.3,N(J679)&gt;0.3,N(K679)&gt;0.3))),"OpenAI 型",IF(MIN(G678:K678)&gt;=0,"Anthropic 型（2026–2030 皆為正）","Anthropic 型（"&amp;IF(AND(G678&gt;=0,H678&gt;=0,I678&gt;=0,J678&gt;=0,K678&gt;=0),"2026",IF(AND(H678&gt;=0,I678&gt;=0,J678&gt;=0,K678&gt;=0),"2027",IF(AND(I678&gt;=0,J678&gt;=0,K678&gt;=0),"2028",IF(AND(J678&gt;=0,K678&gt;=0),"2029",IF(AND(K678&gt;=0),"2030","—")))))&amp;" 起轉正）")))</f>
        <v>Anthropic 型（2028 起轉正）</v>
      </c>
    </row>
    <row r="681" customFormat="false" ht="17.15" hidden="false" customHeight="false" outlineLevel="0" collapsed="false">
      <c r="A681" s="5" t="s">
        <v>2960</v>
      </c>
      <c r="B681" s="0" t="s">
        <v>3042</v>
      </c>
      <c r="C681" s="0" t="s">
        <v>57</v>
      </c>
      <c r="E681" s="23" t="n">
        <f aca="false">IF(E657&lt;=0,"",(E662-E655*E535)/E657)</f>
        <v>0.811976138205809</v>
      </c>
      <c r="F681" s="23" t="n">
        <f aca="false">IF(F657&lt;=0,"",(F662-F655*F535)/F657)</f>
        <v>0.830437512691783</v>
      </c>
      <c r="G681" s="23" t="n">
        <f aca="false">IF(G657&lt;=0,"",(G662-G655*G535)/G657)</f>
        <v>0.671845403120181</v>
      </c>
      <c r="H681" s="23" t="n">
        <f aca="false">IF(H657&lt;=0,"",(H662-H655*H535)/H657)</f>
        <v>0.718165526959648</v>
      </c>
      <c r="I681" s="23" t="n">
        <f aca="false">IF(I657&lt;=0,"",(I662-I655*I535)/I657)</f>
        <v>0.741742900721514</v>
      </c>
      <c r="J681" s="23" t="n">
        <f aca="false">IF(J657&lt;=0,"",(J662-J655*J535)/J657)</f>
        <v>0.817169678677699</v>
      </c>
      <c r="K681" s="23" t="n">
        <f aca="false">IF(K657&lt;=0,"",(K662-K655*K535)/K657)</f>
        <v>0.937235556897171</v>
      </c>
    </row>
    <row r="683" customFormat="false" ht="17.15" hidden="false" customHeight="false" outlineLevel="0" collapsed="false">
      <c r="A683" s="22" t="s">
        <v>3043</v>
      </c>
    </row>
    <row r="684" customFormat="false" ht="17.15" hidden="false" customHeight="false" outlineLevel="0" collapsed="false">
      <c r="A684" s="5" t="s">
        <v>2917</v>
      </c>
      <c r="B684" s="0" t="s">
        <v>3044</v>
      </c>
      <c r="C684" s="0" t="s">
        <v>82</v>
      </c>
      <c r="D684" s="25" t="n">
        <f aca="false">Deploy!D36</f>
        <v>0</v>
      </c>
      <c r="E684" s="25" t="n">
        <f aca="false">Deploy!E36</f>
        <v>1.61980834349181</v>
      </c>
      <c r="F684" s="25" t="n">
        <f aca="false">Deploy!F36</f>
        <v>9.04912429484716</v>
      </c>
      <c r="G684" s="25" t="n">
        <f aca="false">Deploy!G36</f>
        <v>11.7062917618926</v>
      </c>
      <c r="H684" s="25" t="n">
        <f aca="false">Deploy!H36</f>
        <v>20.2797100214805</v>
      </c>
      <c r="I684" s="25" t="n">
        <f aca="false">Deploy!I36</f>
        <v>21.7305135179606</v>
      </c>
      <c r="J684" s="25" t="n">
        <f aca="false">Deploy!J36</f>
        <v>23.3139263338052</v>
      </c>
      <c r="K684" s="25" t="n">
        <f aca="false">Deploy!K36</f>
        <v>23.5833136471532</v>
      </c>
      <c r="L684" s="25" t="n">
        <f aca="false">Deploy!L36</f>
        <v>21.6335399144724</v>
      </c>
      <c r="M684" s="25" t="n">
        <f aca="false">Deploy!M36</f>
        <v>15.9690779920995</v>
      </c>
    </row>
    <row r="685" customFormat="false" ht="17.15" hidden="false" customHeight="false" outlineLevel="0" collapsed="false">
      <c r="A685" s="5" t="s">
        <v>2919</v>
      </c>
      <c r="B685" s="0" t="s">
        <v>3045</v>
      </c>
      <c r="C685" s="0" t="s">
        <v>41</v>
      </c>
      <c r="D685" s="25" t="n">
        <f aca="false">IF(Deploy!D19&lt;=0,1,Deploy!D36/Deploy!D19)</f>
        <v>1</v>
      </c>
      <c r="E685" s="25" t="n">
        <f aca="false">IF(Deploy!E19&lt;=0,1,Deploy!E36/Deploy!E19)</f>
        <v>1</v>
      </c>
      <c r="F685" s="25" t="n">
        <f aca="false">IF(Deploy!F19&lt;=0,1,Deploy!F36/Deploy!F19)</f>
        <v>1</v>
      </c>
      <c r="G685" s="25" t="n">
        <f aca="false">IF(Deploy!G19&lt;=0,1,Deploy!G36/Deploy!G19)</f>
        <v>0.935353121424805</v>
      </c>
      <c r="H685" s="25" t="n">
        <f aca="false">IF(Deploy!H19&lt;=0,1,Deploy!H36/Deploy!H19)</f>
        <v>0.846318968327299</v>
      </c>
      <c r="I685" s="25" t="n">
        <f aca="false">IF(Deploy!I19&lt;=0,1,Deploy!I36/Deploy!I19)</f>
        <v>0.807126887484041</v>
      </c>
      <c r="J685" s="25" t="n">
        <f aca="false">IF(Deploy!J19&lt;=0,1,Deploy!J36/Deploy!J19)</f>
        <v>0.842769469301411</v>
      </c>
      <c r="K685" s="25" t="n">
        <f aca="false">IF(Deploy!K19&lt;=0,1,Deploy!K36/Deploy!K19)</f>
        <v>0.840112181027187</v>
      </c>
      <c r="L685" s="25" t="n">
        <f aca="false">IF(Deploy!L19&lt;=0,1,Deploy!L36/Deploy!L19)</f>
        <v>0.877828733754338</v>
      </c>
      <c r="M685" s="25" t="n">
        <f aca="false">IF(Deploy!M19&lt;=0,1,Deploy!M36/Deploy!M19)</f>
        <v>0.944259187198712</v>
      </c>
    </row>
    <row r="686" customFormat="false" ht="17.15" hidden="false" customHeight="false" outlineLevel="0" collapsed="false">
      <c r="A686" s="5" t="s">
        <v>2921</v>
      </c>
      <c r="B686" s="0" t="s">
        <v>3046</v>
      </c>
      <c r="C686" s="0" t="s">
        <v>40</v>
      </c>
      <c r="E686" s="0" t="str">
        <f aca="false">IF(Deploy!E19&lt;=0,"r＝1（A／D0 年新增 ≤ 0）","")</f>
        <v/>
      </c>
      <c r="F686" s="0" t="str">
        <f aca="false">IF(Deploy!F19&lt;=0,"r＝1（A／D0 年新增 ≤ 0）","")</f>
        <v/>
      </c>
      <c r="G686" s="0" t="str">
        <f aca="false">IF(Deploy!G19&lt;=0,"r＝1（A／D0 年新增 ≤ 0）","")</f>
        <v/>
      </c>
      <c r="H686" s="0" t="str">
        <f aca="false">IF(Deploy!H19&lt;=0,"r＝1（A／D0 年新增 ≤ 0）","")</f>
        <v/>
      </c>
      <c r="I686" s="0" t="str">
        <f aca="false">IF(Deploy!I19&lt;=0,"r＝1（A／D0 年新增 ≤ 0）","")</f>
        <v/>
      </c>
      <c r="J686" s="0" t="str">
        <f aca="false">IF(Deploy!J19&lt;=0,"r＝1（A／D0 年新增 ≤ 0）","")</f>
        <v/>
      </c>
      <c r="K686" s="0" t="str">
        <f aca="false">IF(Deploy!K19&lt;=0,"r＝1（A／D0 年新增 ≤ 0）","")</f>
        <v/>
      </c>
    </row>
    <row r="687" customFormat="false" ht="17.15" hidden="false" customHeight="false" outlineLevel="0" collapsed="false">
      <c r="A687" s="5" t="s">
        <v>2923</v>
      </c>
      <c r="B687" s="0" t="s">
        <v>3047</v>
      </c>
      <c r="C687" s="0" t="s">
        <v>395</v>
      </c>
      <c r="E687" s="33" t="n">
        <f aca="false">E684*(E8+Gap!$D$6*E9)+Gap!$E$6*F684*F9+Gap!$F$6*G684*G9</f>
        <v>164.812822106687</v>
      </c>
      <c r="F687" s="33" t="n">
        <f aca="false">F684*(F8+Gap!$D$6*F9)+Gap!$E$6*G684*G9+Gap!$F$6*H684*H9</f>
        <v>418.801796993943</v>
      </c>
      <c r="G687" s="33" t="n">
        <f aca="false">G684*(G8+Gap!$D$6*G9)+Gap!$E$6*H684*H9+Gap!$F$6*I684*I9</f>
        <v>610.509160974615</v>
      </c>
      <c r="H687" s="33" t="n">
        <f aca="false">H684*(H8+Gap!$D$6*H9)+Gap!$E$6*I684*I9+Gap!$F$6*J684*J9</f>
        <v>964.501787242297</v>
      </c>
      <c r="I687" s="33" t="n">
        <f aca="false">I684*(I8+Gap!$D$6*I9)+Gap!$E$6*J684*J9+Gap!$F$6*K684*K9</f>
        <v>1073.96589240798</v>
      </c>
      <c r="J687" s="33" t="n">
        <f aca="false">J684*(J8+Gap!$D$6*J9)+Gap!$E$6*K684*K9+Gap!$F$6*L684*L9</f>
        <v>1121.86255397295</v>
      </c>
      <c r="K687" s="33" t="n">
        <f aca="false">K684*(K8+Gap!$D$6*K9)+Gap!$E$6*L684*L9+Gap!$F$6*M684*M9</f>
        <v>1087.90935618973</v>
      </c>
    </row>
    <row r="688" customFormat="false" ht="17.15" hidden="false" customHeight="false" outlineLevel="0" collapsed="false">
      <c r="A688" s="5" t="s">
        <v>2925</v>
      </c>
      <c r="B688" s="0" t="s">
        <v>3048</v>
      </c>
      <c r="C688" s="0" t="s">
        <v>395</v>
      </c>
      <c r="E688" s="33" t="n">
        <f aca="false">E539</f>
        <v>60.556995</v>
      </c>
      <c r="F688" s="33" t="n">
        <f aca="false">F539</f>
        <v>92.812193</v>
      </c>
      <c r="G688" s="33" t="n">
        <f aca="false">G539</f>
        <v>184.082278</v>
      </c>
      <c r="H688" s="33" t="n">
        <f aca="false">H539</f>
        <v>212.566374166667</v>
      </c>
      <c r="I688" s="33" t="n">
        <f aca="false">I539</f>
        <v>246.95029175</v>
      </c>
      <c r="J688" s="33" t="n">
        <f aca="false">J539</f>
        <v>277.130736</v>
      </c>
      <c r="K688" s="33" t="n">
        <f aca="false">K539</f>
        <v>299.026397916667</v>
      </c>
    </row>
    <row r="689" customFormat="false" ht="17.15" hidden="false" customHeight="false" outlineLevel="0" collapsed="false">
      <c r="A689" s="5" t="s">
        <v>2927</v>
      </c>
      <c r="B689" s="0" t="s">
        <v>3049</v>
      </c>
      <c r="C689" s="0" t="s">
        <v>395</v>
      </c>
      <c r="E689" s="33" t="n">
        <f aca="false">E542</f>
        <v>335.253</v>
      </c>
      <c r="F689" s="33" t="n">
        <f aca="false">F542</f>
        <v>589.4335</v>
      </c>
      <c r="G689" s="33" t="n">
        <f aca="false">G542</f>
        <v>800.087775083333</v>
      </c>
      <c r="H689" s="33" t="n">
        <f aca="false">H542</f>
        <v>942.583301916667</v>
      </c>
      <c r="I689" s="33" t="n">
        <f aca="false">I542</f>
        <v>1153.28686216667</v>
      </c>
      <c r="J689" s="33" t="n">
        <f aca="false">J542</f>
        <v>1408.73059683333</v>
      </c>
      <c r="K689" s="33" t="n">
        <f aca="false">K542</f>
        <v>1631.71418825</v>
      </c>
    </row>
    <row r="690" customFormat="false" ht="17.15" hidden="false" customHeight="false" outlineLevel="0" collapsed="false">
      <c r="A690" s="5" t="s">
        <v>2929</v>
      </c>
      <c r="B690" s="0" t="s">
        <v>3050</v>
      </c>
      <c r="C690" s="0" t="s">
        <v>395</v>
      </c>
      <c r="E690" s="33" t="n">
        <f aca="false">E544</f>
        <v>38.221</v>
      </c>
      <c r="F690" s="33" t="n">
        <f aca="false">F544</f>
        <v>258.571166666667</v>
      </c>
      <c r="G690" s="33" t="n">
        <f aca="false">0</f>
        <v>0</v>
      </c>
      <c r="H690" s="33" t="n">
        <f aca="false">0</f>
        <v>0</v>
      </c>
      <c r="I690" s="33" t="n">
        <f aca="false">0</f>
        <v>0</v>
      </c>
      <c r="J690" s="33" t="n">
        <f aca="false">0</f>
        <v>0</v>
      </c>
      <c r="K690" s="33" t="n">
        <f aca="false">0</f>
        <v>0</v>
      </c>
    </row>
    <row r="691" customFormat="false" ht="17.15" hidden="false" customHeight="false" outlineLevel="0" collapsed="false">
      <c r="A691" s="22" t="s">
        <v>2931</v>
      </c>
    </row>
    <row r="692" customFormat="false" ht="17.15" hidden="false" customHeight="false" outlineLevel="0" collapsed="false">
      <c r="A692" s="5" t="s">
        <v>2932</v>
      </c>
      <c r="B692" s="0" t="s">
        <v>3051</v>
      </c>
      <c r="C692" s="0" t="s">
        <v>395</v>
      </c>
      <c r="E692" s="40" t="n">
        <f aca="false">(E685*E551+F685*E552+G685*E553)+(E685*E554+F685*E555+G685*E556)</f>
        <v>134.635884875412</v>
      </c>
      <c r="F692" s="40" t="n">
        <f aca="false">(F685*F551+G685*F552+H685*F553)+(F685*F554+G685*F555+H685*F556)</f>
        <v>351.29634741044</v>
      </c>
      <c r="G692" s="40" t="n">
        <f aca="false">(G685*G551+H685*G552+I685*G553)+(G685*G554+H685*G555+I685*G556)</f>
        <v>410.236861571799</v>
      </c>
      <c r="H692" s="40" t="n">
        <f aca="false">(H685*H551+I685*H552+J685*H553)+(H685*H554+I685*H555+J685*H556)</f>
        <v>694.276429436097</v>
      </c>
      <c r="I692" s="40" t="n">
        <f aca="false">(I685*I551+J685*I552+K685*I553)+(I685*I554+J685*I555+K685*I556)</f>
        <v>912.668025903431</v>
      </c>
      <c r="J692" s="40" t="n">
        <f aca="false">(J685*J551+K685*J552+L685*J553)+(J685*J554+K685*J555+L685*J556)</f>
        <v>1011.75158825735</v>
      </c>
      <c r="K692" s="40" t="n">
        <f aca="false">(K685*K551+L685*K552+M685*K553)+(K685*K554+L685*K555+M685*K556)</f>
        <v>1099.94711297193</v>
      </c>
    </row>
    <row r="693" customFormat="false" ht="15" hidden="false" customHeight="false" outlineLevel="0" collapsed="false">
      <c r="A693" s="5" t="s">
        <v>2934</v>
      </c>
      <c r="B693" s="0" t="s">
        <v>3052</v>
      </c>
      <c r="C693" s="0" t="s">
        <v>395</v>
      </c>
      <c r="E693" s="33" t="n">
        <f aca="false">E692+E688</f>
        <v>195.192879875412</v>
      </c>
      <c r="F693" s="33" t="n">
        <f aca="false">F692+F688</f>
        <v>444.10854041044</v>
      </c>
      <c r="G693" s="33" t="n">
        <f aca="false">G692+G688</f>
        <v>594.319139571799</v>
      </c>
      <c r="H693" s="33" t="n">
        <f aca="false">H692+H688</f>
        <v>906.842803602764</v>
      </c>
      <c r="I693" s="33" t="n">
        <f aca="false">I692+I688</f>
        <v>1159.61831765343</v>
      </c>
      <c r="J693" s="33" t="n">
        <f aca="false">J692+J688</f>
        <v>1288.88232425735</v>
      </c>
      <c r="K693" s="33" t="n">
        <f aca="false">K692+K688</f>
        <v>1398.9735108886</v>
      </c>
    </row>
    <row r="694" customFormat="false" ht="15" hidden="false" customHeight="false" outlineLevel="0" collapsed="false">
      <c r="A694" s="5" t="s">
        <v>2936</v>
      </c>
      <c r="B694" s="0" t="s">
        <v>3053</v>
      </c>
      <c r="C694" s="0" t="s">
        <v>395</v>
      </c>
      <c r="E694" s="40" t="n">
        <f aca="false">E693-E689-E690</f>
        <v>-178.281120124588</v>
      </c>
      <c r="F694" s="40" t="n">
        <f aca="false">F693-F689-F690</f>
        <v>-403.896126256227</v>
      </c>
      <c r="G694" s="40" t="n">
        <f aca="false">G693-G689-G690</f>
        <v>-205.768635511535</v>
      </c>
      <c r="H694" s="40" t="n">
        <f aca="false">H693-H689-H690</f>
        <v>-35.7404983139029</v>
      </c>
      <c r="I694" s="40" t="n">
        <f aca="false">I693-I689-I690</f>
        <v>6.33145548676453</v>
      </c>
      <c r="J694" s="40" t="n">
        <f aca="false">J693-J689-J690</f>
        <v>-119.848272575988</v>
      </c>
      <c r="K694" s="40" t="n">
        <f aca="false">K693-K689-K690</f>
        <v>-232.740677361404</v>
      </c>
    </row>
    <row r="695" customFormat="false" ht="17.15" hidden="false" customHeight="false" outlineLevel="0" collapsed="false">
      <c r="A695" s="5" t="s">
        <v>2938</v>
      </c>
      <c r="B695" s="0" t="s">
        <v>3054</v>
      </c>
      <c r="C695" s="0" t="s">
        <v>395</v>
      </c>
      <c r="G695" s="33" t="n">
        <f aca="false">SUM($G694:G694)</f>
        <v>-205.768635511535</v>
      </c>
      <c r="H695" s="33" t="n">
        <f aca="false">SUM($G694:H694)</f>
        <v>-241.509133825437</v>
      </c>
      <c r="I695" s="33" t="n">
        <f aca="false">SUM($G694:I694)</f>
        <v>-235.177678338673</v>
      </c>
      <c r="J695" s="33" t="n">
        <f aca="false">SUM($G694:J694)</f>
        <v>-355.02595091466</v>
      </c>
      <c r="K695" s="33" t="n">
        <f aca="false">SUM($G694:K694)</f>
        <v>-587.766628276064</v>
      </c>
    </row>
    <row r="696" customFormat="false" ht="15" hidden="false" customHeight="false" outlineLevel="0" collapsed="false">
      <c r="A696" s="5" t="s">
        <v>2940</v>
      </c>
      <c r="B696" s="0" t="s">
        <v>3055</v>
      </c>
      <c r="C696" s="0" t="s">
        <v>395</v>
      </c>
      <c r="G696" s="40" t="n">
        <f aca="false">G695-G546</f>
        <v>-736.786176511534</v>
      </c>
      <c r="H696" s="40" t="n">
        <f aca="false">H695-G546</f>
        <v>-772.526674825437</v>
      </c>
      <c r="I696" s="40" t="n">
        <f aca="false">I695-G546</f>
        <v>-766.195219338673</v>
      </c>
      <c r="J696" s="40" t="n">
        <f aca="false">J695-G546</f>
        <v>-886.04349191466</v>
      </c>
      <c r="K696" s="40" t="n">
        <f aca="false">K695-G546</f>
        <v>-1118.78416927606</v>
      </c>
    </row>
    <row r="697" customFormat="false" ht="15" hidden="false" customHeight="false" outlineLevel="0" collapsed="false">
      <c r="A697" s="5" t="s">
        <v>2942</v>
      </c>
      <c r="B697" s="0" t="s">
        <v>3056</v>
      </c>
      <c r="C697" s="0" t="s">
        <v>395</v>
      </c>
      <c r="G697" s="33" t="n">
        <f aca="false">G696-G547</f>
        <v>-2056.19617651153</v>
      </c>
      <c r="H697" s="33" t="n">
        <f aca="false">H696-G547</f>
        <v>-2091.93667482544</v>
      </c>
      <c r="I697" s="33" t="n">
        <f aca="false">I696-G547</f>
        <v>-2085.60521933867</v>
      </c>
      <c r="J697" s="33" t="n">
        <f aca="false">J696-G547</f>
        <v>-2205.45349191466</v>
      </c>
      <c r="K697" s="33" t="n">
        <f aca="false">K696-G547</f>
        <v>-2438.19416927606</v>
      </c>
    </row>
    <row r="698" customFormat="false" ht="15" hidden="false" customHeight="false" outlineLevel="0" collapsed="false">
      <c r="A698" s="5" t="s">
        <v>2944</v>
      </c>
      <c r="B698" s="0" t="s">
        <v>3057</v>
      </c>
      <c r="C698" s="0" t="s">
        <v>395</v>
      </c>
      <c r="E698" s="33" t="n">
        <f aca="false">E689-E693</f>
        <v>140.060120124588</v>
      </c>
      <c r="F698" s="33" t="n">
        <f aca="false">F689-F693</f>
        <v>145.32495958956</v>
      </c>
      <c r="G698" s="33" t="n">
        <f aca="false">G689-G693</f>
        <v>205.768635511535</v>
      </c>
      <c r="H698" s="33" t="n">
        <f aca="false">H689-H693</f>
        <v>35.7404983139029</v>
      </c>
      <c r="I698" s="33" t="n">
        <f aca="false">I689-I693</f>
        <v>-6.33145548676453</v>
      </c>
      <c r="J698" s="33" t="n">
        <f aca="false">J689-J693</f>
        <v>119.848272575988</v>
      </c>
      <c r="K698" s="33" t="n">
        <f aca="false">K689-K693</f>
        <v>232.740677361404</v>
      </c>
    </row>
    <row r="699" customFormat="false" ht="15" hidden="false" customHeight="false" outlineLevel="0" collapsed="false">
      <c r="A699" s="5" t="s">
        <v>2404</v>
      </c>
      <c r="B699" s="0" t="s">
        <v>3058</v>
      </c>
      <c r="C699" s="0" t="s">
        <v>57</v>
      </c>
      <c r="E699" s="23" t="n">
        <f aca="false">IF(E693&lt;=0,"",(E693-E689)/E693)</f>
        <v>-0.717547280484748</v>
      </c>
      <c r="F699" s="23" t="n">
        <f aca="false">IF(F693&lt;=0,"",(F693-F689)/F693)</f>
        <v>-0.327228473145896</v>
      </c>
      <c r="G699" s="23" t="n">
        <f aca="false">IF(G693&lt;=0,"",(G693-G689)/G693)</f>
        <v>-0.346225826850855</v>
      </c>
      <c r="H699" s="23" t="n">
        <f aca="false">IF(H693&lt;=0,"",(H693-H689)/H693)</f>
        <v>-0.0394120107386977</v>
      </c>
      <c r="I699" s="23" t="n">
        <f aca="false">IF(I693&lt;=0,"",(I693-I689)/I693)</f>
        <v>0.00545994780384003</v>
      </c>
      <c r="J699" s="23" t="n">
        <f aca="false">IF(J693&lt;=0,"",(J693-J689)/J693)</f>
        <v>-0.0929862023245948</v>
      </c>
      <c r="K699" s="23" t="n">
        <f aca="false">IF(K693&lt;=0,"",(K693-K689)/K693)</f>
        <v>-0.166365321108598</v>
      </c>
    </row>
    <row r="700" customFormat="false" ht="17.15" hidden="false" customHeight="false" outlineLevel="0" collapsed="false">
      <c r="A700" s="5" t="s">
        <v>2947</v>
      </c>
      <c r="B700" s="0" t="s">
        <v>3059</v>
      </c>
      <c r="D700" s="0" t="str">
        <f aca="false">IF(G550&gt;0,"未定（資料不足）",IF(OR(K698&lt;0,OR(AND(N(G699)&gt;0.3,N(H699)&gt;0.3,N(I699)&gt;0.3),AND(N(H699)&gt;0.3,N(I699)&gt;0.3,N(J699)&gt;0.3),AND(N(I699)&gt;0.3,N(J699)&gt;0.3,N(K699)&gt;0.3))),"OpenAI 型",IF(MIN(G698:K698)&gt;=0,"Anthropic 型（2026–2030 皆為正）","Anthropic 型（"&amp;IF(AND(G698&gt;=0,H698&gt;=0,I698&gt;=0,J698&gt;=0,K698&gt;=0),"2026",IF(AND(H698&gt;=0,I698&gt;=0,J698&gt;=0,K698&gt;=0),"2027",IF(AND(I698&gt;=0,J698&gt;=0,K698&gt;=0),"2028",IF(AND(J698&gt;=0,K698&gt;=0),"2029",IF(AND(K698&gt;=0),"2030","—")))))&amp;" 起轉正）")))</f>
        <v>Anthropic 型（2029 起轉正）</v>
      </c>
    </row>
    <row r="701" customFormat="false" ht="17.15" hidden="false" customHeight="false" outlineLevel="0" collapsed="false">
      <c r="A701" s="22" t="s">
        <v>2949</v>
      </c>
    </row>
    <row r="702" customFormat="false" ht="17.15" hidden="false" customHeight="false" outlineLevel="0" collapsed="false">
      <c r="A702" s="5" t="s">
        <v>2932</v>
      </c>
      <c r="B702" s="0" t="s">
        <v>3060</v>
      </c>
      <c r="C702" s="0" t="s">
        <v>395</v>
      </c>
      <c r="E702" s="40" t="n">
        <f aca="false">(E685*E551+F685*E552+G685*E553)+(E685*E554+F685*E555+G685*E556)</f>
        <v>134.635884875412</v>
      </c>
      <c r="F702" s="40" t="n">
        <f aca="false">(F685*F551+G685*F552+H685*F553)+(F685*F554+G685*F555+H685*F556)</f>
        <v>351.29634741044</v>
      </c>
      <c r="G702" s="40" t="n">
        <f aca="false">(G685*G551+H685*G552+I685*G553)+(G685*G554+H685*G555+I685*G556)</f>
        <v>410.236861571799</v>
      </c>
      <c r="H702" s="40" t="n">
        <f aca="false">H685*H557+(H685*H554+I685*H555+J685*H556)</f>
        <v>811.881935963096</v>
      </c>
      <c r="I702" s="40" t="n">
        <f aca="false">I685*I557+(I685*I554+J685*I555+K685*I556)</f>
        <v>879.194939079541</v>
      </c>
      <c r="J702" s="40" t="n">
        <f aca="false">J685*J557+(J685*J554+K685*J555+L685*J556)</f>
        <v>804.591059169787</v>
      </c>
      <c r="K702" s="40" t="n">
        <f aca="false">K685*K557+(K685*K554+L685*K555+M685*K556)</f>
        <v>671.744294193379</v>
      </c>
    </row>
    <row r="703" customFormat="false" ht="15" hidden="false" customHeight="false" outlineLevel="0" collapsed="false">
      <c r="A703" s="5" t="s">
        <v>2934</v>
      </c>
      <c r="B703" s="0" t="s">
        <v>3061</v>
      </c>
      <c r="C703" s="0" t="s">
        <v>395</v>
      </c>
      <c r="E703" s="33" t="n">
        <f aca="false">E702+E688</f>
        <v>195.192879875412</v>
      </c>
      <c r="F703" s="33" t="n">
        <f aca="false">F702+F688</f>
        <v>444.10854041044</v>
      </c>
      <c r="G703" s="33" t="n">
        <f aca="false">G702+G688</f>
        <v>594.319139571799</v>
      </c>
      <c r="H703" s="33" t="n">
        <f aca="false">H702+H688</f>
        <v>1024.44831012976</v>
      </c>
      <c r="I703" s="33" t="n">
        <f aca="false">I702+I688</f>
        <v>1126.14523082954</v>
      </c>
      <c r="J703" s="33" t="n">
        <f aca="false">J702+J688</f>
        <v>1081.72179516979</v>
      </c>
      <c r="K703" s="33" t="n">
        <f aca="false">K702+K688</f>
        <v>970.770692110046</v>
      </c>
    </row>
    <row r="704" customFormat="false" ht="15" hidden="false" customHeight="false" outlineLevel="0" collapsed="false">
      <c r="A704" s="5" t="s">
        <v>2936</v>
      </c>
      <c r="B704" s="0" t="s">
        <v>3062</v>
      </c>
      <c r="C704" s="0" t="s">
        <v>395</v>
      </c>
      <c r="E704" s="40" t="n">
        <f aca="false">E703-E689-E690</f>
        <v>-178.281120124588</v>
      </c>
      <c r="F704" s="40" t="n">
        <f aca="false">F703-F689-F690</f>
        <v>-403.896126256227</v>
      </c>
      <c r="G704" s="40" t="n">
        <f aca="false">G703-G689-G690</f>
        <v>-205.768635511535</v>
      </c>
      <c r="H704" s="40" t="n">
        <f aca="false">H703-H689-H690</f>
        <v>81.8650082130961</v>
      </c>
      <c r="I704" s="40" t="n">
        <f aca="false">I703-I689-I690</f>
        <v>-27.141631337126</v>
      </c>
      <c r="J704" s="40" t="n">
        <f aca="false">J703-J689-J690</f>
        <v>-327.008801663547</v>
      </c>
      <c r="K704" s="40" t="n">
        <f aca="false">K703-K689-K690</f>
        <v>-660.943496139955</v>
      </c>
    </row>
    <row r="705" customFormat="false" ht="17.15" hidden="false" customHeight="false" outlineLevel="0" collapsed="false">
      <c r="A705" s="5" t="s">
        <v>2938</v>
      </c>
      <c r="B705" s="0" t="s">
        <v>3063</v>
      </c>
      <c r="C705" s="0" t="s">
        <v>395</v>
      </c>
      <c r="G705" s="33" t="n">
        <f aca="false">SUM($G704:G704)</f>
        <v>-205.768635511535</v>
      </c>
      <c r="H705" s="33" t="n">
        <f aca="false">SUM($G704:H704)</f>
        <v>-123.903627298438</v>
      </c>
      <c r="I705" s="33" t="n">
        <f aca="false">SUM($G704:I704)</f>
        <v>-151.045258635564</v>
      </c>
      <c r="J705" s="33" t="n">
        <f aca="false">SUM($G704:J704)</f>
        <v>-478.054060299111</v>
      </c>
      <c r="K705" s="33" t="n">
        <f aca="false">SUM($G704:K704)</f>
        <v>-1138.99755643907</v>
      </c>
    </row>
    <row r="706" customFormat="false" ht="15" hidden="false" customHeight="false" outlineLevel="0" collapsed="false">
      <c r="A706" s="5" t="s">
        <v>2940</v>
      </c>
      <c r="B706" s="0" t="s">
        <v>3064</v>
      </c>
      <c r="C706" s="0" t="s">
        <v>395</v>
      </c>
      <c r="G706" s="40" t="n">
        <f aca="false">G705-G546</f>
        <v>-736.786176511534</v>
      </c>
      <c r="H706" s="40" t="n">
        <f aca="false">H705-G546</f>
        <v>-654.921168298438</v>
      </c>
      <c r="I706" s="40" t="n">
        <f aca="false">I705-G546</f>
        <v>-682.062799635564</v>
      </c>
      <c r="J706" s="40" t="n">
        <f aca="false">J705-G546</f>
        <v>-1009.07160129911</v>
      </c>
      <c r="K706" s="40" t="n">
        <f aca="false">K705-G546</f>
        <v>-1670.01509743907</v>
      </c>
    </row>
    <row r="707" customFormat="false" ht="15" hidden="false" customHeight="false" outlineLevel="0" collapsed="false">
      <c r="A707" s="5" t="s">
        <v>2942</v>
      </c>
      <c r="B707" s="0" t="s">
        <v>3065</v>
      </c>
      <c r="C707" s="0" t="s">
        <v>395</v>
      </c>
      <c r="G707" s="33" t="n">
        <f aca="false">G706-G547</f>
        <v>-2056.19617651153</v>
      </c>
      <c r="H707" s="33" t="n">
        <f aca="false">H706-G547</f>
        <v>-1974.33116829844</v>
      </c>
      <c r="I707" s="33" t="n">
        <f aca="false">I706-G547</f>
        <v>-2001.47279963556</v>
      </c>
      <c r="J707" s="33" t="n">
        <f aca="false">J706-G547</f>
        <v>-2328.48160129911</v>
      </c>
      <c r="K707" s="33" t="n">
        <f aca="false">K706-G547</f>
        <v>-2989.42509743907</v>
      </c>
    </row>
    <row r="708" customFormat="false" ht="15" hidden="false" customHeight="false" outlineLevel="0" collapsed="false">
      <c r="A708" s="5" t="s">
        <v>2944</v>
      </c>
      <c r="B708" s="0" t="s">
        <v>3066</v>
      </c>
      <c r="C708" s="0" t="s">
        <v>395</v>
      </c>
      <c r="E708" s="33" t="n">
        <f aca="false">E689-E703</f>
        <v>140.060120124588</v>
      </c>
      <c r="F708" s="33" t="n">
        <f aca="false">F689-F703</f>
        <v>145.32495958956</v>
      </c>
      <c r="G708" s="33" t="n">
        <f aca="false">G689-G703</f>
        <v>205.768635511535</v>
      </c>
      <c r="H708" s="33" t="n">
        <f aca="false">H689-H703</f>
        <v>-81.8650082130961</v>
      </c>
      <c r="I708" s="33" t="n">
        <f aca="false">I689-I703</f>
        <v>27.141631337126</v>
      </c>
      <c r="J708" s="33" t="n">
        <f aca="false">J689-J703</f>
        <v>327.008801663547</v>
      </c>
      <c r="K708" s="33" t="n">
        <f aca="false">K689-K703</f>
        <v>660.943496139955</v>
      </c>
    </row>
    <row r="709" customFormat="false" ht="15" hidden="false" customHeight="false" outlineLevel="0" collapsed="false">
      <c r="A709" s="5" t="s">
        <v>2404</v>
      </c>
      <c r="B709" s="0" t="s">
        <v>3067</v>
      </c>
      <c r="C709" s="0" t="s">
        <v>57</v>
      </c>
      <c r="E709" s="23" t="n">
        <f aca="false">IF(E703&lt;=0,"",(E703-E689)/E703)</f>
        <v>-0.717547280484748</v>
      </c>
      <c r="F709" s="23" t="n">
        <f aca="false">IF(F703&lt;=0,"",(F703-F689)/F703)</f>
        <v>-0.327228473145896</v>
      </c>
      <c r="G709" s="23" t="n">
        <f aca="false">IF(G703&lt;=0,"",(G703-G689)/G703)</f>
        <v>-0.346225826850855</v>
      </c>
      <c r="H709" s="23" t="n">
        <f aca="false">IF(H703&lt;=0,"",(H703-H689)/H703)</f>
        <v>0.0799113116822132</v>
      </c>
      <c r="I709" s="23" t="n">
        <f aca="false">IF(I703&lt;=0,"",(I703-I689)/I703)</f>
        <v>-0.024101359748363</v>
      </c>
      <c r="J709" s="23" t="n">
        <f aca="false">IF(J703&lt;=0,"",(J703-J689)/J703)</f>
        <v>-0.302303977902395</v>
      </c>
      <c r="K709" s="23" t="n">
        <f aca="false">IF(K703&lt;=0,"",(K703-K689)/K703)</f>
        <v>-0.680844097902608</v>
      </c>
    </row>
    <row r="710" customFormat="false" ht="17.15" hidden="false" customHeight="false" outlineLevel="0" collapsed="false">
      <c r="A710" s="5" t="s">
        <v>2958</v>
      </c>
      <c r="B710" s="0" t="s">
        <v>3068</v>
      </c>
      <c r="D710" s="0" t="str">
        <f aca="false">IF(G550&gt;0,"未定（資料不足）",IF(OR(K708&lt;0,OR(AND(N(G709)&gt;0.3,N(H709)&gt;0.3,N(I709)&gt;0.3),AND(N(H709)&gt;0.3,N(I709)&gt;0.3,N(J709)&gt;0.3),AND(N(I709)&gt;0.3,N(J709)&gt;0.3,N(K709)&gt;0.3))),"OpenAI 型",IF(MIN(G708:K708)&gt;=0,"Anthropic 型（2026–2030 皆為正）","Anthropic 型（"&amp;IF(AND(G708&gt;=0,H708&gt;=0,I708&gt;=0,J708&gt;=0,K708&gt;=0),"2026",IF(AND(H708&gt;=0,I708&gt;=0,J708&gt;=0,K708&gt;=0),"2027",IF(AND(I708&gt;=0,J708&gt;=0,K708&gt;=0),"2028",IF(AND(J708&gt;=0,K708&gt;=0),"2029",IF(AND(K708&gt;=0),"2030","—")))))&amp;" 起轉正）")))</f>
        <v>Anthropic 型（2028 起轉正）</v>
      </c>
    </row>
    <row r="711" customFormat="false" ht="17.15" hidden="false" customHeight="false" outlineLevel="0" collapsed="false">
      <c r="A711" s="5" t="s">
        <v>2960</v>
      </c>
      <c r="B711" s="0" t="s">
        <v>3069</v>
      </c>
      <c r="C711" s="0" t="s">
        <v>57</v>
      </c>
      <c r="E711" s="23" t="n">
        <f aca="false">IF(E687&lt;=0,"",(E692-E685*E535)/E687)</f>
        <v>0.816901762584096</v>
      </c>
      <c r="F711" s="23" t="n">
        <f aca="false">IF(F687&lt;=0,"",(F692-F685*F535)/F687)</f>
        <v>0.838812894146966</v>
      </c>
      <c r="G711" s="23" t="n">
        <f aca="false">IF(G687&lt;=0,"",(G692-G685*G535)/G687)</f>
        <v>0.671958568020335</v>
      </c>
      <c r="H711" s="23" t="n">
        <f aca="false">IF(H687&lt;=0,"",(H692-H685*H535)/H687)</f>
        <v>0.719829075092927</v>
      </c>
      <c r="I711" s="23" t="n">
        <f aca="false">IF(I687&lt;=0,"",(I692-I685*I535)/I687)</f>
        <v>0.741459347783949</v>
      </c>
      <c r="J711" s="23" t="n">
        <f aca="false">IF(J687&lt;=0,"",(J692-J685*J535)/J687)</f>
        <v>0.818292096552246</v>
      </c>
      <c r="K711" s="23" t="n">
        <f aca="false">IF(K687&lt;=0,"",(K692-K685*K535)/K687)</f>
        <v>0.941353963621279</v>
      </c>
    </row>
    <row r="713" customFormat="false" ht="17.15" hidden="false" customHeight="false" outlineLevel="0" collapsed="false">
      <c r="A713" s="22" t="s">
        <v>3070</v>
      </c>
    </row>
    <row r="714" customFormat="false" ht="17.15" hidden="false" customHeight="false" outlineLevel="0" collapsed="false">
      <c r="A714" s="5" t="s">
        <v>2917</v>
      </c>
      <c r="B714" s="0" t="s">
        <v>3071</v>
      </c>
      <c r="C714" s="0" t="s">
        <v>82</v>
      </c>
      <c r="D714" s="25" t="n">
        <f aca="false">Deploy!D37</f>
        <v>0</v>
      </c>
      <c r="E714" s="25" t="n">
        <f aca="false">Deploy!E37</f>
        <v>1.61980834349181</v>
      </c>
      <c r="F714" s="25" t="n">
        <f aca="false">Deploy!F37</f>
        <v>9.04912429484716</v>
      </c>
      <c r="G714" s="25" t="n">
        <f aca="false">Deploy!G37</f>
        <v>11.7062917618926</v>
      </c>
      <c r="H714" s="25" t="n">
        <f aca="false">Deploy!H37</f>
        <v>12.5413778925549</v>
      </c>
      <c r="I714" s="25" t="n">
        <f aca="false">Deploy!I37</f>
        <v>21.496360239702</v>
      </c>
      <c r="J714" s="25" t="n">
        <f aca="false">Deploy!J37</f>
        <v>29.5880740108925</v>
      </c>
      <c r="K714" s="25" t="n">
        <f aca="false">Deploy!K37</f>
        <v>25.2816513772501</v>
      </c>
      <c r="L714" s="25" t="n">
        <f aca="false">Deploy!L37</f>
        <v>21.6335399144724</v>
      </c>
      <c r="M714" s="25" t="n">
        <f aca="false">Deploy!M37</f>
        <v>15.9690779920995</v>
      </c>
    </row>
    <row r="715" customFormat="false" ht="17.15" hidden="false" customHeight="false" outlineLevel="0" collapsed="false">
      <c r="A715" s="5" t="s">
        <v>2919</v>
      </c>
      <c r="B715" s="0" t="s">
        <v>3072</v>
      </c>
      <c r="C715" s="0" t="s">
        <v>41</v>
      </c>
      <c r="D715" s="25" t="n">
        <f aca="false">IF(Deploy!D19&lt;=0,1,Deploy!D37/Deploy!D19)</f>
        <v>1</v>
      </c>
      <c r="E715" s="25" t="n">
        <f aca="false">IF(Deploy!E19&lt;=0,1,Deploy!E37/Deploy!E19)</f>
        <v>1</v>
      </c>
      <c r="F715" s="25" t="n">
        <f aca="false">IF(Deploy!F19&lt;=0,1,Deploy!F37/Deploy!F19)</f>
        <v>1</v>
      </c>
      <c r="G715" s="25" t="n">
        <f aca="false">IF(Deploy!G19&lt;=0,1,Deploy!G37/Deploy!G19)</f>
        <v>0.935353121424805</v>
      </c>
      <c r="H715" s="25" t="n">
        <f aca="false">IF(Deploy!H19&lt;=0,1,Deploy!H37/Deploy!H19)</f>
        <v>0.523380560579387</v>
      </c>
      <c r="I715" s="25" t="n">
        <f aca="false">IF(Deploy!I19&lt;=0,1,Deploy!I37/Deploy!I19)</f>
        <v>0.798429835455384</v>
      </c>
      <c r="J715" s="25" t="n">
        <f aca="false">IF(Deploy!J19&lt;=0,1,Deploy!J37/Deploy!J19)</f>
        <v>1.06957211216944</v>
      </c>
      <c r="K715" s="25" t="n">
        <f aca="false">IF(Deploy!K19&lt;=0,1,Deploy!K37/Deploy!K19)</f>
        <v>0.900612339567236</v>
      </c>
      <c r="L715" s="25" t="n">
        <f aca="false">IF(Deploy!L19&lt;=0,1,Deploy!L37/Deploy!L19)</f>
        <v>0.877828733754338</v>
      </c>
      <c r="M715" s="25" t="n">
        <f aca="false">IF(Deploy!M19&lt;=0,1,Deploy!M37/Deploy!M19)</f>
        <v>0.944259187198712</v>
      </c>
    </row>
    <row r="716" customFormat="false" ht="17.15" hidden="false" customHeight="false" outlineLevel="0" collapsed="false">
      <c r="A716" s="5" t="s">
        <v>2921</v>
      </c>
      <c r="B716" s="0" t="s">
        <v>3073</v>
      </c>
      <c r="C716" s="0" t="s">
        <v>40</v>
      </c>
      <c r="E716" s="0" t="str">
        <f aca="false">IF(Deploy!E19&lt;=0,"r＝1（A／D0 年新增 ≤ 0）","")</f>
        <v/>
      </c>
      <c r="F716" s="0" t="str">
        <f aca="false">IF(Deploy!F19&lt;=0,"r＝1（A／D0 年新增 ≤ 0）","")</f>
        <v/>
      </c>
      <c r="G716" s="0" t="str">
        <f aca="false">IF(Deploy!G19&lt;=0,"r＝1（A／D0 年新增 ≤ 0）","")</f>
        <v/>
      </c>
      <c r="H716" s="0" t="str">
        <f aca="false">IF(Deploy!H19&lt;=0,"r＝1（A／D0 年新增 ≤ 0）","")</f>
        <v/>
      </c>
      <c r="I716" s="0" t="str">
        <f aca="false">IF(Deploy!I19&lt;=0,"r＝1（A／D0 年新增 ≤ 0）","")</f>
        <v/>
      </c>
      <c r="J716" s="0" t="str">
        <f aca="false">IF(Deploy!J19&lt;=0,"r＝1（A／D0 年新增 ≤ 0）","")</f>
        <v/>
      </c>
      <c r="K716" s="0" t="str">
        <f aca="false">IF(Deploy!K19&lt;=0,"r＝1（A／D0 年新增 ≤ 0）","")</f>
        <v/>
      </c>
    </row>
    <row r="717" customFormat="false" ht="17.15" hidden="false" customHeight="false" outlineLevel="0" collapsed="false">
      <c r="A717" s="5" t="s">
        <v>2923</v>
      </c>
      <c r="B717" s="0" t="s">
        <v>3074</v>
      </c>
      <c r="C717" s="0" t="s">
        <v>395</v>
      </c>
      <c r="E717" s="33" t="n">
        <f aca="false">E714*(E8+Gap!$D$6*E9)+Gap!$E$6*F714*F9+Gap!$F$6*G714*G9</f>
        <v>164.812822106687</v>
      </c>
      <c r="F717" s="33" t="n">
        <f aca="false">F714*(F8+Gap!$D$6*F9)+Gap!$E$6*G714*G9+Gap!$F$6*H714*H9</f>
        <v>374.197532893146</v>
      </c>
      <c r="G717" s="33" t="n">
        <f aca="false">G714*(G8+Gap!$D$6*G9)+Gap!$E$6*H714*H9+Gap!$F$6*I714*I9</f>
        <v>564.553517992676</v>
      </c>
      <c r="H717" s="33" t="n">
        <f aca="false">H714*(H8+Gap!$D$6*H9)+Gap!$E$6*I714*I9+Gap!$F$6*J714*J9</f>
        <v>730.442853508421</v>
      </c>
      <c r="I717" s="33" t="n">
        <f aca="false">I714*(I8+Gap!$D$6*I9)+Gap!$E$6*J714*J9+Gap!$F$6*K714*K9</f>
        <v>1111.27648121501</v>
      </c>
      <c r="J717" s="33" t="n">
        <f aca="false">J714*(J8+Gap!$D$6*J9)+Gap!$E$6*K714*K9+Gap!$F$6*L714*L9</f>
        <v>1363.40242545036</v>
      </c>
      <c r="K717" s="33" t="n">
        <f aca="false">K714*(K8+Gap!$D$6*K9)+Gap!$E$6*L714*L9+Gap!$F$6*M714*M9</f>
        <v>1150.6406133225</v>
      </c>
    </row>
    <row r="718" customFormat="false" ht="17.15" hidden="false" customHeight="false" outlineLevel="0" collapsed="false">
      <c r="A718" s="5" t="s">
        <v>2925</v>
      </c>
      <c r="B718" s="0" t="s">
        <v>3075</v>
      </c>
      <c r="C718" s="0" t="s">
        <v>395</v>
      </c>
      <c r="E718" s="33" t="n">
        <f aca="false">E539</f>
        <v>60.556995</v>
      </c>
      <c r="F718" s="33" t="n">
        <f aca="false">F539</f>
        <v>92.812193</v>
      </c>
      <c r="G718" s="33" t="n">
        <f aca="false">G539</f>
        <v>184.082278</v>
      </c>
      <c r="H718" s="33" t="n">
        <f aca="false">H539</f>
        <v>212.566374166667</v>
      </c>
      <c r="I718" s="33" t="n">
        <f aca="false">I539</f>
        <v>246.95029175</v>
      </c>
      <c r="J718" s="33" t="n">
        <f aca="false">J539</f>
        <v>277.130736</v>
      </c>
      <c r="K718" s="33" t="n">
        <f aca="false">K539</f>
        <v>299.026397916667</v>
      </c>
    </row>
    <row r="719" customFormat="false" ht="17.15" hidden="false" customHeight="false" outlineLevel="0" collapsed="false">
      <c r="A719" s="5" t="s">
        <v>2927</v>
      </c>
      <c r="B719" s="0" t="s">
        <v>3076</v>
      </c>
      <c r="C719" s="0" t="s">
        <v>395</v>
      </c>
      <c r="E719" s="33" t="n">
        <f aca="false">E542</f>
        <v>335.253</v>
      </c>
      <c r="F719" s="33" t="n">
        <f aca="false">F542</f>
        <v>589.4335</v>
      </c>
      <c r="G719" s="33" t="n">
        <f aca="false">G542</f>
        <v>800.087775083333</v>
      </c>
      <c r="H719" s="33" t="n">
        <f aca="false">H542</f>
        <v>942.583301916667</v>
      </c>
      <c r="I719" s="33" t="n">
        <f aca="false">I542</f>
        <v>1153.28686216667</v>
      </c>
      <c r="J719" s="33" t="n">
        <f aca="false">J542</f>
        <v>1408.73059683333</v>
      </c>
      <c r="K719" s="33" t="n">
        <f aca="false">K542</f>
        <v>1631.71418825</v>
      </c>
    </row>
    <row r="720" customFormat="false" ht="17.15" hidden="false" customHeight="false" outlineLevel="0" collapsed="false">
      <c r="A720" s="5" t="s">
        <v>2929</v>
      </c>
      <c r="B720" s="0" t="s">
        <v>3077</v>
      </c>
      <c r="C720" s="0" t="s">
        <v>395</v>
      </c>
      <c r="E720" s="33" t="n">
        <f aca="false">E544</f>
        <v>38.221</v>
      </c>
      <c r="F720" s="33" t="n">
        <f aca="false">F544</f>
        <v>258.571166666667</v>
      </c>
      <c r="G720" s="33" t="n">
        <f aca="false">0</f>
        <v>0</v>
      </c>
      <c r="H720" s="33" t="n">
        <f aca="false">0</f>
        <v>0</v>
      </c>
      <c r="I720" s="33" t="n">
        <f aca="false">0</f>
        <v>0</v>
      </c>
      <c r="J720" s="33" t="n">
        <f aca="false">0</f>
        <v>0</v>
      </c>
      <c r="K720" s="33" t="n">
        <f aca="false">0</f>
        <v>0</v>
      </c>
    </row>
    <row r="721" customFormat="false" ht="17.15" hidden="false" customHeight="false" outlineLevel="0" collapsed="false">
      <c r="A721" s="22" t="s">
        <v>2931</v>
      </c>
    </row>
    <row r="722" customFormat="false" ht="17.15" hidden="false" customHeight="false" outlineLevel="0" collapsed="false">
      <c r="A722" s="5" t="s">
        <v>2932</v>
      </c>
      <c r="B722" s="0" t="s">
        <v>3078</v>
      </c>
      <c r="C722" s="0" t="s">
        <v>395</v>
      </c>
      <c r="E722" s="40" t="n">
        <f aca="false">(E715*E551+F715*E552+G715*E553)+(E715*E554+F715*E555+G715*E556)</f>
        <v>134.635884875412</v>
      </c>
      <c r="F722" s="40" t="n">
        <f aca="false">(F715*F551+G715*F552+H715*F553)+(F715*F554+G715*F555+H715*F556)</f>
        <v>319.736957219803</v>
      </c>
      <c r="G722" s="40" t="n">
        <f aca="false">(G715*G551+H715*G552+I715*G553)+(G715*G554+H715*G555+I715*G556)</f>
        <v>377.694463186201</v>
      </c>
      <c r="H722" s="40" t="n">
        <f aca="false">(H715*H551+I715*H552+J715*H553)+(H715*H554+I715*H555+J715*H556)</f>
        <v>532.301090864642</v>
      </c>
      <c r="I722" s="40" t="n">
        <f aca="false">(I715*I551+J715*I552+K715*I553)+(I715*I554+J715*I555+K715*I556)</f>
        <v>942.204721177105</v>
      </c>
      <c r="J722" s="40" t="n">
        <f aca="false">(J715*J551+K715*J552+L715*J553)+(J715*J554+K715*J555+L715*J556)</f>
        <v>1225.07575015188</v>
      </c>
      <c r="K722" s="40" t="n">
        <f aca="false">(K715*K551+L715*K552+M715*K553)+(K715*K554+L715*K555+M715*K556)</f>
        <v>1158.12475624359</v>
      </c>
    </row>
    <row r="723" customFormat="false" ht="15" hidden="false" customHeight="false" outlineLevel="0" collapsed="false">
      <c r="A723" s="5" t="s">
        <v>2934</v>
      </c>
      <c r="B723" s="0" t="s">
        <v>3079</v>
      </c>
      <c r="C723" s="0" t="s">
        <v>395</v>
      </c>
      <c r="E723" s="33" t="n">
        <f aca="false">E722+E718</f>
        <v>195.192879875412</v>
      </c>
      <c r="F723" s="33" t="n">
        <f aca="false">F722+F718</f>
        <v>412.549150219803</v>
      </c>
      <c r="G723" s="33" t="n">
        <f aca="false">G722+G718</f>
        <v>561.776741186201</v>
      </c>
      <c r="H723" s="33" t="n">
        <f aca="false">H722+H718</f>
        <v>744.867465031309</v>
      </c>
      <c r="I723" s="33" t="n">
        <f aca="false">I722+I718</f>
        <v>1189.1550129271</v>
      </c>
      <c r="J723" s="33" t="n">
        <f aca="false">J722+J718</f>
        <v>1502.20648615188</v>
      </c>
      <c r="K723" s="33" t="n">
        <f aca="false">K722+K718</f>
        <v>1457.15115416025</v>
      </c>
    </row>
    <row r="724" customFormat="false" ht="15" hidden="false" customHeight="false" outlineLevel="0" collapsed="false">
      <c r="A724" s="5" t="s">
        <v>2936</v>
      </c>
      <c r="B724" s="0" t="s">
        <v>3080</v>
      </c>
      <c r="C724" s="0" t="s">
        <v>395</v>
      </c>
      <c r="E724" s="40" t="n">
        <f aca="false">E723-E719-E720</f>
        <v>-178.281120124588</v>
      </c>
      <c r="F724" s="40" t="n">
        <f aca="false">F723-F719-F720</f>
        <v>-435.455516446863</v>
      </c>
      <c r="G724" s="40" t="n">
        <f aca="false">G723-G719-G720</f>
        <v>-238.311033897133</v>
      </c>
      <c r="H724" s="40" t="n">
        <f aca="false">H723-H719-H720</f>
        <v>-197.715836885358</v>
      </c>
      <c r="I724" s="40" t="n">
        <f aca="false">I723-I719-I720</f>
        <v>35.8681507604381</v>
      </c>
      <c r="J724" s="40" t="n">
        <f aca="false">J723-J719-J720</f>
        <v>93.4758893185467</v>
      </c>
      <c r="K724" s="40" t="n">
        <f aca="false">K723-K719-K720</f>
        <v>-174.563034089746</v>
      </c>
    </row>
    <row r="725" customFormat="false" ht="17.15" hidden="false" customHeight="false" outlineLevel="0" collapsed="false">
      <c r="A725" s="5" t="s">
        <v>2938</v>
      </c>
      <c r="B725" s="0" t="s">
        <v>3081</v>
      </c>
      <c r="C725" s="0" t="s">
        <v>395</v>
      </c>
      <c r="G725" s="33" t="n">
        <f aca="false">SUM($G724:G724)</f>
        <v>-238.311033897133</v>
      </c>
      <c r="H725" s="33" t="n">
        <f aca="false">SUM($G724:H724)</f>
        <v>-436.02687078249</v>
      </c>
      <c r="I725" s="33" t="n">
        <f aca="false">SUM($G724:I724)</f>
        <v>-400.158720022052</v>
      </c>
      <c r="J725" s="33" t="n">
        <f aca="false">SUM($G724:J724)</f>
        <v>-306.682830703506</v>
      </c>
      <c r="K725" s="33" t="n">
        <f aca="false">SUM($G724:K724)</f>
        <v>-481.245864793252</v>
      </c>
    </row>
    <row r="726" customFormat="false" ht="15" hidden="false" customHeight="false" outlineLevel="0" collapsed="false">
      <c r="A726" s="5" t="s">
        <v>2940</v>
      </c>
      <c r="B726" s="0" t="s">
        <v>3082</v>
      </c>
      <c r="C726" s="0" t="s">
        <v>395</v>
      </c>
      <c r="G726" s="40" t="n">
        <f aca="false">G725-G546</f>
        <v>-769.328574897133</v>
      </c>
      <c r="H726" s="40" t="n">
        <f aca="false">H725-G546</f>
        <v>-967.04441178249</v>
      </c>
      <c r="I726" s="40" t="n">
        <f aca="false">I725-G546</f>
        <v>-931.176261022052</v>
      </c>
      <c r="J726" s="40" t="n">
        <f aca="false">J725-G546</f>
        <v>-837.700371703506</v>
      </c>
      <c r="K726" s="40" t="n">
        <f aca="false">K725-G546</f>
        <v>-1012.26340579325</v>
      </c>
    </row>
    <row r="727" customFormat="false" ht="15" hidden="false" customHeight="false" outlineLevel="0" collapsed="false">
      <c r="A727" s="5" t="s">
        <v>2942</v>
      </c>
      <c r="B727" s="0" t="s">
        <v>3083</v>
      </c>
      <c r="C727" s="0" t="s">
        <v>395</v>
      </c>
      <c r="G727" s="33" t="n">
        <f aca="false">G726-G547</f>
        <v>-2088.73857489713</v>
      </c>
      <c r="H727" s="33" t="n">
        <f aca="false">H726-G547</f>
        <v>-2286.45441178249</v>
      </c>
      <c r="I727" s="33" t="n">
        <f aca="false">I726-G547</f>
        <v>-2250.58626102205</v>
      </c>
      <c r="J727" s="33" t="n">
        <f aca="false">J726-G547</f>
        <v>-2157.11037170351</v>
      </c>
      <c r="K727" s="33" t="n">
        <f aca="false">K726-G547</f>
        <v>-2331.67340579325</v>
      </c>
    </row>
    <row r="728" customFormat="false" ht="15" hidden="false" customHeight="false" outlineLevel="0" collapsed="false">
      <c r="A728" s="5" t="s">
        <v>2944</v>
      </c>
      <c r="B728" s="0" t="s">
        <v>3084</v>
      </c>
      <c r="C728" s="0" t="s">
        <v>395</v>
      </c>
      <c r="E728" s="33" t="n">
        <f aca="false">E719-E723</f>
        <v>140.060120124588</v>
      </c>
      <c r="F728" s="33" t="n">
        <f aca="false">F719-F723</f>
        <v>176.884349780197</v>
      </c>
      <c r="G728" s="33" t="n">
        <f aca="false">G719-G723</f>
        <v>238.311033897133</v>
      </c>
      <c r="H728" s="33" t="n">
        <f aca="false">H719-H723</f>
        <v>197.715836885358</v>
      </c>
      <c r="I728" s="33" t="n">
        <f aca="false">I719-I723</f>
        <v>-35.8681507604381</v>
      </c>
      <c r="J728" s="33" t="n">
        <f aca="false">J719-J723</f>
        <v>-93.4758893185467</v>
      </c>
      <c r="K728" s="33" t="n">
        <f aca="false">K719-K723</f>
        <v>174.563034089746</v>
      </c>
    </row>
    <row r="729" customFormat="false" ht="15" hidden="false" customHeight="false" outlineLevel="0" collapsed="false">
      <c r="A729" s="5" t="s">
        <v>2404</v>
      </c>
      <c r="B729" s="0" t="s">
        <v>3085</v>
      </c>
      <c r="C729" s="0" t="s">
        <v>57</v>
      </c>
      <c r="E729" s="23" t="n">
        <f aca="false">IF(E723&lt;=0,"",(E723-E719)/E723)</f>
        <v>-0.717547280484748</v>
      </c>
      <c r="F729" s="23" t="n">
        <f aca="false">IF(F723&lt;=0,"",(F723-F719)/F723)</f>
        <v>-0.428759457354242</v>
      </c>
      <c r="G729" s="23" t="n">
        <f aca="false">IF(G723&lt;=0,"",(G723-G719)/G723)</f>
        <v>-0.424209506064518</v>
      </c>
      <c r="H729" s="23" t="n">
        <f aca="false">IF(H723&lt;=0,"",(H723-H719)/H723)</f>
        <v>-0.265437606241866</v>
      </c>
      <c r="I729" s="23" t="n">
        <f aca="false">IF(I723&lt;=0,"",(I723-I719)/I723)</f>
        <v>0.0301627208988916</v>
      </c>
      <c r="J729" s="23" t="n">
        <f aca="false">IF(J723&lt;=0,"",(J723-J719)/J723)</f>
        <v>0.0622257260771113</v>
      </c>
      <c r="K729" s="23" t="n">
        <f aca="false">IF(K723&lt;=0,"",(K723-K719)/K723)</f>
        <v>-0.119797478519204</v>
      </c>
    </row>
    <row r="730" customFormat="false" ht="17.15" hidden="false" customHeight="false" outlineLevel="0" collapsed="false">
      <c r="A730" s="5" t="s">
        <v>2947</v>
      </c>
      <c r="B730" s="0" t="s">
        <v>3086</v>
      </c>
      <c r="D730" s="0" t="str">
        <f aca="false">IF(G550&gt;0,"未定（資料不足）",IF(OR(K728&lt;0,OR(AND(N(G729)&gt;0.3,N(H729)&gt;0.3,N(I729)&gt;0.3),AND(N(H729)&gt;0.3,N(I729)&gt;0.3,N(J729)&gt;0.3),AND(N(I729)&gt;0.3,N(J729)&gt;0.3,N(K729)&gt;0.3))),"OpenAI 型",IF(MIN(G728:K728)&gt;=0,"Anthropic 型（2026–2030 皆為正）","Anthropic 型（"&amp;IF(AND(G728&gt;=0,H728&gt;=0,I728&gt;=0,J728&gt;=0,K728&gt;=0),"2026",IF(AND(H728&gt;=0,I728&gt;=0,J728&gt;=0,K728&gt;=0),"2027",IF(AND(I728&gt;=0,J728&gt;=0,K728&gt;=0),"2028",IF(AND(J728&gt;=0,K728&gt;=0),"2029",IF(AND(K728&gt;=0),"2030","—")))))&amp;" 起轉正）")))</f>
        <v>Anthropic 型（2030 起轉正）</v>
      </c>
    </row>
    <row r="731" customFormat="false" ht="17.15" hidden="false" customHeight="false" outlineLevel="0" collapsed="false">
      <c r="A731" s="22" t="s">
        <v>2949</v>
      </c>
    </row>
    <row r="732" customFormat="false" ht="17.15" hidden="false" customHeight="false" outlineLevel="0" collapsed="false">
      <c r="A732" s="5" t="s">
        <v>2932</v>
      </c>
      <c r="B732" s="0" t="s">
        <v>3087</v>
      </c>
      <c r="C732" s="0" t="s">
        <v>395</v>
      </c>
      <c r="E732" s="40" t="n">
        <f aca="false">(E715*E551+F715*E552+G715*E553)+(E715*E554+F715*E555+G715*E556)</f>
        <v>134.635884875412</v>
      </c>
      <c r="F732" s="40" t="n">
        <f aca="false">(F715*F551+G715*F552+H715*F553)+(F715*F554+G715*F555+H715*F556)</f>
        <v>319.736957219803</v>
      </c>
      <c r="G732" s="40" t="n">
        <f aca="false">(G715*G551+H715*G552+I715*G553)+(G715*G554+H715*G555+I715*G556)</f>
        <v>377.694463186201</v>
      </c>
      <c r="H732" s="40" t="n">
        <f aca="false">H715*H557+(H715*H554+I715*H555+J715*H556)</f>
        <v>502.084011668177</v>
      </c>
      <c r="I732" s="40" t="n">
        <f aca="false">I715*I557+(I715*I554+J715*I555+K715*I556)</f>
        <v>869.72133059607</v>
      </c>
      <c r="J732" s="40" t="n">
        <f aca="false">J715*J557+(J715*J554+K715*J555+L715*J556)</f>
        <v>1021.11928580211</v>
      </c>
      <c r="K732" s="40" t="n">
        <f aca="false">K715*K557+(K715*K554+L715*K555+M715*K556)</f>
        <v>720.11954361231</v>
      </c>
    </row>
    <row r="733" customFormat="false" ht="15" hidden="false" customHeight="false" outlineLevel="0" collapsed="false">
      <c r="A733" s="5" t="s">
        <v>2934</v>
      </c>
      <c r="B733" s="0" t="s">
        <v>3088</v>
      </c>
      <c r="C733" s="0" t="s">
        <v>395</v>
      </c>
      <c r="E733" s="33" t="n">
        <f aca="false">E732+E718</f>
        <v>195.192879875412</v>
      </c>
      <c r="F733" s="33" t="n">
        <f aca="false">F732+F718</f>
        <v>412.549150219803</v>
      </c>
      <c r="G733" s="33" t="n">
        <f aca="false">G732+G718</f>
        <v>561.776741186201</v>
      </c>
      <c r="H733" s="33" t="n">
        <f aca="false">H732+H718</f>
        <v>714.650385834844</v>
      </c>
      <c r="I733" s="33" t="n">
        <f aca="false">I732+I718</f>
        <v>1116.67162234607</v>
      </c>
      <c r="J733" s="33" t="n">
        <f aca="false">J732+J718</f>
        <v>1298.25002180211</v>
      </c>
      <c r="K733" s="33" t="n">
        <f aca="false">K732+K718</f>
        <v>1019.14594152898</v>
      </c>
    </row>
    <row r="734" customFormat="false" ht="15" hidden="false" customHeight="false" outlineLevel="0" collapsed="false">
      <c r="A734" s="5" t="s">
        <v>2936</v>
      </c>
      <c r="B734" s="0" t="s">
        <v>3089</v>
      </c>
      <c r="C734" s="0" t="s">
        <v>395</v>
      </c>
      <c r="E734" s="40" t="n">
        <f aca="false">E733-E719-E720</f>
        <v>-178.281120124588</v>
      </c>
      <c r="F734" s="40" t="n">
        <f aca="false">F733-F719-F720</f>
        <v>-435.455516446863</v>
      </c>
      <c r="G734" s="40" t="n">
        <f aca="false">G733-G719-G720</f>
        <v>-238.311033897133</v>
      </c>
      <c r="H734" s="40" t="n">
        <f aca="false">H733-H719-H720</f>
        <v>-227.932916081823</v>
      </c>
      <c r="I734" s="40" t="n">
        <f aca="false">I733-I719-I720</f>
        <v>-36.6152398205968</v>
      </c>
      <c r="J734" s="40" t="n">
        <f aca="false">J733-J719-J720</f>
        <v>-110.480575031227</v>
      </c>
      <c r="K734" s="40" t="n">
        <f aca="false">K733-K719-K720</f>
        <v>-612.568246721023</v>
      </c>
    </row>
    <row r="735" customFormat="false" ht="17.15" hidden="false" customHeight="false" outlineLevel="0" collapsed="false">
      <c r="A735" s="5" t="s">
        <v>2938</v>
      </c>
      <c r="B735" s="0" t="s">
        <v>3090</v>
      </c>
      <c r="C735" s="0" t="s">
        <v>395</v>
      </c>
      <c r="G735" s="33" t="n">
        <f aca="false">SUM($G734:G734)</f>
        <v>-238.311033897133</v>
      </c>
      <c r="H735" s="33" t="n">
        <f aca="false">SUM($G734:H734)</f>
        <v>-466.243949978955</v>
      </c>
      <c r="I735" s="33" t="n">
        <f aca="false">SUM($G734:I734)</f>
        <v>-502.859189799552</v>
      </c>
      <c r="J735" s="33" t="n">
        <f aca="false">SUM($G734:J734)</f>
        <v>-613.339764830779</v>
      </c>
      <c r="K735" s="33" t="n">
        <f aca="false">SUM($G734:K734)</f>
        <v>-1225.9080115518</v>
      </c>
    </row>
    <row r="736" customFormat="false" ht="15" hidden="false" customHeight="false" outlineLevel="0" collapsed="false">
      <c r="A736" s="5" t="s">
        <v>2940</v>
      </c>
      <c r="B736" s="0" t="s">
        <v>3091</v>
      </c>
      <c r="C736" s="0" t="s">
        <v>395</v>
      </c>
      <c r="G736" s="40" t="n">
        <f aca="false">G735-G546</f>
        <v>-769.328574897133</v>
      </c>
      <c r="H736" s="40" t="n">
        <f aca="false">H735-G546</f>
        <v>-997.261490978955</v>
      </c>
      <c r="I736" s="40" t="n">
        <f aca="false">I735-G546</f>
        <v>-1033.87673079955</v>
      </c>
      <c r="J736" s="40" t="n">
        <f aca="false">J735-G546</f>
        <v>-1144.35730583078</v>
      </c>
      <c r="K736" s="40" t="n">
        <f aca="false">K735-G546</f>
        <v>-1756.9255525518</v>
      </c>
    </row>
    <row r="737" customFormat="false" ht="15" hidden="false" customHeight="false" outlineLevel="0" collapsed="false">
      <c r="A737" s="5" t="s">
        <v>2942</v>
      </c>
      <c r="B737" s="0" t="s">
        <v>3092</v>
      </c>
      <c r="C737" s="0" t="s">
        <v>395</v>
      </c>
      <c r="G737" s="33" t="n">
        <f aca="false">G736-G547</f>
        <v>-2088.73857489713</v>
      </c>
      <c r="H737" s="33" t="n">
        <f aca="false">H736-G547</f>
        <v>-2316.67149097896</v>
      </c>
      <c r="I737" s="33" t="n">
        <f aca="false">I736-G547</f>
        <v>-2353.28673079955</v>
      </c>
      <c r="J737" s="33" t="n">
        <f aca="false">J736-G547</f>
        <v>-2463.76730583078</v>
      </c>
      <c r="K737" s="33" t="n">
        <f aca="false">K736-G547</f>
        <v>-3076.3355525518</v>
      </c>
    </row>
    <row r="738" customFormat="false" ht="15" hidden="false" customHeight="false" outlineLevel="0" collapsed="false">
      <c r="A738" s="5" t="s">
        <v>2944</v>
      </c>
      <c r="B738" s="0" t="s">
        <v>3093</v>
      </c>
      <c r="C738" s="0" t="s">
        <v>395</v>
      </c>
      <c r="E738" s="33" t="n">
        <f aca="false">E719-E733</f>
        <v>140.060120124588</v>
      </c>
      <c r="F738" s="33" t="n">
        <f aca="false">F719-F733</f>
        <v>176.884349780197</v>
      </c>
      <c r="G738" s="33" t="n">
        <f aca="false">G719-G733</f>
        <v>238.311033897133</v>
      </c>
      <c r="H738" s="33" t="n">
        <f aca="false">H719-H733</f>
        <v>227.932916081823</v>
      </c>
      <c r="I738" s="33" t="n">
        <f aca="false">I719-I733</f>
        <v>36.6152398205968</v>
      </c>
      <c r="J738" s="33" t="n">
        <f aca="false">J719-J733</f>
        <v>110.480575031227</v>
      </c>
      <c r="K738" s="33" t="n">
        <f aca="false">K719-K733</f>
        <v>612.568246721023</v>
      </c>
    </row>
    <row r="739" customFormat="false" ht="15" hidden="false" customHeight="false" outlineLevel="0" collapsed="false">
      <c r="A739" s="5" t="s">
        <v>2404</v>
      </c>
      <c r="B739" s="0" t="s">
        <v>3094</v>
      </c>
      <c r="C739" s="0" t="s">
        <v>57</v>
      </c>
      <c r="E739" s="23" t="n">
        <f aca="false">IF(E733&lt;=0,"",(E733-E719)/E733)</f>
        <v>-0.717547280484748</v>
      </c>
      <c r="F739" s="23" t="n">
        <f aca="false">IF(F733&lt;=0,"",(F733-F719)/F733)</f>
        <v>-0.428759457354242</v>
      </c>
      <c r="G739" s="23" t="n">
        <f aca="false">IF(G733&lt;=0,"",(G733-G719)/G733)</f>
        <v>-0.424209506064518</v>
      </c>
      <c r="H739" s="23" t="n">
        <f aca="false">IF(H733&lt;=0,"",(H733-H719)/H733)</f>
        <v>-0.318943249174287</v>
      </c>
      <c r="I739" s="23" t="n">
        <f aca="false">IF(I733&lt;=0,"",(I733-I719)/I733)</f>
        <v>-0.0327896214857418</v>
      </c>
      <c r="J739" s="23" t="n">
        <f aca="false">IF(J733&lt;=0,"",(J733-J719)/J733)</f>
        <v>-0.0850996134611027</v>
      </c>
      <c r="K739" s="23" t="n">
        <f aca="false">IF(K733&lt;=0,"",(K733-K719)/K733)</f>
        <v>-0.601060379833349</v>
      </c>
    </row>
    <row r="740" customFormat="false" ht="17.15" hidden="false" customHeight="false" outlineLevel="0" collapsed="false">
      <c r="A740" s="5" t="s">
        <v>2958</v>
      </c>
      <c r="B740" s="0" t="s">
        <v>3095</v>
      </c>
      <c r="D740" s="0" t="str">
        <f aca="false">IF(G550&gt;0,"未定（資料不足）",IF(OR(K738&lt;0,OR(AND(N(G739)&gt;0.3,N(H739)&gt;0.3,N(I739)&gt;0.3),AND(N(H739)&gt;0.3,N(I739)&gt;0.3,N(J739)&gt;0.3),AND(N(I739)&gt;0.3,N(J739)&gt;0.3,N(K739)&gt;0.3))),"OpenAI 型",IF(MIN(G738:K738)&gt;=0,"Anthropic 型（2026–2030 皆為正）","Anthropic 型（"&amp;IF(AND(G738&gt;=0,H738&gt;=0,I738&gt;=0,J738&gt;=0,K738&gt;=0),"2026",IF(AND(H738&gt;=0,I738&gt;=0,J738&gt;=0,K738&gt;=0),"2027",IF(AND(I738&gt;=0,J738&gt;=0,K738&gt;=0),"2028",IF(AND(J738&gt;=0,K738&gt;=0),"2029",IF(AND(K738&gt;=0),"2030","—")))))&amp;" 起轉正）")))</f>
        <v>Anthropic 型（2026–2030 皆為正）</v>
      </c>
    </row>
    <row r="741" customFormat="false" ht="17.15" hidden="false" customHeight="false" outlineLevel="0" collapsed="false">
      <c r="A741" s="5" t="s">
        <v>2960</v>
      </c>
      <c r="B741" s="0" t="s">
        <v>3096</v>
      </c>
      <c r="C741" s="0" t="s">
        <v>57</v>
      </c>
      <c r="E741" s="23" t="n">
        <f aca="false">IF(E717&lt;=0,"",(E722-E715*E535)/E717)</f>
        <v>0.816901762584096</v>
      </c>
      <c r="F741" s="23" t="n">
        <f aca="false">IF(F717&lt;=0,"",(F722-F715*F535)/F717)</f>
        <v>0.854460356132562</v>
      </c>
      <c r="G741" s="23" t="n">
        <f aca="false">IF(G717&lt;=0,"",(G722-G715*G535)/G717)</f>
        <v>0.669014453278282</v>
      </c>
      <c r="H741" s="23" t="n">
        <f aca="false">IF(H717&lt;=0,"",(H722-H715*H535)/H717)</f>
        <v>0.728737488919119</v>
      </c>
      <c r="I741" s="23" t="n">
        <f aca="false">IF(I717&lt;=0,"",(I722-I715*I535)/I717)</f>
        <v>0.744272591231188</v>
      </c>
      <c r="J741" s="23" t="n">
        <f aca="false">IF(J717&lt;=0,"",(J722-J715*J535)/J717)</f>
        <v>0.811285349439084</v>
      </c>
      <c r="K741" s="23" t="n">
        <f aca="false">IF(K717&lt;=0,"",(K722-K715*K535)/K717)</f>
        <v>0.935847295004497</v>
      </c>
    </row>
    <row r="743" customFormat="false" ht="17.15" hidden="false" customHeight="false" outlineLevel="0" collapsed="false">
      <c r="A743" s="22" t="s">
        <v>3097</v>
      </c>
    </row>
    <row r="744" customFormat="false" ht="17.15" hidden="false" customHeight="false" outlineLevel="0" collapsed="false">
      <c r="A744" s="5" t="s">
        <v>2917</v>
      </c>
      <c r="B744" s="0" t="s">
        <v>3098</v>
      </c>
      <c r="C744" s="0" t="s">
        <v>82</v>
      </c>
      <c r="D744" s="25" t="n">
        <f aca="false">Deploy!D51</f>
        <v>0</v>
      </c>
      <c r="E744" s="25" t="n">
        <f aca="false">Deploy!E51</f>
        <v>1.61980834349181</v>
      </c>
      <c r="F744" s="25" t="n">
        <f aca="false">Deploy!F51</f>
        <v>9.04912429484716</v>
      </c>
      <c r="G744" s="25" t="n">
        <f aca="false">Deploy!G51</f>
        <v>12.5153714610592</v>
      </c>
      <c r="H744" s="25" t="n">
        <f aca="false">Deploy!H51</f>
        <v>23.9622539260371</v>
      </c>
      <c r="I744" s="25" t="n">
        <f aca="false">Deploy!I51</f>
        <v>16.1539756796098</v>
      </c>
      <c r="J744" s="25" t="n">
        <f aca="false">Deploy!J51</f>
        <v>16.5980808629415</v>
      </c>
      <c r="K744" s="25" t="n">
        <f aca="false">Deploy!K51</f>
        <v>16.5732278061264</v>
      </c>
      <c r="L744" s="25" t="n">
        <f aca="false">Deploy!L51</f>
        <v>15.2958799646954</v>
      </c>
      <c r="M744" s="25" t="n">
        <f aca="false">Deploy!M51</f>
        <v>12.6435933033803</v>
      </c>
    </row>
    <row r="745" customFormat="false" ht="17.15" hidden="false" customHeight="false" outlineLevel="0" collapsed="false">
      <c r="A745" s="5" t="s">
        <v>2919</v>
      </c>
      <c r="B745" s="0" t="s">
        <v>3099</v>
      </c>
      <c r="C745" s="0" t="s">
        <v>41</v>
      </c>
      <c r="D745" s="25" t="n">
        <f aca="false">IF(Deploy!D19&lt;=0,1,Deploy!D51/Deploy!D19)</f>
        <v>1</v>
      </c>
      <c r="E745" s="25" t="n">
        <f aca="false">IF(Deploy!E19&lt;=0,1,Deploy!E51/Deploy!E19)</f>
        <v>1</v>
      </c>
      <c r="F745" s="25" t="n">
        <f aca="false">IF(Deploy!F19&lt;=0,1,Deploy!F51/Deploy!F19)</f>
        <v>1</v>
      </c>
      <c r="G745" s="25" t="n">
        <f aca="false">IF(Deploy!G19&lt;=0,1,Deploy!G51/Deploy!G19)</f>
        <v>1</v>
      </c>
      <c r="H745" s="25" t="n">
        <f aca="false">IF(Deploy!H19&lt;=0,1,Deploy!H51/Deploy!H19)</f>
        <v>1</v>
      </c>
      <c r="I745" s="25" t="n">
        <f aca="false">IF(Deploy!I19&lt;=0,1,Deploy!I51/Deploy!I19)</f>
        <v>0.6</v>
      </c>
      <c r="J745" s="25" t="n">
        <f aca="false">IF(Deploy!J19&lt;=0,1,Deploy!J51/Deploy!J19)</f>
        <v>0.6</v>
      </c>
      <c r="K745" s="25" t="n">
        <f aca="false">IF(Deploy!K19&lt;=0,1,Deploy!K51/Deploy!K19)</f>
        <v>0.590390763875796</v>
      </c>
      <c r="L745" s="25" t="n">
        <f aca="false">IF(Deploy!L19&lt;=0,1,Deploy!L51/Deploy!L19)</f>
        <v>0.620664162876296</v>
      </c>
      <c r="M745" s="25" t="n">
        <f aca="false">IF(Deploy!M19&lt;=0,1,Deploy!M51/Deploy!M19)</f>
        <v>0.747621693740084</v>
      </c>
    </row>
    <row r="746" customFormat="false" ht="17.15" hidden="false" customHeight="false" outlineLevel="0" collapsed="false">
      <c r="A746" s="5" t="s">
        <v>2921</v>
      </c>
      <c r="B746" s="0" t="s">
        <v>3100</v>
      </c>
      <c r="C746" s="0" t="s">
        <v>40</v>
      </c>
      <c r="E746" s="0" t="str">
        <f aca="false">IF(Deploy!E19&lt;=0,"r＝1（A／D0 年新增 ≤ 0）","")</f>
        <v/>
      </c>
      <c r="F746" s="0" t="str">
        <f aca="false">IF(Deploy!F19&lt;=0,"r＝1（A／D0 年新增 ≤ 0）","")</f>
        <v/>
      </c>
      <c r="G746" s="0" t="str">
        <f aca="false">IF(Deploy!G19&lt;=0,"r＝1（A／D0 年新增 ≤ 0）","")</f>
        <v/>
      </c>
      <c r="H746" s="0" t="str">
        <f aca="false">IF(Deploy!H19&lt;=0,"r＝1（A／D0 年新增 ≤ 0）","")</f>
        <v/>
      </c>
      <c r="I746" s="0" t="str">
        <f aca="false">IF(Deploy!I19&lt;=0,"r＝1（A／D0 年新增 ≤ 0）","")</f>
        <v/>
      </c>
      <c r="J746" s="0" t="str">
        <f aca="false">IF(Deploy!J19&lt;=0,"r＝1（A／D0 年新增 ≤ 0）","")</f>
        <v/>
      </c>
      <c r="K746" s="0" t="str">
        <f aca="false">IF(Deploy!K19&lt;=0,"r＝1（A／D0 年新增 ≤ 0）","")</f>
        <v/>
      </c>
    </row>
    <row r="747" customFormat="false" ht="17.15" hidden="false" customHeight="false" outlineLevel="0" collapsed="false">
      <c r="A747" s="5" t="s">
        <v>2923</v>
      </c>
      <c r="B747" s="0" t="s">
        <v>3101</v>
      </c>
      <c r="C747" s="0" t="s">
        <v>395</v>
      </c>
      <c r="E747" s="33" t="n">
        <f aca="false">E744*(E8+Gap!$D$6*E9)+Gap!$E$6*F744*F9+Gap!$F$6*G744*G9</f>
        <v>169.535428356269</v>
      </c>
      <c r="F747" s="33" t="n">
        <f aca="false">F744*(F8+Gap!$D$6*F9)+Gap!$E$6*G744*G9+Gap!$F$6*H744*H9</f>
        <v>444.750832678834</v>
      </c>
      <c r="G747" s="33" t="n">
        <f aca="false">G744*(G8+Gap!$D$6*G9)+Gap!$E$6*H744*H9+Gap!$F$6*I744*I9</f>
        <v>624.999690671258</v>
      </c>
      <c r="H747" s="33" t="n">
        <f aca="false">H744*(H8+Gap!$D$6*H9)+Gap!$E$6*I744*I9+Gap!$F$6*J744*J9</f>
        <v>1021.55176405723</v>
      </c>
      <c r="I747" s="33" t="n">
        <f aca="false">I744*(I8+Gap!$D$6*I9)+Gap!$E$6*J744*J9+Gap!$F$6*K744*K9</f>
        <v>788.611587070714</v>
      </c>
      <c r="J747" s="33" t="n">
        <f aca="false">J744*(J8+Gap!$D$6*J9)+Gap!$E$6*K744*K9+Gap!$F$6*L744*L9</f>
        <v>796.837519165939</v>
      </c>
      <c r="K747" s="33" t="n">
        <f aca="false">K744*(K8+Gap!$D$6*K9)+Gap!$E$6*L744*L9+Gap!$F$6*M744*M9</f>
        <v>773.261337699802</v>
      </c>
    </row>
    <row r="748" customFormat="false" ht="17.15" hidden="false" customHeight="false" outlineLevel="0" collapsed="false">
      <c r="A748" s="5" t="s">
        <v>2925</v>
      </c>
      <c r="B748" s="0" t="s">
        <v>3102</v>
      </c>
      <c r="C748" s="0" t="s">
        <v>395</v>
      </c>
      <c r="E748" s="33" t="n">
        <f aca="false">E539</f>
        <v>60.556995</v>
      </c>
      <c r="F748" s="33" t="n">
        <f aca="false">F539</f>
        <v>92.812193</v>
      </c>
      <c r="G748" s="33" t="n">
        <f aca="false">G539</f>
        <v>184.082278</v>
      </c>
      <c r="H748" s="33" t="n">
        <f aca="false">H539</f>
        <v>212.566374166667</v>
      </c>
      <c r="I748" s="33" t="n">
        <f aca="false">I539</f>
        <v>246.95029175</v>
      </c>
      <c r="J748" s="33" t="n">
        <f aca="false">J539</f>
        <v>277.130736</v>
      </c>
      <c r="K748" s="33" t="n">
        <f aca="false">K539</f>
        <v>299.026397916667</v>
      </c>
    </row>
    <row r="749" customFormat="false" ht="17.15" hidden="false" customHeight="false" outlineLevel="0" collapsed="false">
      <c r="A749" s="5" t="s">
        <v>2927</v>
      </c>
      <c r="B749" s="0" t="s">
        <v>3103</v>
      </c>
      <c r="C749" s="0" t="s">
        <v>395</v>
      </c>
      <c r="E749" s="33" t="n">
        <f aca="false">E542</f>
        <v>335.253</v>
      </c>
      <c r="F749" s="33" t="n">
        <f aca="false">F542</f>
        <v>589.4335</v>
      </c>
      <c r="G749" s="33" t="n">
        <f aca="false">G542</f>
        <v>800.087775083333</v>
      </c>
      <c r="H749" s="33" t="n">
        <f aca="false">H542</f>
        <v>942.583301916667</v>
      </c>
      <c r="I749" s="33" t="n">
        <f aca="false">I542</f>
        <v>1153.28686216667</v>
      </c>
      <c r="J749" s="33" t="n">
        <f aca="false">J542</f>
        <v>1408.73059683333</v>
      </c>
      <c r="K749" s="33" t="n">
        <f aca="false">K542</f>
        <v>1631.71418825</v>
      </c>
    </row>
    <row r="750" customFormat="false" ht="17.15" hidden="false" customHeight="false" outlineLevel="0" collapsed="false">
      <c r="A750" s="5" t="s">
        <v>2929</v>
      </c>
      <c r="B750" s="0" t="s">
        <v>3104</v>
      </c>
      <c r="C750" s="0" t="s">
        <v>395</v>
      </c>
      <c r="E750" s="33" t="n">
        <f aca="false">E544</f>
        <v>38.221</v>
      </c>
      <c r="F750" s="33" t="n">
        <f aca="false">F544</f>
        <v>258.571166666667</v>
      </c>
      <c r="G750" s="33" t="n">
        <f aca="false">0</f>
        <v>0</v>
      </c>
      <c r="H750" s="33" t="n">
        <f aca="false">0</f>
        <v>0</v>
      </c>
      <c r="I750" s="33" t="n">
        <f aca="false">0</f>
        <v>0</v>
      </c>
      <c r="J750" s="33" t="n">
        <f aca="false">0</f>
        <v>0</v>
      </c>
      <c r="K750" s="33" t="n">
        <f aca="false">0</f>
        <v>0</v>
      </c>
    </row>
    <row r="751" customFormat="false" ht="17.15" hidden="false" customHeight="false" outlineLevel="0" collapsed="false">
      <c r="A751" s="22" t="s">
        <v>2931</v>
      </c>
    </row>
    <row r="752" customFormat="false" ht="17.15" hidden="false" customHeight="false" outlineLevel="0" collapsed="false">
      <c r="A752" s="5" t="s">
        <v>2932</v>
      </c>
      <c r="B752" s="0" t="s">
        <v>3105</v>
      </c>
      <c r="C752" s="0" t="s">
        <v>395</v>
      </c>
      <c r="E752" s="40" t="n">
        <f aca="false">(E745*E551+F745*E552+G745*E553)+(E745*E554+F745*E555+G745*E556)</f>
        <v>137.658722405791</v>
      </c>
      <c r="F752" s="40" t="n">
        <f aca="false">(F745*F551+G745*F552+H745*F553)+(F745*F554+G745*F555+H745*F556)</f>
        <v>369.33777525741</v>
      </c>
      <c r="G752" s="40" t="n">
        <f aca="false">(G745*G551+H745*G552+I745*G553)+(G745*G554+H745*G555+I745*G556)</f>
        <v>418.176365482323</v>
      </c>
      <c r="H752" s="40" t="n">
        <f aca="false">(H745*H551+I745*H552+J745*H553)+(H745*H554+I745*H555+J745*H556)</f>
        <v>730.483874294955</v>
      </c>
      <c r="I752" s="40" t="n">
        <f aca="false">(I745*I551+J745*I552+K745*I553)+(I745*I554+J745*I555+K745*I556)</f>
        <v>670.386941730352</v>
      </c>
      <c r="J752" s="40" t="n">
        <f aca="false">(J745*J551+K745*J552+L745*J553)+(J745*J554+K745*J555+L745*J556)</f>
        <v>718.580519545146</v>
      </c>
      <c r="K752" s="40" t="n">
        <f aca="false">(K745*K551+L745*K552+M745*K553)+(K745*K554+L745*K555+M745*K556)</f>
        <v>787.653748771603</v>
      </c>
    </row>
    <row r="753" customFormat="false" ht="15" hidden="false" customHeight="false" outlineLevel="0" collapsed="false">
      <c r="A753" s="5" t="s">
        <v>2934</v>
      </c>
      <c r="B753" s="0" t="s">
        <v>3106</v>
      </c>
      <c r="C753" s="0" t="s">
        <v>395</v>
      </c>
      <c r="E753" s="33" t="n">
        <f aca="false">E752+E748</f>
        <v>198.215717405791</v>
      </c>
      <c r="F753" s="33" t="n">
        <f aca="false">F752+F748</f>
        <v>462.14996825741</v>
      </c>
      <c r="G753" s="33" t="n">
        <f aca="false">G752+G748</f>
        <v>602.258643482323</v>
      </c>
      <c r="H753" s="33" t="n">
        <f aca="false">H752+H748</f>
        <v>943.050248461622</v>
      </c>
      <c r="I753" s="33" t="n">
        <f aca="false">I752+I748</f>
        <v>917.337233480352</v>
      </c>
      <c r="J753" s="33" t="n">
        <f aca="false">J752+J748</f>
        <v>995.711255545146</v>
      </c>
      <c r="K753" s="33" t="n">
        <f aca="false">K752+K748</f>
        <v>1086.68014668827</v>
      </c>
    </row>
    <row r="754" customFormat="false" ht="15" hidden="false" customHeight="false" outlineLevel="0" collapsed="false">
      <c r="A754" s="5" t="s">
        <v>2936</v>
      </c>
      <c r="B754" s="0" t="s">
        <v>3107</v>
      </c>
      <c r="C754" s="0" t="s">
        <v>395</v>
      </c>
      <c r="E754" s="40" t="n">
        <f aca="false">E753-E749-E750</f>
        <v>-175.258282594209</v>
      </c>
      <c r="F754" s="40" t="n">
        <f aca="false">F753-F749-F750</f>
        <v>-385.854698409257</v>
      </c>
      <c r="G754" s="40" t="n">
        <f aca="false">G753-G749-G750</f>
        <v>-197.82913160101</v>
      </c>
      <c r="H754" s="40" t="n">
        <f aca="false">H753-H749-H750</f>
        <v>0.466946544955363</v>
      </c>
      <c r="I754" s="40" t="n">
        <f aca="false">I753-I749-I750</f>
        <v>-235.949628686315</v>
      </c>
      <c r="J754" s="40" t="n">
        <f aca="false">J753-J749-J750</f>
        <v>-413.019341288187</v>
      </c>
      <c r="K754" s="40" t="n">
        <f aca="false">K753-K749-K750</f>
        <v>-545.034041561731</v>
      </c>
    </row>
    <row r="755" customFormat="false" ht="17.15" hidden="false" customHeight="false" outlineLevel="0" collapsed="false">
      <c r="A755" s="5" t="s">
        <v>2938</v>
      </c>
      <c r="B755" s="0" t="s">
        <v>3108</v>
      </c>
      <c r="C755" s="0" t="s">
        <v>395</v>
      </c>
      <c r="G755" s="33" t="n">
        <f aca="false">SUM($G754:G754)</f>
        <v>-197.82913160101</v>
      </c>
      <c r="H755" s="33" t="n">
        <f aca="false">SUM($G754:H754)</f>
        <v>-197.362185056055</v>
      </c>
      <c r="I755" s="33" t="n">
        <f aca="false">SUM($G754:I754)</f>
        <v>-433.31181374237</v>
      </c>
      <c r="J755" s="33" t="n">
        <f aca="false">SUM($G754:J754)</f>
        <v>-846.331155030557</v>
      </c>
      <c r="K755" s="33" t="n">
        <f aca="false">SUM($G754:K754)</f>
        <v>-1391.36519659229</v>
      </c>
    </row>
    <row r="756" customFormat="false" ht="15" hidden="false" customHeight="false" outlineLevel="0" collapsed="false">
      <c r="A756" s="5" t="s">
        <v>2940</v>
      </c>
      <c r="B756" s="0" t="s">
        <v>3109</v>
      </c>
      <c r="C756" s="0" t="s">
        <v>395</v>
      </c>
      <c r="G756" s="40" t="n">
        <f aca="false">G755-G546</f>
        <v>-728.84667260101</v>
      </c>
      <c r="H756" s="40" t="n">
        <f aca="false">H755-G546</f>
        <v>-728.379726056055</v>
      </c>
      <c r="I756" s="40" t="n">
        <f aca="false">I755-G546</f>
        <v>-964.32935474237</v>
      </c>
      <c r="J756" s="40" t="n">
        <f aca="false">J755-G546</f>
        <v>-1377.34869603056</v>
      </c>
      <c r="K756" s="40" t="n">
        <f aca="false">K755-G546</f>
        <v>-1922.38273759229</v>
      </c>
    </row>
    <row r="757" customFormat="false" ht="15" hidden="false" customHeight="false" outlineLevel="0" collapsed="false">
      <c r="A757" s="5" t="s">
        <v>2942</v>
      </c>
      <c r="B757" s="0" t="s">
        <v>3110</v>
      </c>
      <c r="C757" s="0" t="s">
        <v>395</v>
      </c>
      <c r="G757" s="33" t="n">
        <f aca="false">G756-G547</f>
        <v>-2048.25667260101</v>
      </c>
      <c r="H757" s="33" t="n">
        <f aca="false">H756-G547</f>
        <v>-2047.78972605605</v>
      </c>
      <c r="I757" s="33" t="n">
        <f aca="false">I756-G547</f>
        <v>-2283.73935474237</v>
      </c>
      <c r="J757" s="33" t="n">
        <f aca="false">J756-G547</f>
        <v>-2696.75869603056</v>
      </c>
      <c r="K757" s="33" t="n">
        <f aca="false">K756-G547</f>
        <v>-3241.79273759229</v>
      </c>
    </row>
    <row r="758" customFormat="false" ht="15" hidden="false" customHeight="false" outlineLevel="0" collapsed="false">
      <c r="A758" s="5" t="s">
        <v>2944</v>
      </c>
      <c r="B758" s="0" t="s">
        <v>3111</v>
      </c>
      <c r="C758" s="0" t="s">
        <v>395</v>
      </c>
      <c r="E758" s="33" t="n">
        <f aca="false">E749-E753</f>
        <v>137.037282594209</v>
      </c>
      <c r="F758" s="33" t="n">
        <f aca="false">F749-F753</f>
        <v>127.28353174259</v>
      </c>
      <c r="G758" s="33" t="n">
        <f aca="false">G749-G753</f>
        <v>197.82913160101</v>
      </c>
      <c r="H758" s="33" t="n">
        <f aca="false">H749-H753</f>
        <v>-0.466946544955363</v>
      </c>
      <c r="I758" s="33" t="n">
        <f aca="false">I749-I753</f>
        <v>235.949628686315</v>
      </c>
      <c r="J758" s="33" t="n">
        <f aca="false">J749-J753</f>
        <v>413.019341288187</v>
      </c>
      <c r="K758" s="33" t="n">
        <f aca="false">K749-K753</f>
        <v>545.034041561731</v>
      </c>
    </row>
    <row r="759" customFormat="false" ht="15" hidden="false" customHeight="false" outlineLevel="0" collapsed="false">
      <c r="A759" s="5" t="s">
        <v>2404</v>
      </c>
      <c r="B759" s="0" t="s">
        <v>3112</v>
      </c>
      <c r="C759" s="0" t="s">
        <v>57</v>
      </c>
      <c r="E759" s="23" t="n">
        <f aca="false">IF(E753&lt;=0,"",(E753-E749)/E753)</f>
        <v>-0.691354269922319</v>
      </c>
      <c r="F759" s="23" t="n">
        <f aca="false">IF(F753&lt;=0,"",(F753-F749)/F753)</f>
        <v>-0.275416078080731</v>
      </c>
      <c r="G759" s="23" t="n">
        <f aca="false">IF(G753&lt;=0,"",(G753-G749)/G753)</f>
        <v>-0.328478692239503</v>
      </c>
      <c r="H759" s="23" t="n">
        <f aca="false">IF(H753&lt;=0,"",(H753-H749)/H753)</f>
        <v>0.000495144925434337</v>
      </c>
      <c r="I759" s="23" t="n">
        <f aca="false">IF(I753&lt;=0,"",(I753-I749)/I753)</f>
        <v>-0.257211437707732</v>
      </c>
      <c r="J759" s="23" t="n">
        <f aca="false">IF(J753&lt;=0,"",(J753-J749)/J753)</f>
        <v>-0.41479830521958</v>
      </c>
      <c r="K759" s="23" t="n">
        <f aca="false">IF(K753&lt;=0,"",(K753-K749)/K753)</f>
        <v>-0.501558847120525</v>
      </c>
    </row>
    <row r="760" customFormat="false" ht="17.15" hidden="false" customHeight="false" outlineLevel="0" collapsed="false">
      <c r="A760" s="5" t="s">
        <v>2947</v>
      </c>
      <c r="B760" s="0" t="s">
        <v>3113</v>
      </c>
      <c r="D760" s="0" t="str">
        <f aca="false">IF(G550&gt;0,"未定（資料不足）",IF(OR(K758&lt;0,OR(AND(N(G759)&gt;0.3,N(H759)&gt;0.3,N(I759)&gt;0.3),AND(N(H759)&gt;0.3,N(I759)&gt;0.3,N(J759)&gt;0.3),AND(N(I759)&gt;0.3,N(J759)&gt;0.3,N(K759)&gt;0.3))),"OpenAI 型",IF(MIN(G758:K758)&gt;=0,"Anthropic 型（2026–2030 皆為正）","Anthropic 型（"&amp;IF(AND(G758&gt;=0,H758&gt;=0,I758&gt;=0,J758&gt;=0,K758&gt;=0),"2026",IF(AND(H758&gt;=0,I758&gt;=0,J758&gt;=0,K758&gt;=0),"2027",IF(AND(I758&gt;=0,J758&gt;=0,K758&gt;=0),"2028",IF(AND(J758&gt;=0,K758&gt;=0),"2029",IF(AND(K758&gt;=0),"2030","—")))))&amp;" 起轉正）")))</f>
        <v>Anthropic 型（2028 起轉正）</v>
      </c>
    </row>
    <row r="761" customFormat="false" ht="17.15" hidden="false" customHeight="false" outlineLevel="0" collapsed="false">
      <c r="A761" s="22" t="s">
        <v>2949</v>
      </c>
    </row>
    <row r="762" customFormat="false" ht="17.15" hidden="false" customHeight="false" outlineLevel="0" collapsed="false">
      <c r="A762" s="5" t="s">
        <v>2932</v>
      </c>
      <c r="B762" s="0" t="s">
        <v>3114</v>
      </c>
      <c r="C762" s="0" t="s">
        <v>395</v>
      </c>
      <c r="E762" s="40" t="n">
        <f aca="false">(E745*E551+F745*E552+G745*E553)+(E745*E554+F745*E555+G745*E556)</f>
        <v>137.658722405791</v>
      </c>
      <c r="F762" s="40" t="n">
        <f aca="false">(F745*F551+G745*F552+H745*F553)+(F745*F554+G745*F555+H745*F556)</f>
        <v>369.33777525741</v>
      </c>
      <c r="G762" s="40" t="n">
        <f aca="false">(G745*G551+H745*G552+I745*G553)+(G745*G554+H745*G555+I745*G556)</f>
        <v>418.176365482323</v>
      </c>
      <c r="H762" s="40" t="n">
        <f aca="false">H745*H557+(H745*H554+I745*H555+J745*H556)</f>
        <v>959.30962952152</v>
      </c>
      <c r="I762" s="40" t="n">
        <f aca="false">I745*I557+(I745*I554+J745*I555+K745*I556)</f>
        <v>653.5737709</v>
      </c>
      <c r="J762" s="40" t="n">
        <f aca="false">J745*J557+(J745*J554+K745*J555+L745*J556)</f>
        <v>572.8193214</v>
      </c>
      <c r="K762" s="40" t="n">
        <f aca="false">K745*K557+(K745*K554+L745*K555+M745*K556)</f>
        <v>472.069844878492</v>
      </c>
    </row>
    <row r="763" customFormat="false" ht="15" hidden="false" customHeight="false" outlineLevel="0" collapsed="false">
      <c r="A763" s="5" t="s">
        <v>2934</v>
      </c>
      <c r="B763" s="0" t="s">
        <v>3115</v>
      </c>
      <c r="C763" s="0" t="s">
        <v>395</v>
      </c>
      <c r="E763" s="33" t="n">
        <f aca="false">E762+E748</f>
        <v>198.215717405791</v>
      </c>
      <c r="F763" s="33" t="n">
        <f aca="false">F762+F748</f>
        <v>462.14996825741</v>
      </c>
      <c r="G763" s="33" t="n">
        <f aca="false">G762+G748</f>
        <v>602.258643482323</v>
      </c>
      <c r="H763" s="33" t="n">
        <f aca="false">H762+H748</f>
        <v>1171.87600368819</v>
      </c>
      <c r="I763" s="33" t="n">
        <f aca="false">I762+I748</f>
        <v>900.52406265</v>
      </c>
      <c r="J763" s="33" t="n">
        <f aca="false">J762+J748</f>
        <v>849.9500574</v>
      </c>
      <c r="K763" s="33" t="n">
        <f aca="false">K762+K748</f>
        <v>771.096242795159</v>
      </c>
    </row>
    <row r="764" customFormat="false" ht="15" hidden="false" customHeight="false" outlineLevel="0" collapsed="false">
      <c r="A764" s="5" t="s">
        <v>2936</v>
      </c>
      <c r="B764" s="0" t="s">
        <v>3116</v>
      </c>
      <c r="C764" s="0" t="s">
        <v>395</v>
      </c>
      <c r="E764" s="40" t="n">
        <f aca="false">E763-E749-E750</f>
        <v>-175.258282594209</v>
      </c>
      <c r="F764" s="40" t="n">
        <f aca="false">F763-F749-F750</f>
        <v>-385.854698409257</v>
      </c>
      <c r="G764" s="40" t="n">
        <f aca="false">G763-G749-G750</f>
        <v>-197.82913160101</v>
      </c>
      <c r="H764" s="40" t="n">
        <f aca="false">H763-H749-H750</f>
        <v>229.29270177152</v>
      </c>
      <c r="I764" s="40" t="n">
        <f aca="false">I763-I749-I750</f>
        <v>-252.762799516667</v>
      </c>
      <c r="J764" s="40" t="n">
        <f aca="false">J763-J749-J750</f>
        <v>-558.780539433333</v>
      </c>
      <c r="K764" s="40" t="n">
        <f aca="false">K763-K749-K750</f>
        <v>-860.617945454841</v>
      </c>
    </row>
    <row r="765" customFormat="false" ht="17.15" hidden="false" customHeight="false" outlineLevel="0" collapsed="false">
      <c r="A765" s="5" t="s">
        <v>2938</v>
      </c>
      <c r="B765" s="0" t="s">
        <v>3117</v>
      </c>
      <c r="C765" s="0" t="s">
        <v>395</v>
      </c>
      <c r="G765" s="33" t="n">
        <f aca="false">SUM($G764:G764)</f>
        <v>-197.82913160101</v>
      </c>
      <c r="H765" s="33" t="n">
        <f aca="false">SUM($G764:H764)</f>
        <v>31.4635701705096</v>
      </c>
      <c r="I765" s="33" t="n">
        <f aca="false">SUM($G764:I764)</f>
        <v>-221.299229346158</v>
      </c>
      <c r="J765" s="33" t="n">
        <f aca="false">SUM($G764:J764)</f>
        <v>-780.079768779491</v>
      </c>
      <c r="K765" s="33" t="n">
        <f aca="false">SUM($G764:K764)</f>
        <v>-1640.69771423433</v>
      </c>
    </row>
    <row r="766" customFormat="false" ht="15" hidden="false" customHeight="false" outlineLevel="0" collapsed="false">
      <c r="A766" s="5" t="s">
        <v>2940</v>
      </c>
      <c r="B766" s="0" t="s">
        <v>3118</v>
      </c>
      <c r="C766" s="0" t="s">
        <v>395</v>
      </c>
      <c r="G766" s="40" t="n">
        <f aca="false">G765-G546</f>
        <v>-728.84667260101</v>
      </c>
      <c r="H766" s="40" t="n">
        <f aca="false">H765-G546</f>
        <v>-499.55397082949</v>
      </c>
      <c r="I766" s="40" t="n">
        <f aca="false">I765-G546</f>
        <v>-752.316770346158</v>
      </c>
      <c r="J766" s="40" t="n">
        <f aca="false">J765-G546</f>
        <v>-1311.09730977949</v>
      </c>
      <c r="K766" s="40" t="n">
        <f aca="false">K765-G546</f>
        <v>-2171.71525523433</v>
      </c>
    </row>
    <row r="767" customFormat="false" ht="15" hidden="false" customHeight="false" outlineLevel="0" collapsed="false">
      <c r="A767" s="5" t="s">
        <v>2942</v>
      </c>
      <c r="B767" s="0" t="s">
        <v>3119</v>
      </c>
      <c r="C767" s="0" t="s">
        <v>395</v>
      </c>
      <c r="G767" s="33" t="n">
        <f aca="false">G766-G547</f>
        <v>-2048.25667260101</v>
      </c>
      <c r="H767" s="33" t="n">
        <f aca="false">H766-G547</f>
        <v>-1818.96397082949</v>
      </c>
      <c r="I767" s="33" t="n">
        <f aca="false">I766-G547</f>
        <v>-2071.72677034616</v>
      </c>
      <c r="J767" s="33" t="n">
        <f aca="false">J766-G547</f>
        <v>-2630.50730977949</v>
      </c>
      <c r="K767" s="33" t="n">
        <f aca="false">K766-G547</f>
        <v>-3491.12525523433</v>
      </c>
    </row>
    <row r="768" customFormat="false" ht="15" hidden="false" customHeight="false" outlineLevel="0" collapsed="false">
      <c r="A768" s="5" t="s">
        <v>2944</v>
      </c>
      <c r="B768" s="0" t="s">
        <v>3120</v>
      </c>
      <c r="C768" s="0" t="s">
        <v>395</v>
      </c>
      <c r="E768" s="33" t="n">
        <f aca="false">E749-E763</f>
        <v>137.037282594209</v>
      </c>
      <c r="F768" s="33" t="n">
        <f aca="false">F749-F763</f>
        <v>127.28353174259</v>
      </c>
      <c r="G768" s="33" t="n">
        <f aca="false">G749-G763</f>
        <v>197.82913160101</v>
      </c>
      <c r="H768" s="33" t="n">
        <f aca="false">H749-H763</f>
        <v>-229.29270177152</v>
      </c>
      <c r="I768" s="33" t="n">
        <f aca="false">I749-I763</f>
        <v>252.762799516667</v>
      </c>
      <c r="J768" s="33" t="n">
        <f aca="false">J749-J763</f>
        <v>558.780539433333</v>
      </c>
      <c r="K768" s="33" t="n">
        <f aca="false">K749-K763</f>
        <v>860.617945454841</v>
      </c>
    </row>
    <row r="769" customFormat="false" ht="15" hidden="false" customHeight="false" outlineLevel="0" collapsed="false">
      <c r="A769" s="5" t="s">
        <v>2404</v>
      </c>
      <c r="B769" s="0" t="s">
        <v>3121</v>
      </c>
      <c r="C769" s="0" t="s">
        <v>57</v>
      </c>
      <c r="E769" s="23" t="n">
        <f aca="false">IF(E763&lt;=0,"",(E763-E749)/E763)</f>
        <v>-0.691354269922319</v>
      </c>
      <c r="F769" s="23" t="n">
        <f aca="false">IF(F763&lt;=0,"",(F763-F749)/F763)</f>
        <v>-0.275416078080731</v>
      </c>
      <c r="G769" s="23" t="n">
        <f aca="false">IF(G763&lt;=0,"",(G763-G749)/G763)</f>
        <v>-0.328478692239503</v>
      </c>
      <c r="H769" s="23" t="n">
        <f aca="false">IF(H763&lt;=0,"",(H763-H749)/H763)</f>
        <v>0.195662937930189</v>
      </c>
      <c r="I769" s="23" t="n">
        <f aca="false">IF(I763&lt;=0,"",(I763-I749)/I763)</f>
        <v>-0.280684114950637</v>
      </c>
      <c r="J769" s="23" t="n">
        <f aca="false">IF(J763&lt;=0,"",(J763-J749)/J763)</f>
        <v>-0.657427497731625</v>
      </c>
      <c r="K769" s="23" t="n">
        <f aca="false">IF(K763&lt;=0,"",(K763-K749)/K763)</f>
        <v>-1.11609666561877</v>
      </c>
    </row>
    <row r="770" customFormat="false" ht="17.15" hidden="false" customHeight="false" outlineLevel="0" collapsed="false">
      <c r="A770" s="5" t="s">
        <v>2958</v>
      </c>
      <c r="B770" s="0" t="s">
        <v>3122</v>
      </c>
      <c r="D770" s="0" t="str">
        <f aca="false">IF(G550&gt;0,"未定（資料不足）",IF(OR(K768&lt;0,OR(AND(N(G769)&gt;0.3,N(H769)&gt;0.3,N(I769)&gt;0.3),AND(N(H769)&gt;0.3,N(I769)&gt;0.3,N(J769)&gt;0.3),AND(N(I769)&gt;0.3,N(J769)&gt;0.3,N(K769)&gt;0.3))),"OpenAI 型",IF(MIN(G768:K768)&gt;=0,"Anthropic 型（2026–2030 皆為正）","Anthropic 型（"&amp;IF(AND(G768&gt;=0,H768&gt;=0,I768&gt;=0,J768&gt;=0,K768&gt;=0),"2026",IF(AND(H768&gt;=0,I768&gt;=0,J768&gt;=0,K768&gt;=0),"2027",IF(AND(I768&gt;=0,J768&gt;=0,K768&gt;=0),"2028",IF(AND(J768&gt;=0,K768&gt;=0),"2029",IF(AND(K768&gt;=0),"2030","—")))))&amp;" 起轉正）")))</f>
        <v>Anthropic 型（2028 起轉正）</v>
      </c>
    </row>
    <row r="771" customFormat="false" ht="17.15" hidden="false" customHeight="false" outlineLevel="0" collapsed="false">
      <c r="A771" s="5" t="s">
        <v>2960</v>
      </c>
      <c r="B771" s="0" t="s">
        <v>3123</v>
      </c>
      <c r="C771" s="0" t="s">
        <v>57</v>
      </c>
      <c r="E771" s="23" t="n">
        <f aca="false">IF(E747&lt;=0,"",(E752-E745*E535)/E747)</f>
        <v>0.811976138205809</v>
      </c>
      <c r="F771" s="23" t="n">
        <f aca="false">IF(F747&lt;=0,"",(F752-F745*F535)/F747)</f>
        <v>0.830437512691783</v>
      </c>
      <c r="G771" s="23" t="n">
        <f aca="false">IF(G747&lt;=0,"",(G752-G745*G535)/G747)</f>
        <v>0.669082515918041</v>
      </c>
      <c r="H771" s="23" t="n">
        <f aca="false">IF(H747&lt;=0,"",(H752-H745*H535)/H747)</f>
        <v>0.715072794151658</v>
      </c>
      <c r="I771" s="23" t="n">
        <f aca="false">IF(I747&lt;=0,"",(I752-I745*I535)/I747)</f>
        <v>0.740393748333291</v>
      </c>
      <c r="J771" s="23" t="n">
        <f aca="false">IF(J747&lt;=0,"",(J752-J745*J535)/J747)</f>
        <v>0.818037755083922</v>
      </c>
      <c r="K771" s="23" t="n">
        <f aca="false">IF(K747&lt;=0,"",(K752-K745*K535)/K747)</f>
        <v>0.949688612098224</v>
      </c>
    </row>
    <row r="773" customFormat="false" ht="17.15" hidden="false" customHeight="false" outlineLevel="0" collapsed="false">
      <c r="A773" s="22" t="s">
        <v>3124</v>
      </c>
    </row>
    <row r="774" customFormat="false" ht="17.15" hidden="false" customHeight="false" outlineLevel="0" collapsed="false">
      <c r="A774" s="5" t="s">
        <v>2917</v>
      </c>
      <c r="B774" s="0" t="s">
        <v>3125</v>
      </c>
      <c r="C774" s="0" t="s">
        <v>82</v>
      </c>
      <c r="D774" s="25" t="n">
        <f aca="false">Deploy!D52</f>
        <v>0</v>
      </c>
      <c r="E774" s="25" t="n">
        <f aca="false">Deploy!E52</f>
        <v>1.61980834349181</v>
      </c>
      <c r="F774" s="25" t="n">
        <f aca="false">Deploy!F52</f>
        <v>9.04912429484716</v>
      </c>
      <c r="G774" s="25" t="n">
        <f aca="false">Deploy!G52</f>
        <v>11.7062917618926</v>
      </c>
      <c r="H774" s="25" t="n">
        <f aca="false">Deploy!H52</f>
        <v>20.2797100214805</v>
      </c>
      <c r="I774" s="25" t="n">
        <f aca="false">Deploy!I52</f>
        <v>17.2881702060679</v>
      </c>
      <c r="J774" s="25" t="n">
        <f aca="false">Deploy!J52</f>
        <v>16.6660207891918</v>
      </c>
      <c r="K774" s="25" t="n">
        <f aca="false">Deploy!K52</f>
        <v>16.5261270910691</v>
      </c>
      <c r="L774" s="25" t="n">
        <f aca="false">Deploy!L52</f>
        <v>15.7073658369458</v>
      </c>
      <c r="M774" s="25" t="n">
        <f aca="false">Deploy!M52</f>
        <v>12.9070184691104</v>
      </c>
    </row>
    <row r="775" customFormat="false" ht="17.15" hidden="false" customHeight="false" outlineLevel="0" collapsed="false">
      <c r="A775" s="5" t="s">
        <v>2919</v>
      </c>
      <c r="B775" s="0" t="s">
        <v>3126</v>
      </c>
      <c r="C775" s="0" t="s">
        <v>41</v>
      </c>
      <c r="D775" s="25" t="n">
        <f aca="false">IF(Deploy!D19&lt;=0,1,Deploy!D52/Deploy!D19)</f>
        <v>1</v>
      </c>
      <c r="E775" s="25" t="n">
        <f aca="false">IF(Deploy!E19&lt;=0,1,Deploy!E52/Deploy!E19)</f>
        <v>1</v>
      </c>
      <c r="F775" s="25" t="n">
        <f aca="false">IF(Deploy!F19&lt;=0,1,Deploy!F52/Deploy!F19)</f>
        <v>1</v>
      </c>
      <c r="G775" s="25" t="n">
        <f aca="false">IF(Deploy!G19&lt;=0,1,Deploy!G52/Deploy!G19)</f>
        <v>0.935353121424805</v>
      </c>
      <c r="H775" s="25" t="n">
        <f aca="false">IF(Deploy!H19&lt;=0,1,Deploy!H52/Deploy!H19)</f>
        <v>0.846318968327299</v>
      </c>
      <c r="I775" s="25" t="n">
        <f aca="false">IF(Deploy!I19&lt;=0,1,Deploy!I52/Deploy!I19)</f>
        <v>0.642126887484041</v>
      </c>
      <c r="J775" s="25" t="n">
        <f aca="false">IF(Deploy!J19&lt;=0,1,Deploy!J52/Deploy!J19)</f>
        <v>0.602455943918263</v>
      </c>
      <c r="K775" s="25" t="n">
        <f aca="false">IF(Deploy!K19&lt;=0,1,Deploy!K52/Deploy!K19)</f>
        <v>0.588712887515976</v>
      </c>
      <c r="L775" s="25" t="n">
        <f aca="false">IF(Deploy!L19&lt;=0,1,Deploy!L52/Deploy!L19)</f>
        <v>0.637361112317923</v>
      </c>
      <c r="M775" s="25" t="n">
        <f aca="false">IF(Deploy!M19&lt;=0,1,Deploy!M52/Deploy!M19)</f>
        <v>0.763198149250108</v>
      </c>
    </row>
    <row r="776" customFormat="false" ht="17.15" hidden="false" customHeight="false" outlineLevel="0" collapsed="false">
      <c r="A776" s="5" t="s">
        <v>2921</v>
      </c>
      <c r="B776" s="0" t="s">
        <v>3127</v>
      </c>
      <c r="C776" s="0" t="s">
        <v>40</v>
      </c>
      <c r="E776" s="0" t="str">
        <f aca="false">IF(Deploy!E19&lt;=0,"r＝1（A／D0 年新增 ≤ 0）","")</f>
        <v/>
      </c>
      <c r="F776" s="0" t="str">
        <f aca="false">IF(Deploy!F19&lt;=0,"r＝1（A／D0 年新增 ≤ 0）","")</f>
        <v/>
      </c>
      <c r="G776" s="0" t="str">
        <f aca="false">IF(Deploy!G19&lt;=0,"r＝1（A／D0 年新增 ≤ 0）","")</f>
        <v/>
      </c>
      <c r="H776" s="0" t="str">
        <f aca="false">IF(Deploy!H19&lt;=0,"r＝1（A／D0 年新增 ≤ 0）","")</f>
        <v/>
      </c>
      <c r="I776" s="0" t="str">
        <f aca="false">IF(Deploy!I19&lt;=0,"r＝1（A／D0 年新增 ≤ 0）","")</f>
        <v/>
      </c>
      <c r="J776" s="0" t="str">
        <f aca="false">IF(Deploy!J19&lt;=0,"r＝1（A／D0 年新增 ≤ 0）","")</f>
        <v/>
      </c>
      <c r="K776" s="0" t="str">
        <f aca="false">IF(Deploy!K19&lt;=0,"r＝1（A／D0 年新增 ≤ 0）","")</f>
        <v/>
      </c>
    </row>
    <row r="777" customFormat="false" ht="17.15" hidden="false" customHeight="false" outlineLevel="0" collapsed="false">
      <c r="A777" s="5" t="s">
        <v>2923</v>
      </c>
      <c r="B777" s="0" t="s">
        <v>3128</v>
      </c>
      <c r="C777" s="0" t="s">
        <v>395</v>
      </c>
      <c r="E777" s="33" t="n">
        <f aca="false">E774*(E8+Gap!$D$6*E9)+Gap!$E$6*F774*F9+Gap!$F$6*G774*G9</f>
        <v>164.812822106687</v>
      </c>
      <c r="F777" s="33" t="n">
        <f aca="false">F774*(F8+Gap!$D$6*F9)+Gap!$E$6*G774*G9+Gap!$F$6*H774*H9</f>
        <v>418.801796993943</v>
      </c>
      <c r="G777" s="33" t="n">
        <f aca="false">G774*(G8+Gap!$D$6*G9)+Gap!$E$6*H774*H9+Gap!$F$6*I774*I9</f>
        <v>584.870874040867</v>
      </c>
      <c r="H777" s="33" t="n">
        <f aca="false">H774*(H8+Gap!$D$6*H9)+Gap!$E$6*I774*I9+Gap!$F$6*J774*J9</f>
        <v>900.531820518405</v>
      </c>
      <c r="I777" s="33" t="n">
        <f aca="false">I774*(I8+Gap!$D$6*I9)+Gap!$E$6*J774*J9+Gap!$F$6*K774*K9</f>
        <v>830.672329484328</v>
      </c>
      <c r="J777" s="33" t="n">
        <f aca="false">J774*(J8+Gap!$D$6*J9)+Gap!$E$6*K774*K9+Gap!$F$6*L774*L9</f>
        <v>801.448043423232</v>
      </c>
      <c r="K777" s="33" t="n">
        <f aca="false">K774*(K8+Gap!$D$6*K9)+Gap!$E$6*L774*L9+Gap!$F$6*M774*M9</f>
        <v>775.413107812102</v>
      </c>
    </row>
    <row r="778" customFormat="false" ht="17.15" hidden="false" customHeight="false" outlineLevel="0" collapsed="false">
      <c r="A778" s="5" t="s">
        <v>2925</v>
      </c>
      <c r="B778" s="0" t="s">
        <v>3129</v>
      </c>
      <c r="C778" s="0" t="s">
        <v>395</v>
      </c>
      <c r="E778" s="33" t="n">
        <f aca="false">E539</f>
        <v>60.556995</v>
      </c>
      <c r="F778" s="33" t="n">
        <f aca="false">F539</f>
        <v>92.812193</v>
      </c>
      <c r="G778" s="33" t="n">
        <f aca="false">G539</f>
        <v>184.082278</v>
      </c>
      <c r="H778" s="33" t="n">
        <f aca="false">H539</f>
        <v>212.566374166667</v>
      </c>
      <c r="I778" s="33" t="n">
        <f aca="false">I539</f>
        <v>246.95029175</v>
      </c>
      <c r="J778" s="33" t="n">
        <f aca="false">J539</f>
        <v>277.130736</v>
      </c>
      <c r="K778" s="33" t="n">
        <f aca="false">K539</f>
        <v>299.026397916667</v>
      </c>
    </row>
    <row r="779" customFormat="false" ht="17.15" hidden="false" customHeight="false" outlineLevel="0" collapsed="false">
      <c r="A779" s="5" t="s">
        <v>2927</v>
      </c>
      <c r="B779" s="0" t="s">
        <v>3130</v>
      </c>
      <c r="C779" s="0" t="s">
        <v>395</v>
      </c>
      <c r="E779" s="33" t="n">
        <f aca="false">E542</f>
        <v>335.253</v>
      </c>
      <c r="F779" s="33" t="n">
        <f aca="false">F542</f>
        <v>589.4335</v>
      </c>
      <c r="G779" s="33" t="n">
        <f aca="false">G542</f>
        <v>800.087775083333</v>
      </c>
      <c r="H779" s="33" t="n">
        <f aca="false">H542</f>
        <v>942.583301916667</v>
      </c>
      <c r="I779" s="33" t="n">
        <f aca="false">I542</f>
        <v>1153.28686216667</v>
      </c>
      <c r="J779" s="33" t="n">
        <f aca="false">J542</f>
        <v>1408.73059683333</v>
      </c>
      <c r="K779" s="33" t="n">
        <f aca="false">K542</f>
        <v>1631.71418825</v>
      </c>
    </row>
    <row r="780" customFormat="false" ht="17.15" hidden="false" customHeight="false" outlineLevel="0" collapsed="false">
      <c r="A780" s="5" t="s">
        <v>2929</v>
      </c>
      <c r="B780" s="0" t="s">
        <v>3131</v>
      </c>
      <c r="C780" s="0" t="s">
        <v>395</v>
      </c>
      <c r="E780" s="33" t="n">
        <f aca="false">E544</f>
        <v>38.221</v>
      </c>
      <c r="F780" s="33" t="n">
        <f aca="false">F544</f>
        <v>258.571166666667</v>
      </c>
      <c r="G780" s="33" t="n">
        <f aca="false">0</f>
        <v>0</v>
      </c>
      <c r="H780" s="33" t="n">
        <f aca="false">0</f>
        <v>0</v>
      </c>
      <c r="I780" s="33" t="n">
        <f aca="false">0</f>
        <v>0</v>
      </c>
      <c r="J780" s="33" t="n">
        <f aca="false">0</f>
        <v>0</v>
      </c>
      <c r="K780" s="33" t="n">
        <f aca="false">0</f>
        <v>0</v>
      </c>
    </row>
    <row r="781" customFormat="false" ht="17.15" hidden="false" customHeight="false" outlineLevel="0" collapsed="false">
      <c r="A781" s="22" t="s">
        <v>2931</v>
      </c>
    </row>
    <row r="782" customFormat="false" ht="17.15" hidden="false" customHeight="false" outlineLevel="0" collapsed="false">
      <c r="A782" s="5" t="s">
        <v>2932</v>
      </c>
      <c r="B782" s="0" t="s">
        <v>3132</v>
      </c>
      <c r="C782" s="0" t="s">
        <v>395</v>
      </c>
      <c r="E782" s="40" t="n">
        <f aca="false">(E775*E551+F775*E552+G775*E553)+(E775*E554+F775*E555+G775*E556)</f>
        <v>134.635884875412</v>
      </c>
      <c r="F782" s="40" t="n">
        <f aca="false">(F775*F551+G775*F552+H775*F553)+(F775*F554+G775*F555+H775*F556)</f>
        <v>351.29634741044</v>
      </c>
      <c r="G782" s="40" t="n">
        <f aca="false">(G775*G551+H775*G552+I775*G553)+(G775*G554+H775*G555+I775*G556)</f>
        <v>391.587283342959</v>
      </c>
      <c r="H782" s="40" t="n">
        <f aca="false">(H775*H551+I775*H552+J775*H553)+(H775*H554+I775*H555+J775*H556)</f>
        <v>645.33758061051</v>
      </c>
      <c r="I782" s="40" t="n">
        <f aca="false">(I775*I551+J775*I552+K775*I553)+(I775*I554+J775*I555+K775*I556)</f>
        <v>706.477787374786</v>
      </c>
      <c r="J782" s="40" t="n">
        <f aca="false">(J775*J551+K775*J552+L775*J553)+(J775*J554+K775*J555+L775*J556)</f>
        <v>723.111847721</v>
      </c>
      <c r="K782" s="40" t="n">
        <f aca="false">(K775*K551+L775*K552+M775*K553)+(K775*K554+L775*K555+M775*K556)</f>
        <v>791.196293574117</v>
      </c>
    </row>
    <row r="783" customFormat="false" ht="15" hidden="false" customHeight="false" outlineLevel="0" collapsed="false">
      <c r="A783" s="5" t="s">
        <v>2934</v>
      </c>
      <c r="B783" s="0" t="s">
        <v>3133</v>
      </c>
      <c r="C783" s="0" t="s">
        <v>395</v>
      </c>
      <c r="E783" s="33" t="n">
        <f aca="false">E782+E778</f>
        <v>195.192879875412</v>
      </c>
      <c r="F783" s="33" t="n">
        <f aca="false">F782+F778</f>
        <v>444.10854041044</v>
      </c>
      <c r="G783" s="33" t="n">
        <f aca="false">G782+G778</f>
        <v>575.669561342959</v>
      </c>
      <c r="H783" s="33" t="n">
        <f aca="false">H782+H778</f>
        <v>857.903954777177</v>
      </c>
      <c r="I783" s="33" t="n">
        <f aca="false">I782+I778</f>
        <v>953.428079124786</v>
      </c>
      <c r="J783" s="33" t="n">
        <f aca="false">J782+J778</f>
        <v>1000.242583721</v>
      </c>
      <c r="K783" s="33" t="n">
        <f aca="false">K782+K778</f>
        <v>1090.22269149078</v>
      </c>
    </row>
    <row r="784" customFormat="false" ht="15" hidden="false" customHeight="false" outlineLevel="0" collapsed="false">
      <c r="A784" s="5" t="s">
        <v>2936</v>
      </c>
      <c r="B784" s="0" t="s">
        <v>3134</v>
      </c>
      <c r="C784" s="0" t="s">
        <v>395</v>
      </c>
      <c r="E784" s="40" t="n">
        <f aca="false">E783-E779-E780</f>
        <v>-178.281120124588</v>
      </c>
      <c r="F784" s="40" t="n">
        <f aca="false">F783-F779-F780</f>
        <v>-403.896126256227</v>
      </c>
      <c r="G784" s="40" t="n">
        <f aca="false">G783-G779-G780</f>
        <v>-224.418213740374</v>
      </c>
      <c r="H784" s="40" t="n">
        <f aca="false">H783-H779-H780</f>
        <v>-84.6793471394902</v>
      </c>
      <c r="I784" s="40" t="n">
        <f aca="false">I783-I779-I780</f>
        <v>-199.85878304188</v>
      </c>
      <c r="J784" s="40" t="n">
        <f aca="false">J783-J779-J780</f>
        <v>-408.488013112333</v>
      </c>
      <c r="K784" s="40" t="n">
        <f aca="false">K783-K779-K780</f>
        <v>-541.491496759217</v>
      </c>
    </row>
    <row r="785" customFormat="false" ht="17.15" hidden="false" customHeight="false" outlineLevel="0" collapsed="false">
      <c r="A785" s="5" t="s">
        <v>2938</v>
      </c>
      <c r="B785" s="0" t="s">
        <v>3135</v>
      </c>
      <c r="C785" s="0" t="s">
        <v>395</v>
      </c>
      <c r="G785" s="33" t="n">
        <f aca="false">SUM($G784:G784)</f>
        <v>-224.418213740374</v>
      </c>
      <c r="H785" s="33" t="n">
        <f aca="false">SUM($G784:H784)</f>
        <v>-309.097560879864</v>
      </c>
      <c r="I785" s="33" t="n">
        <f aca="false">SUM($G784:I784)</f>
        <v>-508.956343921744</v>
      </c>
      <c r="J785" s="33" t="n">
        <f aca="false">SUM($G784:J784)</f>
        <v>-917.444357034077</v>
      </c>
      <c r="K785" s="33" t="n">
        <f aca="false">SUM($G784:K784)</f>
        <v>-1458.93585379329</v>
      </c>
    </row>
    <row r="786" customFormat="false" ht="15" hidden="false" customHeight="false" outlineLevel="0" collapsed="false">
      <c r="A786" s="5" t="s">
        <v>2940</v>
      </c>
      <c r="B786" s="0" t="s">
        <v>3136</v>
      </c>
      <c r="C786" s="0" t="s">
        <v>395</v>
      </c>
      <c r="G786" s="40" t="n">
        <f aca="false">G785-G546</f>
        <v>-755.435754740374</v>
      </c>
      <c r="H786" s="40" t="n">
        <f aca="false">H785-G546</f>
        <v>-840.115101879864</v>
      </c>
      <c r="I786" s="40" t="n">
        <f aca="false">I785-G546</f>
        <v>-1039.97388492174</v>
      </c>
      <c r="J786" s="40" t="n">
        <f aca="false">J785-G546</f>
        <v>-1448.46189803408</v>
      </c>
      <c r="K786" s="40" t="n">
        <f aca="false">K785-G546</f>
        <v>-1989.95339479329</v>
      </c>
    </row>
    <row r="787" customFormat="false" ht="15" hidden="false" customHeight="false" outlineLevel="0" collapsed="false">
      <c r="A787" s="5" t="s">
        <v>2942</v>
      </c>
      <c r="B787" s="0" t="s">
        <v>3137</v>
      </c>
      <c r="C787" s="0" t="s">
        <v>395</v>
      </c>
      <c r="G787" s="33" t="n">
        <f aca="false">G786-G547</f>
        <v>-2074.84575474037</v>
      </c>
      <c r="H787" s="33" t="n">
        <f aca="false">H786-G547</f>
        <v>-2159.52510187986</v>
      </c>
      <c r="I787" s="33" t="n">
        <f aca="false">I786-G547</f>
        <v>-2359.38388492174</v>
      </c>
      <c r="J787" s="33" t="n">
        <f aca="false">J786-G547</f>
        <v>-2767.87189803408</v>
      </c>
      <c r="K787" s="33" t="n">
        <f aca="false">K786-G547</f>
        <v>-3309.36339479329</v>
      </c>
    </row>
    <row r="788" customFormat="false" ht="15" hidden="false" customHeight="false" outlineLevel="0" collapsed="false">
      <c r="A788" s="5" t="s">
        <v>2944</v>
      </c>
      <c r="B788" s="0" t="s">
        <v>3138</v>
      </c>
      <c r="C788" s="0" t="s">
        <v>395</v>
      </c>
      <c r="E788" s="33" t="n">
        <f aca="false">E779-E783</f>
        <v>140.060120124588</v>
      </c>
      <c r="F788" s="33" t="n">
        <f aca="false">F779-F783</f>
        <v>145.32495958956</v>
      </c>
      <c r="G788" s="33" t="n">
        <f aca="false">G779-G783</f>
        <v>224.418213740374</v>
      </c>
      <c r="H788" s="33" t="n">
        <f aca="false">H779-H783</f>
        <v>84.6793471394902</v>
      </c>
      <c r="I788" s="33" t="n">
        <f aca="false">I779-I783</f>
        <v>199.85878304188</v>
      </c>
      <c r="J788" s="33" t="n">
        <f aca="false">J779-J783</f>
        <v>408.488013112333</v>
      </c>
      <c r="K788" s="33" t="n">
        <f aca="false">K779-K783</f>
        <v>541.491496759217</v>
      </c>
    </row>
    <row r="789" customFormat="false" ht="15" hidden="false" customHeight="false" outlineLevel="0" collapsed="false">
      <c r="A789" s="5" t="s">
        <v>2404</v>
      </c>
      <c r="B789" s="0" t="s">
        <v>3139</v>
      </c>
      <c r="C789" s="0" t="s">
        <v>57</v>
      </c>
      <c r="E789" s="23" t="n">
        <f aca="false">IF(E783&lt;=0,"",(E783-E779)/E783)</f>
        <v>-0.717547280484748</v>
      </c>
      <c r="F789" s="23" t="n">
        <f aca="false">IF(F783&lt;=0,"",(F783-F779)/F783)</f>
        <v>-0.327228473145896</v>
      </c>
      <c r="G789" s="23" t="n">
        <f aca="false">IF(G783&lt;=0,"",(G783-G779)/G783)</f>
        <v>-0.389838596323968</v>
      </c>
      <c r="H789" s="23" t="n">
        <f aca="false">IF(H783&lt;=0,"",(H783-H779)/H783)</f>
        <v>-0.0987049268953236</v>
      </c>
      <c r="I789" s="23" t="n">
        <f aca="false">IF(I783&lt;=0,"",(I783-I779)/I783)</f>
        <v>-0.209621247179277</v>
      </c>
      <c r="J789" s="23" t="n">
        <f aca="false">IF(J783&lt;=0,"",(J783-J779)/J783)</f>
        <v>-0.408388944602536</v>
      </c>
      <c r="K789" s="23" t="n">
        <f aca="false">IF(K783&lt;=0,"",(K783-K779)/K783)</f>
        <v>-0.496679715975068</v>
      </c>
    </row>
    <row r="790" customFormat="false" ht="17.15" hidden="false" customHeight="false" outlineLevel="0" collapsed="false">
      <c r="A790" s="5" t="s">
        <v>2947</v>
      </c>
      <c r="B790" s="0" t="s">
        <v>3140</v>
      </c>
      <c r="D790" s="0" t="str">
        <f aca="false">IF(G550&gt;0,"未定（資料不足）",IF(OR(K788&lt;0,OR(AND(N(G789)&gt;0.3,N(H789)&gt;0.3,N(I789)&gt;0.3),AND(N(H789)&gt;0.3,N(I789)&gt;0.3,N(J789)&gt;0.3),AND(N(I789)&gt;0.3,N(J789)&gt;0.3,N(K789)&gt;0.3))),"OpenAI 型",IF(MIN(G788:K788)&gt;=0,"Anthropic 型（2026–2030 皆為正）","Anthropic 型（"&amp;IF(AND(G788&gt;=0,H788&gt;=0,I788&gt;=0,J788&gt;=0,K788&gt;=0),"2026",IF(AND(H788&gt;=0,I788&gt;=0,J788&gt;=0,K788&gt;=0),"2027",IF(AND(I788&gt;=0,J788&gt;=0,K788&gt;=0),"2028",IF(AND(J788&gt;=0,K788&gt;=0),"2029",IF(AND(K788&gt;=0),"2030","—")))))&amp;" 起轉正）")))</f>
        <v>Anthropic 型（2026–2030 皆為正）</v>
      </c>
    </row>
    <row r="791" customFormat="false" ht="17.15" hidden="false" customHeight="false" outlineLevel="0" collapsed="false">
      <c r="A791" s="22" t="s">
        <v>2949</v>
      </c>
    </row>
    <row r="792" customFormat="false" ht="17.15" hidden="false" customHeight="false" outlineLevel="0" collapsed="false">
      <c r="A792" s="5" t="s">
        <v>2932</v>
      </c>
      <c r="B792" s="0" t="s">
        <v>3141</v>
      </c>
      <c r="C792" s="0" t="s">
        <v>395</v>
      </c>
      <c r="E792" s="40" t="n">
        <f aca="false">(E775*E551+F775*E552+G775*E553)+(E775*E554+F775*E555+G775*E556)</f>
        <v>134.635884875412</v>
      </c>
      <c r="F792" s="40" t="n">
        <f aca="false">(F775*F551+G775*F552+H775*F553)+(F775*F554+G775*F555+H775*F556)</f>
        <v>351.29634741044</v>
      </c>
      <c r="G792" s="40" t="n">
        <f aca="false">(G775*G551+H775*G552+I775*G553)+(G775*G554+H775*G555+I775*G556)</f>
        <v>391.587283342959</v>
      </c>
      <c r="H792" s="40" t="n">
        <f aca="false">H775*H557+(H775*H554+I775*H555+J775*H556)</f>
        <v>811.881935963096</v>
      </c>
      <c r="I792" s="40" t="n">
        <f aca="false">I775*I557+(I775*I554+J775*I555+K775*I556)</f>
        <v>699.462152082041</v>
      </c>
      <c r="J792" s="40" t="n">
        <f aca="false">J775*J557+(J775*J554+K775*J555+L775*J556)</f>
        <v>575.164008281093</v>
      </c>
      <c r="K792" s="40" t="n">
        <f aca="false">K775*K557+(K775*K554+L775*K555+M775*K556)</f>
        <v>470.728233726405</v>
      </c>
    </row>
    <row r="793" customFormat="false" ht="15" hidden="false" customHeight="false" outlineLevel="0" collapsed="false">
      <c r="A793" s="5" t="s">
        <v>2934</v>
      </c>
      <c r="B793" s="0" t="s">
        <v>3142</v>
      </c>
      <c r="C793" s="0" t="s">
        <v>395</v>
      </c>
      <c r="E793" s="33" t="n">
        <f aca="false">E792+E778</f>
        <v>195.192879875412</v>
      </c>
      <c r="F793" s="33" t="n">
        <f aca="false">F792+F778</f>
        <v>444.10854041044</v>
      </c>
      <c r="G793" s="33" t="n">
        <f aca="false">G792+G778</f>
        <v>575.669561342959</v>
      </c>
      <c r="H793" s="33" t="n">
        <f aca="false">H792+H778</f>
        <v>1024.44831012976</v>
      </c>
      <c r="I793" s="33" t="n">
        <f aca="false">I792+I778</f>
        <v>946.412443832041</v>
      </c>
      <c r="J793" s="33" t="n">
        <f aca="false">J792+J778</f>
        <v>852.294744281093</v>
      </c>
      <c r="K793" s="33" t="n">
        <f aca="false">K792+K778</f>
        <v>769.754631643071</v>
      </c>
    </row>
    <row r="794" customFormat="false" ht="15" hidden="false" customHeight="false" outlineLevel="0" collapsed="false">
      <c r="A794" s="5" t="s">
        <v>2936</v>
      </c>
      <c r="B794" s="0" t="s">
        <v>3143</v>
      </c>
      <c r="C794" s="0" t="s">
        <v>395</v>
      </c>
      <c r="E794" s="40" t="n">
        <f aca="false">E793-E779-E780</f>
        <v>-178.281120124588</v>
      </c>
      <c r="F794" s="40" t="n">
        <f aca="false">F793-F779-F780</f>
        <v>-403.896126256227</v>
      </c>
      <c r="G794" s="40" t="n">
        <f aca="false">G793-G779-G780</f>
        <v>-224.418213740374</v>
      </c>
      <c r="H794" s="40" t="n">
        <f aca="false">H793-H779-H780</f>
        <v>81.8650082130961</v>
      </c>
      <c r="I794" s="40" t="n">
        <f aca="false">I793-I779-I780</f>
        <v>-206.874418334626</v>
      </c>
      <c r="J794" s="40" t="n">
        <f aca="false">J793-J779-J780</f>
        <v>-556.43585255224</v>
      </c>
      <c r="K794" s="40" t="n">
        <f aca="false">K793-K779-K780</f>
        <v>-861.959556606929</v>
      </c>
    </row>
    <row r="795" customFormat="false" ht="17.15" hidden="false" customHeight="false" outlineLevel="0" collapsed="false">
      <c r="A795" s="5" t="s">
        <v>2938</v>
      </c>
      <c r="B795" s="0" t="s">
        <v>3144</v>
      </c>
      <c r="C795" s="0" t="s">
        <v>395</v>
      </c>
      <c r="G795" s="33" t="n">
        <f aca="false">SUM($G794:G794)</f>
        <v>-224.418213740374</v>
      </c>
      <c r="H795" s="33" t="n">
        <f aca="false">SUM($G794:H794)</f>
        <v>-142.553205527278</v>
      </c>
      <c r="I795" s="33" t="n">
        <f aca="false">SUM($G794:I794)</f>
        <v>-349.427623861903</v>
      </c>
      <c r="J795" s="33" t="n">
        <f aca="false">SUM($G794:J794)</f>
        <v>-905.863476414144</v>
      </c>
      <c r="K795" s="33" t="n">
        <f aca="false">SUM($G794:K794)</f>
        <v>-1767.82303302107</v>
      </c>
    </row>
    <row r="796" customFormat="false" ht="15" hidden="false" customHeight="false" outlineLevel="0" collapsed="false">
      <c r="A796" s="5" t="s">
        <v>2940</v>
      </c>
      <c r="B796" s="0" t="s">
        <v>3145</v>
      </c>
      <c r="C796" s="0" t="s">
        <v>395</v>
      </c>
      <c r="G796" s="40" t="n">
        <f aca="false">G795-G546</f>
        <v>-755.435754740374</v>
      </c>
      <c r="H796" s="40" t="n">
        <f aca="false">H795-G546</f>
        <v>-673.570746527278</v>
      </c>
      <c r="I796" s="40" t="n">
        <f aca="false">I795-G546</f>
        <v>-880.445164861903</v>
      </c>
      <c r="J796" s="40" t="n">
        <f aca="false">J795-G546</f>
        <v>-1436.88101741414</v>
      </c>
      <c r="K796" s="40" t="n">
        <f aca="false">K795-G546</f>
        <v>-2298.84057402107</v>
      </c>
    </row>
    <row r="797" customFormat="false" ht="15" hidden="false" customHeight="false" outlineLevel="0" collapsed="false">
      <c r="A797" s="5" t="s">
        <v>2942</v>
      </c>
      <c r="B797" s="0" t="s">
        <v>3146</v>
      </c>
      <c r="C797" s="0" t="s">
        <v>395</v>
      </c>
      <c r="G797" s="33" t="n">
        <f aca="false">G796-G547</f>
        <v>-2074.84575474037</v>
      </c>
      <c r="H797" s="33" t="n">
        <f aca="false">H796-G547</f>
        <v>-1992.98074652728</v>
      </c>
      <c r="I797" s="33" t="n">
        <f aca="false">I796-G547</f>
        <v>-2199.8551648619</v>
      </c>
      <c r="J797" s="33" t="n">
        <f aca="false">J796-G547</f>
        <v>-2756.29101741414</v>
      </c>
      <c r="K797" s="33" t="n">
        <f aca="false">K796-G547</f>
        <v>-3618.25057402107</v>
      </c>
    </row>
    <row r="798" customFormat="false" ht="15" hidden="false" customHeight="false" outlineLevel="0" collapsed="false">
      <c r="A798" s="5" t="s">
        <v>2944</v>
      </c>
      <c r="B798" s="0" t="s">
        <v>3147</v>
      </c>
      <c r="C798" s="0" t="s">
        <v>395</v>
      </c>
      <c r="E798" s="33" t="n">
        <f aca="false">E779-E793</f>
        <v>140.060120124588</v>
      </c>
      <c r="F798" s="33" t="n">
        <f aca="false">F779-F793</f>
        <v>145.32495958956</v>
      </c>
      <c r="G798" s="33" t="n">
        <f aca="false">G779-G793</f>
        <v>224.418213740374</v>
      </c>
      <c r="H798" s="33" t="n">
        <f aca="false">H779-H793</f>
        <v>-81.8650082130961</v>
      </c>
      <c r="I798" s="33" t="n">
        <f aca="false">I779-I793</f>
        <v>206.874418334626</v>
      </c>
      <c r="J798" s="33" t="n">
        <f aca="false">J779-J793</f>
        <v>556.43585255224</v>
      </c>
      <c r="K798" s="33" t="n">
        <f aca="false">K779-K793</f>
        <v>861.959556606929</v>
      </c>
    </row>
    <row r="799" customFormat="false" ht="15" hidden="false" customHeight="false" outlineLevel="0" collapsed="false">
      <c r="A799" s="5" t="s">
        <v>2404</v>
      </c>
      <c r="B799" s="0" t="s">
        <v>3148</v>
      </c>
      <c r="C799" s="0" t="s">
        <v>57</v>
      </c>
      <c r="E799" s="23" t="n">
        <f aca="false">IF(E793&lt;=0,"",(E793-E779)/E793)</f>
        <v>-0.717547280484748</v>
      </c>
      <c r="F799" s="23" t="n">
        <f aca="false">IF(F793&lt;=0,"",(F793-F779)/F793)</f>
        <v>-0.327228473145896</v>
      </c>
      <c r="G799" s="23" t="n">
        <f aca="false">IF(G793&lt;=0,"",(G793-G779)/G793)</f>
        <v>-0.389838596323968</v>
      </c>
      <c r="H799" s="23" t="n">
        <f aca="false">IF(H793&lt;=0,"",(H793-H779)/H793)</f>
        <v>0.0799113116822132</v>
      </c>
      <c r="I799" s="23" t="n">
        <f aca="false">IF(I793&lt;=0,"",(I793-I779)/I793)</f>
        <v>-0.21858801591512</v>
      </c>
      <c r="J799" s="23" t="n">
        <f aca="false">IF(J793&lt;=0,"",(J793-J779)/J793)</f>
        <v>-0.652867867936451</v>
      </c>
      <c r="K799" s="23" t="n">
        <f aca="false">IF(K793&lt;=0,"",(K793-K779)/K793)</f>
        <v>-1.11978482645443</v>
      </c>
    </row>
    <row r="800" customFormat="false" ht="17.15" hidden="false" customHeight="false" outlineLevel="0" collapsed="false">
      <c r="A800" s="5" t="s">
        <v>2958</v>
      </c>
      <c r="B800" s="0" t="s">
        <v>3149</v>
      </c>
      <c r="D800" s="0" t="str">
        <f aca="false">IF(G550&gt;0,"未定（資料不足）",IF(OR(K798&lt;0,OR(AND(N(G799)&gt;0.3,N(H799)&gt;0.3,N(I799)&gt;0.3),AND(N(H799)&gt;0.3,N(I799)&gt;0.3,N(J799)&gt;0.3),AND(N(I799)&gt;0.3,N(J799)&gt;0.3,N(K799)&gt;0.3))),"OpenAI 型",IF(MIN(G798:K798)&gt;=0,"Anthropic 型（2026–2030 皆為正）","Anthropic 型（"&amp;IF(AND(G798&gt;=0,H798&gt;=0,I798&gt;=0,J798&gt;=0,K798&gt;=0),"2026",IF(AND(H798&gt;=0,I798&gt;=0,J798&gt;=0,K798&gt;=0),"2027",IF(AND(I798&gt;=0,J798&gt;=0,K798&gt;=0),"2028",IF(AND(J798&gt;=0,K798&gt;=0),"2029",IF(AND(K798&gt;=0),"2030","—")))))&amp;" 起轉正）")))</f>
        <v>Anthropic 型（2028 起轉正）</v>
      </c>
    </row>
    <row r="801" customFormat="false" ht="17.15" hidden="false" customHeight="false" outlineLevel="0" collapsed="false">
      <c r="A801" s="5" t="s">
        <v>2960</v>
      </c>
      <c r="B801" s="0" t="s">
        <v>3150</v>
      </c>
      <c r="C801" s="0" t="s">
        <v>57</v>
      </c>
      <c r="E801" s="23" t="n">
        <f aca="false">IF(E777&lt;=0,"",(E782-E775*E535)/E777)</f>
        <v>0.816901762584096</v>
      </c>
      <c r="F801" s="23" t="n">
        <f aca="false">IF(F777&lt;=0,"",(F782-F775*F535)/F777)</f>
        <v>0.838812894146966</v>
      </c>
      <c r="G801" s="23" t="n">
        <f aca="false">IF(G777&lt;=0,"",(G782-G775*G535)/G777)</f>
        <v>0.669527755139329</v>
      </c>
      <c r="H801" s="23" t="n">
        <f aca="false">IF(H777&lt;=0,"",(H782-H775*H535)/H777)</f>
        <v>0.716618298106347</v>
      </c>
      <c r="I801" s="23" t="n">
        <f aca="false">IF(I777&lt;=0,"",(I782-I775*I535)/I777)</f>
        <v>0.739040352408857</v>
      </c>
      <c r="J801" s="23" t="n">
        <f aca="false">IF(J777&lt;=0,"",(J782-J775*J535)/J777)</f>
        <v>0.818644872799124</v>
      </c>
      <c r="K801" s="23" t="n">
        <f aca="false">IF(K777&lt;=0,"",(K782-K775*K535)/K777)</f>
        <v>0.951817154820071</v>
      </c>
    </row>
    <row r="803" customFormat="false" ht="17.15" hidden="false" customHeight="false" outlineLevel="0" collapsed="false">
      <c r="A803" s="22" t="s">
        <v>3151</v>
      </c>
    </row>
    <row r="804" customFormat="false" ht="17.15" hidden="false" customHeight="false" outlineLevel="0" collapsed="false">
      <c r="A804" s="5" t="s">
        <v>2917</v>
      </c>
      <c r="B804" s="0" t="s">
        <v>3152</v>
      </c>
      <c r="C804" s="0" t="s">
        <v>82</v>
      </c>
      <c r="D804" s="25" t="n">
        <f aca="false">Deploy!D53</f>
        <v>0</v>
      </c>
      <c r="E804" s="25" t="n">
        <f aca="false">Deploy!E53</f>
        <v>1.61980834349181</v>
      </c>
      <c r="F804" s="25" t="n">
        <f aca="false">Deploy!F53</f>
        <v>9.04912429484716</v>
      </c>
      <c r="G804" s="25" t="n">
        <f aca="false">Deploy!G53</f>
        <v>11.7062917618926</v>
      </c>
      <c r="H804" s="25" t="n">
        <f aca="false">Deploy!H53</f>
        <v>12.5413778925549</v>
      </c>
      <c r="I804" s="25" t="n">
        <f aca="false">Deploy!I53</f>
        <v>18.8309542525663</v>
      </c>
      <c r="J804" s="25" t="n">
        <f aca="false">Deploy!J53</f>
        <v>21.5401572407129</v>
      </c>
      <c r="K804" s="25" t="n">
        <f aca="false">Deploy!K53</f>
        <v>17.8475387219751</v>
      </c>
      <c r="L804" s="25" t="n">
        <f aca="false">Deploy!L53</f>
        <v>15.7073658369458</v>
      </c>
      <c r="M804" s="25" t="n">
        <f aca="false">Deploy!M53</f>
        <v>12.9070184691104</v>
      </c>
    </row>
    <row r="805" customFormat="false" ht="17.15" hidden="false" customHeight="false" outlineLevel="0" collapsed="false">
      <c r="A805" s="5" t="s">
        <v>2919</v>
      </c>
      <c r="B805" s="0" t="s">
        <v>3153</v>
      </c>
      <c r="C805" s="0" t="s">
        <v>41</v>
      </c>
      <c r="D805" s="25" t="n">
        <f aca="false">IF(Deploy!D19&lt;=0,1,Deploy!D53/Deploy!D19)</f>
        <v>1</v>
      </c>
      <c r="E805" s="25" t="n">
        <f aca="false">IF(Deploy!E19&lt;=0,1,Deploy!E53/Deploy!E19)</f>
        <v>1</v>
      </c>
      <c r="F805" s="25" t="n">
        <f aca="false">IF(Deploy!F19&lt;=0,1,Deploy!F53/Deploy!F19)</f>
        <v>1</v>
      </c>
      <c r="G805" s="25" t="n">
        <f aca="false">IF(Deploy!G19&lt;=0,1,Deploy!G53/Deploy!G19)</f>
        <v>0.935353121424805</v>
      </c>
      <c r="H805" s="25" t="n">
        <f aca="false">IF(Deploy!H19&lt;=0,1,Deploy!H53/Deploy!H19)</f>
        <v>0.523380560579387</v>
      </c>
      <c r="I805" s="25" t="n">
        <f aca="false">IF(Deploy!I19&lt;=0,1,Deploy!I53/Deploy!I19)</f>
        <v>0.699429835455385</v>
      </c>
      <c r="J805" s="25" t="n">
        <f aca="false">IF(Deploy!J19&lt;=0,1,Deploy!J53/Deploy!J19)</f>
        <v>0.778649920502759</v>
      </c>
      <c r="K805" s="25" t="n">
        <f aca="false">IF(Deploy!K19&lt;=0,1,Deploy!K53/Deploy!K19)</f>
        <v>0.635785746906504</v>
      </c>
      <c r="L805" s="25" t="n">
        <f aca="false">IF(Deploy!L19&lt;=0,1,Deploy!L53/Deploy!L19)</f>
        <v>0.637361112317923</v>
      </c>
      <c r="M805" s="25" t="n">
        <f aca="false">IF(Deploy!M19&lt;=0,1,Deploy!M53/Deploy!M19)</f>
        <v>0.763198149250108</v>
      </c>
    </row>
    <row r="806" customFormat="false" ht="17.15" hidden="false" customHeight="false" outlineLevel="0" collapsed="false">
      <c r="A806" s="5" t="s">
        <v>2921</v>
      </c>
      <c r="B806" s="0" t="s">
        <v>3154</v>
      </c>
      <c r="C806" s="0" t="s">
        <v>40</v>
      </c>
      <c r="E806" s="0" t="str">
        <f aca="false">IF(Deploy!E19&lt;=0,"r＝1（A／D0 年新增 ≤ 0）","")</f>
        <v/>
      </c>
      <c r="F806" s="0" t="str">
        <f aca="false">IF(Deploy!F19&lt;=0,"r＝1（A／D0 年新增 ≤ 0）","")</f>
        <v/>
      </c>
      <c r="G806" s="0" t="str">
        <f aca="false">IF(Deploy!G19&lt;=0,"r＝1（A／D0 年新增 ≤ 0）","")</f>
        <v/>
      </c>
      <c r="H806" s="0" t="str">
        <f aca="false">IF(Deploy!H19&lt;=0,"r＝1（A／D0 年新增 ≤ 0）","")</f>
        <v/>
      </c>
      <c r="I806" s="0" t="str">
        <f aca="false">IF(Deploy!I19&lt;=0,"r＝1（A／D0 年新增 ≤ 0）","")</f>
        <v/>
      </c>
      <c r="J806" s="0" t="str">
        <f aca="false">IF(Deploy!J19&lt;=0,"r＝1（A／D0 年新增 ≤ 0）","")</f>
        <v/>
      </c>
      <c r="K806" s="0" t="str">
        <f aca="false">IF(Deploy!K19&lt;=0,"r＝1（A／D0 年新增 ≤ 0）","")</f>
        <v/>
      </c>
    </row>
    <row r="807" customFormat="false" ht="17.15" hidden="false" customHeight="false" outlineLevel="0" collapsed="false">
      <c r="A807" s="5" t="s">
        <v>2923</v>
      </c>
      <c r="B807" s="0" t="s">
        <v>3155</v>
      </c>
      <c r="C807" s="0" t="s">
        <v>395</v>
      </c>
      <c r="E807" s="33" t="n">
        <f aca="false">E804*(E8+Gap!$D$6*E9)+Gap!$E$6*F804*F9+Gap!$F$6*G804*G9</f>
        <v>164.812822106687</v>
      </c>
      <c r="F807" s="33" t="n">
        <f aca="false">F804*(F8+Gap!$D$6*F9)+Gap!$E$6*G804*G9+Gap!$F$6*H804*H9</f>
        <v>374.197532893146</v>
      </c>
      <c r="G807" s="33" t="n">
        <f aca="false">G804*(G8+Gap!$D$6*G9)+Gap!$E$6*H804*H9+Gap!$F$6*I804*I9</f>
        <v>549.170545832427</v>
      </c>
      <c r="H807" s="33" t="n">
        <f aca="false">H804*(H8+Gap!$D$6*H9)+Gap!$E$6*I804*I9+Gap!$F$6*J804*J9</f>
        <v>668.655767068569</v>
      </c>
      <c r="I807" s="33" t="n">
        <f aca="false">I804*(I8+Gap!$D$6*I9)+Gap!$E$6*J804*J9+Gap!$F$6*K804*K9</f>
        <v>923.445255203049</v>
      </c>
      <c r="J807" s="33" t="n">
        <f aca="false">J804*(J8+Gap!$D$6*J9)+Gap!$E$6*K804*K9+Gap!$F$6*L804*L9</f>
        <v>989.102553327627</v>
      </c>
      <c r="K807" s="33" t="n">
        <f aca="false">K804*(K8+Gap!$D$6*K9)+Gap!$E$6*L804*L9+Gap!$F$6*M804*M9</f>
        <v>824.221899684057</v>
      </c>
    </row>
    <row r="808" customFormat="false" ht="17.15" hidden="false" customHeight="false" outlineLevel="0" collapsed="false">
      <c r="A808" s="5" t="s">
        <v>2925</v>
      </c>
      <c r="B808" s="0" t="s">
        <v>3156</v>
      </c>
      <c r="C808" s="0" t="s">
        <v>395</v>
      </c>
      <c r="E808" s="33" t="n">
        <f aca="false">E539</f>
        <v>60.556995</v>
      </c>
      <c r="F808" s="33" t="n">
        <f aca="false">F539</f>
        <v>92.812193</v>
      </c>
      <c r="G808" s="33" t="n">
        <f aca="false">G539</f>
        <v>184.082278</v>
      </c>
      <c r="H808" s="33" t="n">
        <f aca="false">H539</f>
        <v>212.566374166667</v>
      </c>
      <c r="I808" s="33" t="n">
        <f aca="false">I539</f>
        <v>246.95029175</v>
      </c>
      <c r="J808" s="33" t="n">
        <f aca="false">J539</f>
        <v>277.130736</v>
      </c>
      <c r="K808" s="33" t="n">
        <f aca="false">K539</f>
        <v>299.026397916667</v>
      </c>
    </row>
    <row r="809" customFormat="false" ht="17.15" hidden="false" customHeight="false" outlineLevel="0" collapsed="false">
      <c r="A809" s="5" t="s">
        <v>2927</v>
      </c>
      <c r="B809" s="0" t="s">
        <v>3157</v>
      </c>
      <c r="C809" s="0" t="s">
        <v>395</v>
      </c>
      <c r="E809" s="33" t="n">
        <f aca="false">E542</f>
        <v>335.253</v>
      </c>
      <c r="F809" s="33" t="n">
        <f aca="false">F542</f>
        <v>589.4335</v>
      </c>
      <c r="G809" s="33" t="n">
        <f aca="false">G542</f>
        <v>800.087775083333</v>
      </c>
      <c r="H809" s="33" t="n">
        <f aca="false">H542</f>
        <v>942.583301916667</v>
      </c>
      <c r="I809" s="33" t="n">
        <f aca="false">I542</f>
        <v>1153.28686216667</v>
      </c>
      <c r="J809" s="33" t="n">
        <f aca="false">J542</f>
        <v>1408.73059683333</v>
      </c>
      <c r="K809" s="33" t="n">
        <f aca="false">K542</f>
        <v>1631.71418825</v>
      </c>
    </row>
    <row r="810" customFormat="false" ht="17.15" hidden="false" customHeight="false" outlineLevel="0" collapsed="false">
      <c r="A810" s="5" t="s">
        <v>2929</v>
      </c>
      <c r="B810" s="0" t="s">
        <v>3158</v>
      </c>
      <c r="C810" s="0" t="s">
        <v>395</v>
      </c>
      <c r="E810" s="33" t="n">
        <f aca="false">E544</f>
        <v>38.221</v>
      </c>
      <c r="F810" s="33" t="n">
        <f aca="false">F544</f>
        <v>258.571166666667</v>
      </c>
      <c r="G810" s="33" t="n">
        <f aca="false">0</f>
        <v>0</v>
      </c>
      <c r="H810" s="33" t="n">
        <f aca="false">0</f>
        <v>0</v>
      </c>
      <c r="I810" s="33" t="n">
        <f aca="false">0</f>
        <v>0</v>
      </c>
      <c r="J810" s="33" t="n">
        <f aca="false">0</f>
        <v>0</v>
      </c>
      <c r="K810" s="33" t="n">
        <f aca="false">0</f>
        <v>0</v>
      </c>
    </row>
    <row r="811" customFormat="false" ht="17.15" hidden="false" customHeight="false" outlineLevel="0" collapsed="false">
      <c r="A811" s="22" t="s">
        <v>2931</v>
      </c>
    </row>
    <row r="812" customFormat="false" ht="17.15" hidden="false" customHeight="false" outlineLevel="0" collapsed="false">
      <c r="A812" s="5" t="s">
        <v>2932</v>
      </c>
      <c r="B812" s="0" t="s">
        <v>3159</v>
      </c>
      <c r="C812" s="0" t="s">
        <v>395</v>
      </c>
      <c r="E812" s="40" t="n">
        <f aca="false">(E805*E551+F805*E552+G805*E553)+(E805*E554+F805*E555+G805*E556)</f>
        <v>134.635884875412</v>
      </c>
      <c r="F812" s="40" t="n">
        <f aca="false">(F805*F551+G805*F552+H805*F553)+(F805*F554+G805*F555+H805*F556)</f>
        <v>319.736957219803</v>
      </c>
      <c r="G812" s="40" t="n">
        <f aca="false">(G805*G551+H805*G552+I805*G553)+(G805*G554+H805*G555+I805*G556)</f>
        <v>366.504716248897</v>
      </c>
      <c r="H812" s="40" t="n">
        <f aca="false">(H805*H551+I805*H552+J805*H553)+(H805*H554+I805*H555+J805*H556)</f>
        <v>484.443324630706</v>
      </c>
      <c r="I812" s="40" t="n">
        <f aca="false">(I805*I551+J805*I552+K805*I553)+(I805*I554+J805*I555+K805*I556)</f>
        <v>784.197435523105</v>
      </c>
      <c r="J812" s="40" t="n">
        <f aca="false">(J805*J551+K805*J552+L805*J553)+(J805*J554+K805*J555+L805*J556)</f>
        <v>888.845001440764</v>
      </c>
      <c r="K812" s="40" t="n">
        <f aca="false">(K805*K551+L805*K552+M805*K553)+(K805*K554+L805*K555+M805*K556)</f>
        <v>836.462092664315</v>
      </c>
    </row>
    <row r="813" customFormat="false" ht="15" hidden="false" customHeight="false" outlineLevel="0" collapsed="false">
      <c r="A813" s="5" t="s">
        <v>2934</v>
      </c>
      <c r="B813" s="0" t="s">
        <v>3160</v>
      </c>
      <c r="C813" s="0" t="s">
        <v>395</v>
      </c>
      <c r="E813" s="33" t="n">
        <f aca="false">E812+E808</f>
        <v>195.192879875412</v>
      </c>
      <c r="F813" s="33" t="n">
        <f aca="false">F812+F808</f>
        <v>412.549150219803</v>
      </c>
      <c r="G813" s="33" t="n">
        <f aca="false">G812+G808</f>
        <v>550.586994248897</v>
      </c>
      <c r="H813" s="33" t="n">
        <f aca="false">H812+H808</f>
        <v>697.009698797373</v>
      </c>
      <c r="I813" s="33" t="n">
        <f aca="false">I812+I808</f>
        <v>1031.14772727311</v>
      </c>
      <c r="J813" s="33" t="n">
        <f aca="false">J812+J808</f>
        <v>1165.97573744076</v>
      </c>
      <c r="K813" s="33" t="n">
        <f aca="false">K812+K808</f>
        <v>1135.48849058098</v>
      </c>
    </row>
    <row r="814" customFormat="false" ht="15" hidden="false" customHeight="false" outlineLevel="0" collapsed="false">
      <c r="A814" s="5" t="s">
        <v>2936</v>
      </c>
      <c r="B814" s="0" t="s">
        <v>3161</v>
      </c>
      <c r="C814" s="0" t="s">
        <v>395</v>
      </c>
      <c r="E814" s="40" t="n">
        <f aca="false">E813-E809-E810</f>
        <v>-178.281120124588</v>
      </c>
      <c r="F814" s="40" t="n">
        <f aca="false">F813-F809-F810</f>
        <v>-435.455516446863</v>
      </c>
      <c r="G814" s="40" t="n">
        <f aca="false">G813-G809-G810</f>
        <v>-249.500780834436</v>
      </c>
      <c r="H814" s="40" t="n">
        <f aca="false">H813-H809-H810</f>
        <v>-245.573603119294</v>
      </c>
      <c r="I814" s="40" t="n">
        <f aca="false">I813-I809-I810</f>
        <v>-122.139134893562</v>
      </c>
      <c r="J814" s="40" t="n">
        <f aca="false">J813-J809-J810</f>
        <v>-242.754859392569</v>
      </c>
      <c r="K814" s="40" t="n">
        <f aca="false">K813-K809-K810</f>
        <v>-496.225697669019</v>
      </c>
    </row>
    <row r="815" customFormat="false" ht="17.15" hidden="false" customHeight="false" outlineLevel="0" collapsed="false">
      <c r="A815" s="5" t="s">
        <v>2938</v>
      </c>
      <c r="B815" s="0" t="s">
        <v>3162</v>
      </c>
      <c r="C815" s="0" t="s">
        <v>395</v>
      </c>
      <c r="G815" s="33" t="n">
        <f aca="false">SUM($G814:G814)</f>
        <v>-249.500780834436</v>
      </c>
      <c r="H815" s="33" t="n">
        <f aca="false">SUM($G814:H814)</f>
        <v>-495.07438395373</v>
      </c>
      <c r="I815" s="33" t="n">
        <f aca="false">SUM($G814:I814)</f>
        <v>-617.213518847292</v>
      </c>
      <c r="J815" s="33" t="n">
        <f aca="false">SUM($G814:J814)</f>
        <v>-859.968378239861</v>
      </c>
      <c r="K815" s="33" t="n">
        <f aca="false">SUM($G814:K814)</f>
        <v>-1356.19407590888</v>
      </c>
    </row>
    <row r="816" customFormat="false" ht="15" hidden="false" customHeight="false" outlineLevel="0" collapsed="false">
      <c r="A816" s="5" t="s">
        <v>2940</v>
      </c>
      <c r="B816" s="0" t="s">
        <v>3163</v>
      </c>
      <c r="C816" s="0" t="s">
        <v>395</v>
      </c>
      <c r="G816" s="40" t="n">
        <f aca="false">G815-G546</f>
        <v>-780.518321834436</v>
      </c>
      <c r="H816" s="40" t="n">
        <f aca="false">H815-G546</f>
        <v>-1026.09192495373</v>
      </c>
      <c r="I816" s="40" t="n">
        <f aca="false">I815-G546</f>
        <v>-1148.23105984729</v>
      </c>
      <c r="J816" s="40" t="n">
        <f aca="false">J815-G546</f>
        <v>-1390.98591923986</v>
      </c>
      <c r="K816" s="40" t="n">
        <f aca="false">K815-G546</f>
        <v>-1887.21161690888</v>
      </c>
    </row>
    <row r="817" customFormat="false" ht="15" hidden="false" customHeight="false" outlineLevel="0" collapsed="false">
      <c r="A817" s="5" t="s">
        <v>2942</v>
      </c>
      <c r="B817" s="0" t="s">
        <v>3164</v>
      </c>
      <c r="C817" s="0" t="s">
        <v>395</v>
      </c>
      <c r="G817" s="33" t="n">
        <f aca="false">G816-G547</f>
        <v>-2099.92832183444</v>
      </c>
      <c r="H817" s="33" t="n">
        <f aca="false">H816-G547</f>
        <v>-2345.50192495373</v>
      </c>
      <c r="I817" s="33" t="n">
        <f aca="false">I816-G547</f>
        <v>-2467.64105984729</v>
      </c>
      <c r="J817" s="33" t="n">
        <f aca="false">J816-G547</f>
        <v>-2710.39591923986</v>
      </c>
      <c r="K817" s="33" t="n">
        <f aca="false">K816-G547</f>
        <v>-3206.62161690888</v>
      </c>
    </row>
    <row r="818" customFormat="false" ht="15" hidden="false" customHeight="false" outlineLevel="0" collapsed="false">
      <c r="A818" s="5" t="s">
        <v>2944</v>
      </c>
      <c r="B818" s="0" t="s">
        <v>3165</v>
      </c>
      <c r="C818" s="0" t="s">
        <v>395</v>
      </c>
      <c r="E818" s="33" t="n">
        <f aca="false">E809-E813</f>
        <v>140.060120124588</v>
      </c>
      <c r="F818" s="33" t="n">
        <f aca="false">F809-F813</f>
        <v>176.884349780197</v>
      </c>
      <c r="G818" s="33" t="n">
        <f aca="false">G809-G813</f>
        <v>249.500780834436</v>
      </c>
      <c r="H818" s="33" t="n">
        <f aca="false">H809-H813</f>
        <v>245.573603119294</v>
      </c>
      <c r="I818" s="33" t="n">
        <f aca="false">I809-I813</f>
        <v>122.139134893562</v>
      </c>
      <c r="J818" s="33" t="n">
        <f aca="false">J809-J813</f>
        <v>242.754859392569</v>
      </c>
      <c r="K818" s="33" t="n">
        <f aca="false">K809-K813</f>
        <v>496.225697669019</v>
      </c>
    </row>
    <row r="819" customFormat="false" ht="15" hidden="false" customHeight="false" outlineLevel="0" collapsed="false">
      <c r="A819" s="5" t="s">
        <v>2404</v>
      </c>
      <c r="B819" s="0" t="s">
        <v>3166</v>
      </c>
      <c r="C819" s="0" t="s">
        <v>57</v>
      </c>
      <c r="E819" s="23" t="n">
        <f aca="false">IF(E813&lt;=0,"",(E813-E809)/E813)</f>
        <v>-0.717547280484748</v>
      </c>
      <c r="F819" s="23" t="n">
        <f aca="false">IF(F813&lt;=0,"",(F813-F809)/F813)</f>
        <v>-0.428759457354242</v>
      </c>
      <c r="G819" s="23" t="n">
        <f aca="false">IF(G813&lt;=0,"",(G813-G809)/G813)</f>
        <v>-0.45315414900928</v>
      </c>
      <c r="H819" s="23" t="n">
        <f aca="false">IF(H813&lt;=0,"",(H813-H809)/H813)</f>
        <v>-0.352324513622994</v>
      </c>
      <c r="I819" s="23" t="n">
        <f aca="false">IF(I813&lt;=0,"",(I813-I809)/I813)</f>
        <v>-0.118449696064949</v>
      </c>
      <c r="J819" s="23" t="n">
        <f aca="false">IF(J813&lt;=0,"",(J813-J809)/J813)</f>
        <v>-0.208198894365846</v>
      </c>
      <c r="K819" s="23" t="n">
        <f aca="false">IF(K813&lt;=0,"",(K813-K809)/K813)</f>
        <v>-0.437015171695066</v>
      </c>
    </row>
    <row r="820" customFormat="false" ht="17.15" hidden="false" customHeight="false" outlineLevel="0" collapsed="false">
      <c r="A820" s="5" t="s">
        <v>2947</v>
      </c>
      <c r="B820" s="0" t="s">
        <v>3167</v>
      </c>
      <c r="D820" s="0" t="str">
        <f aca="false">IF(G550&gt;0,"未定（資料不足）",IF(OR(K818&lt;0,OR(AND(N(G819)&gt;0.3,N(H819)&gt;0.3,N(I819)&gt;0.3),AND(N(H819)&gt;0.3,N(I819)&gt;0.3,N(J819)&gt;0.3),AND(N(I819)&gt;0.3,N(J819)&gt;0.3,N(K819)&gt;0.3))),"OpenAI 型",IF(MIN(G818:K818)&gt;=0,"Anthropic 型（2026–2030 皆為正）","Anthropic 型（"&amp;IF(AND(G818&gt;=0,H818&gt;=0,I818&gt;=0,J818&gt;=0,K818&gt;=0),"2026",IF(AND(H818&gt;=0,I818&gt;=0,J818&gt;=0,K818&gt;=0),"2027",IF(AND(I818&gt;=0,J818&gt;=0,K818&gt;=0),"2028",IF(AND(J818&gt;=0,K818&gt;=0),"2029",IF(AND(K818&gt;=0),"2030","—")))))&amp;" 起轉正）")))</f>
        <v>Anthropic 型（2026–2030 皆為正）</v>
      </c>
    </row>
    <row r="821" customFormat="false" ht="17.15" hidden="false" customHeight="false" outlineLevel="0" collapsed="false">
      <c r="A821" s="22" t="s">
        <v>2949</v>
      </c>
    </row>
    <row r="822" customFormat="false" ht="17.15" hidden="false" customHeight="false" outlineLevel="0" collapsed="false">
      <c r="A822" s="5" t="s">
        <v>2932</v>
      </c>
      <c r="B822" s="0" t="s">
        <v>3168</v>
      </c>
      <c r="C822" s="0" t="s">
        <v>395</v>
      </c>
      <c r="E822" s="40" t="n">
        <f aca="false">(E805*E551+F805*E552+G805*E553)+(E805*E554+F805*E555+G805*E556)</f>
        <v>134.635884875412</v>
      </c>
      <c r="F822" s="40" t="n">
        <f aca="false">(F805*F551+G805*F552+H805*F553)+(F805*F554+G805*F555+H805*F556)</f>
        <v>319.736957219803</v>
      </c>
      <c r="G822" s="40" t="n">
        <f aca="false">(G805*G551+H805*G552+I805*G553)+(G805*G554+H805*G555+I805*G556)</f>
        <v>366.504716248897</v>
      </c>
      <c r="H822" s="40" t="n">
        <f aca="false">H805*H557+(H805*H554+I805*H555+J805*H556)</f>
        <v>502.084011668177</v>
      </c>
      <c r="I822" s="40" t="n">
        <f aca="false">I805*I557+(I805*I554+J805*I555+K805*I556)</f>
        <v>761.88165839757</v>
      </c>
      <c r="J822" s="40" t="n">
        <f aca="false">J805*J557+(J805*J554+K805*J555+L805*J556)</f>
        <v>743.376198450924</v>
      </c>
      <c r="K822" s="40" t="n">
        <f aca="false">K805*K557+(K805*K554+L805*K555+M805*K556)</f>
        <v>508.367165075182</v>
      </c>
    </row>
    <row r="823" customFormat="false" ht="15" hidden="false" customHeight="false" outlineLevel="0" collapsed="false">
      <c r="A823" s="5" t="s">
        <v>2934</v>
      </c>
      <c r="B823" s="0" t="s">
        <v>3169</v>
      </c>
      <c r="C823" s="0" t="s">
        <v>395</v>
      </c>
      <c r="E823" s="33" t="n">
        <f aca="false">E822+E808</f>
        <v>195.192879875412</v>
      </c>
      <c r="F823" s="33" t="n">
        <f aca="false">F822+F808</f>
        <v>412.549150219803</v>
      </c>
      <c r="G823" s="33" t="n">
        <f aca="false">G822+G808</f>
        <v>550.586994248897</v>
      </c>
      <c r="H823" s="33" t="n">
        <f aca="false">H822+H808</f>
        <v>714.650385834844</v>
      </c>
      <c r="I823" s="33" t="n">
        <f aca="false">I822+I808</f>
        <v>1008.83195014757</v>
      </c>
      <c r="J823" s="33" t="n">
        <f aca="false">J822+J808</f>
        <v>1020.50693445092</v>
      </c>
      <c r="K823" s="33" t="n">
        <f aca="false">K822+K808</f>
        <v>807.393562991849</v>
      </c>
    </row>
    <row r="824" customFormat="false" ht="15" hidden="false" customHeight="false" outlineLevel="0" collapsed="false">
      <c r="A824" s="5" t="s">
        <v>2936</v>
      </c>
      <c r="B824" s="0" t="s">
        <v>3170</v>
      </c>
      <c r="C824" s="0" t="s">
        <v>395</v>
      </c>
      <c r="E824" s="40" t="n">
        <f aca="false">E823-E809-E810</f>
        <v>-178.281120124588</v>
      </c>
      <c r="F824" s="40" t="n">
        <f aca="false">F823-F809-F810</f>
        <v>-435.455516446863</v>
      </c>
      <c r="G824" s="40" t="n">
        <f aca="false">G823-G809-G810</f>
        <v>-249.500780834436</v>
      </c>
      <c r="H824" s="40" t="n">
        <f aca="false">H823-H809-H810</f>
        <v>-227.932916081823</v>
      </c>
      <c r="I824" s="40" t="n">
        <f aca="false">I823-I809-I810</f>
        <v>-144.454912019096</v>
      </c>
      <c r="J824" s="40" t="n">
        <f aca="false">J823-J809-J810</f>
        <v>-388.223662382409</v>
      </c>
      <c r="K824" s="40" t="n">
        <f aca="false">K823-K809-K810</f>
        <v>-824.320625258151</v>
      </c>
    </row>
    <row r="825" customFormat="false" ht="17.15" hidden="false" customHeight="false" outlineLevel="0" collapsed="false">
      <c r="A825" s="5" t="s">
        <v>2938</v>
      </c>
      <c r="B825" s="0" t="s">
        <v>3171</v>
      </c>
      <c r="C825" s="0" t="s">
        <v>395</v>
      </c>
      <c r="G825" s="33" t="n">
        <f aca="false">SUM($G824:G824)</f>
        <v>-249.500780834436</v>
      </c>
      <c r="H825" s="33" t="n">
        <f aca="false">SUM($G824:H824)</f>
        <v>-477.433696916259</v>
      </c>
      <c r="I825" s="33" t="n">
        <f aca="false">SUM($G824:I824)</f>
        <v>-621.888608935355</v>
      </c>
      <c r="J825" s="33" t="n">
        <f aca="false">SUM($G824:J824)</f>
        <v>-1010.11227131776</v>
      </c>
      <c r="K825" s="33" t="n">
        <f aca="false">SUM($G824:K824)</f>
        <v>-1834.43289657592</v>
      </c>
    </row>
    <row r="826" customFormat="false" ht="15" hidden="false" customHeight="false" outlineLevel="0" collapsed="false">
      <c r="A826" s="5" t="s">
        <v>2940</v>
      </c>
      <c r="B826" s="0" t="s">
        <v>3172</v>
      </c>
      <c r="C826" s="0" t="s">
        <v>395</v>
      </c>
      <c r="G826" s="40" t="n">
        <f aca="false">G825-G546</f>
        <v>-780.518321834436</v>
      </c>
      <c r="H826" s="40" t="n">
        <f aca="false">H825-G546</f>
        <v>-1008.45123791626</v>
      </c>
      <c r="I826" s="40" t="n">
        <f aca="false">I825-G546</f>
        <v>-1152.90614993536</v>
      </c>
      <c r="J826" s="40" t="n">
        <f aca="false">J825-G546</f>
        <v>-1541.12981231776</v>
      </c>
      <c r="K826" s="40" t="n">
        <f aca="false">K825-G546</f>
        <v>-2365.45043757592</v>
      </c>
    </row>
    <row r="827" customFormat="false" ht="15" hidden="false" customHeight="false" outlineLevel="0" collapsed="false">
      <c r="A827" s="5" t="s">
        <v>2942</v>
      </c>
      <c r="B827" s="0" t="s">
        <v>3173</v>
      </c>
      <c r="C827" s="0" t="s">
        <v>395</v>
      </c>
      <c r="G827" s="33" t="n">
        <f aca="false">G826-G547</f>
        <v>-2099.92832183444</v>
      </c>
      <c r="H827" s="33" t="n">
        <f aca="false">H826-G547</f>
        <v>-2327.86123791626</v>
      </c>
      <c r="I827" s="33" t="n">
        <f aca="false">I826-G547</f>
        <v>-2472.31614993536</v>
      </c>
      <c r="J827" s="33" t="n">
        <f aca="false">J826-G547</f>
        <v>-2860.53981231776</v>
      </c>
      <c r="K827" s="33" t="n">
        <f aca="false">K826-G547</f>
        <v>-3684.86043757592</v>
      </c>
    </row>
    <row r="828" customFormat="false" ht="15" hidden="false" customHeight="false" outlineLevel="0" collapsed="false">
      <c r="A828" s="5" t="s">
        <v>2944</v>
      </c>
      <c r="B828" s="0" t="s">
        <v>3174</v>
      </c>
      <c r="C828" s="0" t="s">
        <v>395</v>
      </c>
      <c r="E828" s="33" t="n">
        <f aca="false">E809-E823</f>
        <v>140.060120124588</v>
      </c>
      <c r="F828" s="33" t="n">
        <f aca="false">F809-F823</f>
        <v>176.884349780197</v>
      </c>
      <c r="G828" s="33" t="n">
        <f aca="false">G809-G823</f>
        <v>249.500780834436</v>
      </c>
      <c r="H828" s="33" t="n">
        <f aca="false">H809-H823</f>
        <v>227.932916081823</v>
      </c>
      <c r="I828" s="33" t="n">
        <f aca="false">I809-I823</f>
        <v>144.454912019096</v>
      </c>
      <c r="J828" s="33" t="n">
        <f aca="false">J809-J823</f>
        <v>388.223662382409</v>
      </c>
      <c r="K828" s="33" t="n">
        <f aca="false">K809-K823</f>
        <v>824.320625258151</v>
      </c>
    </row>
    <row r="829" customFormat="false" ht="15" hidden="false" customHeight="false" outlineLevel="0" collapsed="false">
      <c r="A829" s="5" t="s">
        <v>2404</v>
      </c>
      <c r="B829" s="0" t="s">
        <v>3175</v>
      </c>
      <c r="C829" s="0" t="s">
        <v>57</v>
      </c>
      <c r="E829" s="23" t="n">
        <f aca="false">IF(E823&lt;=0,"",(E823-E809)/E823)</f>
        <v>-0.717547280484748</v>
      </c>
      <c r="F829" s="23" t="n">
        <f aca="false">IF(F823&lt;=0,"",(F823-F809)/F823)</f>
        <v>-0.428759457354242</v>
      </c>
      <c r="G829" s="23" t="n">
        <f aca="false">IF(G823&lt;=0,"",(G823-G809)/G823)</f>
        <v>-0.45315414900928</v>
      </c>
      <c r="H829" s="23" t="n">
        <f aca="false">IF(H823&lt;=0,"",(H823-H809)/H823)</f>
        <v>-0.318943249174287</v>
      </c>
      <c r="I829" s="23" t="n">
        <f aca="false">IF(I823&lt;=0,"",(I823-I809)/I823)</f>
        <v>-0.143190262756811</v>
      </c>
      <c r="J829" s="23" t="n">
        <f aca="false">IF(J823&lt;=0,"",(J823-J809)/J823)</f>
        <v>-0.380422365862012</v>
      </c>
      <c r="K829" s="23" t="n">
        <f aca="false">IF(K823&lt;=0,"",(K823-K809)/K823)</f>
        <v>-1.02096506962921</v>
      </c>
    </row>
    <row r="830" customFormat="false" ht="17.15" hidden="false" customHeight="false" outlineLevel="0" collapsed="false">
      <c r="A830" s="5" t="s">
        <v>2958</v>
      </c>
      <c r="B830" s="0" t="s">
        <v>3176</v>
      </c>
      <c r="D830" s="0" t="str">
        <f aca="false">IF(G550&gt;0,"未定（資料不足）",IF(OR(K828&lt;0,OR(AND(N(G829)&gt;0.3,N(H829)&gt;0.3,N(I829)&gt;0.3),AND(N(H829)&gt;0.3,N(I829)&gt;0.3,N(J829)&gt;0.3),AND(N(I829)&gt;0.3,N(J829)&gt;0.3,N(K829)&gt;0.3))),"OpenAI 型",IF(MIN(G828:K828)&gt;=0,"Anthropic 型（2026–2030 皆為正）","Anthropic 型（"&amp;IF(AND(G828&gt;=0,H828&gt;=0,I828&gt;=0,J828&gt;=0,K828&gt;=0),"2026",IF(AND(H828&gt;=0,I828&gt;=0,J828&gt;=0,K828&gt;=0),"2027",IF(AND(I828&gt;=0,J828&gt;=0,K828&gt;=0),"2028",IF(AND(J828&gt;=0,K828&gt;=0),"2029",IF(AND(K828&gt;=0),"2030","—")))))&amp;" 起轉正）")))</f>
        <v>Anthropic 型（2026–2030 皆為正）</v>
      </c>
    </row>
    <row r="831" customFormat="false" ht="17.15" hidden="false" customHeight="false" outlineLevel="0" collapsed="false">
      <c r="A831" s="5" t="s">
        <v>2960</v>
      </c>
      <c r="B831" s="0" t="s">
        <v>3177</v>
      </c>
      <c r="C831" s="0" t="s">
        <v>57</v>
      </c>
      <c r="E831" s="23" t="n">
        <f aca="false">IF(E807&lt;=0,"",(E812-E805*E535)/E807)</f>
        <v>0.816901762584096</v>
      </c>
      <c r="F831" s="23" t="n">
        <f aca="false">IF(F807&lt;=0,"",(F812-F805*F535)/F807)</f>
        <v>0.854460356132562</v>
      </c>
      <c r="G831" s="23" t="n">
        <f aca="false">IF(G807&lt;=0,"",(G812-G805*G535)/G807)</f>
        <v>0.66737868414511</v>
      </c>
      <c r="H831" s="23" t="n">
        <f aca="false">IF(H807&lt;=0,"",(H812-H805*H535)/H807)</f>
        <v>0.724503322172091</v>
      </c>
      <c r="I831" s="23" t="n">
        <f aca="false">IF(I807&lt;=0,"",(I812-I805*I535)/I807)</f>
        <v>0.740009732527038</v>
      </c>
      <c r="J831" s="23" t="n">
        <f aca="false">IF(J807&lt;=0,"",(J812-J805*J535)/J807)</f>
        <v>0.811075271364581</v>
      </c>
      <c r="K831" s="23" t="n">
        <f aca="false">IF(K807&lt;=0,"",(K812-K805*K535)/K807)</f>
        <v>0.945216204371965</v>
      </c>
    </row>
    <row r="834" customFormat="false" ht="19.4" hidden="false" customHeight="false" outlineLevel="0" collapsed="false">
      <c r="A834" s="35" t="s">
        <v>3178</v>
      </c>
    </row>
    <row r="835" customFormat="false" ht="17.15" hidden="false" customHeight="false" outlineLevel="0" collapsed="false">
      <c r="A835" s="0" t="s">
        <v>3179</v>
      </c>
      <c r="B835" s="0" t="s">
        <v>3180</v>
      </c>
      <c r="C835" s="0" t="s">
        <v>395</v>
      </c>
      <c r="E835" s="33" t="n">
        <f aca="false">IF(E60&lt;&gt;"",E595*E55,E595*E41+F595*E42+G595*E43)</f>
        <v>15.9399706181677</v>
      </c>
      <c r="F835" s="33" t="n">
        <f aca="false">IF(F60&lt;&gt;"",F595*F55,F595*F41+G595*F42+H595*F43)</f>
        <v>72.391372066326</v>
      </c>
      <c r="G835" s="33" t="n">
        <f aca="false">IF(G60&lt;&gt;"",G595*G55,G595*G41+H595*G42+I595*G43)</f>
        <v>59.7493052077716</v>
      </c>
      <c r="H835" s="33" t="n">
        <f aca="false">IF(H60&lt;&gt;"",H595*H55,H595*H41+I595*H42+J595*H43)</f>
        <v>146.763512939626</v>
      </c>
      <c r="I835" s="33" t="n">
        <f aca="false">IF(I60&lt;&gt;"",I595*I55,I595*I41+J595*I42+K595*I43)</f>
        <v>193.031740706573</v>
      </c>
      <c r="J835" s="33" t="n">
        <f aca="false">IF(J60&lt;&gt;"",J595*J55,J595*J41+K595*J42+L595*J43)</f>
        <v>224.56746119645</v>
      </c>
      <c r="K835" s="33" t="n">
        <f aca="false">IF(K60&lt;&gt;"",K595*K55,K595*K41+L595*K42+M595*K43)</f>
        <v>249.728800048288</v>
      </c>
    </row>
    <row r="836" customFormat="false" ht="17.15" hidden="false" customHeight="false" outlineLevel="0" collapsed="false">
      <c r="A836" s="5" t="s">
        <v>3181</v>
      </c>
      <c r="B836" s="0" t="s">
        <v>3182</v>
      </c>
      <c r="C836" s="0" t="s">
        <v>395</v>
      </c>
      <c r="E836" s="33" t="n">
        <f aca="false">E835+N(E51)-N(E59)</f>
        <v>24.1170706181677</v>
      </c>
      <c r="F836" s="33" t="n">
        <f aca="false">F835+N(F51)-N(F59)</f>
        <v>-73.619702933674</v>
      </c>
      <c r="G836" s="33" t="n">
        <f aca="false">G835+N(G51)-N(G59)</f>
        <v>-108.550845792228</v>
      </c>
      <c r="H836" s="33" t="n">
        <f aca="false">H835+N(H51)-N(H59)</f>
        <v>-54.8337900603737</v>
      </c>
      <c r="I836" s="33" t="n">
        <f aca="false">I835+N(I51)-N(I59)</f>
        <v>-48.1788167934275</v>
      </c>
      <c r="J836" s="33" t="n">
        <f aca="false">J835+N(J51)-N(J59)</f>
        <v>-58.5894963035497</v>
      </c>
      <c r="K836" s="33" t="n">
        <f aca="false">K835+N(K51)-N(K59)</f>
        <v>-69.592195451712</v>
      </c>
    </row>
    <row r="837" customFormat="false" ht="17.15" hidden="false" customHeight="false" outlineLevel="0" collapsed="false">
      <c r="A837" s="5" t="s">
        <v>3183</v>
      </c>
      <c r="B837" s="0" t="s">
        <v>3184</v>
      </c>
      <c r="C837" s="0" t="s">
        <v>395</v>
      </c>
      <c r="G837" s="40" t="n">
        <f aca="false">SUM(G836:K836)</f>
        <v>-339.745144401291</v>
      </c>
    </row>
    <row r="838" customFormat="false" ht="17.15" hidden="false" customHeight="false" outlineLevel="0" collapsed="false">
      <c r="A838" s="0" t="s">
        <v>3185</v>
      </c>
      <c r="B838" s="0" t="s">
        <v>3186</v>
      </c>
      <c r="C838" s="0" t="s">
        <v>395</v>
      </c>
      <c r="E838" s="33" t="n">
        <f aca="false">IF(E105&lt;&gt;"",E595*E100,E595*E86+F595*E87+G595*E88)</f>
        <v>53.1278793825223</v>
      </c>
      <c r="F838" s="33" t="n">
        <f aca="false">IF(F105&lt;&gt;"",F595*F100,F595*F86+G595*F87+H595*F88)</f>
        <v>92.7950415075512</v>
      </c>
      <c r="G838" s="33" t="n">
        <f aca="false">IF(G105&lt;&gt;"",G595*G100,G595*G86+H595*G87+I595*G88)</f>
        <v>89.8874816630006</v>
      </c>
      <c r="H838" s="33" t="n">
        <f aca="false">IF(H105&lt;&gt;"",H595*H100,H595*H86+I595*H87+J595*H88)</f>
        <v>211.23520586973</v>
      </c>
      <c r="I838" s="33" t="n">
        <f aca="false">IF(I105&lt;&gt;"",I595*I100,I595*I86+J595*I87+K595*I88)</f>
        <v>276.909895943192</v>
      </c>
      <c r="J838" s="33" t="n">
        <f aca="false">IF(J105&lt;&gt;"",J595*J100,J595*J86+K595*J87+L595*J88)</f>
        <v>319.585911613342</v>
      </c>
      <c r="K838" s="33" t="n">
        <f aca="false">IF(K105&lt;&gt;"",K595*K100,K595*K86+L595*K87+M595*K88)</f>
        <v>354.425811634058</v>
      </c>
    </row>
    <row r="839" customFormat="false" ht="17.15" hidden="false" customHeight="false" outlineLevel="0" collapsed="false">
      <c r="A839" s="5" t="s">
        <v>3187</v>
      </c>
      <c r="B839" s="0" t="s">
        <v>3188</v>
      </c>
      <c r="C839" s="0" t="s">
        <v>395</v>
      </c>
      <c r="E839" s="33" t="n">
        <f aca="false">E838+N(E96)-N(E104)</f>
        <v>-72.1711206174777</v>
      </c>
      <c r="F839" s="33" t="n">
        <f aca="false">F838+N(F96)-N(F104)</f>
        <v>-58.2009084924488</v>
      </c>
      <c r="G839" s="33" t="n">
        <f aca="false">G838+N(G96)-N(G104)</f>
        <v>-68.5998053369994</v>
      </c>
      <c r="H839" s="33" t="n">
        <f aca="false">H838+N(H96)-N(H104)</f>
        <v>22.6875468697295</v>
      </c>
      <c r="I839" s="33" t="n">
        <f aca="false">I838+N(I96)-N(I104)</f>
        <v>55.4121999431921</v>
      </c>
      <c r="J839" s="33" t="n">
        <f aca="false">J838+N(J96)-N(J104)</f>
        <v>61.6178226133417</v>
      </c>
      <c r="K839" s="33" t="n">
        <f aca="false">K838+N(K96)-N(K104)</f>
        <v>64.955834634058</v>
      </c>
    </row>
    <row r="840" customFormat="false" ht="17.15" hidden="false" customHeight="false" outlineLevel="0" collapsed="false">
      <c r="A840" s="5" t="s">
        <v>3189</v>
      </c>
      <c r="B840" s="0" t="s">
        <v>3190</v>
      </c>
      <c r="C840" s="0" t="s">
        <v>395</v>
      </c>
      <c r="G840" s="40" t="n">
        <f aca="false">SUM(G839:K839)</f>
        <v>136.073598723322</v>
      </c>
    </row>
    <row r="841" customFormat="false" ht="17.15" hidden="false" customHeight="false" outlineLevel="0" collapsed="false">
      <c r="A841" s="0" t="s">
        <v>3191</v>
      </c>
      <c r="B841" s="0" t="s">
        <v>3192</v>
      </c>
      <c r="C841" s="0" t="s">
        <v>395</v>
      </c>
      <c r="E841" s="33" t="n">
        <f aca="false">IF(E150&lt;&gt;"",E595*E145,E595*E131+F595*E132+G595*E133)</f>
        <v>8.81015674847686</v>
      </c>
      <c r="F841" s="33" t="n">
        <f aca="false">IF(F150&lt;&gt;"",F595*F145,F595*F131+G595*F132+H595*F133)</f>
        <v>53.5831489207783</v>
      </c>
      <c r="G841" s="33" t="n">
        <f aca="false">IF(G150&lt;&gt;"",G595*G145,G595*G131+H595*G132+I595*G133)</f>
        <v>53.7368610229636</v>
      </c>
      <c r="H841" s="33" t="n">
        <f aca="false">IF(H150&lt;&gt;"",H595*H145,H595*H131+I595*H132+J595*H133)</f>
        <v>156.455044457422</v>
      </c>
      <c r="I841" s="33" t="n">
        <f aca="false">IF(I150&lt;&gt;"",I595*I145,I595*I131+J595*I132+K595*I133)</f>
        <v>195.158880664869</v>
      </c>
      <c r="J841" s="33" t="n">
        <f aca="false">IF(J150&lt;&gt;"",J595*J145,J595*J131+K595*J132+L595*J133)</f>
        <v>221.578648860708</v>
      </c>
      <c r="K841" s="33" t="n">
        <f aca="false">IF(K150&lt;&gt;"",K595*K145,K595*K131+L595*K132+M595*K133)</f>
        <v>244.639966884282</v>
      </c>
    </row>
    <row r="842" customFormat="false" ht="17.15" hidden="false" customHeight="false" outlineLevel="0" collapsed="false">
      <c r="A842" s="5" t="s">
        <v>3193</v>
      </c>
      <c r="B842" s="0" t="s">
        <v>3194</v>
      </c>
      <c r="C842" s="0" t="s">
        <v>395</v>
      </c>
      <c r="E842" s="33" t="n">
        <f aca="false">E841+N(E141)-N(E149)</f>
        <v>-54.6869482515231</v>
      </c>
      <c r="F842" s="33" t="n">
        <f aca="false">F841+N(F141)-N(F149)</f>
        <v>-27.1794830792217</v>
      </c>
      <c r="G842" s="33" t="n">
        <f aca="false">G841+N(G141)-N(G149)</f>
        <v>-62.8348929770364</v>
      </c>
      <c r="H842" s="33" t="n">
        <f aca="false">H841+N(H141)-N(H149)</f>
        <v>10.6581234574217</v>
      </c>
      <c r="I842" s="33" t="n">
        <f aca="false">I841+N(I141)-N(I149)</f>
        <v>9.32971966486889</v>
      </c>
      <c r="J842" s="33" t="n">
        <f aca="false">J841+N(J141)-N(J149)</f>
        <v>-4.15449313929196</v>
      </c>
      <c r="K842" s="33" t="n">
        <f aca="false">K841+N(K141)-N(K149)</f>
        <v>-18.1341651157176</v>
      </c>
    </row>
    <row r="843" customFormat="false" ht="17.15" hidden="false" customHeight="false" outlineLevel="0" collapsed="false">
      <c r="A843" s="5" t="s">
        <v>3195</v>
      </c>
      <c r="B843" s="0" t="s">
        <v>3196</v>
      </c>
      <c r="C843" s="0" t="s">
        <v>395</v>
      </c>
      <c r="G843" s="40" t="n">
        <f aca="false">SUM(G842:K842)</f>
        <v>-65.1357081097553</v>
      </c>
    </row>
    <row r="844" customFormat="false" ht="17.15" hidden="false" customHeight="false" outlineLevel="0" collapsed="false">
      <c r="A844" s="0" t="s">
        <v>3197</v>
      </c>
      <c r="B844" s="0" t="s">
        <v>3198</v>
      </c>
      <c r="C844" s="0" t="s">
        <v>395</v>
      </c>
      <c r="E844" s="33" t="n">
        <f aca="false">IF(E195&lt;&gt;"",E595*E190,E595*E176+F595*E177+G595*E178)</f>
        <v>13.0750492405836</v>
      </c>
      <c r="F844" s="33" t="n">
        <f aca="false">IF(F195&lt;&gt;"",F595*F190,F595*F176+G595*F177+H595*F178)</f>
        <v>48.3832111998816</v>
      </c>
      <c r="G844" s="33" t="n">
        <f aca="false">IF(G195&lt;&gt;"",G595*G190,G595*G176+H595*G177+I595*G178)</f>
        <v>40.2395384642163</v>
      </c>
      <c r="H844" s="33" t="n">
        <f aca="false">IF(H195&lt;&gt;"",H595*H190,H595*H176+I595*H177+J595*H178)</f>
        <v>53.5286017896622</v>
      </c>
      <c r="I844" s="33" t="n">
        <f aca="false">IF(I195&lt;&gt;"",I595*I190,I595*I176+J595*I177+K595*I178)</f>
        <v>141.573388257572</v>
      </c>
      <c r="J844" s="33" t="n">
        <f aca="false">IF(J195&lt;&gt;"",J595*J190,J595*J176+K595*J177+L595*J178)</f>
        <v>159.752426706589</v>
      </c>
      <c r="K844" s="33" t="n">
        <f aca="false">IF(K195&lt;&gt;"",K595*K190,K595*K176+L595*K177+M595*K178)</f>
        <v>176.776489949556</v>
      </c>
    </row>
    <row r="845" customFormat="false" ht="17.15" hidden="false" customHeight="false" outlineLevel="0" collapsed="false">
      <c r="A845" s="5" t="s">
        <v>3199</v>
      </c>
      <c r="B845" s="0" t="s">
        <v>3200</v>
      </c>
      <c r="C845" s="0" t="s">
        <v>395</v>
      </c>
      <c r="E845" s="33" t="n">
        <f aca="false">E844+N(E186)-N(E194)</f>
        <v>-78.2529507594164</v>
      </c>
      <c r="F845" s="33" t="n">
        <f aca="false">F844+N(F186)-N(F194)</f>
        <v>-67.4167888001184</v>
      </c>
      <c r="G845" s="33" t="n">
        <f aca="false">G844+N(G186)-N(G194)</f>
        <v>-75.2609715357837</v>
      </c>
      <c r="H845" s="33" t="n">
        <f aca="false">H844+N(H186)-N(H194)</f>
        <v>-101.252308210338</v>
      </c>
      <c r="I845" s="33" t="n">
        <f aca="false">I844+N(I186)-N(I194)</f>
        <v>-41.8835847424276</v>
      </c>
      <c r="J845" s="33" t="n">
        <f aca="false">J844+N(J186)-N(J194)</f>
        <v>-48.4621042934109</v>
      </c>
      <c r="K845" s="33" t="n">
        <f aca="false">K844+N(K186)-N(K194)</f>
        <v>-51.2797900504442</v>
      </c>
    </row>
    <row r="846" customFormat="false" ht="17.15" hidden="false" customHeight="false" outlineLevel="0" collapsed="false">
      <c r="A846" s="5" t="s">
        <v>3201</v>
      </c>
      <c r="B846" s="0" t="s">
        <v>3202</v>
      </c>
      <c r="C846" s="0" t="s">
        <v>395</v>
      </c>
      <c r="G846" s="40" t="n">
        <f aca="false">SUM(G845:K845)</f>
        <v>-318.138758832404</v>
      </c>
    </row>
    <row r="847" customFormat="false" ht="17.15" hidden="false" customHeight="false" outlineLevel="0" collapsed="false">
      <c r="A847" s="0" t="s">
        <v>3203</v>
      </c>
      <c r="B847" s="0" t="s">
        <v>3204</v>
      </c>
      <c r="C847" s="0" t="s">
        <v>395</v>
      </c>
      <c r="E847" s="33" t="n">
        <f aca="false">IF(E240&lt;&gt;"",E595*E235,E595*E221+F595*E222+G595*E223)</f>
        <v>13.8213040942944</v>
      </c>
      <c r="F847" s="33" t="n">
        <f aca="false">IF(F240&lt;&gt;"",F595*F235,F595*F221+G595*F222+H595*F223)</f>
        <v>39.1053996110339</v>
      </c>
      <c r="G847" s="33" t="n">
        <f aca="false">IF(G240&lt;&gt;"",G595*G235,G595*G221+H595*G222+I595*G223)</f>
        <v>64.6245331431791</v>
      </c>
      <c r="H847" s="33" t="n">
        <f aca="false">IF(H240&lt;&gt;"",H595*H235,H595*H221+I595*H222+J595*H223)</f>
        <v>65.6273654453318</v>
      </c>
      <c r="I847" s="33" t="n">
        <f aca="false">IF(I240&lt;&gt;"",I595*I235,I595*I221+J595*I222+K595*I223)</f>
        <v>75.9714037068266</v>
      </c>
      <c r="J847" s="33" t="n">
        <f aca="false">IF(J240&lt;&gt;"",J595*J235,J595*J221+K595*J222+L595*J223)</f>
        <v>79.6656668767454</v>
      </c>
      <c r="K847" s="33" t="n">
        <f aca="false">IF(K240&lt;&gt;"",K595*K235,K595*K221+L595*K222+M595*K223)</f>
        <v>85.9520152145244</v>
      </c>
    </row>
    <row r="848" customFormat="false" ht="17.15" hidden="false" customHeight="false" outlineLevel="0" collapsed="false">
      <c r="A848" s="5" t="s">
        <v>3205</v>
      </c>
      <c r="B848" s="0" t="s">
        <v>3206</v>
      </c>
      <c r="C848" s="0" t="s">
        <v>395</v>
      </c>
      <c r="E848" s="33" t="n">
        <f aca="false">E847+N(E231)-N(E239)</f>
        <v>13.8213040942944</v>
      </c>
      <c r="F848" s="33" t="n">
        <f aca="false">F847+N(F231)-N(F239)</f>
        <v>45.3018496110339</v>
      </c>
      <c r="G848" s="33" t="n">
        <f aca="false">G847+N(G231)-N(G239)</f>
        <v>23.9377130598458</v>
      </c>
      <c r="H848" s="33" t="n">
        <f aca="false">H847+N(H231)-N(H239)</f>
        <v>0.857484695331749</v>
      </c>
      <c r="I848" s="33" t="n">
        <f aca="false">I847+N(I231)-N(I239)</f>
        <v>9.48498379015989</v>
      </c>
      <c r="J848" s="33" t="n">
        <f aca="false">J847+N(J231)-N(J239)</f>
        <v>12.050464543412</v>
      </c>
      <c r="K848" s="33" t="n">
        <f aca="false">K847+N(K231)-N(K239)</f>
        <v>14.7931838811911</v>
      </c>
    </row>
    <row r="849" customFormat="false" ht="17.15" hidden="false" customHeight="false" outlineLevel="0" collapsed="false">
      <c r="A849" s="5" t="s">
        <v>3207</v>
      </c>
      <c r="B849" s="0" t="s">
        <v>3208</v>
      </c>
      <c r="C849" s="0" t="s">
        <v>395</v>
      </c>
      <c r="G849" s="40" t="n">
        <f aca="false">SUM(G848:K848)</f>
        <v>61.1238299699405</v>
      </c>
    </row>
    <row r="850" customFormat="false" ht="17.15" hidden="false" customHeight="false" outlineLevel="0" collapsed="false">
      <c r="A850" s="0" t="s">
        <v>3209</v>
      </c>
      <c r="B850" s="0" t="s">
        <v>3210</v>
      </c>
      <c r="C850" s="0" t="s">
        <v>395</v>
      </c>
      <c r="E850" s="33" t="n">
        <f aca="false">IF(E285&lt;&gt;"",E595*E280,E595*E266+F595*E267+G595*E268)</f>
        <v>17.0075740842261</v>
      </c>
      <c r="F850" s="33" t="n">
        <f aca="false">IF(F285&lt;&gt;"",F595*F280,F595*F266+G595*F267+H595*F268)</f>
        <v>26.9131147906696</v>
      </c>
      <c r="G850" s="33" t="n">
        <f aca="false">IF(G285&lt;&gt;"",G595*G280,G595*G266+H595*G267+I595*G268)</f>
        <v>44.1654646510057</v>
      </c>
      <c r="H850" s="33" t="n">
        <f aca="false">IF(H285&lt;&gt;"",H595*H280,H595*H266+I595*H267+J595*H268)</f>
        <v>59.8989103091667</v>
      </c>
      <c r="I850" s="33" t="n">
        <f aca="false">IF(I285&lt;&gt;"",I595*I280,I595*I266+J595*I267+K595*I268)</f>
        <v>41.6349110249993</v>
      </c>
      <c r="J850" s="33" t="n">
        <f aca="false">IF(J285&lt;&gt;"",J595*J280,J595*J266+K595*J267+L595*J268)</f>
        <v>47.3378281486246</v>
      </c>
      <c r="K850" s="33" t="n">
        <f aca="false">IF(K285&lt;&gt;"",K595*K280,K595*K266+L595*K267+M595*K268)</f>
        <v>52.2968548525409</v>
      </c>
    </row>
    <row r="851" customFormat="false" ht="17.15" hidden="false" customHeight="false" outlineLevel="0" collapsed="false">
      <c r="A851" s="5" t="s">
        <v>3211</v>
      </c>
      <c r="B851" s="0" t="s">
        <v>3212</v>
      </c>
      <c r="C851" s="0" t="s">
        <v>395</v>
      </c>
      <c r="E851" s="33" t="n">
        <f aca="false">E850+N(E276)-N(E284)</f>
        <v>14.2585740842261</v>
      </c>
      <c r="F851" s="33" t="n">
        <f aca="false">F850+N(F276)-N(F284)</f>
        <v>23.8551147906696</v>
      </c>
      <c r="G851" s="33" t="n">
        <f aca="false">G850+N(G276)-N(G284)</f>
        <v>42.8096446510057</v>
      </c>
      <c r="H851" s="33" t="n">
        <f aca="false">H850+N(H276)-N(H284)</f>
        <v>57.5071273091667</v>
      </c>
      <c r="I851" s="33" t="n">
        <f aca="false">I850+N(I276)-N(I284)</f>
        <v>33.9813720249993</v>
      </c>
      <c r="J851" s="33" t="n">
        <f aca="false">J850+N(J276)-N(J284)</f>
        <v>36.0728831486246</v>
      </c>
      <c r="K851" s="33" t="n">
        <f aca="false">K850+N(K276)-N(K284)</f>
        <v>40.465034352541</v>
      </c>
    </row>
    <row r="852" customFormat="false" ht="17.15" hidden="false" customHeight="false" outlineLevel="0" collapsed="false">
      <c r="A852" s="5" t="s">
        <v>3213</v>
      </c>
      <c r="B852" s="0" t="s">
        <v>3214</v>
      </c>
      <c r="C852" s="0" t="s">
        <v>395</v>
      </c>
      <c r="G852" s="40" t="n">
        <f aca="false">SUM(G851:K851)</f>
        <v>210.836061486337</v>
      </c>
    </row>
    <row r="853" customFormat="false" ht="17.15" hidden="false" customHeight="false" outlineLevel="0" collapsed="false">
      <c r="A853" s="0" t="s">
        <v>3215</v>
      </c>
      <c r="B853" s="0" t="s">
        <v>3216</v>
      </c>
      <c r="C853" s="0" t="s">
        <v>395</v>
      </c>
      <c r="E853" s="33" t="n">
        <f aca="false">IF(E330&lt;&gt;"",E595*E325,E595*E311+F595*E312+G595*E313)</f>
        <v>4.32558727768508</v>
      </c>
      <c r="F853" s="33" t="n">
        <f aca="false">IF(F330&lt;&gt;"",F595*F325,F595*F311+G595*F312+H595*F313)</f>
        <v>6.44967548196462</v>
      </c>
      <c r="G853" s="33" t="n">
        <f aca="false">IF(G330&lt;&gt;"",G595*G325,G595*G311+H595*G312+I595*G313)</f>
        <v>28.3532818275678</v>
      </c>
      <c r="H853" s="33" t="n">
        <f aca="false">IF(H330&lt;&gt;"",H595*H325,H595*H311+I595*H312+J595*H313)</f>
        <v>20.2620356209008</v>
      </c>
      <c r="I853" s="33" t="n">
        <f aca="false">IF(I330&lt;&gt;"",I595*I325,I595*I311+J595*I312+K595*I313)</f>
        <v>30.7349030355264</v>
      </c>
      <c r="J853" s="33" t="n">
        <f aca="false">IF(J330&lt;&gt;"",J595*J325,J595*J311+K595*J312+L595*J313)</f>
        <v>35.6148660506172</v>
      </c>
      <c r="K853" s="33" t="n">
        <f aca="false">IF(K330&lt;&gt;"",K595*K325,K595*K311+L595*K312+M595*K313)</f>
        <v>40.0501956510014</v>
      </c>
    </row>
    <row r="854" customFormat="false" ht="17.15" hidden="false" customHeight="false" outlineLevel="0" collapsed="false">
      <c r="A854" s="5" t="s">
        <v>3217</v>
      </c>
      <c r="B854" s="0" t="s">
        <v>3218</v>
      </c>
      <c r="C854" s="0" t="s">
        <v>395</v>
      </c>
      <c r="E854" s="33" t="n">
        <f aca="false">E853+N(E321)-N(E329)</f>
        <v>4.32558727768508</v>
      </c>
      <c r="F854" s="33" t="n">
        <f aca="false">F853+N(F321)-N(F329)</f>
        <v>7.05957548196462</v>
      </c>
      <c r="G854" s="33" t="n">
        <f aca="false">G853+N(G321)-N(G329)</f>
        <v>20.5474758275678</v>
      </c>
      <c r="H854" s="33" t="n">
        <f aca="false">H853+N(H321)-N(H329)</f>
        <v>14.6240726209008</v>
      </c>
      <c r="I854" s="33" t="n">
        <f aca="false">I853+N(I321)-N(I329)</f>
        <v>25.5804730355264</v>
      </c>
      <c r="J854" s="33" t="n">
        <f aca="false">J853+N(J321)-N(J329)</f>
        <v>30.0361970506172</v>
      </c>
      <c r="K854" s="33" t="n">
        <f aca="false">K853+N(K321)-N(K329)</f>
        <v>34.8659336510014</v>
      </c>
    </row>
    <row r="855" customFormat="false" ht="17.15" hidden="false" customHeight="false" outlineLevel="0" collapsed="false">
      <c r="A855" s="5" t="s">
        <v>3219</v>
      </c>
      <c r="B855" s="0" t="s">
        <v>3220</v>
      </c>
      <c r="C855" s="0" t="s">
        <v>395</v>
      </c>
      <c r="G855" s="40" t="n">
        <f aca="false">SUM(G854:K854)</f>
        <v>125.654152185614</v>
      </c>
    </row>
    <row r="856" customFormat="false" ht="17.15" hidden="false" customHeight="false" outlineLevel="0" collapsed="false">
      <c r="A856" s="0" t="s">
        <v>3221</v>
      </c>
      <c r="B856" s="0" t="s">
        <v>3222</v>
      </c>
      <c r="C856" s="0" t="s">
        <v>395</v>
      </c>
      <c r="E856" s="33" t="n">
        <f aca="false">IF(E374&lt;&gt;"",E595*E370,E595*E356+F595*E357+G595*E358)</f>
        <v>0.053767642407828</v>
      </c>
      <c r="F856" s="33" t="n">
        <f aca="false">IF(F374&lt;&gt;"",F595*F370,F595*F356+G595*F357+H595*F358)</f>
        <v>0.0643511065392617</v>
      </c>
      <c r="G856" s="33" t="n">
        <f aca="false">IF(G374&lt;&gt;"",G595*G370,G595*G356+H595*G357+I595*G358)</f>
        <v>0.294181527680375</v>
      </c>
      <c r="H856" s="33" t="n">
        <f aca="false">IF(H374&lt;&gt;"",H595*H370,H595*H356+I595*H357+J595*H358)</f>
        <v>0.064052744323298</v>
      </c>
      <c r="I856" s="33" t="n">
        <f aca="false">IF(I374&lt;&gt;"",I595*I370,I595*I356+J595*I357+K595*I358)</f>
        <v>0.0509083408437642</v>
      </c>
      <c r="J856" s="33" t="n">
        <f aca="false">IF(J374&lt;&gt;"",J595*J370,J595*J356+K595*J357+L595*J358)</f>
        <v>0.0564128692403154</v>
      </c>
      <c r="K856" s="33" t="n">
        <f aca="false">IF(K374&lt;&gt;"",K595*K370,K595*K356+L595*K357+M595*K358)</f>
        <v>0.111479875953478</v>
      </c>
    </row>
    <row r="857" customFormat="false" ht="17.15" hidden="false" customHeight="false" outlineLevel="0" collapsed="false">
      <c r="A857" s="5" t="s">
        <v>3223</v>
      </c>
      <c r="B857" s="0" t="s">
        <v>3224</v>
      </c>
      <c r="C857" s="0" t="s">
        <v>395</v>
      </c>
      <c r="E857" s="33" t="n">
        <f aca="false">E856+N(E366)-N(E373)</f>
        <v>0.053767642407828</v>
      </c>
      <c r="F857" s="33" t="n">
        <f aca="false">F856+N(F366)-N(F373)</f>
        <v>0.0643511065392617</v>
      </c>
      <c r="G857" s="33" t="n">
        <f aca="false">G856+N(G366)-N(G373)</f>
        <v>0.192011527680375</v>
      </c>
      <c r="H857" s="33" t="n">
        <f aca="false">H856+N(H366)-N(H373)</f>
        <v>0.020529744323298</v>
      </c>
      <c r="I857" s="33" t="n">
        <f aca="false">I856+N(I366)-N(I373)</f>
        <v>0.0392383408437642</v>
      </c>
      <c r="J857" s="33" t="n">
        <f aca="false">J856+N(J366)-N(J373)</f>
        <v>0.0019318692403154</v>
      </c>
      <c r="K857" s="33" t="n">
        <f aca="false">K856+N(K366)-N(K373)</f>
        <v>0.0216728759534777</v>
      </c>
    </row>
    <row r="858" customFormat="false" ht="17.15" hidden="false" customHeight="false" outlineLevel="0" collapsed="false">
      <c r="A858" s="5" t="s">
        <v>3225</v>
      </c>
      <c r="B858" s="0" t="s">
        <v>3226</v>
      </c>
      <c r="C858" s="0" t="s">
        <v>395</v>
      </c>
      <c r="G858" s="40" t="n">
        <f aca="false">SUM(G857:K857)</f>
        <v>0.275384358041231</v>
      </c>
    </row>
    <row r="859" customFormat="false" ht="17.15" hidden="false" customHeight="false" outlineLevel="0" collapsed="false">
      <c r="A859" s="0" t="s">
        <v>3227</v>
      </c>
      <c r="B859" s="0" t="s">
        <v>3228</v>
      </c>
      <c r="C859" s="0" t="s">
        <v>395</v>
      </c>
      <c r="E859" s="33" t="n">
        <f aca="false">IF(E408&lt;&gt;"",E595*E404,E595*E390+F595*E391+G595*E392)</f>
        <v>8.47459578704823</v>
      </c>
      <c r="F859" s="33" t="n">
        <f aca="false">IF(F408&lt;&gt;"",F595*F404,F595*F390+G595*F391+H595*F392)</f>
        <v>11.611032725695</v>
      </c>
      <c r="G859" s="33" t="n">
        <f aca="false">IF(G408&lt;&gt;"",G595*G404,G595*G390+H595*G391+I595*G392)</f>
        <v>47.8357922932529</v>
      </c>
      <c r="H859" s="33" t="n">
        <f aca="false">IF(H408&lt;&gt;"",H595*H404,H595*H390+I595*H391+J595*H392)</f>
        <v>18.982196266023</v>
      </c>
      <c r="I859" s="33" t="n">
        <f aca="false">IF(I408&lt;&gt;"",I595*I404,I595*I390+J595*I391+K595*I392)</f>
        <v>140.103626955559</v>
      </c>
      <c r="J859" s="33" t="n">
        <f aca="false">IF(J408&lt;&gt;"",J595*J404,J595*J390+K595*J391+L595*J392)</f>
        <v>111.23733999231</v>
      </c>
      <c r="K859" s="33" t="n">
        <f aca="false">IF(K408&lt;&gt;"",K595*K404,K595*K390+L595*K391+M595*K392)</f>
        <v>89.7662295398345</v>
      </c>
    </row>
    <row r="860" customFormat="false" ht="17.15" hidden="false" customHeight="false" outlineLevel="0" collapsed="false">
      <c r="A860" s="5" t="s">
        <v>3229</v>
      </c>
      <c r="B860" s="0" t="s">
        <v>3230</v>
      </c>
      <c r="C860" s="0" t="s">
        <v>395</v>
      </c>
      <c r="E860" s="33" t="n">
        <f aca="false">E859+N(E400)-N(E407)</f>
        <v>8.47459578704823</v>
      </c>
      <c r="F860" s="33" t="n">
        <f aca="false">F859+N(F400)-N(F407)</f>
        <v>4.81103272569499</v>
      </c>
      <c r="G860" s="33" t="n">
        <f aca="false">G859+N(G400)-N(G407)</f>
        <v>35.2902052932529</v>
      </c>
      <c r="H860" s="33" t="n">
        <f aca="false">H859+N(H400)-N(H407)</f>
        <v>-35.344381733977</v>
      </c>
      <c r="I860" s="33" t="n">
        <f aca="false">I859+N(I400)-N(I407)</f>
        <v>56.8641609555589</v>
      </c>
      <c r="J860" s="33" t="n">
        <f aca="false">J859+N(J400)-N(J407)</f>
        <v>9.15343099230994</v>
      </c>
      <c r="K860" s="33" t="n">
        <f aca="false">K859+N(K400)-N(K407)</f>
        <v>-20.8699794601655</v>
      </c>
    </row>
    <row r="861" customFormat="false" ht="17.15" hidden="false" customHeight="false" outlineLevel="0" collapsed="false">
      <c r="A861" s="5" t="s">
        <v>3231</v>
      </c>
      <c r="B861" s="0" t="s">
        <v>3232</v>
      </c>
      <c r="C861" s="0" t="s">
        <v>395</v>
      </c>
      <c r="G861" s="40" t="n">
        <f aca="false">SUM(G860:K860)</f>
        <v>45.0934360469793</v>
      </c>
    </row>
    <row r="862" customFormat="false" ht="17.15" hidden="false" customHeight="false" outlineLevel="0" collapsed="false">
      <c r="A862" s="0" t="s">
        <v>3233</v>
      </c>
      <c r="B862" s="0" t="s">
        <v>3234</v>
      </c>
      <c r="C862" s="0" t="s">
        <v>395</v>
      </c>
      <c r="E862" s="33" t="n">
        <f aca="false">IF(E453&lt;&gt;"",E595*E449,E595*E435+F595*E436+G595*E437)</f>
        <v>0</v>
      </c>
      <c r="F862" s="33" t="n">
        <f aca="false">IF(F453&lt;&gt;"",F595*F449,F595*F435+G595*F436+H595*F437)</f>
        <v>0</v>
      </c>
      <c r="G862" s="33" t="n">
        <f aca="false">IF(G453&lt;&gt;"",G595*G449,G595*G435+H595*G436+I595*G437)</f>
        <v>0</v>
      </c>
      <c r="H862" s="33" t="n">
        <f aca="false">IF(H453&lt;&gt;"",H595*H449,H595*H435+I595*H436+J595*H437)</f>
        <v>0</v>
      </c>
      <c r="I862" s="33" t="n">
        <f aca="false">IF(I453&lt;&gt;"",I595*I449,I595*I435+J595*I436+K595*I437)</f>
        <v>0</v>
      </c>
      <c r="J862" s="33" t="n">
        <f aca="false">IF(J453&lt;&gt;"",J595*J449,J595*J435+K595*J436+L595*J437)</f>
        <v>0</v>
      </c>
      <c r="K862" s="33" t="n">
        <f aca="false">IF(K453&lt;&gt;"",K595*K449,K595*K435+L595*K436+M595*K437)</f>
        <v>0</v>
      </c>
    </row>
    <row r="863" customFormat="false" ht="17.15" hidden="false" customHeight="false" outlineLevel="0" collapsed="false">
      <c r="A863" s="5" t="s">
        <v>3235</v>
      </c>
      <c r="B863" s="0" t="s">
        <v>3236</v>
      </c>
      <c r="C863" s="0" t="s">
        <v>395</v>
      </c>
      <c r="E863" s="33" t="n">
        <f aca="false">E862+N(E445)-N(E452)</f>
        <v>0</v>
      </c>
      <c r="F863" s="33" t="n">
        <f aca="false">F862+N(F445)-N(F452)</f>
        <v>0</v>
      </c>
      <c r="G863" s="33" t="n">
        <f aca="false">G862+N(G445)-N(G452)</f>
        <v>19.41593</v>
      </c>
      <c r="H863" s="33" t="n">
        <f aca="false">H862+N(H445)-N(H452)</f>
        <v>86.01732</v>
      </c>
      <c r="I863" s="33" t="n">
        <f aca="false">I862+N(I445)-N(I452)</f>
        <v>89.878131</v>
      </c>
      <c r="J863" s="33" t="n">
        <f aca="false">J862+N(J445)-N(J452)</f>
        <v>77.624622</v>
      </c>
      <c r="K863" s="33" t="n">
        <f aca="false">K862+N(K445)-N(K452)</f>
        <v>61.908809</v>
      </c>
    </row>
    <row r="864" customFormat="false" ht="17.15" hidden="false" customHeight="false" outlineLevel="0" collapsed="false">
      <c r="A864" s="5" t="s">
        <v>3237</v>
      </c>
      <c r="B864" s="0" t="s">
        <v>3238</v>
      </c>
      <c r="C864" s="0" t="s">
        <v>395</v>
      </c>
      <c r="G864" s="40" t="n">
        <f aca="false">SUM(G863:K863)</f>
        <v>334.844812</v>
      </c>
    </row>
    <row r="865" customFormat="false" ht="17.15" hidden="false" customHeight="false" outlineLevel="0" collapsed="false">
      <c r="A865" s="0" t="s">
        <v>3239</v>
      </c>
      <c r="B865" s="0" t="s">
        <v>3240</v>
      </c>
      <c r="C865" s="0" t="s">
        <v>395</v>
      </c>
      <c r="E865" s="33" t="n">
        <f aca="false">IF(E497&lt;&gt;"",E595*E493,E595*E479+F595*E480+G595*E481)</f>
        <v>0</v>
      </c>
      <c r="F865" s="33" t="n">
        <f aca="false">IF(F497&lt;&gt;"",F595*F493,F595*F479+G595*F480+H595*F481)</f>
        <v>0</v>
      </c>
      <c r="G865" s="33" t="n">
        <f aca="false">IF(G497&lt;&gt;"",G595*G493,G595*G479+H595*G480+I595*G481)</f>
        <v>0</v>
      </c>
      <c r="H865" s="33" t="n">
        <f aca="false">IF(H497&lt;&gt;"",H595*H493,H595*H479+I595*H480+J595*H481)</f>
        <v>0</v>
      </c>
      <c r="I865" s="33" t="n">
        <f aca="false">IF(I497&lt;&gt;"",I595*I493,I595*I479+J595*I480+K595*I481)</f>
        <v>0</v>
      </c>
      <c r="J865" s="33" t="n">
        <f aca="false">IF(J497&lt;&gt;"",J595*J493,J595*J479+K595*J480+L595*J481)</f>
        <v>0</v>
      </c>
      <c r="K865" s="33" t="n">
        <f aca="false">IF(K497&lt;&gt;"",K595*K493,K595*K479+L595*K480+M595*K481)</f>
        <v>0</v>
      </c>
    </row>
    <row r="866" customFormat="false" ht="17.15" hidden="false" customHeight="false" outlineLevel="0" collapsed="false">
      <c r="A866" s="5" t="s">
        <v>3241</v>
      </c>
      <c r="B866" s="0" t="s">
        <v>3242</v>
      </c>
      <c r="C866" s="0" t="s">
        <v>395</v>
      </c>
      <c r="E866" s="33" t="n">
        <f aca="false">E865+N(E489)-N(E496)</f>
        <v>0</v>
      </c>
      <c r="F866" s="33" t="n">
        <f aca="false">F865+N(F489)-N(F496)</f>
        <v>0</v>
      </c>
      <c r="G866" s="33" t="n">
        <f aca="false">G865+N(G489)-N(G496)</f>
        <v>-14.065522</v>
      </c>
      <c r="H866" s="33" t="n">
        <f aca="false">H865+N(H489)-N(H496)</f>
        <v>1.858273</v>
      </c>
      <c r="I866" s="33" t="n">
        <f aca="false">I865+N(I489)-N(I496)</f>
        <v>-1.674789</v>
      </c>
      <c r="J866" s="33" t="n">
        <f aca="false">J865+N(J489)-N(J496)</f>
        <v>-47.554557</v>
      </c>
      <c r="K866" s="33" t="n">
        <f aca="false">K865+N(K489)-N(K496)</f>
        <v>-96.074285</v>
      </c>
    </row>
    <row r="867" customFormat="false" ht="17.15" hidden="false" customHeight="false" outlineLevel="0" collapsed="false">
      <c r="A867" s="5" t="s">
        <v>3243</v>
      </c>
      <c r="B867" s="0" t="s">
        <v>3244</v>
      </c>
      <c r="C867" s="0" t="s">
        <v>395</v>
      </c>
      <c r="G867" s="40" t="n">
        <f aca="false">SUM(G866:K866)</f>
        <v>-157.51088</v>
      </c>
    </row>
    <row r="868" customFormat="false" ht="17.15" hidden="false" customHeight="false" outlineLevel="0" collapsed="false">
      <c r="A868" s="5" t="s">
        <v>3245</v>
      </c>
      <c r="B868" s="0" t="s">
        <v>3246</v>
      </c>
      <c r="C868" s="0" t="s">
        <v>395</v>
      </c>
      <c r="E868" s="29" t="n">
        <f aca="false">E835+E838+E841+E844+E847+E850+E853+E856+E859+E862+E865-E602</f>
        <v>0</v>
      </c>
      <c r="F868" s="29" t="n">
        <f aca="false">F835+F838+F841+F844+F847+F850+F853+F856+F859+F862+F865-F602</f>
        <v>0</v>
      </c>
      <c r="G868" s="29" t="n">
        <f aca="false">G835+G838+G841+G844+G847+G850+G853+G856+G859+G862+G865-G602</f>
        <v>0</v>
      </c>
      <c r="H868" s="29" t="n">
        <f aca="false">H835+H838+H841+H844+H847+H850+H853+H856+H859+H862+H865-H602</f>
        <v>0</v>
      </c>
      <c r="I868" s="29" t="n">
        <f aca="false">I835+I838+I841+I844+I847+I850+I853+I856+I859+I862+I865-I602</f>
        <v>0</v>
      </c>
      <c r="J868" s="29" t="n">
        <f aca="false">J835+J838+J841+J844+J847+J850+J853+J856+J859+J862+J865-J602</f>
        <v>0</v>
      </c>
      <c r="K868" s="29" t="n">
        <f aca="false">K835+K838+K841+K844+K847+K850+K853+K856+K859+K862+K865-K602</f>
        <v>0</v>
      </c>
    </row>
    <row r="870" customFormat="false" ht="19.4" hidden="false" customHeight="false" outlineLevel="0" collapsed="false">
      <c r="A870" s="35" t="s">
        <v>3247</v>
      </c>
    </row>
    <row r="871" customFormat="false" ht="17.15" hidden="false" customHeight="false" outlineLevel="0" collapsed="false">
      <c r="A871" s="5" t="s">
        <v>3248</v>
      </c>
      <c r="B871" s="0" t="s">
        <v>3249</v>
      </c>
      <c r="C871" s="0" t="s">
        <v>395</v>
      </c>
      <c r="E871" s="33" t="n">
        <f aca="false">E572+E565*(E558-E533)</f>
        <v>141.323213626591</v>
      </c>
      <c r="F871" s="33" t="n">
        <f aca="false">F572+F565*(F558-F533)</f>
        <v>378.921460824923</v>
      </c>
      <c r="G871" s="33" t="n">
        <f aca="false">G572+G565*(G558-G533)</f>
        <v>481.052412646066</v>
      </c>
      <c r="H871" s="33" t="n">
        <f aca="false">H572+H565*(H558-H533)</f>
        <v>903.29141137148</v>
      </c>
      <c r="I871" s="33" t="n">
        <f aca="false">I572+I565*(I558-I533)</f>
        <v>1224.82625600841</v>
      </c>
      <c r="J871" s="33" t="n">
        <f aca="false">J572+J565*(J558-J533)</f>
        <v>1312.34442254423</v>
      </c>
      <c r="K871" s="33" t="n">
        <f aca="false">K572+K565*(K558-K533)</f>
        <v>1411.26620146568</v>
      </c>
    </row>
    <row r="872" customFormat="false" ht="17.15" hidden="false" customHeight="false" outlineLevel="0" collapsed="false">
      <c r="A872" s="5" t="s">
        <v>3250</v>
      </c>
      <c r="B872" s="0" t="s">
        <v>3251</v>
      </c>
      <c r="C872" s="0" t="s">
        <v>395</v>
      </c>
      <c r="E872" s="33" t="n">
        <f aca="false">E871+E568-E569-E570</f>
        <v>-171.593791373409</v>
      </c>
      <c r="F872" s="33" t="n">
        <f aca="false">F871+F568-F569-F570</f>
        <v>-376.271012841743</v>
      </c>
      <c r="G872" s="33" t="n">
        <f aca="false">G871+G568-G569-G570</f>
        <v>-134.953084437267</v>
      </c>
      <c r="H872" s="33" t="n">
        <f aca="false">H871+H568-H569-H570</f>
        <v>173.27448362148</v>
      </c>
      <c r="I872" s="33" t="n">
        <f aca="false">I871+I568-I569-I570</f>
        <v>318.48968559174</v>
      </c>
      <c r="J872" s="33" t="n">
        <f aca="false">J871+J568-J569-J570</f>
        <v>180.744561710894</v>
      </c>
      <c r="K872" s="33" t="n">
        <f aca="false">K871+K568-K569-K570</f>
        <v>78.5784111323419</v>
      </c>
    </row>
    <row r="873" customFormat="false" ht="17.15" hidden="false" customHeight="false" outlineLevel="0" collapsed="false">
      <c r="A873" s="5" t="s">
        <v>3252</v>
      </c>
      <c r="B873" s="0" t="s">
        <v>3253</v>
      </c>
      <c r="C873" s="0" t="s">
        <v>395</v>
      </c>
      <c r="G873" s="33" t="n">
        <f aca="false">SUM($G872:G872)-G546</f>
        <v>-665.970625437267</v>
      </c>
      <c r="H873" s="33" t="n">
        <f aca="false">SUM($G872:H872)-G546</f>
        <v>-492.696141815787</v>
      </c>
      <c r="I873" s="33" t="n">
        <f aca="false">SUM($G872:I872)-G546</f>
        <v>-174.206456224047</v>
      </c>
      <c r="J873" s="33" t="n">
        <f aca="false">SUM($G872:J872)-G546</f>
        <v>6.53810548684612</v>
      </c>
      <c r="K873" s="33" t="n">
        <f aca="false">SUM($G872:K872)-G546</f>
        <v>85.116516619188</v>
      </c>
    </row>
    <row r="874" customFormat="false" ht="17.15" hidden="false" customHeight="false" outlineLevel="0" collapsed="false">
      <c r="A874" s="5" t="s">
        <v>3254</v>
      </c>
      <c r="B874" s="0" t="s">
        <v>3255</v>
      </c>
      <c r="C874" s="0" t="s">
        <v>395</v>
      </c>
      <c r="E874" s="33" t="n">
        <f aca="false">-E872-E570</f>
        <v>133.372791373409</v>
      </c>
      <c r="F874" s="33" t="n">
        <f aca="false">-F872-F570</f>
        <v>117.699846175077</v>
      </c>
      <c r="G874" s="33" t="n">
        <f aca="false">-G872-G570</f>
        <v>134.953084437267</v>
      </c>
      <c r="H874" s="33" t="n">
        <f aca="false">-H872-H570</f>
        <v>-173.27448362148</v>
      </c>
      <c r="I874" s="33" t="n">
        <f aca="false">-I872-I570</f>
        <v>-318.48968559174</v>
      </c>
      <c r="J874" s="33" t="n">
        <f aca="false">-J872-J570</f>
        <v>-180.744561710894</v>
      </c>
      <c r="K874" s="33" t="n">
        <f aca="false">-K872-K570</f>
        <v>-78.5784111323419</v>
      </c>
    </row>
    <row r="875" customFormat="false" ht="17.15" hidden="false" customHeight="false" outlineLevel="0" collapsed="false">
      <c r="A875" s="5" t="s">
        <v>3256</v>
      </c>
      <c r="B875" s="0" t="s">
        <v>3257</v>
      </c>
      <c r="C875" s="0" t="s">
        <v>395</v>
      </c>
      <c r="E875" s="23" t="n">
        <f aca="false">IF((E871+E568)&lt;=0,"",(E871+E568-E569)/(E871+E568))</f>
        <v>-0.660653128311864</v>
      </c>
      <c r="F875" s="23" t="n">
        <f aca="false">IF((F871+F568)&lt;=0,"",(F871+F568-F569)/(F871+F568))</f>
        <v>-0.24950487466972</v>
      </c>
      <c r="G875" s="23" t="n">
        <f aca="false">IF((G871+G568)&lt;=0,"",(G871+G568-G569)/(G871+G568))</f>
        <v>-0.202895874076547</v>
      </c>
      <c r="H875" s="23" t="n">
        <f aca="false">IF((H871+H568)&lt;=0,"",(H871+H568-H569)/(H871+H568))</f>
        <v>0.155283662369138</v>
      </c>
      <c r="I875" s="23" t="n">
        <f aca="false">IF((I871+I568)&lt;=0,"",(I871+I568-I569)/(I871+I568))</f>
        <v>0.216398125161606</v>
      </c>
      <c r="J875" s="23" t="n">
        <f aca="false">IF((J871+J568)&lt;=0,"",(J871+J568-J569)/(J871+J568))</f>
        <v>0.113713360500981</v>
      </c>
      <c r="K875" s="23" t="n">
        <f aca="false">IF((K871+K568)&lt;=0,"",(K871+K568-K569)/(K871+K568))</f>
        <v>0.0459444256267728</v>
      </c>
    </row>
    <row r="876" customFormat="false" ht="17.15" hidden="false" customHeight="false" outlineLevel="0" collapsed="false">
      <c r="A876" s="5" t="s">
        <v>3258</v>
      </c>
      <c r="B876" s="0" t="s">
        <v>3259</v>
      </c>
      <c r="D876" s="0" t="str">
        <f aca="false">IF(G550&gt;0,"未定（資料不足）",IF(OR(K874&lt;0,OR(AND(N(G875)&gt;0.3,N(H875)&gt;0.3,N(I875)&gt;0.3),AND(N(H875)&gt;0.3,N(I875)&gt;0.3,N(J875)&gt;0.3),AND(N(I875)&gt;0.3,N(J875)&gt;0.3,N(K875)&gt;0.3))),"OpenAI 型",IF(MIN(G874:K874)&gt;=0,"Anthropic 型（2026–2030 皆為正）","Anthropic 型（"&amp;IF(AND(G874&gt;=0,H874&gt;=0,I874&gt;=0,J874&gt;=0,K874&gt;=0),"2026",IF(AND(H874&gt;=0,I874&gt;=0,J874&gt;=0,K874&gt;=0),"2027",IF(AND(I874&gt;=0,J874&gt;=0,K874&gt;=0),"2028",IF(AND(J874&gt;=0,K874&gt;=0),"2029",IF(AND(K874&gt;=0),"2030","—")))))&amp;" 起轉正）")))</f>
        <v>OpenAI 型</v>
      </c>
    </row>
    <row r="877" customFormat="false" ht="17.15" hidden="false" customHeight="false" outlineLevel="0" collapsed="false">
      <c r="A877" s="5" t="s">
        <v>3260</v>
      </c>
      <c r="B877" s="0" t="s">
        <v>3261</v>
      </c>
      <c r="C877" s="0" t="s">
        <v>395</v>
      </c>
      <c r="E877" s="33" t="n">
        <f aca="false">E602+E595*(E558-E533)</f>
        <v>138.300376096212</v>
      </c>
      <c r="F877" s="33" t="n">
        <f aca="false">F602+F595*(F558-F533)</f>
        <v>360.880032977953</v>
      </c>
      <c r="G877" s="33" t="n">
        <f aca="false">G602+G595*(G558-G533)</f>
        <v>445.409404451793</v>
      </c>
      <c r="H877" s="33" t="n">
        <f aca="false">H602+H595*(H558-H533)</f>
        <v>798.135977655426</v>
      </c>
      <c r="I877" s="33" t="n">
        <f aca="false">I602+I595*(I558-I533)</f>
        <v>1197.52970185521</v>
      </c>
      <c r="J877" s="33" t="n">
        <f aca="false">J602+J595*(J558-J533)</f>
        <v>1317.20453950593</v>
      </c>
      <c r="K877" s="33" t="n">
        <f aca="false">K602+K595*(K558-K533)</f>
        <v>1422.78551588199</v>
      </c>
    </row>
    <row r="878" customFormat="false" ht="17.15" hidden="false" customHeight="false" outlineLevel="0" collapsed="false">
      <c r="A878" s="5" t="s">
        <v>3262</v>
      </c>
      <c r="B878" s="0" t="s">
        <v>3263</v>
      </c>
      <c r="C878" s="0" t="s">
        <v>395</v>
      </c>
      <c r="E878" s="33" t="n">
        <f aca="false">E877+E598-E599-E600</f>
        <v>-174.616628903788</v>
      </c>
      <c r="F878" s="33" t="n">
        <f aca="false">F877+F598-F599-F600</f>
        <v>-394.312440688713</v>
      </c>
      <c r="G878" s="33" t="n">
        <f aca="false">G877+G598-G599-G600</f>
        <v>-170.59609263154</v>
      </c>
      <c r="H878" s="33" t="n">
        <f aca="false">H877+H598-H599-H600</f>
        <v>68.1190499054259</v>
      </c>
      <c r="I878" s="33" t="n">
        <f aca="false">I877+I598-I599-I600</f>
        <v>291.193131438546</v>
      </c>
      <c r="J878" s="33" t="n">
        <f aca="false">J877+J598-J599-J600</f>
        <v>185.604678672596</v>
      </c>
      <c r="K878" s="33" t="n">
        <f aca="false">K877+K598-K599-K600</f>
        <v>90.0977255486589</v>
      </c>
    </row>
    <row r="879" customFormat="false" ht="17.15" hidden="false" customHeight="false" outlineLevel="0" collapsed="false">
      <c r="A879" s="5" t="s">
        <v>3264</v>
      </c>
      <c r="B879" s="0" t="s">
        <v>3265</v>
      </c>
      <c r="C879" s="0" t="s">
        <v>395</v>
      </c>
      <c r="G879" s="33" t="n">
        <f aca="false">SUM($G878:G878)-G546</f>
        <v>-701.61363363154</v>
      </c>
      <c r="H879" s="33" t="n">
        <f aca="false">SUM($G878:H878)-G546</f>
        <v>-633.494583726115</v>
      </c>
      <c r="I879" s="33" t="n">
        <f aca="false">SUM($G878:I878)-G546</f>
        <v>-342.301452287568</v>
      </c>
      <c r="J879" s="33" t="n">
        <f aca="false">SUM($G878:J878)-G546</f>
        <v>-156.696773614973</v>
      </c>
      <c r="K879" s="33" t="n">
        <f aca="false">SUM($G878:K878)-G546</f>
        <v>-66.5990480663137</v>
      </c>
    </row>
    <row r="880" customFormat="false" ht="17.15" hidden="false" customHeight="false" outlineLevel="0" collapsed="false">
      <c r="A880" s="5" t="s">
        <v>3266</v>
      </c>
      <c r="B880" s="0" t="s">
        <v>3267</v>
      </c>
      <c r="C880" s="0" t="s">
        <v>395</v>
      </c>
      <c r="E880" s="33" t="n">
        <f aca="false">-E878-E600</f>
        <v>136.395628903788</v>
      </c>
      <c r="F880" s="33" t="n">
        <f aca="false">-F878-F600</f>
        <v>135.741274022047</v>
      </c>
      <c r="G880" s="33" t="n">
        <f aca="false">-G878-G600</f>
        <v>170.59609263154</v>
      </c>
      <c r="H880" s="33" t="n">
        <f aca="false">-H878-H600</f>
        <v>-68.1190499054259</v>
      </c>
      <c r="I880" s="33" t="n">
        <f aca="false">-I878-I600</f>
        <v>-291.193131438546</v>
      </c>
      <c r="J880" s="33" t="n">
        <f aca="false">-J878-J600</f>
        <v>-185.604678672596</v>
      </c>
      <c r="K880" s="33" t="n">
        <f aca="false">-K878-K600</f>
        <v>-90.0977255486589</v>
      </c>
    </row>
    <row r="881" customFormat="false" ht="17.15" hidden="false" customHeight="false" outlineLevel="0" collapsed="false">
      <c r="A881" s="5" t="s">
        <v>3268</v>
      </c>
      <c r="B881" s="0" t="s">
        <v>3269</v>
      </c>
      <c r="C881" s="0" t="s">
        <v>395</v>
      </c>
      <c r="E881" s="23" t="n">
        <f aca="false">IF((E877+E598)&lt;=0,"",(E877+E598-E599)/(E877+E598))</f>
        <v>-0.685896771901888</v>
      </c>
      <c r="F881" s="23" t="n">
        <f aca="false">IF((F877+F598)&lt;=0,"",(F877+F598-F599)/(F877+F598))</f>
        <v>-0.299192417788184</v>
      </c>
      <c r="G881" s="23" t="n">
        <f aca="false">IF((G877+G598)&lt;=0,"",(G877+G598-G599)/(G877+G598))</f>
        <v>-0.271006110783052</v>
      </c>
      <c r="H881" s="23" t="n">
        <f aca="false">IF((H877+H598)&lt;=0,"",(H877+H598-H599)/(H877+H598))</f>
        <v>0.0673977356267362</v>
      </c>
      <c r="I881" s="23" t="n">
        <f aca="false">IF((I877+I598)&lt;=0,"",(I877+I598-I599)/(I877+I598))</f>
        <v>0.20159028351218</v>
      </c>
      <c r="J881" s="23" t="n">
        <f aca="false">IF((J877+J598)&lt;=0,"",(J877+J598-J599)/(J877+J598))</f>
        <v>0.116415086289612</v>
      </c>
      <c r="K881" s="23" t="n">
        <f aca="false">IF((K877+K598)&lt;=0,"",(K877+K598-K599)/(K877+K598))</f>
        <v>0.0523272750215123</v>
      </c>
    </row>
    <row r="882" customFormat="false" ht="17.15" hidden="false" customHeight="false" outlineLevel="0" collapsed="false">
      <c r="A882" s="5" t="s">
        <v>3270</v>
      </c>
      <c r="B882" s="0" t="s">
        <v>3271</v>
      </c>
      <c r="D882" s="0" t="str">
        <f aca="false">IF(G550&gt;0,"未定（資料不足）",IF(OR(K880&lt;0,OR(AND(N(G881)&gt;0.3,N(H881)&gt;0.3,N(I881)&gt;0.3),AND(N(H881)&gt;0.3,N(I881)&gt;0.3,N(J881)&gt;0.3),AND(N(I881)&gt;0.3,N(J881)&gt;0.3,N(K881)&gt;0.3))),"OpenAI 型",IF(MIN(G880:K880)&gt;=0,"Anthropic 型（2026–2030 皆為正）","Anthropic 型（"&amp;IF(AND(G880&gt;=0,H880&gt;=0,I880&gt;=0,J880&gt;=0,K880&gt;=0),"2026",IF(AND(H880&gt;=0,I880&gt;=0,J880&gt;=0,K880&gt;=0),"2027",IF(AND(I880&gt;=0,J880&gt;=0,K880&gt;=0),"2028",IF(AND(J880&gt;=0,K880&gt;=0),"2029",IF(AND(K880&gt;=0),"2030","—")))))&amp;" 起轉正）")))</f>
        <v>OpenAI 型</v>
      </c>
    </row>
    <row r="883" customFormat="false" ht="17.15" hidden="false" customHeight="false" outlineLevel="0" collapsed="false">
      <c r="A883" s="5" t="s">
        <v>3272</v>
      </c>
      <c r="B883" s="0" t="s">
        <v>3273</v>
      </c>
      <c r="C883" s="0" t="s">
        <v>395</v>
      </c>
      <c r="E883" s="33" t="n">
        <f aca="false">E632+E625*(E558-E533)</f>
        <v>138.300376096212</v>
      </c>
      <c r="F883" s="33" t="n">
        <f aca="false">F632+F625*(F558-F533)</f>
        <v>329.320642787317</v>
      </c>
      <c r="G883" s="33" t="n">
        <f aca="false">G632+G625*(G558-G533)</f>
        <v>405.407174774659</v>
      </c>
      <c r="H883" s="33" t="n">
        <f aca="false">H632+H625*(H558-H533)</f>
        <v>610.155111328297</v>
      </c>
      <c r="I883" s="33" t="n">
        <f aca="false">I632+I625*(I558-I533)</f>
        <v>1171.01822257131</v>
      </c>
      <c r="J883" s="33" t="n">
        <f aca="false">J632+J625*(J558-J533)</f>
        <v>1610.78193285381</v>
      </c>
      <c r="K883" s="33" t="n">
        <f aca="false">K632+K625*(K558-K533)</f>
        <v>1503.45637071764</v>
      </c>
    </row>
    <row r="884" customFormat="false" ht="17.15" hidden="false" customHeight="false" outlineLevel="0" collapsed="false">
      <c r="A884" s="5" t="s">
        <v>3274</v>
      </c>
      <c r="B884" s="0" t="s">
        <v>3275</v>
      </c>
      <c r="C884" s="0" t="s">
        <v>395</v>
      </c>
      <c r="E884" s="33" t="n">
        <f aca="false">E883+E628-E629-E630</f>
        <v>-174.616628903788</v>
      </c>
      <c r="F884" s="33" t="n">
        <f aca="false">F883+F628-F629-F630</f>
        <v>-425.871830879349</v>
      </c>
      <c r="G884" s="33" t="n">
        <f aca="false">G883+G628-G629-G630</f>
        <v>-210.598322308674</v>
      </c>
      <c r="H884" s="33" t="n">
        <f aca="false">H883+H628-H629-H630</f>
        <v>-119.861816421704</v>
      </c>
      <c r="I884" s="33" t="n">
        <f aca="false">I883+I628-I629-I630</f>
        <v>264.681652154639</v>
      </c>
      <c r="J884" s="33" t="n">
        <f aca="false">J883+J628-J629-J630</f>
        <v>479.18207202048</v>
      </c>
      <c r="K884" s="33" t="n">
        <f aca="false">K883+K628-K629-K630</f>
        <v>170.768580384303</v>
      </c>
    </row>
    <row r="885" customFormat="false" ht="17.15" hidden="false" customHeight="false" outlineLevel="0" collapsed="false">
      <c r="A885" s="5" t="s">
        <v>3276</v>
      </c>
      <c r="B885" s="0" t="s">
        <v>3277</v>
      </c>
      <c r="C885" s="0" t="s">
        <v>395</v>
      </c>
      <c r="G885" s="33" t="n">
        <f aca="false">SUM($G884:G884)-G546</f>
        <v>-741.615863308674</v>
      </c>
      <c r="H885" s="33" t="n">
        <f aca="false">SUM($G884:H884)-G546</f>
        <v>-861.477679730378</v>
      </c>
      <c r="I885" s="33" t="n">
        <f aca="false">SUM($G884:I884)-G546</f>
        <v>-596.796027575738</v>
      </c>
      <c r="J885" s="33" t="n">
        <f aca="false">SUM($G884:J884)-G546</f>
        <v>-117.613955555258</v>
      </c>
      <c r="K885" s="33" t="n">
        <f aca="false">SUM($G884:K884)-G546</f>
        <v>53.1546248290441</v>
      </c>
    </row>
    <row r="886" customFormat="false" ht="17.15" hidden="false" customHeight="false" outlineLevel="0" collapsed="false">
      <c r="A886" s="5" t="s">
        <v>3278</v>
      </c>
      <c r="B886" s="0" t="s">
        <v>3279</v>
      </c>
      <c r="C886" s="0" t="s">
        <v>395</v>
      </c>
      <c r="E886" s="33" t="n">
        <f aca="false">-E884-E630</f>
        <v>136.395628903788</v>
      </c>
      <c r="F886" s="33" t="n">
        <f aca="false">-F884-F630</f>
        <v>167.300664212683</v>
      </c>
      <c r="G886" s="33" t="n">
        <f aca="false">-G884-G630</f>
        <v>210.598322308674</v>
      </c>
      <c r="H886" s="33" t="n">
        <f aca="false">-H884-H630</f>
        <v>119.861816421704</v>
      </c>
      <c r="I886" s="33" t="n">
        <f aca="false">-I884-I630</f>
        <v>-264.681652154639</v>
      </c>
      <c r="J886" s="33" t="n">
        <f aca="false">-J884-J630</f>
        <v>-479.18207202048</v>
      </c>
      <c r="K886" s="33" t="n">
        <f aca="false">-K884-K630</f>
        <v>-170.768580384303</v>
      </c>
    </row>
    <row r="887" customFormat="false" ht="17.15" hidden="false" customHeight="false" outlineLevel="0" collapsed="false">
      <c r="A887" s="5" t="s">
        <v>3280</v>
      </c>
      <c r="B887" s="0" t="s">
        <v>3281</v>
      </c>
      <c r="C887" s="0" t="s">
        <v>395</v>
      </c>
      <c r="E887" s="23" t="n">
        <f aca="false">IF((E883+E628)&lt;=0,"",(E883+E628-E629)/(E883+E628))</f>
        <v>-0.685896771901888</v>
      </c>
      <c r="F887" s="23" t="n">
        <f aca="false">IF((F883+F628)&lt;=0,"",(F883+F628-F629)/(F883+F628))</f>
        <v>-0.396322318543762</v>
      </c>
      <c r="G887" s="23" t="n">
        <f aca="false">IF((G883+G628)&lt;=0,"",(G883+G628-G629)/(G883+G628))</f>
        <v>-0.357255454389238</v>
      </c>
      <c r="H887" s="23" t="n">
        <f aca="false">IF((H883+H628)&lt;=0,"",(H883+H628-H629)/(H883+H628))</f>
        <v>-0.145689420459942</v>
      </c>
      <c r="I887" s="23" t="n">
        <f aca="false">IF((I883+I628)&lt;=0,"",(I883+I628-I629)/(I883+I628))</f>
        <v>0.186662573591295</v>
      </c>
      <c r="J887" s="23" t="n">
        <f aca="false">IF((J883+J628)&lt;=0,"",(J883+J628-J629)/(J883+J628))</f>
        <v>0.253815804049559</v>
      </c>
      <c r="K887" s="23" t="n">
        <f aca="false">IF((K883+K628)&lt;=0,"",(K883+K628-K629)/(K883+K628))</f>
        <v>0.0947407561147948</v>
      </c>
    </row>
    <row r="888" customFormat="false" ht="17.15" hidden="false" customHeight="false" outlineLevel="0" collapsed="false">
      <c r="A888" s="5" t="s">
        <v>3282</v>
      </c>
      <c r="B888" s="0" t="s">
        <v>3283</v>
      </c>
      <c r="D888" s="0" t="str">
        <f aca="false">IF(G550&gt;0,"未定（資料不足）",IF(OR(K886&lt;0,OR(AND(N(G887)&gt;0.3,N(H887)&gt;0.3,N(I887)&gt;0.3),AND(N(H887)&gt;0.3,N(I887)&gt;0.3,N(J887)&gt;0.3),AND(N(I887)&gt;0.3,N(J887)&gt;0.3,N(K887)&gt;0.3))),"OpenAI 型",IF(MIN(G886:K886)&gt;=0,"Anthropic 型（2026–2030 皆為正）","Anthropic 型（"&amp;IF(AND(G886&gt;=0,H886&gt;=0,I886&gt;=0,J886&gt;=0,K886&gt;=0),"2026",IF(AND(H886&gt;=0,I886&gt;=0,J886&gt;=0,K886&gt;=0),"2027",IF(AND(I886&gt;=0,J886&gt;=0,K886&gt;=0),"2028",IF(AND(J886&gt;=0,K886&gt;=0),"2029",IF(AND(K886&gt;=0),"2030","—")))))&amp;" 起轉正）")))</f>
        <v>OpenAI 型</v>
      </c>
    </row>
    <row r="889" customFormat="false" ht="17.15" hidden="false" customHeight="false" outlineLevel="0" collapsed="false">
      <c r="A889" s="5" t="s">
        <v>3284</v>
      </c>
      <c r="B889" s="0" t="s">
        <v>3285</v>
      </c>
      <c r="C889" s="0" t="s">
        <v>395</v>
      </c>
      <c r="E889" s="33" t="n">
        <f aca="false">E692+E685*(E558-E533)</f>
        <v>138.300376096212</v>
      </c>
      <c r="F889" s="33" t="n">
        <f aca="false">F692+F685*(F558-F533)</f>
        <v>360.880032977953</v>
      </c>
      <c r="G889" s="33" t="n">
        <f aca="false">G692+G685*(G558-G533)</f>
        <v>426.759826222953</v>
      </c>
      <c r="H889" s="33" t="n">
        <f aca="false">H692+H685*(H558-H533)</f>
        <v>759.595481649338</v>
      </c>
      <c r="I889" s="33" t="n">
        <f aca="false">I692+I685*(I558-I533)</f>
        <v>997.654403864964</v>
      </c>
      <c r="J889" s="33" t="n">
        <f aca="false">J692+J685*(J558-J533)</f>
        <v>1110.97870579225</v>
      </c>
      <c r="K889" s="33" t="n">
        <f aca="false">K692+K685*(K558-K533)</f>
        <v>1208.82984342855</v>
      </c>
    </row>
    <row r="890" customFormat="false" ht="17.15" hidden="false" customHeight="false" outlineLevel="0" collapsed="false">
      <c r="A890" s="5" t="s">
        <v>3286</v>
      </c>
      <c r="B890" s="0" t="s">
        <v>3287</v>
      </c>
      <c r="C890" s="0" t="s">
        <v>395</v>
      </c>
      <c r="E890" s="33" t="n">
        <f aca="false">E889+E688-E689-E690</f>
        <v>-174.616628903788</v>
      </c>
      <c r="F890" s="33" t="n">
        <f aca="false">F889+F688-F689-F690</f>
        <v>-394.312440688713</v>
      </c>
      <c r="G890" s="33" t="n">
        <f aca="false">G889+G688-G689-G690</f>
        <v>-189.24567086038</v>
      </c>
      <c r="H890" s="33" t="n">
        <f aca="false">H889+H688-H689-H690</f>
        <v>29.5785538993379</v>
      </c>
      <c r="I890" s="33" t="n">
        <f aca="false">I889+I688-I689-I690</f>
        <v>91.3178334482968</v>
      </c>
      <c r="J890" s="33" t="n">
        <f aca="false">J889+J688-J689-J690</f>
        <v>-20.6211550410876</v>
      </c>
      <c r="K890" s="33" t="n">
        <f aca="false">K889+K688-K689-K690</f>
        <v>-123.857946904786</v>
      </c>
    </row>
    <row r="891" customFormat="false" ht="17.15" hidden="false" customHeight="false" outlineLevel="0" collapsed="false">
      <c r="A891" s="5" t="s">
        <v>3288</v>
      </c>
      <c r="B891" s="0" t="s">
        <v>3289</v>
      </c>
      <c r="C891" s="0" t="s">
        <v>395</v>
      </c>
      <c r="G891" s="33" t="n">
        <f aca="false">SUM($G890:G890)-G546</f>
        <v>-720.26321186038</v>
      </c>
      <c r="H891" s="33" t="n">
        <f aca="false">SUM($G890:H890)-G546</f>
        <v>-690.684657961042</v>
      </c>
      <c r="I891" s="33" t="n">
        <f aca="false">SUM($G890:I890)-G546</f>
        <v>-599.366824512745</v>
      </c>
      <c r="J891" s="33" t="n">
        <f aca="false">SUM($G890:J890)-G546</f>
        <v>-619.987979553833</v>
      </c>
      <c r="K891" s="33" t="n">
        <f aca="false">SUM($G890:K890)-G546</f>
        <v>-743.845926458619</v>
      </c>
    </row>
    <row r="892" customFormat="false" ht="17.15" hidden="false" customHeight="false" outlineLevel="0" collapsed="false">
      <c r="A892" s="5" t="s">
        <v>3290</v>
      </c>
      <c r="B892" s="0" t="s">
        <v>3291</v>
      </c>
      <c r="C892" s="0" t="s">
        <v>395</v>
      </c>
      <c r="E892" s="33" t="n">
        <f aca="false">-E890-E690</f>
        <v>136.395628903788</v>
      </c>
      <c r="F892" s="33" t="n">
        <f aca="false">-F890-F690</f>
        <v>135.741274022047</v>
      </c>
      <c r="G892" s="33" t="n">
        <f aca="false">-G890-G690</f>
        <v>189.24567086038</v>
      </c>
      <c r="H892" s="33" t="n">
        <f aca="false">-H890-H690</f>
        <v>-29.5785538993379</v>
      </c>
      <c r="I892" s="33" t="n">
        <f aca="false">-I890-I690</f>
        <v>-91.3178334482968</v>
      </c>
      <c r="J892" s="33" t="n">
        <f aca="false">-J890-J690</f>
        <v>20.6211550410876</v>
      </c>
      <c r="K892" s="33" t="n">
        <f aca="false">-K890-K690</f>
        <v>123.857946904786</v>
      </c>
    </row>
    <row r="893" customFormat="false" ht="17.15" hidden="false" customHeight="false" outlineLevel="0" collapsed="false">
      <c r="A893" s="5" t="s">
        <v>3292</v>
      </c>
      <c r="B893" s="0" t="s">
        <v>3293</v>
      </c>
      <c r="C893" s="0" t="s">
        <v>395</v>
      </c>
      <c r="E893" s="23" t="n">
        <f aca="false">IF((E889+E688)&lt;=0,"",(E889+E688-E689)/(E889+E688))</f>
        <v>-0.685896771901888</v>
      </c>
      <c r="F893" s="23" t="n">
        <f aca="false">IF((F889+F688)&lt;=0,"",(F889+F688-F689)/(F889+F688))</f>
        <v>-0.299192417788184</v>
      </c>
      <c r="G893" s="23" t="n">
        <f aca="false">IF((G889+G688)&lt;=0,"",(G889+G688-G689)/(G889+G688))</f>
        <v>-0.309811110845277</v>
      </c>
      <c r="H893" s="23" t="n">
        <f aca="false">IF((H889+H688)&lt;=0,"",(H889+H688-H689)/(H889+H688))</f>
        <v>0.0304255445966973</v>
      </c>
      <c r="I893" s="23" t="n">
        <f aca="false">IF((I889+I688)&lt;=0,"",(I889+I688-I689)/(I889+I688))</f>
        <v>0.0733709536610549</v>
      </c>
      <c r="J893" s="23" t="n">
        <f aca="false">IF((J889+J688)&lt;=0,"",(J889+J688-J689)/(J889+J688))</f>
        <v>-0.0148555686030511</v>
      </c>
      <c r="K893" s="23" t="n">
        <f aca="false">IF((K889+K688)&lt;=0,"",(K889+K688-K689)/(K889+K688))</f>
        <v>-0.0821417476736961</v>
      </c>
    </row>
    <row r="894" customFormat="false" ht="17.15" hidden="false" customHeight="false" outlineLevel="0" collapsed="false">
      <c r="A894" s="5" t="s">
        <v>3294</v>
      </c>
      <c r="B894" s="0" t="s">
        <v>3295</v>
      </c>
      <c r="D894" s="0" t="str">
        <f aca="false">IF(G550&gt;0,"未定（資料不足）",IF(OR(K892&lt;0,OR(AND(N(G893)&gt;0.3,N(H893)&gt;0.3,N(I893)&gt;0.3),AND(N(H893)&gt;0.3,N(I893)&gt;0.3,N(J893)&gt;0.3),AND(N(I893)&gt;0.3,N(J893)&gt;0.3,N(K893)&gt;0.3))),"OpenAI 型",IF(MIN(G892:K892)&gt;=0,"Anthropic 型（2026–2030 皆為正）","Anthropic 型（"&amp;IF(AND(G892&gt;=0,H892&gt;=0,I892&gt;=0,J892&gt;=0,K892&gt;=0),"2026",IF(AND(H892&gt;=0,I892&gt;=0,J892&gt;=0,K892&gt;=0),"2027",IF(AND(I892&gt;=0,J892&gt;=0,K892&gt;=0),"2028",IF(AND(J892&gt;=0,K892&gt;=0),"2029",IF(AND(K892&gt;=0),"2030","—")))))&amp;" 起轉正）")))</f>
        <v>Anthropic 型（2029 起轉正）</v>
      </c>
    </row>
    <row r="895" customFormat="false" ht="17.15" hidden="false" customHeight="false" outlineLevel="0" collapsed="false">
      <c r="A895" s="5" t="s">
        <v>3296</v>
      </c>
      <c r="B895" s="0" t="s">
        <v>3297</v>
      </c>
      <c r="C895" s="0" t="s">
        <v>395</v>
      </c>
      <c r="E895" s="33" t="n">
        <f aca="false">E812+E805*(E558-E533)</f>
        <v>138.300376096212</v>
      </c>
      <c r="F895" s="33" t="n">
        <f aca="false">F812+F805*(F558-F533)</f>
        <v>329.320642787317</v>
      </c>
      <c r="G895" s="33" t="n">
        <f aca="false">G812+G805*(G558-G533)</f>
        <v>383.027680900052</v>
      </c>
      <c r="H895" s="33" t="n">
        <f aca="false">H812+H805*(H558-H533)</f>
        <v>524.837931679923</v>
      </c>
      <c r="I895" s="33" t="n">
        <f aca="false">I812+I805*(I558-I533)</f>
        <v>857.843858750158</v>
      </c>
      <c r="J895" s="33" t="n">
        <f aca="false">J812+J805*(J558-J533)</f>
        <v>980.522725889317</v>
      </c>
      <c r="K895" s="33" t="n">
        <f aca="false">K812+K805*(K558-K533)</f>
        <v>918.863097758586</v>
      </c>
    </row>
    <row r="896" customFormat="false" ht="17.15" hidden="false" customHeight="false" outlineLevel="0" collapsed="false">
      <c r="A896" s="5" t="s">
        <v>3298</v>
      </c>
      <c r="B896" s="0" t="s">
        <v>3299</v>
      </c>
      <c r="C896" s="0" t="s">
        <v>395</v>
      </c>
      <c r="E896" s="33" t="n">
        <f aca="false">E895+E808-E809-E810</f>
        <v>-174.616628903788</v>
      </c>
      <c r="F896" s="33" t="n">
        <f aca="false">F895+F808-F809-F810</f>
        <v>-425.871830879349</v>
      </c>
      <c r="G896" s="33" t="n">
        <f aca="false">G895+G808-G809-G810</f>
        <v>-232.977816183281</v>
      </c>
      <c r="H896" s="33" t="n">
        <f aca="false">H895+H808-H809-H810</f>
        <v>-205.178996070077</v>
      </c>
      <c r="I896" s="33" t="n">
        <f aca="false">I895+I808-I809-I810</f>
        <v>-48.4927116665087</v>
      </c>
      <c r="J896" s="33" t="n">
        <f aca="false">J895+J808-J809-J810</f>
        <v>-151.077134944017</v>
      </c>
      <c r="K896" s="33" t="n">
        <f aca="false">K895+K808-K809-K810</f>
        <v>-413.824692574748</v>
      </c>
    </row>
    <row r="897" customFormat="false" ht="17.15" hidden="false" customHeight="false" outlineLevel="0" collapsed="false">
      <c r="A897" s="5" t="s">
        <v>3300</v>
      </c>
      <c r="B897" s="0" t="s">
        <v>3301</v>
      </c>
      <c r="C897" s="0" t="s">
        <v>395</v>
      </c>
      <c r="G897" s="33" t="n">
        <f aca="false">SUM($G896:G896)-G546</f>
        <v>-763.995357183281</v>
      </c>
      <c r="H897" s="33" t="n">
        <f aca="false">SUM($G896:H896)-G546</f>
        <v>-969.174353253358</v>
      </c>
      <c r="I897" s="33" t="n">
        <f aca="false">SUM($G896:I896)-G546</f>
        <v>-1017.66706491987</v>
      </c>
      <c r="J897" s="33" t="n">
        <f aca="false">SUM($G896:J896)-G546</f>
        <v>-1168.74419986388</v>
      </c>
      <c r="K897" s="33" t="n">
        <f aca="false">SUM($G896:K896)-G546</f>
        <v>-1582.56889243863</v>
      </c>
    </row>
    <row r="898" customFormat="false" ht="17.15" hidden="false" customHeight="false" outlineLevel="0" collapsed="false">
      <c r="A898" s="5" t="s">
        <v>3302</v>
      </c>
      <c r="B898" s="0" t="s">
        <v>3303</v>
      </c>
      <c r="C898" s="0" t="s">
        <v>395</v>
      </c>
      <c r="E898" s="33" t="n">
        <f aca="false">-E896-E810</f>
        <v>136.395628903788</v>
      </c>
      <c r="F898" s="33" t="n">
        <f aca="false">-F896-F810</f>
        <v>167.300664212683</v>
      </c>
      <c r="G898" s="33" t="n">
        <f aca="false">-G896-G810</f>
        <v>232.977816183281</v>
      </c>
      <c r="H898" s="33" t="n">
        <f aca="false">-H896-H810</f>
        <v>205.178996070077</v>
      </c>
      <c r="I898" s="33" t="n">
        <f aca="false">-I896-I810</f>
        <v>48.4927116665087</v>
      </c>
      <c r="J898" s="33" t="n">
        <f aca="false">-J896-J810</f>
        <v>151.077134944017</v>
      </c>
      <c r="K898" s="33" t="n">
        <f aca="false">-K896-K810</f>
        <v>413.824692574748</v>
      </c>
    </row>
    <row r="899" customFormat="false" ht="17.15" hidden="false" customHeight="false" outlineLevel="0" collapsed="false">
      <c r="A899" s="5" t="s">
        <v>3304</v>
      </c>
      <c r="B899" s="0" t="s">
        <v>3305</v>
      </c>
      <c r="C899" s="0" t="s">
        <v>395</v>
      </c>
      <c r="E899" s="23" t="n">
        <f aca="false">IF((E895+E808)&lt;=0,"",(E895+E808-E809)/(E895+E808))</f>
        <v>-0.685896771901888</v>
      </c>
      <c r="F899" s="23" t="n">
        <f aca="false">IF((F895+F808)&lt;=0,"",(F895+F808-F809)/(F895+F808))</f>
        <v>-0.396322318543762</v>
      </c>
      <c r="G899" s="23" t="n">
        <f aca="false">IF((G895+G808)&lt;=0,"",(G895+G808-G809)/(G895+G808))</f>
        <v>-0.410815949406281</v>
      </c>
      <c r="H899" s="23" t="n">
        <f aca="false">IF((H895+H808)&lt;=0,"",(H895+H808-H809)/(H895+H808))</f>
        <v>-0.278244911839127</v>
      </c>
      <c r="I899" s="23" t="n">
        <f aca="false">IF((I895+I808)&lt;=0,"",(I895+I808-I809)/(I895+I808))</f>
        <v>-0.0438929837242126</v>
      </c>
      <c r="J899" s="23" t="n">
        <f aca="false">IF((J895+J808)&lt;=0,"",(J895+J808-J809)/(J895+J808))</f>
        <v>-0.120126202902555</v>
      </c>
      <c r="K899" s="23" t="n">
        <f aca="false">IF((K895+K808)&lt;=0,"",(K895+K808-K809)/(K895+K808))</f>
        <v>-0.339788374925842</v>
      </c>
    </row>
    <row r="900" customFormat="false" ht="17.15" hidden="false" customHeight="false" outlineLevel="0" collapsed="false">
      <c r="A900" s="5" t="s">
        <v>3306</v>
      </c>
      <c r="B900" s="0" t="s">
        <v>3307</v>
      </c>
      <c r="D900" s="0" t="str">
        <f aca="false">IF(G550&gt;0,"未定（資料不足）",IF(OR(K898&lt;0,OR(AND(N(G899)&gt;0.3,N(H899)&gt;0.3,N(I899)&gt;0.3),AND(N(H899)&gt;0.3,N(I899)&gt;0.3,N(J899)&gt;0.3),AND(N(I899)&gt;0.3,N(J899)&gt;0.3,N(K899)&gt;0.3))),"OpenAI 型",IF(MIN(G898:K898)&gt;=0,"Anthropic 型（2026–2030 皆為正）","Anthropic 型（"&amp;IF(AND(G898&gt;=0,H898&gt;=0,I898&gt;=0,J898&gt;=0,K898&gt;=0),"2026",IF(AND(H898&gt;=0,I898&gt;=0,J898&gt;=0,K898&gt;=0),"2027",IF(AND(I898&gt;=0,J898&gt;=0,K898&gt;=0),"2028",IF(AND(J898&gt;=0,K898&gt;=0),"2029",IF(AND(K898&gt;=0),"2030","—")))))&amp;" 起轉正）")))</f>
        <v>Anthropic 型（2026–2030 皆為正）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3308</v>
      </c>
    </row>
    <row r="3" customFormat="false" ht="17.15" hidden="false" customHeight="false" outlineLevel="0" collapsed="false">
      <c r="A3" s="7" t="s">
        <v>2091</v>
      </c>
      <c r="B3" s="6" t="s">
        <v>1723</v>
      </c>
      <c r="C3" s="6" t="s">
        <v>19</v>
      </c>
      <c r="D3" s="6" t="s">
        <v>2003</v>
      </c>
      <c r="E3" s="6" t="s">
        <v>3309</v>
      </c>
      <c r="F3" s="6" t="s">
        <v>20</v>
      </c>
      <c r="G3" s="6" t="s">
        <v>2090</v>
      </c>
      <c r="H3" s="6" t="s">
        <v>22</v>
      </c>
      <c r="I3" s="6" t="s">
        <v>25</v>
      </c>
      <c r="J3" s="6" t="s">
        <v>23</v>
      </c>
      <c r="K3" s="6" t="s">
        <v>3310</v>
      </c>
      <c r="L3" s="6" t="s">
        <v>3311</v>
      </c>
      <c r="M3" s="7" t="s">
        <v>2092</v>
      </c>
      <c r="N3" s="7" t="s">
        <v>3312</v>
      </c>
      <c r="O3" s="6" t="s">
        <v>3313</v>
      </c>
    </row>
    <row r="4" customFormat="false" ht="17.15" hidden="false" customHeight="false" outlineLevel="0" collapsed="false">
      <c r="A4" s="18" t="s">
        <v>3314</v>
      </c>
      <c r="B4" s="18" t="s">
        <v>2076</v>
      </c>
      <c r="C4" s="18" t="s">
        <v>728</v>
      </c>
      <c r="D4" s="18" t="s">
        <v>2077</v>
      </c>
      <c r="E4" s="18" t="s">
        <v>27</v>
      </c>
      <c r="F4" s="18" t="s">
        <v>2105</v>
      </c>
      <c r="G4" s="18" t="n">
        <v>118.548</v>
      </c>
      <c r="H4" s="18" t="s">
        <v>3315</v>
      </c>
      <c r="I4" s="19" t="s">
        <v>3316</v>
      </c>
      <c r="J4" s="18" t="s">
        <v>3317</v>
      </c>
      <c r="K4" s="18" t="s">
        <v>3318</v>
      </c>
      <c r="L4" s="18" t="s">
        <v>3319</v>
      </c>
      <c r="M4" s="19" t="s">
        <v>3320</v>
      </c>
      <c r="N4" s="18"/>
      <c r="O4" s="18" t="n">
        <v>0</v>
      </c>
    </row>
    <row r="5" customFormat="false" ht="17.15" hidden="false" customHeight="false" outlineLevel="0" collapsed="false">
      <c r="A5" s="18" t="s">
        <v>3321</v>
      </c>
      <c r="B5" s="18" t="s">
        <v>2076</v>
      </c>
      <c r="C5" s="18" t="s">
        <v>728</v>
      </c>
      <c r="D5" s="18" t="s">
        <v>2077</v>
      </c>
      <c r="E5" s="18" t="s">
        <v>27</v>
      </c>
      <c r="F5" s="18" t="s">
        <v>2108</v>
      </c>
      <c r="G5" s="18" t="n">
        <v>44.477</v>
      </c>
      <c r="H5" s="18" t="s">
        <v>3315</v>
      </c>
      <c r="I5" s="18" t="s">
        <v>3322</v>
      </c>
      <c r="J5" s="18" t="s">
        <v>3317</v>
      </c>
      <c r="K5" s="18" t="s">
        <v>3318</v>
      </c>
      <c r="L5" s="18" t="s">
        <v>3319</v>
      </c>
      <c r="M5" s="19" t="s">
        <v>3320</v>
      </c>
      <c r="N5" s="18"/>
      <c r="O5" s="18" t="n">
        <v>0</v>
      </c>
    </row>
    <row r="6" customFormat="false" ht="17.15" hidden="false" customHeight="false" outlineLevel="0" collapsed="false">
      <c r="A6" s="18" t="s">
        <v>3323</v>
      </c>
      <c r="B6" s="18" t="s">
        <v>2076</v>
      </c>
      <c r="C6" s="18" t="s">
        <v>728</v>
      </c>
      <c r="D6" s="18" t="s">
        <v>2077</v>
      </c>
      <c r="E6" s="18" t="s">
        <v>27</v>
      </c>
      <c r="F6" s="18" t="s">
        <v>2158</v>
      </c>
      <c r="G6" s="18" t="n">
        <v>11.633</v>
      </c>
      <c r="H6" s="18" t="s">
        <v>3315</v>
      </c>
      <c r="I6" s="19" t="s">
        <v>3324</v>
      </c>
      <c r="J6" s="18" t="s">
        <v>3317</v>
      </c>
      <c r="K6" s="18" t="s">
        <v>3318</v>
      </c>
      <c r="L6" s="18" t="s">
        <v>3319</v>
      </c>
      <c r="M6" s="19" t="s">
        <v>3320</v>
      </c>
      <c r="N6" s="18"/>
      <c r="O6" s="18" t="n">
        <v>0</v>
      </c>
    </row>
    <row r="7" customFormat="false" ht="17.15" hidden="false" customHeight="false" outlineLevel="0" collapsed="false">
      <c r="A7" s="18" t="s">
        <v>3325</v>
      </c>
      <c r="B7" s="18" t="s">
        <v>2076</v>
      </c>
      <c r="C7" s="18" t="s">
        <v>728</v>
      </c>
      <c r="D7" s="18" t="s">
        <v>2077</v>
      </c>
      <c r="E7" s="18" t="s">
        <v>27</v>
      </c>
      <c r="F7" s="18" t="s">
        <v>2094</v>
      </c>
      <c r="G7" s="18" t="n">
        <v>56.11</v>
      </c>
      <c r="H7" s="18" t="s">
        <v>3315</v>
      </c>
      <c r="I7" s="19" t="s">
        <v>3326</v>
      </c>
      <c r="J7" s="18" t="s">
        <v>3327</v>
      </c>
      <c r="K7" s="18" t="s">
        <v>3318</v>
      </c>
      <c r="L7" s="18" t="s">
        <v>3319</v>
      </c>
      <c r="M7" s="19" t="s">
        <v>3320</v>
      </c>
      <c r="N7" s="18"/>
      <c r="O7" s="18" t="n">
        <v>0</v>
      </c>
    </row>
    <row r="8" customFormat="false" ht="17.15" hidden="false" customHeight="false" outlineLevel="0" collapsed="false">
      <c r="A8" s="18" t="s">
        <v>3328</v>
      </c>
      <c r="B8" s="18" t="s">
        <v>2076</v>
      </c>
      <c r="C8" s="18" t="s">
        <v>728</v>
      </c>
      <c r="D8" s="18" t="s">
        <v>2077</v>
      </c>
      <c r="E8" s="18" t="s">
        <v>27</v>
      </c>
      <c r="F8" s="18" t="s">
        <v>2111</v>
      </c>
      <c r="G8" s="18" t="n">
        <v>74.071</v>
      </c>
      <c r="H8" s="18" t="s">
        <v>3315</v>
      </c>
      <c r="I8" s="19" t="s">
        <v>3329</v>
      </c>
      <c r="J8" s="18" t="s">
        <v>3327</v>
      </c>
      <c r="K8" s="18" t="s">
        <v>3318</v>
      </c>
      <c r="L8" s="18" t="s">
        <v>3319</v>
      </c>
      <c r="M8" s="19" t="s">
        <v>3320</v>
      </c>
      <c r="N8" s="18"/>
      <c r="O8" s="18" t="n">
        <v>0</v>
      </c>
    </row>
    <row r="9" customFormat="false" ht="17.15" hidden="false" customHeight="false" outlineLevel="0" collapsed="false">
      <c r="A9" s="0" t="s">
        <v>3330</v>
      </c>
      <c r="B9" s="0" t="s">
        <v>2076</v>
      </c>
      <c r="C9" s="0" t="s">
        <v>728</v>
      </c>
      <c r="D9" s="0" t="s">
        <v>2077</v>
      </c>
      <c r="E9" s="0" t="s">
        <v>27</v>
      </c>
      <c r="F9" s="0" t="s">
        <v>2165</v>
      </c>
      <c r="G9" s="9" t="n">
        <v>39.025</v>
      </c>
      <c r="H9" s="21" t="s">
        <v>3315</v>
      </c>
      <c r="I9" s="5" t="s">
        <v>3331</v>
      </c>
      <c r="J9" s="21" t="s">
        <v>3317</v>
      </c>
      <c r="K9" s="21" t="s">
        <v>3332</v>
      </c>
      <c r="L9" s="21" t="s">
        <v>3319</v>
      </c>
      <c r="M9" s="5" t="s">
        <v>2097</v>
      </c>
      <c r="O9" s="0" t="n">
        <v>1</v>
      </c>
    </row>
    <row r="10" customFormat="false" ht="17.15" hidden="false" customHeight="false" outlineLevel="0" collapsed="false">
      <c r="A10" s="0" t="s">
        <v>3333</v>
      </c>
      <c r="B10" s="0" t="s">
        <v>2076</v>
      </c>
      <c r="C10" s="0" t="s">
        <v>728</v>
      </c>
      <c r="D10" s="0" t="s">
        <v>2078</v>
      </c>
      <c r="E10" s="0" t="s">
        <v>28</v>
      </c>
      <c r="F10" s="0" t="s">
        <v>2105</v>
      </c>
      <c r="G10" s="9" t="n">
        <v>136.162</v>
      </c>
      <c r="H10" s="21" t="s">
        <v>3315</v>
      </c>
      <c r="I10" s="5" t="s">
        <v>3334</v>
      </c>
      <c r="J10" s="21" t="s">
        <v>3317</v>
      </c>
      <c r="K10" s="21" t="s">
        <v>3332</v>
      </c>
      <c r="L10" s="21" t="s">
        <v>3319</v>
      </c>
      <c r="M10" s="5" t="s">
        <v>2097</v>
      </c>
      <c r="O10" s="0" t="n">
        <v>1</v>
      </c>
    </row>
    <row r="11" customFormat="false" ht="17.15" hidden="false" customHeight="false" outlineLevel="0" collapsed="false">
      <c r="A11" s="0" t="s">
        <v>3335</v>
      </c>
      <c r="B11" s="0" t="s">
        <v>2076</v>
      </c>
      <c r="C11" s="0" t="s">
        <v>728</v>
      </c>
      <c r="D11" s="0" t="s">
        <v>2078</v>
      </c>
      <c r="E11" s="0" t="s">
        <v>28</v>
      </c>
      <c r="F11" s="0" t="s">
        <v>2108</v>
      </c>
      <c r="G11" s="9" t="n">
        <v>64.551</v>
      </c>
      <c r="H11" s="21" t="s">
        <v>3315</v>
      </c>
      <c r="I11" s="21" t="s">
        <v>3336</v>
      </c>
      <c r="J11" s="21" t="s">
        <v>3317</v>
      </c>
      <c r="K11" s="21" t="s">
        <v>3332</v>
      </c>
      <c r="L11" s="21" t="s">
        <v>3319</v>
      </c>
      <c r="M11" s="5" t="s">
        <v>2097</v>
      </c>
      <c r="O11" s="0" t="n">
        <v>1</v>
      </c>
    </row>
    <row r="12" customFormat="false" ht="17.15" hidden="false" customHeight="false" outlineLevel="0" collapsed="false">
      <c r="A12" s="0" t="s">
        <v>3337</v>
      </c>
      <c r="B12" s="0" t="s">
        <v>2076</v>
      </c>
      <c r="C12" s="0" t="s">
        <v>728</v>
      </c>
      <c r="D12" s="0" t="s">
        <v>2078</v>
      </c>
      <c r="E12" s="0" t="s">
        <v>28</v>
      </c>
      <c r="F12" s="0" t="s">
        <v>2158</v>
      </c>
      <c r="G12" s="9" t="n">
        <v>20.511</v>
      </c>
      <c r="H12" s="21" t="s">
        <v>3315</v>
      </c>
      <c r="I12" s="5" t="s">
        <v>3338</v>
      </c>
      <c r="J12" s="21" t="s">
        <v>3317</v>
      </c>
      <c r="K12" s="21" t="s">
        <v>3332</v>
      </c>
      <c r="L12" s="21" t="s">
        <v>3319</v>
      </c>
      <c r="M12" s="21" t="s">
        <v>2143</v>
      </c>
      <c r="O12" s="0" t="n">
        <v>1</v>
      </c>
    </row>
    <row r="13" customFormat="false" ht="17.15" hidden="false" customHeight="false" outlineLevel="0" collapsed="false">
      <c r="A13" s="0" t="s">
        <v>3339</v>
      </c>
      <c r="B13" s="0" t="s">
        <v>2076</v>
      </c>
      <c r="C13" s="0" t="s">
        <v>728</v>
      </c>
      <c r="D13" s="0" t="s">
        <v>2078</v>
      </c>
      <c r="E13" s="0" t="s">
        <v>28</v>
      </c>
      <c r="F13" s="0" t="s">
        <v>2094</v>
      </c>
      <c r="G13" s="9" t="n">
        <v>85.062</v>
      </c>
      <c r="H13" s="21" t="s">
        <v>3315</v>
      </c>
      <c r="I13" s="5" t="s">
        <v>3340</v>
      </c>
      <c r="J13" s="21" t="s">
        <v>3327</v>
      </c>
      <c r="K13" s="21" t="s">
        <v>3332</v>
      </c>
      <c r="L13" s="21" t="s">
        <v>3319</v>
      </c>
      <c r="M13" s="21" t="s">
        <v>2143</v>
      </c>
      <c r="O13" s="0" t="n">
        <v>1</v>
      </c>
    </row>
    <row r="14" customFormat="false" ht="17.15" hidden="false" customHeight="false" outlineLevel="0" collapsed="false">
      <c r="A14" s="18" t="s">
        <v>3341</v>
      </c>
      <c r="B14" s="18" t="s">
        <v>2076</v>
      </c>
      <c r="C14" s="18" t="s">
        <v>728</v>
      </c>
      <c r="D14" s="18" t="s">
        <v>2078</v>
      </c>
      <c r="E14" s="18" t="s">
        <v>28</v>
      </c>
      <c r="F14" s="18" t="s">
        <v>2111</v>
      </c>
      <c r="G14" s="18" t="n">
        <v>71.611</v>
      </c>
      <c r="H14" s="18" t="s">
        <v>3315</v>
      </c>
      <c r="I14" s="19" t="s">
        <v>3329</v>
      </c>
      <c r="J14" s="18" t="s">
        <v>3327</v>
      </c>
      <c r="K14" s="18" t="s">
        <v>3318</v>
      </c>
      <c r="L14" s="18" t="s">
        <v>3319</v>
      </c>
      <c r="M14" s="19" t="s">
        <v>3320</v>
      </c>
      <c r="N14" s="18"/>
      <c r="O14" s="18" t="n">
        <v>0</v>
      </c>
    </row>
    <row r="15" customFormat="false" ht="17.15" hidden="false" customHeight="false" outlineLevel="0" collapsed="false">
      <c r="A15" s="0" t="s">
        <v>3342</v>
      </c>
      <c r="B15" s="0" t="s">
        <v>2076</v>
      </c>
      <c r="C15" s="0" t="s">
        <v>728</v>
      </c>
      <c r="D15" s="0" t="s">
        <v>2078</v>
      </c>
      <c r="E15" s="0" t="s">
        <v>28</v>
      </c>
      <c r="F15" s="0" t="s">
        <v>2165</v>
      </c>
      <c r="G15" s="9" t="n">
        <v>42.502</v>
      </c>
      <c r="H15" s="21" t="s">
        <v>3315</v>
      </c>
      <c r="I15" s="5" t="s">
        <v>3343</v>
      </c>
      <c r="J15" s="21" t="s">
        <v>3317</v>
      </c>
      <c r="K15" s="21" t="s">
        <v>3332</v>
      </c>
      <c r="L15" s="21" t="s">
        <v>3319</v>
      </c>
      <c r="M15" s="5" t="s">
        <v>2097</v>
      </c>
      <c r="O15" s="0" t="n">
        <v>1</v>
      </c>
    </row>
    <row r="16" customFormat="false" ht="17.15" hidden="false" customHeight="false" outlineLevel="0" collapsed="false">
      <c r="A16" s="0" t="s">
        <v>3344</v>
      </c>
      <c r="B16" s="0" t="s">
        <v>2076</v>
      </c>
      <c r="C16" s="0" t="s">
        <v>728</v>
      </c>
      <c r="D16" s="0" t="s">
        <v>2079</v>
      </c>
      <c r="E16" s="0" t="s">
        <v>29</v>
      </c>
      <c r="F16" s="0" t="s">
        <v>2105</v>
      </c>
      <c r="G16" s="9" t="n">
        <v>182.935</v>
      </c>
      <c r="H16" s="21" t="s">
        <v>3315</v>
      </c>
      <c r="I16" s="5" t="s">
        <v>3334</v>
      </c>
      <c r="J16" s="21" t="s">
        <v>3317</v>
      </c>
      <c r="K16" s="21" t="s">
        <v>3332</v>
      </c>
      <c r="L16" s="21" t="s">
        <v>3319</v>
      </c>
      <c r="M16" s="5" t="s">
        <v>2097</v>
      </c>
      <c r="O16" s="0" t="n">
        <v>1</v>
      </c>
    </row>
    <row r="17" customFormat="false" ht="17.15" hidden="false" customHeight="false" outlineLevel="0" collapsed="false">
      <c r="A17" s="0" t="s">
        <v>3345</v>
      </c>
      <c r="B17" s="0" t="s">
        <v>2076</v>
      </c>
      <c r="C17" s="0" t="s">
        <v>728</v>
      </c>
      <c r="D17" s="0" t="s">
        <v>2079</v>
      </c>
      <c r="E17" s="0" t="s">
        <v>29</v>
      </c>
      <c r="F17" s="0" t="s">
        <v>2108</v>
      </c>
      <c r="G17" s="9" t="n">
        <v>115.948</v>
      </c>
      <c r="H17" s="21" t="s">
        <v>3315</v>
      </c>
      <c r="I17" s="21" t="s">
        <v>3336</v>
      </c>
      <c r="J17" s="21" t="s">
        <v>3317</v>
      </c>
      <c r="K17" s="21" t="s">
        <v>3332</v>
      </c>
      <c r="L17" s="21" t="s">
        <v>3319</v>
      </c>
      <c r="M17" s="5" t="s">
        <v>2097</v>
      </c>
      <c r="O17" s="0" t="n">
        <v>1</v>
      </c>
    </row>
    <row r="18" customFormat="false" ht="17.15" hidden="false" customHeight="false" outlineLevel="0" collapsed="false">
      <c r="A18" s="18" t="s">
        <v>3346</v>
      </c>
      <c r="B18" s="18" t="s">
        <v>2076</v>
      </c>
      <c r="C18" s="18" t="s">
        <v>728</v>
      </c>
      <c r="D18" s="18" t="s">
        <v>2079</v>
      </c>
      <c r="E18" s="18" t="s">
        <v>29</v>
      </c>
      <c r="F18" s="18" t="s">
        <v>2158</v>
      </c>
      <c r="G18" s="18" t="n">
        <v>24.608</v>
      </c>
      <c r="H18" s="18" t="s">
        <v>3315</v>
      </c>
      <c r="I18" s="19" t="s">
        <v>3324</v>
      </c>
      <c r="J18" s="18" t="s">
        <v>3317</v>
      </c>
      <c r="K18" s="18" t="s">
        <v>3318</v>
      </c>
      <c r="L18" s="18" t="s">
        <v>3319</v>
      </c>
      <c r="M18" s="19" t="s">
        <v>3347</v>
      </c>
      <c r="N18" s="18"/>
      <c r="O18" s="18" t="n">
        <v>0</v>
      </c>
    </row>
    <row r="19" customFormat="false" ht="17.15" hidden="false" customHeight="false" outlineLevel="0" collapsed="false">
      <c r="A19" s="0" t="s">
        <v>3348</v>
      </c>
      <c r="B19" s="0" t="s">
        <v>2076</v>
      </c>
      <c r="C19" s="0" t="s">
        <v>728</v>
      </c>
      <c r="D19" s="0" t="s">
        <v>2079</v>
      </c>
      <c r="E19" s="0" t="s">
        <v>29</v>
      </c>
      <c r="F19" s="0" t="s">
        <v>2094</v>
      </c>
      <c r="G19" s="9" t="n">
        <v>140.556</v>
      </c>
      <c r="H19" s="21" t="s">
        <v>3315</v>
      </c>
      <c r="I19" s="5" t="s">
        <v>3340</v>
      </c>
      <c r="J19" s="21" t="s">
        <v>3327</v>
      </c>
      <c r="K19" s="21" t="s">
        <v>3332</v>
      </c>
      <c r="L19" s="21" t="s">
        <v>3319</v>
      </c>
      <c r="M19" s="21" t="s">
        <v>2143</v>
      </c>
      <c r="O19" s="0" t="n">
        <v>1</v>
      </c>
    </row>
    <row r="20" customFormat="false" ht="17.15" hidden="false" customHeight="false" outlineLevel="0" collapsed="false">
      <c r="A20" s="18" t="s">
        <v>3349</v>
      </c>
      <c r="B20" s="18" t="s">
        <v>2076</v>
      </c>
      <c r="C20" s="18" t="s">
        <v>728</v>
      </c>
      <c r="D20" s="18" t="s">
        <v>2079</v>
      </c>
      <c r="E20" s="18" t="s">
        <v>29</v>
      </c>
      <c r="F20" s="18" t="s">
        <v>2111</v>
      </c>
      <c r="G20" s="18" t="n">
        <v>66.987</v>
      </c>
      <c r="H20" s="18" t="s">
        <v>3315</v>
      </c>
      <c r="I20" s="19" t="s">
        <v>3329</v>
      </c>
      <c r="J20" s="18" t="s">
        <v>3327</v>
      </c>
      <c r="K20" s="18" t="s">
        <v>3318</v>
      </c>
      <c r="L20" s="18" t="s">
        <v>3319</v>
      </c>
      <c r="M20" s="19" t="s">
        <v>3320</v>
      </c>
      <c r="N20" s="18"/>
      <c r="O20" s="18" t="n">
        <v>0</v>
      </c>
    </row>
    <row r="21" customFormat="false" ht="17.15" hidden="false" customHeight="false" outlineLevel="0" collapsed="false">
      <c r="A21" s="0" t="s">
        <v>3350</v>
      </c>
      <c r="B21" s="0" t="s">
        <v>2076</v>
      </c>
      <c r="C21" s="0" t="s">
        <v>728</v>
      </c>
      <c r="D21" s="0" t="s">
        <v>2079</v>
      </c>
      <c r="E21" s="0" t="s">
        <v>29</v>
      </c>
      <c r="F21" s="0" t="s">
        <v>2165</v>
      </c>
      <c r="G21" s="9" t="n">
        <v>48.716</v>
      </c>
      <c r="H21" s="21" t="s">
        <v>3315</v>
      </c>
      <c r="I21" s="5" t="s">
        <v>3351</v>
      </c>
      <c r="J21" s="21" t="s">
        <v>3317</v>
      </c>
      <c r="K21" s="21" t="s">
        <v>3332</v>
      </c>
      <c r="L21" s="21" t="s">
        <v>3319</v>
      </c>
      <c r="M21" s="5" t="s">
        <v>2097</v>
      </c>
      <c r="O21" s="0" t="n">
        <v>1</v>
      </c>
    </row>
    <row r="22" customFormat="false" ht="17.15" hidden="false" customHeight="false" outlineLevel="0" collapsed="false">
      <c r="A22" s="0" t="s">
        <v>3352</v>
      </c>
      <c r="B22" s="0" t="s">
        <v>2076</v>
      </c>
      <c r="C22" s="0" t="s">
        <v>728</v>
      </c>
      <c r="D22" s="0" t="s">
        <v>2077</v>
      </c>
      <c r="E22" s="0" t="s">
        <v>27</v>
      </c>
      <c r="F22" s="0" t="s">
        <v>2140</v>
      </c>
      <c r="G22" s="9" t="n">
        <v>24.395</v>
      </c>
      <c r="H22" s="21" t="s">
        <v>3315</v>
      </c>
      <c r="I22" s="5" t="s">
        <v>3353</v>
      </c>
      <c r="J22" s="21" t="s">
        <v>3317</v>
      </c>
      <c r="K22" s="21" t="s">
        <v>3332</v>
      </c>
      <c r="L22" s="21" t="s">
        <v>3319</v>
      </c>
      <c r="M22" s="5" t="s">
        <v>2097</v>
      </c>
      <c r="O22" s="0" t="n">
        <v>1</v>
      </c>
    </row>
    <row r="23" customFormat="false" ht="17.15" hidden="false" customHeight="false" outlineLevel="0" collapsed="false">
      <c r="A23" s="0" t="s">
        <v>3354</v>
      </c>
      <c r="B23" s="0" t="s">
        <v>2076</v>
      </c>
      <c r="C23" s="0" t="s">
        <v>728</v>
      </c>
      <c r="D23" s="0" t="s">
        <v>2078</v>
      </c>
      <c r="E23" s="0" t="s">
        <v>28</v>
      </c>
      <c r="F23" s="0" t="s">
        <v>2140</v>
      </c>
      <c r="G23" s="9" t="n">
        <v>0</v>
      </c>
      <c r="H23" s="21" t="s">
        <v>3315</v>
      </c>
      <c r="I23" s="5" t="s">
        <v>3353</v>
      </c>
      <c r="J23" s="21" t="s">
        <v>3317</v>
      </c>
      <c r="K23" s="21" t="s">
        <v>3332</v>
      </c>
      <c r="L23" s="21" t="s">
        <v>3319</v>
      </c>
      <c r="M23" s="5" t="s">
        <v>2097</v>
      </c>
      <c r="O23" s="0" t="n">
        <v>1</v>
      </c>
    </row>
    <row r="24" customFormat="false" ht="17.15" hidden="false" customHeight="false" outlineLevel="0" collapsed="false">
      <c r="A24" s="0" t="s">
        <v>3355</v>
      </c>
      <c r="B24" s="0" t="s">
        <v>2076</v>
      </c>
      <c r="C24" s="0" t="s">
        <v>728</v>
      </c>
      <c r="D24" s="0" t="s">
        <v>2079</v>
      </c>
      <c r="E24" s="0" t="s">
        <v>29</v>
      </c>
      <c r="F24" s="0" t="s">
        <v>2140</v>
      </c>
      <c r="G24" s="9" t="n">
        <v>0</v>
      </c>
      <c r="H24" s="21" t="s">
        <v>3315</v>
      </c>
      <c r="I24" s="5" t="s">
        <v>3353</v>
      </c>
      <c r="J24" s="21" t="s">
        <v>3317</v>
      </c>
      <c r="K24" s="21" t="s">
        <v>3332</v>
      </c>
      <c r="L24" s="21" t="s">
        <v>3319</v>
      </c>
      <c r="M24" s="5" t="s">
        <v>2097</v>
      </c>
      <c r="O24" s="0" t="n">
        <v>1</v>
      </c>
    </row>
    <row r="25" customFormat="false" ht="17.15" hidden="false" customHeight="false" outlineLevel="0" collapsed="false">
      <c r="A25" s="18" t="s">
        <v>3356</v>
      </c>
      <c r="B25" s="18" t="s">
        <v>2076</v>
      </c>
      <c r="C25" s="18" t="s">
        <v>728</v>
      </c>
      <c r="D25" s="18" t="s">
        <v>2079</v>
      </c>
      <c r="E25" s="18" t="s">
        <v>29</v>
      </c>
      <c r="F25" s="18" t="s">
        <v>3357</v>
      </c>
      <c r="G25" s="18" t="n">
        <v>-2.857</v>
      </c>
      <c r="H25" s="18" t="s">
        <v>3315</v>
      </c>
      <c r="I25" s="19" t="s">
        <v>3358</v>
      </c>
      <c r="J25" s="18" t="s">
        <v>3327</v>
      </c>
      <c r="K25" s="18" t="s">
        <v>3318</v>
      </c>
      <c r="L25" s="18" t="s">
        <v>3319</v>
      </c>
      <c r="M25" s="19" t="s">
        <v>3320</v>
      </c>
      <c r="N25" s="18"/>
      <c r="O25" s="18" t="n">
        <v>0</v>
      </c>
    </row>
    <row r="26" customFormat="false" ht="17.15" hidden="false" customHeight="false" outlineLevel="0" collapsed="false">
      <c r="A26" s="18" t="s">
        <v>3359</v>
      </c>
      <c r="B26" s="18" t="s">
        <v>2076</v>
      </c>
      <c r="C26" s="18" t="s">
        <v>728</v>
      </c>
      <c r="D26" s="18" t="s">
        <v>2077</v>
      </c>
      <c r="E26" s="18" t="s">
        <v>27</v>
      </c>
      <c r="F26" s="18" t="s">
        <v>2126</v>
      </c>
      <c r="G26" s="18" t="n">
        <v>6.703</v>
      </c>
      <c r="H26" s="18" t="s">
        <v>3315</v>
      </c>
      <c r="I26" s="19" t="s">
        <v>3360</v>
      </c>
      <c r="J26" s="18" t="s">
        <v>3317</v>
      </c>
      <c r="K26" s="18" t="s">
        <v>3318</v>
      </c>
      <c r="L26" s="18" t="s">
        <v>3319</v>
      </c>
      <c r="M26" s="19" t="s">
        <v>3320</v>
      </c>
      <c r="N26" s="18"/>
      <c r="O26" s="18" t="n">
        <v>0</v>
      </c>
    </row>
    <row r="27" customFormat="false" ht="17.15" hidden="false" customHeight="false" outlineLevel="0" collapsed="false">
      <c r="A27" s="18" t="s">
        <v>3361</v>
      </c>
      <c r="B27" s="18" t="s">
        <v>2076</v>
      </c>
      <c r="C27" s="18" t="s">
        <v>728</v>
      </c>
      <c r="D27" s="18" t="s">
        <v>2078</v>
      </c>
      <c r="E27" s="18" t="s">
        <v>28</v>
      </c>
      <c r="F27" s="18" t="s">
        <v>2126</v>
      </c>
      <c r="G27" s="18" t="n">
        <v>7.826</v>
      </c>
      <c r="H27" s="18" t="s">
        <v>3315</v>
      </c>
      <c r="I27" s="19" t="s">
        <v>3360</v>
      </c>
      <c r="J27" s="18" t="s">
        <v>3317</v>
      </c>
      <c r="K27" s="18" t="s">
        <v>3318</v>
      </c>
      <c r="L27" s="18" t="s">
        <v>3319</v>
      </c>
      <c r="M27" s="19" t="s">
        <v>3320</v>
      </c>
      <c r="N27" s="18"/>
      <c r="O27" s="18" t="n">
        <v>0</v>
      </c>
    </row>
    <row r="28" customFormat="false" ht="17.15" hidden="false" customHeight="false" outlineLevel="0" collapsed="false">
      <c r="A28" s="18" t="s">
        <v>3362</v>
      </c>
      <c r="B28" s="18" t="s">
        <v>2076</v>
      </c>
      <c r="C28" s="18" t="s">
        <v>728</v>
      </c>
      <c r="D28" s="18" t="s">
        <v>2079</v>
      </c>
      <c r="E28" s="18" t="s">
        <v>29</v>
      </c>
      <c r="F28" s="18" t="s">
        <v>2126</v>
      </c>
      <c r="G28" s="18" t="n">
        <v>4.555</v>
      </c>
      <c r="H28" s="18" t="s">
        <v>3315</v>
      </c>
      <c r="I28" s="19" t="s">
        <v>3360</v>
      </c>
      <c r="J28" s="18" t="s">
        <v>3317</v>
      </c>
      <c r="K28" s="18" t="s">
        <v>3318</v>
      </c>
      <c r="L28" s="18" t="s">
        <v>3319</v>
      </c>
      <c r="M28" s="19" t="s">
        <v>3320</v>
      </c>
      <c r="N28" s="18"/>
      <c r="O28" s="18" t="n">
        <v>0</v>
      </c>
    </row>
    <row r="29" customFormat="false" ht="17.15" hidden="false" customHeight="false" outlineLevel="0" collapsed="false">
      <c r="A29" s="0" t="s">
        <v>3363</v>
      </c>
      <c r="B29" s="0" t="s">
        <v>2076</v>
      </c>
      <c r="C29" s="0" t="s">
        <v>728</v>
      </c>
      <c r="D29" s="0" t="s">
        <v>124</v>
      </c>
      <c r="E29" s="0" t="s">
        <v>29</v>
      </c>
      <c r="F29" s="0" t="s">
        <v>2123</v>
      </c>
      <c r="G29" s="9" t="n">
        <v>329.1</v>
      </c>
      <c r="H29" s="21" t="s">
        <v>3315</v>
      </c>
      <c r="I29" s="5" t="s">
        <v>3364</v>
      </c>
      <c r="J29" s="21" t="s">
        <v>3317</v>
      </c>
      <c r="K29" s="21" t="s">
        <v>3332</v>
      </c>
      <c r="L29" s="21" t="s">
        <v>3319</v>
      </c>
      <c r="M29" s="5" t="s">
        <v>2097</v>
      </c>
      <c r="O29" s="0" t="n">
        <v>1</v>
      </c>
    </row>
    <row r="30" customFormat="false" ht="17.15" hidden="false" customHeight="false" outlineLevel="0" collapsed="false">
      <c r="A30" s="18" t="s">
        <v>3365</v>
      </c>
      <c r="B30" s="18" t="s">
        <v>2076</v>
      </c>
      <c r="C30" s="18" t="s">
        <v>728</v>
      </c>
      <c r="D30" s="18" t="s">
        <v>124</v>
      </c>
      <c r="E30" s="18" t="s">
        <v>29</v>
      </c>
      <c r="F30" s="18" t="s">
        <v>3366</v>
      </c>
      <c r="G30" s="18" t="n">
        <v>194.06</v>
      </c>
      <c r="H30" s="18" t="s">
        <v>3315</v>
      </c>
      <c r="I30" s="19" t="s">
        <v>3367</v>
      </c>
      <c r="J30" s="18" t="s">
        <v>3317</v>
      </c>
      <c r="K30" s="18" t="s">
        <v>3318</v>
      </c>
      <c r="L30" s="18" t="s">
        <v>3319</v>
      </c>
      <c r="M30" s="19" t="s">
        <v>3320</v>
      </c>
      <c r="N30" s="18"/>
      <c r="O30" s="18" t="n">
        <v>0</v>
      </c>
    </row>
    <row r="31" customFormat="false" ht="17.15" hidden="false" customHeight="false" outlineLevel="0" collapsed="false">
      <c r="A31" s="18" t="s">
        <v>3368</v>
      </c>
      <c r="B31" s="18" t="s">
        <v>2076</v>
      </c>
      <c r="C31" s="18" t="s">
        <v>728</v>
      </c>
      <c r="D31" s="18" t="s">
        <v>2093</v>
      </c>
      <c r="E31" s="18" t="s">
        <v>3369</v>
      </c>
      <c r="F31" s="18" t="s">
        <v>2094</v>
      </c>
      <c r="G31" s="18" t="n">
        <v>175</v>
      </c>
      <c r="H31" s="18" t="s">
        <v>3315</v>
      </c>
      <c r="I31" s="19" t="s">
        <v>3370</v>
      </c>
      <c r="J31" s="18" t="s">
        <v>3371</v>
      </c>
      <c r="K31" s="18" t="s">
        <v>3372</v>
      </c>
      <c r="L31" s="18" t="s">
        <v>3373</v>
      </c>
      <c r="M31" s="19" t="s">
        <v>3374</v>
      </c>
      <c r="N31" s="18"/>
      <c r="O31" s="18" t="n">
        <v>0</v>
      </c>
    </row>
    <row r="32" customFormat="false" ht="17.15" hidden="false" customHeight="false" outlineLevel="0" collapsed="false">
      <c r="A32" s="18" t="s">
        <v>3375</v>
      </c>
      <c r="B32" s="18" t="s">
        <v>2076</v>
      </c>
      <c r="C32" s="18" t="s">
        <v>728</v>
      </c>
      <c r="D32" s="18" t="s">
        <v>2104</v>
      </c>
      <c r="E32" s="18" t="s">
        <v>3376</v>
      </c>
      <c r="F32" s="18" t="s">
        <v>2094</v>
      </c>
      <c r="G32" s="18" t="n">
        <v>50</v>
      </c>
      <c r="H32" s="18" t="s">
        <v>3315</v>
      </c>
      <c r="I32" s="18" t="s">
        <v>3377</v>
      </c>
      <c r="J32" s="18" t="s">
        <v>3371</v>
      </c>
      <c r="K32" s="18" t="s">
        <v>3372</v>
      </c>
      <c r="L32" s="18" t="s">
        <v>3378</v>
      </c>
      <c r="M32" s="19" t="s">
        <v>3379</v>
      </c>
      <c r="N32" s="18"/>
      <c r="O32" s="18" t="n">
        <v>0</v>
      </c>
    </row>
    <row r="33" customFormat="false" ht="17.15" hidden="false" customHeight="false" outlineLevel="0" collapsed="false">
      <c r="A33" s="18" t="s">
        <v>3380</v>
      </c>
      <c r="B33" s="18" t="s">
        <v>2076</v>
      </c>
      <c r="C33" s="18" t="s">
        <v>728</v>
      </c>
      <c r="D33" s="18" t="s">
        <v>3381</v>
      </c>
      <c r="E33" s="18" t="s">
        <v>29</v>
      </c>
      <c r="F33" s="18" t="s">
        <v>3382</v>
      </c>
      <c r="G33" s="18" t="n">
        <v>60</v>
      </c>
      <c r="H33" s="18" t="s">
        <v>3315</v>
      </c>
      <c r="I33" s="18" t="s">
        <v>3383</v>
      </c>
      <c r="J33" s="18" t="s">
        <v>3384</v>
      </c>
      <c r="K33" s="18" t="s">
        <v>3385</v>
      </c>
      <c r="L33" s="18" t="s">
        <v>3386</v>
      </c>
      <c r="M33" s="18" t="s">
        <v>3387</v>
      </c>
      <c r="N33" s="18" t="s">
        <v>3388</v>
      </c>
      <c r="O33" s="18" t="n">
        <v>0</v>
      </c>
    </row>
    <row r="34" customFormat="false" ht="17.15" hidden="false" customHeight="false" outlineLevel="0" collapsed="false">
      <c r="A34" s="18" t="s">
        <v>3389</v>
      </c>
      <c r="B34" s="18" t="s">
        <v>2076</v>
      </c>
      <c r="C34" s="18" t="s">
        <v>728</v>
      </c>
      <c r="D34" s="18" t="s">
        <v>124</v>
      </c>
      <c r="E34" s="18" t="s">
        <v>29</v>
      </c>
      <c r="F34" s="18" t="s">
        <v>2129</v>
      </c>
      <c r="G34" s="18" t="n">
        <v>11.9</v>
      </c>
      <c r="H34" s="18" t="s">
        <v>3315</v>
      </c>
      <c r="I34" s="19" t="s">
        <v>3390</v>
      </c>
      <c r="J34" s="18" t="s">
        <v>3317</v>
      </c>
      <c r="K34" s="18" t="s">
        <v>3318</v>
      </c>
      <c r="L34" s="18" t="s">
        <v>3319</v>
      </c>
      <c r="M34" s="19" t="s">
        <v>3320</v>
      </c>
      <c r="N34" s="18"/>
      <c r="O34" s="18" t="n">
        <v>0</v>
      </c>
    </row>
    <row r="35" customFormat="false" ht="17.15" hidden="false" customHeight="false" outlineLevel="0" collapsed="false">
      <c r="A35" s="18" t="s">
        <v>3391</v>
      </c>
      <c r="B35" s="18" t="s">
        <v>2076</v>
      </c>
      <c r="C35" s="18" t="s">
        <v>728</v>
      </c>
      <c r="D35" s="18" t="s">
        <v>3392</v>
      </c>
      <c r="E35" s="18" t="s">
        <v>29</v>
      </c>
      <c r="F35" s="18" t="s">
        <v>2129</v>
      </c>
      <c r="G35" s="18" t="n">
        <v>250</v>
      </c>
      <c r="H35" s="18" t="s">
        <v>3315</v>
      </c>
      <c r="I35" s="18" t="s">
        <v>3393</v>
      </c>
      <c r="J35" s="18" t="s">
        <v>3371</v>
      </c>
      <c r="K35" s="18" t="s">
        <v>3394</v>
      </c>
      <c r="L35" s="18" t="s">
        <v>3395</v>
      </c>
      <c r="M35" s="19" t="s">
        <v>3320</v>
      </c>
      <c r="N35" s="18"/>
      <c r="O35" s="18" t="n">
        <v>0</v>
      </c>
    </row>
    <row r="36" customFormat="false" ht="17.15" hidden="false" customHeight="false" outlineLevel="0" collapsed="false">
      <c r="A36" s="18" t="s">
        <v>3396</v>
      </c>
      <c r="B36" s="18" t="s">
        <v>2080</v>
      </c>
      <c r="C36" s="18" t="s">
        <v>733</v>
      </c>
      <c r="D36" s="18" t="s">
        <v>2081</v>
      </c>
      <c r="E36" s="18" t="s">
        <v>27</v>
      </c>
      <c r="F36" s="18" t="s">
        <v>2105</v>
      </c>
      <c r="G36" s="18" t="n">
        <v>125.299</v>
      </c>
      <c r="H36" s="18" t="s">
        <v>3315</v>
      </c>
      <c r="I36" s="19" t="s">
        <v>3397</v>
      </c>
      <c r="J36" s="18" t="s">
        <v>3317</v>
      </c>
      <c r="K36" s="18" t="s">
        <v>3398</v>
      </c>
      <c r="L36" s="18" t="s">
        <v>3399</v>
      </c>
      <c r="M36" s="19" t="s">
        <v>3320</v>
      </c>
      <c r="N36" s="18"/>
      <c r="O36" s="18" t="n">
        <v>0</v>
      </c>
    </row>
    <row r="37" customFormat="false" ht="17.15" hidden="false" customHeight="false" outlineLevel="0" collapsed="false">
      <c r="A37" s="18" t="s">
        <v>3400</v>
      </c>
      <c r="B37" s="18" t="s">
        <v>2080</v>
      </c>
      <c r="C37" s="18" t="s">
        <v>733</v>
      </c>
      <c r="D37" s="18" t="s">
        <v>2081</v>
      </c>
      <c r="E37" s="18" t="s">
        <v>27</v>
      </c>
      <c r="F37" s="18" t="s">
        <v>2108</v>
      </c>
      <c r="G37" s="18" t="n">
        <v>52.535</v>
      </c>
      <c r="H37" s="18" t="s">
        <v>3315</v>
      </c>
      <c r="I37" s="18" t="s">
        <v>3401</v>
      </c>
      <c r="J37" s="18" t="s">
        <v>3317</v>
      </c>
      <c r="K37" s="18" t="s">
        <v>3398</v>
      </c>
      <c r="L37" s="18" t="s">
        <v>3399</v>
      </c>
      <c r="M37" s="19" t="s">
        <v>3320</v>
      </c>
      <c r="N37" s="18"/>
      <c r="O37" s="18" t="n">
        <v>0</v>
      </c>
    </row>
    <row r="38" customFormat="false" ht="17.15" hidden="false" customHeight="false" outlineLevel="0" collapsed="false">
      <c r="A38" s="18" t="s">
        <v>3402</v>
      </c>
      <c r="B38" s="18" t="s">
        <v>2080</v>
      </c>
      <c r="C38" s="18" t="s">
        <v>733</v>
      </c>
      <c r="D38" s="18" t="s">
        <v>2081</v>
      </c>
      <c r="E38" s="18" t="s">
        <v>27</v>
      </c>
      <c r="F38" s="18" t="s">
        <v>2111</v>
      </c>
      <c r="G38" s="18" t="n">
        <v>72.764</v>
      </c>
      <c r="H38" s="18" t="s">
        <v>3315</v>
      </c>
      <c r="I38" s="18" t="s">
        <v>3403</v>
      </c>
      <c r="J38" s="18" t="s">
        <v>3327</v>
      </c>
      <c r="K38" s="18" t="s">
        <v>3398</v>
      </c>
      <c r="L38" s="18" t="s">
        <v>3399</v>
      </c>
      <c r="M38" s="19" t="s">
        <v>3320</v>
      </c>
      <c r="N38" s="18"/>
      <c r="O38" s="18" t="n">
        <v>0</v>
      </c>
    </row>
    <row r="39" customFormat="false" ht="17.15" hidden="false" customHeight="false" outlineLevel="0" collapsed="false">
      <c r="A39" s="18" t="s">
        <v>3404</v>
      </c>
      <c r="B39" s="18" t="s">
        <v>2080</v>
      </c>
      <c r="C39" s="18" t="s">
        <v>733</v>
      </c>
      <c r="D39" s="18" t="s">
        <v>2081</v>
      </c>
      <c r="E39" s="18" t="s">
        <v>27</v>
      </c>
      <c r="F39" s="18" t="s">
        <v>2165</v>
      </c>
      <c r="G39" s="18" t="n">
        <v>69.585</v>
      </c>
      <c r="H39" s="18" t="s">
        <v>3315</v>
      </c>
      <c r="I39" s="19" t="s">
        <v>3405</v>
      </c>
      <c r="J39" s="18" t="s">
        <v>3317</v>
      </c>
      <c r="K39" s="18" t="s">
        <v>3398</v>
      </c>
      <c r="L39" s="18" t="s">
        <v>3399</v>
      </c>
      <c r="M39" s="19" t="s">
        <v>3320</v>
      </c>
      <c r="N39" s="18"/>
      <c r="O39" s="18" t="n">
        <v>0</v>
      </c>
    </row>
    <row r="40" customFormat="false" ht="17.15" hidden="false" customHeight="false" outlineLevel="0" collapsed="false">
      <c r="A40" s="18" t="s">
        <v>3406</v>
      </c>
      <c r="B40" s="18" t="s">
        <v>2080</v>
      </c>
      <c r="C40" s="18" t="s">
        <v>733</v>
      </c>
      <c r="D40" s="18" t="s">
        <v>2081</v>
      </c>
      <c r="E40" s="18" t="s">
        <v>27</v>
      </c>
      <c r="F40" s="18" t="s">
        <v>2140</v>
      </c>
      <c r="G40" s="18" t="n">
        <v>13.589</v>
      </c>
      <c r="H40" s="18" t="s">
        <v>3315</v>
      </c>
      <c r="I40" s="19" t="s">
        <v>3407</v>
      </c>
      <c r="J40" s="18" t="s">
        <v>3317</v>
      </c>
      <c r="K40" s="18" t="s">
        <v>3398</v>
      </c>
      <c r="L40" s="18" t="s">
        <v>3399</v>
      </c>
      <c r="M40" s="19" t="s">
        <v>3320</v>
      </c>
      <c r="N40" s="18"/>
      <c r="O40" s="18" t="n">
        <v>0</v>
      </c>
    </row>
    <row r="41" customFormat="false" ht="17.15" hidden="false" customHeight="false" outlineLevel="0" collapsed="false">
      <c r="A41" s="0" t="s">
        <v>3408</v>
      </c>
      <c r="B41" s="0" t="s">
        <v>2080</v>
      </c>
      <c r="C41" s="0" t="s">
        <v>733</v>
      </c>
      <c r="D41" s="0" t="s">
        <v>2082</v>
      </c>
      <c r="E41" s="0" t="s">
        <v>28</v>
      </c>
      <c r="F41" s="0" t="s">
        <v>2105</v>
      </c>
      <c r="G41" s="9" t="n">
        <v>164.713</v>
      </c>
      <c r="H41" s="21" t="s">
        <v>3315</v>
      </c>
      <c r="I41" s="5" t="s">
        <v>3397</v>
      </c>
      <c r="J41" s="21" t="s">
        <v>3317</v>
      </c>
      <c r="K41" s="21" t="s">
        <v>3409</v>
      </c>
      <c r="L41" s="21" t="s">
        <v>3399</v>
      </c>
      <c r="M41" s="21" t="s">
        <v>2143</v>
      </c>
      <c r="O41" s="0" t="n">
        <v>1</v>
      </c>
    </row>
    <row r="42" customFormat="false" ht="17.15" hidden="false" customHeight="false" outlineLevel="0" collapsed="false">
      <c r="A42" s="0" t="s">
        <v>3410</v>
      </c>
      <c r="B42" s="0" t="s">
        <v>2080</v>
      </c>
      <c r="C42" s="0" t="s">
        <v>733</v>
      </c>
      <c r="D42" s="0" t="s">
        <v>2082</v>
      </c>
      <c r="E42" s="0" t="s">
        <v>28</v>
      </c>
      <c r="F42" s="0" t="s">
        <v>2108</v>
      </c>
      <c r="G42" s="9" t="n">
        <v>91.447</v>
      </c>
      <c r="H42" s="21" t="s">
        <v>3315</v>
      </c>
      <c r="I42" s="21" t="s">
        <v>3411</v>
      </c>
      <c r="J42" s="21" t="s">
        <v>3317</v>
      </c>
      <c r="K42" s="21" t="s">
        <v>3409</v>
      </c>
      <c r="L42" s="21" t="s">
        <v>3399</v>
      </c>
      <c r="M42" s="21" t="s">
        <v>2143</v>
      </c>
      <c r="O42" s="0" t="n">
        <v>1</v>
      </c>
    </row>
    <row r="43" customFormat="false" ht="17.15" hidden="false" customHeight="false" outlineLevel="0" collapsed="false">
      <c r="A43" s="0" t="s">
        <v>3412</v>
      </c>
      <c r="B43" s="0" t="s">
        <v>2080</v>
      </c>
      <c r="C43" s="0" t="s">
        <v>733</v>
      </c>
      <c r="D43" s="0" t="s">
        <v>2082</v>
      </c>
      <c r="E43" s="0" t="s">
        <v>28</v>
      </c>
      <c r="F43" s="0" t="s">
        <v>2111</v>
      </c>
      <c r="G43" s="9" t="n">
        <v>73.266</v>
      </c>
      <c r="H43" s="21" t="s">
        <v>3315</v>
      </c>
      <c r="I43" s="21" t="s">
        <v>3413</v>
      </c>
      <c r="J43" s="21" t="s">
        <v>3327</v>
      </c>
      <c r="K43" s="21" t="s">
        <v>3409</v>
      </c>
      <c r="L43" s="21" t="s">
        <v>3399</v>
      </c>
      <c r="M43" s="21" t="s">
        <v>2143</v>
      </c>
      <c r="O43" s="0" t="n">
        <v>1</v>
      </c>
    </row>
    <row r="44" customFormat="false" ht="17.15" hidden="false" customHeight="false" outlineLevel="0" collapsed="false">
      <c r="A44" s="0" t="s">
        <v>3414</v>
      </c>
      <c r="B44" s="0" t="s">
        <v>2080</v>
      </c>
      <c r="C44" s="0" t="s">
        <v>733</v>
      </c>
      <c r="D44" s="0" t="s">
        <v>2082</v>
      </c>
      <c r="E44" s="0" t="s">
        <v>28</v>
      </c>
      <c r="F44" s="0" t="s">
        <v>2165</v>
      </c>
      <c r="G44" s="9" t="n">
        <v>55.758</v>
      </c>
      <c r="H44" s="21" t="s">
        <v>3315</v>
      </c>
      <c r="I44" s="5" t="s">
        <v>3415</v>
      </c>
      <c r="J44" s="21" t="s">
        <v>3317</v>
      </c>
      <c r="K44" s="21" t="s">
        <v>3409</v>
      </c>
      <c r="L44" s="21" t="s">
        <v>3399</v>
      </c>
      <c r="M44" s="21" t="s">
        <v>2143</v>
      </c>
      <c r="O44" s="0" t="n">
        <v>1</v>
      </c>
    </row>
    <row r="45" customFormat="false" ht="17.15" hidden="false" customHeight="false" outlineLevel="0" collapsed="false">
      <c r="A45" s="0" t="s">
        <v>3416</v>
      </c>
      <c r="B45" s="0" t="s">
        <v>2080</v>
      </c>
      <c r="C45" s="0" t="s">
        <v>733</v>
      </c>
      <c r="D45" s="0" t="s">
        <v>2082</v>
      </c>
      <c r="E45" s="0" t="s">
        <v>28</v>
      </c>
      <c r="F45" s="0" t="s">
        <v>2140</v>
      </c>
      <c r="G45" s="9" t="n">
        <v>64.564</v>
      </c>
      <c r="H45" s="21" t="s">
        <v>3315</v>
      </c>
      <c r="I45" s="5" t="s">
        <v>3417</v>
      </c>
      <c r="J45" s="21" t="s">
        <v>3317</v>
      </c>
      <c r="K45" s="21" t="s">
        <v>3409</v>
      </c>
      <c r="L45" s="21" t="s">
        <v>3399</v>
      </c>
      <c r="M45" s="21" t="s">
        <v>2143</v>
      </c>
      <c r="O45" s="0" t="n">
        <v>1</v>
      </c>
    </row>
    <row r="46" customFormat="false" ht="17.15" hidden="false" customHeight="false" outlineLevel="0" collapsed="false">
      <c r="A46" s="18" t="s">
        <v>3418</v>
      </c>
      <c r="B46" s="18" t="s">
        <v>2080</v>
      </c>
      <c r="C46" s="18" t="s">
        <v>733</v>
      </c>
      <c r="D46" s="18" t="s">
        <v>2086</v>
      </c>
      <c r="E46" s="18" t="s">
        <v>29</v>
      </c>
      <c r="F46" s="18" t="s">
        <v>2105</v>
      </c>
      <c r="G46" s="18" t="n">
        <v>84.859</v>
      </c>
      <c r="H46" s="18" t="s">
        <v>3315</v>
      </c>
      <c r="I46" s="18" t="s">
        <v>3419</v>
      </c>
      <c r="J46" s="18" t="s">
        <v>3371</v>
      </c>
      <c r="K46" s="18" t="s">
        <v>3420</v>
      </c>
      <c r="L46" s="18" t="s">
        <v>3421</v>
      </c>
      <c r="M46" s="19" t="s">
        <v>3422</v>
      </c>
      <c r="N46" s="18"/>
      <c r="O46" s="18" t="n">
        <v>0</v>
      </c>
    </row>
    <row r="47" customFormat="false" ht="17.15" hidden="false" customHeight="false" outlineLevel="0" collapsed="false">
      <c r="A47" s="18" t="s">
        <v>3423</v>
      </c>
      <c r="B47" s="18" t="s">
        <v>2080</v>
      </c>
      <c r="C47" s="18" t="s">
        <v>733</v>
      </c>
      <c r="D47" s="18" t="s">
        <v>2086</v>
      </c>
      <c r="E47" s="18" t="s">
        <v>29</v>
      </c>
      <c r="F47" s="18" t="s">
        <v>2108</v>
      </c>
      <c r="G47" s="18" t="n">
        <v>80.598</v>
      </c>
      <c r="H47" s="18" t="s">
        <v>3315</v>
      </c>
      <c r="I47" s="18" t="s">
        <v>3424</v>
      </c>
      <c r="J47" s="18" t="s">
        <v>3371</v>
      </c>
      <c r="K47" s="18" t="s">
        <v>3420</v>
      </c>
      <c r="L47" s="18" t="s">
        <v>3421</v>
      </c>
      <c r="M47" s="19" t="s">
        <v>3422</v>
      </c>
      <c r="N47" s="18"/>
      <c r="O47" s="18" t="n">
        <v>0</v>
      </c>
    </row>
    <row r="48" customFormat="false" ht="17.15" hidden="false" customHeight="false" outlineLevel="0" collapsed="false">
      <c r="A48" s="18" t="s">
        <v>3425</v>
      </c>
      <c r="B48" s="18" t="s">
        <v>2080</v>
      </c>
      <c r="C48" s="18" t="s">
        <v>733</v>
      </c>
      <c r="D48" s="18" t="s">
        <v>2086</v>
      </c>
      <c r="E48" s="18" t="s">
        <v>29</v>
      </c>
      <c r="F48" s="18" t="s">
        <v>2111</v>
      </c>
      <c r="G48" s="18" t="n">
        <v>4.261</v>
      </c>
      <c r="H48" s="18" t="s">
        <v>3315</v>
      </c>
      <c r="I48" s="18" t="s">
        <v>3426</v>
      </c>
      <c r="J48" s="18" t="s">
        <v>3327</v>
      </c>
      <c r="K48" s="18" t="s">
        <v>3420</v>
      </c>
      <c r="L48" s="18" t="s">
        <v>3421</v>
      </c>
      <c r="M48" s="19" t="s">
        <v>3422</v>
      </c>
      <c r="N48" s="18"/>
      <c r="O48" s="18" t="n">
        <v>0</v>
      </c>
    </row>
    <row r="49" customFormat="false" ht="17.15" hidden="false" customHeight="false" outlineLevel="0" collapsed="false">
      <c r="A49" s="18" t="s">
        <v>3427</v>
      </c>
      <c r="B49" s="18" t="s">
        <v>2080</v>
      </c>
      <c r="C49" s="18" t="s">
        <v>733</v>
      </c>
      <c r="D49" s="18" t="s">
        <v>2086</v>
      </c>
      <c r="E49" s="18" t="s">
        <v>29</v>
      </c>
      <c r="F49" s="18" t="s">
        <v>2165</v>
      </c>
      <c r="G49" s="18" t="n">
        <v>5.231</v>
      </c>
      <c r="H49" s="18" t="s">
        <v>3315</v>
      </c>
      <c r="I49" s="19" t="s">
        <v>3428</v>
      </c>
      <c r="J49" s="18" t="s">
        <v>3371</v>
      </c>
      <c r="K49" s="18" t="s">
        <v>3420</v>
      </c>
      <c r="L49" s="18" t="s">
        <v>3421</v>
      </c>
      <c r="M49" s="19" t="s">
        <v>3422</v>
      </c>
      <c r="N49" s="18"/>
      <c r="O49" s="18" t="n">
        <v>0</v>
      </c>
    </row>
    <row r="50" customFormat="false" ht="17.15" hidden="false" customHeight="false" outlineLevel="0" collapsed="false">
      <c r="A50" s="18" t="s">
        <v>3429</v>
      </c>
      <c r="B50" s="18" t="s">
        <v>2080</v>
      </c>
      <c r="C50" s="18" t="s">
        <v>733</v>
      </c>
      <c r="D50" s="18" t="s">
        <v>2086</v>
      </c>
      <c r="E50" s="18" t="s">
        <v>29</v>
      </c>
      <c r="F50" s="18" t="s">
        <v>2140</v>
      </c>
      <c r="G50" s="18" t="n">
        <v>51.8</v>
      </c>
      <c r="H50" s="18" t="s">
        <v>3315</v>
      </c>
      <c r="I50" s="18" t="s">
        <v>3430</v>
      </c>
      <c r="J50" s="18" t="s">
        <v>3371</v>
      </c>
      <c r="K50" s="18" t="s">
        <v>3431</v>
      </c>
      <c r="L50" s="18" t="s">
        <v>3432</v>
      </c>
      <c r="M50" s="19" t="s">
        <v>3422</v>
      </c>
      <c r="N50" s="18"/>
      <c r="O50" s="18" t="n">
        <v>0</v>
      </c>
    </row>
    <row r="51" customFormat="false" ht="17.15" hidden="false" customHeight="false" outlineLevel="0" collapsed="false">
      <c r="A51" s="18" t="s">
        <v>3433</v>
      </c>
      <c r="B51" s="18" t="s">
        <v>2080</v>
      </c>
      <c r="C51" s="18" t="s">
        <v>733</v>
      </c>
      <c r="D51" s="18" t="s">
        <v>3434</v>
      </c>
      <c r="E51" s="18" t="s">
        <v>29</v>
      </c>
      <c r="F51" s="18" t="s">
        <v>2140</v>
      </c>
      <c r="G51" s="18" t="n">
        <v>25</v>
      </c>
      <c r="H51" s="18" t="s">
        <v>3315</v>
      </c>
      <c r="I51" s="18" t="s">
        <v>3435</v>
      </c>
      <c r="J51" s="18" t="s">
        <v>3317</v>
      </c>
      <c r="K51" s="18" t="s">
        <v>3436</v>
      </c>
      <c r="L51" s="18" t="s">
        <v>3437</v>
      </c>
      <c r="M51" s="19" t="s">
        <v>3438</v>
      </c>
      <c r="N51" s="18" t="s">
        <v>3439</v>
      </c>
      <c r="O51" s="18" t="n">
        <v>0</v>
      </c>
    </row>
    <row r="52" customFormat="false" ht="17.15" hidden="false" customHeight="false" outlineLevel="0" collapsed="false">
      <c r="A52" s="18" t="s">
        <v>3440</v>
      </c>
      <c r="B52" s="18" t="s">
        <v>2080</v>
      </c>
      <c r="C52" s="18" t="s">
        <v>733</v>
      </c>
      <c r="D52" s="18" t="s">
        <v>124</v>
      </c>
      <c r="E52" s="18" t="s">
        <v>29</v>
      </c>
      <c r="F52" s="18" t="s">
        <v>3357</v>
      </c>
      <c r="G52" s="18" t="n">
        <v>52</v>
      </c>
      <c r="H52" s="18" t="s">
        <v>3315</v>
      </c>
      <c r="I52" s="19" t="s">
        <v>3441</v>
      </c>
      <c r="J52" s="18" t="s">
        <v>3327</v>
      </c>
      <c r="K52" s="18" t="s">
        <v>3442</v>
      </c>
      <c r="L52" s="18" t="s">
        <v>3432</v>
      </c>
      <c r="M52" s="19" t="s">
        <v>3347</v>
      </c>
      <c r="N52" s="18"/>
      <c r="O52" s="18" t="n">
        <v>0</v>
      </c>
    </row>
    <row r="53" customFormat="false" ht="17.15" hidden="false" customHeight="false" outlineLevel="0" collapsed="false">
      <c r="A53" s="18" t="s">
        <v>3443</v>
      </c>
      <c r="B53" s="18" t="s">
        <v>2080</v>
      </c>
      <c r="C53" s="18" t="s">
        <v>733</v>
      </c>
      <c r="D53" s="18" t="s">
        <v>3444</v>
      </c>
      <c r="E53" s="18" t="s">
        <v>29</v>
      </c>
      <c r="F53" s="18" t="s">
        <v>2099</v>
      </c>
      <c r="G53" s="18" t="n">
        <v>84.75</v>
      </c>
      <c r="H53" s="18" t="s">
        <v>3315</v>
      </c>
      <c r="I53" s="19" t="s">
        <v>3445</v>
      </c>
      <c r="J53" s="18" t="s">
        <v>3317</v>
      </c>
      <c r="K53" s="18" t="s">
        <v>3446</v>
      </c>
      <c r="L53" s="18" t="s">
        <v>3447</v>
      </c>
      <c r="M53" s="19" t="s">
        <v>3448</v>
      </c>
      <c r="N53" s="18" t="s">
        <v>3449</v>
      </c>
      <c r="O53" s="18" t="n">
        <v>0</v>
      </c>
    </row>
    <row r="54" customFormat="false" ht="17.15" hidden="false" customHeight="false" outlineLevel="0" collapsed="false">
      <c r="A54" s="0" t="s">
        <v>3450</v>
      </c>
      <c r="B54" s="0" t="s">
        <v>2080</v>
      </c>
      <c r="C54" s="0" t="s">
        <v>733</v>
      </c>
      <c r="D54" s="0" t="s">
        <v>124</v>
      </c>
      <c r="E54" s="0" t="s">
        <v>29</v>
      </c>
      <c r="F54" s="0" t="s">
        <v>2123</v>
      </c>
      <c r="G54" s="9" t="n">
        <v>85.2</v>
      </c>
      <c r="H54" s="21" t="s">
        <v>3315</v>
      </c>
      <c r="I54" s="5" t="s">
        <v>3451</v>
      </c>
      <c r="J54" s="21" t="s">
        <v>3371</v>
      </c>
      <c r="K54" s="21" t="s">
        <v>3452</v>
      </c>
      <c r="L54" s="21" t="s">
        <v>3432</v>
      </c>
      <c r="M54" s="5" t="s">
        <v>2097</v>
      </c>
      <c r="O54" s="0" t="n">
        <v>1</v>
      </c>
    </row>
    <row r="55" customFormat="false" ht="17.15" hidden="false" customHeight="false" outlineLevel="0" collapsed="false">
      <c r="A55" s="18" t="s">
        <v>3453</v>
      </c>
      <c r="B55" s="18" t="s">
        <v>2080</v>
      </c>
      <c r="C55" s="18" t="s">
        <v>733</v>
      </c>
      <c r="D55" s="18" t="s">
        <v>124</v>
      </c>
      <c r="E55" s="18" t="s">
        <v>29</v>
      </c>
      <c r="F55" s="18" t="s">
        <v>2126</v>
      </c>
      <c r="G55" s="18" t="n">
        <v>18.037</v>
      </c>
      <c r="H55" s="18" t="s">
        <v>3315</v>
      </c>
      <c r="I55" s="19" t="s">
        <v>3454</v>
      </c>
      <c r="J55" s="18" t="s">
        <v>3371</v>
      </c>
      <c r="K55" s="18" t="s">
        <v>3452</v>
      </c>
      <c r="L55" s="18" t="s">
        <v>3432</v>
      </c>
      <c r="M55" s="19" t="s">
        <v>3320</v>
      </c>
      <c r="N55" s="18"/>
      <c r="O55" s="18" t="n">
        <v>0</v>
      </c>
    </row>
    <row r="56" customFormat="false" ht="17.15" hidden="false" customHeight="false" outlineLevel="0" collapsed="false">
      <c r="A56" s="18" t="s">
        <v>3455</v>
      </c>
      <c r="B56" s="18" t="s">
        <v>2080</v>
      </c>
      <c r="C56" s="18" t="s">
        <v>733</v>
      </c>
      <c r="D56" s="18" t="s">
        <v>124</v>
      </c>
      <c r="E56" s="18" t="s">
        <v>29</v>
      </c>
      <c r="F56" s="18" t="s">
        <v>3366</v>
      </c>
      <c r="G56" s="18" t="n">
        <v>811</v>
      </c>
      <c r="H56" s="18" t="s">
        <v>3315</v>
      </c>
      <c r="I56" s="19" t="s">
        <v>3456</v>
      </c>
      <c r="J56" s="18" t="s">
        <v>3371</v>
      </c>
      <c r="K56" s="18" t="s">
        <v>3452</v>
      </c>
      <c r="L56" s="18" t="s">
        <v>3432</v>
      </c>
      <c r="M56" s="19" t="s">
        <v>3320</v>
      </c>
      <c r="N56" s="18"/>
      <c r="O56" s="18" t="n">
        <v>0</v>
      </c>
    </row>
    <row r="57" customFormat="false" ht="17.15" hidden="false" customHeight="false" outlineLevel="0" collapsed="false">
      <c r="A57" s="18" t="s">
        <v>3457</v>
      </c>
      <c r="B57" s="18" t="s">
        <v>2080</v>
      </c>
      <c r="C57" s="18" t="s">
        <v>733</v>
      </c>
      <c r="D57" s="18" t="s">
        <v>2093</v>
      </c>
      <c r="E57" s="18" t="s">
        <v>3369</v>
      </c>
      <c r="F57" s="18" t="s">
        <v>2108</v>
      </c>
      <c r="G57" s="18" t="n">
        <v>200</v>
      </c>
      <c r="H57" s="18" t="s">
        <v>3315</v>
      </c>
      <c r="I57" s="19" t="s">
        <v>3458</v>
      </c>
      <c r="J57" s="18" t="s">
        <v>3371</v>
      </c>
      <c r="K57" s="18" t="s">
        <v>3459</v>
      </c>
      <c r="L57" s="18" t="s">
        <v>3460</v>
      </c>
      <c r="M57" s="19" t="s">
        <v>3461</v>
      </c>
      <c r="N57" s="18" t="s">
        <v>3462</v>
      </c>
      <c r="O57" s="18" t="n">
        <v>0</v>
      </c>
    </row>
    <row r="58" customFormat="false" ht="17.15" hidden="false" customHeight="false" outlineLevel="0" collapsed="false">
      <c r="A58" s="0" t="s">
        <v>3463</v>
      </c>
      <c r="B58" s="0" t="s">
        <v>2080</v>
      </c>
      <c r="C58" s="0" t="s">
        <v>733</v>
      </c>
      <c r="D58" s="0" t="s">
        <v>3464</v>
      </c>
      <c r="E58" s="0" t="s">
        <v>29</v>
      </c>
      <c r="F58" s="0" t="s">
        <v>2129</v>
      </c>
      <c r="G58" s="9" t="n">
        <v>40</v>
      </c>
      <c r="H58" s="21" t="s">
        <v>3315</v>
      </c>
      <c r="I58" s="5" t="s">
        <v>3465</v>
      </c>
      <c r="J58" s="21" t="s">
        <v>3371</v>
      </c>
      <c r="K58" s="21" t="s">
        <v>3466</v>
      </c>
      <c r="L58" s="21" t="s">
        <v>3467</v>
      </c>
      <c r="M58" s="5" t="s">
        <v>2097</v>
      </c>
      <c r="O58" s="0" t="n">
        <v>1</v>
      </c>
    </row>
    <row r="59" customFormat="false" ht="17.15" hidden="false" customHeight="false" outlineLevel="0" collapsed="false">
      <c r="A59" s="18" t="s">
        <v>3468</v>
      </c>
      <c r="B59" s="18" t="s">
        <v>2080</v>
      </c>
      <c r="C59" s="18" t="s">
        <v>733</v>
      </c>
      <c r="D59" s="18" t="s">
        <v>124</v>
      </c>
      <c r="E59" s="18" t="s">
        <v>29</v>
      </c>
      <c r="F59" s="18" t="s">
        <v>2129</v>
      </c>
      <c r="G59" s="18" t="n">
        <v>124.259</v>
      </c>
      <c r="H59" s="18" t="s">
        <v>3315</v>
      </c>
      <c r="I59" s="19" t="s">
        <v>3469</v>
      </c>
      <c r="J59" s="18" t="s">
        <v>3371</v>
      </c>
      <c r="K59" s="18" t="s">
        <v>3470</v>
      </c>
      <c r="L59" s="18" t="s">
        <v>3432</v>
      </c>
      <c r="M59" s="19" t="s">
        <v>3347</v>
      </c>
      <c r="N59" s="18"/>
      <c r="O59" s="18" t="n">
        <v>0</v>
      </c>
    </row>
    <row r="60" customFormat="false" ht="17.15" hidden="false" customHeight="false" outlineLevel="0" collapsed="false">
      <c r="A60" s="0" t="s">
        <v>3471</v>
      </c>
      <c r="B60" s="0" t="s">
        <v>2080</v>
      </c>
      <c r="C60" s="0" t="s">
        <v>733</v>
      </c>
      <c r="D60" s="0" t="s">
        <v>2139</v>
      </c>
      <c r="E60" s="0" t="s">
        <v>29</v>
      </c>
      <c r="F60" s="0" t="s">
        <v>3472</v>
      </c>
      <c r="G60" s="9" t="n">
        <v>44</v>
      </c>
      <c r="H60" s="21" t="s">
        <v>3315</v>
      </c>
      <c r="I60" s="21" t="s">
        <v>3473</v>
      </c>
      <c r="J60" s="21" t="s">
        <v>3371</v>
      </c>
      <c r="K60" s="21" t="s">
        <v>3474</v>
      </c>
      <c r="L60" s="21" t="s">
        <v>3475</v>
      </c>
      <c r="M60" s="5" t="s">
        <v>2097</v>
      </c>
      <c r="O60" s="0" t="n">
        <v>1</v>
      </c>
    </row>
    <row r="61" customFormat="false" ht="17.15" hidden="false" customHeight="false" outlineLevel="0" collapsed="false">
      <c r="A61" s="18" t="s">
        <v>3476</v>
      </c>
      <c r="B61" s="18" t="s">
        <v>2084</v>
      </c>
      <c r="C61" s="18" t="s">
        <v>741</v>
      </c>
      <c r="D61" s="18" t="s">
        <v>2081</v>
      </c>
      <c r="E61" s="18" t="s">
        <v>27</v>
      </c>
      <c r="F61" s="18" t="s">
        <v>2105</v>
      </c>
      <c r="G61" s="18" t="n">
        <v>115.877</v>
      </c>
      <c r="H61" s="18" t="s">
        <v>3315</v>
      </c>
      <c r="I61" s="19" t="s">
        <v>3397</v>
      </c>
      <c r="J61" s="18" t="s">
        <v>3317</v>
      </c>
      <c r="K61" s="18" t="s">
        <v>3477</v>
      </c>
      <c r="L61" s="18" t="s">
        <v>3478</v>
      </c>
      <c r="M61" s="19" t="s">
        <v>3320</v>
      </c>
      <c r="N61" s="18"/>
      <c r="O61" s="18" t="n">
        <v>0</v>
      </c>
    </row>
    <row r="62" customFormat="false" ht="17.15" hidden="false" customHeight="false" outlineLevel="0" collapsed="false">
      <c r="A62" s="18" t="s">
        <v>3479</v>
      </c>
      <c r="B62" s="18" t="s">
        <v>2084</v>
      </c>
      <c r="C62" s="18" t="s">
        <v>741</v>
      </c>
      <c r="D62" s="18" t="s">
        <v>2081</v>
      </c>
      <c r="E62" s="18" t="s">
        <v>27</v>
      </c>
      <c r="F62" s="18" t="s">
        <v>2108</v>
      </c>
      <c r="G62" s="18" t="n">
        <v>77.658</v>
      </c>
      <c r="H62" s="18" t="s">
        <v>3315</v>
      </c>
      <c r="I62" s="19" t="s">
        <v>3480</v>
      </c>
      <c r="J62" s="18" t="s">
        <v>3327</v>
      </c>
      <c r="K62" s="18" t="s">
        <v>3477</v>
      </c>
      <c r="L62" s="18" t="s">
        <v>3478</v>
      </c>
      <c r="M62" s="19" t="s">
        <v>3320</v>
      </c>
      <c r="N62" s="18"/>
      <c r="O62" s="18" t="n">
        <v>0</v>
      </c>
    </row>
    <row r="63" customFormat="false" ht="17.15" hidden="false" customHeight="false" outlineLevel="0" collapsed="false">
      <c r="A63" s="18" t="s">
        <v>3481</v>
      </c>
      <c r="B63" s="18" t="s">
        <v>2084</v>
      </c>
      <c r="C63" s="18" t="s">
        <v>741</v>
      </c>
      <c r="D63" s="18" t="s">
        <v>2081</v>
      </c>
      <c r="E63" s="18" t="s">
        <v>27</v>
      </c>
      <c r="F63" s="18" t="s">
        <v>2094</v>
      </c>
      <c r="G63" s="18" t="n">
        <v>78.512</v>
      </c>
      <c r="H63" s="18" t="s">
        <v>3315</v>
      </c>
      <c r="I63" s="19" t="s">
        <v>3482</v>
      </c>
      <c r="J63" s="18" t="s">
        <v>3327</v>
      </c>
      <c r="K63" s="18" t="s">
        <v>3477</v>
      </c>
      <c r="L63" s="18" t="s">
        <v>3478</v>
      </c>
      <c r="M63" s="19" t="s">
        <v>3320</v>
      </c>
      <c r="N63" s="18"/>
      <c r="O63" s="18" t="n">
        <v>0</v>
      </c>
    </row>
    <row r="64" customFormat="false" ht="17.15" hidden="false" customHeight="false" outlineLevel="0" collapsed="false">
      <c r="A64" s="18" t="s">
        <v>3483</v>
      </c>
      <c r="B64" s="18" t="s">
        <v>2084</v>
      </c>
      <c r="C64" s="18" t="s">
        <v>741</v>
      </c>
      <c r="D64" s="18" t="s">
        <v>2081</v>
      </c>
      <c r="E64" s="18" t="s">
        <v>27</v>
      </c>
      <c r="F64" s="18" t="s">
        <v>2111</v>
      </c>
      <c r="G64" s="18" t="n">
        <v>38.219</v>
      </c>
      <c r="H64" s="18" t="s">
        <v>3315</v>
      </c>
      <c r="I64" s="18" t="s">
        <v>3484</v>
      </c>
      <c r="J64" s="18" t="s">
        <v>3327</v>
      </c>
      <c r="K64" s="18" t="s">
        <v>3477</v>
      </c>
      <c r="L64" s="18" t="s">
        <v>3478</v>
      </c>
      <c r="M64" s="19" t="s">
        <v>3320</v>
      </c>
      <c r="N64" s="18"/>
      <c r="O64" s="18" t="n">
        <v>0</v>
      </c>
    </row>
    <row r="65" customFormat="false" ht="17.15" hidden="false" customHeight="false" outlineLevel="0" collapsed="false">
      <c r="A65" s="18" t="s">
        <v>3485</v>
      </c>
      <c r="B65" s="18" t="s">
        <v>2084</v>
      </c>
      <c r="C65" s="18" t="s">
        <v>741</v>
      </c>
      <c r="D65" s="18" t="s">
        <v>2081</v>
      </c>
      <c r="E65" s="18" t="s">
        <v>27</v>
      </c>
      <c r="F65" s="18" t="s">
        <v>2165</v>
      </c>
      <c r="G65" s="18" t="n">
        <v>0</v>
      </c>
      <c r="H65" s="18" t="s">
        <v>3315</v>
      </c>
      <c r="I65" s="18" t="s">
        <v>3486</v>
      </c>
      <c r="J65" s="18" t="s">
        <v>3317</v>
      </c>
      <c r="K65" s="18" t="s">
        <v>3477</v>
      </c>
      <c r="L65" s="18" t="s">
        <v>3478</v>
      </c>
      <c r="M65" s="19" t="s">
        <v>3320</v>
      </c>
      <c r="N65" s="18"/>
      <c r="O65" s="18" t="n">
        <v>0</v>
      </c>
    </row>
    <row r="66" customFormat="false" ht="17.15" hidden="false" customHeight="false" outlineLevel="0" collapsed="false">
      <c r="A66" s="0" t="s">
        <v>3487</v>
      </c>
      <c r="B66" s="0" t="s">
        <v>2084</v>
      </c>
      <c r="C66" s="0" t="s">
        <v>741</v>
      </c>
      <c r="D66" s="0" t="s">
        <v>2082</v>
      </c>
      <c r="E66" s="0" t="s">
        <v>28</v>
      </c>
      <c r="F66" s="0" t="s">
        <v>2105</v>
      </c>
      <c r="G66" s="9" t="n">
        <v>139.514</v>
      </c>
      <c r="H66" s="21" t="s">
        <v>3315</v>
      </c>
      <c r="I66" s="5" t="s">
        <v>3397</v>
      </c>
      <c r="J66" s="21" t="s">
        <v>3317</v>
      </c>
      <c r="K66" s="21" t="s">
        <v>3488</v>
      </c>
      <c r="L66" s="21" t="s">
        <v>3478</v>
      </c>
      <c r="M66" s="21" t="s">
        <v>2143</v>
      </c>
      <c r="O66" s="0" t="n">
        <v>1</v>
      </c>
    </row>
    <row r="67" customFormat="false" ht="17.15" hidden="false" customHeight="false" outlineLevel="0" collapsed="false">
      <c r="A67" s="0" t="s">
        <v>3489</v>
      </c>
      <c r="B67" s="0" t="s">
        <v>2084</v>
      </c>
      <c r="C67" s="0" t="s">
        <v>741</v>
      </c>
      <c r="D67" s="0" t="s">
        <v>2082</v>
      </c>
      <c r="E67" s="0" t="s">
        <v>28</v>
      </c>
      <c r="F67" s="0" t="s">
        <v>2108</v>
      </c>
      <c r="G67" s="9" t="n">
        <v>128.32</v>
      </c>
      <c r="H67" s="21" t="s">
        <v>3315</v>
      </c>
      <c r="I67" s="5" t="s">
        <v>3490</v>
      </c>
      <c r="J67" s="21" t="s">
        <v>3327</v>
      </c>
      <c r="K67" s="21" t="s">
        <v>3488</v>
      </c>
      <c r="L67" s="21" t="s">
        <v>3478</v>
      </c>
      <c r="M67" s="21" t="s">
        <v>2143</v>
      </c>
      <c r="O67" s="0" t="n">
        <v>1</v>
      </c>
    </row>
    <row r="68" customFormat="false" ht="17.15" hidden="false" customHeight="false" outlineLevel="0" collapsed="false">
      <c r="A68" s="0" t="s">
        <v>3491</v>
      </c>
      <c r="B68" s="0" t="s">
        <v>2084</v>
      </c>
      <c r="C68" s="0" t="s">
        <v>741</v>
      </c>
      <c r="D68" s="0" t="s">
        <v>2082</v>
      </c>
      <c r="E68" s="0" t="s">
        <v>28</v>
      </c>
      <c r="F68" s="0" t="s">
        <v>2094</v>
      </c>
      <c r="G68" s="9" t="n">
        <v>131.231</v>
      </c>
      <c r="H68" s="21" t="s">
        <v>3315</v>
      </c>
      <c r="I68" s="5" t="s">
        <v>3492</v>
      </c>
      <c r="J68" s="21" t="s">
        <v>3327</v>
      </c>
      <c r="K68" s="21" t="s">
        <v>3488</v>
      </c>
      <c r="L68" s="21" t="s">
        <v>3478</v>
      </c>
      <c r="M68" s="21" t="s">
        <v>2143</v>
      </c>
      <c r="O68" s="0" t="n">
        <v>1</v>
      </c>
    </row>
    <row r="69" customFormat="false" ht="17.15" hidden="false" customHeight="false" outlineLevel="0" collapsed="false">
      <c r="A69" s="0" t="s">
        <v>3493</v>
      </c>
      <c r="B69" s="0" t="s">
        <v>2084</v>
      </c>
      <c r="C69" s="0" t="s">
        <v>741</v>
      </c>
      <c r="D69" s="0" t="s">
        <v>2082</v>
      </c>
      <c r="E69" s="0" t="s">
        <v>28</v>
      </c>
      <c r="F69" s="0" t="s">
        <v>2111</v>
      </c>
      <c r="G69" s="9" t="n">
        <v>11.194</v>
      </c>
      <c r="H69" s="21" t="s">
        <v>3315</v>
      </c>
      <c r="I69" s="21" t="s">
        <v>3494</v>
      </c>
      <c r="J69" s="21" t="s">
        <v>3327</v>
      </c>
      <c r="K69" s="21" t="s">
        <v>3488</v>
      </c>
      <c r="L69" s="21" t="s">
        <v>3478</v>
      </c>
      <c r="M69" s="21" t="s">
        <v>2143</v>
      </c>
      <c r="O69" s="0" t="n">
        <v>1</v>
      </c>
    </row>
    <row r="70" customFormat="false" ht="17.15" hidden="false" customHeight="false" outlineLevel="0" collapsed="false">
      <c r="A70" s="0" t="s">
        <v>3495</v>
      </c>
      <c r="B70" s="0" t="s">
        <v>2084</v>
      </c>
      <c r="C70" s="0" t="s">
        <v>741</v>
      </c>
      <c r="D70" s="0" t="s">
        <v>2082</v>
      </c>
      <c r="E70" s="0" t="s">
        <v>28</v>
      </c>
      <c r="F70" s="0" t="s">
        <v>2165</v>
      </c>
      <c r="G70" s="9" t="n">
        <v>0</v>
      </c>
      <c r="H70" s="21" t="s">
        <v>3315</v>
      </c>
      <c r="I70" s="21" t="s">
        <v>3496</v>
      </c>
      <c r="J70" s="21" t="s">
        <v>3317</v>
      </c>
      <c r="K70" s="21" t="s">
        <v>3488</v>
      </c>
      <c r="L70" s="21" t="s">
        <v>3478</v>
      </c>
      <c r="M70" s="21" t="s">
        <v>2143</v>
      </c>
      <c r="O70" s="0" t="n">
        <v>1</v>
      </c>
    </row>
    <row r="71" customFormat="false" ht="17.15" hidden="false" customHeight="false" outlineLevel="0" collapsed="false">
      <c r="A71" s="18" t="s">
        <v>3497</v>
      </c>
      <c r="B71" s="18" t="s">
        <v>2084</v>
      </c>
      <c r="C71" s="18" t="s">
        <v>741</v>
      </c>
      <c r="D71" s="18" t="s">
        <v>2086</v>
      </c>
      <c r="E71" s="18" t="s">
        <v>29</v>
      </c>
      <c r="F71" s="18" t="s">
        <v>2105</v>
      </c>
      <c r="G71" s="18" t="n">
        <v>71.419</v>
      </c>
      <c r="H71" s="18" t="s">
        <v>3315</v>
      </c>
      <c r="I71" s="18" t="s">
        <v>3498</v>
      </c>
      <c r="J71" s="18" t="s">
        <v>3371</v>
      </c>
      <c r="K71" s="18" t="s">
        <v>3499</v>
      </c>
      <c r="L71" s="18" t="s">
        <v>3500</v>
      </c>
      <c r="M71" s="19" t="s">
        <v>3501</v>
      </c>
      <c r="N71" s="18"/>
      <c r="O71" s="18" t="n">
        <v>0</v>
      </c>
    </row>
    <row r="72" customFormat="false" ht="17.15" hidden="false" customHeight="false" outlineLevel="0" collapsed="false">
      <c r="A72" s="18" t="s">
        <v>3502</v>
      </c>
      <c r="B72" s="18" t="s">
        <v>2084</v>
      </c>
      <c r="C72" s="18" t="s">
        <v>741</v>
      </c>
      <c r="D72" s="18" t="s">
        <v>2086</v>
      </c>
      <c r="E72" s="18" t="s">
        <v>29</v>
      </c>
      <c r="F72" s="18" t="s">
        <v>2108</v>
      </c>
      <c r="G72" s="18" t="n">
        <v>96.31</v>
      </c>
      <c r="H72" s="18" t="s">
        <v>3315</v>
      </c>
      <c r="I72" s="19" t="s">
        <v>3503</v>
      </c>
      <c r="J72" s="18" t="s">
        <v>3327</v>
      </c>
      <c r="K72" s="18" t="s">
        <v>3499</v>
      </c>
      <c r="L72" s="18" t="s">
        <v>3500</v>
      </c>
      <c r="M72" s="19" t="s">
        <v>3504</v>
      </c>
      <c r="N72" s="18"/>
      <c r="O72" s="18" t="n">
        <v>0</v>
      </c>
    </row>
    <row r="73" customFormat="false" ht="17.15" hidden="false" customHeight="false" outlineLevel="0" collapsed="false">
      <c r="A73" s="18" t="s">
        <v>3505</v>
      </c>
      <c r="B73" s="18" t="s">
        <v>2084</v>
      </c>
      <c r="C73" s="18" t="s">
        <v>741</v>
      </c>
      <c r="D73" s="18" t="s">
        <v>2086</v>
      </c>
      <c r="E73" s="18" t="s">
        <v>29</v>
      </c>
      <c r="F73" s="18" t="s">
        <v>2158</v>
      </c>
      <c r="G73" s="18" t="n">
        <v>2.128</v>
      </c>
      <c r="H73" s="18" t="s">
        <v>3315</v>
      </c>
      <c r="I73" s="19" t="s">
        <v>3506</v>
      </c>
      <c r="J73" s="18" t="s">
        <v>3371</v>
      </c>
      <c r="K73" s="18" t="s">
        <v>3499</v>
      </c>
      <c r="L73" s="18" t="s">
        <v>3500</v>
      </c>
      <c r="M73" s="19" t="s">
        <v>3507</v>
      </c>
      <c r="N73" s="18"/>
      <c r="O73" s="18" t="n">
        <v>0</v>
      </c>
    </row>
    <row r="74" customFormat="false" ht="17.15" hidden="false" customHeight="false" outlineLevel="0" collapsed="false">
      <c r="A74" s="18" t="s">
        <v>3508</v>
      </c>
      <c r="B74" s="18" t="s">
        <v>2084</v>
      </c>
      <c r="C74" s="18" t="s">
        <v>741</v>
      </c>
      <c r="D74" s="18" t="s">
        <v>2086</v>
      </c>
      <c r="E74" s="18" t="s">
        <v>29</v>
      </c>
      <c r="F74" s="18" t="s">
        <v>2111</v>
      </c>
      <c r="G74" s="18" t="n">
        <v>-24.891</v>
      </c>
      <c r="H74" s="18" t="s">
        <v>3315</v>
      </c>
      <c r="I74" s="18" t="s">
        <v>3509</v>
      </c>
      <c r="J74" s="18" t="s">
        <v>3327</v>
      </c>
      <c r="K74" s="18" t="s">
        <v>3499</v>
      </c>
      <c r="L74" s="18" t="s">
        <v>3500</v>
      </c>
      <c r="M74" s="19" t="s">
        <v>3510</v>
      </c>
      <c r="N74" s="18"/>
      <c r="O74" s="18" t="n">
        <v>0</v>
      </c>
    </row>
    <row r="75" customFormat="false" ht="17.15" hidden="false" customHeight="false" outlineLevel="0" collapsed="false">
      <c r="A75" s="0" t="s">
        <v>3511</v>
      </c>
      <c r="B75" s="0" t="s">
        <v>2084</v>
      </c>
      <c r="C75" s="0" t="s">
        <v>741</v>
      </c>
      <c r="D75" s="0" t="s">
        <v>3381</v>
      </c>
      <c r="E75" s="0" t="s">
        <v>28</v>
      </c>
      <c r="F75" s="0" t="s">
        <v>2140</v>
      </c>
      <c r="G75" s="9" t="n">
        <v>15</v>
      </c>
      <c r="H75" s="21" t="s">
        <v>3315</v>
      </c>
      <c r="I75" s="21" t="s">
        <v>3512</v>
      </c>
      <c r="J75" s="21" t="s">
        <v>3371</v>
      </c>
      <c r="K75" s="21" t="s">
        <v>3513</v>
      </c>
      <c r="L75" s="21" t="s">
        <v>3514</v>
      </c>
      <c r="M75" s="21" t="s">
        <v>2143</v>
      </c>
      <c r="O75" s="0" t="n">
        <v>1</v>
      </c>
    </row>
    <row r="76" customFormat="false" ht="17.15" hidden="false" customHeight="false" outlineLevel="0" collapsed="false">
      <c r="A76" s="18" t="s">
        <v>3515</v>
      </c>
      <c r="B76" s="18" t="s">
        <v>2084</v>
      </c>
      <c r="C76" s="18" t="s">
        <v>741</v>
      </c>
      <c r="D76" s="18" t="s">
        <v>3516</v>
      </c>
      <c r="E76" s="18" t="s">
        <v>29</v>
      </c>
      <c r="F76" s="18" t="s">
        <v>2140</v>
      </c>
      <c r="G76" s="18" t="n">
        <v>53.8</v>
      </c>
      <c r="H76" s="18" t="s">
        <v>3315</v>
      </c>
      <c r="I76" s="18" t="s">
        <v>3517</v>
      </c>
      <c r="J76" s="18" t="s">
        <v>3371</v>
      </c>
      <c r="K76" s="18" t="s">
        <v>3518</v>
      </c>
      <c r="L76" s="18" t="s">
        <v>3519</v>
      </c>
      <c r="M76" s="19" t="s">
        <v>3520</v>
      </c>
      <c r="N76" s="18" t="s">
        <v>3521</v>
      </c>
      <c r="O76" s="18" t="n">
        <v>0</v>
      </c>
    </row>
    <row r="77" customFormat="false" ht="17.15" hidden="false" customHeight="false" outlineLevel="0" collapsed="false">
      <c r="A77" s="18" t="s">
        <v>3522</v>
      </c>
      <c r="B77" s="18" t="s">
        <v>2084</v>
      </c>
      <c r="C77" s="18" t="s">
        <v>741</v>
      </c>
      <c r="D77" s="18" t="s">
        <v>3523</v>
      </c>
      <c r="E77" s="18" t="s">
        <v>29</v>
      </c>
      <c r="F77" s="18" t="s">
        <v>2140</v>
      </c>
      <c r="G77" s="18" t="n">
        <v>25</v>
      </c>
      <c r="H77" s="18" t="s">
        <v>3315</v>
      </c>
      <c r="I77" s="18" t="s">
        <v>3524</v>
      </c>
      <c r="J77" s="18" t="s">
        <v>3371</v>
      </c>
      <c r="K77" s="18" t="s">
        <v>3525</v>
      </c>
      <c r="L77" s="18" t="s">
        <v>3526</v>
      </c>
      <c r="M77" s="19" t="s">
        <v>3520</v>
      </c>
      <c r="N77" s="18" t="s">
        <v>3527</v>
      </c>
      <c r="O77" s="18" t="n">
        <v>0</v>
      </c>
    </row>
    <row r="78" customFormat="false" ht="17.15" hidden="false" customHeight="false" outlineLevel="0" collapsed="false">
      <c r="A78" s="18" t="s">
        <v>3528</v>
      </c>
      <c r="B78" s="18" t="s">
        <v>2084</v>
      </c>
      <c r="C78" s="18" t="s">
        <v>741</v>
      </c>
      <c r="D78" s="18" t="s">
        <v>124</v>
      </c>
      <c r="E78" s="18" t="s">
        <v>29</v>
      </c>
      <c r="F78" s="18" t="s">
        <v>3357</v>
      </c>
      <c r="G78" s="18" t="n">
        <v>64.159</v>
      </c>
      <c r="H78" s="18" t="s">
        <v>3315</v>
      </c>
      <c r="I78" s="19" t="s">
        <v>3529</v>
      </c>
      <c r="J78" s="18" t="s">
        <v>3327</v>
      </c>
      <c r="K78" s="18" t="s">
        <v>3530</v>
      </c>
      <c r="L78" s="18" t="s">
        <v>3531</v>
      </c>
      <c r="M78" s="19" t="s">
        <v>3532</v>
      </c>
      <c r="N78" s="18"/>
      <c r="O78" s="18" t="n">
        <v>0</v>
      </c>
    </row>
    <row r="79" customFormat="false" ht="17.15" hidden="false" customHeight="false" outlineLevel="0" collapsed="false">
      <c r="A79" s="18" t="s">
        <v>3533</v>
      </c>
      <c r="B79" s="18" t="s">
        <v>2084</v>
      </c>
      <c r="C79" s="18" t="s">
        <v>741</v>
      </c>
      <c r="D79" s="18" t="s">
        <v>124</v>
      </c>
      <c r="E79" s="18" t="s">
        <v>29</v>
      </c>
      <c r="F79" s="18" t="s">
        <v>2123</v>
      </c>
      <c r="G79" s="18" t="n">
        <v>137.214</v>
      </c>
      <c r="H79" s="18" t="s">
        <v>3315</v>
      </c>
      <c r="I79" s="19" t="s">
        <v>3534</v>
      </c>
      <c r="J79" s="18" t="s">
        <v>3371</v>
      </c>
      <c r="K79" s="18" t="s">
        <v>3535</v>
      </c>
      <c r="L79" s="18" t="s">
        <v>3531</v>
      </c>
      <c r="M79" s="19" t="s">
        <v>3536</v>
      </c>
      <c r="N79" s="18"/>
      <c r="O79" s="18" t="n">
        <v>0</v>
      </c>
    </row>
    <row r="80" customFormat="false" ht="17.15" hidden="false" customHeight="false" outlineLevel="0" collapsed="false">
      <c r="A80" s="18" t="s">
        <v>3537</v>
      </c>
      <c r="B80" s="18" t="s">
        <v>2084</v>
      </c>
      <c r="C80" s="18" t="s">
        <v>741</v>
      </c>
      <c r="D80" s="18" t="s">
        <v>124</v>
      </c>
      <c r="E80" s="18" t="s">
        <v>29</v>
      </c>
      <c r="F80" s="18" t="s">
        <v>2126</v>
      </c>
      <c r="G80" s="18" t="n">
        <v>96.32</v>
      </c>
      <c r="H80" s="18" t="s">
        <v>3315</v>
      </c>
      <c r="I80" s="19" t="s">
        <v>3538</v>
      </c>
      <c r="J80" s="18" t="s">
        <v>3371</v>
      </c>
      <c r="K80" s="18" t="s">
        <v>3535</v>
      </c>
      <c r="L80" s="18" t="s">
        <v>3531</v>
      </c>
      <c r="M80" s="19" t="s">
        <v>3539</v>
      </c>
      <c r="N80" s="18"/>
      <c r="O80" s="18" t="n">
        <v>0</v>
      </c>
    </row>
    <row r="81" customFormat="false" ht="17.15" hidden="false" customHeight="false" outlineLevel="0" collapsed="false">
      <c r="A81" s="18" t="s">
        <v>3540</v>
      </c>
      <c r="B81" s="18" t="s">
        <v>2084</v>
      </c>
      <c r="C81" s="18" t="s">
        <v>741</v>
      </c>
      <c r="D81" s="18" t="s">
        <v>2093</v>
      </c>
      <c r="E81" s="18" t="s">
        <v>3369</v>
      </c>
      <c r="F81" s="18" t="s">
        <v>2108</v>
      </c>
      <c r="G81" s="18" t="n">
        <v>220</v>
      </c>
      <c r="H81" s="18" t="s">
        <v>3315</v>
      </c>
      <c r="I81" s="19" t="s">
        <v>3541</v>
      </c>
      <c r="J81" s="18" t="s">
        <v>3371</v>
      </c>
      <c r="K81" s="18" t="s">
        <v>3542</v>
      </c>
      <c r="L81" s="18" t="s">
        <v>3543</v>
      </c>
      <c r="M81" s="19" t="s">
        <v>3544</v>
      </c>
      <c r="N81" s="18" t="s">
        <v>3545</v>
      </c>
      <c r="O81" s="18" t="n">
        <v>0</v>
      </c>
    </row>
    <row r="82" customFormat="false" ht="17.15" hidden="false" customHeight="false" outlineLevel="0" collapsed="false">
      <c r="A82" s="0" t="s">
        <v>3546</v>
      </c>
      <c r="B82" s="0" t="s">
        <v>2084</v>
      </c>
      <c r="C82" s="0" t="s">
        <v>741</v>
      </c>
      <c r="D82" s="0" t="s">
        <v>3547</v>
      </c>
      <c r="E82" s="0" t="s">
        <v>29</v>
      </c>
      <c r="F82" s="0" t="s">
        <v>2129</v>
      </c>
      <c r="G82" s="9" t="n">
        <v>50</v>
      </c>
      <c r="H82" s="21" t="s">
        <v>3315</v>
      </c>
      <c r="I82" s="5" t="s">
        <v>3548</v>
      </c>
      <c r="J82" s="21" t="s">
        <v>3371</v>
      </c>
      <c r="K82" s="21" t="s">
        <v>3549</v>
      </c>
      <c r="L82" s="21" t="s">
        <v>3531</v>
      </c>
      <c r="M82" s="5" t="s">
        <v>2097</v>
      </c>
      <c r="N82" s="21" t="s">
        <v>3550</v>
      </c>
      <c r="O82" s="0" t="n">
        <v>1</v>
      </c>
    </row>
    <row r="83" customFormat="false" ht="17.15" hidden="false" customHeight="false" outlineLevel="0" collapsed="false">
      <c r="A83" s="0" t="s">
        <v>3551</v>
      </c>
      <c r="B83" s="0" t="s">
        <v>2084</v>
      </c>
      <c r="C83" s="0" t="s">
        <v>741</v>
      </c>
      <c r="D83" s="0" t="s">
        <v>124</v>
      </c>
      <c r="E83" s="0" t="s">
        <v>29</v>
      </c>
      <c r="F83" s="0" t="s">
        <v>2129</v>
      </c>
      <c r="G83" s="9" t="n">
        <v>10</v>
      </c>
      <c r="H83" s="21" t="s">
        <v>3315</v>
      </c>
      <c r="I83" s="5" t="s">
        <v>3552</v>
      </c>
      <c r="J83" s="21" t="s">
        <v>3317</v>
      </c>
      <c r="K83" s="21" t="s">
        <v>3553</v>
      </c>
      <c r="L83" s="21" t="s">
        <v>3531</v>
      </c>
      <c r="M83" s="5" t="s">
        <v>2097</v>
      </c>
      <c r="N83" s="21" t="s">
        <v>3554</v>
      </c>
      <c r="O83" s="0" t="n">
        <v>1</v>
      </c>
    </row>
    <row r="84" customFormat="false" ht="17.15" hidden="false" customHeight="false" outlineLevel="0" collapsed="false">
      <c r="A84" s="18" t="s">
        <v>3555</v>
      </c>
      <c r="B84" s="18" t="s">
        <v>1429</v>
      </c>
      <c r="C84" s="18" t="s">
        <v>748</v>
      </c>
      <c r="D84" s="18" t="s">
        <v>2081</v>
      </c>
      <c r="E84" s="18" t="s">
        <v>27</v>
      </c>
      <c r="F84" s="18" t="s">
        <v>2105</v>
      </c>
      <c r="G84" s="18" t="n">
        <v>91.328</v>
      </c>
      <c r="H84" s="18" t="s">
        <v>3315</v>
      </c>
      <c r="I84" s="19" t="s">
        <v>3397</v>
      </c>
      <c r="J84" s="18" t="s">
        <v>3317</v>
      </c>
      <c r="K84" s="18" t="s">
        <v>3556</v>
      </c>
      <c r="L84" s="18" t="s">
        <v>3557</v>
      </c>
      <c r="M84" s="19" t="s">
        <v>3320</v>
      </c>
      <c r="N84" s="18"/>
      <c r="O84" s="18" t="n">
        <v>0</v>
      </c>
    </row>
    <row r="85" customFormat="false" ht="17.15" hidden="false" customHeight="false" outlineLevel="0" collapsed="false">
      <c r="A85" s="18" t="s">
        <v>3558</v>
      </c>
      <c r="B85" s="18" t="s">
        <v>1429</v>
      </c>
      <c r="C85" s="18" t="s">
        <v>748</v>
      </c>
      <c r="D85" s="18" t="s">
        <v>2081</v>
      </c>
      <c r="E85" s="18" t="s">
        <v>27</v>
      </c>
      <c r="F85" s="18" t="s">
        <v>2108</v>
      </c>
      <c r="G85" s="18" t="n">
        <v>37.256</v>
      </c>
      <c r="H85" s="18" t="s">
        <v>3315</v>
      </c>
      <c r="I85" s="18" t="s">
        <v>3559</v>
      </c>
      <c r="J85" s="18" t="s">
        <v>3317</v>
      </c>
      <c r="K85" s="18" t="s">
        <v>3556</v>
      </c>
      <c r="L85" s="18" t="s">
        <v>3557</v>
      </c>
      <c r="M85" s="19" t="s">
        <v>3320</v>
      </c>
      <c r="N85" s="18"/>
      <c r="O85" s="18" t="n">
        <v>0</v>
      </c>
    </row>
    <row r="86" customFormat="false" ht="17.15" hidden="false" customHeight="false" outlineLevel="0" collapsed="false">
      <c r="A86" s="18" t="s">
        <v>3560</v>
      </c>
      <c r="B86" s="18" t="s">
        <v>1429</v>
      </c>
      <c r="C86" s="18" t="s">
        <v>748</v>
      </c>
      <c r="D86" s="18" t="s">
        <v>2081</v>
      </c>
      <c r="E86" s="18" t="s">
        <v>27</v>
      </c>
      <c r="F86" s="18" t="s">
        <v>2094</v>
      </c>
      <c r="G86" s="18" t="n">
        <v>39.225</v>
      </c>
      <c r="H86" s="18" t="s">
        <v>3315</v>
      </c>
      <c r="I86" s="18" t="s">
        <v>3561</v>
      </c>
      <c r="J86" s="18" t="s">
        <v>3327</v>
      </c>
      <c r="K86" s="18" t="s">
        <v>3556</v>
      </c>
      <c r="L86" s="18" t="s">
        <v>3557</v>
      </c>
      <c r="M86" s="19" t="s">
        <v>3320</v>
      </c>
      <c r="N86" s="18"/>
      <c r="O86" s="18" t="n">
        <v>0</v>
      </c>
    </row>
    <row r="87" customFormat="false" ht="17.15" hidden="false" customHeight="false" outlineLevel="0" collapsed="false">
      <c r="A87" s="18" t="s">
        <v>3562</v>
      </c>
      <c r="B87" s="18" t="s">
        <v>1429</v>
      </c>
      <c r="C87" s="18" t="s">
        <v>748</v>
      </c>
      <c r="D87" s="18" t="s">
        <v>2081</v>
      </c>
      <c r="E87" s="18" t="s">
        <v>27</v>
      </c>
      <c r="F87" s="18" t="s">
        <v>2111</v>
      </c>
      <c r="G87" s="18" t="n">
        <v>52.103</v>
      </c>
      <c r="H87" s="18" t="s">
        <v>3315</v>
      </c>
      <c r="I87" s="19" t="s">
        <v>3563</v>
      </c>
      <c r="J87" s="18" t="s">
        <v>3317</v>
      </c>
      <c r="K87" s="18" t="s">
        <v>3556</v>
      </c>
      <c r="L87" s="18" t="s">
        <v>3557</v>
      </c>
      <c r="M87" s="19" t="s">
        <v>3320</v>
      </c>
      <c r="N87" s="18"/>
      <c r="O87" s="18" t="n">
        <v>0</v>
      </c>
    </row>
    <row r="88" customFormat="false" ht="17.15" hidden="false" customHeight="false" outlineLevel="0" collapsed="false">
      <c r="A88" s="18" t="s">
        <v>3564</v>
      </c>
      <c r="B88" s="18" t="s">
        <v>1429</v>
      </c>
      <c r="C88" s="18" t="s">
        <v>748</v>
      </c>
      <c r="D88" s="18" t="s">
        <v>2081</v>
      </c>
      <c r="E88" s="18" t="s">
        <v>27</v>
      </c>
      <c r="F88" s="18" t="s">
        <v>2165</v>
      </c>
      <c r="G88" s="18" t="n">
        <v>35.197</v>
      </c>
      <c r="H88" s="18" t="s">
        <v>3315</v>
      </c>
      <c r="I88" s="19" t="s">
        <v>3565</v>
      </c>
      <c r="J88" s="18" t="s">
        <v>3317</v>
      </c>
      <c r="K88" s="18" t="s">
        <v>3556</v>
      </c>
      <c r="L88" s="18" t="s">
        <v>3557</v>
      </c>
      <c r="M88" s="19" t="s">
        <v>3320</v>
      </c>
      <c r="N88" s="18"/>
      <c r="O88" s="18" t="n">
        <v>0</v>
      </c>
    </row>
    <row r="89" customFormat="false" ht="17.15" hidden="false" customHeight="false" outlineLevel="0" collapsed="false">
      <c r="A89" s="0" t="s">
        <v>3566</v>
      </c>
      <c r="B89" s="0" t="s">
        <v>1429</v>
      </c>
      <c r="C89" s="0" t="s">
        <v>748</v>
      </c>
      <c r="D89" s="0" t="s">
        <v>2082</v>
      </c>
      <c r="E89" s="0" t="s">
        <v>28</v>
      </c>
      <c r="F89" s="0" t="s">
        <v>2105</v>
      </c>
      <c r="G89" s="9" t="n">
        <v>115.8</v>
      </c>
      <c r="H89" s="21" t="s">
        <v>3315</v>
      </c>
      <c r="I89" s="5" t="s">
        <v>3397</v>
      </c>
      <c r="J89" s="21" t="s">
        <v>3317</v>
      </c>
      <c r="K89" s="21" t="s">
        <v>3567</v>
      </c>
      <c r="L89" s="21" t="s">
        <v>3557</v>
      </c>
      <c r="M89" s="5" t="s">
        <v>2097</v>
      </c>
      <c r="O89" s="0" t="n">
        <v>1</v>
      </c>
    </row>
    <row r="90" customFormat="false" ht="17.15" hidden="false" customHeight="false" outlineLevel="0" collapsed="false">
      <c r="A90" s="18" t="s">
        <v>3568</v>
      </c>
      <c r="B90" s="18" t="s">
        <v>1429</v>
      </c>
      <c r="C90" s="18" t="s">
        <v>748</v>
      </c>
      <c r="D90" s="18" t="s">
        <v>2082</v>
      </c>
      <c r="E90" s="18" t="s">
        <v>28</v>
      </c>
      <c r="F90" s="18" t="s">
        <v>2108</v>
      </c>
      <c r="G90" s="18" t="n">
        <v>69.691</v>
      </c>
      <c r="H90" s="18" t="s">
        <v>3315</v>
      </c>
      <c r="I90" s="18" t="s">
        <v>3559</v>
      </c>
      <c r="J90" s="18" t="s">
        <v>3317</v>
      </c>
      <c r="K90" s="18" t="s">
        <v>3556</v>
      </c>
      <c r="L90" s="18" t="s">
        <v>3557</v>
      </c>
      <c r="M90" s="19" t="s">
        <v>3320</v>
      </c>
      <c r="N90" s="18"/>
      <c r="O90" s="18" t="n">
        <v>0</v>
      </c>
    </row>
    <row r="91" customFormat="false" ht="17.15" hidden="false" customHeight="false" outlineLevel="0" collapsed="false">
      <c r="A91" s="0" t="s">
        <v>3569</v>
      </c>
      <c r="B91" s="0" t="s">
        <v>1429</v>
      </c>
      <c r="C91" s="0" t="s">
        <v>748</v>
      </c>
      <c r="D91" s="0" t="s">
        <v>2082</v>
      </c>
      <c r="E91" s="0" t="s">
        <v>28</v>
      </c>
      <c r="F91" s="0" t="s">
        <v>2094</v>
      </c>
      <c r="G91" s="9" t="n">
        <v>72.215</v>
      </c>
      <c r="H91" s="21" t="s">
        <v>3315</v>
      </c>
      <c r="I91" s="21" t="s">
        <v>3570</v>
      </c>
      <c r="J91" s="21" t="s">
        <v>3327</v>
      </c>
      <c r="K91" s="21" t="s">
        <v>3567</v>
      </c>
      <c r="L91" s="21" t="s">
        <v>3557</v>
      </c>
      <c r="M91" s="5" t="s">
        <v>2097</v>
      </c>
      <c r="O91" s="0" t="n">
        <v>1</v>
      </c>
    </row>
    <row r="92" customFormat="false" ht="17.15" hidden="false" customHeight="false" outlineLevel="0" collapsed="false">
      <c r="A92" s="0" t="s">
        <v>3571</v>
      </c>
      <c r="B92" s="0" t="s">
        <v>1429</v>
      </c>
      <c r="C92" s="0" t="s">
        <v>748</v>
      </c>
      <c r="D92" s="0" t="s">
        <v>2082</v>
      </c>
      <c r="E92" s="0" t="s">
        <v>28</v>
      </c>
      <c r="F92" s="0" t="s">
        <v>2111</v>
      </c>
      <c r="G92" s="9" t="n">
        <v>43.585</v>
      </c>
      <c r="H92" s="21" t="s">
        <v>3315</v>
      </c>
      <c r="I92" s="5" t="s">
        <v>3572</v>
      </c>
      <c r="J92" s="21" t="s">
        <v>3317</v>
      </c>
      <c r="K92" s="21" t="s">
        <v>3567</v>
      </c>
      <c r="L92" s="21" t="s">
        <v>3557</v>
      </c>
      <c r="M92" s="5" t="s">
        <v>2097</v>
      </c>
      <c r="O92" s="0" t="n">
        <v>1</v>
      </c>
    </row>
    <row r="93" customFormat="false" ht="17.15" hidden="false" customHeight="false" outlineLevel="0" collapsed="false">
      <c r="A93" s="0" t="s">
        <v>3573</v>
      </c>
      <c r="B93" s="0" t="s">
        <v>1429</v>
      </c>
      <c r="C93" s="0" t="s">
        <v>748</v>
      </c>
      <c r="D93" s="0" t="s">
        <v>2082</v>
      </c>
      <c r="E93" s="0" t="s">
        <v>28</v>
      </c>
      <c r="F93" s="0" t="s">
        <v>2165</v>
      </c>
      <c r="G93" s="9" t="n">
        <v>31.572</v>
      </c>
      <c r="H93" s="21" t="s">
        <v>3315</v>
      </c>
      <c r="I93" s="5" t="s">
        <v>3574</v>
      </c>
      <c r="J93" s="21" t="s">
        <v>3317</v>
      </c>
      <c r="K93" s="21" t="s">
        <v>3567</v>
      </c>
      <c r="L93" s="21" t="s">
        <v>3557</v>
      </c>
      <c r="M93" s="5" t="s">
        <v>2097</v>
      </c>
      <c r="O93" s="0" t="n">
        <v>1</v>
      </c>
    </row>
    <row r="94" customFormat="false" ht="15" hidden="false" customHeight="false" outlineLevel="0" collapsed="false">
      <c r="A94" s="0" t="s">
        <v>3575</v>
      </c>
      <c r="B94" s="0" t="s">
        <v>1429</v>
      </c>
      <c r="C94" s="0" t="s">
        <v>748</v>
      </c>
      <c r="D94" s="0" t="s">
        <v>2083</v>
      </c>
      <c r="E94" s="0" t="s">
        <v>29</v>
      </c>
      <c r="F94" s="0" t="s">
        <v>2105</v>
      </c>
      <c r="G94" s="9" t="n">
        <v>96.873</v>
      </c>
      <c r="H94" s="21" t="s">
        <v>3315</v>
      </c>
      <c r="I94" s="5" t="s">
        <v>3576</v>
      </c>
      <c r="J94" s="21" t="s">
        <v>3317</v>
      </c>
      <c r="K94" s="21" t="s">
        <v>3577</v>
      </c>
      <c r="L94" s="21" t="s">
        <v>3578</v>
      </c>
      <c r="M94" s="5" t="s">
        <v>2097</v>
      </c>
      <c r="O94" s="0" t="n">
        <v>1</v>
      </c>
    </row>
    <row r="95" customFormat="false" ht="17.15" hidden="false" customHeight="false" outlineLevel="0" collapsed="false">
      <c r="A95" s="0" t="s">
        <v>3579</v>
      </c>
      <c r="B95" s="0" t="s">
        <v>1429</v>
      </c>
      <c r="C95" s="0" t="s">
        <v>748</v>
      </c>
      <c r="D95" s="0" t="s">
        <v>2083</v>
      </c>
      <c r="E95" s="0" t="s">
        <v>29</v>
      </c>
      <c r="F95" s="0" t="s">
        <v>2108</v>
      </c>
      <c r="G95" s="9" t="n">
        <v>83.055</v>
      </c>
      <c r="H95" s="21" t="s">
        <v>3315</v>
      </c>
      <c r="I95" s="21" t="s">
        <v>3580</v>
      </c>
      <c r="J95" s="21" t="s">
        <v>3317</v>
      </c>
      <c r="K95" s="21" t="s">
        <v>3577</v>
      </c>
      <c r="L95" s="21" t="s">
        <v>3578</v>
      </c>
      <c r="M95" s="5" t="s">
        <v>2097</v>
      </c>
      <c r="O95" s="0" t="n">
        <v>1</v>
      </c>
    </row>
    <row r="96" customFormat="false" ht="17.15" hidden="false" customHeight="false" outlineLevel="0" collapsed="false">
      <c r="A96" s="0" t="s">
        <v>3581</v>
      </c>
      <c r="B96" s="0" t="s">
        <v>1429</v>
      </c>
      <c r="C96" s="0" t="s">
        <v>748</v>
      </c>
      <c r="D96" s="0" t="s">
        <v>2083</v>
      </c>
      <c r="E96" s="0" t="s">
        <v>29</v>
      </c>
      <c r="F96" s="0" t="s">
        <v>2094</v>
      </c>
      <c r="G96" s="9" t="n">
        <v>85.824</v>
      </c>
      <c r="H96" s="21" t="s">
        <v>3315</v>
      </c>
      <c r="I96" s="5" t="s">
        <v>3582</v>
      </c>
      <c r="J96" s="21" t="s">
        <v>3327</v>
      </c>
      <c r="K96" s="21" t="s">
        <v>3577</v>
      </c>
      <c r="L96" s="21" t="s">
        <v>3578</v>
      </c>
      <c r="M96" s="5" t="s">
        <v>2097</v>
      </c>
      <c r="O96" s="0" t="n">
        <v>1</v>
      </c>
    </row>
    <row r="97" customFormat="false" ht="17.15" hidden="false" customHeight="false" outlineLevel="0" collapsed="false">
      <c r="A97" s="0" t="s">
        <v>3583</v>
      </c>
      <c r="B97" s="0" t="s">
        <v>1429</v>
      </c>
      <c r="C97" s="0" t="s">
        <v>748</v>
      </c>
      <c r="D97" s="0" t="s">
        <v>2083</v>
      </c>
      <c r="E97" s="0" t="s">
        <v>29</v>
      </c>
      <c r="F97" s="0" t="s">
        <v>2111</v>
      </c>
      <c r="G97" s="9" t="n">
        <v>11.049</v>
      </c>
      <c r="H97" s="21" t="s">
        <v>3315</v>
      </c>
      <c r="I97" s="21" t="s">
        <v>3584</v>
      </c>
      <c r="J97" s="21" t="s">
        <v>3327</v>
      </c>
      <c r="K97" s="21" t="s">
        <v>3577</v>
      </c>
      <c r="L97" s="21" t="s">
        <v>3578</v>
      </c>
      <c r="M97" s="5" t="s">
        <v>2097</v>
      </c>
      <c r="O97" s="0" t="n">
        <v>1</v>
      </c>
    </row>
    <row r="98" customFormat="false" ht="17.15" hidden="false" customHeight="false" outlineLevel="0" collapsed="false">
      <c r="A98" s="0" t="s">
        <v>3585</v>
      </c>
      <c r="B98" s="0" t="s">
        <v>1429</v>
      </c>
      <c r="C98" s="0" t="s">
        <v>748</v>
      </c>
      <c r="D98" s="0" t="s">
        <v>2083</v>
      </c>
      <c r="E98" s="0" t="s">
        <v>29</v>
      </c>
      <c r="F98" s="0" t="s">
        <v>2165</v>
      </c>
      <c r="G98" s="9" t="n">
        <v>4.06</v>
      </c>
      <c r="H98" s="21" t="s">
        <v>3315</v>
      </c>
      <c r="I98" s="5" t="s">
        <v>3586</v>
      </c>
      <c r="J98" s="21" t="s">
        <v>3317</v>
      </c>
      <c r="K98" s="21" t="s">
        <v>3577</v>
      </c>
      <c r="L98" s="21" t="s">
        <v>3578</v>
      </c>
      <c r="M98" s="5" t="s">
        <v>2097</v>
      </c>
      <c r="O98" s="0" t="n">
        <v>1</v>
      </c>
    </row>
    <row r="99" customFormat="false" ht="17.15" hidden="false" customHeight="false" outlineLevel="0" collapsed="false">
      <c r="A99" s="0" t="s">
        <v>2096</v>
      </c>
      <c r="B99" s="0" t="s">
        <v>1429</v>
      </c>
      <c r="C99" s="0" t="s">
        <v>748</v>
      </c>
      <c r="D99" s="0" t="s">
        <v>2093</v>
      </c>
      <c r="E99" s="0" t="s">
        <v>3369</v>
      </c>
      <c r="F99" s="0" t="s">
        <v>2094</v>
      </c>
      <c r="G99" s="9" t="n">
        <v>140</v>
      </c>
      <c r="H99" s="21" t="s">
        <v>3315</v>
      </c>
      <c r="I99" s="5" t="s">
        <v>2095</v>
      </c>
      <c r="J99" s="21" t="s">
        <v>3371</v>
      </c>
      <c r="K99" s="21" t="s">
        <v>3587</v>
      </c>
      <c r="L99" s="21" t="s">
        <v>3588</v>
      </c>
      <c r="M99" s="5" t="s">
        <v>2097</v>
      </c>
      <c r="O99" s="0" t="n">
        <v>1</v>
      </c>
    </row>
    <row r="100" customFormat="false" ht="17.15" hidden="false" customHeight="false" outlineLevel="0" collapsed="false">
      <c r="A100" s="0" t="s">
        <v>3589</v>
      </c>
      <c r="B100" s="0" t="s">
        <v>1429</v>
      </c>
      <c r="C100" s="0" t="s">
        <v>748</v>
      </c>
      <c r="D100" s="0" t="s">
        <v>3590</v>
      </c>
      <c r="E100" s="0" t="s">
        <v>28</v>
      </c>
      <c r="F100" s="0" t="s">
        <v>2140</v>
      </c>
      <c r="G100" s="9" t="n">
        <v>30</v>
      </c>
      <c r="H100" s="21" t="s">
        <v>3315</v>
      </c>
      <c r="I100" s="21" t="s">
        <v>3591</v>
      </c>
      <c r="J100" s="21" t="s">
        <v>3371</v>
      </c>
      <c r="K100" s="21" t="s">
        <v>3518</v>
      </c>
      <c r="L100" s="21" t="s">
        <v>3592</v>
      </c>
      <c r="M100" s="21" t="s">
        <v>2143</v>
      </c>
      <c r="O100" s="0" t="n">
        <v>1</v>
      </c>
    </row>
    <row r="101" customFormat="false" ht="17.15" hidden="false" customHeight="false" outlineLevel="0" collapsed="false">
      <c r="A101" s="0" t="s">
        <v>3593</v>
      </c>
      <c r="B101" s="0" t="s">
        <v>1429</v>
      </c>
      <c r="C101" s="0" t="s">
        <v>748</v>
      </c>
      <c r="D101" s="0" t="s">
        <v>3594</v>
      </c>
      <c r="E101" s="0" t="s">
        <v>29</v>
      </c>
      <c r="F101" s="0" t="s">
        <v>2140</v>
      </c>
      <c r="G101" s="9" t="n">
        <v>25</v>
      </c>
      <c r="H101" s="21" t="s">
        <v>3315</v>
      </c>
      <c r="I101" s="21" t="s">
        <v>3595</v>
      </c>
      <c r="J101" s="21" t="s">
        <v>3317</v>
      </c>
      <c r="K101" s="21" t="s">
        <v>3596</v>
      </c>
      <c r="L101" s="21" t="s">
        <v>3578</v>
      </c>
      <c r="M101" s="5" t="s">
        <v>2117</v>
      </c>
      <c r="N101" s="21" t="s">
        <v>3597</v>
      </c>
      <c r="O101" s="0" t="n">
        <v>1</v>
      </c>
    </row>
    <row r="102" customFormat="false" ht="17.15" hidden="false" customHeight="false" outlineLevel="0" collapsed="false">
      <c r="A102" s="0" t="s">
        <v>3598</v>
      </c>
      <c r="B102" s="0" t="s">
        <v>1429</v>
      </c>
      <c r="C102" s="0" t="s">
        <v>748</v>
      </c>
      <c r="D102" s="0" t="s">
        <v>2083</v>
      </c>
      <c r="E102" s="0" t="s">
        <v>29</v>
      </c>
      <c r="F102" s="0" t="s">
        <v>3357</v>
      </c>
      <c r="G102" s="9" t="n">
        <v>25</v>
      </c>
      <c r="H102" s="21" t="s">
        <v>3315</v>
      </c>
      <c r="I102" s="5" t="s">
        <v>3599</v>
      </c>
      <c r="J102" s="21" t="s">
        <v>3327</v>
      </c>
      <c r="K102" s="21" t="s">
        <v>3577</v>
      </c>
      <c r="L102" s="21" t="s">
        <v>3578</v>
      </c>
      <c r="M102" s="5" t="s">
        <v>2097</v>
      </c>
      <c r="N102" s="21" t="s">
        <v>3600</v>
      </c>
      <c r="O102" s="0" t="n">
        <v>1</v>
      </c>
    </row>
    <row r="103" customFormat="false" ht="17.15" hidden="false" customHeight="false" outlineLevel="0" collapsed="false">
      <c r="A103" s="0" t="s">
        <v>3601</v>
      </c>
      <c r="B103" s="0" t="s">
        <v>1429</v>
      </c>
      <c r="C103" s="0" t="s">
        <v>748</v>
      </c>
      <c r="D103" s="0" t="s">
        <v>3602</v>
      </c>
      <c r="E103" s="0" t="s">
        <v>28</v>
      </c>
      <c r="F103" s="0" t="s">
        <v>3603</v>
      </c>
      <c r="G103" s="9" t="n">
        <v>27.3</v>
      </c>
      <c r="H103" s="21" t="s">
        <v>3315</v>
      </c>
      <c r="I103" s="21" t="s">
        <v>3604</v>
      </c>
      <c r="J103" s="21" t="s">
        <v>3371</v>
      </c>
      <c r="K103" s="21" t="s">
        <v>3518</v>
      </c>
      <c r="L103" s="21" t="s">
        <v>3605</v>
      </c>
      <c r="M103" s="5" t="s">
        <v>2097</v>
      </c>
      <c r="O103" s="0" t="n">
        <v>1</v>
      </c>
    </row>
    <row r="104" customFormat="false" ht="17.15" hidden="false" customHeight="false" outlineLevel="0" collapsed="false">
      <c r="A104" s="0" t="s">
        <v>3606</v>
      </c>
      <c r="B104" s="0" t="s">
        <v>1429</v>
      </c>
      <c r="C104" s="0" t="s">
        <v>748</v>
      </c>
      <c r="D104" s="0" t="s">
        <v>3547</v>
      </c>
      <c r="E104" s="0" t="s">
        <v>29</v>
      </c>
      <c r="F104" s="0" t="s">
        <v>3603</v>
      </c>
      <c r="G104" s="9" t="n">
        <v>14</v>
      </c>
      <c r="H104" s="21" t="s">
        <v>3315</v>
      </c>
      <c r="I104" s="21" t="s">
        <v>3607</v>
      </c>
      <c r="J104" s="21" t="s">
        <v>3371</v>
      </c>
      <c r="K104" s="21" t="s">
        <v>3608</v>
      </c>
      <c r="L104" s="21" t="s">
        <v>3609</v>
      </c>
      <c r="M104" s="5" t="s">
        <v>2117</v>
      </c>
      <c r="N104" s="21" t="s">
        <v>3610</v>
      </c>
      <c r="O104" s="0" t="n">
        <v>1</v>
      </c>
    </row>
    <row r="105" customFormat="false" ht="17.15" hidden="false" customHeight="false" outlineLevel="0" collapsed="false">
      <c r="A105" s="0" t="s">
        <v>3611</v>
      </c>
      <c r="B105" s="0" t="s">
        <v>1429</v>
      </c>
      <c r="C105" s="0" t="s">
        <v>748</v>
      </c>
      <c r="D105" s="0" t="s">
        <v>2170</v>
      </c>
      <c r="E105" s="0" t="s">
        <v>29</v>
      </c>
      <c r="F105" s="0" t="s">
        <v>3472</v>
      </c>
      <c r="G105" s="9" t="n">
        <v>68.404</v>
      </c>
      <c r="H105" s="21" t="s">
        <v>3315</v>
      </c>
      <c r="I105" s="5" t="s">
        <v>3612</v>
      </c>
      <c r="J105" s="21" t="s">
        <v>3317</v>
      </c>
      <c r="K105" s="21" t="s">
        <v>3577</v>
      </c>
      <c r="L105" s="21" t="s">
        <v>3578</v>
      </c>
      <c r="M105" s="5" t="s">
        <v>2097</v>
      </c>
      <c r="O105" s="0" t="n">
        <v>1</v>
      </c>
    </row>
    <row r="106" customFormat="false" ht="17.15" hidden="false" customHeight="false" outlineLevel="0" collapsed="false">
      <c r="A106" s="0" t="s">
        <v>3613</v>
      </c>
      <c r="B106" s="0" t="s">
        <v>1429</v>
      </c>
      <c r="C106" s="0" t="s">
        <v>748</v>
      </c>
      <c r="D106" s="0" t="s">
        <v>2170</v>
      </c>
      <c r="E106" s="0" t="s">
        <v>29</v>
      </c>
      <c r="F106" s="0" t="s">
        <v>2123</v>
      </c>
      <c r="G106" s="9" t="n">
        <v>355.73</v>
      </c>
      <c r="H106" s="21" t="s">
        <v>3315</v>
      </c>
      <c r="I106" s="5" t="s">
        <v>3614</v>
      </c>
      <c r="J106" s="21" t="s">
        <v>3317</v>
      </c>
      <c r="K106" s="21" t="s">
        <v>3577</v>
      </c>
      <c r="L106" s="21" t="s">
        <v>3578</v>
      </c>
      <c r="M106" s="5" t="s">
        <v>2097</v>
      </c>
      <c r="O106" s="0" t="n">
        <v>1</v>
      </c>
    </row>
    <row r="107" customFormat="false" ht="17.15" hidden="false" customHeight="false" outlineLevel="0" collapsed="false">
      <c r="A107" s="0" t="s">
        <v>3615</v>
      </c>
      <c r="B107" s="0" t="s">
        <v>1429</v>
      </c>
      <c r="C107" s="0" t="s">
        <v>748</v>
      </c>
      <c r="D107" s="0" t="s">
        <v>2170</v>
      </c>
      <c r="E107" s="0" t="s">
        <v>29</v>
      </c>
      <c r="F107" s="0" t="s">
        <v>3366</v>
      </c>
      <c r="G107" s="9" t="n">
        <v>454.52</v>
      </c>
      <c r="H107" s="21" t="s">
        <v>3315</v>
      </c>
      <c r="I107" s="5" t="s">
        <v>3616</v>
      </c>
      <c r="J107" s="21" t="s">
        <v>3317</v>
      </c>
      <c r="K107" s="21" t="s">
        <v>3577</v>
      </c>
      <c r="L107" s="21" t="s">
        <v>3578</v>
      </c>
      <c r="M107" s="5" t="s">
        <v>2097</v>
      </c>
      <c r="O107" s="0" t="n">
        <v>1</v>
      </c>
    </row>
    <row r="108" customFormat="false" ht="17.15" hidden="false" customHeight="false" outlineLevel="0" collapsed="false">
      <c r="A108" s="0" t="s">
        <v>2101</v>
      </c>
      <c r="B108" s="0" t="s">
        <v>1429</v>
      </c>
      <c r="C108" s="0" t="s">
        <v>748</v>
      </c>
      <c r="D108" s="0" t="s">
        <v>2098</v>
      </c>
      <c r="E108" s="0" t="s">
        <v>3376</v>
      </c>
      <c r="F108" s="0" t="s">
        <v>2099</v>
      </c>
      <c r="G108" s="9" t="n">
        <v>25</v>
      </c>
      <c r="H108" s="21" t="s">
        <v>3315</v>
      </c>
      <c r="I108" s="21" t="s">
        <v>2100</v>
      </c>
      <c r="J108" s="21" t="s">
        <v>3317</v>
      </c>
      <c r="K108" s="21" t="s">
        <v>3617</v>
      </c>
      <c r="L108" s="21" t="s">
        <v>3618</v>
      </c>
      <c r="M108" s="5" t="s">
        <v>2097</v>
      </c>
      <c r="O108" s="0" t="n">
        <v>1</v>
      </c>
    </row>
    <row r="109" customFormat="false" ht="17.15" hidden="false" customHeight="false" outlineLevel="0" collapsed="false">
      <c r="A109" s="0" t="s">
        <v>2103</v>
      </c>
      <c r="B109" s="0" t="s">
        <v>1429</v>
      </c>
      <c r="C109" s="0" t="s">
        <v>748</v>
      </c>
      <c r="D109" s="0" t="s">
        <v>2098</v>
      </c>
      <c r="E109" s="0" t="s">
        <v>3376</v>
      </c>
      <c r="F109" s="0" t="s">
        <v>2099</v>
      </c>
      <c r="G109" s="9" t="n">
        <v>12.5</v>
      </c>
      <c r="H109" s="21" t="s">
        <v>3315</v>
      </c>
      <c r="I109" s="21" t="s">
        <v>2102</v>
      </c>
      <c r="J109" s="21" t="s">
        <v>3317</v>
      </c>
      <c r="K109" s="21" t="s">
        <v>3617</v>
      </c>
      <c r="L109" s="21" t="s">
        <v>3618</v>
      </c>
      <c r="M109" s="5" t="s">
        <v>2097</v>
      </c>
      <c r="O109" s="0" t="n">
        <v>1</v>
      </c>
    </row>
    <row r="110" customFormat="false" ht="17.15" hidden="false" customHeight="false" outlineLevel="0" collapsed="false">
      <c r="A110" s="18" t="s">
        <v>3619</v>
      </c>
      <c r="B110" s="18" t="s">
        <v>2085</v>
      </c>
      <c r="C110" s="18" t="s">
        <v>752</v>
      </c>
      <c r="D110" s="18" t="s">
        <v>2077</v>
      </c>
      <c r="E110" s="18" t="s">
        <v>27</v>
      </c>
      <c r="F110" s="18" t="s">
        <v>2105</v>
      </c>
      <c r="G110" s="18" t="n">
        <v>18.673</v>
      </c>
      <c r="H110" s="18" t="s">
        <v>3315</v>
      </c>
      <c r="I110" s="19" t="s">
        <v>3620</v>
      </c>
      <c r="J110" s="18" t="s">
        <v>3317</v>
      </c>
      <c r="K110" s="18" t="s">
        <v>3621</v>
      </c>
      <c r="L110" s="18" t="s">
        <v>3622</v>
      </c>
      <c r="M110" s="19" t="s">
        <v>3320</v>
      </c>
      <c r="N110" s="18"/>
      <c r="O110" s="18" t="n">
        <v>0</v>
      </c>
    </row>
    <row r="111" customFormat="false" ht="17.15" hidden="false" customHeight="false" outlineLevel="0" collapsed="false">
      <c r="A111" s="18" t="s">
        <v>3623</v>
      </c>
      <c r="B111" s="18" t="s">
        <v>2085</v>
      </c>
      <c r="C111" s="18" t="s">
        <v>752</v>
      </c>
      <c r="D111" s="18" t="s">
        <v>2077</v>
      </c>
      <c r="E111" s="18" t="s">
        <v>27</v>
      </c>
      <c r="F111" s="18" t="s">
        <v>2108</v>
      </c>
      <c r="G111" s="18" t="n">
        <v>6.866</v>
      </c>
      <c r="H111" s="18" t="s">
        <v>3315</v>
      </c>
      <c r="I111" s="19" t="s">
        <v>3624</v>
      </c>
      <c r="J111" s="18" t="s">
        <v>3317</v>
      </c>
      <c r="K111" s="18" t="s">
        <v>3621</v>
      </c>
      <c r="L111" s="18" t="s">
        <v>3622</v>
      </c>
      <c r="M111" s="19" t="s">
        <v>3320</v>
      </c>
      <c r="N111" s="18"/>
      <c r="O111" s="18" t="n">
        <v>0</v>
      </c>
    </row>
    <row r="112" customFormat="false" ht="17.15" hidden="false" customHeight="false" outlineLevel="0" collapsed="false">
      <c r="A112" s="18" t="s">
        <v>3625</v>
      </c>
      <c r="B112" s="18" t="s">
        <v>2085</v>
      </c>
      <c r="C112" s="18" t="s">
        <v>752</v>
      </c>
      <c r="D112" s="18" t="s">
        <v>2077</v>
      </c>
      <c r="E112" s="18" t="s">
        <v>27</v>
      </c>
      <c r="F112" s="18" t="s">
        <v>2111</v>
      </c>
      <c r="G112" s="18" t="n">
        <v>11.807</v>
      </c>
      <c r="H112" s="18" t="s">
        <v>3315</v>
      </c>
      <c r="I112" s="18" t="s">
        <v>3403</v>
      </c>
      <c r="J112" s="18" t="s">
        <v>3327</v>
      </c>
      <c r="K112" s="18" t="s">
        <v>3621</v>
      </c>
      <c r="L112" s="18" t="s">
        <v>3622</v>
      </c>
      <c r="M112" s="19" t="s">
        <v>3320</v>
      </c>
      <c r="N112" s="18"/>
      <c r="O112" s="18" t="n">
        <v>0</v>
      </c>
    </row>
    <row r="113" customFormat="false" ht="17.15" hidden="false" customHeight="false" outlineLevel="0" collapsed="false">
      <c r="A113" s="18" t="s">
        <v>3626</v>
      </c>
      <c r="B113" s="18" t="s">
        <v>2085</v>
      </c>
      <c r="C113" s="18" t="s">
        <v>752</v>
      </c>
      <c r="D113" s="18" t="s">
        <v>2077</v>
      </c>
      <c r="E113" s="18" t="s">
        <v>27</v>
      </c>
      <c r="F113" s="18" t="s">
        <v>2165</v>
      </c>
      <c r="G113" s="18" t="n">
        <v>5.593</v>
      </c>
      <c r="H113" s="18" t="s">
        <v>3315</v>
      </c>
      <c r="I113" s="19" t="s">
        <v>3627</v>
      </c>
      <c r="J113" s="18" t="s">
        <v>3317</v>
      </c>
      <c r="K113" s="18" t="s">
        <v>3621</v>
      </c>
      <c r="L113" s="18" t="s">
        <v>3622</v>
      </c>
      <c r="M113" s="19" t="s">
        <v>3320</v>
      </c>
      <c r="N113" s="18"/>
      <c r="O113" s="18" t="n">
        <v>0</v>
      </c>
    </row>
    <row r="114" customFormat="false" ht="17.15" hidden="false" customHeight="false" outlineLevel="0" collapsed="false">
      <c r="A114" s="18" t="s">
        <v>3628</v>
      </c>
      <c r="B114" s="18" t="s">
        <v>2085</v>
      </c>
      <c r="C114" s="18" t="s">
        <v>752</v>
      </c>
      <c r="D114" s="18" t="s">
        <v>2078</v>
      </c>
      <c r="E114" s="18" t="s">
        <v>28</v>
      </c>
      <c r="F114" s="18" t="s">
        <v>2105</v>
      </c>
      <c r="G114" s="18" t="n">
        <v>20.821</v>
      </c>
      <c r="H114" s="18" t="s">
        <v>3315</v>
      </c>
      <c r="I114" s="19" t="s">
        <v>3620</v>
      </c>
      <c r="J114" s="18" t="s">
        <v>3317</v>
      </c>
      <c r="K114" s="18" t="s">
        <v>3621</v>
      </c>
      <c r="L114" s="18" t="s">
        <v>3622</v>
      </c>
      <c r="M114" s="19" t="s">
        <v>3320</v>
      </c>
      <c r="N114" s="18"/>
      <c r="O114" s="18" t="n">
        <v>0</v>
      </c>
    </row>
    <row r="115" customFormat="false" ht="17.15" hidden="false" customHeight="false" outlineLevel="0" collapsed="false">
      <c r="A115" s="18" t="s">
        <v>3629</v>
      </c>
      <c r="B115" s="18" t="s">
        <v>2085</v>
      </c>
      <c r="C115" s="18" t="s">
        <v>752</v>
      </c>
      <c r="D115" s="18" t="s">
        <v>2078</v>
      </c>
      <c r="E115" s="18" t="s">
        <v>28</v>
      </c>
      <c r="F115" s="18" t="s">
        <v>2108</v>
      </c>
      <c r="G115" s="18" t="n">
        <v>21.215</v>
      </c>
      <c r="H115" s="18" t="s">
        <v>3315</v>
      </c>
      <c r="I115" s="19" t="s">
        <v>3624</v>
      </c>
      <c r="J115" s="18" t="s">
        <v>3317</v>
      </c>
      <c r="K115" s="18" t="s">
        <v>3621</v>
      </c>
      <c r="L115" s="18" t="s">
        <v>3622</v>
      </c>
      <c r="M115" s="19" t="s">
        <v>3320</v>
      </c>
      <c r="N115" s="18"/>
      <c r="O115" s="18" t="n">
        <v>0</v>
      </c>
    </row>
    <row r="116" customFormat="false" ht="17.15" hidden="false" customHeight="false" outlineLevel="0" collapsed="false">
      <c r="A116" s="18" t="s">
        <v>3630</v>
      </c>
      <c r="B116" s="18" t="s">
        <v>2085</v>
      </c>
      <c r="C116" s="18" t="s">
        <v>752</v>
      </c>
      <c r="D116" s="18" t="s">
        <v>2078</v>
      </c>
      <c r="E116" s="18" t="s">
        <v>28</v>
      </c>
      <c r="F116" s="18" t="s">
        <v>2111</v>
      </c>
      <c r="G116" s="18" t="n">
        <v>-0.394</v>
      </c>
      <c r="H116" s="18" t="s">
        <v>3315</v>
      </c>
      <c r="I116" s="18" t="s">
        <v>3403</v>
      </c>
      <c r="J116" s="18" t="s">
        <v>3327</v>
      </c>
      <c r="K116" s="18" t="s">
        <v>3621</v>
      </c>
      <c r="L116" s="18" t="s">
        <v>3622</v>
      </c>
      <c r="M116" s="19" t="s">
        <v>3320</v>
      </c>
      <c r="N116" s="18"/>
      <c r="O116" s="18" t="n">
        <v>0</v>
      </c>
    </row>
    <row r="117" customFormat="false" ht="17.15" hidden="false" customHeight="false" outlineLevel="0" collapsed="false">
      <c r="A117" s="18" t="s">
        <v>3631</v>
      </c>
      <c r="B117" s="18" t="s">
        <v>2085</v>
      </c>
      <c r="C117" s="18" t="s">
        <v>752</v>
      </c>
      <c r="D117" s="18" t="s">
        <v>2078</v>
      </c>
      <c r="E117" s="18" t="s">
        <v>28</v>
      </c>
      <c r="F117" s="18" t="s">
        <v>2165</v>
      </c>
      <c r="G117" s="18" t="n">
        <v>5.343</v>
      </c>
      <c r="H117" s="18" t="s">
        <v>3315</v>
      </c>
      <c r="I117" s="19" t="s">
        <v>3632</v>
      </c>
      <c r="J117" s="18" t="s">
        <v>3317</v>
      </c>
      <c r="K117" s="18" t="s">
        <v>3621</v>
      </c>
      <c r="L117" s="18" t="s">
        <v>3622</v>
      </c>
      <c r="M117" s="19" t="s">
        <v>3320</v>
      </c>
      <c r="N117" s="18"/>
      <c r="O117" s="18" t="n">
        <v>0</v>
      </c>
    </row>
    <row r="118" customFormat="false" ht="17.15" hidden="false" customHeight="false" outlineLevel="0" collapsed="false">
      <c r="A118" s="0" t="s">
        <v>3633</v>
      </c>
      <c r="B118" s="0" t="s">
        <v>2085</v>
      </c>
      <c r="C118" s="0" t="s">
        <v>752</v>
      </c>
      <c r="D118" s="0" t="s">
        <v>2079</v>
      </c>
      <c r="E118" s="0" t="s">
        <v>29</v>
      </c>
      <c r="F118" s="0" t="s">
        <v>2105</v>
      </c>
      <c r="G118" s="9" t="n">
        <v>31.977</v>
      </c>
      <c r="H118" s="21" t="s">
        <v>3315</v>
      </c>
      <c r="I118" s="5" t="s">
        <v>3634</v>
      </c>
      <c r="J118" s="21" t="s">
        <v>3317</v>
      </c>
      <c r="K118" s="21" t="s">
        <v>3635</v>
      </c>
      <c r="L118" s="21" t="s">
        <v>3622</v>
      </c>
      <c r="M118" s="5" t="s">
        <v>2097</v>
      </c>
      <c r="O118" s="0" t="n">
        <v>1</v>
      </c>
    </row>
    <row r="119" customFormat="false" ht="17.15" hidden="false" customHeight="false" outlineLevel="0" collapsed="false">
      <c r="A119" s="0" t="s">
        <v>3636</v>
      </c>
      <c r="B119" s="0" t="s">
        <v>2085</v>
      </c>
      <c r="C119" s="0" t="s">
        <v>752</v>
      </c>
      <c r="D119" s="0" t="s">
        <v>2079</v>
      </c>
      <c r="E119" s="0" t="s">
        <v>29</v>
      </c>
      <c r="F119" s="0" t="s">
        <v>2108</v>
      </c>
      <c r="G119" s="9" t="n">
        <v>55.663</v>
      </c>
      <c r="H119" s="21" t="s">
        <v>3315</v>
      </c>
      <c r="I119" s="5" t="s">
        <v>3624</v>
      </c>
      <c r="J119" s="21" t="s">
        <v>3317</v>
      </c>
      <c r="K119" s="21" t="s">
        <v>3635</v>
      </c>
      <c r="L119" s="21" t="s">
        <v>3622</v>
      </c>
      <c r="M119" s="5" t="s">
        <v>2097</v>
      </c>
      <c r="O119" s="0" t="n">
        <v>1</v>
      </c>
    </row>
    <row r="120" customFormat="false" ht="17.15" hidden="false" customHeight="false" outlineLevel="0" collapsed="false">
      <c r="A120" s="0" t="s">
        <v>3637</v>
      </c>
      <c r="B120" s="0" t="s">
        <v>2085</v>
      </c>
      <c r="C120" s="0" t="s">
        <v>752</v>
      </c>
      <c r="D120" s="0" t="s">
        <v>2079</v>
      </c>
      <c r="E120" s="0" t="s">
        <v>29</v>
      </c>
      <c r="F120" s="0" t="s">
        <v>2111</v>
      </c>
      <c r="G120" s="9" t="n">
        <v>-23.686</v>
      </c>
      <c r="H120" s="21" t="s">
        <v>3315</v>
      </c>
      <c r="I120" s="21" t="s">
        <v>3413</v>
      </c>
      <c r="J120" s="21" t="s">
        <v>3327</v>
      </c>
      <c r="K120" s="21" t="s">
        <v>3635</v>
      </c>
      <c r="L120" s="21" t="s">
        <v>3622</v>
      </c>
      <c r="M120" s="5" t="s">
        <v>2097</v>
      </c>
      <c r="O120" s="0" t="n">
        <v>1</v>
      </c>
    </row>
    <row r="121" customFormat="false" ht="17.15" hidden="false" customHeight="false" outlineLevel="0" collapsed="false">
      <c r="A121" s="18" t="s">
        <v>3638</v>
      </c>
      <c r="B121" s="18" t="s">
        <v>2085</v>
      </c>
      <c r="C121" s="18" t="s">
        <v>752</v>
      </c>
      <c r="D121" s="18" t="s">
        <v>2079</v>
      </c>
      <c r="E121" s="18" t="s">
        <v>29</v>
      </c>
      <c r="F121" s="18" t="s">
        <v>2165</v>
      </c>
      <c r="G121" s="18" t="n">
        <v>5.882</v>
      </c>
      <c r="H121" s="18" t="s">
        <v>3315</v>
      </c>
      <c r="I121" s="19" t="s">
        <v>3639</v>
      </c>
      <c r="J121" s="18" t="s">
        <v>3317</v>
      </c>
      <c r="K121" s="18" t="s">
        <v>3621</v>
      </c>
      <c r="L121" s="18" t="s">
        <v>3622</v>
      </c>
      <c r="M121" s="19" t="s">
        <v>3320</v>
      </c>
      <c r="N121" s="18"/>
      <c r="O121" s="18" t="n">
        <v>0</v>
      </c>
    </row>
    <row r="122" customFormat="false" ht="17.15" hidden="false" customHeight="false" outlineLevel="0" collapsed="false">
      <c r="A122" s="0" t="s">
        <v>2107</v>
      </c>
      <c r="B122" s="0" t="s">
        <v>2085</v>
      </c>
      <c r="C122" s="0" t="s">
        <v>752</v>
      </c>
      <c r="D122" s="0" t="s">
        <v>2104</v>
      </c>
      <c r="E122" s="0" t="s">
        <v>3376</v>
      </c>
      <c r="F122" s="0" t="s">
        <v>2105</v>
      </c>
      <c r="G122" s="9" t="n">
        <v>23.103</v>
      </c>
      <c r="H122" s="21" t="s">
        <v>3315</v>
      </c>
      <c r="I122" s="5" t="s">
        <v>2106</v>
      </c>
      <c r="J122" s="21" t="s">
        <v>3371</v>
      </c>
      <c r="K122" s="21" t="s">
        <v>3640</v>
      </c>
      <c r="L122" s="21" t="s">
        <v>3641</v>
      </c>
      <c r="M122" s="5" t="s">
        <v>2097</v>
      </c>
      <c r="O122" s="0" t="n">
        <v>1</v>
      </c>
    </row>
    <row r="123" customFormat="false" ht="17.15" hidden="false" customHeight="false" outlineLevel="0" collapsed="false">
      <c r="A123" s="0" t="s">
        <v>2110</v>
      </c>
      <c r="B123" s="0" t="s">
        <v>2085</v>
      </c>
      <c r="C123" s="0" t="s">
        <v>752</v>
      </c>
      <c r="D123" s="0" t="s">
        <v>2104</v>
      </c>
      <c r="E123" s="0" t="s">
        <v>3376</v>
      </c>
      <c r="F123" s="0" t="s">
        <v>2108</v>
      </c>
      <c r="G123" s="9" t="n">
        <v>28.499</v>
      </c>
      <c r="H123" s="21" t="s">
        <v>3315</v>
      </c>
      <c r="I123" s="5" t="s">
        <v>2109</v>
      </c>
      <c r="J123" s="21" t="s">
        <v>3371</v>
      </c>
      <c r="K123" s="21" t="s">
        <v>3640</v>
      </c>
      <c r="L123" s="21" t="s">
        <v>3641</v>
      </c>
      <c r="M123" s="5" t="s">
        <v>2097</v>
      </c>
      <c r="O123" s="0" t="n">
        <v>1</v>
      </c>
    </row>
    <row r="124" customFormat="false" ht="17.15" hidden="false" customHeight="false" outlineLevel="0" collapsed="false">
      <c r="A124" s="0" t="s">
        <v>2113</v>
      </c>
      <c r="B124" s="0" t="s">
        <v>2085</v>
      </c>
      <c r="C124" s="0" t="s">
        <v>752</v>
      </c>
      <c r="D124" s="0" t="s">
        <v>2104</v>
      </c>
      <c r="E124" s="0" t="s">
        <v>3376</v>
      </c>
      <c r="F124" s="0" t="s">
        <v>2111</v>
      </c>
      <c r="G124" s="9" t="n">
        <v>-5.396</v>
      </c>
      <c r="H124" s="21" t="s">
        <v>3315</v>
      </c>
      <c r="I124" s="5" t="s">
        <v>2112</v>
      </c>
      <c r="J124" s="21" t="s">
        <v>3327</v>
      </c>
      <c r="K124" s="21" t="s">
        <v>3640</v>
      </c>
      <c r="L124" s="21" t="s">
        <v>3641</v>
      </c>
      <c r="M124" s="5" t="s">
        <v>2097</v>
      </c>
      <c r="O124" s="0" t="n">
        <v>1</v>
      </c>
    </row>
    <row r="125" customFormat="false" ht="17.15" hidden="false" customHeight="false" outlineLevel="0" collapsed="false">
      <c r="A125" s="0" t="s">
        <v>2116</v>
      </c>
      <c r="B125" s="0" t="s">
        <v>2085</v>
      </c>
      <c r="C125" s="0" t="s">
        <v>752</v>
      </c>
      <c r="D125" s="0" t="s">
        <v>2114</v>
      </c>
      <c r="E125" s="0" t="s">
        <v>3369</v>
      </c>
      <c r="F125" s="0" t="s">
        <v>2108</v>
      </c>
      <c r="G125" s="9" t="n">
        <v>92.5</v>
      </c>
      <c r="H125" s="21" t="s">
        <v>3315</v>
      </c>
      <c r="I125" s="5" t="s">
        <v>2115</v>
      </c>
      <c r="J125" s="21" t="s">
        <v>3371</v>
      </c>
      <c r="K125" s="21" t="s">
        <v>3642</v>
      </c>
      <c r="L125" s="21" t="s">
        <v>3643</v>
      </c>
      <c r="M125" s="5" t="s">
        <v>2117</v>
      </c>
      <c r="N125" s="21" t="s">
        <v>3644</v>
      </c>
      <c r="O125" s="0" t="n">
        <v>1</v>
      </c>
    </row>
    <row r="126" customFormat="false" ht="17.15" hidden="false" customHeight="false" outlineLevel="0" collapsed="false">
      <c r="A126" s="0" t="s">
        <v>3645</v>
      </c>
      <c r="B126" s="0" t="s">
        <v>2085</v>
      </c>
      <c r="C126" s="0" t="s">
        <v>752</v>
      </c>
      <c r="D126" s="0" t="s">
        <v>2079</v>
      </c>
      <c r="E126" s="0" t="s">
        <v>29</v>
      </c>
      <c r="F126" s="0" t="s">
        <v>2140</v>
      </c>
      <c r="G126" s="9" t="n">
        <v>43</v>
      </c>
      <c r="H126" s="21" t="s">
        <v>3315</v>
      </c>
      <c r="I126" s="21" t="s">
        <v>3646</v>
      </c>
      <c r="J126" s="21" t="s">
        <v>3317</v>
      </c>
      <c r="K126" s="21" t="s">
        <v>3635</v>
      </c>
      <c r="L126" s="21" t="s">
        <v>3622</v>
      </c>
      <c r="M126" s="5" t="s">
        <v>2097</v>
      </c>
      <c r="O126" s="0" t="n">
        <v>1</v>
      </c>
    </row>
    <row r="127" customFormat="false" ht="17.15" hidden="false" customHeight="false" outlineLevel="0" collapsed="false">
      <c r="A127" s="18" t="s">
        <v>3647</v>
      </c>
      <c r="B127" s="18" t="s">
        <v>2085</v>
      </c>
      <c r="C127" s="18" t="s">
        <v>752</v>
      </c>
      <c r="D127" s="18" t="s">
        <v>3648</v>
      </c>
      <c r="E127" s="18" t="s">
        <v>29</v>
      </c>
      <c r="F127" s="18" t="s">
        <v>3649</v>
      </c>
      <c r="G127" s="18" t="n">
        <v>5.137</v>
      </c>
      <c r="H127" s="18" t="s">
        <v>3315</v>
      </c>
      <c r="I127" s="19" t="s">
        <v>3650</v>
      </c>
      <c r="J127" s="18" t="s">
        <v>3317</v>
      </c>
      <c r="K127" s="18" t="s">
        <v>3621</v>
      </c>
      <c r="L127" s="18" t="s">
        <v>3622</v>
      </c>
      <c r="M127" s="19" t="s">
        <v>3320</v>
      </c>
      <c r="N127" s="18"/>
      <c r="O127" s="18" t="n">
        <v>0</v>
      </c>
    </row>
    <row r="128" customFormat="false" ht="17.15" hidden="false" customHeight="false" outlineLevel="0" collapsed="false">
      <c r="A128" s="0" t="s">
        <v>3651</v>
      </c>
      <c r="B128" s="0" t="s">
        <v>2085</v>
      </c>
      <c r="C128" s="0" t="s">
        <v>752</v>
      </c>
      <c r="D128" s="0" t="s">
        <v>3652</v>
      </c>
      <c r="E128" s="0" t="s">
        <v>29</v>
      </c>
      <c r="F128" s="0" t="s">
        <v>2099</v>
      </c>
      <c r="G128" s="9" t="n">
        <v>5</v>
      </c>
      <c r="H128" s="21" t="s">
        <v>3315</v>
      </c>
      <c r="I128" s="5" t="s">
        <v>3653</v>
      </c>
      <c r="J128" s="21" t="s">
        <v>3371</v>
      </c>
      <c r="K128" s="21" t="s">
        <v>3654</v>
      </c>
      <c r="L128" s="21" t="s">
        <v>3655</v>
      </c>
      <c r="M128" s="5" t="s">
        <v>2097</v>
      </c>
      <c r="O128" s="0" t="n">
        <v>1</v>
      </c>
    </row>
    <row r="129" customFormat="false" ht="17.15" hidden="false" customHeight="false" outlineLevel="0" collapsed="false">
      <c r="A129" s="0" t="s">
        <v>2119</v>
      </c>
      <c r="B129" s="0" t="s">
        <v>2085</v>
      </c>
      <c r="C129" s="0" t="s">
        <v>752</v>
      </c>
      <c r="D129" s="0" t="s">
        <v>2104</v>
      </c>
      <c r="E129" s="0" t="s">
        <v>3376</v>
      </c>
      <c r="F129" s="0" t="s">
        <v>2099</v>
      </c>
      <c r="G129" s="9" t="n">
        <v>20</v>
      </c>
      <c r="H129" s="21" t="s">
        <v>3315</v>
      </c>
      <c r="I129" s="21" t="s">
        <v>2118</v>
      </c>
      <c r="J129" s="21" t="s">
        <v>3371</v>
      </c>
      <c r="K129" s="21" t="s">
        <v>3656</v>
      </c>
      <c r="L129" s="21" t="s">
        <v>3657</v>
      </c>
      <c r="M129" s="5" t="s">
        <v>2097</v>
      </c>
      <c r="O129" s="0" t="n">
        <v>1</v>
      </c>
    </row>
    <row r="130" customFormat="false" ht="17.15" hidden="false" customHeight="false" outlineLevel="0" collapsed="false">
      <c r="A130" s="0" t="s">
        <v>2122</v>
      </c>
      <c r="B130" s="0" t="s">
        <v>2085</v>
      </c>
      <c r="C130" s="0" t="s">
        <v>752</v>
      </c>
      <c r="D130" s="0" t="s">
        <v>143</v>
      </c>
      <c r="E130" s="0" t="s">
        <v>3376</v>
      </c>
      <c r="F130" s="0" t="s">
        <v>2120</v>
      </c>
      <c r="G130" s="9" t="n">
        <v>88.26</v>
      </c>
      <c r="H130" s="21" t="s">
        <v>3315</v>
      </c>
      <c r="I130" s="5" t="s">
        <v>2121</v>
      </c>
      <c r="J130" s="21" t="s">
        <v>3327</v>
      </c>
      <c r="K130" s="21" t="s">
        <v>3658</v>
      </c>
      <c r="L130" s="21" t="s">
        <v>3659</v>
      </c>
      <c r="M130" s="5" t="s">
        <v>2097</v>
      </c>
      <c r="O130" s="0" t="n">
        <v>1</v>
      </c>
    </row>
    <row r="131" customFormat="false" ht="17.15" hidden="false" customHeight="false" outlineLevel="0" collapsed="false">
      <c r="A131" s="0" t="s">
        <v>2125</v>
      </c>
      <c r="B131" s="0" t="s">
        <v>2085</v>
      </c>
      <c r="C131" s="0" t="s">
        <v>752</v>
      </c>
      <c r="D131" s="0" t="s">
        <v>143</v>
      </c>
      <c r="E131" s="0" t="s">
        <v>3376</v>
      </c>
      <c r="F131" s="0" t="s">
        <v>2123</v>
      </c>
      <c r="G131" s="9" t="n">
        <v>288</v>
      </c>
      <c r="H131" s="21" t="s">
        <v>3315</v>
      </c>
      <c r="I131" s="5" t="s">
        <v>2124</v>
      </c>
      <c r="J131" s="21" t="s">
        <v>3371</v>
      </c>
      <c r="K131" s="21" t="s">
        <v>3658</v>
      </c>
      <c r="L131" s="21" t="s">
        <v>3659</v>
      </c>
      <c r="M131" s="5" t="s">
        <v>2097</v>
      </c>
      <c r="O131" s="0" t="n">
        <v>1</v>
      </c>
    </row>
    <row r="132" customFormat="false" ht="17.15" hidden="false" customHeight="false" outlineLevel="0" collapsed="false">
      <c r="A132" s="0" t="s">
        <v>2128</v>
      </c>
      <c r="B132" s="0" t="s">
        <v>2085</v>
      </c>
      <c r="C132" s="0" t="s">
        <v>752</v>
      </c>
      <c r="D132" s="0" t="s">
        <v>143</v>
      </c>
      <c r="E132" s="0" t="s">
        <v>3376</v>
      </c>
      <c r="F132" s="0" t="s">
        <v>2126</v>
      </c>
      <c r="G132" s="9" t="n">
        <v>34.621</v>
      </c>
      <c r="H132" s="21" t="s">
        <v>3315</v>
      </c>
      <c r="I132" s="5" t="s">
        <v>2127</v>
      </c>
      <c r="J132" s="21" t="s">
        <v>3371</v>
      </c>
      <c r="K132" s="21" t="s">
        <v>3658</v>
      </c>
      <c r="L132" s="21" t="s">
        <v>3659</v>
      </c>
      <c r="M132" s="5" t="s">
        <v>2097</v>
      </c>
      <c r="O132" s="0" t="n">
        <v>1</v>
      </c>
    </row>
    <row r="133" customFormat="false" ht="17.15" hidden="false" customHeight="false" outlineLevel="0" collapsed="false">
      <c r="A133" s="0" t="s">
        <v>2131</v>
      </c>
      <c r="B133" s="0" t="s">
        <v>2085</v>
      </c>
      <c r="C133" s="0" t="s">
        <v>752</v>
      </c>
      <c r="D133" s="0" t="s">
        <v>2104</v>
      </c>
      <c r="E133" s="0" t="s">
        <v>3376</v>
      </c>
      <c r="F133" s="0" t="s">
        <v>2129</v>
      </c>
      <c r="G133" s="9" t="n">
        <v>11.363</v>
      </c>
      <c r="H133" s="21" t="s">
        <v>3315</v>
      </c>
      <c r="I133" s="5" t="s">
        <v>2130</v>
      </c>
      <c r="J133" s="21" t="s">
        <v>3327</v>
      </c>
      <c r="K133" s="21" t="s">
        <v>3658</v>
      </c>
      <c r="L133" s="21" t="s">
        <v>3659</v>
      </c>
      <c r="M133" s="5" t="s">
        <v>2097</v>
      </c>
      <c r="O133" s="0" t="n">
        <v>1</v>
      </c>
    </row>
    <row r="134" customFormat="false" ht="17.15" hidden="false" customHeight="false" outlineLevel="0" collapsed="false">
      <c r="A134" s="0" t="s">
        <v>3660</v>
      </c>
      <c r="B134" s="0" t="s">
        <v>2085</v>
      </c>
      <c r="C134" s="0" t="s">
        <v>752</v>
      </c>
      <c r="D134" s="0" t="s">
        <v>3661</v>
      </c>
      <c r="E134" s="0" t="s">
        <v>29</v>
      </c>
      <c r="F134" s="0" t="s">
        <v>3603</v>
      </c>
      <c r="G134" s="9" t="n">
        <v>38</v>
      </c>
      <c r="H134" s="21" t="s">
        <v>3315</v>
      </c>
      <c r="I134" s="21" t="s">
        <v>3662</v>
      </c>
      <c r="J134" s="21" t="s">
        <v>3371</v>
      </c>
      <c r="K134" s="21" t="s">
        <v>3663</v>
      </c>
      <c r="L134" s="21" t="s">
        <v>3664</v>
      </c>
      <c r="M134" s="5" t="s">
        <v>2097</v>
      </c>
      <c r="O134" s="0" t="n">
        <v>1</v>
      </c>
    </row>
    <row r="135" customFormat="false" ht="17.15" hidden="false" customHeight="false" outlineLevel="0" collapsed="false">
      <c r="A135" s="0" t="s">
        <v>3665</v>
      </c>
      <c r="B135" s="0" t="s">
        <v>2085</v>
      </c>
      <c r="C135" s="0" t="s">
        <v>752</v>
      </c>
      <c r="D135" s="0" t="s">
        <v>3666</v>
      </c>
      <c r="E135" s="0" t="s">
        <v>29</v>
      </c>
      <c r="F135" s="0" t="s">
        <v>3603</v>
      </c>
      <c r="G135" s="9" t="n">
        <v>18</v>
      </c>
      <c r="H135" s="21" t="s">
        <v>3315</v>
      </c>
      <c r="I135" s="21" t="s">
        <v>3667</v>
      </c>
      <c r="J135" s="21" t="s">
        <v>3668</v>
      </c>
      <c r="K135" s="21" t="s">
        <v>3669</v>
      </c>
      <c r="L135" s="21" t="s">
        <v>3670</v>
      </c>
      <c r="M135" s="5" t="s">
        <v>2117</v>
      </c>
      <c r="N135" s="21" t="s">
        <v>3671</v>
      </c>
      <c r="O135" s="0" t="n">
        <v>1</v>
      </c>
    </row>
    <row r="136" customFormat="false" ht="17.15" hidden="false" customHeight="false" outlineLevel="0" collapsed="false">
      <c r="A136" s="0" t="s">
        <v>3672</v>
      </c>
      <c r="B136" s="0" t="s">
        <v>2085</v>
      </c>
      <c r="C136" s="0" t="s">
        <v>752</v>
      </c>
      <c r="D136" s="0" t="s">
        <v>3673</v>
      </c>
      <c r="E136" s="0" t="s">
        <v>28</v>
      </c>
      <c r="F136" s="0" t="s">
        <v>3603</v>
      </c>
      <c r="G136" s="9" t="n">
        <v>15</v>
      </c>
      <c r="H136" s="21" t="s">
        <v>3315</v>
      </c>
      <c r="I136" s="21" t="s">
        <v>3674</v>
      </c>
      <c r="J136" s="21" t="s">
        <v>3371</v>
      </c>
      <c r="K136" s="21" t="s">
        <v>3675</v>
      </c>
      <c r="L136" s="21" t="s">
        <v>3676</v>
      </c>
      <c r="M136" s="5" t="s">
        <v>2097</v>
      </c>
      <c r="O136" s="0" t="n">
        <v>1</v>
      </c>
    </row>
    <row r="137" customFormat="false" ht="17.15" hidden="false" customHeight="false" outlineLevel="0" collapsed="false">
      <c r="A137" s="18" t="s">
        <v>3677</v>
      </c>
      <c r="B137" s="18" t="s">
        <v>2085</v>
      </c>
      <c r="C137" s="18" t="s">
        <v>752</v>
      </c>
      <c r="D137" s="18" t="s">
        <v>3678</v>
      </c>
      <c r="E137" s="18" t="s">
        <v>29</v>
      </c>
      <c r="F137" s="18" t="s">
        <v>3603</v>
      </c>
      <c r="G137" s="18" t="n">
        <v>10</v>
      </c>
      <c r="H137" s="18" t="s">
        <v>3315</v>
      </c>
      <c r="I137" s="18" t="s">
        <v>3679</v>
      </c>
      <c r="J137" s="18" t="s">
        <v>3371</v>
      </c>
      <c r="K137" s="18" t="s">
        <v>3680</v>
      </c>
      <c r="L137" s="18" t="s">
        <v>3681</v>
      </c>
      <c r="M137" s="19" t="s">
        <v>3320</v>
      </c>
      <c r="N137" s="18"/>
      <c r="O137" s="18" t="n">
        <v>0</v>
      </c>
    </row>
    <row r="138" customFormat="false" ht="17.15" hidden="false" customHeight="false" outlineLevel="0" collapsed="false">
      <c r="A138" s="0" t="s">
        <v>2133</v>
      </c>
      <c r="B138" s="0" t="s">
        <v>2085</v>
      </c>
      <c r="C138" s="0" t="s">
        <v>752</v>
      </c>
      <c r="D138" s="0" t="s">
        <v>2114</v>
      </c>
      <c r="E138" s="0" t="s">
        <v>3369</v>
      </c>
      <c r="F138" s="0" t="s">
        <v>2111</v>
      </c>
      <c r="G138" s="9" t="n">
        <v>-42</v>
      </c>
      <c r="H138" s="21" t="s">
        <v>3315</v>
      </c>
      <c r="I138" s="21" t="s">
        <v>2132</v>
      </c>
      <c r="J138" s="21" t="s">
        <v>3371</v>
      </c>
      <c r="K138" s="21" t="s">
        <v>3682</v>
      </c>
      <c r="L138" s="21" t="s">
        <v>3683</v>
      </c>
      <c r="M138" s="5" t="s">
        <v>2097</v>
      </c>
      <c r="O138" s="0" t="n">
        <v>1</v>
      </c>
    </row>
    <row r="139" customFormat="false" ht="17.15" hidden="false" customHeight="false" outlineLevel="0" collapsed="false">
      <c r="A139" s="0" t="s">
        <v>3684</v>
      </c>
      <c r="B139" s="0" t="s">
        <v>1467</v>
      </c>
      <c r="C139" s="0" t="s">
        <v>842</v>
      </c>
      <c r="D139" s="0" t="s">
        <v>2081</v>
      </c>
      <c r="E139" s="0" t="s">
        <v>27</v>
      </c>
      <c r="F139" s="0" t="s">
        <v>2105</v>
      </c>
      <c r="G139" s="9" t="n">
        <v>2.749</v>
      </c>
      <c r="H139" s="21" t="s">
        <v>3315</v>
      </c>
      <c r="I139" s="5" t="s">
        <v>3685</v>
      </c>
      <c r="J139" s="21" t="s">
        <v>3317</v>
      </c>
      <c r="K139" s="21" t="s">
        <v>3686</v>
      </c>
      <c r="L139" s="21" t="s">
        <v>3687</v>
      </c>
      <c r="M139" s="5" t="s">
        <v>2097</v>
      </c>
      <c r="O139" s="0" t="n">
        <v>1</v>
      </c>
    </row>
    <row r="140" customFormat="false" ht="17.15" hidden="false" customHeight="false" outlineLevel="0" collapsed="false">
      <c r="A140" s="0" t="s">
        <v>3688</v>
      </c>
      <c r="B140" s="0" t="s">
        <v>1467</v>
      </c>
      <c r="C140" s="0" t="s">
        <v>842</v>
      </c>
      <c r="D140" s="0" t="s">
        <v>2081</v>
      </c>
      <c r="E140" s="0" t="s">
        <v>27</v>
      </c>
      <c r="F140" s="0" t="s">
        <v>2108</v>
      </c>
      <c r="G140" s="9" t="n">
        <v>8.702</v>
      </c>
      <c r="H140" s="21" t="s">
        <v>3315</v>
      </c>
      <c r="I140" s="21" t="s">
        <v>3689</v>
      </c>
      <c r="J140" s="21" t="s">
        <v>3317</v>
      </c>
      <c r="K140" s="21" t="s">
        <v>3686</v>
      </c>
      <c r="L140" s="21" t="s">
        <v>3687</v>
      </c>
      <c r="M140" s="5" t="s">
        <v>2097</v>
      </c>
      <c r="O140" s="0" t="n">
        <v>1</v>
      </c>
    </row>
    <row r="141" customFormat="false" ht="17.15" hidden="false" customHeight="false" outlineLevel="0" collapsed="false">
      <c r="A141" s="18" t="s">
        <v>3690</v>
      </c>
      <c r="B141" s="18" t="s">
        <v>1467</v>
      </c>
      <c r="C141" s="18" t="s">
        <v>842</v>
      </c>
      <c r="D141" s="18" t="s">
        <v>2081</v>
      </c>
      <c r="E141" s="18" t="s">
        <v>27</v>
      </c>
      <c r="F141" s="18" t="s">
        <v>2111</v>
      </c>
      <c r="G141" s="18" t="n">
        <v>-5.953</v>
      </c>
      <c r="H141" s="18" t="s">
        <v>3315</v>
      </c>
      <c r="I141" s="18" t="s">
        <v>3691</v>
      </c>
      <c r="J141" s="18" t="s">
        <v>3327</v>
      </c>
      <c r="K141" s="18" t="s">
        <v>3692</v>
      </c>
      <c r="L141" s="18" t="s">
        <v>3687</v>
      </c>
      <c r="M141" s="19" t="s">
        <v>3320</v>
      </c>
      <c r="N141" s="18"/>
      <c r="O141" s="18" t="n">
        <v>0</v>
      </c>
    </row>
    <row r="142" customFormat="false" ht="17.15" hidden="false" customHeight="false" outlineLevel="0" collapsed="false">
      <c r="A142" s="0" t="s">
        <v>3693</v>
      </c>
      <c r="B142" s="0" t="s">
        <v>1467</v>
      </c>
      <c r="C142" s="0" t="s">
        <v>842</v>
      </c>
      <c r="D142" s="0" t="s">
        <v>2081</v>
      </c>
      <c r="E142" s="0" t="s">
        <v>27</v>
      </c>
      <c r="F142" s="0" t="s">
        <v>2145</v>
      </c>
      <c r="G142" s="9" t="n">
        <v>7.018</v>
      </c>
      <c r="H142" s="21" t="s">
        <v>3315</v>
      </c>
      <c r="I142" s="5" t="s">
        <v>3694</v>
      </c>
      <c r="J142" s="21" t="s">
        <v>3317</v>
      </c>
      <c r="K142" s="21" t="s">
        <v>3686</v>
      </c>
      <c r="L142" s="21" t="s">
        <v>3687</v>
      </c>
      <c r="M142" s="5" t="s">
        <v>2097</v>
      </c>
      <c r="O142" s="0" t="n">
        <v>1</v>
      </c>
    </row>
    <row r="143" customFormat="false" ht="17.15" hidden="false" customHeight="false" outlineLevel="0" collapsed="false">
      <c r="A143" s="0" t="s">
        <v>3695</v>
      </c>
      <c r="B143" s="0" t="s">
        <v>1467</v>
      </c>
      <c r="C143" s="0" t="s">
        <v>842</v>
      </c>
      <c r="D143" s="0" t="s">
        <v>2082</v>
      </c>
      <c r="E143" s="0" t="s">
        <v>28</v>
      </c>
      <c r="F143" s="0" t="s">
        <v>2105</v>
      </c>
      <c r="G143" s="9" t="n">
        <v>3.058</v>
      </c>
      <c r="H143" s="21" t="s">
        <v>3315</v>
      </c>
      <c r="I143" s="5" t="s">
        <v>3685</v>
      </c>
      <c r="J143" s="21" t="s">
        <v>3317</v>
      </c>
      <c r="K143" s="21" t="s">
        <v>3686</v>
      </c>
      <c r="L143" s="21" t="s">
        <v>3687</v>
      </c>
      <c r="M143" s="5" t="s">
        <v>2097</v>
      </c>
      <c r="O143" s="0" t="n">
        <v>1</v>
      </c>
    </row>
    <row r="144" customFormat="false" ht="17.15" hidden="false" customHeight="false" outlineLevel="0" collapsed="false">
      <c r="A144" s="0" t="s">
        <v>3696</v>
      </c>
      <c r="B144" s="0" t="s">
        <v>1467</v>
      </c>
      <c r="C144" s="0" t="s">
        <v>842</v>
      </c>
      <c r="D144" s="0" t="s">
        <v>2082</v>
      </c>
      <c r="E144" s="0" t="s">
        <v>28</v>
      </c>
      <c r="F144" s="0" t="s">
        <v>2108</v>
      </c>
      <c r="G144" s="9" t="n">
        <v>10.309</v>
      </c>
      <c r="H144" s="21" t="s">
        <v>3315</v>
      </c>
      <c r="I144" s="21" t="s">
        <v>3689</v>
      </c>
      <c r="J144" s="21" t="s">
        <v>3317</v>
      </c>
      <c r="K144" s="21" t="s">
        <v>3686</v>
      </c>
      <c r="L144" s="21" t="s">
        <v>3687</v>
      </c>
      <c r="M144" s="5" t="s">
        <v>2097</v>
      </c>
      <c r="O144" s="0" t="n">
        <v>1</v>
      </c>
    </row>
    <row r="145" customFormat="false" ht="17.15" hidden="false" customHeight="false" outlineLevel="0" collapsed="false">
      <c r="A145" s="18" t="s">
        <v>3697</v>
      </c>
      <c r="B145" s="18" t="s">
        <v>1467</v>
      </c>
      <c r="C145" s="18" t="s">
        <v>842</v>
      </c>
      <c r="D145" s="18" t="s">
        <v>2082</v>
      </c>
      <c r="E145" s="18" t="s">
        <v>28</v>
      </c>
      <c r="F145" s="18" t="s">
        <v>2111</v>
      </c>
      <c r="G145" s="18" t="n">
        <v>-7.251</v>
      </c>
      <c r="H145" s="18" t="s">
        <v>3315</v>
      </c>
      <c r="I145" s="18" t="s">
        <v>3691</v>
      </c>
      <c r="J145" s="18" t="s">
        <v>3327</v>
      </c>
      <c r="K145" s="18" t="s">
        <v>3692</v>
      </c>
      <c r="L145" s="18" t="s">
        <v>3687</v>
      </c>
      <c r="M145" s="19" t="s">
        <v>3320</v>
      </c>
      <c r="N145" s="18"/>
      <c r="O145" s="18" t="n">
        <v>0</v>
      </c>
    </row>
    <row r="146" customFormat="false" ht="17.15" hidden="false" customHeight="false" outlineLevel="0" collapsed="false">
      <c r="A146" s="0" t="s">
        <v>3698</v>
      </c>
      <c r="B146" s="0" t="s">
        <v>1467</v>
      </c>
      <c r="C146" s="0" t="s">
        <v>842</v>
      </c>
      <c r="D146" s="0" t="s">
        <v>2082</v>
      </c>
      <c r="E146" s="0" t="s">
        <v>28</v>
      </c>
      <c r="F146" s="0" t="s">
        <v>2145</v>
      </c>
      <c r="G146" s="9" t="n">
        <v>11.829</v>
      </c>
      <c r="H146" s="21" t="s">
        <v>3315</v>
      </c>
      <c r="I146" s="5" t="s">
        <v>3699</v>
      </c>
      <c r="J146" s="21" t="s">
        <v>3317</v>
      </c>
      <c r="K146" s="21" t="s">
        <v>3686</v>
      </c>
      <c r="L146" s="21" t="s">
        <v>3687</v>
      </c>
      <c r="M146" s="5" t="s">
        <v>2097</v>
      </c>
      <c r="O146" s="0" t="n">
        <v>1</v>
      </c>
    </row>
    <row r="147" customFormat="false" ht="17.15" hidden="false" customHeight="false" outlineLevel="0" collapsed="false">
      <c r="A147" s="0" t="s">
        <v>3700</v>
      </c>
      <c r="B147" s="0" t="s">
        <v>1467</v>
      </c>
      <c r="C147" s="0" t="s">
        <v>842</v>
      </c>
      <c r="D147" s="0" t="s">
        <v>2082</v>
      </c>
      <c r="E147" s="0" t="s">
        <v>28</v>
      </c>
      <c r="F147" s="0" t="s">
        <v>2099</v>
      </c>
      <c r="G147" s="9" t="n">
        <v>1.491</v>
      </c>
      <c r="H147" s="21" t="s">
        <v>3315</v>
      </c>
      <c r="I147" s="21" t="s">
        <v>3701</v>
      </c>
      <c r="J147" s="21" t="s">
        <v>3317</v>
      </c>
      <c r="K147" s="21" t="s">
        <v>3686</v>
      </c>
      <c r="L147" s="21" t="s">
        <v>3687</v>
      </c>
      <c r="M147" s="5" t="s">
        <v>2097</v>
      </c>
      <c r="O147" s="0" t="n">
        <v>1</v>
      </c>
    </row>
    <row r="148" customFormat="false" ht="17.15" hidden="false" customHeight="false" outlineLevel="0" collapsed="false">
      <c r="A148" s="0" t="s">
        <v>3702</v>
      </c>
      <c r="B148" s="0" t="s">
        <v>1467</v>
      </c>
      <c r="C148" s="0" t="s">
        <v>842</v>
      </c>
      <c r="D148" s="0" t="s">
        <v>3703</v>
      </c>
      <c r="E148" s="0" t="s">
        <v>28</v>
      </c>
      <c r="F148" s="0" t="s">
        <v>3357</v>
      </c>
      <c r="G148" s="9" t="n">
        <v>13.447</v>
      </c>
      <c r="H148" s="21" t="s">
        <v>3315</v>
      </c>
      <c r="I148" s="5" t="s">
        <v>3704</v>
      </c>
      <c r="J148" s="21" t="s">
        <v>3327</v>
      </c>
      <c r="K148" s="21" t="s">
        <v>3686</v>
      </c>
      <c r="L148" s="21" t="s">
        <v>3687</v>
      </c>
      <c r="M148" s="5" t="s">
        <v>2097</v>
      </c>
      <c r="O148" s="0" t="n">
        <v>1</v>
      </c>
    </row>
    <row r="149" customFormat="false" ht="17.15" hidden="false" customHeight="false" outlineLevel="0" collapsed="false">
      <c r="A149" s="0" t="s">
        <v>3705</v>
      </c>
      <c r="B149" s="0" t="s">
        <v>1467</v>
      </c>
      <c r="C149" s="0" t="s">
        <v>842</v>
      </c>
      <c r="D149" s="0" t="s">
        <v>2086</v>
      </c>
      <c r="E149" s="0" t="s">
        <v>29</v>
      </c>
      <c r="F149" s="0" t="s">
        <v>2105</v>
      </c>
      <c r="G149" s="9" t="n">
        <v>3.663</v>
      </c>
      <c r="H149" s="21" t="s">
        <v>3315</v>
      </c>
      <c r="I149" s="5" t="s">
        <v>3706</v>
      </c>
      <c r="J149" s="21" t="s">
        <v>3317</v>
      </c>
      <c r="K149" s="21" t="s">
        <v>3707</v>
      </c>
      <c r="L149" s="21" t="s">
        <v>3708</v>
      </c>
      <c r="M149" s="5" t="s">
        <v>2097</v>
      </c>
      <c r="O149" s="0" t="n">
        <v>1</v>
      </c>
    </row>
    <row r="150" customFormat="false" ht="17.15" hidden="false" customHeight="false" outlineLevel="0" collapsed="false">
      <c r="A150" s="0" t="s">
        <v>3709</v>
      </c>
      <c r="B150" s="0" t="s">
        <v>1467</v>
      </c>
      <c r="C150" s="0" t="s">
        <v>842</v>
      </c>
      <c r="D150" s="0" t="s">
        <v>2086</v>
      </c>
      <c r="E150" s="0" t="s">
        <v>29</v>
      </c>
      <c r="F150" s="0" t="s">
        <v>2108</v>
      </c>
      <c r="G150" s="9" t="n">
        <v>14.117</v>
      </c>
      <c r="H150" s="21" t="s">
        <v>3315</v>
      </c>
      <c r="I150" s="5" t="s">
        <v>3710</v>
      </c>
      <c r="J150" s="21" t="s">
        <v>3317</v>
      </c>
      <c r="K150" s="21" t="s">
        <v>3707</v>
      </c>
      <c r="L150" s="21" t="s">
        <v>3708</v>
      </c>
      <c r="M150" s="5" t="s">
        <v>2097</v>
      </c>
      <c r="O150" s="0" t="n">
        <v>1</v>
      </c>
    </row>
    <row r="151" customFormat="false" ht="17.15" hidden="false" customHeight="false" outlineLevel="0" collapsed="false">
      <c r="A151" s="18" t="s">
        <v>3711</v>
      </c>
      <c r="B151" s="18" t="s">
        <v>1467</v>
      </c>
      <c r="C151" s="18" t="s">
        <v>842</v>
      </c>
      <c r="D151" s="18" t="s">
        <v>2086</v>
      </c>
      <c r="E151" s="18" t="s">
        <v>29</v>
      </c>
      <c r="F151" s="18" t="s">
        <v>2111</v>
      </c>
      <c r="G151" s="18" t="n">
        <v>-10.454</v>
      </c>
      <c r="H151" s="18" t="s">
        <v>3315</v>
      </c>
      <c r="I151" s="18" t="s">
        <v>3691</v>
      </c>
      <c r="J151" s="18" t="s">
        <v>3327</v>
      </c>
      <c r="K151" s="18" t="s">
        <v>3712</v>
      </c>
      <c r="L151" s="18" t="s">
        <v>3708</v>
      </c>
      <c r="M151" s="19" t="s">
        <v>3320</v>
      </c>
      <c r="N151" s="18"/>
      <c r="O151" s="18" t="n">
        <v>0</v>
      </c>
    </row>
    <row r="152" customFormat="false" ht="17.15" hidden="false" customHeight="false" outlineLevel="0" collapsed="false">
      <c r="A152" s="0" t="s">
        <v>3713</v>
      </c>
      <c r="B152" s="0" t="s">
        <v>1467</v>
      </c>
      <c r="C152" s="0" t="s">
        <v>842</v>
      </c>
      <c r="D152" s="0" t="s">
        <v>2086</v>
      </c>
      <c r="E152" s="0" t="s">
        <v>29</v>
      </c>
      <c r="F152" s="0" t="s">
        <v>2145</v>
      </c>
      <c r="G152" s="9" t="n">
        <v>16.747</v>
      </c>
      <c r="H152" s="21" t="s">
        <v>3315</v>
      </c>
      <c r="I152" s="5" t="s">
        <v>3714</v>
      </c>
      <c r="J152" s="21" t="s">
        <v>3317</v>
      </c>
      <c r="K152" s="21" t="s">
        <v>3707</v>
      </c>
      <c r="L152" s="21" t="s">
        <v>3708</v>
      </c>
      <c r="M152" s="5" t="s">
        <v>2097</v>
      </c>
      <c r="O152" s="0" t="n">
        <v>1</v>
      </c>
    </row>
    <row r="153" customFormat="false" ht="17.15" hidden="false" customHeight="false" outlineLevel="0" collapsed="false">
      <c r="A153" s="18" t="s">
        <v>3715</v>
      </c>
      <c r="B153" s="18" t="s">
        <v>1467</v>
      </c>
      <c r="C153" s="18" t="s">
        <v>842</v>
      </c>
      <c r="D153" s="18" t="s">
        <v>3516</v>
      </c>
      <c r="E153" s="18" t="s">
        <v>29</v>
      </c>
      <c r="F153" s="18" t="s">
        <v>2145</v>
      </c>
      <c r="G153" s="18" t="n">
        <v>8.5</v>
      </c>
      <c r="H153" s="18" t="s">
        <v>3315</v>
      </c>
      <c r="I153" s="18" t="s">
        <v>3716</v>
      </c>
      <c r="J153" s="18" t="s">
        <v>3317</v>
      </c>
      <c r="K153" s="18" t="s">
        <v>3712</v>
      </c>
      <c r="L153" s="18" t="s">
        <v>3708</v>
      </c>
      <c r="M153" s="19" t="s">
        <v>3347</v>
      </c>
      <c r="N153" s="18"/>
      <c r="O153" s="18" t="n">
        <v>0</v>
      </c>
    </row>
    <row r="154" customFormat="false" ht="17.15" hidden="false" customHeight="false" outlineLevel="0" collapsed="false">
      <c r="A154" s="18" t="s">
        <v>3717</v>
      </c>
      <c r="B154" s="18" t="s">
        <v>1467</v>
      </c>
      <c r="C154" s="18" t="s">
        <v>842</v>
      </c>
      <c r="D154" s="18" t="s">
        <v>29</v>
      </c>
      <c r="E154" s="18" t="s">
        <v>3376</v>
      </c>
      <c r="F154" s="18" t="s">
        <v>2140</v>
      </c>
      <c r="G154" s="18" t="n">
        <v>6.279</v>
      </c>
      <c r="H154" s="18" t="s">
        <v>3315</v>
      </c>
      <c r="I154" s="18" t="s">
        <v>3718</v>
      </c>
      <c r="J154" s="18" t="s">
        <v>3317</v>
      </c>
      <c r="K154" s="18" t="s">
        <v>3712</v>
      </c>
      <c r="L154" s="18" t="s">
        <v>3708</v>
      </c>
      <c r="M154" s="19" t="s">
        <v>3347</v>
      </c>
      <c r="N154" s="18"/>
      <c r="O154" s="18" t="n">
        <v>0</v>
      </c>
    </row>
    <row r="155" customFormat="false" ht="17.15" hidden="false" customHeight="false" outlineLevel="0" collapsed="false">
      <c r="A155" s="18" t="s">
        <v>3719</v>
      </c>
      <c r="B155" s="18" t="s">
        <v>1467</v>
      </c>
      <c r="C155" s="18" t="s">
        <v>842</v>
      </c>
      <c r="D155" s="18" t="s">
        <v>29</v>
      </c>
      <c r="E155" s="18" t="s">
        <v>3376</v>
      </c>
      <c r="F155" s="18" t="s">
        <v>2140</v>
      </c>
      <c r="G155" s="18" t="n">
        <v>4</v>
      </c>
      <c r="H155" s="18" t="s">
        <v>3315</v>
      </c>
      <c r="I155" s="18" t="s">
        <v>3720</v>
      </c>
      <c r="J155" s="18" t="s">
        <v>3317</v>
      </c>
      <c r="K155" s="18" t="s">
        <v>3712</v>
      </c>
      <c r="L155" s="18" t="s">
        <v>3708</v>
      </c>
      <c r="M155" s="19" t="s">
        <v>3320</v>
      </c>
      <c r="N155" s="18"/>
      <c r="O155" s="18" t="n">
        <v>0</v>
      </c>
    </row>
    <row r="156" customFormat="false" ht="17.15" hidden="false" customHeight="false" outlineLevel="0" collapsed="false">
      <c r="A156" s="0" t="s">
        <v>3721</v>
      </c>
      <c r="B156" s="0" t="s">
        <v>1467</v>
      </c>
      <c r="C156" s="0" t="s">
        <v>842</v>
      </c>
      <c r="D156" s="0" t="s">
        <v>2086</v>
      </c>
      <c r="E156" s="0" t="s">
        <v>29</v>
      </c>
      <c r="F156" s="0" t="s">
        <v>2099</v>
      </c>
      <c r="G156" s="9" t="n">
        <v>2.982</v>
      </c>
      <c r="H156" s="21" t="s">
        <v>3315</v>
      </c>
      <c r="I156" s="21" t="s">
        <v>3722</v>
      </c>
      <c r="J156" s="21" t="s">
        <v>3317</v>
      </c>
      <c r="K156" s="21" t="s">
        <v>3707</v>
      </c>
      <c r="L156" s="21" t="s">
        <v>3708</v>
      </c>
      <c r="M156" s="5" t="s">
        <v>2097</v>
      </c>
      <c r="O156" s="0" t="n">
        <v>1</v>
      </c>
    </row>
    <row r="157" customFormat="false" ht="17.15" hidden="false" customHeight="false" outlineLevel="0" collapsed="false">
      <c r="A157" s="0" t="s">
        <v>2135</v>
      </c>
      <c r="B157" s="0" t="s">
        <v>1467</v>
      </c>
      <c r="C157" s="0" t="s">
        <v>842</v>
      </c>
      <c r="D157" s="0" t="s">
        <v>2093</v>
      </c>
      <c r="E157" s="0" t="s">
        <v>3369</v>
      </c>
      <c r="F157" s="0" t="s">
        <v>2094</v>
      </c>
      <c r="G157" s="9" t="n">
        <v>37</v>
      </c>
      <c r="H157" s="21" t="s">
        <v>3315</v>
      </c>
      <c r="I157" s="5" t="s">
        <v>2134</v>
      </c>
      <c r="J157" s="21" t="s">
        <v>3371</v>
      </c>
      <c r="K157" s="21" t="s">
        <v>3723</v>
      </c>
      <c r="L157" s="21" t="s">
        <v>3724</v>
      </c>
      <c r="M157" s="5" t="s">
        <v>2097</v>
      </c>
      <c r="O157" s="0" t="n">
        <v>1</v>
      </c>
    </row>
    <row r="158" customFormat="false" ht="17.15" hidden="false" customHeight="false" outlineLevel="0" collapsed="false">
      <c r="A158" s="18" t="s">
        <v>3725</v>
      </c>
      <c r="B158" s="18" t="s">
        <v>1467</v>
      </c>
      <c r="C158" s="18" t="s">
        <v>842</v>
      </c>
      <c r="D158" s="18" t="s">
        <v>124</v>
      </c>
      <c r="E158" s="18" t="s">
        <v>29</v>
      </c>
      <c r="F158" s="18" t="s">
        <v>2123</v>
      </c>
      <c r="G158" s="18" t="n">
        <v>35.5</v>
      </c>
      <c r="H158" s="18" t="s">
        <v>3315</v>
      </c>
      <c r="I158" s="19" t="s">
        <v>3726</v>
      </c>
      <c r="J158" s="18" t="s">
        <v>3317</v>
      </c>
      <c r="K158" s="18" t="s">
        <v>3712</v>
      </c>
      <c r="L158" s="18" t="s">
        <v>3708</v>
      </c>
      <c r="M158" s="19" t="s">
        <v>3320</v>
      </c>
      <c r="N158" s="18"/>
      <c r="O158" s="18" t="n">
        <v>0</v>
      </c>
    </row>
    <row r="159" customFormat="false" ht="17.15" hidden="false" customHeight="false" outlineLevel="0" collapsed="false">
      <c r="A159" s="18" t="s">
        <v>3727</v>
      </c>
      <c r="B159" s="18" t="s">
        <v>1467</v>
      </c>
      <c r="C159" s="18" t="s">
        <v>842</v>
      </c>
      <c r="D159" s="18" t="s">
        <v>124</v>
      </c>
      <c r="E159" s="18" t="s">
        <v>29</v>
      </c>
      <c r="F159" s="18" t="s">
        <v>2120</v>
      </c>
      <c r="G159" s="18" t="n">
        <v>30</v>
      </c>
      <c r="H159" s="18" t="s">
        <v>3315</v>
      </c>
      <c r="I159" s="19" t="s">
        <v>3728</v>
      </c>
      <c r="J159" s="18" t="s">
        <v>3327</v>
      </c>
      <c r="K159" s="18" t="s">
        <v>3712</v>
      </c>
      <c r="L159" s="18" t="s">
        <v>3708</v>
      </c>
      <c r="M159" s="19" t="s">
        <v>3320</v>
      </c>
      <c r="N159" s="18"/>
      <c r="O159" s="18" t="n">
        <v>0</v>
      </c>
    </row>
    <row r="160" customFormat="false" ht="17.15" hidden="false" customHeight="false" outlineLevel="0" collapsed="false">
      <c r="A160" s="0" t="s">
        <v>2138</v>
      </c>
      <c r="B160" s="0" t="s">
        <v>1467</v>
      </c>
      <c r="C160" s="0" t="s">
        <v>842</v>
      </c>
      <c r="D160" s="0" t="s">
        <v>2136</v>
      </c>
      <c r="E160" s="0" t="s">
        <v>3376</v>
      </c>
      <c r="F160" s="0" t="s">
        <v>2129</v>
      </c>
      <c r="G160" s="9" t="n">
        <v>6.3</v>
      </c>
      <c r="H160" s="21" t="s">
        <v>3315</v>
      </c>
      <c r="I160" s="21" t="s">
        <v>2137</v>
      </c>
      <c r="J160" s="21" t="s">
        <v>3371</v>
      </c>
      <c r="K160" s="21" t="s">
        <v>3729</v>
      </c>
      <c r="L160" s="21" t="s">
        <v>3730</v>
      </c>
      <c r="M160" s="5" t="s">
        <v>2097</v>
      </c>
      <c r="O160" s="0" t="n">
        <v>1</v>
      </c>
    </row>
    <row r="161" customFormat="false" ht="17.15" hidden="false" customHeight="false" outlineLevel="0" collapsed="false">
      <c r="A161" s="0" t="s">
        <v>3731</v>
      </c>
      <c r="B161" s="0" t="s">
        <v>1486</v>
      </c>
      <c r="C161" s="0" t="s">
        <v>873</v>
      </c>
      <c r="D161" s="0" t="s">
        <v>2082</v>
      </c>
      <c r="E161" s="0" t="s">
        <v>28</v>
      </c>
      <c r="F161" s="0" t="s">
        <v>2108</v>
      </c>
      <c r="G161" s="9" t="n">
        <v>4.1</v>
      </c>
      <c r="H161" s="21" t="s">
        <v>3315</v>
      </c>
      <c r="I161" s="21" t="s">
        <v>3732</v>
      </c>
      <c r="J161" s="21" t="s">
        <v>3371</v>
      </c>
      <c r="K161" s="21" t="s">
        <v>3733</v>
      </c>
      <c r="L161" s="21" t="s">
        <v>3734</v>
      </c>
      <c r="M161" s="5" t="s">
        <v>2097</v>
      </c>
      <c r="O161" s="0" t="n">
        <v>1</v>
      </c>
    </row>
    <row r="162" customFormat="false" ht="17.15" hidden="false" customHeight="false" outlineLevel="0" collapsed="false">
      <c r="A162" s="18" t="s">
        <v>3735</v>
      </c>
      <c r="B162" s="18" t="s">
        <v>1486</v>
      </c>
      <c r="C162" s="18" t="s">
        <v>873</v>
      </c>
      <c r="D162" s="18" t="s">
        <v>2082</v>
      </c>
      <c r="E162" s="18" t="s">
        <v>28</v>
      </c>
      <c r="F162" s="18" t="s">
        <v>2140</v>
      </c>
      <c r="G162" s="18" t="n">
        <v>4.163</v>
      </c>
      <c r="H162" s="18" t="s">
        <v>3315</v>
      </c>
      <c r="I162" s="19" t="s">
        <v>3736</v>
      </c>
      <c r="J162" s="18" t="s">
        <v>3317</v>
      </c>
      <c r="K162" s="18" t="s">
        <v>3737</v>
      </c>
      <c r="L162" s="18" t="s">
        <v>3738</v>
      </c>
      <c r="M162" s="19" t="s">
        <v>3320</v>
      </c>
      <c r="N162" s="18"/>
      <c r="O162" s="18" t="n">
        <v>0</v>
      </c>
    </row>
    <row r="163" customFormat="false" ht="17.15" hidden="false" customHeight="false" outlineLevel="0" collapsed="false">
      <c r="A163" s="18" t="s">
        <v>3739</v>
      </c>
      <c r="B163" s="18" t="s">
        <v>1486</v>
      </c>
      <c r="C163" s="18" t="s">
        <v>873</v>
      </c>
      <c r="D163" s="18" t="s">
        <v>2086</v>
      </c>
      <c r="E163" s="18" t="s">
        <v>29</v>
      </c>
      <c r="F163" s="18" t="s">
        <v>2105</v>
      </c>
      <c r="G163" s="18" t="n">
        <v>4.504</v>
      </c>
      <c r="H163" s="18" t="s">
        <v>3315</v>
      </c>
      <c r="I163" s="19" t="s">
        <v>3740</v>
      </c>
      <c r="J163" s="18" t="s">
        <v>3371</v>
      </c>
      <c r="K163" s="18" t="s">
        <v>3741</v>
      </c>
      <c r="L163" s="18" t="s">
        <v>3738</v>
      </c>
      <c r="M163" s="19" t="s">
        <v>3320</v>
      </c>
      <c r="N163" s="18"/>
      <c r="O163" s="18" t="n">
        <v>0</v>
      </c>
    </row>
    <row r="164" customFormat="false" ht="17.15" hidden="false" customHeight="false" outlineLevel="0" collapsed="false">
      <c r="A164" s="0" t="s">
        <v>3742</v>
      </c>
      <c r="B164" s="0" t="s">
        <v>1486</v>
      </c>
      <c r="C164" s="0" t="s">
        <v>873</v>
      </c>
      <c r="D164" s="0" t="s">
        <v>2086</v>
      </c>
      <c r="E164" s="0" t="s">
        <v>29</v>
      </c>
      <c r="F164" s="0" t="s">
        <v>2108</v>
      </c>
      <c r="G164" s="9" t="n">
        <v>8.13</v>
      </c>
      <c r="H164" s="21" t="s">
        <v>3315</v>
      </c>
      <c r="I164" s="21" t="s">
        <v>3743</v>
      </c>
      <c r="J164" s="21" t="s">
        <v>3371</v>
      </c>
      <c r="K164" s="21" t="s">
        <v>3744</v>
      </c>
      <c r="L164" s="21" t="s">
        <v>3745</v>
      </c>
      <c r="M164" s="5" t="s">
        <v>2148</v>
      </c>
      <c r="N164" s="21" t="s">
        <v>3746</v>
      </c>
      <c r="O164" s="0" t="n">
        <v>1</v>
      </c>
    </row>
    <row r="165" customFormat="false" ht="17.15" hidden="false" customHeight="false" outlineLevel="0" collapsed="false">
      <c r="A165" s="0" t="s">
        <v>3747</v>
      </c>
      <c r="B165" s="0" t="s">
        <v>1486</v>
      </c>
      <c r="C165" s="0" t="s">
        <v>873</v>
      </c>
      <c r="D165" s="0" t="s">
        <v>2086</v>
      </c>
      <c r="E165" s="0" t="s">
        <v>29</v>
      </c>
      <c r="F165" s="0" t="s">
        <v>2111</v>
      </c>
      <c r="G165" s="9" t="n">
        <v>-3.626</v>
      </c>
      <c r="H165" s="21" t="s">
        <v>3315</v>
      </c>
      <c r="I165" s="21" t="s">
        <v>3413</v>
      </c>
      <c r="J165" s="21" t="s">
        <v>3327</v>
      </c>
      <c r="K165" s="21" t="s">
        <v>3744</v>
      </c>
      <c r="L165" s="21" t="s">
        <v>3745</v>
      </c>
      <c r="M165" s="5" t="s">
        <v>2148</v>
      </c>
      <c r="N165" s="21" t="s">
        <v>3746</v>
      </c>
      <c r="O165" s="0" t="n">
        <v>1</v>
      </c>
    </row>
    <row r="166" customFormat="false" ht="17.15" hidden="false" customHeight="false" outlineLevel="0" collapsed="false">
      <c r="A166" s="0" t="s">
        <v>3748</v>
      </c>
      <c r="B166" s="0" t="s">
        <v>1486</v>
      </c>
      <c r="C166" s="0" t="s">
        <v>873</v>
      </c>
      <c r="D166" s="0" t="s">
        <v>3516</v>
      </c>
      <c r="E166" s="0" t="s">
        <v>29</v>
      </c>
      <c r="F166" s="0" t="s">
        <v>2140</v>
      </c>
      <c r="G166" s="9" t="n">
        <v>4.338</v>
      </c>
      <c r="H166" s="21" t="s">
        <v>3315</v>
      </c>
      <c r="I166" s="5" t="s">
        <v>3749</v>
      </c>
      <c r="J166" s="21" t="s">
        <v>3371</v>
      </c>
      <c r="K166" s="21" t="s">
        <v>3744</v>
      </c>
      <c r="L166" s="21" t="s">
        <v>3745</v>
      </c>
      <c r="M166" s="21" t="s">
        <v>2143</v>
      </c>
      <c r="N166" s="21" t="s">
        <v>3746</v>
      </c>
      <c r="O166" s="0" t="n">
        <v>1</v>
      </c>
    </row>
    <row r="167" customFormat="false" ht="17.15" hidden="false" customHeight="false" outlineLevel="0" collapsed="false">
      <c r="A167" s="0" t="s">
        <v>2142</v>
      </c>
      <c r="B167" s="0" t="s">
        <v>1486</v>
      </c>
      <c r="C167" s="0" t="s">
        <v>873</v>
      </c>
      <c r="D167" s="0" t="s">
        <v>2139</v>
      </c>
      <c r="E167" s="0" t="s">
        <v>3376</v>
      </c>
      <c r="F167" s="0" t="s">
        <v>2140</v>
      </c>
      <c r="G167" s="9" t="n">
        <v>5.75</v>
      </c>
      <c r="H167" s="21" t="s">
        <v>3315</v>
      </c>
      <c r="I167" s="5" t="s">
        <v>2141</v>
      </c>
      <c r="J167" s="21" t="s">
        <v>3371</v>
      </c>
      <c r="K167" s="21" t="s">
        <v>3744</v>
      </c>
      <c r="L167" s="21" t="s">
        <v>3745</v>
      </c>
      <c r="M167" s="21" t="s">
        <v>2143</v>
      </c>
      <c r="N167" s="21" t="s">
        <v>3746</v>
      </c>
      <c r="O167" s="0" t="n">
        <v>1</v>
      </c>
    </row>
    <row r="168" customFormat="false" ht="17.15" hidden="false" customHeight="false" outlineLevel="0" collapsed="false">
      <c r="A168" s="0" t="s">
        <v>2147</v>
      </c>
      <c r="B168" s="0" t="s">
        <v>1486</v>
      </c>
      <c r="C168" s="0" t="s">
        <v>873</v>
      </c>
      <c r="D168" s="0" t="s">
        <v>2144</v>
      </c>
      <c r="E168" s="0" t="s">
        <v>3376</v>
      </c>
      <c r="F168" s="0" t="s">
        <v>2145</v>
      </c>
      <c r="G168" s="9" t="n">
        <v>0.775</v>
      </c>
      <c r="H168" s="21" t="s">
        <v>3315</v>
      </c>
      <c r="I168" s="5" t="s">
        <v>2146</v>
      </c>
      <c r="J168" s="21" t="s">
        <v>3371</v>
      </c>
      <c r="K168" s="21" t="s">
        <v>3744</v>
      </c>
      <c r="L168" s="21" t="s">
        <v>3745</v>
      </c>
      <c r="M168" s="5" t="s">
        <v>2148</v>
      </c>
      <c r="N168" s="21" t="s">
        <v>3746</v>
      </c>
      <c r="O168" s="0" t="n">
        <v>1</v>
      </c>
    </row>
    <row r="169" customFormat="false" ht="17.15" hidden="false" customHeight="false" outlineLevel="0" collapsed="false">
      <c r="A169" s="0" t="s">
        <v>3750</v>
      </c>
      <c r="B169" s="0" t="s">
        <v>1486</v>
      </c>
      <c r="C169" s="0" t="s">
        <v>873</v>
      </c>
      <c r="D169" s="0" t="s">
        <v>2086</v>
      </c>
      <c r="E169" s="0" t="s">
        <v>29</v>
      </c>
      <c r="F169" s="0" t="s">
        <v>2099</v>
      </c>
      <c r="G169" s="9" t="n">
        <v>4.811</v>
      </c>
      <c r="H169" s="21" t="s">
        <v>3315</v>
      </c>
      <c r="I169" s="21" t="s">
        <v>3751</v>
      </c>
      <c r="J169" s="21" t="s">
        <v>3371</v>
      </c>
      <c r="K169" s="21" t="s">
        <v>3744</v>
      </c>
      <c r="L169" s="21" t="s">
        <v>3745</v>
      </c>
      <c r="M169" s="5" t="s">
        <v>2148</v>
      </c>
      <c r="N169" s="21" t="s">
        <v>3746</v>
      </c>
      <c r="O169" s="0" t="n">
        <v>1</v>
      </c>
    </row>
    <row r="170" customFormat="false" ht="17.15" hidden="false" customHeight="false" outlineLevel="0" collapsed="false">
      <c r="A170" s="0" t="s">
        <v>3752</v>
      </c>
      <c r="B170" s="0" t="s">
        <v>1486</v>
      </c>
      <c r="C170" s="0" t="s">
        <v>873</v>
      </c>
      <c r="D170" s="0" t="s">
        <v>124</v>
      </c>
      <c r="E170" s="0" t="s">
        <v>29</v>
      </c>
      <c r="F170" s="0" t="s">
        <v>2123</v>
      </c>
      <c r="G170" s="9" t="n">
        <v>12.054</v>
      </c>
      <c r="H170" s="21" t="s">
        <v>3315</v>
      </c>
      <c r="I170" s="5" t="s">
        <v>3753</v>
      </c>
      <c r="J170" s="21" t="s">
        <v>3371</v>
      </c>
      <c r="K170" s="21" t="s">
        <v>3744</v>
      </c>
      <c r="L170" s="21" t="s">
        <v>3745</v>
      </c>
      <c r="M170" s="21" t="s">
        <v>2143</v>
      </c>
      <c r="N170" s="21" t="s">
        <v>3746</v>
      </c>
      <c r="O170" s="0" t="n">
        <v>1</v>
      </c>
    </row>
    <row r="171" customFormat="false" ht="17.15" hidden="false" customHeight="false" outlineLevel="0" collapsed="false">
      <c r="A171" s="0" t="s">
        <v>3754</v>
      </c>
      <c r="B171" s="0" t="s">
        <v>1486</v>
      </c>
      <c r="C171" s="0" t="s">
        <v>873</v>
      </c>
      <c r="D171" s="0" t="s">
        <v>124</v>
      </c>
      <c r="E171" s="0" t="s">
        <v>29</v>
      </c>
      <c r="F171" s="0" t="s">
        <v>2120</v>
      </c>
      <c r="G171" s="9" t="n">
        <v>-13.675</v>
      </c>
      <c r="H171" s="21" t="s">
        <v>3315</v>
      </c>
      <c r="I171" s="5" t="s">
        <v>3755</v>
      </c>
      <c r="J171" s="21" t="s">
        <v>3327</v>
      </c>
      <c r="K171" s="21" t="s">
        <v>3744</v>
      </c>
      <c r="L171" s="21" t="s">
        <v>3745</v>
      </c>
      <c r="M171" s="5" t="s">
        <v>2148</v>
      </c>
      <c r="N171" s="21" t="s">
        <v>3746</v>
      </c>
      <c r="O171" s="0" t="n">
        <v>1</v>
      </c>
    </row>
    <row r="172" customFormat="false" ht="17.15" hidden="false" customHeight="false" outlineLevel="0" collapsed="false">
      <c r="A172" s="0" t="s">
        <v>2150</v>
      </c>
      <c r="B172" s="0" t="s">
        <v>1486</v>
      </c>
      <c r="C172" s="0" t="s">
        <v>873</v>
      </c>
      <c r="D172" s="0" t="s">
        <v>2093</v>
      </c>
      <c r="E172" s="0" t="s">
        <v>3369</v>
      </c>
      <c r="F172" s="0" t="s">
        <v>2108</v>
      </c>
      <c r="G172" s="9" t="n">
        <v>22.5</v>
      </c>
      <c r="H172" s="21" t="s">
        <v>3315</v>
      </c>
      <c r="I172" s="5" t="s">
        <v>2149</v>
      </c>
      <c r="J172" s="21" t="s">
        <v>3371</v>
      </c>
      <c r="K172" s="21" t="s">
        <v>3756</v>
      </c>
      <c r="L172" s="21" t="s">
        <v>3734</v>
      </c>
      <c r="M172" s="5" t="s">
        <v>2117</v>
      </c>
      <c r="N172" s="21" t="s">
        <v>3757</v>
      </c>
      <c r="O172" s="0" t="n">
        <v>1</v>
      </c>
    </row>
    <row r="173" customFormat="false" ht="17.15" hidden="false" customHeight="false" outlineLevel="0" collapsed="false">
      <c r="A173" s="18" t="s">
        <v>3758</v>
      </c>
      <c r="B173" s="18" t="s">
        <v>1682</v>
      </c>
      <c r="C173" s="18" t="s">
        <v>753</v>
      </c>
      <c r="D173" s="18" t="s">
        <v>3759</v>
      </c>
      <c r="E173" s="18" t="s">
        <v>28</v>
      </c>
      <c r="F173" s="18" t="s">
        <v>2099</v>
      </c>
      <c r="G173" s="18" t="n">
        <v>40</v>
      </c>
      <c r="H173" s="18" t="s">
        <v>3315</v>
      </c>
      <c r="I173" s="18" t="s">
        <v>3760</v>
      </c>
      <c r="J173" s="18" t="s">
        <v>3371</v>
      </c>
      <c r="K173" s="18" t="s">
        <v>3761</v>
      </c>
      <c r="L173" s="18" t="s">
        <v>3762</v>
      </c>
      <c r="M173" s="19" t="s">
        <v>3320</v>
      </c>
      <c r="N173" s="18"/>
      <c r="O173" s="18" t="n">
        <v>0</v>
      </c>
    </row>
    <row r="174" customFormat="false" ht="17.15" hidden="false" customHeight="false" outlineLevel="0" collapsed="false">
      <c r="A174" s="18" t="s">
        <v>3763</v>
      </c>
      <c r="B174" s="18" t="s">
        <v>1682</v>
      </c>
      <c r="C174" s="18" t="s">
        <v>753</v>
      </c>
      <c r="D174" s="18" t="s">
        <v>3764</v>
      </c>
      <c r="E174" s="18" t="s">
        <v>28</v>
      </c>
      <c r="F174" s="18" t="s">
        <v>2099</v>
      </c>
      <c r="G174" s="18" t="n">
        <v>6.6</v>
      </c>
      <c r="H174" s="18" t="s">
        <v>3315</v>
      </c>
      <c r="I174" s="19" t="s">
        <v>3765</v>
      </c>
      <c r="J174" s="18" t="s">
        <v>3371</v>
      </c>
      <c r="K174" s="18" t="s">
        <v>3766</v>
      </c>
      <c r="L174" s="18" t="s">
        <v>3767</v>
      </c>
      <c r="M174" s="19" t="s">
        <v>3320</v>
      </c>
      <c r="N174" s="18"/>
      <c r="O174" s="18" t="n">
        <v>0</v>
      </c>
    </row>
    <row r="175" customFormat="false" ht="17.15" hidden="false" customHeight="false" outlineLevel="0" collapsed="false">
      <c r="A175" s="0" t="s">
        <v>3768</v>
      </c>
      <c r="B175" s="0" t="s">
        <v>1682</v>
      </c>
      <c r="C175" s="0" t="s">
        <v>753</v>
      </c>
      <c r="D175" s="0" t="s">
        <v>3769</v>
      </c>
      <c r="E175" s="0" t="s">
        <v>29</v>
      </c>
      <c r="F175" s="0" t="s">
        <v>2099</v>
      </c>
      <c r="G175" s="9" t="n">
        <v>122</v>
      </c>
      <c r="H175" s="21" t="s">
        <v>3315</v>
      </c>
      <c r="I175" s="5" t="s">
        <v>3770</v>
      </c>
      <c r="J175" s="21" t="s">
        <v>3371</v>
      </c>
      <c r="K175" s="21" t="s">
        <v>3771</v>
      </c>
      <c r="L175" s="21" t="s">
        <v>3772</v>
      </c>
      <c r="M175" s="5" t="s">
        <v>2097</v>
      </c>
      <c r="O175" s="0" t="n">
        <v>1</v>
      </c>
    </row>
    <row r="176" customFormat="false" ht="17.15" hidden="false" customHeight="false" outlineLevel="0" collapsed="false">
      <c r="A176" s="18" t="s">
        <v>3773</v>
      </c>
      <c r="B176" s="18" t="s">
        <v>1682</v>
      </c>
      <c r="C176" s="18" t="s">
        <v>753</v>
      </c>
      <c r="D176" s="18" t="s">
        <v>3774</v>
      </c>
      <c r="E176" s="18" t="s">
        <v>29</v>
      </c>
      <c r="F176" s="18" t="s">
        <v>2099</v>
      </c>
      <c r="G176" s="18" t="n">
        <v>30</v>
      </c>
      <c r="H176" s="18" t="s">
        <v>3315</v>
      </c>
      <c r="I176" s="19" t="s">
        <v>3775</v>
      </c>
      <c r="J176" s="18" t="s">
        <v>3371</v>
      </c>
      <c r="K176" s="18" t="s">
        <v>3776</v>
      </c>
      <c r="L176" s="18" t="s">
        <v>3777</v>
      </c>
      <c r="M176" s="19" t="s">
        <v>3320</v>
      </c>
      <c r="N176" s="18"/>
      <c r="O176" s="18" t="n">
        <v>0</v>
      </c>
    </row>
    <row r="177" customFormat="false" ht="17.15" hidden="false" customHeight="false" outlineLevel="0" collapsed="false">
      <c r="A177" s="18" t="s">
        <v>3778</v>
      </c>
      <c r="B177" s="18" t="s">
        <v>1682</v>
      </c>
      <c r="C177" s="18" t="s">
        <v>753</v>
      </c>
      <c r="D177" s="18" t="s">
        <v>3779</v>
      </c>
      <c r="E177" s="18" t="s">
        <v>3376</v>
      </c>
      <c r="F177" s="18" t="s">
        <v>3780</v>
      </c>
      <c r="G177" s="18" t="n">
        <v>4</v>
      </c>
      <c r="H177" s="18" t="s">
        <v>3315</v>
      </c>
      <c r="I177" s="19" t="s">
        <v>3781</v>
      </c>
      <c r="J177" s="18" t="s">
        <v>3371</v>
      </c>
      <c r="K177" s="18" t="s">
        <v>3782</v>
      </c>
      <c r="L177" s="18" t="s">
        <v>3783</v>
      </c>
      <c r="M177" s="19" t="s">
        <v>3320</v>
      </c>
      <c r="N177" s="18"/>
      <c r="O177" s="18" t="n">
        <v>0</v>
      </c>
    </row>
    <row r="178" customFormat="false" ht="17.15" hidden="false" customHeight="false" outlineLevel="0" collapsed="false">
      <c r="A178" s="18" t="s">
        <v>3784</v>
      </c>
      <c r="B178" s="18" t="s">
        <v>1682</v>
      </c>
      <c r="C178" s="18" t="s">
        <v>753</v>
      </c>
      <c r="D178" s="18" t="s">
        <v>3523</v>
      </c>
      <c r="E178" s="18" t="s">
        <v>29</v>
      </c>
      <c r="F178" s="18" t="s">
        <v>3780</v>
      </c>
      <c r="G178" s="18" t="n">
        <v>0.52</v>
      </c>
      <c r="H178" s="18" t="s">
        <v>3315</v>
      </c>
      <c r="I178" s="18" t="s">
        <v>3785</v>
      </c>
      <c r="J178" s="18" t="s">
        <v>3371</v>
      </c>
      <c r="K178" s="18" t="s">
        <v>3786</v>
      </c>
      <c r="L178" s="18" t="s">
        <v>3787</v>
      </c>
      <c r="M178" s="19" t="s">
        <v>3320</v>
      </c>
      <c r="N178" s="18"/>
      <c r="O178" s="18" t="n">
        <v>0</v>
      </c>
    </row>
    <row r="179" customFormat="false" ht="17.15" hidden="false" customHeight="false" outlineLevel="0" collapsed="false">
      <c r="A179" s="0" t="s">
        <v>3788</v>
      </c>
      <c r="B179" s="0" t="s">
        <v>1682</v>
      </c>
      <c r="C179" s="0" t="s">
        <v>753</v>
      </c>
      <c r="D179" s="0" t="s">
        <v>2082</v>
      </c>
      <c r="E179" s="0" t="s">
        <v>28</v>
      </c>
      <c r="F179" s="0" t="s">
        <v>2111</v>
      </c>
      <c r="G179" s="9" t="n">
        <v>-8</v>
      </c>
      <c r="H179" s="21" t="s">
        <v>3315</v>
      </c>
      <c r="I179" s="5" t="s">
        <v>3789</v>
      </c>
      <c r="J179" s="21" t="s">
        <v>3371</v>
      </c>
      <c r="K179" s="21" t="s">
        <v>3790</v>
      </c>
      <c r="L179" s="21" t="s">
        <v>3791</v>
      </c>
      <c r="M179" s="5" t="s">
        <v>2097</v>
      </c>
      <c r="O179" s="0" t="n">
        <v>1</v>
      </c>
    </row>
    <row r="180" customFormat="false" ht="17.15" hidden="false" customHeight="false" outlineLevel="0" collapsed="false">
      <c r="A180" s="0" t="s">
        <v>2152</v>
      </c>
      <c r="B180" s="0" t="s">
        <v>1682</v>
      </c>
      <c r="C180" s="0" t="s">
        <v>753</v>
      </c>
      <c r="D180" s="0" t="s">
        <v>2093</v>
      </c>
      <c r="E180" s="0" t="s">
        <v>3369</v>
      </c>
      <c r="F180" s="0" t="s">
        <v>2111</v>
      </c>
      <c r="G180" s="9" t="n">
        <v>-25</v>
      </c>
      <c r="H180" s="21" t="s">
        <v>3315</v>
      </c>
      <c r="I180" s="5" t="s">
        <v>2151</v>
      </c>
      <c r="J180" s="21" t="s">
        <v>3371</v>
      </c>
      <c r="K180" s="21" t="s">
        <v>3790</v>
      </c>
      <c r="L180" s="21" t="s">
        <v>3791</v>
      </c>
      <c r="M180" s="5" t="s">
        <v>2097</v>
      </c>
      <c r="O180" s="0" t="n">
        <v>1</v>
      </c>
    </row>
    <row r="181" customFormat="false" ht="17.15" hidden="false" customHeight="false" outlineLevel="0" collapsed="false">
      <c r="A181" s="18" t="s">
        <v>3792</v>
      </c>
      <c r="B181" s="18" t="s">
        <v>1682</v>
      </c>
      <c r="C181" s="18" t="s">
        <v>753</v>
      </c>
      <c r="D181" s="18" t="s">
        <v>3793</v>
      </c>
      <c r="E181" s="18" t="s">
        <v>28</v>
      </c>
      <c r="F181" s="18" t="s">
        <v>3603</v>
      </c>
      <c r="G181" s="18" t="n">
        <v>45</v>
      </c>
      <c r="H181" s="18" t="s">
        <v>3315</v>
      </c>
      <c r="I181" s="18" t="s">
        <v>3794</v>
      </c>
      <c r="J181" s="18" t="s">
        <v>3371</v>
      </c>
      <c r="K181" s="18" t="s">
        <v>3795</v>
      </c>
      <c r="L181" s="18" t="s">
        <v>3796</v>
      </c>
      <c r="M181" s="19" t="s">
        <v>3320</v>
      </c>
      <c r="N181" s="18" t="s">
        <v>3797</v>
      </c>
      <c r="O181" s="18" t="n">
        <v>0</v>
      </c>
    </row>
    <row r="182" customFormat="false" ht="17.15" hidden="false" customHeight="false" outlineLevel="0" collapsed="false">
      <c r="A182" s="0" t="s">
        <v>3798</v>
      </c>
      <c r="B182" s="0" t="s">
        <v>1682</v>
      </c>
      <c r="C182" s="0" t="s">
        <v>753</v>
      </c>
      <c r="D182" s="0" t="s">
        <v>2139</v>
      </c>
      <c r="E182" s="0" t="s">
        <v>29</v>
      </c>
      <c r="F182" s="0" t="s">
        <v>3603</v>
      </c>
      <c r="G182" s="9" t="n">
        <v>105</v>
      </c>
      <c r="H182" s="21" t="s">
        <v>3315</v>
      </c>
      <c r="I182" s="21" t="s">
        <v>3799</v>
      </c>
      <c r="J182" s="21" t="s">
        <v>3371</v>
      </c>
      <c r="K182" s="21" t="s">
        <v>3800</v>
      </c>
      <c r="L182" s="21" t="s">
        <v>3801</v>
      </c>
      <c r="M182" s="5" t="s">
        <v>2117</v>
      </c>
      <c r="N182" s="21" t="s">
        <v>3802</v>
      </c>
      <c r="O182" s="0" t="n">
        <v>1</v>
      </c>
    </row>
    <row r="183" customFormat="false" ht="17.15" hidden="false" customHeight="false" outlineLevel="0" collapsed="false">
      <c r="A183" s="18" t="s">
        <v>3803</v>
      </c>
      <c r="B183" s="18" t="s">
        <v>1682</v>
      </c>
      <c r="C183" s="18" t="s">
        <v>753</v>
      </c>
      <c r="D183" s="18" t="s">
        <v>3652</v>
      </c>
      <c r="E183" s="18" t="s">
        <v>29</v>
      </c>
      <c r="F183" s="18" t="s">
        <v>2129</v>
      </c>
      <c r="G183" s="18" t="n">
        <v>30</v>
      </c>
      <c r="H183" s="18" t="s">
        <v>3315</v>
      </c>
      <c r="I183" s="18" t="s">
        <v>3804</v>
      </c>
      <c r="J183" s="18" t="s">
        <v>3371</v>
      </c>
      <c r="K183" s="18" t="s">
        <v>3805</v>
      </c>
      <c r="L183" s="18" t="s">
        <v>3806</v>
      </c>
      <c r="M183" s="19" t="s">
        <v>3320</v>
      </c>
      <c r="N183" s="18"/>
      <c r="O183" s="18" t="n">
        <v>0</v>
      </c>
    </row>
    <row r="184" customFormat="false" ht="17.15" hidden="false" customHeight="false" outlineLevel="0" collapsed="false">
      <c r="A184" s="18" t="s">
        <v>3807</v>
      </c>
      <c r="B184" s="18" t="s">
        <v>1682</v>
      </c>
      <c r="C184" s="18" t="s">
        <v>753</v>
      </c>
      <c r="D184" s="18" t="s">
        <v>3808</v>
      </c>
      <c r="E184" s="18" t="s">
        <v>28</v>
      </c>
      <c r="F184" s="18" t="s">
        <v>2129</v>
      </c>
      <c r="G184" s="18"/>
      <c r="H184" s="18" t="s">
        <v>3315</v>
      </c>
      <c r="I184" s="18" t="s">
        <v>3809</v>
      </c>
      <c r="J184" s="18" t="s">
        <v>3371</v>
      </c>
      <c r="K184" s="18" t="s">
        <v>3810</v>
      </c>
      <c r="L184" s="18" t="s">
        <v>3811</v>
      </c>
      <c r="M184" s="19" t="s">
        <v>3320</v>
      </c>
      <c r="N184" s="18" t="s">
        <v>3812</v>
      </c>
      <c r="O184" s="18" t="n">
        <v>0</v>
      </c>
    </row>
    <row r="185" customFormat="false" ht="17.15" hidden="false" customHeight="false" outlineLevel="0" collapsed="false">
      <c r="A185" s="0" t="s">
        <v>3813</v>
      </c>
      <c r="B185" s="0" t="s">
        <v>1682</v>
      </c>
      <c r="C185" s="0" t="s">
        <v>753</v>
      </c>
      <c r="D185" s="0" t="s">
        <v>3814</v>
      </c>
      <c r="E185" s="0" t="s">
        <v>29</v>
      </c>
      <c r="F185" s="0" t="s">
        <v>2129</v>
      </c>
      <c r="G185" s="9" t="n">
        <v>40</v>
      </c>
      <c r="H185" s="21" t="s">
        <v>3315</v>
      </c>
      <c r="I185" s="21" t="s">
        <v>3815</v>
      </c>
      <c r="J185" s="21" t="s">
        <v>3371</v>
      </c>
      <c r="K185" s="21" t="s">
        <v>3816</v>
      </c>
      <c r="L185" s="21" t="s">
        <v>3817</v>
      </c>
      <c r="M185" s="5" t="s">
        <v>2097</v>
      </c>
      <c r="O185" s="0" t="n">
        <v>1</v>
      </c>
    </row>
    <row r="186" customFormat="false" ht="17.15" hidden="false" customHeight="false" outlineLevel="0" collapsed="false">
      <c r="A186" s="18" t="s">
        <v>3818</v>
      </c>
      <c r="B186" s="18" t="s">
        <v>1683</v>
      </c>
      <c r="C186" s="18" t="s">
        <v>737</v>
      </c>
      <c r="D186" s="18" t="s">
        <v>3819</v>
      </c>
      <c r="E186" s="18" t="s">
        <v>28</v>
      </c>
      <c r="F186" s="18" t="s">
        <v>2099</v>
      </c>
      <c r="G186" s="18" t="n">
        <v>3.5</v>
      </c>
      <c r="H186" s="18" t="s">
        <v>3315</v>
      </c>
      <c r="I186" s="18" t="s">
        <v>3820</v>
      </c>
      <c r="J186" s="18" t="s">
        <v>3371</v>
      </c>
      <c r="K186" s="18" t="s">
        <v>3821</v>
      </c>
      <c r="L186" s="18" t="s">
        <v>3822</v>
      </c>
      <c r="M186" s="19" t="s">
        <v>3320</v>
      </c>
      <c r="N186" s="18"/>
      <c r="O186" s="18" t="n">
        <v>0</v>
      </c>
    </row>
    <row r="187" customFormat="false" ht="17.15" hidden="false" customHeight="false" outlineLevel="0" collapsed="false">
      <c r="A187" s="18" t="s">
        <v>3823</v>
      </c>
      <c r="B187" s="18" t="s">
        <v>1683</v>
      </c>
      <c r="C187" s="18" t="s">
        <v>737</v>
      </c>
      <c r="D187" s="18" t="s">
        <v>3824</v>
      </c>
      <c r="E187" s="18" t="s">
        <v>28</v>
      </c>
      <c r="F187" s="18" t="s">
        <v>2099</v>
      </c>
      <c r="G187" s="18" t="n">
        <v>13</v>
      </c>
      <c r="H187" s="18" t="s">
        <v>3315</v>
      </c>
      <c r="I187" s="18" t="s">
        <v>3825</v>
      </c>
      <c r="J187" s="18" t="s">
        <v>3371</v>
      </c>
      <c r="K187" s="18" t="s">
        <v>3821</v>
      </c>
      <c r="L187" s="18" t="s">
        <v>3826</v>
      </c>
      <c r="M187" s="19" t="s">
        <v>3320</v>
      </c>
      <c r="N187" s="18"/>
      <c r="O187" s="18" t="n">
        <v>0</v>
      </c>
    </row>
    <row r="188" customFormat="false" ht="17.15" hidden="false" customHeight="false" outlineLevel="0" collapsed="false">
      <c r="A188" s="0" t="s">
        <v>3827</v>
      </c>
      <c r="B188" s="0" t="s">
        <v>1683</v>
      </c>
      <c r="C188" s="0" t="s">
        <v>737</v>
      </c>
      <c r="D188" s="0" t="s">
        <v>3828</v>
      </c>
      <c r="E188" s="0" t="s">
        <v>29</v>
      </c>
      <c r="F188" s="0" t="s">
        <v>2099</v>
      </c>
      <c r="G188" s="9" t="n">
        <v>30</v>
      </c>
      <c r="H188" s="21" t="s">
        <v>3315</v>
      </c>
      <c r="I188" s="21" t="s">
        <v>3829</v>
      </c>
      <c r="J188" s="21" t="s">
        <v>3371</v>
      </c>
      <c r="K188" s="21" t="s">
        <v>3830</v>
      </c>
      <c r="L188" s="21" t="s">
        <v>3831</v>
      </c>
      <c r="M188" s="21" t="s">
        <v>2143</v>
      </c>
      <c r="O188" s="0" t="n">
        <v>1</v>
      </c>
    </row>
    <row r="189" customFormat="false" ht="17.15" hidden="false" customHeight="false" outlineLevel="0" collapsed="false">
      <c r="A189" s="0" t="s">
        <v>3832</v>
      </c>
      <c r="B189" s="0" t="s">
        <v>1683</v>
      </c>
      <c r="C189" s="0" t="s">
        <v>737</v>
      </c>
      <c r="D189" s="0" t="s">
        <v>3833</v>
      </c>
      <c r="E189" s="0" t="s">
        <v>29</v>
      </c>
      <c r="F189" s="0" t="s">
        <v>2099</v>
      </c>
      <c r="G189" s="9" t="n">
        <v>65</v>
      </c>
      <c r="H189" s="21" t="s">
        <v>3315</v>
      </c>
      <c r="I189" s="21" t="s">
        <v>3834</v>
      </c>
      <c r="J189" s="21" t="s">
        <v>3371</v>
      </c>
      <c r="K189" s="21" t="s">
        <v>3830</v>
      </c>
      <c r="L189" s="21" t="s">
        <v>3835</v>
      </c>
      <c r="M189" s="5" t="s">
        <v>2097</v>
      </c>
      <c r="O189" s="0" t="n">
        <v>1</v>
      </c>
    </row>
    <row r="190" customFormat="false" ht="17.15" hidden="false" customHeight="false" outlineLevel="0" collapsed="false">
      <c r="A190" s="18" t="s">
        <v>3836</v>
      </c>
      <c r="B190" s="18" t="s">
        <v>1683</v>
      </c>
      <c r="C190" s="18" t="s">
        <v>737</v>
      </c>
      <c r="D190" s="18" t="s">
        <v>3837</v>
      </c>
      <c r="E190" s="18" t="s">
        <v>28</v>
      </c>
      <c r="F190" s="18" t="s">
        <v>2129</v>
      </c>
      <c r="G190" s="18" t="n">
        <v>15</v>
      </c>
      <c r="H190" s="18" t="s">
        <v>3315</v>
      </c>
      <c r="I190" s="18" t="s">
        <v>3838</v>
      </c>
      <c r="J190" s="18" t="s">
        <v>3371</v>
      </c>
      <c r="K190" s="18" t="s">
        <v>3821</v>
      </c>
      <c r="L190" s="18" t="s">
        <v>3839</v>
      </c>
      <c r="M190" s="19" t="s">
        <v>3320</v>
      </c>
      <c r="N190" s="18"/>
      <c r="O190" s="18" t="n">
        <v>0</v>
      </c>
    </row>
    <row r="191" customFormat="false" ht="17.15" hidden="false" customHeight="false" outlineLevel="0" collapsed="false">
      <c r="A191" s="18" t="s">
        <v>3840</v>
      </c>
      <c r="B191" s="18" t="s">
        <v>1683</v>
      </c>
      <c r="C191" s="18" t="s">
        <v>737</v>
      </c>
      <c r="D191" s="18" t="s">
        <v>3841</v>
      </c>
      <c r="E191" s="18" t="s">
        <v>29</v>
      </c>
      <c r="F191" s="18" t="s">
        <v>3780</v>
      </c>
      <c r="G191" s="18" t="n">
        <v>15</v>
      </c>
      <c r="H191" s="18" t="s">
        <v>3315</v>
      </c>
      <c r="I191" s="19" t="s">
        <v>3842</v>
      </c>
      <c r="J191" s="18" t="s">
        <v>3371</v>
      </c>
      <c r="K191" s="18" t="s">
        <v>3843</v>
      </c>
      <c r="L191" s="18" t="s">
        <v>3844</v>
      </c>
      <c r="M191" s="19" t="s">
        <v>3320</v>
      </c>
      <c r="N191" s="18"/>
      <c r="O191" s="18" t="n">
        <v>0</v>
      </c>
    </row>
    <row r="192" customFormat="false" ht="17.15" hidden="false" customHeight="false" outlineLevel="0" collapsed="false">
      <c r="A192" s="0" t="s">
        <v>3845</v>
      </c>
      <c r="B192" s="0" t="s">
        <v>1683</v>
      </c>
      <c r="C192" s="0" t="s">
        <v>737</v>
      </c>
      <c r="D192" s="0" t="s">
        <v>3846</v>
      </c>
      <c r="E192" s="0" t="s">
        <v>29</v>
      </c>
      <c r="F192" s="0" t="s">
        <v>2145</v>
      </c>
      <c r="G192" s="9" t="n">
        <v>35</v>
      </c>
      <c r="H192" s="21" t="s">
        <v>3315</v>
      </c>
      <c r="I192" s="21" t="s">
        <v>3847</v>
      </c>
      <c r="J192" s="21" t="s">
        <v>3371</v>
      </c>
      <c r="K192" s="21" t="s">
        <v>3848</v>
      </c>
      <c r="L192" s="21" t="s">
        <v>3849</v>
      </c>
      <c r="M192" s="5" t="s">
        <v>2097</v>
      </c>
      <c r="O192" s="0" t="n">
        <v>1</v>
      </c>
    </row>
    <row r="193" customFormat="false" ht="17.15" hidden="false" customHeight="false" outlineLevel="0" collapsed="false">
      <c r="A193" s="0" t="s">
        <v>3850</v>
      </c>
      <c r="B193" s="0" t="s">
        <v>1683</v>
      </c>
      <c r="C193" s="0" t="s">
        <v>737</v>
      </c>
      <c r="D193" s="0" t="s">
        <v>2139</v>
      </c>
      <c r="E193" s="0" t="s">
        <v>29</v>
      </c>
      <c r="F193" s="0" t="s">
        <v>3851</v>
      </c>
      <c r="G193" s="9" t="n">
        <v>36</v>
      </c>
      <c r="H193" s="21" t="s">
        <v>3315</v>
      </c>
      <c r="I193" s="5" t="s">
        <v>3852</v>
      </c>
      <c r="J193" s="21" t="s">
        <v>3371</v>
      </c>
      <c r="K193" s="21" t="s">
        <v>3853</v>
      </c>
      <c r="L193" s="21" t="s">
        <v>3849</v>
      </c>
      <c r="M193" s="5" t="s">
        <v>2117</v>
      </c>
      <c r="N193" s="21" t="s">
        <v>3854</v>
      </c>
      <c r="O193" s="0" t="n">
        <v>1</v>
      </c>
    </row>
    <row r="194" customFormat="false" ht="17.15" hidden="false" customHeight="false" outlineLevel="0" collapsed="false">
      <c r="A194" s="0" t="s">
        <v>3855</v>
      </c>
      <c r="B194" s="0" t="s">
        <v>1683</v>
      </c>
      <c r="C194" s="0" t="s">
        <v>737</v>
      </c>
      <c r="D194" s="0" t="s">
        <v>3856</v>
      </c>
      <c r="E194" s="0" t="s">
        <v>29</v>
      </c>
      <c r="F194" s="0" t="s">
        <v>2129</v>
      </c>
      <c r="G194" s="9" t="n">
        <v>42</v>
      </c>
      <c r="H194" s="21" t="s">
        <v>3315</v>
      </c>
      <c r="I194" s="21" t="s">
        <v>3857</v>
      </c>
      <c r="J194" s="21" t="s">
        <v>3371</v>
      </c>
      <c r="K194" s="21" t="s">
        <v>3858</v>
      </c>
      <c r="L194" s="21" t="s">
        <v>3859</v>
      </c>
      <c r="M194" s="5" t="s">
        <v>2097</v>
      </c>
      <c r="O194" s="0" t="n">
        <v>1</v>
      </c>
    </row>
    <row r="195" customFormat="false" ht="17.15" hidden="false" customHeight="false" outlineLevel="0" collapsed="false">
      <c r="A195" s="18" t="s">
        <v>3860</v>
      </c>
      <c r="B195" s="18" t="s">
        <v>1683</v>
      </c>
      <c r="C195" s="18" t="s">
        <v>737</v>
      </c>
      <c r="D195" s="18" t="s">
        <v>3861</v>
      </c>
      <c r="E195" s="18" t="s">
        <v>29</v>
      </c>
      <c r="F195" s="18" t="s">
        <v>3603</v>
      </c>
      <c r="G195" s="18" t="n">
        <v>15</v>
      </c>
      <c r="H195" s="18" t="s">
        <v>3315</v>
      </c>
      <c r="I195" s="18" t="s">
        <v>3862</v>
      </c>
      <c r="J195" s="18" t="s">
        <v>3371</v>
      </c>
      <c r="K195" s="18" t="s">
        <v>3863</v>
      </c>
      <c r="L195" s="18" t="s">
        <v>3864</v>
      </c>
      <c r="M195" s="19" t="s">
        <v>3320</v>
      </c>
      <c r="N195" s="18"/>
      <c r="O195" s="18" t="n">
        <v>0</v>
      </c>
    </row>
    <row r="196" customFormat="false" ht="17.15" hidden="false" customHeight="false" outlineLevel="0" collapsed="false">
      <c r="A196" s="18" t="s">
        <v>3865</v>
      </c>
      <c r="B196" s="18" t="s">
        <v>1683</v>
      </c>
      <c r="C196" s="18" t="s">
        <v>737</v>
      </c>
      <c r="D196" s="18" t="s">
        <v>3866</v>
      </c>
      <c r="E196" s="18" t="s">
        <v>28</v>
      </c>
      <c r="F196" s="18" t="s">
        <v>3867</v>
      </c>
      <c r="G196" s="18" t="n">
        <v>50</v>
      </c>
      <c r="H196" s="18" t="s">
        <v>3315</v>
      </c>
      <c r="I196" s="19" t="s">
        <v>3868</v>
      </c>
      <c r="J196" s="18" t="s">
        <v>3371</v>
      </c>
      <c r="K196" s="18" t="s">
        <v>3821</v>
      </c>
      <c r="L196" s="18" t="s">
        <v>3869</v>
      </c>
      <c r="M196" s="19" t="s">
        <v>3320</v>
      </c>
      <c r="N196" s="18" t="s">
        <v>3870</v>
      </c>
      <c r="O196" s="18" t="n">
        <v>0</v>
      </c>
    </row>
    <row r="197" customFormat="false" ht="17.15" hidden="false" customHeight="false" outlineLevel="0" collapsed="false">
      <c r="A197" s="18" t="s">
        <v>3871</v>
      </c>
      <c r="B197" s="18" t="s">
        <v>1683</v>
      </c>
      <c r="C197" s="18" t="s">
        <v>737</v>
      </c>
      <c r="D197" s="18" t="s">
        <v>2081</v>
      </c>
      <c r="E197" s="18" t="s">
        <v>3376</v>
      </c>
      <c r="F197" s="18" t="s">
        <v>2111</v>
      </c>
      <c r="G197" s="18" t="n">
        <v>-5.6</v>
      </c>
      <c r="H197" s="18" t="s">
        <v>3315</v>
      </c>
      <c r="I197" s="18" t="s">
        <v>3872</v>
      </c>
      <c r="J197" s="18" t="s">
        <v>3371</v>
      </c>
      <c r="K197" s="18" t="s">
        <v>3873</v>
      </c>
      <c r="L197" s="18" t="s">
        <v>3874</v>
      </c>
      <c r="M197" s="19" t="s">
        <v>3320</v>
      </c>
      <c r="N197" s="18"/>
      <c r="O197" s="18" t="n">
        <v>0</v>
      </c>
    </row>
    <row r="198" customFormat="false" ht="17.15" hidden="false" customHeight="false" outlineLevel="0" collapsed="false">
      <c r="A198" s="18" t="s">
        <v>3875</v>
      </c>
      <c r="B198" s="18" t="s">
        <v>1683</v>
      </c>
      <c r="C198" s="18" t="s">
        <v>737</v>
      </c>
      <c r="D198" s="18" t="s">
        <v>3703</v>
      </c>
      <c r="E198" s="18" t="s">
        <v>28</v>
      </c>
      <c r="F198" s="18" t="s">
        <v>3876</v>
      </c>
      <c r="G198" s="18" t="n">
        <v>20.28</v>
      </c>
      <c r="H198" s="18" t="s">
        <v>3315</v>
      </c>
      <c r="I198" s="19" t="s">
        <v>3877</v>
      </c>
      <c r="J198" s="18" t="s">
        <v>3371</v>
      </c>
      <c r="K198" s="18" t="s">
        <v>3878</v>
      </c>
      <c r="L198" s="18" t="s">
        <v>3879</v>
      </c>
      <c r="M198" s="19" t="s">
        <v>3320</v>
      </c>
      <c r="N198" s="18" t="s">
        <v>3880</v>
      </c>
      <c r="O198" s="18" t="n">
        <v>0</v>
      </c>
    </row>
    <row r="199" customFormat="false" ht="17.15" hidden="false" customHeight="false" outlineLevel="0" collapsed="false">
      <c r="A199" s="18" t="s">
        <v>3881</v>
      </c>
      <c r="B199" s="18" t="s">
        <v>1683</v>
      </c>
      <c r="C199" s="18" t="s">
        <v>737</v>
      </c>
      <c r="D199" s="18" t="s">
        <v>3882</v>
      </c>
      <c r="E199" s="18" t="s">
        <v>29</v>
      </c>
      <c r="F199" s="18" t="s">
        <v>2111</v>
      </c>
      <c r="G199" s="18" t="n">
        <v>0</v>
      </c>
      <c r="H199" s="18" t="s">
        <v>3315</v>
      </c>
      <c r="I199" s="18" t="s">
        <v>3883</v>
      </c>
      <c r="J199" s="18" t="s">
        <v>3371</v>
      </c>
      <c r="K199" s="18" t="s">
        <v>3884</v>
      </c>
      <c r="L199" s="18" t="s">
        <v>3885</v>
      </c>
      <c r="M199" s="19" t="s">
        <v>3320</v>
      </c>
      <c r="N199" s="18"/>
      <c r="O199" s="18" t="n">
        <v>0</v>
      </c>
    </row>
    <row r="200" customFormat="false" ht="17.15" hidden="false" customHeight="false" outlineLevel="0" collapsed="false">
      <c r="A200" s="18" t="s">
        <v>3886</v>
      </c>
      <c r="B200" s="18" t="s">
        <v>1683</v>
      </c>
      <c r="C200" s="18" t="s">
        <v>737</v>
      </c>
      <c r="D200" s="18" t="s">
        <v>3887</v>
      </c>
      <c r="E200" s="18" t="s">
        <v>3376</v>
      </c>
      <c r="F200" s="18" t="s">
        <v>2099</v>
      </c>
      <c r="G200" s="18" t="n">
        <v>100</v>
      </c>
      <c r="H200" s="18" t="s">
        <v>3315</v>
      </c>
      <c r="I200" s="18" t="s">
        <v>3888</v>
      </c>
      <c r="J200" s="18" t="s">
        <v>3371</v>
      </c>
      <c r="K200" s="18" t="s">
        <v>3889</v>
      </c>
      <c r="L200" s="18" t="s">
        <v>3890</v>
      </c>
      <c r="M200" s="19" t="s">
        <v>3320</v>
      </c>
      <c r="N200" s="18"/>
      <c r="O200" s="18" t="n">
        <v>0</v>
      </c>
    </row>
    <row r="201" customFormat="false" ht="17.15" hidden="false" customHeight="false" outlineLevel="0" collapsed="false">
      <c r="A201" s="18" t="s">
        <v>3891</v>
      </c>
      <c r="B201" s="18" t="s">
        <v>1683</v>
      </c>
      <c r="C201" s="18" t="s">
        <v>737</v>
      </c>
      <c r="D201" s="18" t="s">
        <v>3892</v>
      </c>
      <c r="E201" s="18" t="s">
        <v>29</v>
      </c>
      <c r="F201" s="18" t="s">
        <v>3382</v>
      </c>
      <c r="G201" s="18" t="n">
        <v>15</v>
      </c>
      <c r="H201" s="18" t="s">
        <v>3315</v>
      </c>
      <c r="I201" s="19" t="s">
        <v>3893</v>
      </c>
      <c r="J201" s="18" t="s">
        <v>3894</v>
      </c>
      <c r="K201" s="18" t="s">
        <v>3895</v>
      </c>
      <c r="L201" s="18" t="s">
        <v>3896</v>
      </c>
      <c r="M201" s="18" t="s">
        <v>3387</v>
      </c>
      <c r="N201" s="18" t="s">
        <v>3897</v>
      </c>
      <c r="O201" s="18" t="n">
        <v>0</v>
      </c>
    </row>
    <row r="202" customFormat="false" ht="17.15" hidden="false" customHeight="false" outlineLevel="0" collapsed="false">
      <c r="A202" s="18" t="s">
        <v>3898</v>
      </c>
      <c r="B202" s="18" t="s">
        <v>3899</v>
      </c>
      <c r="C202" s="18" t="s">
        <v>757</v>
      </c>
      <c r="D202" s="18" t="s">
        <v>3900</v>
      </c>
      <c r="E202" s="18" t="s">
        <v>28</v>
      </c>
      <c r="F202" s="18" t="s">
        <v>3780</v>
      </c>
      <c r="G202" s="18" t="n">
        <v>5</v>
      </c>
      <c r="H202" s="18" t="s">
        <v>3315</v>
      </c>
      <c r="I202" s="19" t="s">
        <v>3901</v>
      </c>
      <c r="J202" s="18" t="s">
        <v>3371</v>
      </c>
      <c r="K202" s="18" t="s">
        <v>3902</v>
      </c>
      <c r="L202" s="18" t="s">
        <v>3903</v>
      </c>
      <c r="M202" s="19" t="s">
        <v>3320</v>
      </c>
      <c r="N202" s="18"/>
      <c r="O202" s="18" t="n">
        <v>0</v>
      </c>
    </row>
    <row r="203" customFormat="false" ht="17.15" hidden="false" customHeight="false" outlineLevel="0" collapsed="false">
      <c r="A203" s="18" t="s">
        <v>3904</v>
      </c>
      <c r="B203" s="18" t="s">
        <v>3899</v>
      </c>
      <c r="C203" s="18" t="s">
        <v>757</v>
      </c>
      <c r="D203" s="18" t="s">
        <v>3900</v>
      </c>
      <c r="E203" s="18" t="s">
        <v>28</v>
      </c>
      <c r="F203" s="18" t="s">
        <v>2099</v>
      </c>
      <c r="G203" s="18" t="n">
        <v>5</v>
      </c>
      <c r="H203" s="18" t="s">
        <v>3315</v>
      </c>
      <c r="I203" s="19" t="s">
        <v>3905</v>
      </c>
      <c r="J203" s="18" t="s">
        <v>3371</v>
      </c>
      <c r="K203" s="18" t="s">
        <v>3466</v>
      </c>
      <c r="L203" s="18" t="s">
        <v>3903</v>
      </c>
      <c r="M203" s="19" t="s">
        <v>3320</v>
      </c>
      <c r="N203" s="18"/>
      <c r="O203" s="18" t="n">
        <v>0</v>
      </c>
    </row>
    <row r="204" customFormat="false" ht="17.15" hidden="false" customHeight="false" outlineLevel="0" collapsed="false">
      <c r="A204" s="18" t="s">
        <v>3906</v>
      </c>
      <c r="B204" s="18" t="s">
        <v>3899</v>
      </c>
      <c r="C204" s="18" t="s">
        <v>757</v>
      </c>
      <c r="D204" s="18" t="s">
        <v>3764</v>
      </c>
      <c r="E204" s="18" t="s">
        <v>28</v>
      </c>
      <c r="F204" s="18" t="s">
        <v>2145</v>
      </c>
      <c r="G204" s="18" t="n">
        <v>12.5</v>
      </c>
      <c r="H204" s="18" t="s">
        <v>3315</v>
      </c>
      <c r="I204" s="19" t="s">
        <v>3907</v>
      </c>
      <c r="J204" s="18" t="s">
        <v>3371</v>
      </c>
      <c r="K204" s="18" t="s">
        <v>3908</v>
      </c>
      <c r="L204" s="18" t="s">
        <v>3909</v>
      </c>
      <c r="M204" s="19" t="s">
        <v>3320</v>
      </c>
      <c r="N204" s="18"/>
      <c r="O204" s="18" t="n">
        <v>0</v>
      </c>
    </row>
    <row r="205" customFormat="false" ht="17.15" hidden="false" customHeight="false" outlineLevel="0" collapsed="false">
      <c r="A205" s="18" t="s">
        <v>3910</v>
      </c>
      <c r="B205" s="18" t="s">
        <v>3899</v>
      </c>
      <c r="C205" s="18" t="s">
        <v>757</v>
      </c>
      <c r="D205" s="18" t="s">
        <v>3911</v>
      </c>
      <c r="E205" s="18" t="s">
        <v>29</v>
      </c>
      <c r="F205" s="18" t="s">
        <v>2099</v>
      </c>
      <c r="G205" s="18" t="n">
        <v>20</v>
      </c>
      <c r="H205" s="18" t="s">
        <v>3315</v>
      </c>
      <c r="I205" s="18" t="s">
        <v>3912</v>
      </c>
      <c r="J205" s="18" t="s">
        <v>3371</v>
      </c>
      <c r="K205" s="18" t="s">
        <v>3889</v>
      </c>
      <c r="L205" s="18" t="s">
        <v>3913</v>
      </c>
      <c r="M205" s="19" t="s">
        <v>3320</v>
      </c>
      <c r="N205" s="18"/>
      <c r="O205" s="18" t="n">
        <v>0</v>
      </c>
    </row>
    <row r="206" customFormat="false" ht="17.15" hidden="false" customHeight="false" outlineLevel="0" collapsed="false">
      <c r="A206" s="18" t="s">
        <v>3914</v>
      </c>
      <c r="B206" s="18" t="s">
        <v>3899</v>
      </c>
      <c r="C206" s="18" t="s">
        <v>757</v>
      </c>
      <c r="D206" s="18" t="s">
        <v>3652</v>
      </c>
      <c r="E206" s="18" t="s">
        <v>29</v>
      </c>
      <c r="F206" s="18" t="s">
        <v>3915</v>
      </c>
      <c r="G206" s="18" t="n">
        <v>250</v>
      </c>
      <c r="H206" s="18" t="s">
        <v>3315</v>
      </c>
      <c r="I206" s="18" t="s">
        <v>3916</v>
      </c>
      <c r="J206" s="18" t="s">
        <v>3371</v>
      </c>
      <c r="K206" s="18" t="s">
        <v>3917</v>
      </c>
      <c r="L206" s="18" t="s">
        <v>3918</v>
      </c>
      <c r="M206" s="19" t="s">
        <v>3320</v>
      </c>
      <c r="N206" s="18"/>
      <c r="O206" s="18" t="n">
        <v>0</v>
      </c>
    </row>
    <row r="207" customFormat="false" ht="17.15" hidden="false" customHeight="false" outlineLevel="0" collapsed="false">
      <c r="A207" s="0" t="s">
        <v>3919</v>
      </c>
      <c r="B207" s="0" t="s">
        <v>2087</v>
      </c>
      <c r="C207" s="0" t="s">
        <v>757</v>
      </c>
      <c r="D207" s="0" t="s">
        <v>2082</v>
      </c>
      <c r="E207" s="0" t="s">
        <v>28</v>
      </c>
      <c r="F207" s="0" t="s">
        <v>3920</v>
      </c>
      <c r="G207" s="9" t="n">
        <v>12.7</v>
      </c>
      <c r="H207" s="21" t="s">
        <v>3315</v>
      </c>
      <c r="I207" s="21" t="s">
        <v>3921</v>
      </c>
      <c r="J207" s="21" t="s">
        <v>3317</v>
      </c>
      <c r="K207" s="21" t="s">
        <v>3922</v>
      </c>
      <c r="L207" s="21" t="s">
        <v>3923</v>
      </c>
      <c r="M207" s="5" t="s">
        <v>2097</v>
      </c>
      <c r="O207" s="0" t="n">
        <v>1</v>
      </c>
    </row>
    <row r="208" customFormat="false" ht="17.15" hidden="false" customHeight="false" outlineLevel="0" collapsed="false">
      <c r="A208" s="0" t="s">
        <v>3924</v>
      </c>
      <c r="B208" s="0" t="s">
        <v>2087</v>
      </c>
      <c r="C208" s="0" t="s">
        <v>757</v>
      </c>
      <c r="D208" s="0" t="s">
        <v>2082</v>
      </c>
      <c r="E208" s="0" t="s">
        <v>28</v>
      </c>
      <c r="F208" s="0" t="s">
        <v>2105</v>
      </c>
      <c r="G208" s="9" t="n">
        <v>6.8</v>
      </c>
      <c r="H208" s="21" t="s">
        <v>3315</v>
      </c>
      <c r="I208" s="21" t="s">
        <v>3925</v>
      </c>
      <c r="J208" s="21" t="s">
        <v>3317</v>
      </c>
      <c r="K208" s="21" t="s">
        <v>3926</v>
      </c>
      <c r="L208" s="21" t="s">
        <v>3927</v>
      </c>
      <c r="M208" s="5" t="s">
        <v>2097</v>
      </c>
      <c r="O208" s="0" t="n">
        <v>1</v>
      </c>
    </row>
    <row r="209" customFormat="false" ht="17.15" hidden="false" customHeight="false" outlineLevel="0" collapsed="false">
      <c r="A209" s="0" t="s">
        <v>3928</v>
      </c>
      <c r="B209" s="0" t="s">
        <v>2087</v>
      </c>
      <c r="C209" s="0" t="s">
        <v>757</v>
      </c>
      <c r="D209" s="0" t="s">
        <v>2082</v>
      </c>
      <c r="E209" s="0" t="s">
        <v>28</v>
      </c>
      <c r="F209" s="0" t="s">
        <v>2108</v>
      </c>
      <c r="G209" s="9" t="n">
        <v>20.7</v>
      </c>
      <c r="H209" s="21" t="s">
        <v>3315</v>
      </c>
      <c r="I209" s="21" t="s">
        <v>3929</v>
      </c>
      <c r="J209" s="21" t="s">
        <v>3317</v>
      </c>
      <c r="K209" s="21" t="s">
        <v>3926</v>
      </c>
      <c r="L209" s="21" t="s">
        <v>3927</v>
      </c>
      <c r="M209" s="5" t="s">
        <v>2097</v>
      </c>
      <c r="O209" s="0" t="n">
        <v>1</v>
      </c>
    </row>
    <row r="210" customFormat="false" ht="17.15" hidden="false" customHeight="false" outlineLevel="0" collapsed="false">
      <c r="A210" s="0" t="s">
        <v>3930</v>
      </c>
      <c r="B210" s="0" t="s">
        <v>2087</v>
      </c>
      <c r="C210" s="0" t="s">
        <v>757</v>
      </c>
      <c r="D210" s="0" t="s">
        <v>2082</v>
      </c>
      <c r="E210" s="0" t="s">
        <v>28</v>
      </c>
      <c r="F210" s="0" t="s">
        <v>2111</v>
      </c>
      <c r="G210" s="9" t="n">
        <v>-13.9</v>
      </c>
      <c r="H210" s="21" t="s">
        <v>3315</v>
      </c>
      <c r="I210" s="21" t="s">
        <v>3931</v>
      </c>
      <c r="J210" s="21" t="s">
        <v>3327</v>
      </c>
      <c r="K210" s="21" t="s">
        <v>3932</v>
      </c>
      <c r="L210" s="21" t="s">
        <v>3927</v>
      </c>
      <c r="M210" s="5" t="s">
        <v>2097</v>
      </c>
      <c r="O210" s="0" t="n">
        <v>1</v>
      </c>
    </row>
    <row r="211" customFormat="false" ht="17.15" hidden="false" customHeight="false" outlineLevel="0" collapsed="false">
      <c r="A211" s="0" t="s">
        <v>3933</v>
      </c>
      <c r="B211" s="0" t="s">
        <v>2087</v>
      </c>
      <c r="C211" s="0" t="s">
        <v>757</v>
      </c>
      <c r="D211" s="0" t="s">
        <v>3516</v>
      </c>
      <c r="E211" s="0" t="s">
        <v>29</v>
      </c>
      <c r="F211" s="0" t="s">
        <v>3934</v>
      </c>
      <c r="G211" s="9" t="n">
        <v>20</v>
      </c>
      <c r="H211" s="21" t="s">
        <v>3315</v>
      </c>
      <c r="I211" s="21" t="s">
        <v>3935</v>
      </c>
      <c r="J211" s="21" t="s">
        <v>3317</v>
      </c>
      <c r="K211" s="21" t="s">
        <v>3936</v>
      </c>
      <c r="L211" s="21" t="s">
        <v>3927</v>
      </c>
      <c r="M211" s="5" t="s">
        <v>2117</v>
      </c>
      <c r="N211" s="21" t="s">
        <v>3937</v>
      </c>
      <c r="O211" s="0" t="n">
        <v>1</v>
      </c>
    </row>
    <row r="212" customFormat="false" ht="17.15" hidden="false" customHeight="false" outlineLevel="0" collapsed="false">
      <c r="A212" s="0" t="s">
        <v>3938</v>
      </c>
      <c r="B212" s="0" t="s">
        <v>2087</v>
      </c>
      <c r="C212" s="0" t="s">
        <v>757</v>
      </c>
      <c r="D212" s="0" t="s">
        <v>3939</v>
      </c>
      <c r="E212" s="0" t="s">
        <v>29</v>
      </c>
      <c r="F212" s="0" t="s">
        <v>2108</v>
      </c>
      <c r="G212" s="9" t="n">
        <v>10.1</v>
      </c>
      <c r="H212" s="21" t="s">
        <v>3315</v>
      </c>
      <c r="I212" s="5" t="s">
        <v>3940</v>
      </c>
      <c r="J212" s="21" t="s">
        <v>3317</v>
      </c>
      <c r="K212" s="21" t="s">
        <v>3932</v>
      </c>
      <c r="L212" s="21" t="s">
        <v>3927</v>
      </c>
      <c r="M212" s="5" t="s">
        <v>2097</v>
      </c>
      <c r="O212" s="0" t="n">
        <v>1</v>
      </c>
    </row>
    <row r="213" customFormat="false" ht="17.15" hidden="false" customHeight="false" outlineLevel="0" collapsed="false">
      <c r="A213" s="0" t="s">
        <v>3941</v>
      </c>
      <c r="B213" s="0" t="s">
        <v>2087</v>
      </c>
      <c r="C213" s="0" t="s">
        <v>757</v>
      </c>
      <c r="D213" s="0" t="s">
        <v>3942</v>
      </c>
      <c r="E213" s="0" t="s">
        <v>29</v>
      </c>
      <c r="F213" s="0" t="s">
        <v>2108</v>
      </c>
      <c r="G213" s="9" t="n">
        <v>18.4</v>
      </c>
      <c r="H213" s="21" t="s">
        <v>3315</v>
      </c>
      <c r="I213" s="5" t="s">
        <v>3943</v>
      </c>
      <c r="J213" s="21" t="s">
        <v>3371</v>
      </c>
      <c r="K213" s="21" t="s">
        <v>3944</v>
      </c>
      <c r="L213" s="21" t="s">
        <v>3945</v>
      </c>
      <c r="M213" s="5" t="s">
        <v>2097</v>
      </c>
      <c r="O213" s="0" t="n">
        <v>1</v>
      </c>
    </row>
    <row r="214" customFormat="false" ht="17.15" hidden="false" customHeight="false" outlineLevel="0" collapsed="false">
      <c r="A214" s="0" t="s">
        <v>3946</v>
      </c>
      <c r="B214" s="0" t="s">
        <v>2087</v>
      </c>
      <c r="C214" s="0" t="s">
        <v>757</v>
      </c>
      <c r="D214" s="0" t="s">
        <v>2086</v>
      </c>
      <c r="E214" s="0" t="s">
        <v>29</v>
      </c>
      <c r="F214" s="0" t="s">
        <v>2105</v>
      </c>
      <c r="G214" s="9" t="n">
        <v>3.47</v>
      </c>
      <c r="H214" s="21" t="s">
        <v>3315</v>
      </c>
      <c r="I214" s="5" t="s">
        <v>3947</v>
      </c>
      <c r="J214" s="21" t="s">
        <v>3371</v>
      </c>
      <c r="K214" s="21" t="s">
        <v>3948</v>
      </c>
      <c r="L214" s="21" t="s">
        <v>3949</v>
      </c>
      <c r="M214" s="5" t="s">
        <v>2097</v>
      </c>
      <c r="O214" s="0" t="n">
        <v>1</v>
      </c>
    </row>
    <row r="215" customFormat="false" ht="17.15" hidden="false" customHeight="false" outlineLevel="0" collapsed="false">
      <c r="A215" s="0" t="s">
        <v>3950</v>
      </c>
      <c r="B215" s="0" t="s">
        <v>2087</v>
      </c>
      <c r="C215" s="0" t="s">
        <v>757</v>
      </c>
      <c r="D215" s="0" t="s">
        <v>3951</v>
      </c>
      <c r="E215" s="0" t="s">
        <v>29</v>
      </c>
      <c r="F215" s="0" t="s">
        <v>2099</v>
      </c>
      <c r="G215" s="9" t="n">
        <v>75</v>
      </c>
      <c r="H215" s="21" t="s">
        <v>3315</v>
      </c>
      <c r="I215" s="21" t="s">
        <v>3952</v>
      </c>
      <c r="J215" s="21" t="s">
        <v>3371</v>
      </c>
      <c r="K215" s="21" t="s">
        <v>3953</v>
      </c>
      <c r="L215" s="21" t="s">
        <v>3954</v>
      </c>
      <c r="M215" s="5" t="s">
        <v>2097</v>
      </c>
      <c r="O215" s="0" t="n">
        <v>1</v>
      </c>
    </row>
    <row r="216" customFormat="false" ht="17.15" hidden="false" customHeight="false" outlineLevel="0" collapsed="false">
      <c r="A216" s="0" t="s">
        <v>3955</v>
      </c>
      <c r="B216" s="0" t="s">
        <v>2087</v>
      </c>
      <c r="C216" s="0" t="s">
        <v>757</v>
      </c>
      <c r="D216" s="0" t="s">
        <v>3846</v>
      </c>
      <c r="E216" s="0" t="s">
        <v>29</v>
      </c>
      <c r="F216" s="0" t="s">
        <v>2140</v>
      </c>
      <c r="G216" s="9" t="n">
        <v>25</v>
      </c>
      <c r="H216" s="21" t="s">
        <v>3315</v>
      </c>
      <c r="I216" s="5" t="s">
        <v>3956</v>
      </c>
      <c r="J216" s="21" t="s">
        <v>3371</v>
      </c>
      <c r="K216" s="21" t="s">
        <v>3944</v>
      </c>
      <c r="L216" s="21" t="s">
        <v>3945</v>
      </c>
      <c r="M216" s="5" t="s">
        <v>2097</v>
      </c>
      <c r="O216" s="0" t="n">
        <v>1</v>
      </c>
    </row>
    <row r="217" customFormat="false" ht="17.15" hidden="false" customHeight="false" outlineLevel="0" collapsed="false">
      <c r="A217" s="18" t="s">
        <v>3957</v>
      </c>
      <c r="B217" s="18" t="s">
        <v>3958</v>
      </c>
      <c r="C217" s="18"/>
      <c r="D217" s="18" t="s">
        <v>3764</v>
      </c>
      <c r="E217" s="18" t="s">
        <v>3959</v>
      </c>
      <c r="F217" s="18" t="s">
        <v>2099</v>
      </c>
      <c r="G217" s="18" t="n">
        <v>1.375</v>
      </c>
      <c r="H217" s="18" t="s">
        <v>3315</v>
      </c>
      <c r="I217" s="18" t="s">
        <v>3960</v>
      </c>
      <c r="J217" s="18" t="s">
        <v>3961</v>
      </c>
      <c r="K217" s="18" t="s">
        <v>3962</v>
      </c>
      <c r="L217" s="18" t="s">
        <v>3963</v>
      </c>
      <c r="M217" s="19" t="s">
        <v>3320</v>
      </c>
      <c r="N217" s="18" t="s">
        <v>3964</v>
      </c>
      <c r="O217" s="18" t="n">
        <v>0</v>
      </c>
    </row>
    <row r="218" customFormat="false" ht="17.15" hidden="false" customHeight="false" outlineLevel="0" collapsed="false">
      <c r="A218" s="18" t="s">
        <v>3965</v>
      </c>
      <c r="B218" s="18" t="s">
        <v>3958</v>
      </c>
      <c r="C218" s="18"/>
      <c r="D218" s="18" t="s">
        <v>3966</v>
      </c>
      <c r="E218" s="18" t="s">
        <v>3959</v>
      </c>
      <c r="F218" s="18" t="s">
        <v>2099</v>
      </c>
      <c r="G218" s="18" t="n">
        <v>3</v>
      </c>
      <c r="H218" s="18" t="s">
        <v>3315</v>
      </c>
      <c r="I218" s="18" t="s">
        <v>3967</v>
      </c>
      <c r="J218" s="18" t="s">
        <v>3371</v>
      </c>
      <c r="K218" s="18" t="s">
        <v>3761</v>
      </c>
      <c r="L218" s="18" t="s">
        <v>3968</v>
      </c>
      <c r="M218" s="19" t="s">
        <v>3320</v>
      </c>
      <c r="N218" s="18"/>
      <c r="O218" s="18" t="n">
        <v>0</v>
      </c>
    </row>
    <row r="219" customFormat="false" ht="17.15" hidden="false" customHeight="false" outlineLevel="0" collapsed="false">
      <c r="A219" s="0" t="s">
        <v>3969</v>
      </c>
      <c r="B219" s="0" t="s">
        <v>3970</v>
      </c>
      <c r="D219" s="0" t="s">
        <v>3971</v>
      </c>
      <c r="E219" s="0" t="s">
        <v>3959</v>
      </c>
      <c r="F219" s="0" t="s">
        <v>2099</v>
      </c>
      <c r="G219" s="9" t="n">
        <v>2</v>
      </c>
      <c r="H219" s="21" t="s">
        <v>3315</v>
      </c>
      <c r="I219" s="21" t="s">
        <v>3972</v>
      </c>
      <c r="J219" s="21" t="s">
        <v>3371</v>
      </c>
      <c r="K219" s="21" t="s">
        <v>3973</v>
      </c>
      <c r="L219" s="21" t="s">
        <v>3974</v>
      </c>
      <c r="M219" s="5" t="s">
        <v>2097</v>
      </c>
      <c r="O219" s="0" t="n">
        <v>1</v>
      </c>
    </row>
    <row r="220" customFormat="false" ht="17.15" hidden="false" customHeight="false" outlineLevel="0" collapsed="false">
      <c r="A220" s="0" t="s">
        <v>3975</v>
      </c>
      <c r="B220" s="0" t="s">
        <v>3970</v>
      </c>
      <c r="D220" s="0" t="s">
        <v>3652</v>
      </c>
      <c r="E220" s="0" t="s">
        <v>3959</v>
      </c>
      <c r="F220" s="0" t="s">
        <v>2145</v>
      </c>
      <c r="G220" s="9" t="n">
        <v>1.4</v>
      </c>
      <c r="H220" s="21" t="s">
        <v>3315</v>
      </c>
      <c r="I220" s="21" t="s">
        <v>3976</v>
      </c>
      <c r="J220" s="21" t="s">
        <v>3371</v>
      </c>
      <c r="K220" s="21" t="s">
        <v>3973</v>
      </c>
      <c r="L220" s="21" t="s">
        <v>3974</v>
      </c>
      <c r="M220" s="5" t="s">
        <v>2097</v>
      </c>
      <c r="O220" s="0" t="n">
        <v>1</v>
      </c>
    </row>
    <row r="221" customFormat="false" ht="17.15" hidden="false" customHeight="false" outlineLevel="0" collapsed="false">
      <c r="A221" s="18" t="s">
        <v>3977</v>
      </c>
      <c r="B221" s="18" t="s">
        <v>3978</v>
      </c>
      <c r="C221" s="18"/>
      <c r="D221" s="18" t="s">
        <v>2139</v>
      </c>
      <c r="E221" s="18" t="s">
        <v>3959</v>
      </c>
      <c r="F221" s="18" t="s">
        <v>2145</v>
      </c>
      <c r="G221" s="18" t="n">
        <v>1.926</v>
      </c>
      <c r="H221" s="18" t="s">
        <v>3315</v>
      </c>
      <c r="I221" s="19" t="s">
        <v>3979</v>
      </c>
      <c r="J221" s="18" t="s">
        <v>3371</v>
      </c>
      <c r="K221" s="18" t="s">
        <v>3980</v>
      </c>
      <c r="L221" s="18" t="s">
        <v>3981</v>
      </c>
      <c r="M221" s="19" t="s">
        <v>3320</v>
      </c>
      <c r="N221" s="18"/>
      <c r="O221" s="18" t="n">
        <v>0</v>
      </c>
    </row>
    <row r="222" customFormat="false" ht="17.15" hidden="false" customHeight="false" outlineLevel="0" collapsed="false">
      <c r="A222" s="0" t="s">
        <v>3982</v>
      </c>
      <c r="B222" s="0" t="s">
        <v>3983</v>
      </c>
      <c r="D222" s="0" t="s">
        <v>3594</v>
      </c>
      <c r="E222" s="0" t="s">
        <v>3959</v>
      </c>
      <c r="F222" s="0" t="s">
        <v>2145</v>
      </c>
      <c r="G222" s="9" t="n">
        <v>3.6</v>
      </c>
      <c r="H222" s="21" t="s">
        <v>3315</v>
      </c>
      <c r="I222" s="5" t="s">
        <v>3984</v>
      </c>
      <c r="J222" s="21" t="s">
        <v>3371</v>
      </c>
      <c r="K222" s="21" t="s">
        <v>3985</v>
      </c>
      <c r="L222" s="21" t="s">
        <v>3986</v>
      </c>
      <c r="M222" s="5" t="s">
        <v>2097</v>
      </c>
      <c r="O222" s="0" t="n">
        <v>1</v>
      </c>
    </row>
    <row r="223" customFormat="false" ht="17.15" hidden="false" customHeight="false" outlineLevel="0" collapsed="false">
      <c r="A223" s="18" t="s">
        <v>3987</v>
      </c>
      <c r="B223" s="18" t="s">
        <v>3983</v>
      </c>
      <c r="C223" s="18"/>
      <c r="D223" s="18" t="s">
        <v>3381</v>
      </c>
      <c r="E223" s="18" t="s">
        <v>3959</v>
      </c>
      <c r="F223" s="18" t="s">
        <v>3988</v>
      </c>
      <c r="G223" s="18" t="n">
        <v>9.7</v>
      </c>
      <c r="H223" s="18" t="s">
        <v>3315</v>
      </c>
      <c r="I223" s="18" t="s">
        <v>3989</v>
      </c>
      <c r="J223" s="18" t="s">
        <v>3371</v>
      </c>
      <c r="K223" s="18" t="s">
        <v>3990</v>
      </c>
      <c r="L223" s="18" t="s">
        <v>3386</v>
      </c>
      <c r="M223" s="19" t="s">
        <v>3320</v>
      </c>
      <c r="N223" s="18" t="s">
        <v>3991</v>
      </c>
      <c r="O223" s="18" t="n">
        <v>0</v>
      </c>
    </row>
    <row r="224" customFormat="false" ht="17.15" hidden="false" customHeight="false" outlineLevel="0" collapsed="false">
      <c r="A224" s="18" t="s">
        <v>3992</v>
      </c>
      <c r="B224" s="18" t="s">
        <v>3993</v>
      </c>
      <c r="C224" s="18"/>
      <c r="D224" s="18" t="s">
        <v>3994</v>
      </c>
      <c r="E224" s="18" t="s">
        <v>3959</v>
      </c>
      <c r="F224" s="18" t="s">
        <v>3995</v>
      </c>
      <c r="G224" s="18" t="n">
        <v>43.364</v>
      </c>
      <c r="H224" s="18" t="s">
        <v>3315</v>
      </c>
      <c r="I224" s="19" t="s">
        <v>3996</v>
      </c>
      <c r="J224" s="18" t="s">
        <v>3317</v>
      </c>
      <c r="K224" s="18" t="s">
        <v>3997</v>
      </c>
      <c r="L224" s="18" t="s">
        <v>3998</v>
      </c>
      <c r="M224" s="18" t="s">
        <v>3387</v>
      </c>
      <c r="N224" s="18" t="s">
        <v>3999</v>
      </c>
      <c r="O224" s="18" t="n">
        <v>0</v>
      </c>
    </row>
    <row r="225" customFormat="false" ht="17.15" hidden="false" customHeight="false" outlineLevel="0" collapsed="false">
      <c r="A225" s="0" t="s">
        <v>4000</v>
      </c>
      <c r="B225" s="0" t="s">
        <v>4001</v>
      </c>
      <c r="D225" s="0" t="s">
        <v>3994</v>
      </c>
      <c r="E225" s="0" t="s">
        <v>3959</v>
      </c>
      <c r="F225" s="0" t="s">
        <v>2129</v>
      </c>
      <c r="G225" s="9" t="n">
        <v>27</v>
      </c>
      <c r="H225" s="21" t="s">
        <v>3315</v>
      </c>
      <c r="I225" s="5" t="s">
        <v>4002</v>
      </c>
      <c r="J225" s="21" t="s">
        <v>3317</v>
      </c>
      <c r="K225" s="21" t="s">
        <v>4003</v>
      </c>
      <c r="L225" s="21" t="s">
        <v>3998</v>
      </c>
      <c r="M225" s="5" t="s">
        <v>2097</v>
      </c>
      <c r="O225" s="0" t="n">
        <v>1</v>
      </c>
    </row>
    <row r="226" customFormat="false" ht="17.15" hidden="false" customHeight="false" outlineLevel="0" collapsed="false">
      <c r="A226" s="0" t="s">
        <v>4004</v>
      </c>
      <c r="B226" s="0" t="s">
        <v>4001</v>
      </c>
      <c r="D226" s="0" t="s">
        <v>3994</v>
      </c>
      <c r="E226" s="0" t="s">
        <v>3959</v>
      </c>
      <c r="F226" s="0" t="s">
        <v>3603</v>
      </c>
      <c r="G226" s="9" t="n">
        <v>3.5</v>
      </c>
      <c r="H226" s="21" t="s">
        <v>3315</v>
      </c>
      <c r="I226" s="5" t="s">
        <v>4005</v>
      </c>
      <c r="J226" s="21" t="s">
        <v>3317</v>
      </c>
      <c r="K226" s="21" t="s">
        <v>4003</v>
      </c>
      <c r="L226" s="21" t="s">
        <v>3998</v>
      </c>
      <c r="M226" s="5" t="s">
        <v>2097</v>
      </c>
      <c r="O226" s="0" t="n">
        <v>1</v>
      </c>
    </row>
    <row r="227" customFormat="false" ht="17.15" hidden="false" customHeight="false" outlineLevel="0" collapsed="false">
      <c r="A227" s="0" t="s">
        <v>4006</v>
      </c>
      <c r="B227" s="0" t="s">
        <v>4001</v>
      </c>
      <c r="D227" s="0" t="s">
        <v>3994</v>
      </c>
      <c r="E227" s="0" t="s">
        <v>3959</v>
      </c>
      <c r="F227" s="0" t="s">
        <v>2129</v>
      </c>
      <c r="G227" s="9" t="n">
        <v>30</v>
      </c>
      <c r="H227" s="21" t="s">
        <v>3315</v>
      </c>
      <c r="I227" s="5" t="s">
        <v>4007</v>
      </c>
      <c r="J227" s="21" t="s">
        <v>3317</v>
      </c>
      <c r="K227" s="21" t="s">
        <v>4003</v>
      </c>
      <c r="L227" s="21" t="s">
        <v>3998</v>
      </c>
      <c r="M227" s="5" t="s">
        <v>2097</v>
      </c>
      <c r="O227" s="0" t="n">
        <v>1</v>
      </c>
    </row>
    <row r="228" customFormat="false" ht="17.15" hidden="false" customHeight="false" outlineLevel="0" collapsed="false">
      <c r="A228" s="18" t="s">
        <v>4008</v>
      </c>
      <c r="B228" s="18" t="s">
        <v>3993</v>
      </c>
      <c r="C228" s="18"/>
      <c r="D228" s="18" t="s">
        <v>4009</v>
      </c>
      <c r="E228" s="18" t="s">
        <v>3959</v>
      </c>
      <c r="F228" s="18" t="s">
        <v>3995</v>
      </c>
      <c r="G228" s="18" t="n">
        <v>51.157</v>
      </c>
      <c r="H228" s="18" t="s">
        <v>3315</v>
      </c>
      <c r="I228" s="19" t="s">
        <v>4010</v>
      </c>
      <c r="J228" s="18" t="s">
        <v>3371</v>
      </c>
      <c r="K228" s="18" t="s">
        <v>4011</v>
      </c>
      <c r="L228" s="18" t="s">
        <v>4012</v>
      </c>
      <c r="M228" s="19" t="s">
        <v>3320</v>
      </c>
      <c r="N228" s="18" t="s">
        <v>4013</v>
      </c>
      <c r="O228" s="18" t="n">
        <v>0</v>
      </c>
    </row>
    <row r="229" customFormat="false" ht="17.15" hidden="false" customHeight="false" outlineLevel="0" collapsed="false">
      <c r="A229" s="0" t="s">
        <v>4014</v>
      </c>
      <c r="B229" s="5" t="s">
        <v>4015</v>
      </c>
      <c r="D229" s="0" t="s">
        <v>4016</v>
      </c>
      <c r="E229" s="0" t="s">
        <v>3959</v>
      </c>
      <c r="F229" s="0" t="s">
        <v>2140</v>
      </c>
      <c r="G229" s="9" t="n">
        <v>194</v>
      </c>
      <c r="H229" s="21" t="s">
        <v>3315</v>
      </c>
      <c r="I229" s="21" t="s">
        <v>4017</v>
      </c>
      <c r="J229" s="21" t="s">
        <v>3371</v>
      </c>
      <c r="K229" s="21" t="s">
        <v>4018</v>
      </c>
      <c r="L229" s="21" t="s">
        <v>4019</v>
      </c>
      <c r="M229" s="5" t="s">
        <v>2097</v>
      </c>
      <c r="O229" s="0" t="n">
        <v>1</v>
      </c>
    </row>
    <row r="230" customFormat="false" ht="17.15" hidden="false" customHeight="false" outlineLevel="0" collapsed="false">
      <c r="A230" s="0" t="s">
        <v>2154</v>
      </c>
      <c r="B230" s="0" t="s">
        <v>2076</v>
      </c>
      <c r="C230" s="0" t="s">
        <v>728</v>
      </c>
      <c r="D230" s="0" t="s">
        <v>2104</v>
      </c>
      <c r="E230" s="0" t="s">
        <v>3376</v>
      </c>
      <c r="F230" s="0" t="s">
        <v>2105</v>
      </c>
      <c r="G230" s="9" t="n">
        <v>58</v>
      </c>
      <c r="H230" s="21" t="s">
        <v>3315</v>
      </c>
      <c r="I230" s="5" t="s">
        <v>2153</v>
      </c>
      <c r="J230" s="21" t="s">
        <v>3317</v>
      </c>
      <c r="K230" s="21" t="s">
        <v>4020</v>
      </c>
      <c r="L230" s="21" t="s">
        <v>4021</v>
      </c>
      <c r="M230" s="21" t="s">
        <v>2155</v>
      </c>
      <c r="O230" s="0" t="n">
        <v>1</v>
      </c>
    </row>
    <row r="231" customFormat="false" ht="17.15" hidden="false" customHeight="false" outlineLevel="0" collapsed="false">
      <c r="A231" s="0" t="s">
        <v>2157</v>
      </c>
      <c r="B231" s="0" t="s">
        <v>2076</v>
      </c>
      <c r="C231" s="0" t="s">
        <v>728</v>
      </c>
      <c r="D231" s="0" t="s">
        <v>2104</v>
      </c>
      <c r="E231" s="0" t="s">
        <v>3376</v>
      </c>
      <c r="F231" s="0" t="s">
        <v>2108</v>
      </c>
      <c r="G231" s="9" t="n">
        <v>39.367</v>
      </c>
      <c r="H231" s="21" t="s">
        <v>3315</v>
      </c>
      <c r="I231" s="21" t="s">
        <v>2156</v>
      </c>
      <c r="J231" s="21" t="s">
        <v>3317</v>
      </c>
      <c r="K231" s="21" t="s">
        <v>4020</v>
      </c>
      <c r="L231" s="21" t="s">
        <v>4021</v>
      </c>
      <c r="M231" s="21" t="s">
        <v>2155</v>
      </c>
      <c r="O231" s="0" t="n">
        <v>1</v>
      </c>
    </row>
    <row r="232" customFormat="false" ht="17.15" hidden="false" customHeight="false" outlineLevel="0" collapsed="false">
      <c r="A232" s="0" t="s">
        <v>2160</v>
      </c>
      <c r="B232" s="0" t="s">
        <v>2076</v>
      </c>
      <c r="C232" s="0" t="s">
        <v>728</v>
      </c>
      <c r="D232" s="0" t="s">
        <v>2104</v>
      </c>
      <c r="E232" s="0" t="s">
        <v>3376</v>
      </c>
      <c r="F232" s="0" t="s">
        <v>2158</v>
      </c>
      <c r="G232" s="9" t="n">
        <v>5.192</v>
      </c>
      <c r="H232" s="21" t="s">
        <v>3315</v>
      </c>
      <c r="I232" s="5" t="s">
        <v>2159</v>
      </c>
      <c r="J232" s="21" t="s">
        <v>3317</v>
      </c>
      <c r="K232" s="21" t="s">
        <v>4020</v>
      </c>
      <c r="L232" s="21" t="s">
        <v>4021</v>
      </c>
      <c r="M232" s="21" t="s">
        <v>2155</v>
      </c>
      <c r="O232" s="0" t="n">
        <v>1</v>
      </c>
    </row>
    <row r="233" customFormat="false" ht="17.15" hidden="false" customHeight="false" outlineLevel="0" collapsed="false">
      <c r="A233" s="0" t="s">
        <v>2162</v>
      </c>
      <c r="B233" s="0" t="s">
        <v>2076</v>
      </c>
      <c r="C233" s="0" t="s">
        <v>728</v>
      </c>
      <c r="D233" s="0" t="s">
        <v>2104</v>
      </c>
      <c r="E233" s="0" t="s">
        <v>3376</v>
      </c>
      <c r="F233" s="0" t="s">
        <v>2094</v>
      </c>
      <c r="G233" s="9" t="n">
        <v>45.2</v>
      </c>
      <c r="H233" s="21" t="s">
        <v>3315</v>
      </c>
      <c r="I233" s="5" t="s">
        <v>2161</v>
      </c>
      <c r="J233" s="21" t="s">
        <v>3371</v>
      </c>
      <c r="K233" s="21" t="s">
        <v>4022</v>
      </c>
      <c r="L233" s="21" t="s">
        <v>4023</v>
      </c>
      <c r="M233" s="21" t="s">
        <v>2155</v>
      </c>
      <c r="O233" s="0" t="n">
        <v>1</v>
      </c>
    </row>
    <row r="234" customFormat="false" ht="17.15" hidden="false" customHeight="false" outlineLevel="0" collapsed="false">
      <c r="A234" s="0" t="s">
        <v>2164</v>
      </c>
      <c r="B234" s="0" t="s">
        <v>2076</v>
      </c>
      <c r="C234" s="0" t="s">
        <v>728</v>
      </c>
      <c r="D234" s="0" t="s">
        <v>2104</v>
      </c>
      <c r="E234" s="0" t="s">
        <v>3376</v>
      </c>
      <c r="F234" s="0" t="s">
        <v>2111</v>
      </c>
      <c r="G234" s="9" t="n">
        <v>18.633</v>
      </c>
      <c r="H234" s="21" t="s">
        <v>3315</v>
      </c>
      <c r="I234" s="5" t="s">
        <v>2163</v>
      </c>
      <c r="J234" s="21" t="s">
        <v>3327</v>
      </c>
      <c r="K234" s="21" t="s">
        <v>4020</v>
      </c>
      <c r="L234" s="21" t="s">
        <v>4021</v>
      </c>
      <c r="M234" s="21" t="s">
        <v>2155</v>
      </c>
      <c r="O234" s="0" t="n">
        <v>1</v>
      </c>
    </row>
    <row r="235" customFormat="false" ht="17.15" hidden="false" customHeight="false" outlineLevel="0" collapsed="false">
      <c r="A235" s="0" t="s">
        <v>2167</v>
      </c>
      <c r="B235" s="0" t="s">
        <v>2076</v>
      </c>
      <c r="C235" s="0" t="s">
        <v>728</v>
      </c>
      <c r="D235" s="0" t="s">
        <v>2104</v>
      </c>
      <c r="E235" s="0" t="s">
        <v>3376</v>
      </c>
      <c r="F235" s="0" t="s">
        <v>2165</v>
      </c>
      <c r="G235" s="9" t="n">
        <v>11.136</v>
      </c>
      <c r="H235" s="21" t="s">
        <v>3315</v>
      </c>
      <c r="I235" s="5" t="s">
        <v>2166</v>
      </c>
      <c r="J235" s="21" t="s">
        <v>3317</v>
      </c>
      <c r="K235" s="21" t="s">
        <v>4020</v>
      </c>
      <c r="L235" s="21" t="s">
        <v>4021</v>
      </c>
      <c r="M235" s="21" t="s">
        <v>2155</v>
      </c>
      <c r="O235" s="0" t="n">
        <v>1</v>
      </c>
    </row>
    <row r="236" customFormat="false" ht="17.15" hidden="false" customHeight="false" outlineLevel="0" collapsed="false">
      <c r="A236" s="0" t="s">
        <v>2169</v>
      </c>
      <c r="B236" s="0" t="s">
        <v>2076</v>
      </c>
      <c r="C236" s="0" t="s">
        <v>728</v>
      </c>
      <c r="D236" s="0" t="s">
        <v>2104</v>
      </c>
      <c r="E236" s="0" t="s">
        <v>3376</v>
      </c>
      <c r="F236" s="0" t="s">
        <v>2140</v>
      </c>
      <c r="G236" s="9" t="n">
        <v>0</v>
      </c>
      <c r="H236" s="21" t="s">
        <v>3315</v>
      </c>
      <c r="I236" s="5" t="s">
        <v>2168</v>
      </c>
      <c r="J236" s="21" t="s">
        <v>3317</v>
      </c>
      <c r="K236" s="21" t="s">
        <v>4020</v>
      </c>
      <c r="L236" s="21" t="s">
        <v>4021</v>
      </c>
      <c r="M236" s="21" t="s">
        <v>2155</v>
      </c>
      <c r="O236" s="0" t="n">
        <v>1</v>
      </c>
    </row>
    <row r="237" customFormat="false" ht="17.15" hidden="false" customHeight="false" outlineLevel="0" collapsed="false">
      <c r="A237" s="0" t="s">
        <v>2172</v>
      </c>
      <c r="B237" s="0" t="s">
        <v>2076</v>
      </c>
      <c r="C237" s="0" t="s">
        <v>728</v>
      </c>
      <c r="D237" s="0" t="s">
        <v>2170</v>
      </c>
      <c r="E237" s="0" t="s">
        <v>3376</v>
      </c>
      <c r="F237" s="0" t="s">
        <v>2123</v>
      </c>
      <c r="G237" s="9" t="n">
        <v>364.6</v>
      </c>
      <c r="H237" s="21" t="s">
        <v>3315</v>
      </c>
      <c r="I237" s="5" t="s">
        <v>2171</v>
      </c>
      <c r="J237" s="21" t="s">
        <v>3317</v>
      </c>
      <c r="K237" s="21" t="s">
        <v>4020</v>
      </c>
      <c r="L237" s="21" t="s">
        <v>4021</v>
      </c>
      <c r="M237" s="21" t="s">
        <v>2155</v>
      </c>
      <c r="O237" s="0" t="n">
        <v>1</v>
      </c>
    </row>
    <row r="238" customFormat="false" ht="17.15" hidden="false" customHeight="false" outlineLevel="0" collapsed="false">
      <c r="A238" s="0" t="s">
        <v>2175</v>
      </c>
      <c r="B238" s="0" t="s">
        <v>2076</v>
      </c>
      <c r="C238" s="0" t="s">
        <v>728</v>
      </c>
      <c r="D238" s="0" t="s">
        <v>2170</v>
      </c>
      <c r="E238" s="0" t="s">
        <v>3376</v>
      </c>
      <c r="F238" s="0" t="s">
        <v>2173</v>
      </c>
      <c r="G238" s="9" t="n">
        <v>70.973</v>
      </c>
      <c r="H238" s="21" t="s">
        <v>3315</v>
      </c>
      <c r="I238" s="5" t="s">
        <v>2174</v>
      </c>
      <c r="J238" s="21" t="s">
        <v>3317</v>
      </c>
      <c r="K238" s="21" t="s">
        <v>4020</v>
      </c>
      <c r="L238" s="21" t="s">
        <v>4021</v>
      </c>
      <c r="M238" s="21" t="s">
        <v>2155</v>
      </c>
      <c r="O238" s="0" t="n">
        <v>1</v>
      </c>
    </row>
    <row r="239" customFormat="false" ht="17.15" hidden="false" customHeight="false" outlineLevel="0" collapsed="false">
      <c r="A239" s="0" t="s">
        <v>2177</v>
      </c>
      <c r="B239" s="0" t="s">
        <v>2076</v>
      </c>
      <c r="C239" s="0" t="s">
        <v>728</v>
      </c>
      <c r="D239" s="0" t="s">
        <v>2093</v>
      </c>
      <c r="E239" s="0" t="s">
        <v>3369</v>
      </c>
      <c r="F239" s="0" t="s">
        <v>2094</v>
      </c>
      <c r="G239" s="9" t="n">
        <v>170</v>
      </c>
      <c r="H239" s="21" t="s">
        <v>3315</v>
      </c>
      <c r="I239" s="5" t="s">
        <v>2176</v>
      </c>
      <c r="J239" s="21" t="s">
        <v>3371</v>
      </c>
      <c r="K239" s="21" t="s">
        <v>4022</v>
      </c>
      <c r="L239" s="21" t="s">
        <v>4023</v>
      </c>
      <c r="M239" s="21" t="s">
        <v>2155</v>
      </c>
      <c r="O239" s="0" t="n">
        <v>1</v>
      </c>
    </row>
    <row r="240" customFormat="false" ht="17.15" hidden="false" customHeight="false" outlineLevel="0" collapsed="false">
      <c r="A240" s="0" t="s">
        <v>2180</v>
      </c>
      <c r="B240" s="0" t="s">
        <v>2076</v>
      </c>
      <c r="C240" s="0" t="s">
        <v>728</v>
      </c>
      <c r="D240" s="0" t="s">
        <v>2178</v>
      </c>
      <c r="E240" s="0" t="s">
        <v>3376</v>
      </c>
      <c r="F240" s="0" t="s">
        <v>2094</v>
      </c>
      <c r="G240" s="9" t="n">
        <v>50</v>
      </c>
      <c r="H240" s="21" t="s">
        <v>3315</v>
      </c>
      <c r="I240" s="5" t="s">
        <v>2179</v>
      </c>
      <c r="J240" s="21" t="s">
        <v>3371</v>
      </c>
      <c r="K240" s="21" t="s">
        <v>4022</v>
      </c>
      <c r="L240" s="21" t="s">
        <v>4023</v>
      </c>
      <c r="M240" s="21" t="s">
        <v>2155</v>
      </c>
      <c r="O240" s="0" t="n">
        <v>1</v>
      </c>
    </row>
    <row r="241" customFormat="false" ht="17.15" hidden="false" customHeight="false" outlineLevel="0" collapsed="false">
      <c r="A241" s="0" t="s">
        <v>4024</v>
      </c>
      <c r="B241" s="0" t="s">
        <v>2080</v>
      </c>
      <c r="C241" s="0" t="s">
        <v>733</v>
      </c>
      <c r="D241" s="0" t="s">
        <v>2083</v>
      </c>
      <c r="E241" s="0" t="s">
        <v>29</v>
      </c>
      <c r="F241" s="0" t="s">
        <v>2105</v>
      </c>
      <c r="G241" s="9" t="n">
        <v>127.149</v>
      </c>
      <c r="H241" s="21" t="s">
        <v>3315</v>
      </c>
      <c r="I241" s="5" t="s">
        <v>4025</v>
      </c>
      <c r="J241" s="21" t="s">
        <v>3371</v>
      </c>
      <c r="K241" s="21" t="s">
        <v>4026</v>
      </c>
      <c r="L241" s="21" t="s">
        <v>4027</v>
      </c>
      <c r="M241" s="21" t="s">
        <v>2155</v>
      </c>
      <c r="O241" s="0" t="n">
        <v>1</v>
      </c>
    </row>
    <row r="242" customFormat="false" ht="17.15" hidden="false" customHeight="false" outlineLevel="0" collapsed="false">
      <c r="A242" s="0" t="s">
        <v>4028</v>
      </c>
      <c r="B242" s="0" t="s">
        <v>2080</v>
      </c>
      <c r="C242" s="0" t="s">
        <v>733</v>
      </c>
      <c r="D242" s="0" t="s">
        <v>2083</v>
      </c>
      <c r="E242" s="0" t="s">
        <v>29</v>
      </c>
      <c r="F242" s="0" t="s">
        <v>2108</v>
      </c>
      <c r="G242" s="9" t="n">
        <v>131.953</v>
      </c>
      <c r="H242" s="21" t="s">
        <v>3315</v>
      </c>
      <c r="I242" s="21" t="s">
        <v>4029</v>
      </c>
      <c r="J242" s="21" t="s">
        <v>3371</v>
      </c>
      <c r="K242" s="21" t="s">
        <v>4026</v>
      </c>
      <c r="L242" s="21" t="s">
        <v>4027</v>
      </c>
      <c r="M242" s="21" t="s">
        <v>2155</v>
      </c>
      <c r="O242" s="0" t="n">
        <v>1</v>
      </c>
    </row>
    <row r="243" customFormat="false" ht="17.15" hidden="false" customHeight="false" outlineLevel="0" collapsed="false">
      <c r="A243" s="0" t="s">
        <v>4030</v>
      </c>
      <c r="B243" s="0" t="s">
        <v>2080</v>
      </c>
      <c r="C243" s="0" t="s">
        <v>733</v>
      </c>
      <c r="D243" s="0" t="s">
        <v>2083</v>
      </c>
      <c r="E243" s="0" t="s">
        <v>29</v>
      </c>
      <c r="F243" s="0" t="s">
        <v>2111</v>
      </c>
      <c r="G243" s="9" t="n">
        <v>-4.804</v>
      </c>
      <c r="H243" s="21" t="s">
        <v>3315</v>
      </c>
      <c r="I243" s="5" t="s">
        <v>4031</v>
      </c>
      <c r="J243" s="21" t="s">
        <v>3327</v>
      </c>
      <c r="K243" s="21" t="s">
        <v>4026</v>
      </c>
      <c r="L243" s="21" t="s">
        <v>4027</v>
      </c>
      <c r="M243" s="21" t="s">
        <v>2155</v>
      </c>
      <c r="O243" s="0" t="n">
        <v>1</v>
      </c>
    </row>
    <row r="244" customFormat="false" ht="17.15" hidden="false" customHeight="false" outlineLevel="0" collapsed="false">
      <c r="A244" s="0" t="s">
        <v>4032</v>
      </c>
      <c r="B244" s="0" t="s">
        <v>2080</v>
      </c>
      <c r="C244" s="0" t="s">
        <v>733</v>
      </c>
      <c r="D244" s="0" t="s">
        <v>2083</v>
      </c>
      <c r="E244" s="0" t="s">
        <v>29</v>
      </c>
      <c r="F244" s="0" t="s">
        <v>2165</v>
      </c>
      <c r="G244" s="9" t="n">
        <v>8.167</v>
      </c>
      <c r="H244" s="21" t="s">
        <v>3315</v>
      </c>
      <c r="I244" s="5" t="s">
        <v>4033</v>
      </c>
      <c r="J244" s="21" t="s">
        <v>3371</v>
      </c>
      <c r="K244" s="21" t="s">
        <v>4026</v>
      </c>
      <c r="L244" s="21" t="s">
        <v>4027</v>
      </c>
      <c r="M244" s="21" t="s">
        <v>2155</v>
      </c>
      <c r="O244" s="0" t="n">
        <v>1</v>
      </c>
    </row>
    <row r="245" customFormat="false" ht="17.15" hidden="false" customHeight="false" outlineLevel="0" collapsed="false">
      <c r="A245" s="0" t="s">
        <v>4034</v>
      </c>
      <c r="B245" s="0" t="s">
        <v>2080</v>
      </c>
      <c r="C245" s="0" t="s">
        <v>733</v>
      </c>
      <c r="D245" s="0" t="s">
        <v>2083</v>
      </c>
      <c r="E245" s="0" t="s">
        <v>29</v>
      </c>
      <c r="F245" s="0" t="s">
        <v>2140</v>
      </c>
      <c r="G245" s="9" t="n">
        <v>85.222</v>
      </c>
      <c r="H245" s="21" t="s">
        <v>3315</v>
      </c>
      <c r="I245" s="5" t="s">
        <v>4035</v>
      </c>
      <c r="J245" s="21" t="s">
        <v>3371</v>
      </c>
      <c r="K245" s="21" t="s">
        <v>4026</v>
      </c>
      <c r="L245" s="21" t="s">
        <v>4027</v>
      </c>
      <c r="M245" s="21" t="s">
        <v>2155</v>
      </c>
      <c r="O245" s="0" t="n">
        <v>1</v>
      </c>
    </row>
    <row r="246" customFormat="false" ht="17.15" hidden="false" customHeight="false" outlineLevel="0" collapsed="false">
      <c r="A246" s="0" t="s">
        <v>4036</v>
      </c>
      <c r="B246" s="0" t="s">
        <v>2080</v>
      </c>
      <c r="C246" s="0" t="s">
        <v>733</v>
      </c>
      <c r="D246" s="0" t="s">
        <v>2083</v>
      </c>
      <c r="E246" s="0" t="s">
        <v>29</v>
      </c>
      <c r="F246" s="0" t="s">
        <v>2099</v>
      </c>
      <c r="G246" s="9" t="n">
        <v>61.933</v>
      </c>
      <c r="H246" s="21" t="s">
        <v>3315</v>
      </c>
      <c r="I246" s="5" t="s">
        <v>4037</v>
      </c>
      <c r="J246" s="21" t="s">
        <v>3371</v>
      </c>
      <c r="K246" s="21" t="s">
        <v>4026</v>
      </c>
      <c r="L246" s="21" t="s">
        <v>4027</v>
      </c>
      <c r="M246" s="21" t="s">
        <v>2155</v>
      </c>
      <c r="O246" s="0" t="n">
        <v>1</v>
      </c>
    </row>
    <row r="247" customFormat="false" ht="17.15" hidden="false" customHeight="false" outlineLevel="0" collapsed="false">
      <c r="A247" s="0" t="s">
        <v>2182</v>
      </c>
      <c r="B247" s="0" t="s">
        <v>2080</v>
      </c>
      <c r="C247" s="0" t="s">
        <v>733</v>
      </c>
      <c r="D247" s="0" t="s">
        <v>2093</v>
      </c>
      <c r="E247" s="0" t="s">
        <v>3369</v>
      </c>
      <c r="F247" s="0" t="s">
        <v>2108</v>
      </c>
      <c r="G247" s="9" t="n">
        <v>200</v>
      </c>
      <c r="H247" s="21" t="s">
        <v>3315</v>
      </c>
      <c r="I247" s="5" t="s">
        <v>2181</v>
      </c>
      <c r="J247" s="21" t="s">
        <v>3371</v>
      </c>
      <c r="K247" s="21" t="s">
        <v>4038</v>
      </c>
      <c r="L247" s="21" t="s">
        <v>4039</v>
      </c>
      <c r="M247" s="21" t="s">
        <v>2155</v>
      </c>
      <c r="O247" s="0" t="n">
        <v>1</v>
      </c>
    </row>
    <row r="248" customFormat="false" ht="17.15" hidden="false" customHeight="false" outlineLevel="0" collapsed="false">
      <c r="A248" s="0" t="s">
        <v>4040</v>
      </c>
      <c r="B248" s="0" t="s">
        <v>2080</v>
      </c>
      <c r="C248" s="0" t="s">
        <v>733</v>
      </c>
      <c r="D248" s="0" t="s">
        <v>2170</v>
      </c>
      <c r="E248" s="0" t="s">
        <v>29</v>
      </c>
      <c r="F248" s="0" t="s">
        <v>4041</v>
      </c>
      <c r="G248" s="9" t="n">
        <v>561</v>
      </c>
      <c r="H248" s="21" t="s">
        <v>3315</v>
      </c>
      <c r="I248" s="21" t="s">
        <v>4042</v>
      </c>
      <c r="J248" s="21" t="s">
        <v>3371</v>
      </c>
      <c r="K248" s="21" t="s">
        <v>4038</v>
      </c>
      <c r="L248" s="21" t="s">
        <v>4039</v>
      </c>
      <c r="M248" s="21" t="s">
        <v>2155</v>
      </c>
      <c r="O248" s="0" t="n">
        <v>1</v>
      </c>
    </row>
    <row r="249" customFormat="false" ht="17.15" hidden="false" customHeight="false" outlineLevel="0" collapsed="false">
      <c r="A249" s="0" t="s">
        <v>4043</v>
      </c>
      <c r="B249" s="0" t="s">
        <v>2084</v>
      </c>
      <c r="C249" s="0" t="s">
        <v>741</v>
      </c>
      <c r="D249" s="0" t="s">
        <v>2083</v>
      </c>
      <c r="E249" s="0" t="s">
        <v>29</v>
      </c>
      <c r="F249" s="0" t="s">
        <v>2105</v>
      </c>
      <c r="G249" s="9" t="n">
        <v>113.841</v>
      </c>
      <c r="H249" s="21" t="s">
        <v>3315</v>
      </c>
      <c r="I249" s="5" t="s">
        <v>4044</v>
      </c>
      <c r="J249" s="21" t="s">
        <v>3371</v>
      </c>
      <c r="K249" s="21" t="s">
        <v>4045</v>
      </c>
      <c r="L249" s="21" t="s">
        <v>4046</v>
      </c>
      <c r="M249" s="21" t="s">
        <v>2155</v>
      </c>
      <c r="O249" s="0" t="n">
        <v>1</v>
      </c>
    </row>
    <row r="250" customFormat="false" ht="17.15" hidden="false" customHeight="false" outlineLevel="0" collapsed="false">
      <c r="A250" s="0" t="s">
        <v>4047</v>
      </c>
      <c r="B250" s="0" t="s">
        <v>2084</v>
      </c>
      <c r="C250" s="0" t="s">
        <v>741</v>
      </c>
      <c r="D250" s="0" t="s">
        <v>2083</v>
      </c>
      <c r="E250" s="0" t="s">
        <v>29</v>
      </c>
      <c r="F250" s="0" t="s">
        <v>2108</v>
      </c>
      <c r="G250" s="9" t="n">
        <v>172.188</v>
      </c>
      <c r="H250" s="21" t="s">
        <v>3315</v>
      </c>
      <c r="I250" s="5" t="s">
        <v>4048</v>
      </c>
      <c r="J250" s="21" t="s">
        <v>3327</v>
      </c>
      <c r="K250" s="21" t="s">
        <v>4045</v>
      </c>
      <c r="L250" s="21" t="s">
        <v>4046</v>
      </c>
      <c r="M250" s="21" t="s">
        <v>2155</v>
      </c>
      <c r="O250" s="0" t="n">
        <v>1</v>
      </c>
    </row>
    <row r="251" customFormat="false" ht="17.15" hidden="false" customHeight="false" outlineLevel="0" collapsed="false">
      <c r="A251" s="0" t="s">
        <v>4049</v>
      </c>
      <c r="B251" s="0" t="s">
        <v>2084</v>
      </c>
      <c r="C251" s="0" t="s">
        <v>741</v>
      </c>
      <c r="D251" s="0" t="s">
        <v>2083</v>
      </c>
      <c r="E251" s="0" t="s">
        <v>29</v>
      </c>
      <c r="F251" s="0" t="s">
        <v>2158</v>
      </c>
      <c r="G251" s="9" t="n">
        <v>3.6</v>
      </c>
      <c r="H251" s="21" t="s">
        <v>3315</v>
      </c>
      <c r="I251" s="5" t="s">
        <v>4050</v>
      </c>
      <c r="J251" s="21" t="s">
        <v>3371</v>
      </c>
      <c r="K251" s="21" t="s">
        <v>4045</v>
      </c>
      <c r="L251" s="21" t="s">
        <v>4046</v>
      </c>
      <c r="M251" s="21" t="s">
        <v>2155</v>
      </c>
      <c r="O251" s="0" t="n">
        <v>1</v>
      </c>
    </row>
    <row r="252" customFormat="false" ht="17.15" hidden="false" customHeight="false" outlineLevel="0" collapsed="false">
      <c r="A252" s="0" t="s">
        <v>4051</v>
      </c>
      <c r="B252" s="0" t="s">
        <v>2084</v>
      </c>
      <c r="C252" s="0" t="s">
        <v>741</v>
      </c>
      <c r="D252" s="0" t="s">
        <v>2083</v>
      </c>
      <c r="E252" s="0" t="s">
        <v>29</v>
      </c>
      <c r="F252" s="0" t="s">
        <v>2094</v>
      </c>
      <c r="G252" s="9" t="n">
        <v>175.788</v>
      </c>
      <c r="H252" s="21" t="s">
        <v>3315</v>
      </c>
      <c r="I252" s="5" t="s">
        <v>4052</v>
      </c>
      <c r="J252" s="21" t="s">
        <v>3327</v>
      </c>
      <c r="K252" s="21" t="s">
        <v>4045</v>
      </c>
      <c r="L252" s="21" t="s">
        <v>4046</v>
      </c>
      <c r="M252" s="21" t="s">
        <v>2155</v>
      </c>
      <c r="O252" s="0" t="n">
        <v>1</v>
      </c>
    </row>
    <row r="253" customFormat="false" ht="17.15" hidden="false" customHeight="false" outlineLevel="0" collapsed="false">
      <c r="A253" s="0" t="s">
        <v>4053</v>
      </c>
      <c r="B253" s="0" t="s">
        <v>2084</v>
      </c>
      <c r="C253" s="0" t="s">
        <v>741</v>
      </c>
      <c r="D253" s="0" t="s">
        <v>2083</v>
      </c>
      <c r="E253" s="0" t="s">
        <v>29</v>
      </c>
      <c r="F253" s="0" t="s">
        <v>2111</v>
      </c>
      <c r="G253" s="9" t="n">
        <v>-58.347</v>
      </c>
      <c r="H253" s="21" t="s">
        <v>3315</v>
      </c>
      <c r="I253" s="5" t="s">
        <v>4054</v>
      </c>
      <c r="J253" s="21" t="s">
        <v>3327</v>
      </c>
      <c r="K253" s="21" t="s">
        <v>4045</v>
      </c>
      <c r="L253" s="21" t="s">
        <v>4046</v>
      </c>
      <c r="M253" s="21" t="s">
        <v>2155</v>
      </c>
      <c r="O253" s="0" t="n">
        <v>1</v>
      </c>
    </row>
    <row r="254" customFormat="false" ht="17.15" hidden="false" customHeight="false" outlineLevel="0" collapsed="false">
      <c r="A254" s="0" t="s">
        <v>4055</v>
      </c>
      <c r="B254" s="0" t="s">
        <v>2084</v>
      </c>
      <c r="C254" s="0" t="s">
        <v>741</v>
      </c>
      <c r="D254" s="0" t="s">
        <v>2083</v>
      </c>
      <c r="E254" s="0" t="s">
        <v>29</v>
      </c>
      <c r="F254" s="0" t="s">
        <v>2165</v>
      </c>
      <c r="G254" s="9" t="n">
        <v>0</v>
      </c>
      <c r="H254" s="21" t="s">
        <v>3315</v>
      </c>
      <c r="I254" s="5" t="s">
        <v>4056</v>
      </c>
      <c r="J254" s="21" t="s">
        <v>3317</v>
      </c>
      <c r="K254" s="21" t="s">
        <v>4045</v>
      </c>
      <c r="L254" s="21" t="s">
        <v>4046</v>
      </c>
      <c r="M254" s="21" t="s">
        <v>2155</v>
      </c>
      <c r="N254" s="21" t="s">
        <v>4057</v>
      </c>
      <c r="O254" s="0" t="n">
        <v>1</v>
      </c>
    </row>
    <row r="255" customFormat="false" ht="17.15" hidden="false" customHeight="false" outlineLevel="0" collapsed="false">
      <c r="A255" s="0" t="s">
        <v>4058</v>
      </c>
      <c r="B255" s="0" t="s">
        <v>2084</v>
      </c>
      <c r="C255" s="0" t="s">
        <v>741</v>
      </c>
      <c r="D255" s="0" t="s">
        <v>2083</v>
      </c>
      <c r="E255" s="0" t="s">
        <v>29</v>
      </c>
      <c r="F255" s="0" t="s">
        <v>2140</v>
      </c>
      <c r="G255" s="9" t="n">
        <v>115.1</v>
      </c>
      <c r="H255" s="21" t="s">
        <v>3315</v>
      </c>
      <c r="I255" s="5" t="s">
        <v>4059</v>
      </c>
      <c r="J255" s="21" t="s">
        <v>3371</v>
      </c>
      <c r="K255" s="21" t="s">
        <v>4045</v>
      </c>
      <c r="L255" s="21" t="s">
        <v>4046</v>
      </c>
      <c r="M255" s="21" t="s">
        <v>2155</v>
      </c>
      <c r="N255" s="21" t="s">
        <v>4060</v>
      </c>
      <c r="O255" s="0" t="n">
        <v>1</v>
      </c>
    </row>
    <row r="256" customFormat="false" ht="17.15" hidden="false" customHeight="false" outlineLevel="0" collapsed="false">
      <c r="A256" s="0" t="s">
        <v>2184</v>
      </c>
      <c r="B256" s="0" t="s">
        <v>2084</v>
      </c>
      <c r="C256" s="0" t="s">
        <v>741</v>
      </c>
      <c r="D256" s="0" t="s">
        <v>2093</v>
      </c>
      <c r="E256" s="0" t="s">
        <v>3369</v>
      </c>
      <c r="F256" s="0" t="s">
        <v>2108</v>
      </c>
      <c r="G256" s="9" t="n">
        <v>220</v>
      </c>
      <c r="H256" s="21" t="s">
        <v>3315</v>
      </c>
      <c r="I256" s="5" t="s">
        <v>2183</v>
      </c>
      <c r="J256" s="21" t="s">
        <v>3371</v>
      </c>
      <c r="K256" s="21" t="s">
        <v>4045</v>
      </c>
      <c r="L256" s="21" t="s">
        <v>4046</v>
      </c>
      <c r="M256" s="21" t="s">
        <v>2155</v>
      </c>
      <c r="O256" s="0" t="n">
        <v>1</v>
      </c>
    </row>
    <row r="257" customFormat="false" ht="17.15" hidden="false" customHeight="false" outlineLevel="0" collapsed="false">
      <c r="A257" s="0" t="s">
        <v>4061</v>
      </c>
      <c r="B257" s="0" t="s">
        <v>2084</v>
      </c>
      <c r="C257" s="0" t="s">
        <v>741</v>
      </c>
      <c r="D257" s="0" t="s">
        <v>2170</v>
      </c>
      <c r="E257" s="0" t="s">
        <v>29</v>
      </c>
      <c r="F257" s="0" t="s">
        <v>4041</v>
      </c>
      <c r="G257" s="9" t="n">
        <v>578</v>
      </c>
      <c r="H257" s="21" t="s">
        <v>3315</v>
      </c>
      <c r="I257" s="21" t="s">
        <v>4062</v>
      </c>
      <c r="J257" s="21" t="s">
        <v>3371</v>
      </c>
      <c r="K257" s="21" t="s">
        <v>4063</v>
      </c>
      <c r="L257" s="21" t="s">
        <v>4064</v>
      </c>
      <c r="M257" s="21" t="s">
        <v>2155</v>
      </c>
      <c r="O257" s="0" t="n">
        <v>1</v>
      </c>
    </row>
    <row r="258" customFormat="false" ht="17.15" hidden="false" customHeight="false" outlineLevel="0" collapsed="false">
      <c r="A258" s="0" t="s">
        <v>2187</v>
      </c>
      <c r="B258" s="0" t="s">
        <v>2084</v>
      </c>
      <c r="C258" s="0" t="s">
        <v>741</v>
      </c>
      <c r="D258" s="0" t="s">
        <v>2185</v>
      </c>
      <c r="E258" s="0" t="s">
        <v>3376</v>
      </c>
      <c r="F258" s="0" t="s">
        <v>2108</v>
      </c>
      <c r="G258" s="9"/>
      <c r="H258" s="21" t="s">
        <v>3315</v>
      </c>
      <c r="I258" s="5" t="s">
        <v>2186</v>
      </c>
      <c r="J258" s="21" t="s">
        <v>3371</v>
      </c>
      <c r="K258" s="21" t="s">
        <v>4063</v>
      </c>
      <c r="L258" s="21" t="s">
        <v>4064</v>
      </c>
      <c r="M258" s="21" t="s">
        <v>2155</v>
      </c>
      <c r="N258" s="21" t="s">
        <v>4065</v>
      </c>
      <c r="O258" s="0" t="n">
        <v>1</v>
      </c>
    </row>
    <row r="259" customFormat="false" ht="17.15" hidden="false" customHeight="false" outlineLevel="0" collapsed="false">
      <c r="A259" s="0" t="s">
        <v>4066</v>
      </c>
      <c r="B259" s="0" t="s">
        <v>1429</v>
      </c>
      <c r="C259" s="0" t="s">
        <v>748</v>
      </c>
      <c r="D259" s="0" t="s">
        <v>2170</v>
      </c>
      <c r="E259" s="0" t="s">
        <v>29</v>
      </c>
      <c r="F259" s="0" t="s">
        <v>4067</v>
      </c>
      <c r="G259" s="9" t="n">
        <v>83.7</v>
      </c>
      <c r="H259" s="21" t="s">
        <v>3315</v>
      </c>
      <c r="I259" s="21" t="s">
        <v>4068</v>
      </c>
      <c r="J259" s="21" t="s">
        <v>3371</v>
      </c>
      <c r="K259" s="21" t="s">
        <v>4069</v>
      </c>
      <c r="L259" s="21" t="s">
        <v>4070</v>
      </c>
      <c r="M259" s="21" t="s">
        <v>2155</v>
      </c>
      <c r="N259" s="21" t="s">
        <v>4071</v>
      </c>
      <c r="O259" s="0" t="n">
        <v>1</v>
      </c>
    </row>
    <row r="260" customFormat="false" ht="17.15" hidden="false" customHeight="false" outlineLevel="0" collapsed="false">
      <c r="A260" s="0" t="s">
        <v>4072</v>
      </c>
      <c r="B260" s="0" t="s">
        <v>2084</v>
      </c>
      <c r="C260" s="0" t="s">
        <v>741</v>
      </c>
      <c r="D260" s="0" t="s">
        <v>2170</v>
      </c>
      <c r="E260" s="0" t="s">
        <v>29</v>
      </c>
      <c r="F260" s="0" t="s">
        <v>2123</v>
      </c>
      <c r="G260" s="9" t="n">
        <v>164.922</v>
      </c>
      <c r="H260" s="21" t="s">
        <v>3315</v>
      </c>
      <c r="I260" s="5" t="s">
        <v>4073</v>
      </c>
      <c r="J260" s="21" t="s">
        <v>3317</v>
      </c>
      <c r="K260" s="21" t="s">
        <v>4074</v>
      </c>
      <c r="L260" s="21" t="s">
        <v>4075</v>
      </c>
      <c r="M260" s="21" t="s">
        <v>2155</v>
      </c>
      <c r="O260" s="0" t="n">
        <v>1</v>
      </c>
    </row>
    <row r="261" customFormat="false" ht="17.15" hidden="false" customHeight="false" outlineLevel="0" collapsed="false">
      <c r="A261" s="0" t="s">
        <v>4076</v>
      </c>
      <c r="B261" s="0" t="s">
        <v>2084</v>
      </c>
      <c r="C261" s="0" t="s">
        <v>741</v>
      </c>
      <c r="D261" s="0" t="s">
        <v>2083</v>
      </c>
      <c r="E261" s="0" t="s">
        <v>29</v>
      </c>
      <c r="F261" s="0" t="s">
        <v>4077</v>
      </c>
      <c r="G261" s="9" t="n">
        <v>97.273</v>
      </c>
      <c r="H261" s="21" t="s">
        <v>3315</v>
      </c>
      <c r="I261" s="5" t="s">
        <v>4078</v>
      </c>
      <c r="J261" s="21" t="s">
        <v>3327</v>
      </c>
      <c r="K261" s="21" t="s">
        <v>4074</v>
      </c>
      <c r="L261" s="21" t="s">
        <v>4075</v>
      </c>
      <c r="M261" s="21" t="s">
        <v>2155</v>
      </c>
      <c r="O261" s="0" t="n">
        <v>1</v>
      </c>
    </row>
    <row r="262" customFormat="false" ht="17.15" hidden="false" customHeight="false" outlineLevel="0" collapsed="false">
      <c r="A262" s="0" t="s">
        <v>4079</v>
      </c>
      <c r="B262" s="0" t="s">
        <v>2084</v>
      </c>
      <c r="C262" s="0" t="s">
        <v>741</v>
      </c>
      <c r="D262" s="0" t="s">
        <v>3841</v>
      </c>
      <c r="E262" s="0" t="s">
        <v>29</v>
      </c>
      <c r="F262" s="0" t="s">
        <v>4077</v>
      </c>
      <c r="G262" s="9" t="n">
        <v>17.5</v>
      </c>
      <c r="H262" s="21" t="s">
        <v>3315</v>
      </c>
      <c r="I262" s="5" t="s">
        <v>4080</v>
      </c>
      <c r="J262" s="21" t="s">
        <v>3317</v>
      </c>
      <c r="K262" s="21" t="s">
        <v>4074</v>
      </c>
      <c r="L262" s="21" t="s">
        <v>4075</v>
      </c>
      <c r="M262" s="21" t="s">
        <v>2155</v>
      </c>
      <c r="O262" s="0" t="n">
        <v>1</v>
      </c>
    </row>
    <row r="263" customFormat="false" ht="17.15" hidden="false" customHeight="false" outlineLevel="0" collapsed="false">
      <c r="A263" s="0" t="s">
        <v>4081</v>
      </c>
      <c r="B263" s="0" t="s">
        <v>2084</v>
      </c>
      <c r="C263" s="0" t="s">
        <v>741</v>
      </c>
      <c r="D263" s="0" t="s">
        <v>2170</v>
      </c>
      <c r="E263" s="0" t="s">
        <v>29</v>
      </c>
      <c r="F263" s="0" t="s">
        <v>4067</v>
      </c>
      <c r="G263" s="9" t="n">
        <v>179.952</v>
      </c>
      <c r="H263" s="21" t="s">
        <v>3315</v>
      </c>
      <c r="I263" s="21" t="s">
        <v>4082</v>
      </c>
      <c r="J263" s="21" t="s">
        <v>3327</v>
      </c>
      <c r="K263" s="21" t="s">
        <v>4074</v>
      </c>
      <c r="L263" s="21" t="s">
        <v>4075</v>
      </c>
      <c r="M263" s="21" t="s">
        <v>2155</v>
      </c>
      <c r="O263" s="0" t="n">
        <v>1</v>
      </c>
    </row>
    <row r="264" customFormat="false" ht="17.15" hidden="false" customHeight="false" outlineLevel="0" collapsed="false">
      <c r="A264" s="0" t="s">
        <v>4083</v>
      </c>
      <c r="B264" s="0" t="s">
        <v>2084</v>
      </c>
      <c r="C264" s="0" t="s">
        <v>741</v>
      </c>
      <c r="D264" s="0" t="s">
        <v>3703</v>
      </c>
      <c r="E264" s="0" t="s">
        <v>28</v>
      </c>
      <c r="F264" s="0" t="s">
        <v>4067</v>
      </c>
      <c r="G264" s="9" t="n">
        <v>68.396</v>
      </c>
      <c r="H264" s="21" t="s">
        <v>3315</v>
      </c>
      <c r="I264" s="21" t="s">
        <v>4084</v>
      </c>
      <c r="J264" s="21" t="s">
        <v>3327</v>
      </c>
      <c r="K264" s="21" t="s">
        <v>4074</v>
      </c>
      <c r="L264" s="21" t="s">
        <v>4075</v>
      </c>
      <c r="M264" s="21" t="s">
        <v>2155</v>
      </c>
      <c r="O264" s="0" t="n">
        <v>1</v>
      </c>
    </row>
    <row r="265" customFormat="false" ht="17.15" hidden="false" customHeight="false" outlineLevel="0" collapsed="false">
      <c r="A265" s="0" t="s">
        <v>4085</v>
      </c>
      <c r="B265" s="0" t="s">
        <v>2084</v>
      </c>
      <c r="C265" s="0" t="s">
        <v>741</v>
      </c>
      <c r="D265" s="0" t="s">
        <v>2083</v>
      </c>
      <c r="E265" s="0" t="s">
        <v>29</v>
      </c>
      <c r="F265" s="0" t="s">
        <v>3357</v>
      </c>
      <c r="G265" s="9" t="n">
        <v>112.051</v>
      </c>
      <c r="H265" s="21" t="s">
        <v>3315</v>
      </c>
      <c r="I265" s="5" t="s">
        <v>4086</v>
      </c>
      <c r="J265" s="21" t="s">
        <v>3327</v>
      </c>
      <c r="K265" s="21" t="s">
        <v>4074</v>
      </c>
      <c r="L265" s="21" t="s">
        <v>4075</v>
      </c>
      <c r="M265" s="21" t="s">
        <v>2155</v>
      </c>
      <c r="O265" s="0" t="n">
        <v>1</v>
      </c>
    </row>
    <row r="266" customFormat="false" ht="17.15" hidden="false" customHeight="false" outlineLevel="0" collapsed="false">
      <c r="A266" s="0" t="s">
        <v>4087</v>
      </c>
      <c r="B266" s="0" t="s">
        <v>2084</v>
      </c>
      <c r="C266" s="0" t="s">
        <v>741</v>
      </c>
      <c r="D266" s="0" t="s">
        <v>2170</v>
      </c>
      <c r="E266" s="0" t="s">
        <v>29</v>
      </c>
      <c r="F266" s="0" t="s">
        <v>2173</v>
      </c>
      <c r="G266" s="9" t="n">
        <v>14.495</v>
      </c>
      <c r="H266" s="21" t="s">
        <v>3315</v>
      </c>
      <c r="I266" s="5" t="s">
        <v>4088</v>
      </c>
      <c r="J266" s="21" t="s">
        <v>3317</v>
      </c>
      <c r="K266" s="21" t="s">
        <v>4074</v>
      </c>
      <c r="L266" s="21" t="s">
        <v>4075</v>
      </c>
      <c r="M266" s="21" t="s">
        <v>2155</v>
      </c>
      <c r="O266" s="0" t="n">
        <v>1</v>
      </c>
    </row>
    <row r="267" customFormat="false" ht="17.15" hidden="false" customHeight="false" outlineLevel="0" collapsed="false">
      <c r="A267" s="0" t="s">
        <v>4089</v>
      </c>
      <c r="B267" s="0" t="s">
        <v>2084</v>
      </c>
      <c r="C267" s="0" t="s">
        <v>741</v>
      </c>
      <c r="D267" s="0" t="s">
        <v>2170</v>
      </c>
      <c r="E267" s="0" t="s">
        <v>29</v>
      </c>
      <c r="F267" s="0" t="s">
        <v>4090</v>
      </c>
      <c r="G267" s="9" t="n">
        <v>9.726</v>
      </c>
      <c r="H267" s="21" t="s">
        <v>3315</v>
      </c>
      <c r="I267" s="5" t="s">
        <v>4091</v>
      </c>
      <c r="J267" s="21" t="s">
        <v>3327</v>
      </c>
      <c r="K267" s="21" t="s">
        <v>4074</v>
      </c>
      <c r="L267" s="21" t="s">
        <v>4075</v>
      </c>
      <c r="M267" s="21" t="s">
        <v>2155</v>
      </c>
      <c r="O267" s="0" t="n">
        <v>1</v>
      </c>
    </row>
    <row r="268" customFormat="false" ht="17.15" hidden="false" customHeight="false" outlineLevel="0" collapsed="false">
      <c r="A268" s="0" t="s">
        <v>4092</v>
      </c>
      <c r="B268" s="0" t="s">
        <v>2084</v>
      </c>
      <c r="C268" s="0" t="s">
        <v>741</v>
      </c>
      <c r="D268" s="0" t="s">
        <v>2170</v>
      </c>
      <c r="E268" s="0" t="s">
        <v>29</v>
      </c>
      <c r="F268" s="0" t="s">
        <v>2126</v>
      </c>
      <c r="G268" s="9" t="n">
        <v>100.288</v>
      </c>
      <c r="H268" s="21" t="s">
        <v>3315</v>
      </c>
      <c r="I268" s="5" t="s">
        <v>4093</v>
      </c>
      <c r="J268" s="21" t="s">
        <v>3317</v>
      </c>
      <c r="K268" s="21" t="s">
        <v>4074</v>
      </c>
      <c r="L268" s="21" t="s">
        <v>4075</v>
      </c>
      <c r="M268" s="21" t="s">
        <v>2155</v>
      </c>
      <c r="O268" s="0" t="n">
        <v>1</v>
      </c>
    </row>
    <row r="269" customFormat="false" ht="17.15" hidden="false" customHeight="false" outlineLevel="0" collapsed="false">
      <c r="A269" s="0" t="s">
        <v>4094</v>
      </c>
      <c r="B269" s="0" t="s">
        <v>2084</v>
      </c>
      <c r="C269" s="0" t="s">
        <v>741</v>
      </c>
      <c r="D269" s="0" t="s">
        <v>2170</v>
      </c>
      <c r="E269" s="0" t="s">
        <v>29</v>
      </c>
      <c r="F269" s="0" t="s">
        <v>4095</v>
      </c>
      <c r="G269" s="9" t="n">
        <v>80</v>
      </c>
      <c r="H269" s="21" t="s">
        <v>3315</v>
      </c>
      <c r="I269" s="5" t="s">
        <v>4096</v>
      </c>
      <c r="J269" s="21" t="s">
        <v>3317</v>
      </c>
      <c r="K269" s="21" t="s">
        <v>4074</v>
      </c>
      <c r="L269" s="21" t="s">
        <v>4075</v>
      </c>
      <c r="M269" s="21" t="s">
        <v>2155</v>
      </c>
      <c r="O269" s="0" t="n">
        <v>1</v>
      </c>
    </row>
    <row r="270" customFormat="false" ht="17.15" hidden="false" customHeight="false" outlineLevel="0" collapsed="false">
      <c r="A270" s="0" t="s">
        <v>4097</v>
      </c>
      <c r="B270" s="0" t="s">
        <v>2084</v>
      </c>
      <c r="C270" s="0" t="s">
        <v>741</v>
      </c>
      <c r="D270" s="0" t="s">
        <v>2083</v>
      </c>
      <c r="E270" s="0" t="s">
        <v>29</v>
      </c>
      <c r="F270" s="0" t="s">
        <v>4098</v>
      </c>
      <c r="G270" s="9" t="n">
        <v>21.473</v>
      </c>
      <c r="H270" s="21" t="s">
        <v>3315</v>
      </c>
      <c r="I270" s="5" t="s">
        <v>4099</v>
      </c>
      <c r="J270" s="21" t="s">
        <v>3317</v>
      </c>
      <c r="K270" s="21" t="s">
        <v>4074</v>
      </c>
      <c r="L270" s="21" t="s">
        <v>4075</v>
      </c>
      <c r="M270" s="21" t="s">
        <v>2155</v>
      </c>
      <c r="O270" s="0" t="n">
        <v>1</v>
      </c>
    </row>
    <row r="271" customFormat="false" ht="17.15" hidden="false" customHeight="false" outlineLevel="0" collapsed="false">
      <c r="A271" s="0" t="s">
        <v>4100</v>
      </c>
      <c r="B271" s="0" t="s">
        <v>2084</v>
      </c>
      <c r="C271" s="0" t="s">
        <v>741</v>
      </c>
      <c r="D271" s="0" t="s">
        <v>2170</v>
      </c>
      <c r="E271" s="0" t="s">
        <v>29</v>
      </c>
      <c r="F271" s="0" t="s">
        <v>3366</v>
      </c>
      <c r="G271" s="9" t="n">
        <v>159.64</v>
      </c>
      <c r="H271" s="21" t="s">
        <v>3315</v>
      </c>
      <c r="I271" s="5" t="s">
        <v>4101</v>
      </c>
      <c r="J271" s="21" t="s">
        <v>3317</v>
      </c>
      <c r="K271" s="21" t="s">
        <v>4074</v>
      </c>
      <c r="L271" s="21" t="s">
        <v>4075</v>
      </c>
      <c r="M271" s="21" t="s">
        <v>2155</v>
      </c>
      <c r="O271" s="0" t="n">
        <v>1</v>
      </c>
    </row>
    <row r="272" customFormat="false" ht="17.15" hidden="false" customHeight="false" outlineLevel="0" collapsed="false">
      <c r="A272" s="0" t="s">
        <v>4102</v>
      </c>
      <c r="B272" s="0" t="s">
        <v>2084</v>
      </c>
      <c r="C272" s="0" t="s">
        <v>741</v>
      </c>
      <c r="D272" s="0" t="s">
        <v>2170</v>
      </c>
      <c r="E272" s="0" t="s">
        <v>29</v>
      </c>
      <c r="F272" s="0" t="s">
        <v>3876</v>
      </c>
      <c r="G272" s="9" t="n">
        <v>114.226</v>
      </c>
      <c r="H272" s="21" t="s">
        <v>3315</v>
      </c>
      <c r="I272" s="5" t="s">
        <v>4103</v>
      </c>
      <c r="J272" s="21" t="s">
        <v>3327</v>
      </c>
      <c r="K272" s="21" t="s">
        <v>4074</v>
      </c>
      <c r="L272" s="21" t="s">
        <v>4075</v>
      </c>
      <c r="M272" s="21" t="s">
        <v>2155</v>
      </c>
      <c r="N272" s="21" t="s">
        <v>4104</v>
      </c>
      <c r="O272" s="0" t="n">
        <v>1</v>
      </c>
    </row>
    <row r="273" customFormat="false" ht="17.15" hidden="false" customHeight="false" outlineLevel="0" collapsed="false">
      <c r="A273" s="0" t="s">
        <v>4105</v>
      </c>
      <c r="B273" s="0" t="s">
        <v>2084</v>
      </c>
      <c r="C273" s="0" t="s">
        <v>741</v>
      </c>
      <c r="D273" s="0" t="s">
        <v>3703</v>
      </c>
      <c r="E273" s="0" t="s">
        <v>28</v>
      </c>
      <c r="F273" s="0" t="s">
        <v>3876</v>
      </c>
      <c r="G273" s="9" t="n">
        <v>123.029</v>
      </c>
      <c r="H273" s="21" t="s">
        <v>3315</v>
      </c>
      <c r="I273" s="5" t="s">
        <v>4106</v>
      </c>
      <c r="J273" s="21" t="s">
        <v>3327</v>
      </c>
      <c r="K273" s="21" t="s">
        <v>4074</v>
      </c>
      <c r="L273" s="21" t="s">
        <v>4075</v>
      </c>
      <c r="M273" s="21" t="s">
        <v>2155</v>
      </c>
      <c r="N273" s="21" t="s">
        <v>4104</v>
      </c>
      <c r="O273" s="0" t="n">
        <v>1</v>
      </c>
    </row>
    <row r="274" customFormat="false" ht="17.15" hidden="false" customHeight="false" outlineLevel="0" collapsed="false">
      <c r="A274" s="0" t="s">
        <v>4107</v>
      </c>
      <c r="B274" s="0" t="s">
        <v>1429</v>
      </c>
      <c r="C274" s="0" t="s">
        <v>748</v>
      </c>
      <c r="D274" s="0" t="s">
        <v>2170</v>
      </c>
      <c r="E274" s="0" t="s">
        <v>29</v>
      </c>
      <c r="F274" s="0" t="s">
        <v>4067</v>
      </c>
      <c r="G274" s="9" t="n">
        <v>83.669</v>
      </c>
      <c r="H274" s="21" t="s">
        <v>3315</v>
      </c>
      <c r="I274" s="21" t="s">
        <v>4108</v>
      </c>
      <c r="J274" s="21" t="s">
        <v>3327</v>
      </c>
      <c r="K274" s="21" t="s">
        <v>4109</v>
      </c>
      <c r="L274" s="21" t="s">
        <v>4110</v>
      </c>
      <c r="M274" s="21" t="s">
        <v>2155</v>
      </c>
      <c r="O274" s="0" t="n">
        <v>1</v>
      </c>
    </row>
    <row r="275" customFormat="false" ht="17.15" hidden="false" customHeight="false" outlineLevel="0" collapsed="false">
      <c r="A275" s="0" t="s">
        <v>4111</v>
      </c>
      <c r="B275" s="0" t="s">
        <v>1429</v>
      </c>
      <c r="C275" s="0" t="s">
        <v>748</v>
      </c>
      <c r="D275" s="0" t="s">
        <v>3703</v>
      </c>
      <c r="E275" s="0" t="s">
        <v>28</v>
      </c>
      <c r="F275" s="0" t="s">
        <v>4067</v>
      </c>
      <c r="G275" s="9" t="n">
        <v>58.744</v>
      </c>
      <c r="H275" s="21" t="s">
        <v>3315</v>
      </c>
      <c r="I275" s="5" t="s">
        <v>4112</v>
      </c>
      <c r="J275" s="21" t="s">
        <v>3317</v>
      </c>
      <c r="K275" s="21" t="s">
        <v>4109</v>
      </c>
      <c r="L275" s="21" t="s">
        <v>4110</v>
      </c>
      <c r="M275" s="21" t="s">
        <v>2155</v>
      </c>
      <c r="O275" s="0" t="n">
        <v>1</v>
      </c>
    </row>
    <row r="276" customFormat="false" ht="17.15" hidden="false" customHeight="false" outlineLevel="0" collapsed="false">
      <c r="A276" s="0" t="s">
        <v>4113</v>
      </c>
      <c r="B276" s="0" t="s">
        <v>1429</v>
      </c>
      <c r="C276" s="0" t="s">
        <v>748</v>
      </c>
      <c r="D276" s="0" t="s">
        <v>2170</v>
      </c>
      <c r="E276" s="0" t="s">
        <v>29</v>
      </c>
      <c r="F276" s="0" t="s">
        <v>3876</v>
      </c>
      <c r="G276" s="9" t="n">
        <v>82.449</v>
      </c>
      <c r="H276" s="21" t="s">
        <v>3315</v>
      </c>
      <c r="I276" s="5" t="s">
        <v>4114</v>
      </c>
      <c r="J276" s="21" t="s">
        <v>3327</v>
      </c>
      <c r="K276" s="21" t="s">
        <v>4109</v>
      </c>
      <c r="L276" s="21" t="s">
        <v>4110</v>
      </c>
      <c r="M276" s="21" t="s">
        <v>2155</v>
      </c>
      <c r="N276" s="21" t="s">
        <v>4104</v>
      </c>
      <c r="O276" s="0" t="n">
        <v>1</v>
      </c>
    </row>
    <row r="277" customFormat="false" ht="17.15" hidden="false" customHeight="false" outlineLevel="0" collapsed="false">
      <c r="A277" s="0" t="s">
        <v>4115</v>
      </c>
      <c r="B277" s="0" t="s">
        <v>1429</v>
      </c>
      <c r="C277" s="0" t="s">
        <v>748</v>
      </c>
      <c r="D277" s="0" t="s">
        <v>3703</v>
      </c>
      <c r="E277" s="0" t="s">
        <v>28</v>
      </c>
      <c r="F277" s="0" t="s">
        <v>3876</v>
      </c>
      <c r="G277" s="9" t="n">
        <v>81.592</v>
      </c>
      <c r="H277" s="21" t="s">
        <v>3315</v>
      </c>
      <c r="I277" s="5" t="s">
        <v>4116</v>
      </c>
      <c r="J277" s="21" t="s">
        <v>3327</v>
      </c>
      <c r="K277" s="21" t="s">
        <v>4109</v>
      </c>
      <c r="L277" s="21" t="s">
        <v>4110</v>
      </c>
      <c r="M277" s="21" t="s">
        <v>2155</v>
      </c>
      <c r="N277" s="21" t="s">
        <v>4104</v>
      </c>
      <c r="O277" s="0" t="n">
        <v>1</v>
      </c>
    </row>
    <row r="278" customFormat="false" ht="17.15" hidden="false" customHeight="false" outlineLevel="0" collapsed="false">
      <c r="A278" s="0" t="s">
        <v>4117</v>
      </c>
      <c r="B278" s="0" t="s">
        <v>2087</v>
      </c>
      <c r="C278" s="0" t="s">
        <v>757</v>
      </c>
      <c r="D278" s="0" t="s">
        <v>2082</v>
      </c>
      <c r="E278" s="0" t="s">
        <v>28</v>
      </c>
      <c r="F278" s="0" t="s">
        <v>2145</v>
      </c>
      <c r="G278" s="9" t="n">
        <v>16</v>
      </c>
      <c r="H278" s="21" t="s">
        <v>3315</v>
      </c>
      <c r="I278" s="21" t="s">
        <v>4118</v>
      </c>
      <c r="J278" s="21" t="s">
        <v>3317</v>
      </c>
      <c r="K278" s="21" t="s">
        <v>3922</v>
      </c>
      <c r="L278" s="21" t="s">
        <v>3923</v>
      </c>
      <c r="M278" s="5" t="s">
        <v>2097</v>
      </c>
      <c r="N278" s="5" t="s">
        <v>4119</v>
      </c>
      <c r="O278" s="0" t="n">
        <v>1</v>
      </c>
    </row>
    <row r="279" customFormat="false" ht="17.15" hidden="false" customHeight="false" outlineLevel="0" collapsed="false">
      <c r="A279" s="0" t="s">
        <v>4120</v>
      </c>
      <c r="B279" s="0" t="s">
        <v>2076</v>
      </c>
      <c r="C279" s="0" t="s">
        <v>728</v>
      </c>
      <c r="D279" s="0" t="s">
        <v>4121</v>
      </c>
      <c r="E279" s="0" t="s">
        <v>28</v>
      </c>
      <c r="F279" s="0" t="s">
        <v>2123</v>
      </c>
      <c r="G279" s="9" t="n">
        <v>92.7</v>
      </c>
      <c r="H279" s="21" t="s">
        <v>3315</v>
      </c>
      <c r="I279" s="5" t="s">
        <v>4122</v>
      </c>
      <c r="J279" s="21" t="s">
        <v>3317</v>
      </c>
      <c r="K279" s="21" t="s">
        <v>4123</v>
      </c>
      <c r="M279" s="5" t="s">
        <v>2097</v>
      </c>
      <c r="N279" s="21" t="s">
        <v>4124</v>
      </c>
      <c r="O279" s="0" t="n">
        <v>1</v>
      </c>
    </row>
    <row r="280" customFormat="false" ht="17.15" hidden="false" customHeight="false" outlineLevel="0" collapsed="false">
      <c r="A280" s="0" t="s">
        <v>4125</v>
      </c>
      <c r="B280" s="0" t="s">
        <v>2085</v>
      </c>
      <c r="C280" s="0" t="s">
        <v>752</v>
      </c>
      <c r="D280" s="0" t="s">
        <v>3648</v>
      </c>
      <c r="E280" s="0" t="s">
        <v>29</v>
      </c>
      <c r="F280" s="0" t="s">
        <v>2123</v>
      </c>
      <c r="G280" s="9" t="n">
        <v>260</v>
      </c>
      <c r="H280" s="21" t="s">
        <v>3315</v>
      </c>
      <c r="I280" s="5" t="s">
        <v>4122</v>
      </c>
      <c r="J280" s="21" t="s">
        <v>3371</v>
      </c>
      <c r="K280" s="21" t="s">
        <v>4123</v>
      </c>
      <c r="M280" s="5" t="s">
        <v>2097</v>
      </c>
      <c r="N280" s="21" t="s">
        <v>4126</v>
      </c>
      <c r="O280" s="0" t="n">
        <v>1</v>
      </c>
    </row>
    <row r="281" customFormat="false" ht="17.15" hidden="false" customHeight="false" outlineLevel="0" collapsed="false">
      <c r="A281" s="0" t="s">
        <v>4127</v>
      </c>
      <c r="B281" s="0" t="s">
        <v>2084</v>
      </c>
      <c r="C281" s="0" t="s">
        <v>741</v>
      </c>
      <c r="D281" s="0" t="s">
        <v>3703</v>
      </c>
      <c r="E281" s="0" t="s">
        <v>28</v>
      </c>
      <c r="F281" s="0" t="s">
        <v>2123</v>
      </c>
      <c r="G281" s="9" t="n">
        <v>96.4</v>
      </c>
      <c r="H281" s="21" t="s">
        <v>3315</v>
      </c>
      <c r="I281" s="5" t="s">
        <v>4122</v>
      </c>
      <c r="J281" s="21" t="s">
        <v>3317</v>
      </c>
      <c r="K281" s="21" t="s">
        <v>4123</v>
      </c>
      <c r="M281" s="5" t="s">
        <v>2097</v>
      </c>
      <c r="N281" s="21" t="s">
        <v>4128</v>
      </c>
      <c r="O281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4129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4130</v>
      </c>
      <c r="D4" s="30" t="n">
        <f aca="false">Players!D5*TK_CapexFacility_H100+Players!D6*TK_CapexFacility_GB200+Players!D7*TK_CapexFacility_GB300+Players!D8*TK_CapexFacility_VR200+Players!D9*TK_CapexFacility_RU</f>
        <v>12.67</v>
      </c>
      <c r="E4" s="30" t="n">
        <f aca="false">Players!E5*TK_CapexFacility_H100+Players!E6*TK_CapexFacility_GB200+Players!E7*TK_CapexFacility_GB300+Players!E8*TK_CapexFacility_VR200+Players!E9*TK_CapexFacility_RU</f>
        <v>12.67</v>
      </c>
      <c r="F4" s="30" t="n">
        <f aca="false">Players!F5*TK_CapexFacility_H100+Players!F6*TK_CapexFacility_GB200+Players!F7*TK_CapexFacility_GB300+Players!F8*TK_CapexFacility_VR200+Players!F9*TK_CapexFacility_RU</f>
        <v>12.67</v>
      </c>
      <c r="G4" s="30" t="n">
        <f aca="false">Players!G5*TK_CapexFacility_H100+Players!G6*TK_CapexFacility_GB200+Players!G7*TK_CapexFacility_GB300+Players!G8*TK_CapexFacility_VR200+Players!G9*TK_CapexFacility_RU</f>
        <v>12.67</v>
      </c>
      <c r="H4" s="30" t="n">
        <f aca="false">Players!H5*TK_CapexFacility_H100+Players!H6*TK_CapexFacility_GB200+Players!H7*TK_CapexFacility_GB300+Players!H8*TK_CapexFacility_VR200+Players!H9*TK_CapexFacility_RU</f>
        <v>12.67</v>
      </c>
      <c r="I4" s="30" t="n">
        <f aca="false">Players!I5*TK_CapexFacility_H100+Players!I6*TK_CapexFacility_GB200+Players!I7*TK_CapexFacility_GB300+Players!I8*TK_CapexFacility_VR200+Players!I9*TK_CapexFacility_RU</f>
        <v>12.67</v>
      </c>
      <c r="J4" s="30" t="n">
        <f aca="false">Players!J5*TK_CapexFacility_H100+Players!J6*TK_CapexFacility_GB200+Players!J7*TK_CapexFacility_GB300+Players!J8*TK_CapexFacility_VR200+Players!J9*TK_CapexFacility_RU</f>
        <v>12.67</v>
      </c>
      <c r="K4" s="30" t="n">
        <f aca="false">Players!K5*TK_CapexFacility_H100+Players!K6*TK_CapexFacility_GB200+Players!K7*TK_CapexFacility_GB300+Players!K8*TK_CapexFacility_VR200+Players!K9*TK_CapexFacility_RU</f>
        <v>12.67</v>
      </c>
      <c r="L4" s="30" t="n">
        <f aca="false">Players!L5*TK_CapexFacility_H100+Players!L6*TK_CapexFacility_GB200+Players!L7*TK_CapexFacility_GB300+Players!L8*TK_CapexFacility_VR200+Players!L9*TK_CapexFacility_RU</f>
        <v>12.67</v>
      </c>
      <c r="M4" s="30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4131</v>
      </c>
      <c r="B5" s="0" t="s">
        <v>228</v>
      </c>
      <c r="C5" s="0" t="s">
        <v>230</v>
      </c>
      <c r="D5" s="30" t="n">
        <f aca="false">fac_dist</f>
        <v>2.55</v>
      </c>
      <c r="E5" s="30" t="n">
        <f aca="false">fac_dist</f>
        <v>2.55</v>
      </c>
      <c r="F5" s="30" t="n">
        <f aca="false">fac_dist</f>
        <v>2.55</v>
      </c>
      <c r="G5" s="30" t="n">
        <f aca="false">fac_dist</f>
        <v>2.55</v>
      </c>
      <c r="H5" s="30" t="n">
        <f aca="false">fac_dist</f>
        <v>2.55</v>
      </c>
      <c r="I5" s="30" t="n">
        <f aca="false">fac_dist</f>
        <v>2.55</v>
      </c>
      <c r="J5" s="30" t="n">
        <f aca="false">fac_dist</f>
        <v>2.55</v>
      </c>
      <c r="K5" s="30" t="n">
        <f aca="false">fac_dist</f>
        <v>2.55</v>
      </c>
      <c r="L5" s="30" t="n">
        <f aca="false">fac_dist</f>
        <v>2.55</v>
      </c>
      <c r="M5" s="30" t="n">
        <f aca="false">fac_dist</f>
        <v>2.55</v>
      </c>
    </row>
    <row r="6" customFormat="false" ht="17.15" hidden="false" customHeight="false" outlineLevel="0" collapsed="false">
      <c r="A6" s="5" t="s">
        <v>4132</v>
      </c>
      <c r="B6" s="0" t="s">
        <v>4133</v>
      </c>
      <c r="C6" s="0" t="s">
        <v>230</v>
      </c>
      <c r="D6" s="30" t="n">
        <f aca="false">fac_gen_mult*fac_gen_px</f>
        <v>1.6</v>
      </c>
      <c r="E6" s="30" t="n">
        <f aca="false">fac_gen_mult*fac_gen_px</f>
        <v>1.6</v>
      </c>
      <c r="F6" s="30" t="n">
        <f aca="false">fac_gen_mult*fac_gen_px</f>
        <v>1.6</v>
      </c>
      <c r="G6" s="30" t="n">
        <f aca="false">fac_gen_mult*fac_gen_px</f>
        <v>1.6</v>
      </c>
      <c r="H6" s="30" t="n">
        <f aca="false">fac_gen_mult*fac_gen_px</f>
        <v>1.6</v>
      </c>
      <c r="I6" s="30" t="n">
        <f aca="false">fac_gen_mult*fac_gen_px</f>
        <v>1.6</v>
      </c>
      <c r="J6" s="30" t="n">
        <f aca="false">fac_gen_mult*fac_gen_px</f>
        <v>1.6</v>
      </c>
      <c r="K6" s="30" t="n">
        <f aca="false">fac_gen_mult*fac_gen_px</f>
        <v>1.6</v>
      </c>
      <c r="L6" s="30" t="n">
        <f aca="false">fac_gen_mult*fac_gen_px</f>
        <v>1.6</v>
      </c>
      <c r="M6" s="30" t="n">
        <f aca="false">fac_gen_mult*fac_gen_px</f>
        <v>1.6</v>
      </c>
    </row>
    <row r="7" customFormat="false" ht="17.15" hidden="false" customHeight="false" outlineLevel="0" collapsed="false">
      <c r="A7" s="5" t="s">
        <v>4134</v>
      </c>
      <c r="B7" s="0" t="s">
        <v>242</v>
      </c>
      <c r="C7" s="0" t="s">
        <v>230</v>
      </c>
      <c r="D7" s="30" t="n">
        <f aca="false">fac_ups</f>
        <v>0.75</v>
      </c>
      <c r="E7" s="30" t="n">
        <f aca="false">fac_ups</f>
        <v>0.75</v>
      </c>
      <c r="F7" s="30" t="n">
        <f aca="false">fac_ups</f>
        <v>0.75</v>
      </c>
      <c r="G7" s="30" t="n">
        <f aca="false">fac_ups</f>
        <v>0.75</v>
      </c>
      <c r="H7" s="30" t="n">
        <f aca="false">fac_ups</f>
        <v>0.75</v>
      </c>
      <c r="I7" s="30" t="n">
        <f aca="false">fac_ups</f>
        <v>0.75</v>
      </c>
      <c r="J7" s="30" t="n">
        <f aca="false">fac_ups</f>
        <v>0.75</v>
      </c>
      <c r="K7" s="30" t="n">
        <f aca="false">fac_ups</f>
        <v>0.75</v>
      </c>
      <c r="L7" s="30" t="n">
        <f aca="false">fac_ups</f>
        <v>0.75</v>
      </c>
      <c r="M7" s="30" t="n">
        <f aca="false">fac_ups</f>
        <v>0.75</v>
      </c>
    </row>
    <row r="8" customFormat="false" ht="15" hidden="false" customHeight="false" outlineLevel="0" collapsed="false">
      <c r="A8" s="5" t="s">
        <v>4135</v>
      </c>
      <c r="B8" s="0" t="s">
        <v>245</v>
      </c>
      <c r="C8" s="0" t="s">
        <v>230</v>
      </c>
      <c r="D8" s="30" t="n">
        <f aca="false">fac_cool</f>
        <v>1.9</v>
      </c>
      <c r="E8" s="30" t="n">
        <f aca="false">fac_cool</f>
        <v>1.9</v>
      </c>
      <c r="F8" s="30" t="n">
        <f aca="false">fac_cool</f>
        <v>1.9</v>
      </c>
      <c r="G8" s="30" t="n">
        <f aca="false">fac_cool</f>
        <v>1.9</v>
      </c>
      <c r="H8" s="30" t="n">
        <f aca="false">fac_cool</f>
        <v>1.9</v>
      </c>
      <c r="I8" s="30" t="n">
        <f aca="false">fac_cool</f>
        <v>1.9</v>
      </c>
      <c r="J8" s="30" t="n">
        <f aca="false">fac_cool</f>
        <v>1.9</v>
      </c>
      <c r="K8" s="30" t="n">
        <f aca="false">fac_cool</f>
        <v>1.9</v>
      </c>
      <c r="L8" s="30" t="n">
        <f aca="false">fac_cool</f>
        <v>1.9</v>
      </c>
      <c r="M8" s="30" t="n">
        <f aca="false">fac_cool</f>
        <v>1.9</v>
      </c>
    </row>
    <row r="9" customFormat="false" ht="15" hidden="false" customHeight="false" outlineLevel="0" collapsed="false">
      <c r="A9" s="5" t="s">
        <v>4136</v>
      </c>
      <c r="B9" s="0" t="s">
        <v>248</v>
      </c>
      <c r="C9" s="0" t="s">
        <v>230</v>
      </c>
      <c r="D9" s="30" t="n">
        <f aca="false">fac_bldg</f>
        <v>1.7</v>
      </c>
      <c r="E9" s="30" t="n">
        <f aca="false">fac_bldg</f>
        <v>1.7</v>
      </c>
      <c r="F9" s="30" t="n">
        <f aca="false">fac_bldg</f>
        <v>1.7</v>
      </c>
      <c r="G9" s="30" t="n">
        <f aca="false">fac_bldg</f>
        <v>1.7</v>
      </c>
      <c r="H9" s="30" t="n">
        <f aca="false">fac_bldg</f>
        <v>1.7</v>
      </c>
      <c r="I9" s="30" t="n">
        <f aca="false">fac_bldg</f>
        <v>1.7</v>
      </c>
      <c r="J9" s="30" t="n">
        <f aca="false">fac_bldg</f>
        <v>1.7</v>
      </c>
      <c r="K9" s="30" t="n">
        <f aca="false">fac_bldg</f>
        <v>1.7</v>
      </c>
      <c r="L9" s="30" t="n">
        <f aca="false">fac_bldg</f>
        <v>1.7</v>
      </c>
      <c r="M9" s="30" t="n">
        <f aca="false">fac_bldg</f>
        <v>1.7</v>
      </c>
    </row>
    <row r="10" customFormat="false" ht="15" hidden="false" customHeight="false" outlineLevel="0" collapsed="false">
      <c r="A10" s="5" t="s">
        <v>4137</v>
      </c>
      <c r="B10" s="0" t="s">
        <v>251</v>
      </c>
      <c r="C10" s="0" t="s">
        <v>230</v>
      </c>
      <c r="D10" s="30" t="n">
        <f aca="false">fac_labor</f>
        <v>2.95</v>
      </c>
      <c r="E10" s="30" t="n">
        <f aca="false">fac_labor</f>
        <v>2.95</v>
      </c>
      <c r="F10" s="30" t="n">
        <f aca="false">fac_labor</f>
        <v>2.95</v>
      </c>
      <c r="G10" s="30" t="n">
        <f aca="false">fac_labor</f>
        <v>2.95</v>
      </c>
      <c r="H10" s="30" t="n">
        <f aca="false">fac_labor</f>
        <v>2.95</v>
      </c>
      <c r="I10" s="30" t="n">
        <f aca="false">fac_labor</f>
        <v>2.95</v>
      </c>
      <c r="J10" s="30" t="n">
        <f aca="false">fac_labor</f>
        <v>2.95</v>
      </c>
      <c r="K10" s="30" t="n">
        <f aca="false">fac_labor</f>
        <v>2.95</v>
      </c>
      <c r="L10" s="30" t="n">
        <f aca="false">fac_labor</f>
        <v>2.95</v>
      </c>
      <c r="M10" s="30" t="n">
        <f aca="false">fac_labor</f>
        <v>2.95</v>
      </c>
    </row>
    <row r="11" customFormat="false" ht="17.15" hidden="false" customHeight="false" outlineLevel="0" collapsed="false">
      <c r="A11" s="5" t="s">
        <v>4138</v>
      </c>
      <c r="B11" s="0" t="s">
        <v>4139</v>
      </c>
      <c r="C11" s="0" t="s">
        <v>230</v>
      </c>
      <c r="D11" s="30" t="n">
        <f aca="false">fac_prof0-(fac_gen_mult*fac_gen_px-fac_gen_px0)</f>
        <v>0.7</v>
      </c>
      <c r="E11" s="30" t="n">
        <f aca="false">fac_prof0-(fac_gen_mult*fac_gen_px-fac_gen_px0)</f>
        <v>0.7</v>
      </c>
      <c r="F11" s="30" t="n">
        <f aca="false">fac_prof0-(fac_gen_mult*fac_gen_px-fac_gen_px0)</f>
        <v>0.7</v>
      </c>
      <c r="G11" s="30" t="n">
        <f aca="false">fac_prof0-(fac_gen_mult*fac_gen_px-fac_gen_px0)</f>
        <v>0.7</v>
      </c>
      <c r="H11" s="30" t="n">
        <f aca="false">fac_prof0-(fac_gen_mult*fac_gen_px-fac_gen_px0)</f>
        <v>0.7</v>
      </c>
      <c r="I11" s="30" t="n">
        <f aca="false">fac_prof0-(fac_gen_mult*fac_gen_px-fac_gen_px0)</f>
        <v>0.7</v>
      </c>
      <c r="J11" s="30" t="n">
        <f aca="false">fac_prof0-(fac_gen_mult*fac_gen_px-fac_gen_px0)</f>
        <v>0.7</v>
      </c>
      <c r="K11" s="30" t="n">
        <f aca="false">fac_prof0-(fac_gen_mult*fac_gen_px-fac_gen_px0)</f>
        <v>0.7</v>
      </c>
      <c r="L11" s="30" t="n">
        <f aca="false">fac_prof0-(fac_gen_mult*fac_gen_px-fac_gen_px0)</f>
        <v>0.7</v>
      </c>
      <c r="M11" s="30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4140</v>
      </c>
      <c r="B12" s="0" t="s">
        <v>257</v>
      </c>
      <c r="C12" s="0" t="s">
        <v>230</v>
      </c>
      <c r="D12" s="30" t="n">
        <f aca="false">fac_net</f>
        <v>0.3</v>
      </c>
      <c r="E12" s="30" t="n">
        <f aca="false">fac_net</f>
        <v>0.3</v>
      </c>
      <c r="F12" s="30" t="n">
        <f aca="false">fac_net</f>
        <v>0.3</v>
      </c>
      <c r="G12" s="30" t="n">
        <f aca="false">fac_net</f>
        <v>0.3</v>
      </c>
      <c r="H12" s="30" t="n">
        <f aca="false">fac_net</f>
        <v>0.3</v>
      </c>
      <c r="I12" s="30" t="n">
        <f aca="false">fac_net</f>
        <v>0.3</v>
      </c>
      <c r="J12" s="30" t="n">
        <f aca="false">fac_net</f>
        <v>0.3</v>
      </c>
      <c r="K12" s="30" t="n">
        <f aca="false">fac_net</f>
        <v>0.3</v>
      </c>
      <c r="L12" s="30" t="n">
        <f aca="false">fac_net</f>
        <v>0.3</v>
      </c>
      <c r="M12" s="30" t="n">
        <f aca="false">fac_net</f>
        <v>0.3</v>
      </c>
    </row>
    <row r="13" customFormat="false" ht="15" hidden="false" customHeight="false" outlineLevel="0" collapsed="false">
      <c r="A13" s="5" t="s">
        <v>4141</v>
      </c>
      <c r="B13" s="0" t="s">
        <v>260</v>
      </c>
      <c r="C13" s="0" t="s">
        <v>230</v>
      </c>
      <c r="D13" s="30" t="n">
        <f aca="false">fac_land</f>
        <v>0.2</v>
      </c>
      <c r="E13" s="30" t="n">
        <f aca="false">fac_land</f>
        <v>0.2</v>
      </c>
      <c r="F13" s="30" t="n">
        <f aca="false">fac_land</f>
        <v>0.2</v>
      </c>
      <c r="G13" s="30" t="n">
        <f aca="false">fac_land</f>
        <v>0.2</v>
      </c>
      <c r="H13" s="30" t="n">
        <f aca="false">fac_land</f>
        <v>0.2</v>
      </c>
      <c r="I13" s="30" t="n">
        <f aca="false">fac_land</f>
        <v>0.2</v>
      </c>
      <c r="J13" s="30" t="n">
        <f aca="false">fac_land</f>
        <v>0.2</v>
      </c>
      <c r="K13" s="30" t="n">
        <f aca="false">fac_land</f>
        <v>0.2</v>
      </c>
      <c r="L13" s="30" t="n">
        <f aca="false">fac_land</f>
        <v>0.2</v>
      </c>
      <c r="M13" s="30" t="n">
        <f aca="false">fac_land</f>
        <v>0.2</v>
      </c>
    </row>
    <row r="14" customFormat="false" ht="17.15" hidden="false" customHeight="false" outlineLevel="0" collapsed="false">
      <c r="A14" s="5" t="s">
        <v>4142</v>
      </c>
      <c r="B14" s="0" t="s">
        <v>4143</v>
      </c>
      <c r="C14" s="0" t="s">
        <v>230</v>
      </c>
      <c r="D14" s="30" t="n">
        <f aca="false">D4-SUM(D5:D13)</f>
        <v>0.0200000000000014</v>
      </c>
      <c r="E14" s="30" t="n">
        <f aca="false">E4-SUM(E5:E13)</f>
        <v>0.0200000000000014</v>
      </c>
      <c r="F14" s="30" t="n">
        <f aca="false">F4-SUM(F5:F13)</f>
        <v>0.0200000000000014</v>
      </c>
      <c r="G14" s="30" t="n">
        <f aca="false">G4-SUM(G5:G13)</f>
        <v>0.0200000000000014</v>
      </c>
      <c r="H14" s="30" t="n">
        <f aca="false">H4-SUM(H5:H13)</f>
        <v>0.0200000000000014</v>
      </c>
      <c r="I14" s="30" t="n">
        <f aca="false">I4-SUM(I5:I13)</f>
        <v>0.0200000000000014</v>
      </c>
      <c r="J14" s="30" t="n">
        <f aca="false">J4-SUM(J5:J13)</f>
        <v>0.0200000000000014</v>
      </c>
      <c r="K14" s="30" t="n">
        <f aca="false">K4-SUM(K5:K13)</f>
        <v>0.0200000000000014</v>
      </c>
      <c r="L14" s="30" t="n">
        <f aca="false">L4-SUM(L5:L13)</f>
        <v>0.0200000000000014</v>
      </c>
      <c r="M14" s="30" t="n">
        <f aca="false">M4-SUM(M5:M13)</f>
        <v>0.0200000000000014</v>
      </c>
    </row>
    <row r="15" customFormat="false" ht="17.15" hidden="false" customHeight="false" outlineLevel="0" collapsed="false">
      <c r="A15" s="5" t="s">
        <v>4144</v>
      </c>
      <c r="C15" s="0" t="s">
        <v>230</v>
      </c>
      <c r="D15" s="30" t="n">
        <f aca="false">SUM(D5:D14)</f>
        <v>12.67</v>
      </c>
      <c r="E15" s="30" t="n">
        <f aca="false">SUM(E5:E14)</f>
        <v>12.67</v>
      </c>
      <c r="F15" s="30" t="n">
        <f aca="false">SUM(F5:F14)</f>
        <v>12.67</v>
      </c>
      <c r="G15" s="30" t="n">
        <f aca="false">SUM(G5:G14)</f>
        <v>12.67</v>
      </c>
      <c r="H15" s="30" t="n">
        <f aca="false">SUM(H5:H14)</f>
        <v>12.67</v>
      </c>
      <c r="I15" s="30" t="n">
        <f aca="false">SUM(I5:I14)</f>
        <v>12.67</v>
      </c>
      <c r="J15" s="30" t="n">
        <f aca="false">SUM(J5:J14)</f>
        <v>12.67</v>
      </c>
      <c r="K15" s="30" t="n">
        <f aca="false">SUM(K5:K14)</f>
        <v>12.67</v>
      </c>
      <c r="L15" s="30" t="n">
        <f aca="false">SUM(L5:L14)</f>
        <v>12.67</v>
      </c>
      <c r="M15" s="30" t="n">
        <f aca="false">SUM(M5:M14)</f>
        <v>12.67</v>
      </c>
    </row>
    <row r="16" customFormat="false" ht="17.15" hidden="false" customHeight="false" outlineLevel="0" collapsed="false">
      <c r="A16" s="5" t="s">
        <v>4145</v>
      </c>
      <c r="B16" s="0" t="s">
        <v>4146</v>
      </c>
      <c r="C16" s="0" t="s">
        <v>230</v>
      </c>
      <c r="D16" s="30" t="n">
        <f aca="false">self_gw*self_px</f>
        <v>2.304</v>
      </c>
      <c r="E16" s="30" t="n">
        <f aca="false">self_gw*self_px</f>
        <v>2.304</v>
      </c>
      <c r="F16" s="30" t="n">
        <f aca="false">self_gw*self_px</f>
        <v>2.304</v>
      </c>
      <c r="G16" s="30" t="n">
        <f aca="false">self_gw*self_px</f>
        <v>2.304</v>
      </c>
      <c r="H16" s="30" t="n">
        <f aca="false">self_gw*self_px</f>
        <v>2.304</v>
      </c>
      <c r="I16" s="30" t="n">
        <f aca="false">self_gw*self_px</f>
        <v>2.304</v>
      </c>
      <c r="J16" s="30" t="n">
        <f aca="false">self_gw*self_px</f>
        <v>2.304</v>
      </c>
      <c r="K16" s="30" t="n">
        <f aca="false">self_gw*self_px</f>
        <v>2.304</v>
      </c>
      <c r="L16" s="30" t="n">
        <f aca="false">self_gw*self_px</f>
        <v>2.304</v>
      </c>
      <c r="M16" s="30" t="n">
        <f aca="false">self_gw*self_px</f>
        <v>2.304</v>
      </c>
    </row>
    <row r="18" customFormat="false" ht="17.15" hidden="false" customHeight="false" outlineLevel="0" collapsed="false">
      <c r="A18" s="22" t="s">
        <v>4147</v>
      </c>
    </row>
    <row r="19" customFormat="false" ht="15" hidden="false" customHeight="false" outlineLevel="0" collapsed="false">
      <c r="A19" s="5" t="s">
        <v>4148</v>
      </c>
      <c r="C19" s="0" t="s">
        <v>82</v>
      </c>
      <c r="D19" s="30" t="n">
        <f aca="false">Players!D13</f>
        <v>1.2</v>
      </c>
      <c r="E19" s="30" t="n">
        <f aca="false">Players!E13</f>
        <v>1.2</v>
      </c>
      <c r="F19" s="30" t="n">
        <f aca="false">Players!F13</f>
        <v>1.2</v>
      </c>
      <c r="G19" s="30" t="n">
        <f aca="false">Players!G13</f>
        <v>1.2</v>
      </c>
      <c r="H19" s="30" t="n">
        <f aca="false">Players!H13</f>
        <v>1.2</v>
      </c>
      <c r="I19" s="30" t="n">
        <f aca="false">Players!I13</f>
        <v>1.2</v>
      </c>
      <c r="J19" s="30" t="n">
        <f aca="false">Players!J13</f>
        <v>1.2</v>
      </c>
      <c r="K19" s="30" t="n">
        <f aca="false">Players!K13</f>
        <v>1.2</v>
      </c>
      <c r="L19" s="30" t="n">
        <f aca="false">Players!L13</f>
        <v>1.2</v>
      </c>
      <c r="M19" s="30" t="n">
        <f aca="false">Players!M13</f>
        <v>1.2</v>
      </c>
    </row>
    <row r="20" customFormat="false" ht="15" hidden="false" customHeight="false" outlineLevel="0" collapsed="false">
      <c r="A20" s="5" t="s">
        <v>4149</v>
      </c>
      <c r="C20" s="0" t="s">
        <v>82</v>
      </c>
      <c r="D20" s="30" t="n">
        <f aca="false">fac_gen_mult</f>
        <v>1.6</v>
      </c>
      <c r="E20" s="30" t="n">
        <f aca="false">fac_gen_mult</f>
        <v>1.6</v>
      </c>
      <c r="F20" s="30" t="n">
        <f aca="false">fac_gen_mult</f>
        <v>1.6</v>
      </c>
      <c r="G20" s="30" t="n">
        <f aca="false">fac_gen_mult</f>
        <v>1.6</v>
      </c>
      <c r="H20" s="30" t="n">
        <f aca="false">fac_gen_mult</f>
        <v>1.6</v>
      </c>
      <c r="I20" s="30" t="n">
        <f aca="false">fac_gen_mult</f>
        <v>1.6</v>
      </c>
      <c r="J20" s="30" t="n">
        <f aca="false">fac_gen_mult</f>
        <v>1.6</v>
      </c>
      <c r="K20" s="30" t="n">
        <f aca="false">fac_gen_mult</f>
        <v>1.6</v>
      </c>
      <c r="L20" s="30" t="n">
        <f aca="false">fac_gen_mult</f>
        <v>1.6</v>
      </c>
      <c r="M20" s="30" t="n">
        <f aca="false">fac_gen_mult</f>
        <v>1.6</v>
      </c>
    </row>
    <row r="21" customFormat="false" ht="15" hidden="false" customHeight="false" outlineLevel="0" collapsed="false">
      <c r="A21" s="5" t="s">
        <v>4150</v>
      </c>
      <c r="C21" s="0" t="s">
        <v>82</v>
      </c>
      <c r="D21" s="30" t="n">
        <f aca="false">self_gw</f>
        <v>1.44</v>
      </c>
      <c r="E21" s="30" t="n">
        <f aca="false">self_gw</f>
        <v>1.44</v>
      </c>
      <c r="F21" s="30" t="n">
        <f aca="false">self_gw</f>
        <v>1.44</v>
      </c>
      <c r="G21" s="30" t="n">
        <f aca="false">self_gw</f>
        <v>1.44</v>
      </c>
      <c r="H21" s="30" t="n">
        <f aca="false">self_gw</f>
        <v>1.44</v>
      </c>
      <c r="I21" s="30" t="n">
        <f aca="false">self_gw</f>
        <v>1.44</v>
      </c>
      <c r="J21" s="30" t="n">
        <f aca="false">self_gw</f>
        <v>1.44</v>
      </c>
      <c r="K21" s="30" t="n">
        <f aca="false">self_gw</f>
        <v>1.44</v>
      </c>
      <c r="L21" s="30" t="n">
        <f aca="false">self_gw</f>
        <v>1.44</v>
      </c>
      <c r="M21" s="30" t="n">
        <f aca="false">self_gw</f>
        <v>1.44</v>
      </c>
    </row>
    <row r="22" customFormat="false" ht="17.15" hidden="false" customHeight="false" outlineLevel="0" collapsed="false">
      <c r="A22" s="5" t="s">
        <v>4151</v>
      </c>
      <c r="C22" s="0" t="s">
        <v>278</v>
      </c>
      <c r="D22" s="30" t="n">
        <f aca="false">xfmr_gva</f>
        <v>2.67</v>
      </c>
      <c r="E22" s="30" t="n">
        <f aca="false">xfmr_gva</f>
        <v>2.67</v>
      </c>
      <c r="F22" s="30" t="n">
        <f aca="false">xfmr_gva</f>
        <v>2.67</v>
      </c>
      <c r="G22" s="30" t="n">
        <f aca="false">xfmr_gva</f>
        <v>2.67</v>
      </c>
      <c r="H22" s="30" t="n">
        <f aca="false">xfmr_gva</f>
        <v>2.67</v>
      </c>
      <c r="I22" s="30" t="n">
        <f aca="false">xfmr_gva</f>
        <v>2.67</v>
      </c>
      <c r="J22" s="30" t="n">
        <f aca="false">xfmr_gva</f>
        <v>2.67</v>
      </c>
      <c r="K22" s="30" t="n">
        <f aca="false">xfmr_gva</f>
        <v>2.67</v>
      </c>
      <c r="L22" s="30" t="n">
        <f aca="false">xfmr_gva</f>
        <v>2.67</v>
      </c>
      <c r="M22" s="30" t="n">
        <f aca="false">xfmr_gva</f>
        <v>2.67</v>
      </c>
    </row>
    <row r="24" customFormat="false" ht="17.15" hidden="false" customHeight="false" outlineLevel="0" collapsed="false">
      <c r="A24" s="22" t="s">
        <v>4152</v>
      </c>
    </row>
    <row r="25" customFormat="false" ht="17.15" hidden="false" customHeight="false" outlineLevel="0" collapsed="false">
      <c r="A25" s="5" t="s">
        <v>4153</v>
      </c>
      <c r="C25" s="0" t="s">
        <v>82</v>
      </c>
      <c r="D25" s="30" t="n">
        <f aca="false">MAX(0,Deploy!D19)</f>
        <v>0</v>
      </c>
      <c r="E25" s="30" t="n">
        <f aca="false">MAX(0,Deploy!E19)</f>
        <v>1.61980834349181</v>
      </c>
      <c r="F25" s="30" t="n">
        <f aca="false">MAX(0,Deploy!F19)</f>
        <v>9.04912429484716</v>
      </c>
      <c r="G25" s="30" t="n">
        <f aca="false">MAX(0,Deploy!G19)</f>
        <v>12.5153714610592</v>
      </c>
      <c r="H25" s="30" t="n">
        <f aca="false">MAX(0,Deploy!H19)</f>
        <v>23.9622539260371</v>
      </c>
      <c r="I25" s="30" t="n">
        <f aca="false">MAX(0,Deploy!I19)</f>
        <v>26.9232927993498</v>
      </c>
      <c r="J25" s="30" t="n">
        <f aca="false">MAX(0,Deploy!J19)</f>
        <v>27.6634681049025</v>
      </c>
      <c r="K25" s="30" t="n">
        <f aca="false">MAX(0,Deploy!K19)</f>
        <v>28.071624456532</v>
      </c>
      <c r="L25" s="30" t="n">
        <f aca="false">MAX(0,Deploy!L19)</f>
        <v>24.6443743325068</v>
      </c>
      <c r="M25" s="30" t="n">
        <f aca="false">MAX(0,Deploy!M19)</f>
        <v>16.9117528413721</v>
      </c>
    </row>
    <row r="26" customFormat="false" ht="15" hidden="false" customHeight="false" outlineLevel="0" collapsed="false">
      <c r="A26" s="5" t="s">
        <v>4154</v>
      </c>
      <c r="B26" s="0" t="s">
        <v>4155</v>
      </c>
      <c r="C26" s="0" t="s">
        <v>395</v>
      </c>
      <c r="D26" s="33" t="n">
        <f aca="false">D$25*D5</f>
        <v>0</v>
      </c>
      <c r="E26" s="33" t="n">
        <f aca="false">E$25*E5</f>
        <v>4.13051127590411</v>
      </c>
      <c r="F26" s="33" t="n">
        <f aca="false">F$25*F5</f>
        <v>23.0752669518602</v>
      </c>
      <c r="G26" s="33" t="n">
        <f aca="false">G$25*G5</f>
        <v>31.9141972257009</v>
      </c>
      <c r="H26" s="33" t="n">
        <f aca="false">H$25*H5</f>
        <v>61.1037475113945</v>
      </c>
      <c r="I26" s="33" t="n">
        <f aca="false">I$25*I5</f>
        <v>68.6543966383419</v>
      </c>
      <c r="J26" s="33" t="n">
        <f aca="false">J$25*J5</f>
        <v>70.5418436675014</v>
      </c>
      <c r="K26" s="33" t="n">
        <f aca="false">K$25*K5</f>
        <v>71.5826423641566</v>
      </c>
      <c r="L26" s="33" t="n">
        <f aca="false">L$25*L5</f>
        <v>62.8431545478924</v>
      </c>
      <c r="M26" s="33" t="n">
        <f aca="false">M$25*M5</f>
        <v>43.1249697454988</v>
      </c>
    </row>
    <row r="27" customFormat="false" ht="17.15" hidden="false" customHeight="false" outlineLevel="0" collapsed="false">
      <c r="A27" s="5" t="s">
        <v>4156</v>
      </c>
      <c r="B27" s="0" t="s">
        <v>4157</v>
      </c>
      <c r="C27" s="0" t="s">
        <v>395</v>
      </c>
      <c r="D27" s="33" t="n">
        <f aca="false">D$25*D6</f>
        <v>0</v>
      </c>
      <c r="E27" s="33" t="n">
        <f aca="false">E$25*E6</f>
        <v>2.59169334958689</v>
      </c>
      <c r="F27" s="33" t="n">
        <f aca="false">F$25*F6</f>
        <v>14.4785988717555</v>
      </c>
      <c r="G27" s="33" t="n">
        <f aca="false">G$25*G6</f>
        <v>20.0245943376947</v>
      </c>
      <c r="H27" s="33" t="n">
        <f aca="false">H$25*H6</f>
        <v>38.3396062816593</v>
      </c>
      <c r="I27" s="33" t="n">
        <f aca="false">I$25*I6</f>
        <v>43.0772684789596</v>
      </c>
      <c r="J27" s="33" t="n">
        <f aca="false">J$25*J6</f>
        <v>44.261548967844</v>
      </c>
      <c r="K27" s="33" t="n">
        <f aca="false">K$25*K6</f>
        <v>44.9145991304512</v>
      </c>
      <c r="L27" s="33" t="n">
        <f aca="false">L$25*L6</f>
        <v>39.4309989320109</v>
      </c>
      <c r="M27" s="33" t="n">
        <f aca="false">M$25*M6</f>
        <v>27.0588045461953</v>
      </c>
    </row>
    <row r="28" customFormat="false" ht="17.15" hidden="false" customHeight="false" outlineLevel="0" collapsed="false">
      <c r="A28" s="5" t="s">
        <v>4158</v>
      </c>
      <c r="B28" s="0" t="s">
        <v>4159</v>
      </c>
      <c r="C28" s="0" t="s">
        <v>395</v>
      </c>
      <c r="D28" s="33" t="n">
        <f aca="false">D$25*D7</f>
        <v>0</v>
      </c>
      <c r="E28" s="33" t="n">
        <f aca="false">E$25*E7</f>
        <v>1.21485625761885</v>
      </c>
      <c r="F28" s="33" t="n">
        <f aca="false">F$25*F7</f>
        <v>6.78684322113537</v>
      </c>
      <c r="G28" s="33" t="n">
        <f aca="false">G$25*G7</f>
        <v>9.38652859579439</v>
      </c>
      <c r="H28" s="33" t="n">
        <f aca="false">H$25*H7</f>
        <v>17.9716904445278</v>
      </c>
      <c r="I28" s="33" t="n">
        <f aca="false">I$25*I7</f>
        <v>20.1924695995123</v>
      </c>
      <c r="J28" s="33" t="n">
        <f aca="false">J$25*J7</f>
        <v>20.7476010786769</v>
      </c>
      <c r="K28" s="33" t="n">
        <f aca="false">K$25*K7</f>
        <v>21.053718342399</v>
      </c>
      <c r="L28" s="33" t="n">
        <f aca="false">L$25*L7</f>
        <v>18.4832807493801</v>
      </c>
      <c r="M28" s="33" t="n">
        <f aca="false">M$25*M7</f>
        <v>12.6838146310291</v>
      </c>
    </row>
    <row r="29" customFormat="false" ht="15" hidden="false" customHeight="false" outlineLevel="0" collapsed="false">
      <c r="A29" s="5" t="s">
        <v>4160</v>
      </c>
      <c r="B29" s="0" t="s">
        <v>4161</v>
      </c>
      <c r="C29" s="0" t="s">
        <v>395</v>
      </c>
      <c r="D29" s="33" t="n">
        <f aca="false">D$25*D8</f>
        <v>0</v>
      </c>
      <c r="E29" s="33" t="n">
        <f aca="false">E$25*E8</f>
        <v>3.07763585263443</v>
      </c>
      <c r="F29" s="33" t="n">
        <f aca="false">F$25*F8</f>
        <v>17.1933361602096</v>
      </c>
      <c r="G29" s="33" t="n">
        <f aca="false">G$25*G8</f>
        <v>23.7792057760125</v>
      </c>
      <c r="H29" s="33" t="n">
        <f aca="false">H$25*H8</f>
        <v>45.5282824594704</v>
      </c>
      <c r="I29" s="33" t="n">
        <f aca="false">I$25*I8</f>
        <v>51.1542563187645</v>
      </c>
      <c r="J29" s="33" t="n">
        <f aca="false">J$25*J8</f>
        <v>52.5605893993147</v>
      </c>
      <c r="K29" s="33" t="n">
        <f aca="false">K$25*K8</f>
        <v>53.3360864674108</v>
      </c>
      <c r="L29" s="33" t="n">
        <f aca="false">L$25*L8</f>
        <v>46.824311231763</v>
      </c>
      <c r="M29" s="33" t="n">
        <f aca="false">M$25*M8</f>
        <v>32.1323303986069</v>
      </c>
    </row>
    <row r="30" customFormat="false" ht="15" hidden="false" customHeight="false" outlineLevel="0" collapsed="false">
      <c r="A30" s="5" t="s">
        <v>4162</v>
      </c>
      <c r="B30" s="0" t="s">
        <v>4163</v>
      </c>
      <c r="C30" s="0" t="s">
        <v>395</v>
      </c>
      <c r="D30" s="33" t="n">
        <f aca="false">D$25*D9</f>
        <v>0</v>
      </c>
      <c r="E30" s="33" t="n">
        <f aca="false">E$25*E9</f>
        <v>2.75367418393607</v>
      </c>
      <c r="F30" s="33" t="n">
        <f aca="false">F$25*F9</f>
        <v>15.3835113012402</v>
      </c>
      <c r="G30" s="33" t="n">
        <f aca="false">G$25*G9</f>
        <v>21.2761314838006</v>
      </c>
      <c r="H30" s="33" t="n">
        <f aca="false">H$25*H9</f>
        <v>40.735831674263</v>
      </c>
      <c r="I30" s="33" t="n">
        <f aca="false">I$25*I9</f>
        <v>45.7695977588946</v>
      </c>
      <c r="J30" s="33" t="n">
        <f aca="false">J$25*J9</f>
        <v>47.0278957783342</v>
      </c>
      <c r="K30" s="33" t="n">
        <f aca="false">K$25*K9</f>
        <v>47.7217615761044</v>
      </c>
      <c r="L30" s="33" t="n">
        <f aca="false">L$25*L9</f>
        <v>41.8954363652616</v>
      </c>
      <c r="M30" s="33" t="n">
        <f aca="false">M$25*M9</f>
        <v>28.7499798303325</v>
      </c>
    </row>
    <row r="31" customFormat="false" ht="15" hidden="false" customHeight="false" outlineLevel="0" collapsed="false">
      <c r="A31" s="5" t="s">
        <v>4164</v>
      </c>
      <c r="B31" s="0" t="s">
        <v>4165</v>
      </c>
      <c r="C31" s="0" t="s">
        <v>395</v>
      </c>
      <c r="D31" s="33" t="n">
        <f aca="false">D$25*D10</f>
        <v>0</v>
      </c>
      <c r="E31" s="33" t="n">
        <f aca="false">E$25*E10</f>
        <v>4.77843461330083</v>
      </c>
      <c r="F31" s="33" t="n">
        <f aca="false">F$25*F10</f>
        <v>26.6949166697991</v>
      </c>
      <c r="G31" s="33" t="n">
        <f aca="false">G$25*G10</f>
        <v>36.9203458101246</v>
      </c>
      <c r="H31" s="33" t="n">
        <f aca="false">H$25*H10</f>
        <v>70.6886490818093</v>
      </c>
      <c r="I31" s="33" t="n">
        <f aca="false">I$25*I10</f>
        <v>79.4237137580818</v>
      </c>
      <c r="J31" s="33" t="n">
        <f aca="false">J$25*J10</f>
        <v>81.6072309094624</v>
      </c>
      <c r="K31" s="33" t="n">
        <f aca="false">K$25*K10</f>
        <v>82.8112921467694</v>
      </c>
      <c r="L31" s="33" t="n">
        <f aca="false">L$25*L10</f>
        <v>72.7009042808951</v>
      </c>
      <c r="M31" s="33" t="n">
        <f aca="false">M$25*M10</f>
        <v>49.8896708820476</v>
      </c>
    </row>
    <row r="32" customFormat="false" ht="17.15" hidden="false" customHeight="false" outlineLevel="0" collapsed="false">
      <c r="A32" s="5" t="s">
        <v>4166</v>
      </c>
      <c r="B32" s="0" t="s">
        <v>4167</v>
      </c>
      <c r="C32" s="0" t="s">
        <v>395</v>
      </c>
      <c r="D32" s="33" t="n">
        <f aca="false">D$25*D11</f>
        <v>0</v>
      </c>
      <c r="E32" s="33" t="n">
        <f aca="false">E$25*E11</f>
        <v>1.13386584044426</v>
      </c>
      <c r="F32" s="33" t="n">
        <f aca="false">F$25*F11</f>
        <v>6.33438700639301</v>
      </c>
      <c r="G32" s="33" t="n">
        <f aca="false">G$25*G11</f>
        <v>8.76076002274143</v>
      </c>
      <c r="H32" s="33" t="n">
        <f aca="false">H$25*H11</f>
        <v>16.7735777482259</v>
      </c>
      <c r="I32" s="33" t="n">
        <f aca="false">I$25*I11</f>
        <v>18.8463049595448</v>
      </c>
      <c r="J32" s="33" t="n">
        <f aca="false">J$25*J11</f>
        <v>19.3644276734317</v>
      </c>
      <c r="K32" s="33" t="n">
        <f aca="false">K$25*K11</f>
        <v>19.6501371195724</v>
      </c>
      <c r="L32" s="33" t="n">
        <f aca="false">L$25*L11</f>
        <v>17.2510620327548</v>
      </c>
      <c r="M32" s="33" t="n">
        <f aca="false">M$25*M11</f>
        <v>11.8382269889605</v>
      </c>
    </row>
    <row r="33" customFormat="false" ht="17.15" hidden="false" customHeight="false" outlineLevel="0" collapsed="false">
      <c r="A33" s="5" t="s">
        <v>4168</v>
      </c>
      <c r="B33" s="0" t="s">
        <v>4169</v>
      </c>
      <c r="C33" s="0" t="s">
        <v>395</v>
      </c>
      <c r="D33" s="33" t="n">
        <f aca="false">D$25*D12</f>
        <v>0</v>
      </c>
      <c r="E33" s="33" t="n">
        <f aca="false">E$25*E12</f>
        <v>0.485942503047542</v>
      </c>
      <c r="F33" s="33" t="n">
        <f aca="false">F$25*F12</f>
        <v>2.71473728845415</v>
      </c>
      <c r="G33" s="33" t="n">
        <f aca="false">G$25*G12</f>
        <v>3.75461143831776</v>
      </c>
      <c r="H33" s="33" t="n">
        <f aca="false">H$25*H12</f>
        <v>7.18867617781112</v>
      </c>
      <c r="I33" s="33" t="n">
        <f aca="false">I$25*I12</f>
        <v>8.07698783980493</v>
      </c>
      <c r="J33" s="33" t="n">
        <f aca="false">J$25*J12</f>
        <v>8.29904043147075</v>
      </c>
      <c r="K33" s="33" t="n">
        <f aca="false">K$25*K12</f>
        <v>8.4214873369596</v>
      </c>
      <c r="L33" s="33" t="n">
        <f aca="false">L$25*L12</f>
        <v>7.39331229975205</v>
      </c>
      <c r="M33" s="33" t="n">
        <f aca="false">M$25*M12</f>
        <v>5.07352585241162</v>
      </c>
    </row>
    <row r="34" customFormat="false" ht="15" hidden="false" customHeight="false" outlineLevel="0" collapsed="false">
      <c r="A34" s="5" t="s">
        <v>4170</v>
      </c>
      <c r="B34" s="0" t="s">
        <v>4171</v>
      </c>
      <c r="C34" s="0" t="s">
        <v>395</v>
      </c>
      <c r="D34" s="33" t="n">
        <f aca="false">D$25*D13</f>
        <v>0</v>
      </c>
      <c r="E34" s="33" t="n">
        <f aca="false">E$25*E13</f>
        <v>0.323961668698361</v>
      </c>
      <c r="F34" s="33" t="n">
        <f aca="false">F$25*F13</f>
        <v>1.80982485896943</v>
      </c>
      <c r="G34" s="33" t="n">
        <f aca="false">G$25*G13</f>
        <v>2.50307429221184</v>
      </c>
      <c r="H34" s="33" t="n">
        <f aca="false">H$25*H13</f>
        <v>4.79245078520741</v>
      </c>
      <c r="I34" s="33" t="n">
        <f aca="false">I$25*I13</f>
        <v>5.38465855986995</v>
      </c>
      <c r="J34" s="33" t="n">
        <f aca="false">J$25*J13</f>
        <v>5.5326936209805</v>
      </c>
      <c r="K34" s="33" t="n">
        <f aca="false">K$25*K13</f>
        <v>5.6143248913064</v>
      </c>
      <c r="L34" s="33" t="n">
        <f aca="false">L$25*L13</f>
        <v>4.92887486650137</v>
      </c>
      <c r="M34" s="33" t="n">
        <f aca="false">M$25*M13</f>
        <v>3.38235056827442</v>
      </c>
    </row>
    <row r="35" customFormat="false" ht="15" hidden="false" customHeight="false" outlineLevel="0" collapsed="false">
      <c r="A35" s="5" t="s">
        <v>4172</v>
      </c>
      <c r="B35" s="0" t="s">
        <v>4173</v>
      </c>
      <c r="C35" s="0" t="s">
        <v>395</v>
      </c>
      <c r="D35" s="33" t="n">
        <f aca="false">D$25*D14</f>
        <v>0</v>
      </c>
      <c r="E35" s="33" t="n">
        <f aca="false">E$25*E14</f>
        <v>0.0323961668698383</v>
      </c>
      <c r="F35" s="33" t="n">
        <f aca="false">F$25*F14</f>
        <v>0.180982485896955</v>
      </c>
      <c r="G35" s="33" t="n">
        <f aca="false">G$25*G14</f>
        <v>0.250307429221201</v>
      </c>
      <c r="H35" s="33" t="n">
        <f aca="false">H$25*H14</f>
        <v>0.479245078520773</v>
      </c>
      <c r="I35" s="33" t="n">
        <f aca="false">I$25*I14</f>
        <v>0.538465855987031</v>
      </c>
      <c r="J35" s="33" t="n">
        <f aca="false">J$25*J14</f>
        <v>0.553269362098087</v>
      </c>
      <c r="K35" s="33" t="n">
        <f aca="false">K$25*K14</f>
        <v>0.561432489130678</v>
      </c>
      <c r="L35" s="33" t="n">
        <f aca="false">L$25*L14</f>
        <v>0.49288748665017</v>
      </c>
      <c r="M35" s="33" t="n">
        <f aca="false">M$25*M14</f>
        <v>0.338235056827464</v>
      </c>
    </row>
    <row r="36" customFormat="false" ht="17.15" hidden="false" customHeight="false" outlineLevel="0" collapsed="false">
      <c r="A36" s="5" t="s">
        <v>4174</v>
      </c>
      <c r="C36" s="0" t="s">
        <v>395</v>
      </c>
      <c r="D36" s="33" t="n">
        <f aca="false">SUM(D26:D35)</f>
        <v>0</v>
      </c>
      <c r="E36" s="33" t="n">
        <f aca="false">SUM(E26:E35)</f>
        <v>20.5229717120412</v>
      </c>
      <c r="F36" s="33" t="n">
        <f aca="false">SUM(F26:F35)</f>
        <v>114.652404815713</v>
      </c>
      <c r="G36" s="33" t="n">
        <f aca="false">SUM(G26:G35)</f>
        <v>158.56975641162</v>
      </c>
      <c r="H36" s="33" t="n">
        <f aca="false">SUM(H26:H35)</f>
        <v>303.60175724289</v>
      </c>
      <c r="I36" s="33" t="n">
        <f aca="false">SUM(I26:I35)</f>
        <v>341.118119767761</v>
      </c>
      <c r="J36" s="33" t="n">
        <f aca="false">SUM(J26:J35)</f>
        <v>350.496140889115</v>
      </c>
      <c r="K36" s="33" t="n">
        <f aca="false">SUM(K26:K35)</f>
        <v>355.667481864261</v>
      </c>
      <c r="L36" s="33" t="n">
        <f aca="false">SUM(L26:L35)</f>
        <v>312.244222792862</v>
      </c>
      <c r="M36" s="33" t="n">
        <f aca="false">SUM(M26:M35)</f>
        <v>214.271908500184</v>
      </c>
    </row>
    <row r="37" customFormat="false" ht="17.15" hidden="false" customHeight="false" outlineLevel="0" collapsed="false">
      <c r="A37" s="5" t="s">
        <v>4175</v>
      </c>
      <c r="B37" s="0" t="s">
        <v>4176</v>
      </c>
      <c r="C37" s="0" t="s">
        <v>395</v>
      </c>
      <c r="D37" s="33" t="n">
        <f aca="false">D$25*self_sh*D16</f>
        <v>0</v>
      </c>
      <c r="E37" s="33" t="n">
        <f aca="false">E$25*self_sh*E16</f>
        <v>0.746407684681024</v>
      </c>
      <c r="F37" s="33" t="n">
        <f aca="false">F$25*self_sh*F16</f>
        <v>4.16983647506557</v>
      </c>
      <c r="G37" s="33" t="n">
        <f aca="false">G$25*self_sh*G16</f>
        <v>5.76708316925607</v>
      </c>
      <c r="H37" s="33" t="n">
        <f aca="false">H$25*self_sh*H16</f>
        <v>11.0418066091179</v>
      </c>
      <c r="I37" s="33" t="n">
        <f aca="false">I$25*self_sh*I16</f>
        <v>12.4062533219404</v>
      </c>
      <c r="J37" s="33" t="n">
        <f aca="false">J$25*self_sh*J16</f>
        <v>12.7473261027391</v>
      </c>
      <c r="K37" s="33" t="n">
        <f aca="false">K$25*self_sh*K16</f>
        <v>12.9354045495699</v>
      </c>
      <c r="L37" s="33" t="n">
        <f aca="false">L$25*self_sh*L16</f>
        <v>11.3561276924191</v>
      </c>
      <c r="M37" s="33" t="n">
        <f aca="false">M$25*self_sh*M16</f>
        <v>7.79293570930425</v>
      </c>
    </row>
    <row r="38" customFormat="false" ht="17.15" hidden="false" customHeight="false" outlineLevel="0" collapsed="false">
      <c r="A38" s="5" t="s">
        <v>4177</v>
      </c>
      <c r="C38" s="0" t="s">
        <v>82</v>
      </c>
      <c r="D38" s="33" t="n">
        <f aca="false">D$25*fac_gen_mult</f>
        <v>0</v>
      </c>
      <c r="E38" s="33" t="n">
        <f aca="false">E$25*fac_gen_mult</f>
        <v>2.59169334958689</v>
      </c>
      <c r="F38" s="33" t="n">
        <f aca="false">F$25*fac_gen_mult</f>
        <v>14.4785988717555</v>
      </c>
      <c r="G38" s="33" t="n">
        <f aca="false">G$25*fac_gen_mult</f>
        <v>20.0245943376947</v>
      </c>
      <c r="H38" s="33" t="n">
        <f aca="false">H$25*fac_gen_mult</f>
        <v>38.3396062816593</v>
      </c>
      <c r="I38" s="33" t="n">
        <f aca="false">I$25*fac_gen_mult</f>
        <v>43.0772684789596</v>
      </c>
      <c r="J38" s="33" t="n">
        <f aca="false">J$25*fac_gen_mult</f>
        <v>44.261548967844</v>
      </c>
      <c r="K38" s="33" t="n">
        <f aca="false">K$25*fac_gen_mult</f>
        <v>44.9145991304512</v>
      </c>
      <c r="L38" s="33" t="n">
        <f aca="false">L$25*fac_gen_mult</f>
        <v>39.4309989320109</v>
      </c>
      <c r="M38" s="33" t="n">
        <f aca="false">M$25*fac_gen_mult</f>
        <v>27.0588045461953</v>
      </c>
    </row>
    <row r="39" customFormat="false" ht="17.15" hidden="false" customHeight="false" outlineLevel="0" collapsed="false">
      <c r="A39" s="5" t="s">
        <v>4178</v>
      </c>
      <c r="C39" s="0" t="s">
        <v>82</v>
      </c>
      <c r="D39" s="33" t="n">
        <f aca="false">D$25*self_sh*self_gw</f>
        <v>0</v>
      </c>
      <c r="E39" s="33" t="n">
        <f aca="false">E$25*self_sh*self_gw</f>
        <v>0.46650480292564</v>
      </c>
      <c r="F39" s="33" t="n">
        <f aca="false">F$25*self_sh*self_gw</f>
        <v>2.60614779691598</v>
      </c>
      <c r="G39" s="33" t="n">
        <f aca="false">G$25*self_sh*self_gw</f>
        <v>3.60442698078505</v>
      </c>
      <c r="H39" s="33" t="n">
        <f aca="false">H$25*self_sh*self_gw</f>
        <v>6.90112913069867</v>
      </c>
      <c r="I39" s="33" t="n">
        <f aca="false">I$25*self_sh*self_gw</f>
        <v>7.75390832621273</v>
      </c>
      <c r="J39" s="33" t="n">
        <f aca="false">J$25*self_sh*self_gw</f>
        <v>7.96707881421192</v>
      </c>
      <c r="K39" s="33" t="n">
        <f aca="false">K$25*self_sh*self_gw</f>
        <v>8.08462784348122</v>
      </c>
      <c r="L39" s="33" t="n">
        <f aca="false">L$25*self_sh*self_gw</f>
        <v>7.09757980776197</v>
      </c>
      <c r="M39" s="33" t="n">
        <f aca="false">M$25*self_sh*self_gw</f>
        <v>4.87058481831516</v>
      </c>
    </row>
    <row r="41" customFormat="false" ht="17.15" hidden="false" customHeight="false" outlineLevel="0" collapsed="false">
      <c r="A41" s="22" t="s">
        <v>4179</v>
      </c>
      <c r="D41" s="24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4180</v>
      </c>
    </row>
    <row r="3" customFormat="false" ht="17.15" hidden="false" customHeight="false" outlineLevel="0" collapsed="false">
      <c r="A3" s="6" t="s">
        <v>4181</v>
      </c>
      <c r="B3" s="6" t="s">
        <v>19</v>
      </c>
      <c r="C3" s="7" t="s">
        <v>4182</v>
      </c>
      <c r="D3" s="7" t="s">
        <v>4183</v>
      </c>
      <c r="E3" s="6" t="s">
        <v>4184</v>
      </c>
      <c r="F3" s="6" t="s">
        <v>4185</v>
      </c>
    </row>
    <row r="4" customFormat="false" ht="17.15" hidden="false" customHeight="false" outlineLevel="0" collapsed="false">
      <c r="A4" s="5" t="s">
        <v>4186</v>
      </c>
      <c r="B4" s="0" t="s">
        <v>4187</v>
      </c>
      <c r="C4" s="41" t="n">
        <v>0.516</v>
      </c>
      <c r="D4" s="21" t="s">
        <v>4188</v>
      </c>
      <c r="E4" s="21" t="s">
        <v>4189</v>
      </c>
      <c r="F4" s="21" t="s">
        <v>4190</v>
      </c>
    </row>
    <row r="5" customFormat="false" ht="17.15" hidden="false" customHeight="false" outlineLevel="0" collapsed="false">
      <c r="A5" s="5" t="s">
        <v>4191</v>
      </c>
      <c r="B5" s="0" t="s">
        <v>4192</v>
      </c>
      <c r="C5" s="41" t="n">
        <v>0.135</v>
      </c>
      <c r="D5" s="21" t="s">
        <v>4193</v>
      </c>
      <c r="E5" s="21" t="s">
        <v>4194</v>
      </c>
      <c r="F5" s="21" t="s">
        <v>4190</v>
      </c>
    </row>
    <row r="6" customFormat="false" ht="17.15" hidden="false" customHeight="false" outlineLevel="0" collapsed="false">
      <c r="A6" s="5" t="s">
        <v>4195</v>
      </c>
      <c r="B6" s="0" t="s">
        <v>4196</v>
      </c>
      <c r="C6" s="41" t="n">
        <v>0.175</v>
      </c>
      <c r="D6" s="21" t="s">
        <v>4197</v>
      </c>
      <c r="E6" s="21" t="s">
        <v>4189</v>
      </c>
      <c r="F6" s="21" t="s">
        <v>4190</v>
      </c>
    </row>
    <row r="7" customFormat="false" ht="17.15" hidden="false" customHeight="false" outlineLevel="0" collapsed="false">
      <c r="A7" s="5" t="s">
        <v>4198</v>
      </c>
      <c r="B7" s="0" t="s">
        <v>4199</v>
      </c>
      <c r="C7" s="41" t="n">
        <v>0.054</v>
      </c>
      <c r="D7" s="21" t="s">
        <v>4200</v>
      </c>
      <c r="E7" s="21" t="s">
        <v>4189</v>
      </c>
      <c r="F7" s="21" t="s">
        <v>4190</v>
      </c>
    </row>
    <row r="8" customFormat="false" ht="17.15" hidden="false" customHeight="false" outlineLevel="0" collapsed="false">
      <c r="A8" s="5" t="s">
        <v>4201</v>
      </c>
      <c r="B8" s="0" t="s">
        <v>4202</v>
      </c>
      <c r="C8" s="41" t="n">
        <v>0.003</v>
      </c>
      <c r="D8" s="21" t="s">
        <v>4203</v>
      </c>
      <c r="E8" s="21" t="s">
        <v>4204</v>
      </c>
      <c r="F8" s="21" t="s">
        <v>4190</v>
      </c>
    </row>
    <row r="9" customFormat="false" ht="17.15" hidden="false" customHeight="false" outlineLevel="0" collapsed="false">
      <c r="A9" s="5" t="s">
        <v>4205</v>
      </c>
      <c r="B9" s="0" t="s">
        <v>4206</v>
      </c>
      <c r="C9" s="41" t="n">
        <v>0.063</v>
      </c>
      <c r="D9" s="21" t="s">
        <v>4207</v>
      </c>
      <c r="E9" s="21" t="s">
        <v>4208</v>
      </c>
      <c r="F9" s="21" t="s">
        <v>4190</v>
      </c>
    </row>
    <row r="10" customFormat="false" ht="17.15" hidden="false" customHeight="false" outlineLevel="0" collapsed="false">
      <c r="A10" s="5" t="s">
        <v>4209</v>
      </c>
      <c r="B10" s="0" t="s">
        <v>4210</v>
      </c>
      <c r="C10" s="41" t="n">
        <v>0.046</v>
      </c>
      <c r="D10" s="21" t="s">
        <v>4211</v>
      </c>
      <c r="E10" s="21" t="s">
        <v>4212</v>
      </c>
      <c r="F10" s="21" t="s">
        <v>4190</v>
      </c>
    </row>
    <row r="11" customFormat="false" ht="17.15" hidden="false" customHeight="false" outlineLevel="0" collapsed="false">
      <c r="A11" s="5" t="s">
        <v>4213</v>
      </c>
      <c r="B11" s="0" t="s">
        <v>4214</v>
      </c>
      <c r="C11" s="41" t="n">
        <v>0.008</v>
      </c>
      <c r="D11" s="21" t="s">
        <v>4215</v>
      </c>
      <c r="E11" s="21" t="s">
        <v>4189</v>
      </c>
      <c r="F11" s="21" t="s">
        <v>4190</v>
      </c>
    </row>
    <row r="12" customFormat="false" ht="17.15" hidden="false" customHeight="false" outlineLevel="0" collapsed="false">
      <c r="A12" s="22" t="s">
        <v>4216</v>
      </c>
      <c r="C12" s="24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4217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4218</v>
      </c>
      <c r="C4" s="0" t="s">
        <v>82</v>
      </c>
      <c r="D4" s="30" t="n">
        <f aca="false">Facility!D25</f>
        <v>0</v>
      </c>
      <c r="E4" s="30" t="n">
        <f aca="false">Facility!E25</f>
        <v>1.61980834349181</v>
      </c>
      <c r="F4" s="30" t="n">
        <f aca="false">Facility!F25</f>
        <v>9.04912429484716</v>
      </c>
      <c r="G4" s="30" t="n">
        <f aca="false">Facility!G25</f>
        <v>12.5153714610592</v>
      </c>
      <c r="H4" s="30" t="n">
        <f aca="false">Facility!H25</f>
        <v>23.9622539260371</v>
      </c>
      <c r="I4" s="30" t="n">
        <f aca="false">Facility!I25</f>
        <v>26.9232927993498</v>
      </c>
      <c r="J4" s="30" t="n">
        <f aca="false">Facility!J25</f>
        <v>27.6634681049025</v>
      </c>
      <c r="K4" s="30" t="n">
        <f aca="false">Facility!K25</f>
        <v>28.071624456532</v>
      </c>
      <c r="L4" s="30" t="n">
        <f aca="false">Facility!L25</f>
        <v>24.6443743325068</v>
      </c>
      <c r="M4" s="30" t="n">
        <f aca="false">Facility!M25</f>
        <v>16.9117528413721</v>
      </c>
    </row>
    <row r="5" customFormat="false" ht="17.15" hidden="false" customHeight="false" outlineLevel="0" collapsed="false">
      <c r="A5" s="5" t="s">
        <v>4219</v>
      </c>
      <c r="C5" s="0" t="s">
        <v>230</v>
      </c>
      <c r="D5" s="30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30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30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30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30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30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30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30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30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30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4220</v>
      </c>
    </row>
    <row r="8" customFormat="false" ht="15" hidden="false" customHeight="false" outlineLevel="0" collapsed="false">
      <c r="A8" s="5" t="s">
        <v>4221</v>
      </c>
      <c r="B8" s="0" t="s">
        <v>4222</v>
      </c>
      <c r="C8" s="0" t="s">
        <v>395</v>
      </c>
      <c r="D8" s="33" t="n">
        <f aca="false">D$4*D$5*SEG_compute</f>
        <v>0</v>
      </c>
      <c r="E8" s="33" t="n">
        <f aca="false">E$4*E$5*SEG_compute</f>
        <v>22.5302381301231</v>
      </c>
      <c r="F8" s="33" t="n">
        <f aca="false">F$4*F$5*SEG_compute</f>
        <v>120.526480331681</v>
      </c>
      <c r="G8" s="33" t="n">
        <f aca="false">G$4*G$5*SEG_compute</f>
        <v>203.123153153356</v>
      </c>
      <c r="H8" s="33" t="n">
        <f aca="false">H$4*H$5*SEG_compute</f>
        <v>429.630606253116</v>
      </c>
      <c r="I8" s="33" t="n">
        <f aca="false">I$4*I$5*SEG_compute</f>
        <v>513.718022432297</v>
      </c>
      <c r="J8" s="33" t="n">
        <f aca="false">J$4*J$5*SEG_compute</f>
        <v>527.249601573163</v>
      </c>
      <c r="K8" s="33" t="n">
        <f aca="false">K$4*K$5*SEG_compute</f>
        <v>535.028824082797</v>
      </c>
      <c r="L8" s="33" t="n">
        <f aca="false">L$4*L$5*SEG_compute</f>
        <v>469.707431424022</v>
      </c>
      <c r="M8" s="33" t="n">
        <f aca="false">M$4*M$5*SEG_compute</f>
        <v>322.328166291522</v>
      </c>
    </row>
    <row r="9" customFormat="false" ht="15" hidden="false" customHeight="false" outlineLevel="0" collapsed="false">
      <c r="A9" s="5" t="s">
        <v>4223</v>
      </c>
      <c r="B9" s="0" t="s">
        <v>4224</v>
      </c>
      <c r="C9" s="0" t="s">
        <v>395</v>
      </c>
      <c r="D9" s="33" t="n">
        <f aca="false">D$4*D$5*SEG_memory</f>
        <v>0</v>
      </c>
      <c r="E9" s="33" t="n">
        <f aca="false">E$4*E$5*SEG_memory</f>
        <v>5.89453904567174</v>
      </c>
      <c r="F9" s="33" t="n">
        <f aca="false">F$4*F$5*SEG_memory</f>
        <v>31.5330907844514</v>
      </c>
      <c r="G9" s="33" t="n">
        <f aca="false">G$4*G$5*SEG_memory</f>
        <v>53.1426854180292</v>
      </c>
      <c r="H9" s="33" t="n">
        <f aca="false">H$4*H$5*SEG_memory</f>
        <v>112.403356287152</v>
      </c>
      <c r="I9" s="33" t="n">
        <f aca="false">I$4*I$5*SEG_memory</f>
        <v>134.402970985194</v>
      </c>
      <c r="J9" s="33" t="n">
        <f aca="false">J$4*J$5*SEG_memory</f>
        <v>137.943209713909</v>
      </c>
      <c r="K9" s="33" t="n">
        <f aca="false">K$4*K$5*SEG_memory</f>
        <v>139.978471417011</v>
      </c>
      <c r="L9" s="33" t="n">
        <f aca="false">L$4*L$5*SEG_memory</f>
        <v>122.888572174889</v>
      </c>
      <c r="M9" s="33" t="n">
        <f aca="false">M$4*M$5*SEG_memory</f>
        <v>84.3300435065029</v>
      </c>
    </row>
    <row r="10" customFormat="false" ht="15" hidden="false" customHeight="false" outlineLevel="0" collapsed="false">
      <c r="A10" s="5" t="s">
        <v>4225</v>
      </c>
      <c r="B10" s="0" t="s">
        <v>4226</v>
      </c>
      <c r="C10" s="0" t="s">
        <v>395</v>
      </c>
      <c r="D10" s="33" t="n">
        <f aca="false">D$4*D$5*SEG_network</f>
        <v>0</v>
      </c>
      <c r="E10" s="33" t="n">
        <f aca="false">E$4*E$5*SEG_network</f>
        <v>7.64106913327818</v>
      </c>
      <c r="F10" s="33" t="n">
        <f aca="false">F$4*F$5*SEG_network</f>
        <v>40.8762287946592</v>
      </c>
      <c r="G10" s="33" t="n">
        <f aca="false">G$4*G$5*SEG_network</f>
        <v>68.8886662826304</v>
      </c>
      <c r="H10" s="33" t="n">
        <f aca="false">H$4*H$5*SEG_network</f>
        <v>145.708054446309</v>
      </c>
      <c r="I10" s="33" t="n">
        <f aca="false">I$4*I$5*SEG_network</f>
        <v>174.226073499326</v>
      </c>
      <c r="J10" s="33" t="n">
        <f aca="false">J$4*J$5*SEG_network</f>
        <v>178.815271851363</v>
      </c>
      <c r="K10" s="33" t="n">
        <f aca="false">K$4*K$5*SEG_network</f>
        <v>181.453574059088</v>
      </c>
      <c r="L10" s="33" t="n">
        <f aca="false">L$4*L$5*SEG_network</f>
        <v>159.300000967449</v>
      </c>
      <c r="M10" s="33" t="n">
        <f aca="false">M$4*M$5*SEG_network</f>
        <v>109.316723063985</v>
      </c>
    </row>
    <row r="11" customFormat="false" ht="15" hidden="false" customHeight="false" outlineLevel="0" collapsed="false">
      <c r="A11" s="5" t="s">
        <v>4227</v>
      </c>
      <c r="B11" s="0" t="s">
        <v>4228</v>
      </c>
      <c r="C11" s="0" t="s">
        <v>395</v>
      </c>
      <c r="D11" s="33" t="n">
        <f aca="false">D$4*D$5*SEG_foundry</f>
        <v>0</v>
      </c>
      <c r="E11" s="33" t="n">
        <f aca="false">E$4*E$5*SEG_foundry</f>
        <v>2.3578156182687</v>
      </c>
      <c r="F11" s="33" t="n">
        <f aca="false">F$4*F$5*SEG_foundry</f>
        <v>12.6132363137805</v>
      </c>
      <c r="G11" s="33" t="n">
        <f aca="false">G$4*G$5*SEG_foundry</f>
        <v>21.2570741672117</v>
      </c>
      <c r="H11" s="33" t="n">
        <f aca="false">H$4*H$5*SEG_foundry</f>
        <v>44.9613425148609</v>
      </c>
      <c r="I11" s="33" t="n">
        <f aca="false">I$4*I$5*SEG_foundry</f>
        <v>53.7611883940776</v>
      </c>
      <c r="J11" s="33" t="n">
        <f aca="false">J$4*J$5*SEG_foundry</f>
        <v>55.1772838855635</v>
      </c>
      <c r="K11" s="33" t="n">
        <f aca="false">K$4*K$5*SEG_foundry</f>
        <v>55.9913885668044</v>
      </c>
      <c r="L11" s="33" t="n">
        <f aca="false">L$4*L$5*SEG_foundry</f>
        <v>49.1554288699558</v>
      </c>
      <c r="M11" s="33" t="n">
        <f aca="false">M$4*M$5*SEG_foundry</f>
        <v>33.7320174026012</v>
      </c>
    </row>
    <row r="12" customFormat="false" ht="17.15" hidden="false" customHeight="false" outlineLevel="0" collapsed="false">
      <c r="A12" s="5" t="s">
        <v>4229</v>
      </c>
      <c r="B12" s="0" t="s">
        <v>4230</v>
      </c>
      <c r="C12" s="0" t="s">
        <v>395</v>
      </c>
      <c r="D12" s="33" t="n">
        <f aca="false">D$4*D$5*SEG_substrate</f>
        <v>0</v>
      </c>
      <c r="E12" s="33" t="n">
        <f aca="false">E$4*E$5*SEG_substrate</f>
        <v>0.130989756570483</v>
      </c>
      <c r="F12" s="33" t="n">
        <f aca="false">F$4*F$5*SEG_substrate</f>
        <v>0.700735350765586</v>
      </c>
      <c r="G12" s="33" t="n">
        <f aca="false">G$4*G$5*SEG_substrate</f>
        <v>1.18094856484509</v>
      </c>
      <c r="H12" s="33" t="n">
        <f aca="false">H$4*H$5*SEG_substrate</f>
        <v>2.49785236193672</v>
      </c>
      <c r="I12" s="33" t="n">
        <f aca="false">I$4*I$5*SEG_substrate</f>
        <v>2.98673268855987</v>
      </c>
      <c r="J12" s="33" t="n">
        <f aca="false">J$4*J$5*SEG_substrate</f>
        <v>3.06540466030908</v>
      </c>
      <c r="K12" s="33" t="n">
        <f aca="false">K$4*K$5*SEG_substrate</f>
        <v>3.1106326981558</v>
      </c>
      <c r="L12" s="33" t="n">
        <f aca="false">L$4*L$5*SEG_substrate</f>
        <v>2.73085715944199</v>
      </c>
      <c r="M12" s="33" t="n">
        <f aca="false">M$4*M$5*SEG_substrate</f>
        <v>1.87400096681117</v>
      </c>
    </row>
    <row r="13" customFormat="false" ht="15" hidden="false" customHeight="false" outlineLevel="0" collapsed="false">
      <c r="A13" s="5" t="s">
        <v>4231</v>
      </c>
      <c r="B13" s="0" t="s">
        <v>4232</v>
      </c>
      <c r="C13" s="0" t="s">
        <v>395</v>
      </c>
      <c r="D13" s="33" t="n">
        <f aca="false">D$4*D$5*SEG_power_thermal</f>
        <v>0</v>
      </c>
      <c r="E13" s="33" t="n">
        <f aca="false">E$4*E$5*SEG_power_thermal</f>
        <v>2.75078488798014</v>
      </c>
      <c r="F13" s="33" t="n">
        <f aca="false">F$4*F$5*SEG_power_thermal</f>
        <v>14.7154423660773</v>
      </c>
      <c r="G13" s="33" t="n">
        <f aca="false">G$4*G$5*SEG_power_thermal</f>
        <v>24.799919861747</v>
      </c>
      <c r="H13" s="33" t="n">
        <f aca="false">H$4*H$5*SEG_power_thermal</f>
        <v>52.4548996006711</v>
      </c>
      <c r="I13" s="33" t="n">
        <f aca="false">I$4*I$5*SEG_power_thermal</f>
        <v>62.7213864597572</v>
      </c>
      <c r="J13" s="33" t="n">
        <f aca="false">J$4*J$5*SEG_power_thermal</f>
        <v>64.3734978664908</v>
      </c>
      <c r="K13" s="33" t="n">
        <f aca="false">K$4*K$5*SEG_power_thermal</f>
        <v>65.3232866612718</v>
      </c>
      <c r="L13" s="33" t="n">
        <f aca="false">L$4*L$5*SEG_power_thermal</f>
        <v>57.3480003482817</v>
      </c>
      <c r="M13" s="33" t="n">
        <f aca="false">M$4*M$5*SEG_power_thermal</f>
        <v>39.3540203030347</v>
      </c>
    </row>
    <row r="14" customFormat="false" ht="15" hidden="false" customHeight="false" outlineLevel="0" collapsed="false">
      <c r="A14" s="5" t="s">
        <v>4233</v>
      </c>
      <c r="B14" s="0" t="s">
        <v>4234</v>
      </c>
      <c r="C14" s="0" t="s">
        <v>395</v>
      </c>
      <c r="D14" s="33" t="n">
        <f aca="false">D$4*D$5*SEG_server</f>
        <v>0</v>
      </c>
      <c r="E14" s="33" t="n">
        <f aca="false">E$4*E$5*SEG_server</f>
        <v>2.00850960074741</v>
      </c>
      <c r="F14" s="33" t="n">
        <f aca="false">F$4*F$5*SEG_server</f>
        <v>10.744608711739</v>
      </c>
      <c r="G14" s="33" t="n">
        <f aca="false">G$4*G$5*SEG_server</f>
        <v>18.1078779942914</v>
      </c>
      <c r="H14" s="33" t="n">
        <f aca="false">H$4*H$5*SEG_server</f>
        <v>38.3004028830297</v>
      </c>
      <c r="I14" s="33" t="n">
        <f aca="false">I$4*I$5*SEG_server</f>
        <v>45.7965678912513</v>
      </c>
      <c r="J14" s="33" t="n">
        <f aca="false">J$4*J$5*SEG_server</f>
        <v>47.0028714580726</v>
      </c>
      <c r="K14" s="33" t="n">
        <f aca="false">K$4*K$5*SEG_server</f>
        <v>47.6963680383889</v>
      </c>
      <c r="L14" s="33" t="n">
        <f aca="false">L$4*L$5*SEG_server</f>
        <v>41.8731431114438</v>
      </c>
      <c r="M14" s="33" t="n">
        <f aca="false">M$4*M$5*SEG_server</f>
        <v>28.7346814911047</v>
      </c>
    </row>
    <row r="15" customFormat="false" ht="15" hidden="false" customHeight="false" outlineLevel="0" collapsed="false">
      <c r="A15" s="5" t="s">
        <v>4235</v>
      </c>
      <c r="B15" s="0" t="s">
        <v>4236</v>
      </c>
      <c r="C15" s="0" t="s">
        <v>395</v>
      </c>
      <c r="D15" s="33" t="n">
        <f aca="false">D$4*D$5*SEG_storage</f>
        <v>0</v>
      </c>
      <c r="E15" s="33" t="n">
        <f aca="false">E$4*E$5*SEG_storage</f>
        <v>0.349306017521288</v>
      </c>
      <c r="F15" s="33" t="n">
        <f aca="false">F$4*F$5*SEG_storage</f>
        <v>1.86862760204156</v>
      </c>
      <c r="G15" s="33" t="n">
        <f aca="false">G$4*G$5*SEG_storage</f>
        <v>3.14919617292025</v>
      </c>
      <c r="H15" s="33" t="n">
        <f aca="false">H$4*H$5*SEG_storage</f>
        <v>6.66093963183125</v>
      </c>
      <c r="I15" s="33" t="n">
        <f aca="false">I$4*I$5*SEG_storage</f>
        <v>7.96462050282631</v>
      </c>
      <c r="J15" s="33" t="n">
        <f aca="false">J$4*J$5*SEG_storage</f>
        <v>8.17441242749089</v>
      </c>
      <c r="K15" s="33" t="n">
        <f aca="false">K$4*K$5*SEG_storage</f>
        <v>8.29502052841546</v>
      </c>
      <c r="L15" s="33" t="n">
        <f aca="false">L$4*L$5*SEG_storage</f>
        <v>7.28228575851196</v>
      </c>
      <c r="M15" s="33" t="n">
        <f aca="false">M$4*M$5*SEG_storage</f>
        <v>4.99733591149647</v>
      </c>
    </row>
    <row r="16" customFormat="false" ht="17.15" hidden="false" customHeight="false" outlineLevel="0" collapsed="false">
      <c r="A16" s="5" t="s">
        <v>4237</v>
      </c>
      <c r="C16" s="0" t="s">
        <v>395</v>
      </c>
      <c r="D16" s="33" t="n">
        <f aca="false">SUM(D8:D15)</f>
        <v>0</v>
      </c>
      <c r="E16" s="33" t="n">
        <f aca="false">SUM(E8:E15)</f>
        <v>43.663252190161</v>
      </c>
      <c r="F16" s="33" t="n">
        <f aca="false">SUM(F8:F15)</f>
        <v>233.578450255195</v>
      </c>
      <c r="G16" s="33" t="n">
        <f aca="false">SUM(G8:G15)</f>
        <v>393.649521615031</v>
      </c>
      <c r="H16" s="33" t="n">
        <f aca="false">SUM(H8:H15)</f>
        <v>832.617453978906</v>
      </c>
      <c r="I16" s="33" t="n">
        <f aca="false">SUM(I8:I15)</f>
        <v>995.577562853289</v>
      </c>
      <c r="J16" s="33" t="n">
        <f aca="false">SUM(J8:J15)</f>
        <v>1021.80155343636</v>
      </c>
      <c r="K16" s="33" t="n">
        <f aca="false">SUM(K8:K15)</f>
        <v>1036.87756605193</v>
      </c>
      <c r="L16" s="33" t="n">
        <f aca="false">SUM(L8:L15)</f>
        <v>910.285719813996</v>
      </c>
      <c r="M16" s="33" t="n">
        <f aca="false">SUM(M8:M15)</f>
        <v>624.666988937058</v>
      </c>
    </row>
    <row r="17" customFormat="false" ht="17.15" hidden="false" customHeight="false" outlineLevel="0" collapsed="false">
      <c r="A17" s="8" t="s">
        <v>4238</v>
      </c>
    </row>
    <row r="18" customFormat="false" ht="15" hidden="false" customHeight="false" outlineLevel="0" collapsed="false">
      <c r="A18" s="5" t="s">
        <v>4131</v>
      </c>
      <c r="B18" s="0" t="s">
        <v>228</v>
      </c>
      <c r="C18" s="0" t="s">
        <v>395</v>
      </c>
      <c r="D18" s="37" t="n">
        <f aca="false">Facility!D26</f>
        <v>0</v>
      </c>
      <c r="E18" s="37" t="n">
        <f aca="false">Facility!E26</f>
        <v>4.13051127590411</v>
      </c>
      <c r="F18" s="37" t="n">
        <f aca="false">Facility!F26</f>
        <v>23.0752669518602</v>
      </c>
      <c r="G18" s="37" t="n">
        <f aca="false">Facility!G26</f>
        <v>31.9141972257009</v>
      </c>
      <c r="H18" s="37" t="n">
        <f aca="false">Facility!H26</f>
        <v>61.1037475113945</v>
      </c>
      <c r="I18" s="37" t="n">
        <f aca="false">Facility!I26</f>
        <v>68.6543966383419</v>
      </c>
      <c r="J18" s="37" t="n">
        <f aca="false">Facility!J26</f>
        <v>70.5418436675014</v>
      </c>
      <c r="K18" s="37" t="n">
        <f aca="false">Facility!K26</f>
        <v>71.5826423641566</v>
      </c>
      <c r="L18" s="37" t="n">
        <f aca="false">Facility!L26</f>
        <v>62.8431545478924</v>
      </c>
      <c r="M18" s="37" t="n">
        <f aca="false">Facility!M26</f>
        <v>43.1249697454988</v>
      </c>
    </row>
    <row r="19" customFormat="false" ht="17.15" hidden="false" customHeight="false" outlineLevel="0" collapsed="false">
      <c r="A19" s="5" t="s">
        <v>4132</v>
      </c>
      <c r="B19" s="0" t="s">
        <v>4133</v>
      </c>
      <c r="C19" s="0" t="s">
        <v>395</v>
      </c>
      <c r="D19" s="37" t="n">
        <f aca="false">Facility!D27</f>
        <v>0</v>
      </c>
      <c r="E19" s="37" t="n">
        <f aca="false">Facility!E27</f>
        <v>2.59169334958689</v>
      </c>
      <c r="F19" s="37" t="n">
        <f aca="false">Facility!F27</f>
        <v>14.4785988717555</v>
      </c>
      <c r="G19" s="37" t="n">
        <f aca="false">Facility!G27</f>
        <v>20.0245943376947</v>
      </c>
      <c r="H19" s="37" t="n">
        <f aca="false">Facility!H27</f>
        <v>38.3396062816593</v>
      </c>
      <c r="I19" s="37" t="n">
        <f aca="false">Facility!I27</f>
        <v>43.0772684789596</v>
      </c>
      <c r="J19" s="37" t="n">
        <f aca="false">Facility!J27</f>
        <v>44.261548967844</v>
      </c>
      <c r="K19" s="37" t="n">
        <f aca="false">Facility!K27</f>
        <v>44.9145991304512</v>
      </c>
      <c r="L19" s="37" t="n">
        <f aca="false">Facility!L27</f>
        <v>39.4309989320109</v>
      </c>
      <c r="M19" s="37" t="n">
        <f aca="false">Facility!M27</f>
        <v>27.0588045461953</v>
      </c>
    </row>
    <row r="20" customFormat="false" ht="17.15" hidden="false" customHeight="false" outlineLevel="0" collapsed="false">
      <c r="A20" s="5" t="s">
        <v>4134</v>
      </c>
      <c r="B20" s="0" t="s">
        <v>242</v>
      </c>
      <c r="C20" s="0" t="s">
        <v>395</v>
      </c>
      <c r="D20" s="37" t="n">
        <f aca="false">Facility!D28</f>
        <v>0</v>
      </c>
      <c r="E20" s="37" t="n">
        <f aca="false">Facility!E28</f>
        <v>1.21485625761885</v>
      </c>
      <c r="F20" s="37" t="n">
        <f aca="false">Facility!F28</f>
        <v>6.78684322113537</v>
      </c>
      <c r="G20" s="37" t="n">
        <f aca="false">Facility!G28</f>
        <v>9.38652859579439</v>
      </c>
      <c r="H20" s="37" t="n">
        <f aca="false">Facility!H28</f>
        <v>17.9716904445278</v>
      </c>
      <c r="I20" s="37" t="n">
        <f aca="false">Facility!I28</f>
        <v>20.1924695995123</v>
      </c>
      <c r="J20" s="37" t="n">
        <f aca="false">Facility!J28</f>
        <v>20.7476010786769</v>
      </c>
      <c r="K20" s="37" t="n">
        <f aca="false">Facility!K28</f>
        <v>21.053718342399</v>
      </c>
      <c r="L20" s="37" t="n">
        <f aca="false">Facility!L28</f>
        <v>18.4832807493801</v>
      </c>
      <c r="M20" s="37" t="n">
        <f aca="false">Facility!M28</f>
        <v>12.6838146310291</v>
      </c>
    </row>
    <row r="21" customFormat="false" ht="15" hidden="false" customHeight="false" outlineLevel="0" collapsed="false">
      <c r="A21" s="5" t="s">
        <v>4135</v>
      </c>
      <c r="B21" s="0" t="s">
        <v>245</v>
      </c>
      <c r="C21" s="0" t="s">
        <v>395</v>
      </c>
      <c r="D21" s="37" t="n">
        <f aca="false">Facility!D29</f>
        <v>0</v>
      </c>
      <c r="E21" s="37" t="n">
        <f aca="false">Facility!E29</f>
        <v>3.07763585263443</v>
      </c>
      <c r="F21" s="37" t="n">
        <f aca="false">Facility!F29</f>
        <v>17.1933361602096</v>
      </c>
      <c r="G21" s="37" t="n">
        <f aca="false">Facility!G29</f>
        <v>23.7792057760125</v>
      </c>
      <c r="H21" s="37" t="n">
        <f aca="false">Facility!H29</f>
        <v>45.5282824594704</v>
      </c>
      <c r="I21" s="37" t="n">
        <f aca="false">Facility!I29</f>
        <v>51.1542563187645</v>
      </c>
      <c r="J21" s="37" t="n">
        <f aca="false">Facility!J29</f>
        <v>52.5605893993147</v>
      </c>
      <c r="K21" s="37" t="n">
        <f aca="false">Facility!K29</f>
        <v>53.3360864674108</v>
      </c>
      <c r="L21" s="37" t="n">
        <f aca="false">Facility!L29</f>
        <v>46.824311231763</v>
      </c>
      <c r="M21" s="37" t="n">
        <f aca="false">Facility!M29</f>
        <v>32.1323303986069</v>
      </c>
    </row>
    <row r="22" customFormat="false" ht="15" hidden="false" customHeight="false" outlineLevel="0" collapsed="false">
      <c r="A22" s="5" t="s">
        <v>4136</v>
      </c>
      <c r="B22" s="0" t="s">
        <v>248</v>
      </c>
      <c r="C22" s="0" t="s">
        <v>395</v>
      </c>
      <c r="D22" s="37" t="n">
        <f aca="false">Facility!D30</f>
        <v>0</v>
      </c>
      <c r="E22" s="37" t="n">
        <f aca="false">Facility!E30</f>
        <v>2.75367418393607</v>
      </c>
      <c r="F22" s="37" t="n">
        <f aca="false">Facility!F30</f>
        <v>15.3835113012402</v>
      </c>
      <c r="G22" s="37" t="n">
        <f aca="false">Facility!G30</f>
        <v>21.2761314838006</v>
      </c>
      <c r="H22" s="37" t="n">
        <f aca="false">Facility!H30</f>
        <v>40.735831674263</v>
      </c>
      <c r="I22" s="37" t="n">
        <f aca="false">Facility!I30</f>
        <v>45.7695977588946</v>
      </c>
      <c r="J22" s="37" t="n">
        <f aca="false">Facility!J30</f>
        <v>47.0278957783342</v>
      </c>
      <c r="K22" s="37" t="n">
        <f aca="false">Facility!K30</f>
        <v>47.7217615761044</v>
      </c>
      <c r="L22" s="37" t="n">
        <f aca="false">Facility!L30</f>
        <v>41.8954363652616</v>
      </c>
      <c r="M22" s="37" t="n">
        <f aca="false">Facility!M30</f>
        <v>28.7499798303325</v>
      </c>
    </row>
    <row r="23" customFormat="false" ht="15" hidden="false" customHeight="false" outlineLevel="0" collapsed="false">
      <c r="A23" s="5" t="s">
        <v>4137</v>
      </c>
      <c r="B23" s="0" t="s">
        <v>251</v>
      </c>
      <c r="C23" s="0" t="s">
        <v>395</v>
      </c>
      <c r="D23" s="37" t="n">
        <f aca="false">Facility!D31</f>
        <v>0</v>
      </c>
      <c r="E23" s="37" t="n">
        <f aca="false">Facility!E31</f>
        <v>4.77843461330083</v>
      </c>
      <c r="F23" s="37" t="n">
        <f aca="false">Facility!F31</f>
        <v>26.6949166697991</v>
      </c>
      <c r="G23" s="37" t="n">
        <f aca="false">Facility!G31</f>
        <v>36.9203458101246</v>
      </c>
      <c r="H23" s="37" t="n">
        <f aca="false">Facility!H31</f>
        <v>70.6886490818093</v>
      </c>
      <c r="I23" s="37" t="n">
        <f aca="false">Facility!I31</f>
        <v>79.4237137580818</v>
      </c>
      <c r="J23" s="37" t="n">
        <f aca="false">Facility!J31</f>
        <v>81.6072309094624</v>
      </c>
      <c r="K23" s="37" t="n">
        <f aca="false">Facility!K31</f>
        <v>82.8112921467694</v>
      </c>
      <c r="L23" s="37" t="n">
        <f aca="false">Facility!L31</f>
        <v>72.7009042808951</v>
      </c>
      <c r="M23" s="37" t="n">
        <f aca="false">Facility!M31</f>
        <v>49.8896708820476</v>
      </c>
    </row>
    <row r="24" customFormat="false" ht="17.15" hidden="false" customHeight="false" outlineLevel="0" collapsed="false">
      <c r="A24" s="5" t="s">
        <v>4138</v>
      </c>
      <c r="B24" s="0" t="s">
        <v>4139</v>
      </c>
      <c r="C24" s="0" t="s">
        <v>395</v>
      </c>
      <c r="D24" s="37" t="n">
        <f aca="false">Facility!D32</f>
        <v>0</v>
      </c>
      <c r="E24" s="37" t="n">
        <f aca="false">Facility!E32</f>
        <v>1.13386584044426</v>
      </c>
      <c r="F24" s="37" t="n">
        <f aca="false">Facility!F32</f>
        <v>6.33438700639301</v>
      </c>
      <c r="G24" s="37" t="n">
        <f aca="false">Facility!G32</f>
        <v>8.76076002274143</v>
      </c>
      <c r="H24" s="37" t="n">
        <f aca="false">Facility!H32</f>
        <v>16.7735777482259</v>
      </c>
      <c r="I24" s="37" t="n">
        <f aca="false">Facility!I32</f>
        <v>18.8463049595448</v>
      </c>
      <c r="J24" s="37" t="n">
        <f aca="false">Facility!J32</f>
        <v>19.3644276734317</v>
      </c>
      <c r="K24" s="37" t="n">
        <f aca="false">Facility!K32</f>
        <v>19.6501371195724</v>
      </c>
      <c r="L24" s="37" t="n">
        <f aca="false">Facility!L32</f>
        <v>17.2510620327548</v>
      </c>
      <c r="M24" s="37" t="n">
        <f aca="false">Facility!M32</f>
        <v>11.8382269889605</v>
      </c>
    </row>
    <row r="25" customFormat="false" ht="17.15" hidden="false" customHeight="false" outlineLevel="0" collapsed="false">
      <c r="A25" s="5" t="s">
        <v>4140</v>
      </c>
      <c r="B25" s="0" t="s">
        <v>257</v>
      </c>
      <c r="C25" s="0" t="s">
        <v>395</v>
      </c>
      <c r="D25" s="37" t="n">
        <f aca="false">Facility!D33</f>
        <v>0</v>
      </c>
      <c r="E25" s="37" t="n">
        <f aca="false">Facility!E33</f>
        <v>0.485942503047542</v>
      </c>
      <c r="F25" s="37" t="n">
        <f aca="false">Facility!F33</f>
        <v>2.71473728845415</v>
      </c>
      <c r="G25" s="37" t="n">
        <f aca="false">Facility!G33</f>
        <v>3.75461143831776</v>
      </c>
      <c r="H25" s="37" t="n">
        <f aca="false">Facility!H33</f>
        <v>7.18867617781112</v>
      </c>
      <c r="I25" s="37" t="n">
        <f aca="false">Facility!I33</f>
        <v>8.07698783980493</v>
      </c>
      <c r="J25" s="37" t="n">
        <f aca="false">Facility!J33</f>
        <v>8.29904043147075</v>
      </c>
      <c r="K25" s="37" t="n">
        <f aca="false">Facility!K33</f>
        <v>8.4214873369596</v>
      </c>
      <c r="L25" s="37" t="n">
        <f aca="false">Facility!L33</f>
        <v>7.39331229975205</v>
      </c>
      <c r="M25" s="37" t="n">
        <f aca="false">Facility!M33</f>
        <v>5.07352585241162</v>
      </c>
    </row>
    <row r="26" customFormat="false" ht="15" hidden="false" customHeight="false" outlineLevel="0" collapsed="false">
      <c r="A26" s="5" t="s">
        <v>4141</v>
      </c>
      <c r="B26" s="0" t="s">
        <v>260</v>
      </c>
      <c r="C26" s="0" t="s">
        <v>395</v>
      </c>
      <c r="D26" s="37" t="n">
        <f aca="false">Facility!D34</f>
        <v>0</v>
      </c>
      <c r="E26" s="37" t="n">
        <f aca="false">Facility!E34</f>
        <v>0.323961668698361</v>
      </c>
      <c r="F26" s="37" t="n">
        <f aca="false">Facility!F34</f>
        <v>1.80982485896943</v>
      </c>
      <c r="G26" s="37" t="n">
        <f aca="false">Facility!G34</f>
        <v>2.50307429221184</v>
      </c>
      <c r="H26" s="37" t="n">
        <f aca="false">Facility!H34</f>
        <v>4.79245078520741</v>
      </c>
      <c r="I26" s="37" t="n">
        <f aca="false">Facility!I34</f>
        <v>5.38465855986995</v>
      </c>
      <c r="J26" s="37" t="n">
        <f aca="false">Facility!J34</f>
        <v>5.5326936209805</v>
      </c>
      <c r="K26" s="37" t="n">
        <f aca="false">Facility!K34</f>
        <v>5.6143248913064</v>
      </c>
      <c r="L26" s="37" t="n">
        <f aca="false">Facility!L34</f>
        <v>4.92887486650137</v>
      </c>
      <c r="M26" s="37" t="n">
        <f aca="false">Facility!M34</f>
        <v>3.38235056827442</v>
      </c>
    </row>
    <row r="27" customFormat="false" ht="15" hidden="false" customHeight="false" outlineLevel="0" collapsed="false">
      <c r="A27" s="5" t="s">
        <v>4239</v>
      </c>
      <c r="B27" s="0" t="s">
        <v>4143</v>
      </c>
      <c r="C27" s="0" t="s">
        <v>395</v>
      </c>
      <c r="D27" s="37" t="n">
        <f aca="false">Facility!D35</f>
        <v>0</v>
      </c>
      <c r="E27" s="37" t="n">
        <f aca="false">Facility!E35</f>
        <v>0.0323961668698383</v>
      </c>
      <c r="F27" s="37" t="n">
        <f aca="false">Facility!F35</f>
        <v>0.180982485896955</v>
      </c>
      <c r="G27" s="37" t="n">
        <f aca="false">Facility!G35</f>
        <v>0.250307429221201</v>
      </c>
      <c r="H27" s="37" t="n">
        <f aca="false">Facility!H35</f>
        <v>0.479245078520773</v>
      </c>
      <c r="I27" s="37" t="n">
        <f aca="false">Facility!I35</f>
        <v>0.538465855987031</v>
      </c>
      <c r="J27" s="37" t="n">
        <f aca="false">Facility!J35</f>
        <v>0.553269362098087</v>
      </c>
      <c r="K27" s="37" t="n">
        <f aca="false">Facility!K35</f>
        <v>0.561432489130678</v>
      </c>
      <c r="L27" s="37" t="n">
        <f aca="false">Facility!L35</f>
        <v>0.49288748665017</v>
      </c>
      <c r="M27" s="37" t="n">
        <f aca="false">Facility!M35</f>
        <v>0.338235056827464</v>
      </c>
    </row>
    <row r="28" customFormat="false" ht="15" hidden="false" customHeight="false" outlineLevel="0" collapsed="false">
      <c r="A28" s="5" t="s">
        <v>4240</v>
      </c>
      <c r="C28" s="0" t="s">
        <v>395</v>
      </c>
      <c r="D28" s="33" t="n">
        <f aca="false">SUM(D18:D27)</f>
        <v>0</v>
      </c>
      <c r="E28" s="33" t="n">
        <f aca="false">SUM(E18:E27)</f>
        <v>20.5229717120412</v>
      </c>
      <c r="F28" s="33" t="n">
        <f aca="false">SUM(F18:F27)</f>
        <v>114.652404815713</v>
      </c>
      <c r="G28" s="33" t="n">
        <f aca="false">SUM(G18:G27)</f>
        <v>158.56975641162</v>
      </c>
      <c r="H28" s="33" t="n">
        <f aca="false">SUM(H18:H27)</f>
        <v>303.60175724289</v>
      </c>
      <c r="I28" s="33" t="n">
        <f aca="false">SUM(I18:I27)</f>
        <v>341.118119767761</v>
      </c>
      <c r="J28" s="33" t="n">
        <f aca="false">SUM(J18:J27)</f>
        <v>350.496140889115</v>
      </c>
      <c r="K28" s="33" t="n">
        <f aca="false">SUM(K18:K27)</f>
        <v>355.667481864261</v>
      </c>
      <c r="L28" s="33" t="n">
        <f aca="false">SUM(L18:L27)</f>
        <v>312.244222792862</v>
      </c>
      <c r="M28" s="33" t="n">
        <f aca="false">SUM(M18:M27)</f>
        <v>214.271908500184</v>
      </c>
    </row>
    <row r="29" customFormat="false" ht="17.15" hidden="false" customHeight="false" outlineLevel="0" collapsed="false">
      <c r="A29" s="0" t="s">
        <v>4241</v>
      </c>
      <c r="B29" s="0" t="s">
        <v>4242</v>
      </c>
      <c r="C29" s="0" t="s">
        <v>395</v>
      </c>
      <c r="D29" s="37" t="n">
        <f aca="false">Facility!D37</f>
        <v>0</v>
      </c>
      <c r="E29" s="37" t="n">
        <f aca="false">Facility!E37</f>
        <v>0.746407684681024</v>
      </c>
      <c r="F29" s="37" t="n">
        <f aca="false">Facility!F37</f>
        <v>4.16983647506557</v>
      </c>
      <c r="G29" s="37" t="n">
        <f aca="false">Facility!G37</f>
        <v>5.76708316925607</v>
      </c>
      <c r="H29" s="37" t="n">
        <f aca="false">Facility!H37</f>
        <v>11.0418066091179</v>
      </c>
      <c r="I29" s="37" t="n">
        <f aca="false">Facility!I37</f>
        <v>12.4062533219404</v>
      </c>
      <c r="J29" s="37" t="n">
        <f aca="false">Facility!J37</f>
        <v>12.7473261027391</v>
      </c>
      <c r="K29" s="37" t="n">
        <f aca="false">Facility!K37</f>
        <v>12.9354045495699</v>
      </c>
      <c r="L29" s="37" t="n">
        <f aca="false">Facility!L37</f>
        <v>11.3561276924191</v>
      </c>
      <c r="M29" s="37" t="n">
        <f aca="false">Facility!M37</f>
        <v>7.79293570930425</v>
      </c>
    </row>
    <row r="30" customFormat="false" ht="17.15" hidden="false" customHeight="false" outlineLevel="0" collapsed="false">
      <c r="A30" s="22" t="s">
        <v>4243</v>
      </c>
      <c r="C30" s="21" t="s">
        <v>395</v>
      </c>
      <c r="D30" s="40" t="n">
        <f aca="false">D16+D28+D29</f>
        <v>0</v>
      </c>
      <c r="E30" s="40" t="n">
        <f aca="false">E16+E28+E29</f>
        <v>64.9326315868833</v>
      </c>
      <c r="F30" s="40" t="n">
        <f aca="false">F16+F28+F29</f>
        <v>352.400691545974</v>
      </c>
      <c r="G30" s="40" t="n">
        <f aca="false">G16+G28+G29</f>
        <v>557.986361195907</v>
      </c>
      <c r="H30" s="40" t="n">
        <f aca="false">H16+H28+H29</f>
        <v>1147.26101783091</v>
      </c>
      <c r="I30" s="40" t="n">
        <f aca="false">I16+I28+I29</f>
        <v>1349.10193594299</v>
      </c>
      <c r="J30" s="40" t="n">
        <f aca="false">J16+J28+J29</f>
        <v>1385.04502042822</v>
      </c>
      <c r="K30" s="40" t="n">
        <f aca="false">K16+K28+K29</f>
        <v>1405.48045246576</v>
      </c>
      <c r="L30" s="40" t="n">
        <f aca="false">L16+L28+L29</f>
        <v>1233.88607029928</v>
      </c>
      <c r="M30" s="40" t="n">
        <f aca="false">M16+M28+M29</f>
        <v>846.731833146547</v>
      </c>
    </row>
    <row r="31" customFormat="false" ht="17.15" hidden="false" customHeight="false" outlineLevel="0" collapsed="false">
      <c r="A31" s="5" t="s">
        <v>4244</v>
      </c>
      <c r="C31" s="0" t="s">
        <v>395</v>
      </c>
      <c r="G31" s="33" t="n">
        <f aca="false">SIL_In!$G$33</f>
        <v>781.872916666667</v>
      </c>
      <c r="H31" s="33" t="n">
        <f aca="false">SIL_In!$H$33</f>
        <v>1565.35</v>
      </c>
      <c r="I31" s="33" t="n">
        <f aca="false">SIL_In!$I$33</f>
        <v>1984.26388888889</v>
      </c>
      <c r="J31" s="33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4245</v>
      </c>
    </row>
    <row r="2" customFormat="false" ht="17.15" hidden="false" customHeight="false" outlineLevel="0" collapsed="false">
      <c r="A2" s="5" t="s">
        <v>4246</v>
      </c>
    </row>
    <row r="3" customFormat="false" ht="17.15" hidden="false" customHeight="false" outlineLevel="0" collapsed="false">
      <c r="A3" s="42" t="s">
        <v>4247</v>
      </c>
    </row>
    <row r="4" customFormat="false" ht="15" hidden="false" customHeight="false" outlineLevel="0" collapsed="false">
      <c r="A4" s="6" t="s">
        <v>4248</v>
      </c>
      <c r="B4" s="6" t="s">
        <v>20</v>
      </c>
      <c r="C4" s="6" t="s">
        <v>22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7" t="s">
        <v>32</v>
      </c>
      <c r="J4" s="7" t="s">
        <v>33</v>
      </c>
      <c r="K4" s="7" t="s">
        <v>34</v>
      </c>
      <c r="L4" s="7" t="s">
        <v>35</v>
      </c>
      <c r="M4" s="6" t="s">
        <v>4249</v>
      </c>
    </row>
    <row r="5" customFormat="false" ht="17.15" hidden="false" customHeight="false" outlineLevel="0" collapsed="false">
      <c r="A5" s="42" t="s">
        <v>4247</v>
      </c>
    </row>
    <row r="6" customFormat="false" ht="17.15" hidden="false" customHeight="false" outlineLevel="0" collapsed="false">
      <c r="A6" s="8" t="s">
        <v>4250</v>
      </c>
    </row>
    <row r="7" customFormat="false" ht="17.15" hidden="false" customHeight="false" outlineLevel="0" collapsed="false">
      <c r="A7" s="0" t="s">
        <v>4251</v>
      </c>
      <c r="B7" s="5" t="s">
        <v>4252</v>
      </c>
      <c r="C7" s="5" t="s">
        <v>726</v>
      </c>
      <c r="D7" s="36" t="n">
        <f aca="false">Deploy!E106</f>
        <v>1</v>
      </c>
      <c r="E7" s="36" t="n">
        <f aca="false">Deploy!F106</f>
        <v>1</v>
      </c>
      <c r="F7" s="36" t="n">
        <f aca="false">Deploy!G106</f>
        <v>1</v>
      </c>
      <c r="G7" s="36" t="n">
        <f aca="false">Deploy!H106</f>
        <v>0.525958249311963</v>
      </c>
      <c r="H7" s="36" t="n">
        <f aca="false">Deploy!I106</f>
        <v>0.713733180315391</v>
      </c>
      <c r="I7" s="36" t="n">
        <f aca="false">Deploy!J106</f>
        <v>0.233991678355409</v>
      </c>
      <c r="J7" s="36" t="n">
        <f aca="false">Deploy!K106</f>
        <v>0.258425840839579</v>
      </c>
      <c r="K7" s="36" t="n">
        <f aca="false">Deploy!L106</f>
        <v>0.330409911320894</v>
      </c>
      <c r="L7" s="36" t="n">
        <f aca="false">Deploy!M106</f>
        <v>0.541291657904735</v>
      </c>
      <c r="M7" s="21" t="s">
        <v>4253</v>
      </c>
    </row>
    <row r="8" customFormat="false" ht="17.15" hidden="false" customHeight="false" outlineLevel="0" collapsed="false">
      <c r="A8" s="0" t="s">
        <v>4254</v>
      </c>
      <c r="B8" s="5" t="s">
        <v>4255</v>
      </c>
      <c r="C8" s="5" t="s">
        <v>726</v>
      </c>
      <c r="D8" s="36" t="n">
        <f aca="false">Deploy!E107</f>
        <v>1</v>
      </c>
      <c r="E8" s="36" t="n">
        <f aca="false">Deploy!F107</f>
        <v>1</v>
      </c>
      <c r="F8" s="36" t="n">
        <f aca="false">Deploy!G107</f>
        <v>1</v>
      </c>
      <c r="G8" s="36" t="n">
        <f aca="false">Deploy!H107</f>
        <v>0.532913632857314</v>
      </c>
      <c r="H8" s="36" t="n">
        <f aca="false">Deploy!I107</f>
        <v>0.719923606869408</v>
      </c>
      <c r="I8" s="36" t="n">
        <f aca="false">Deploy!J107</f>
        <v>0.256584651789902</v>
      </c>
      <c r="J8" s="36" t="n">
        <f aca="false">Deploy!K107</f>
        <v>0.280690316519203</v>
      </c>
      <c r="K8" s="36" t="n">
        <f aca="false">Deploy!L107</f>
        <v>0.355770668772772</v>
      </c>
      <c r="L8" s="36" t="n">
        <f aca="false">Deploy!M107</f>
        <v>0.578248205570866</v>
      </c>
      <c r="M8" s="21" t="s">
        <v>4256</v>
      </c>
    </row>
    <row r="9" customFormat="false" ht="17.15" hidden="false" customHeight="false" outlineLevel="0" collapsed="false">
      <c r="A9" s="8" t="s">
        <v>4257</v>
      </c>
    </row>
    <row r="10" customFormat="false" ht="17.15" hidden="false" customHeight="false" outlineLevel="0" collapsed="false">
      <c r="A10" s="0" t="s">
        <v>4258</v>
      </c>
      <c r="B10" s="5" t="s">
        <v>4259</v>
      </c>
      <c r="C10" s="0" t="s">
        <v>82</v>
      </c>
      <c r="D10" s="28" t="n">
        <f aca="false">Deploy!E13</f>
        <v>6.20938570515285</v>
      </c>
      <c r="E10" s="28" t="n">
        <f aca="false">Deploy!F13</f>
        <v>25.3371433333333</v>
      </c>
      <c r="F10" s="28" t="n">
        <f aca="false">Deploy!G13</f>
        <v>37.8525147943925</v>
      </c>
      <c r="G10" s="28" t="n">
        <f aca="false">Deploy!H13</f>
        <v>61.8147687204296</v>
      </c>
      <c r="H10" s="28" t="n">
        <f aca="false">Deploy!I13</f>
        <v>88.7380615197793</v>
      </c>
      <c r="I10" s="28" t="n">
        <f aca="false">Deploy!J13</f>
        <v>116.401529624682</v>
      </c>
      <c r="J10" s="28" t="n">
        <f aca="false">Deploy!K13</f>
        <v>144.473154081214</v>
      </c>
      <c r="K10" s="28" t="n">
        <f aca="false">Deploy!L13</f>
        <v>169.117528413721</v>
      </c>
      <c r="L10" s="28" t="n">
        <f aca="false">Deploy!M13</f>
        <v>186.029281255093</v>
      </c>
      <c r="M10" s="21" t="s">
        <v>4260</v>
      </c>
    </row>
    <row r="11" customFormat="false" ht="17.15" hidden="false" customHeight="false" outlineLevel="0" collapsed="false">
      <c r="A11" s="0" t="s">
        <v>4261</v>
      </c>
      <c r="B11" s="5" t="s">
        <v>4262</v>
      </c>
      <c r="C11" s="0" t="s">
        <v>82</v>
      </c>
      <c r="D11" s="28" t="n">
        <f aca="false">Deploy!E14</f>
        <v>6.20938570515285</v>
      </c>
      <c r="E11" s="28" t="n">
        <f aca="false">Deploy!F14</f>
        <v>25.3371433333333</v>
      </c>
      <c r="F11" s="28" t="n">
        <f aca="false">Deploy!G14</f>
        <v>37.043435095226</v>
      </c>
      <c r="G11" s="28" t="n">
        <f aca="false">Deploy!H14</f>
        <v>57.3231451167064</v>
      </c>
      <c r="H11" s="28" t="n">
        <f aca="false">Deploy!I14</f>
        <v>83.4960019465598</v>
      </c>
      <c r="I11" s="28" t="n">
        <f aca="false">Deploy!J14</f>
        <v>111.175597706324</v>
      </c>
      <c r="J11" s="28" t="n">
        <f aca="false">Deploy!K14</f>
        <v>139.124344801321</v>
      </c>
      <c r="K11" s="28" t="n">
        <f aca="false">Deploy!L14</f>
        <v>164.556437905532</v>
      </c>
      <c r="L11" s="28" t="n">
        <f aca="false">Deploy!M14</f>
        <v>182.620674507853</v>
      </c>
      <c r="M11" s="21" t="s">
        <v>4263</v>
      </c>
    </row>
    <row r="12" customFormat="false" ht="17.15" hidden="false" customHeight="false" outlineLevel="0" collapsed="false">
      <c r="A12" s="0" t="s">
        <v>4264</v>
      </c>
      <c r="B12" s="5" t="s">
        <v>4265</v>
      </c>
      <c r="C12" s="0" t="s">
        <v>82</v>
      </c>
      <c r="D12" s="28" t="n">
        <f aca="false">Deploy!E15</f>
        <v>6.20938570515285</v>
      </c>
      <c r="E12" s="28" t="n">
        <f aca="false">Deploy!F15</f>
        <v>25.3371433333333</v>
      </c>
      <c r="F12" s="28" t="n">
        <f aca="false">Deploy!G15</f>
        <v>37.043435095226</v>
      </c>
      <c r="G12" s="28" t="n">
        <f aca="false">Deploy!H15</f>
        <v>49.5848129877809</v>
      </c>
      <c r="H12" s="28" t="n">
        <f aca="false">Deploy!I15</f>
        <v>73.7465792146185</v>
      </c>
      <c r="I12" s="28" t="n">
        <f aca="false">Deploy!J15</f>
        <v>109.100333877036</v>
      </c>
      <c r="J12" s="28" t="n">
        <f aca="false">Deploy!K15</f>
        <v>139.124344801321</v>
      </c>
      <c r="K12" s="28" t="n">
        <f aca="false">Deploy!L15</f>
        <v>164.556437905532</v>
      </c>
      <c r="L12" s="28" t="n">
        <f aca="false">Deploy!M15</f>
        <v>182.620674507853</v>
      </c>
      <c r="M12" s="21" t="s">
        <v>4266</v>
      </c>
    </row>
    <row r="13" customFormat="false" ht="17.15" hidden="false" customHeight="false" outlineLevel="0" collapsed="false">
      <c r="A13" s="0" t="s">
        <v>4267</v>
      </c>
      <c r="B13" s="5" t="s">
        <v>4268</v>
      </c>
      <c r="C13" s="0" t="s">
        <v>82</v>
      </c>
      <c r="D13" s="28" t="n">
        <f aca="false">Deploy!E29</f>
        <v>6.20938570515285</v>
      </c>
      <c r="E13" s="28" t="n">
        <f aca="false">Deploy!F29</f>
        <v>25.3371433333333</v>
      </c>
      <c r="F13" s="28" t="n">
        <f aca="false">Deploy!G29</f>
        <v>37.8525147943925</v>
      </c>
      <c r="G13" s="28" t="n">
        <f aca="false">Deploy!H29</f>
        <v>61.8147687204296</v>
      </c>
      <c r="H13" s="28" t="n">
        <f aca="false">Deploy!I29</f>
        <v>83.3534029599094</v>
      </c>
      <c r="I13" s="28" t="n">
        <f aca="false">Deploy!J29</f>
        <v>106.867350849077</v>
      </c>
      <c r="J13" s="28" t="n">
        <f aca="false">Deploy!K29</f>
        <v>130.527742081257</v>
      </c>
      <c r="K13" s="28" t="n">
        <f aca="false">Deploy!L29</f>
        <v>151.50352565561</v>
      </c>
      <c r="L13" s="28" t="n">
        <f aca="false">Deploy!M29</f>
        <v>166.653878221171</v>
      </c>
      <c r="M13" s="21" t="s">
        <v>4269</v>
      </c>
    </row>
    <row r="14" customFormat="false" ht="17.15" hidden="false" customHeight="false" outlineLevel="0" collapsed="false">
      <c r="A14" s="0" t="s">
        <v>4270</v>
      </c>
      <c r="B14" s="5" t="s">
        <v>4271</v>
      </c>
      <c r="C14" s="0" t="s">
        <v>82</v>
      </c>
      <c r="D14" s="28" t="n">
        <f aca="false">Deploy!E30</f>
        <v>6.20938570515285</v>
      </c>
      <c r="E14" s="28" t="n">
        <f aca="false">Deploy!F30</f>
        <v>25.3371433333333</v>
      </c>
      <c r="F14" s="28" t="n">
        <f aca="false">Deploy!G30</f>
        <v>37.043435095226</v>
      </c>
      <c r="G14" s="28" t="n">
        <f aca="false">Deploy!H30</f>
        <v>57.3231451167064</v>
      </c>
      <c r="H14" s="28" t="n">
        <f aca="false">Deploy!I30</f>
        <v>79.0536586346671</v>
      </c>
      <c r="I14" s="28" t="n">
        <f aca="false">Deploy!J30</f>
        <v>102.367584968472</v>
      </c>
      <c r="J14" s="28" t="n">
        <f aca="false">Deploy!K30</f>
        <v>125.950898615625</v>
      </c>
      <c r="K14" s="28" t="n">
        <f aca="false">Deploy!L30</f>
        <v>147.584438530098</v>
      </c>
      <c r="L14" s="28" t="n">
        <f aca="false">Deploy!M30</f>
        <v>163.553516522197</v>
      </c>
      <c r="M14" s="21" t="s">
        <v>4272</v>
      </c>
    </row>
    <row r="15" customFormat="false" ht="17.15" hidden="false" customHeight="false" outlineLevel="0" collapsed="false">
      <c r="A15" s="0" t="s">
        <v>4273</v>
      </c>
      <c r="B15" s="5" t="s">
        <v>4274</v>
      </c>
      <c r="C15" s="0" t="s">
        <v>82</v>
      </c>
      <c r="D15" s="28" t="n">
        <f aca="false">Deploy!E31</f>
        <v>6.20938570515285</v>
      </c>
      <c r="E15" s="28" t="n">
        <f aca="false">Deploy!F31</f>
        <v>25.3371433333333</v>
      </c>
      <c r="F15" s="28" t="n">
        <f aca="false">Deploy!G31</f>
        <v>37.043435095226</v>
      </c>
      <c r="G15" s="28" t="n">
        <f aca="false">Deploy!H31</f>
        <v>49.5848129877809</v>
      </c>
      <c r="H15" s="28" t="n">
        <f aca="false">Deploy!I31</f>
        <v>71.0811732274828</v>
      </c>
      <c r="I15" s="28" t="n">
        <f aca="false">Deploy!J31</f>
        <v>100.669247238375</v>
      </c>
      <c r="J15" s="28" t="n">
        <f aca="false">Deploy!K31</f>
        <v>125.950898615625</v>
      </c>
      <c r="K15" s="28" t="n">
        <f aca="false">Deploy!L31</f>
        <v>147.584438530098</v>
      </c>
      <c r="L15" s="28" t="n">
        <f aca="false">Deploy!M31</f>
        <v>163.553516522197</v>
      </c>
      <c r="M15" s="21" t="s">
        <v>4275</v>
      </c>
    </row>
    <row r="16" customFormat="false" ht="17.15" hidden="false" customHeight="false" outlineLevel="0" collapsed="false">
      <c r="A16" s="0" t="s">
        <v>4276</v>
      </c>
      <c r="B16" s="5" t="s">
        <v>4277</v>
      </c>
      <c r="C16" s="0" t="s">
        <v>82</v>
      </c>
      <c r="D16" s="28" t="n">
        <f aca="false">Deploy!E45</f>
        <v>6.20938570515285</v>
      </c>
      <c r="E16" s="28" t="n">
        <f aca="false">Deploy!F45</f>
        <v>25.3371433333333</v>
      </c>
      <c r="F16" s="28" t="n">
        <f aca="false">Deploy!G45</f>
        <v>37.8525147943925</v>
      </c>
      <c r="G16" s="28" t="n">
        <f aca="false">Deploy!H45</f>
        <v>61.8147687204296</v>
      </c>
      <c r="H16" s="28" t="n">
        <f aca="false">Deploy!I45</f>
        <v>77.9687444000394</v>
      </c>
      <c r="I16" s="28" t="n">
        <f aca="false">Deploy!J45</f>
        <v>94.5668252629809</v>
      </c>
      <c r="J16" s="28" t="n">
        <f aca="false">Deploy!K45</f>
        <v>111.140053069107</v>
      </c>
      <c r="K16" s="28" t="n">
        <f aca="false">Deploy!L45</f>
        <v>126.435933033803</v>
      </c>
      <c r="L16" s="28" t="n">
        <f aca="false">Deploy!M45</f>
        <v>139.079526337183</v>
      </c>
      <c r="M16" s="21" t="s">
        <v>4278</v>
      </c>
    </row>
    <row r="17" customFormat="false" ht="17.15" hidden="false" customHeight="false" outlineLevel="0" collapsed="false">
      <c r="A17" s="0" t="s">
        <v>4279</v>
      </c>
      <c r="B17" s="5" t="s">
        <v>4280</v>
      </c>
      <c r="C17" s="0" t="s">
        <v>82</v>
      </c>
      <c r="D17" s="28" t="n">
        <f aca="false">Deploy!E46</f>
        <v>6.20938570515285</v>
      </c>
      <c r="E17" s="28" t="n">
        <f aca="false">Deploy!F46</f>
        <v>25.3371433333333</v>
      </c>
      <c r="F17" s="28" t="n">
        <f aca="false">Deploy!G46</f>
        <v>37.043435095226</v>
      </c>
      <c r="G17" s="28" t="n">
        <f aca="false">Deploy!H46</f>
        <v>57.3231451167064</v>
      </c>
      <c r="H17" s="28" t="n">
        <f aca="false">Deploy!I46</f>
        <v>74.6113153227744</v>
      </c>
      <c r="I17" s="28" t="n">
        <f aca="false">Deploy!J46</f>
        <v>91.2773361119662</v>
      </c>
      <c r="J17" s="28" t="n">
        <f aca="false">Deploy!K46</f>
        <v>107.803463203035</v>
      </c>
      <c r="K17" s="28" t="n">
        <f aca="false">Deploy!L46</f>
        <v>123.510829039981</v>
      </c>
      <c r="L17" s="28" t="n">
        <f aca="false">Deploy!M46</f>
        <v>136.417847509091</v>
      </c>
      <c r="M17" s="21" t="s">
        <v>4281</v>
      </c>
    </row>
    <row r="18" customFormat="false" ht="17.15" hidden="false" customHeight="false" outlineLevel="0" collapsed="false">
      <c r="A18" s="0" t="s">
        <v>4282</v>
      </c>
      <c r="B18" s="5" t="s">
        <v>4283</v>
      </c>
      <c r="C18" s="0" t="s">
        <v>82</v>
      </c>
      <c r="D18" s="28" t="n">
        <f aca="false">Deploy!E47</f>
        <v>6.20938570515285</v>
      </c>
      <c r="E18" s="28" t="n">
        <f aca="false">Deploy!F47</f>
        <v>25.3371433333333</v>
      </c>
      <c r="F18" s="28" t="n">
        <f aca="false">Deploy!G47</f>
        <v>37.043435095226</v>
      </c>
      <c r="G18" s="28" t="n">
        <f aca="false">Deploy!H47</f>
        <v>49.5848129877809</v>
      </c>
      <c r="H18" s="28" t="n">
        <f aca="false">Deploy!I47</f>
        <v>68.4157672403472</v>
      </c>
      <c r="I18" s="28" t="n">
        <f aca="false">Deploy!J47</f>
        <v>89.9559244810602</v>
      </c>
      <c r="J18" s="28" t="n">
        <f aca="false">Deploy!K47</f>
        <v>107.803463203035</v>
      </c>
      <c r="K18" s="28" t="n">
        <f aca="false">Deploy!L47</f>
        <v>123.510829039981</v>
      </c>
      <c r="L18" s="28" t="n">
        <f aca="false">Deploy!M47</f>
        <v>136.417847509091</v>
      </c>
      <c r="M18" s="21" t="s">
        <v>4284</v>
      </c>
    </row>
    <row r="19" customFormat="false" ht="17.15" hidden="false" customHeight="false" outlineLevel="0" collapsed="false">
      <c r="A19" s="0" t="s">
        <v>4285</v>
      </c>
      <c r="B19" s="5" t="s">
        <v>4286</v>
      </c>
      <c r="C19" s="0" t="s">
        <v>82</v>
      </c>
      <c r="D19" s="28" t="n">
        <f aca="false">Deploy!E16</f>
        <v>3.41998203041741</v>
      </c>
      <c r="E19" s="28" t="n">
        <f aca="false">Deploy!F16</f>
        <v>15.7732645192431</v>
      </c>
      <c r="F19" s="28" t="n">
        <f aca="false">Deploy!G16</f>
        <v>31.5948290638629</v>
      </c>
      <c r="G19" s="28" t="n">
        <f aca="false">Deploy!H16</f>
        <v>49.8336417574111</v>
      </c>
      <c r="H19" s="28" t="n">
        <f aca="false">Deploy!I16</f>
        <v>75.2764151201045</v>
      </c>
      <c r="I19" s="28" t="n">
        <f aca="false">Deploy!J16</f>
        <v>102.569795572231</v>
      </c>
      <c r="J19" s="28" t="n">
        <f aca="false">Deploy!K16</f>
        <v>130.437341852948</v>
      </c>
      <c r="K19" s="28" t="n">
        <f aca="false">Deploy!L16</f>
        <v>156.795341247467</v>
      </c>
      <c r="L19" s="28" t="n">
        <f aca="false">Deploy!M16</f>
        <v>177.573404834407</v>
      </c>
      <c r="M19" s="21" t="s">
        <v>4287</v>
      </c>
    </row>
    <row r="20" customFormat="false" ht="17.15" hidden="false" customHeight="false" outlineLevel="0" collapsed="false">
      <c r="A20" s="0" t="s">
        <v>4288</v>
      </c>
      <c r="B20" s="5" t="s">
        <v>4289</v>
      </c>
      <c r="C20" s="0" t="s">
        <v>82</v>
      </c>
      <c r="D20" s="28" t="n">
        <f aca="false">Deploy!E17</f>
        <v>3.41998203041741</v>
      </c>
      <c r="E20" s="28" t="n">
        <f aca="false">Deploy!F17</f>
        <v>15.7732645192431</v>
      </c>
      <c r="F20" s="28" t="n">
        <f aca="false">Deploy!G17</f>
        <v>31.1902892142797</v>
      </c>
      <c r="G20" s="28" t="n">
        <f aca="false">Deploy!H17</f>
        <v>47.1832901059662</v>
      </c>
      <c r="H20" s="28" t="n">
        <f aca="false">Deploy!I17</f>
        <v>70.4095735316331</v>
      </c>
      <c r="I20" s="28" t="n">
        <f aca="false">Deploy!J17</f>
        <v>97.3357998264418</v>
      </c>
      <c r="J20" s="28" t="n">
        <f aca="false">Deploy!K17</f>
        <v>125.149971253822</v>
      </c>
      <c r="K20" s="28" t="n">
        <f aca="false">Deploy!L17</f>
        <v>151.840391353426</v>
      </c>
      <c r="L20" s="28" t="n">
        <f aca="false">Deploy!M17</f>
        <v>173.588556206692</v>
      </c>
      <c r="M20" s="21" t="s">
        <v>4290</v>
      </c>
    </row>
    <row r="21" customFormat="false" ht="17.15" hidden="false" customHeight="false" outlineLevel="0" collapsed="false">
      <c r="A21" s="0" t="s">
        <v>4291</v>
      </c>
      <c r="B21" s="5" t="s">
        <v>4292</v>
      </c>
      <c r="C21" s="0" t="s">
        <v>82</v>
      </c>
      <c r="D21" s="28" t="n">
        <f aca="false">Deploy!E18</f>
        <v>3.41998203041741</v>
      </c>
      <c r="E21" s="28" t="n">
        <f aca="false">Deploy!F18</f>
        <v>15.7732645192431</v>
      </c>
      <c r="F21" s="28" t="n">
        <f aca="false">Deploy!G18</f>
        <v>31.1902892142797</v>
      </c>
      <c r="G21" s="28" t="n">
        <f aca="false">Deploy!H18</f>
        <v>43.3141240415034</v>
      </c>
      <c r="H21" s="28" t="n">
        <f aca="false">Deploy!I18</f>
        <v>61.6656961011997</v>
      </c>
      <c r="I21" s="28" t="n">
        <f aca="false">Deploy!J18</f>
        <v>91.4234565458273</v>
      </c>
      <c r="J21" s="28" t="n">
        <f aca="false">Deploy!K18</f>
        <v>124.112339339178</v>
      </c>
      <c r="K21" s="28" t="n">
        <f aca="false">Deploy!L18</f>
        <v>151.840391353426</v>
      </c>
      <c r="L21" s="28" t="n">
        <f aca="false">Deploy!M18</f>
        <v>173.588556206692</v>
      </c>
      <c r="M21" s="21" t="s">
        <v>4293</v>
      </c>
    </row>
    <row r="22" customFormat="false" ht="17.15" hidden="false" customHeight="false" outlineLevel="0" collapsed="false">
      <c r="A22" s="0" t="s">
        <v>4294</v>
      </c>
      <c r="B22" s="5" t="s">
        <v>4295</v>
      </c>
      <c r="C22" s="0" t="s">
        <v>82</v>
      </c>
      <c r="D22" s="28" t="n">
        <f aca="false">Deploy!E32</f>
        <v>3.41998203041741</v>
      </c>
      <c r="E22" s="28" t="n">
        <f aca="false">Deploy!F32</f>
        <v>15.7732645192431</v>
      </c>
      <c r="F22" s="28" t="n">
        <f aca="false">Deploy!G32</f>
        <v>31.5948290638629</v>
      </c>
      <c r="G22" s="28" t="n">
        <f aca="false">Deploy!H32</f>
        <v>49.8336417574111</v>
      </c>
      <c r="H22" s="28" t="n">
        <f aca="false">Deploy!I32</f>
        <v>72.5840858401695</v>
      </c>
      <c r="I22" s="28" t="n">
        <f aca="false">Deploy!J32</f>
        <v>95.1103769044929</v>
      </c>
      <c r="J22" s="28" t="n">
        <f aca="false">Deploy!K32</f>
        <v>118.697546465167</v>
      </c>
      <c r="K22" s="28" t="n">
        <f aca="false">Deploy!L32</f>
        <v>141.015633868433</v>
      </c>
      <c r="L22" s="28" t="n">
        <f aca="false">Deploy!M32</f>
        <v>159.07870193839</v>
      </c>
      <c r="M22" s="21" t="s">
        <v>4296</v>
      </c>
    </row>
    <row r="23" customFormat="false" ht="17.15" hidden="false" customHeight="false" outlineLevel="0" collapsed="false">
      <c r="A23" s="0" t="s">
        <v>4297</v>
      </c>
      <c r="B23" s="5" t="s">
        <v>4298</v>
      </c>
      <c r="C23" s="0" t="s">
        <v>82</v>
      </c>
      <c r="D23" s="28" t="n">
        <f aca="false">Deploy!E33</f>
        <v>3.41998203041741</v>
      </c>
      <c r="E23" s="28" t="n">
        <f aca="false">Deploy!F33</f>
        <v>15.7732645192431</v>
      </c>
      <c r="F23" s="28" t="n">
        <f aca="false">Deploy!G33</f>
        <v>31.1902892142797</v>
      </c>
      <c r="G23" s="28" t="n">
        <f aca="false">Deploy!H33</f>
        <v>47.1832901059662</v>
      </c>
      <c r="H23" s="28" t="n">
        <f aca="false">Deploy!I33</f>
        <v>68.1884018756868</v>
      </c>
      <c r="I23" s="28" t="n">
        <f aca="false">Deploy!J33</f>
        <v>90.7106218015697</v>
      </c>
      <c r="J23" s="28" t="n">
        <f aca="false">Deploy!K33</f>
        <v>114.159241792049</v>
      </c>
      <c r="K23" s="28" t="n">
        <f aca="false">Deploy!L33</f>
        <v>136.767668572862</v>
      </c>
      <c r="L23" s="28" t="n">
        <f aca="false">Deploy!M33</f>
        <v>155.568977526148</v>
      </c>
      <c r="M23" s="21" t="s">
        <v>4299</v>
      </c>
    </row>
    <row r="24" customFormat="false" ht="17.15" hidden="false" customHeight="false" outlineLevel="0" collapsed="false">
      <c r="A24" s="0" t="s">
        <v>4300</v>
      </c>
      <c r="B24" s="5" t="s">
        <v>4301</v>
      </c>
      <c r="C24" s="0" t="s">
        <v>82</v>
      </c>
      <c r="D24" s="28" t="n">
        <f aca="false">Deploy!E34</f>
        <v>3.41998203041741</v>
      </c>
      <c r="E24" s="28" t="n">
        <f aca="false">Deploy!F34</f>
        <v>15.7732645192431</v>
      </c>
      <c r="F24" s="28" t="n">
        <f aca="false">Deploy!G34</f>
        <v>31.1902892142797</v>
      </c>
      <c r="G24" s="28" t="n">
        <f aca="false">Deploy!H34</f>
        <v>43.3141240415034</v>
      </c>
      <c r="H24" s="28" t="n">
        <f aca="false">Deploy!I34</f>
        <v>60.3329931076319</v>
      </c>
      <c r="I24" s="28" t="n">
        <f aca="false">Deploy!J34</f>
        <v>85.8752102329291</v>
      </c>
      <c r="J24" s="28" t="n">
        <f aca="false">Deploy!K34</f>
        <v>113.310072927</v>
      </c>
      <c r="K24" s="28" t="n">
        <f aca="false">Deploy!L34</f>
        <v>136.767668572862</v>
      </c>
      <c r="L24" s="28" t="n">
        <f aca="false">Deploy!M34</f>
        <v>155.568977526148</v>
      </c>
      <c r="M24" s="21" t="s">
        <v>4302</v>
      </c>
    </row>
    <row r="25" customFormat="false" ht="17.15" hidden="false" customHeight="false" outlineLevel="0" collapsed="false">
      <c r="A25" s="0" t="s">
        <v>4303</v>
      </c>
      <c r="B25" s="5" t="s">
        <v>4304</v>
      </c>
      <c r="C25" s="0" t="s">
        <v>82</v>
      </c>
      <c r="D25" s="28" t="n">
        <f aca="false">Deploy!E48</f>
        <v>3.41998203041741</v>
      </c>
      <c r="E25" s="28" t="n">
        <f aca="false">Deploy!F48</f>
        <v>15.7732645192431</v>
      </c>
      <c r="F25" s="28" t="n">
        <f aca="false">Deploy!G48</f>
        <v>31.5948290638629</v>
      </c>
      <c r="G25" s="28" t="n">
        <f aca="false">Deploy!H48</f>
        <v>49.8336417574111</v>
      </c>
      <c r="H25" s="28" t="n">
        <f aca="false">Deploy!I48</f>
        <v>69.8917565602345</v>
      </c>
      <c r="I25" s="28" t="n">
        <f aca="false">Deploy!J48</f>
        <v>86.2677848315102</v>
      </c>
      <c r="J25" s="28" t="n">
        <f aca="false">Deploy!K48</f>
        <v>102.853439166044</v>
      </c>
      <c r="K25" s="28" t="n">
        <f aca="false">Deploy!L48</f>
        <v>118.787993051455</v>
      </c>
      <c r="L25" s="28" t="n">
        <f aca="false">Deploy!M48</f>
        <v>132.757729685493</v>
      </c>
      <c r="M25" s="21" t="s">
        <v>4305</v>
      </c>
    </row>
    <row r="26" customFormat="false" ht="17.15" hidden="false" customHeight="false" outlineLevel="0" collapsed="false">
      <c r="A26" s="0" t="s">
        <v>4306</v>
      </c>
      <c r="B26" s="5" t="s">
        <v>4307</v>
      </c>
      <c r="C26" s="0" t="s">
        <v>82</v>
      </c>
      <c r="D26" s="28" t="n">
        <f aca="false">Deploy!E49</f>
        <v>3.41998203041741</v>
      </c>
      <c r="E26" s="28" t="n">
        <f aca="false">Deploy!F49</f>
        <v>15.7732645192431</v>
      </c>
      <c r="F26" s="28" t="n">
        <f aca="false">Deploy!G49</f>
        <v>31.1902892142797</v>
      </c>
      <c r="G26" s="28" t="n">
        <f aca="false">Deploy!H49</f>
        <v>47.1832901059662</v>
      </c>
      <c r="H26" s="28" t="n">
        <f aca="false">Deploy!I49</f>
        <v>65.9672302197404</v>
      </c>
      <c r="I26" s="28" t="n">
        <f aca="false">Deploy!J49</f>
        <v>82.9443257173703</v>
      </c>
      <c r="J26" s="28" t="n">
        <f aca="false">Deploy!K49</f>
        <v>99.5403996575007</v>
      </c>
      <c r="K26" s="28" t="n">
        <f aca="false">Deploy!L49</f>
        <v>115.657146121508</v>
      </c>
      <c r="L26" s="28" t="n">
        <f aca="false">Deploy!M49</f>
        <v>129.964338274536</v>
      </c>
      <c r="M26" s="21" t="s">
        <v>4308</v>
      </c>
    </row>
    <row r="27" customFormat="false" ht="17.15" hidden="false" customHeight="false" outlineLevel="0" collapsed="false">
      <c r="A27" s="0" t="s">
        <v>4309</v>
      </c>
      <c r="B27" s="5" t="s">
        <v>4310</v>
      </c>
      <c r="C27" s="0" t="s">
        <v>82</v>
      </c>
      <c r="D27" s="28" t="n">
        <f aca="false">Deploy!E50</f>
        <v>3.41998203041741</v>
      </c>
      <c r="E27" s="28" t="n">
        <f aca="false">Deploy!F50</f>
        <v>15.7732645192431</v>
      </c>
      <c r="F27" s="28" t="n">
        <f aca="false">Deploy!G50</f>
        <v>31.1902892142797</v>
      </c>
      <c r="G27" s="28" t="n">
        <f aca="false">Deploy!H50</f>
        <v>43.3141240415034</v>
      </c>
      <c r="H27" s="28" t="n">
        <f aca="false">Deploy!I50</f>
        <v>59.000290114064</v>
      </c>
      <c r="I27" s="28" t="n">
        <f aca="false">Deploy!J50</f>
        <v>79.1858458607037</v>
      </c>
      <c r="J27" s="28" t="n">
        <f aca="false">Deploy!K50</f>
        <v>98.8796938420477</v>
      </c>
      <c r="K27" s="28" t="n">
        <f aca="false">Deploy!L50</f>
        <v>115.657146121508</v>
      </c>
      <c r="L27" s="28" t="n">
        <f aca="false">Deploy!M50</f>
        <v>129.964338274536</v>
      </c>
      <c r="M27" s="21" t="s">
        <v>4311</v>
      </c>
    </row>
    <row r="28" customFormat="false" ht="17.15" hidden="false" customHeight="false" outlineLevel="0" collapsed="false">
      <c r="A28" s="0" t="s">
        <v>4312</v>
      </c>
      <c r="B28" s="5" t="s">
        <v>4313</v>
      </c>
      <c r="C28" s="0" t="s">
        <v>82</v>
      </c>
      <c r="D28" s="28" t="n">
        <f aca="false">Deploy!E19</f>
        <v>1.61980834349181</v>
      </c>
      <c r="E28" s="28" t="n">
        <f aca="false">Deploy!F19</f>
        <v>9.04912429484716</v>
      </c>
      <c r="F28" s="28" t="n">
        <f aca="false">Deploy!G19</f>
        <v>12.5153714610592</v>
      </c>
      <c r="G28" s="28" t="n">
        <f aca="false">Deploy!H19</f>
        <v>23.9622539260371</v>
      </c>
      <c r="H28" s="28" t="n">
        <f aca="false">Deploy!I19</f>
        <v>26.9232927993498</v>
      </c>
      <c r="I28" s="28" t="n">
        <f aca="false">Deploy!J19</f>
        <v>27.6634681049025</v>
      </c>
      <c r="J28" s="28" t="n">
        <f aca="false">Deploy!K19</f>
        <v>28.071624456532</v>
      </c>
      <c r="K28" s="28" t="n">
        <f aca="false">Deploy!L19</f>
        <v>24.6443743325068</v>
      </c>
      <c r="L28" s="28" t="n">
        <f aca="false">Deploy!M19</f>
        <v>16.9117528413721</v>
      </c>
      <c r="M28" s="21" t="s">
        <v>4314</v>
      </c>
    </row>
    <row r="29" customFormat="false" ht="17.15" hidden="false" customHeight="false" outlineLevel="0" collapsed="false">
      <c r="A29" s="0" t="s">
        <v>4315</v>
      </c>
      <c r="B29" s="5" t="s">
        <v>4316</v>
      </c>
      <c r="C29" s="0" t="s">
        <v>82</v>
      </c>
      <c r="D29" s="28" t="n">
        <f aca="false">Deploy!E20</f>
        <v>1.61980834349181</v>
      </c>
      <c r="E29" s="28" t="n">
        <f aca="false">Deploy!F20</f>
        <v>9.04912429484716</v>
      </c>
      <c r="F29" s="28" t="n">
        <f aca="false">Deploy!G20</f>
        <v>11.7062917618926</v>
      </c>
      <c r="G29" s="28" t="n">
        <f aca="false">Deploy!H20</f>
        <v>20.2797100214805</v>
      </c>
      <c r="H29" s="28" t="n">
        <f aca="false">Deploy!I20</f>
        <v>26.1728568298534</v>
      </c>
      <c r="I29" s="28" t="n">
        <f aca="false">Deploy!J20</f>
        <v>27.6795957597641</v>
      </c>
      <c r="J29" s="28" t="n">
        <f aca="false">Deploy!K20</f>
        <v>27.9487470949969</v>
      </c>
      <c r="K29" s="28" t="n">
        <f aca="false">Deploy!L20</f>
        <v>25.4320931042112</v>
      </c>
      <c r="L29" s="28" t="n">
        <f aca="false">Deploy!M20</f>
        <v>18.0642366023206</v>
      </c>
      <c r="M29" s="21" t="s">
        <v>4317</v>
      </c>
    </row>
    <row r="30" customFormat="false" ht="17.15" hidden="false" customHeight="false" outlineLevel="0" collapsed="false">
      <c r="A30" s="0" t="s">
        <v>4318</v>
      </c>
      <c r="B30" s="5" t="s">
        <v>4319</v>
      </c>
      <c r="C30" s="0" t="s">
        <v>82</v>
      </c>
      <c r="D30" s="28" t="n">
        <f aca="false">Deploy!E21</f>
        <v>1.61980834349181</v>
      </c>
      <c r="E30" s="28" t="n">
        <f aca="false">Deploy!F21</f>
        <v>9.04912429484716</v>
      </c>
      <c r="F30" s="28" t="n">
        <f aca="false">Deploy!G21</f>
        <v>11.7062917618926</v>
      </c>
      <c r="G30" s="28" t="n">
        <f aca="false">Deploy!H21</f>
        <v>12.5413778925549</v>
      </c>
      <c r="H30" s="28" t="n">
        <f aca="false">Deploy!I21</f>
        <v>24.1617662268376</v>
      </c>
      <c r="I30" s="28" t="n">
        <f aca="false">Deploy!J21</f>
        <v>35.3537546624176</v>
      </c>
      <c r="J30" s="28" t="n">
        <f aca="false">Deploy!K21</f>
        <v>30.0240109242847</v>
      </c>
      <c r="K30" s="28" t="n">
        <f aca="false">Deploy!L21</f>
        <v>25.4320931042112</v>
      </c>
      <c r="L30" s="28" t="n">
        <f aca="false">Deploy!M21</f>
        <v>18.0642366023206</v>
      </c>
      <c r="M30" s="21" t="s">
        <v>4320</v>
      </c>
    </row>
    <row r="31" customFormat="false" ht="17.15" hidden="false" customHeight="false" outlineLevel="0" collapsed="false">
      <c r="A31" s="0" t="s">
        <v>4321</v>
      </c>
      <c r="B31" s="5" t="s">
        <v>4322</v>
      </c>
      <c r="C31" s="0" t="s">
        <v>82</v>
      </c>
      <c r="D31" s="28" t="n">
        <f aca="false">Deploy!E35</f>
        <v>1.61980834349181</v>
      </c>
      <c r="E31" s="28" t="n">
        <f aca="false">Deploy!F35</f>
        <v>9.04912429484716</v>
      </c>
      <c r="F31" s="28" t="n">
        <f aca="false">Deploy!G35</f>
        <v>12.5153714610592</v>
      </c>
      <c r="G31" s="28" t="n">
        <f aca="false">Deploy!H35</f>
        <v>23.9622539260371</v>
      </c>
      <c r="H31" s="28" t="n">
        <f aca="false">Deploy!I35</f>
        <v>21.5386342394798</v>
      </c>
      <c r="I31" s="28" t="n">
        <f aca="false">Deploy!J35</f>
        <v>23.5139478891671</v>
      </c>
      <c r="J31" s="28" t="n">
        <f aca="false">Deploy!K35</f>
        <v>23.6603912321806</v>
      </c>
      <c r="K31" s="28" t="n">
        <f aca="false">Deploy!L35</f>
        <v>20.9757835743525</v>
      </c>
      <c r="L31" s="28" t="n">
        <f aca="false">Deploy!M35</f>
        <v>15.150352565561</v>
      </c>
      <c r="M31" s="21" t="s">
        <v>4323</v>
      </c>
    </row>
    <row r="32" customFormat="false" ht="17.15" hidden="false" customHeight="false" outlineLevel="0" collapsed="false">
      <c r="A32" s="0" t="s">
        <v>4324</v>
      </c>
      <c r="B32" s="5" t="s">
        <v>4325</v>
      </c>
      <c r="C32" s="0" t="s">
        <v>82</v>
      </c>
      <c r="D32" s="28" t="n">
        <f aca="false">Deploy!E36</f>
        <v>1.61980834349181</v>
      </c>
      <c r="E32" s="28" t="n">
        <f aca="false">Deploy!F36</f>
        <v>9.04912429484716</v>
      </c>
      <c r="F32" s="28" t="n">
        <f aca="false">Deploy!G36</f>
        <v>11.7062917618926</v>
      </c>
      <c r="G32" s="28" t="n">
        <f aca="false">Deploy!H36</f>
        <v>20.2797100214805</v>
      </c>
      <c r="H32" s="28" t="n">
        <f aca="false">Deploy!I36</f>
        <v>21.7305135179606</v>
      </c>
      <c r="I32" s="28" t="n">
        <f aca="false">Deploy!J36</f>
        <v>23.3139263338052</v>
      </c>
      <c r="J32" s="28" t="n">
        <f aca="false">Deploy!K36</f>
        <v>23.5833136471532</v>
      </c>
      <c r="K32" s="28" t="n">
        <f aca="false">Deploy!L36</f>
        <v>21.6335399144724</v>
      </c>
      <c r="L32" s="28" t="n">
        <f aca="false">Deploy!M36</f>
        <v>15.9690779920995</v>
      </c>
      <c r="M32" s="21" t="s">
        <v>4326</v>
      </c>
    </row>
    <row r="33" customFormat="false" ht="17.15" hidden="false" customHeight="false" outlineLevel="0" collapsed="false">
      <c r="A33" s="0" t="s">
        <v>4327</v>
      </c>
      <c r="B33" s="5" t="s">
        <v>4328</v>
      </c>
      <c r="C33" s="0" t="s">
        <v>82</v>
      </c>
      <c r="D33" s="28" t="n">
        <f aca="false">Deploy!E37</f>
        <v>1.61980834349181</v>
      </c>
      <c r="E33" s="28" t="n">
        <f aca="false">Deploy!F37</f>
        <v>9.04912429484716</v>
      </c>
      <c r="F33" s="28" t="n">
        <f aca="false">Deploy!G37</f>
        <v>11.7062917618926</v>
      </c>
      <c r="G33" s="28" t="n">
        <f aca="false">Deploy!H37</f>
        <v>12.5413778925549</v>
      </c>
      <c r="H33" s="28" t="n">
        <f aca="false">Deploy!I37</f>
        <v>21.496360239702</v>
      </c>
      <c r="I33" s="28" t="n">
        <f aca="false">Deploy!J37</f>
        <v>29.5880740108925</v>
      </c>
      <c r="J33" s="28" t="n">
        <f aca="false">Deploy!K37</f>
        <v>25.2816513772501</v>
      </c>
      <c r="K33" s="28" t="n">
        <f aca="false">Deploy!L37</f>
        <v>21.6335399144724</v>
      </c>
      <c r="L33" s="28" t="n">
        <f aca="false">Deploy!M37</f>
        <v>15.9690779920995</v>
      </c>
      <c r="M33" s="21" t="s">
        <v>4329</v>
      </c>
    </row>
    <row r="34" customFormat="false" ht="17.15" hidden="false" customHeight="false" outlineLevel="0" collapsed="false">
      <c r="A34" s="0" t="s">
        <v>4330</v>
      </c>
      <c r="B34" s="5" t="s">
        <v>4331</v>
      </c>
      <c r="C34" s="0" t="s">
        <v>82</v>
      </c>
      <c r="D34" s="28" t="n">
        <f aca="false">Deploy!E51</f>
        <v>1.61980834349181</v>
      </c>
      <c r="E34" s="28" t="n">
        <f aca="false">Deploy!F51</f>
        <v>9.04912429484716</v>
      </c>
      <c r="F34" s="28" t="n">
        <f aca="false">Deploy!G51</f>
        <v>12.5153714610592</v>
      </c>
      <c r="G34" s="28" t="n">
        <f aca="false">Deploy!H51</f>
        <v>23.9622539260371</v>
      </c>
      <c r="H34" s="28" t="n">
        <f aca="false">Deploy!I51</f>
        <v>16.1539756796098</v>
      </c>
      <c r="I34" s="28" t="n">
        <f aca="false">Deploy!J51</f>
        <v>16.5980808629415</v>
      </c>
      <c r="J34" s="28" t="n">
        <f aca="false">Deploy!K51</f>
        <v>16.5732278061264</v>
      </c>
      <c r="K34" s="28" t="n">
        <f aca="false">Deploy!L51</f>
        <v>15.2958799646954</v>
      </c>
      <c r="L34" s="28" t="n">
        <f aca="false">Deploy!M51</f>
        <v>12.6435933033803</v>
      </c>
      <c r="M34" s="21" t="s">
        <v>4332</v>
      </c>
    </row>
    <row r="35" customFormat="false" ht="17.15" hidden="false" customHeight="false" outlineLevel="0" collapsed="false">
      <c r="A35" s="0" t="s">
        <v>4333</v>
      </c>
      <c r="B35" s="5" t="s">
        <v>4334</v>
      </c>
      <c r="C35" s="0" t="s">
        <v>82</v>
      </c>
      <c r="D35" s="28" t="n">
        <f aca="false">Deploy!E52</f>
        <v>1.61980834349181</v>
      </c>
      <c r="E35" s="28" t="n">
        <f aca="false">Deploy!F52</f>
        <v>9.04912429484716</v>
      </c>
      <c r="F35" s="28" t="n">
        <f aca="false">Deploy!G52</f>
        <v>11.7062917618926</v>
      </c>
      <c r="G35" s="28" t="n">
        <f aca="false">Deploy!H52</f>
        <v>20.2797100214805</v>
      </c>
      <c r="H35" s="28" t="n">
        <f aca="false">Deploy!I52</f>
        <v>17.2881702060679</v>
      </c>
      <c r="I35" s="28" t="n">
        <f aca="false">Deploy!J52</f>
        <v>16.6660207891918</v>
      </c>
      <c r="J35" s="28" t="n">
        <f aca="false">Deploy!K52</f>
        <v>16.5261270910691</v>
      </c>
      <c r="K35" s="28" t="n">
        <f aca="false">Deploy!L52</f>
        <v>15.7073658369458</v>
      </c>
      <c r="L35" s="28" t="n">
        <f aca="false">Deploy!M52</f>
        <v>12.9070184691104</v>
      </c>
      <c r="M35" s="21" t="s">
        <v>4335</v>
      </c>
    </row>
    <row r="36" customFormat="false" ht="17.15" hidden="false" customHeight="false" outlineLevel="0" collapsed="false">
      <c r="A36" s="0" t="s">
        <v>4336</v>
      </c>
      <c r="B36" s="5" t="s">
        <v>4337</v>
      </c>
      <c r="C36" s="0" t="s">
        <v>82</v>
      </c>
      <c r="D36" s="28" t="n">
        <f aca="false">Deploy!E53</f>
        <v>1.61980834349181</v>
      </c>
      <c r="E36" s="28" t="n">
        <f aca="false">Deploy!F53</f>
        <v>9.04912429484716</v>
      </c>
      <c r="F36" s="28" t="n">
        <f aca="false">Deploy!G53</f>
        <v>11.7062917618926</v>
      </c>
      <c r="G36" s="28" t="n">
        <f aca="false">Deploy!H53</f>
        <v>12.5413778925549</v>
      </c>
      <c r="H36" s="28" t="n">
        <f aca="false">Deploy!I53</f>
        <v>18.8309542525663</v>
      </c>
      <c r="I36" s="28" t="n">
        <f aca="false">Deploy!J53</f>
        <v>21.5401572407129</v>
      </c>
      <c r="J36" s="28" t="n">
        <f aca="false">Deploy!K53</f>
        <v>17.8475387219751</v>
      </c>
      <c r="K36" s="28" t="n">
        <f aca="false">Deploy!L53</f>
        <v>15.7073658369458</v>
      </c>
      <c r="L36" s="28" t="n">
        <f aca="false">Deploy!M53</f>
        <v>12.9070184691104</v>
      </c>
      <c r="M36" s="21" t="s">
        <v>4338</v>
      </c>
    </row>
    <row r="37" customFormat="false" ht="17.15" hidden="false" customHeight="false" outlineLevel="0" collapsed="false">
      <c r="A37" s="8" t="s">
        <v>4339</v>
      </c>
    </row>
    <row r="38" customFormat="false" ht="17.15" hidden="false" customHeight="false" outlineLevel="0" collapsed="false">
      <c r="A38" s="0" t="s">
        <v>4340</v>
      </c>
      <c r="B38" s="5" t="s">
        <v>4341</v>
      </c>
      <c r="C38" s="0" t="s">
        <v>82</v>
      </c>
      <c r="D38" s="28" t="n">
        <f aca="false">Deploy!E22</f>
        <v>0</v>
      </c>
      <c r="E38" s="28" t="n">
        <f aca="false">Deploy!F22</f>
        <v>0</v>
      </c>
      <c r="F38" s="28" t="n">
        <f aca="false">Deploy!G22</f>
        <v>0.809079699166553</v>
      </c>
      <c r="G38" s="28" t="n">
        <f aca="false">Deploy!H22</f>
        <v>4.49162360372316</v>
      </c>
      <c r="H38" s="28" t="n">
        <f aca="false">Deploy!I22</f>
        <v>5.24205957321955</v>
      </c>
      <c r="I38" s="28" t="n">
        <f aca="false">Deploy!J22</f>
        <v>5.22593191835794</v>
      </c>
      <c r="J38" s="28" t="n">
        <f aca="false">Deploy!K22</f>
        <v>5.34880927989309</v>
      </c>
      <c r="K38" s="28" t="n">
        <f aca="false">Deploy!L22</f>
        <v>4.56109050818867</v>
      </c>
      <c r="L38" s="28" t="n">
        <f aca="false">Deploy!M22</f>
        <v>3.4086067472401</v>
      </c>
      <c r="M38" s="21" t="s">
        <v>4342</v>
      </c>
    </row>
    <row r="39" customFormat="false" ht="17.15" hidden="false" customHeight="false" outlineLevel="0" collapsed="false">
      <c r="A39" s="0" t="s">
        <v>4343</v>
      </c>
      <c r="B39" s="5" t="s">
        <v>4344</v>
      </c>
      <c r="C39" s="0" t="s">
        <v>82</v>
      </c>
      <c r="D39" s="28" t="n">
        <f aca="false">Deploy!E23</f>
        <v>0</v>
      </c>
      <c r="E39" s="28" t="n">
        <f aca="false">Deploy!F23</f>
        <v>0</v>
      </c>
      <c r="F39" s="28" t="n">
        <f aca="false">Deploy!G23</f>
        <v>0.809079699166553</v>
      </c>
      <c r="G39" s="28" t="n">
        <f aca="false">Deploy!H23</f>
        <v>12.2299557326487</v>
      </c>
      <c r="H39" s="28" t="n">
        <f aca="false">Deploy!I23</f>
        <v>14.9914823051609</v>
      </c>
      <c r="I39" s="28" t="n">
        <f aca="false">Deploy!J23</f>
        <v>7.30119574764576</v>
      </c>
      <c r="J39" s="28" t="n">
        <f aca="false">Deploy!K23</f>
        <v>5.34880927989309</v>
      </c>
      <c r="K39" s="28" t="n">
        <f aca="false">Deploy!L23</f>
        <v>4.56109050818867</v>
      </c>
      <c r="L39" s="28" t="n">
        <f aca="false">Deploy!M23</f>
        <v>3.4086067472401</v>
      </c>
      <c r="M39" s="21" t="s">
        <v>4345</v>
      </c>
    </row>
    <row r="40" customFormat="false" ht="17.15" hidden="false" customHeight="false" outlineLevel="0" collapsed="false">
      <c r="A40" s="0" t="s">
        <v>4346</v>
      </c>
      <c r="B40" s="5" t="s">
        <v>4347</v>
      </c>
      <c r="C40" s="0" t="s">
        <v>82</v>
      </c>
      <c r="D40" s="28" t="n">
        <f aca="false">Deploy!E38</f>
        <v>0</v>
      </c>
      <c r="E40" s="28" t="n">
        <f aca="false">Deploy!F38</f>
        <v>0</v>
      </c>
      <c r="F40" s="28" t="n">
        <f aca="false">Deploy!G38</f>
        <v>0.809079699166553</v>
      </c>
      <c r="G40" s="28" t="n">
        <f aca="false">Deploy!H38</f>
        <v>4.49162360372316</v>
      </c>
      <c r="H40" s="28" t="n">
        <f aca="false">Deploy!I38</f>
        <v>4.2997443252423</v>
      </c>
      <c r="I40" s="28" t="n">
        <f aca="false">Deploy!J38</f>
        <v>4.49976588060426</v>
      </c>
      <c r="J40" s="28" t="n">
        <f aca="false">Deploy!K38</f>
        <v>4.57684346563158</v>
      </c>
      <c r="K40" s="28" t="n">
        <f aca="false">Deploy!L38</f>
        <v>3.91908712551171</v>
      </c>
      <c r="L40" s="28" t="n">
        <f aca="false">Deploy!M38</f>
        <v>3.10036169897316</v>
      </c>
      <c r="M40" s="21" t="s">
        <v>4348</v>
      </c>
    </row>
    <row r="41" customFormat="false" ht="17.15" hidden="false" customHeight="false" outlineLevel="0" collapsed="false">
      <c r="A41" s="0" t="s">
        <v>4349</v>
      </c>
      <c r="B41" s="5" t="s">
        <v>4350</v>
      </c>
      <c r="C41" s="0" t="s">
        <v>82</v>
      </c>
      <c r="D41" s="28" t="n">
        <f aca="false">Deploy!E39</f>
        <v>0</v>
      </c>
      <c r="E41" s="28" t="n">
        <f aca="false">Deploy!F39</f>
        <v>0</v>
      </c>
      <c r="F41" s="28" t="n">
        <f aca="false">Deploy!G39</f>
        <v>0.809079699166553</v>
      </c>
      <c r="G41" s="28" t="n">
        <f aca="false">Deploy!H39</f>
        <v>12.2299557326487</v>
      </c>
      <c r="H41" s="28" t="n">
        <f aca="false">Deploy!I39</f>
        <v>12.2722297324266</v>
      </c>
      <c r="I41" s="28" t="n">
        <f aca="false">Deploy!J39</f>
        <v>6.19810361070117</v>
      </c>
      <c r="J41" s="28" t="n">
        <f aca="false">Deploy!K39</f>
        <v>4.57684346563158</v>
      </c>
      <c r="K41" s="28" t="n">
        <f aca="false">Deploy!L39</f>
        <v>3.91908712551171</v>
      </c>
      <c r="L41" s="28" t="n">
        <f aca="false">Deploy!M39</f>
        <v>3.10036169897316</v>
      </c>
      <c r="M41" s="21" t="s">
        <v>4351</v>
      </c>
    </row>
    <row r="42" customFormat="false" ht="17.15" hidden="false" customHeight="false" outlineLevel="0" collapsed="false">
      <c r="A42" s="0" t="s">
        <v>4352</v>
      </c>
      <c r="B42" s="5" t="s">
        <v>4353</v>
      </c>
      <c r="C42" s="0" t="s">
        <v>82</v>
      </c>
      <c r="D42" s="28" t="n">
        <f aca="false">Deploy!E54</f>
        <v>0</v>
      </c>
      <c r="E42" s="28" t="n">
        <f aca="false">Deploy!F54</f>
        <v>0</v>
      </c>
      <c r="F42" s="28" t="n">
        <f aca="false">Deploy!G54</f>
        <v>0.809079699166553</v>
      </c>
      <c r="G42" s="28" t="n">
        <f aca="false">Deploy!H54</f>
        <v>4.49162360372316</v>
      </c>
      <c r="H42" s="28" t="n">
        <f aca="false">Deploy!I54</f>
        <v>3.35742907726505</v>
      </c>
      <c r="I42" s="28" t="n">
        <f aca="false">Deploy!J54</f>
        <v>3.28948915101476</v>
      </c>
      <c r="J42" s="28" t="n">
        <f aca="false">Deploy!K54</f>
        <v>3.3365898660721</v>
      </c>
      <c r="K42" s="28" t="n">
        <f aca="false">Deploy!L54</f>
        <v>2.92510399382169</v>
      </c>
      <c r="L42" s="28" t="n">
        <f aca="false">Deploy!M54</f>
        <v>2.66167882809154</v>
      </c>
      <c r="M42" s="21" t="s">
        <v>4354</v>
      </c>
    </row>
    <row r="43" customFormat="false" ht="17.15" hidden="false" customHeight="false" outlineLevel="0" collapsed="false">
      <c r="A43" s="0" t="s">
        <v>4355</v>
      </c>
      <c r="B43" s="5" t="s">
        <v>4356</v>
      </c>
      <c r="C43" s="0" t="s">
        <v>82</v>
      </c>
      <c r="D43" s="28" t="n">
        <f aca="false">Deploy!E55</f>
        <v>0</v>
      </c>
      <c r="E43" s="28" t="n">
        <f aca="false">Deploy!F55</f>
        <v>0</v>
      </c>
      <c r="F43" s="28" t="n">
        <f aca="false">Deploy!G55</f>
        <v>0.809079699166553</v>
      </c>
      <c r="G43" s="28" t="n">
        <f aca="false">Deploy!H55</f>
        <v>12.2299557326487</v>
      </c>
      <c r="H43" s="28" t="n">
        <f aca="false">Deploy!I55</f>
        <v>9.55297715969222</v>
      </c>
      <c r="I43" s="28" t="n">
        <f aca="false">Deploy!J55</f>
        <v>4.61090078192078</v>
      </c>
      <c r="J43" s="28" t="n">
        <f aca="false">Deploy!K55</f>
        <v>3.3365898660721</v>
      </c>
      <c r="K43" s="28" t="n">
        <f aca="false">Deploy!L55</f>
        <v>2.92510399382169</v>
      </c>
      <c r="L43" s="28" t="n">
        <f aca="false">Deploy!M55</f>
        <v>2.66167882809154</v>
      </c>
      <c r="M43" s="21" t="s">
        <v>4357</v>
      </c>
    </row>
    <row r="44" customFormat="false" ht="17.15" hidden="false" customHeight="false" outlineLevel="0" collapsed="false">
      <c r="A44" s="8" t="s">
        <v>4358</v>
      </c>
    </row>
    <row r="45" customFormat="false" ht="17.15" hidden="false" customHeight="false" outlineLevel="0" collapsed="false">
      <c r="A45" s="0" t="s">
        <v>4359</v>
      </c>
      <c r="B45" s="5" t="s">
        <v>4360</v>
      </c>
      <c r="C45" s="0" t="s">
        <v>82</v>
      </c>
      <c r="D45" s="28" t="n">
        <f aca="false">Deploy!E62</f>
        <v>6.20938570515285</v>
      </c>
      <c r="E45" s="28" t="n">
        <f aca="false">Deploy!F62</f>
        <v>25.3371433333333</v>
      </c>
      <c r="F45" s="28" t="n">
        <f aca="false">Deploy!G62</f>
        <v>37.8525147943925</v>
      </c>
      <c r="G45" s="28" t="n">
        <f aca="false">Deploy!H62</f>
        <v>50.4556599188997</v>
      </c>
      <c r="H45" s="28" t="n">
        <f aca="false">Deploy!I62</f>
        <v>69.6717073131421</v>
      </c>
      <c r="I45" s="28" t="n">
        <f aca="false">Deploy!J62</f>
        <v>76.1447286441395</v>
      </c>
      <c r="J45" s="28" t="n">
        <f aca="false">Deploy!K62</f>
        <v>83.3991617980517</v>
      </c>
      <c r="K45" s="28" t="n">
        <f aca="false">Deploy!L62</f>
        <v>91.5419073358142</v>
      </c>
      <c r="L45" s="28" t="n">
        <f aca="false">Deploy!M62</f>
        <v>100.696098069396</v>
      </c>
      <c r="M45" s="21" t="s">
        <v>4361</v>
      </c>
    </row>
    <row r="46" customFormat="false" ht="17.15" hidden="false" customHeight="false" outlineLevel="0" collapsed="false">
      <c r="A46" s="0" t="s">
        <v>4362</v>
      </c>
      <c r="B46" s="5" t="s">
        <v>4363</v>
      </c>
      <c r="C46" s="0" t="s">
        <v>82</v>
      </c>
      <c r="D46" s="28" t="n">
        <f aca="false">Deploy!E63</f>
        <v>6.20938570515285</v>
      </c>
      <c r="E46" s="28" t="n">
        <f aca="false">Deploy!F63</f>
        <v>25.3371433333333</v>
      </c>
      <c r="F46" s="28" t="n">
        <f aca="false">Deploy!G63</f>
        <v>37.043435095226</v>
      </c>
      <c r="G46" s="28" t="n">
        <f aca="false">Deploy!H63</f>
        <v>47.9518803554443</v>
      </c>
      <c r="H46" s="28" t="n">
        <f aca="false">Deploy!I63</f>
        <v>65.7784156858163</v>
      </c>
      <c r="I46" s="28" t="n">
        <f aca="false">Deploy!J63</f>
        <v>74.627124911215</v>
      </c>
      <c r="J46" s="28" t="n">
        <f aca="false">Deploy!K63</f>
        <v>81.6933609961171</v>
      </c>
      <c r="K46" s="28" t="n">
        <f aca="false">Deploy!L63</f>
        <v>89.8686018667057</v>
      </c>
      <c r="L46" s="28" t="n">
        <f aca="false">Deploy!M63</f>
        <v>98.6450646910188</v>
      </c>
      <c r="M46" s="21" t="s">
        <v>4364</v>
      </c>
    </row>
    <row r="47" customFormat="false" ht="17.15" hidden="false" customHeight="false" outlineLevel="0" collapsed="false">
      <c r="A47" s="0" t="s">
        <v>4365</v>
      </c>
      <c r="B47" s="5" t="s">
        <v>4366</v>
      </c>
      <c r="C47" s="0" t="s">
        <v>82</v>
      </c>
      <c r="D47" s="28" t="n">
        <f aca="false">Deploy!E64</f>
        <v>6.20938570515285</v>
      </c>
      <c r="E47" s="28" t="n">
        <f aca="false">Deploy!F64</f>
        <v>25.3371433333333</v>
      </c>
      <c r="F47" s="28" t="n">
        <f aca="false">Deploy!G64</f>
        <v>37.043435095226</v>
      </c>
      <c r="G47" s="28" t="n">
        <f aca="false">Deploy!H64</f>
        <v>43.9620541310236</v>
      </c>
      <c r="H47" s="28" t="n">
        <f aca="false">Deploy!I64</f>
        <v>59.3675215536675</v>
      </c>
      <c r="I47" s="28" t="n">
        <f aca="false">Deploy!J64</f>
        <v>73.0913682602847</v>
      </c>
      <c r="J47" s="28" t="n">
        <f aca="false">Deploy!K64</f>
        <v>81.6933609961171</v>
      </c>
      <c r="K47" s="28" t="n">
        <f aca="false">Deploy!L64</f>
        <v>89.8686018667057</v>
      </c>
      <c r="L47" s="28" t="n">
        <f aca="false">Deploy!M64</f>
        <v>98.6450646910188</v>
      </c>
      <c r="M47" s="21" t="s">
        <v>4367</v>
      </c>
    </row>
    <row r="48" customFormat="false" ht="17.15" hidden="false" customHeight="false" outlineLevel="0" collapsed="false">
      <c r="A48" s="0" t="s">
        <v>4368</v>
      </c>
      <c r="B48" s="5" t="s">
        <v>4369</v>
      </c>
      <c r="C48" s="0" t="s">
        <v>82</v>
      </c>
      <c r="D48" s="28" t="n">
        <f aca="false">Deploy!E78</f>
        <v>6.20938570515285</v>
      </c>
      <c r="E48" s="28" t="n">
        <f aca="false">Deploy!F78</f>
        <v>25.3371433333333</v>
      </c>
      <c r="F48" s="28" t="n">
        <f aca="false">Deploy!G78</f>
        <v>37.8525147943925</v>
      </c>
      <c r="G48" s="28" t="n">
        <f aca="false">Deploy!H78</f>
        <v>50.4556599188997</v>
      </c>
      <c r="H48" s="28" t="n">
        <f aca="false">Deploy!I78</f>
        <v>65.8284978342936</v>
      </c>
      <c r="I48" s="28" t="n">
        <f aca="false">Deploy!J78</f>
        <v>71.3305659656414</v>
      </c>
      <c r="J48" s="28" t="n">
        <f aca="false">Deploy!K78</f>
        <v>77.6828789687311</v>
      </c>
      <c r="K48" s="28" t="n">
        <f aca="false">Deploy!L78</f>
        <v>85.0260306756944</v>
      </c>
      <c r="L48" s="28" t="n">
        <f aca="false">Deploy!M78</f>
        <v>93.5286337432639</v>
      </c>
      <c r="M48" s="21" t="s">
        <v>4370</v>
      </c>
    </row>
    <row r="49" customFormat="false" ht="17.15" hidden="false" customHeight="false" outlineLevel="0" collapsed="false">
      <c r="A49" s="0" t="s">
        <v>4371</v>
      </c>
      <c r="B49" s="5" t="s">
        <v>4372</v>
      </c>
      <c r="C49" s="0" t="s">
        <v>82</v>
      </c>
      <c r="D49" s="28" t="n">
        <f aca="false">Deploy!E79</f>
        <v>6.20938570515285</v>
      </c>
      <c r="E49" s="28" t="n">
        <f aca="false">Deploy!F79</f>
        <v>25.3371433333333</v>
      </c>
      <c r="F49" s="28" t="n">
        <f aca="false">Deploy!G79</f>
        <v>37.043435095226</v>
      </c>
      <c r="G49" s="28" t="n">
        <f aca="false">Deploy!H79</f>
        <v>47.9518803554443</v>
      </c>
      <c r="H49" s="28" t="n">
        <f aca="false">Deploy!I79</f>
        <v>62.6077678657663</v>
      </c>
      <c r="I49" s="28" t="n">
        <f aca="false">Deploy!J79</f>
        <v>69.9828790426555</v>
      </c>
      <c r="J49" s="28" t="n">
        <f aca="false">Deploy!K79</f>
        <v>76.1349491931904</v>
      </c>
      <c r="K49" s="28" t="n">
        <f aca="false">Deploy!L79</f>
        <v>83.4926541269758</v>
      </c>
      <c r="L49" s="28" t="n">
        <f aca="false">Deploy!M79</f>
        <v>91.5916282064392</v>
      </c>
      <c r="M49" s="21" t="s">
        <v>4373</v>
      </c>
    </row>
    <row r="50" customFormat="false" ht="17.15" hidden="false" customHeight="false" outlineLevel="0" collapsed="false">
      <c r="A50" s="0" t="s">
        <v>4374</v>
      </c>
      <c r="B50" s="5" t="s">
        <v>4375</v>
      </c>
      <c r="C50" s="0" t="s">
        <v>82</v>
      </c>
      <c r="D50" s="28" t="n">
        <f aca="false">Deploy!E80</f>
        <v>6.20938570515285</v>
      </c>
      <c r="E50" s="28" t="n">
        <f aca="false">Deploy!F80</f>
        <v>25.3371433333333</v>
      </c>
      <c r="F50" s="28" t="n">
        <f aca="false">Deploy!G80</f>
        <v>37.043435095226</v>
      </c>
      <c r="G50" s="28" t="n">
        <f aca="false">Deploy!H80</f>
        <v>43.9620541310236</v>
      </c>
      <c r="H50" s="28" t="n">
        <f aca="false">Deploy!I80</f>
        <v>57.4651328616375</v>
      </c>
      <c r="I50" s="28" t="n">
        <f aca="false">Deploy!J80</f>
        <v>68.7161470552447</v>
      </c>
      <c r="J50" s="28" t="n">
        <f aca="false">Deploy!K80</f>
        <v>76.1349491931904</v>
      </c>
      <c r="K50" s="28" t="n">
        <f aca="false">Deploy!L80</f>
        <v>83.4926541269758</v>
      </c>
      <c r="L50" s="28" t="n">
        <f aca="false">Deploy!M80</f>
        <v>91.5916282064392</v>
      </c>
      <c r="M50" s="21" t="s">
        <v>4376</v>
      </c>
    </row>
    <row r="51" customFormat="false" ht="17.15" hidden="false" customHeight="false" outlineLevel="0" collapsed="false">
      <c r="A51" s="0" t="s">
        <v>4377</v>
      </c>
      <c r="B51" s="5" t="s">
        <v>4378</v>
      </c>
      <c r="C51" s="0" t="s">
        <v>82</v>
      </c>
      <c r="D51" s="28" t="n">
        <f aca="false">Deploy!E94</f>
        <v>6.20938570515285</v>
      </c>
      <c r="E51" s="28" t="n">
        <f aca="false">Deploy!F94</f>
        <v>25.3371433333333</v>
      </c>
      <c r="F51" s="28" t="n">
        <f aca="false">Deploy!G94</f>
        <v>37.8525147943925</v>
      </c>
      <c r="G51" s="28" t="n">
        <f aca="false">Deploy!H94</f>
        <v>50.4556599188997</v>
      </c>
      <c r="H51" s="28" t="n">
        <f aca="false">Deploy!I94</f>
        <v>61.9852883554451</v>
      </c>
      <c r="I51" s="28" t="n">
        <f aca="false">Deploy!J94</f>
        <v>65.8691011540436</v>
      </c>
      <c r="J51" s="28" t="n">
        <f aca="false">Deploy!K94</f>
        <v>70.8161784550745</v>
      </c>
      <c r="K51" s="28" t="n">
        <f aca="false">Deploy!L94</f>
        <v>77.0163003397704</v>
      </c>
      <c r="L51" s="28" t="n">
        <f aca="false">Deploy!M94</f>
        <v>84.7179303737475</v>
      </c>
      <c r="M51" s="21" t="s">
        <v>4379</v>
      </c>
    </row>
    <row r="52" customFormat="false" ht="17.15" hidden="false" customHeight="false" outlineLevel="0" collapsed="false">
      <c r="A52" s="0" t="s">
        <v>4380</v>
      </c>
      <c r="B52" s="5" t="s">
        <v>4381</v>
      </c>
      <c r="C52" s="0" t="s">
        <v>82</v>
      </c>
      <c r="D52" s="28" t="n">
        <f aca="false">Deploy!E95</f>
        <v>6.20938570515285</v>
      </c>
      <c r="E52" s="28" t="n">
        <f aca="false">Deploy!F95</f>
        <v>25.3371433333333</v>
      </c>
      <c r="F52" s="28" t="n">
        <f aca="false">Deploy!G95</f>
        <v>37.043435095226</v>
      </c>
      <c r="G52" s="28" t="n">
        <f aca="false">Deploy!H95</f>
        <v>47.9518803554443</v>
      </c>
      <c r="H52" s="28" t="n">
        <f aca="false">Deploy!I95</f>
        <v>59.4371200457163</v>
      </c>
      <c r="I52" s="28" t="n">
        <f aca="false">Deploy!J95</f>
        <v>64.8046089142889</v>
      </c>
      <c r="J52" s="28" t="n">
        <f aca="false">Deploy!K95</f>
        <v>69.5141649273941</v>
      </c>
      <c r="K52" s="28" t="n">
        <f aca="false">Deploy!L95</f>
        <v>75.6829540099487</v>
      </c>
      <c r="L52" s="28" t="n">
        <f aca="false">Deploy!M95</f>
        <v>82.9210951178015</v>
      </c>
      <c r="M52" s="21" t="s">
        <v>4382</v>
      </c>
    </row>
    <row r="53" customFormat="false" ht="17.15" hidden="false" customHeight="false" outlineLevel="0" collapsed="false">
      <c r="A53" s="0" t="s">
        <v>4383</v>
      </c>
      <c r="B53" s="5" t="s">
        <v>4384</v>
      </c>
      <c r="C53" s="0" t="s">
        <v>82</v>
      </c>
      <c r="D53" s="28" t="n">
        <f aca="false">Deploy!E96</f>
        <v>6.20938570515285</v>
      </c>
      <c r="E53" s="28" t="n">
        <f aca="false">Deploy!F96</f>
        <v>25.3371433333333</v>
      </c>
      <c r="F53" s="28" t="n">
        <f aca="false">Deploy!G96</f>
        <v>37.043435095226</v>
      </c>
      <c r="G53" s="28" t="n">
        <f aca="false">Deploy!H96</f>
        <v>43.9620541310236</v>
      </c>
      <c r="H53" s="28" t="n">
        <f aca="false">Deploy!I96</f>
        <v>55.5627441696075</v>
      </c>
      <c r="I53" s="28" t="n">
        <f aca="false">Deploy!J96</f>
        <v>63.8069015903973</v>
      </c>
      <c r="J53" s="28" t="n">
        <f aca="false">Deploy!K96</f>
        <v>69.5141649273941</v>
      </c>
      <c r="K53" s="28" t="n">
        <f aca="false">Deploy!L96</f>
        <v>75.6829540099487</v>
      </c>
      <c r="L53" s="28" t="n">
        <f aca="false">Deploy!M96</f>
        <v>82.9210951178015</v>
      </c>
      <c r="M53" s="21" t="s">
        <v>4385</v>
      </c>
    </row>
    <row r="54" customFormat="false" ht="17.15" hidden="false" customHeight="false" outlineLevel="0" collapsed="false">
      <c r="A54" s="0" t="s">
        <v>4386</v>
      </c>
      <c r="B54" s="5" t="s">
        <v>4387</v>
      </c>
      <c r="C54" s="0" t="s">
        <v>82</v>
      </c>
      <c r="D54" s="28" t="n">
        <f aca="false">Deploy!E65</f>
        <v>3.41998203041741</v>
      </c>
      <c r="E54" s="28" t="n">
        <f aca="false">Deploy!F65</f>
        <v>15.7732645192431</v>
      </c>
      <c r="F54" s="28" t="n">
        <f aca="false">Deploy!G65</f>
        <v>31.5948290638629</v>
      </c>
      <c r="G54" s="28" t="n">
        <f aca="false">Deploy!H65</f>
        <v>44.1540873566461</v>
      </c>
      <c r="H54" s="28" t="n">
        <f aca="false">Deploy!I65</f>
        <v>60.0636836160209</v>
      </c>
      <c r="I54" s="28" t="n">
        <f aca="false">Deploy!J65</f>
        <v>72.9082179786408</v>
      </c>
      <c r="J54" s="28" t="n">
        <f aca="false">Deploy!K65</f>
        <v>79.7719452210956</v>
      </c>
      <c r="K54" s="28" t="n">
        <f aca="false">Deploy!L65</f>
        <v>87.4705345669329</v>
      </c>
      <c r="L54" s="28" t="n">
        <f aca="false">Deploy!M65</f>
        <v>96.1190027026049</v>
      </c>
      <c r="M54" s="21" t="s">
        <v>4388</v>
      </c>
    </row>
    <row r="55" customFormat="false" ht="17.15" hidden="false" customHeight="false" outlineLevel="0" collapsed="false">
      <c r="A55" s="0" t="s">
        <v>4389</v>
      </c>
      <c r="B55" s="5" t="s">
        <v>4390</v>
      </c>
      <c r="C55" s="0" t="s">
        <v>82</v>
      </c>
      <c r="D55" s="28" t="n">
        <f aca="false">Deploy!E66</f>
        <v>3.41998203041741</v>
      </c>
      <c r="E55" s="28" t="n">
        <f aca="false">Deploy!F66</f>
        <v>15.7732645192431</v>
      </c>
      <c r="F55" s="28" t="n">
        <f aca="false">Deploy!G66</f>
        <v>31.1902892142797</v>
      </c>
      <c r="G55" s="28" t="n">
        <f aca="false">Deploy!H66</f>
        <v>42.4976577253351</v>
      </c>
      <c r="H55" s="28" t="n">
        <f aca="false">Deploy!I66</f>
        <v>56.8651480206303</v>
      </c>
      <c r="I55" s="28" t="n">
        <f aca="false">Deploy!J66</f>
        <v>70.2027702985156</v>
      </c>
      <c r="J55" s="28" t="n">
        <f aca="false">Deploy!K66</f>
        <v>78.160242953666</v>
      </c>
      <c r="K55" s="28" t="n">
        <f aca="false">Deploy!L66</f>
        <v>85.7809814314114</v>
      </c>
      <c r="L55" s="28" t="n">
        <f aca="false">Deploy!M66</f>
        <v>94.2568332788623</v>
      </c>
      <c r="M55" s="21" t="s">
        <v>4391</v>
      </c>
    </row>
    <row r="56" customFormat="false" ht="17.15" hidden="false" customHeight="false" outlineLevel="0" collapsed="false">
      <c r="A56" s="0" t="s">
        <v>4392</v>
      </c>
      <c r="B56" s="5" t="s">
        <v>4393</v>
      </c>
      <c r="C56" s="0" t="s">
        <v>82</v>
      </c>
      <c r="D56" s="28" t="n">
        <f aca="false">Deploy!E67</f>
        <v>3.41998203041741</v>
      </c>
      <c r="E56" s="28" t="n">
        <f aca="false">Deploy!F67</f>
        <v>15.7732645192431</v>
      </c>
      <c r="F56" s="28" t="n">
        <f aca="false">Deploy!G67</f>
        <v>31.1902892142797</v>
      </c>
      <c r="G56" s="28" t="n">
        <f aca="false">Deploy!H67</f>
        <v>40.5027446131248</v>
      </c>
      <c r="H56" s="28" t="n">
        <f aca="false">Deploy!I67</f>
        <v>51.6647878423455</v>
      </c>
      <c r="I56" s="28" t="n">
        <f aca="false">Deploy!J67</f>
        <v>66.2294449069761</v>
      </c>
      <c r="J56" s="28" t="n">
        <f aca="false">Deploy!K67</f>
        <v>77.3923646282009</v>
      </c>
      <c r="K56" s="28" t="n">
        <f aca="false">Deploy!L67</f>
        <v>85.7809814314114</v>
      </c>
      <c r="L56" s="28" t="n">
        <f aca="false">Deploy!M67</f>
        <v>94.2568332788623</v>
      </c>
      <c r="M56" s="21" t="s">
        <v>4394</v>
      </c>
    </row>
    <row r="57" customFormat="false" ht="17.15" hidden="false" customHeight="false" outlineLevel="0" collapsed="false">
      <c r="A57" s="0" t="s">
        <v>4395</v>
      </c>
      <c r="B57" s="5" t="s">
        <v>4396</v>
      </c>
      <c r="C57" s="0" t="s">
        <v>82</v>
      </c>
      <c r="D57" s="28" t="n">
        <f aca="false">Deploy!E81</f>
        <v>3.41998203041741</v>
      </c>
      <c r="E57" s="28" t="n">
        <f aca="false">Deploy!F81</f>
        <v>15.7732645192431</v>
      </c>
      <c r="F57" s="28" t="n">
        <f aca="false">Deploy!G81</f>
        <v>31.5948290638629</v>
      </c>
      <c r="G57" s="28" t="n">
        <f aca="false">Deploy!H81</f>
        <v>44.1540873566461</v>
      </c>
      <c r="H57" s="28" t="n">
        <f aca="false">Deploy!I81</f>
        <v>58.1420788765966</v>
      </c>
      <c r="I57" s="28" t="n">
        <f aca="false">Deploy!J81</f>
        <v>68.5795318999675</v>
      </c>
      <c r="J57" s="28" t="n">
        <f aca="false">Deploy!K81</f>
        <v>74.5067224671863</v>
      </c>
      <c r="K57" s="28" t="n">
        <f aca="false">Deploy!L81</f>
        <v>81.3544548222128</v>
      </c>
      <c r="L57" s="28" t="n">
        <f aca="false">Deploy!M81</f>
        <v>89.2773322094791</v>
      </c>
      <c r="M57" s="21" t="s">
        <v>4397</v>
      </c>
    </row>
    <row r="58" customFormat="false" ht="17.15" hidden="false" customHeight="false" outlineLevel="0" collapsed="false">
      <c r="A58" s="0" t="s">
        <v>4398</v>
      </c>
      <c r="B58" s="5" t="s">
        <v>4399</v>
      </c>
      <c r="C58" s="0" t="s">
        <v>82</v>
      </c>
      <c r="D58" s="28" t="n">
        <f aca="false">Deploy!E82</f>
        <v>3.41998203041741</v>
      </c>
      <c r="E58" s="28" t="n">
        <f aca="false">Deploy!F82</f>
        <v>15.7732645192431</v>
      </c>
      <c r="F58" s="28" t="n">
        <f aca="false">Deploy!G82</f>
        <v>31.1902892142797</v>
      </c>
      <c r="G58" s="28" t="n">
        <f aca="false">Deploy!H82</f>
        <v>42.4976577253351</v>
      </c>
      <c r="H58" s="28" t="n">
        <f aca="false">Deploy!I82</f>
        <v>55.2798241106053</v>
      </c>
      <c r="I58" s="28" t="n">
        <f aca="false">Deploy!J82</f>
        <v>66.2953234542109</v>
      </c>
      <c r="J58" s="28" t="n">
        <f aca="false">Deploy!K82</f>
        <v>73.058914117923</v>
      </c>
      <c r="K58" s="28" t="n">
        <f aca="false">Deploy!L82</f>
        <v>79.8138016600831</v>
      </c>
      <c r="L58" s="28" t="n">
        <f aca="false">Deploy!M82</f>
        <v>87.5421411667075</v>
      </c>
      <c r="M58" s="21" t="s">
        <v>4400</v>
      </c>
    </row>
    <row r="59" customFormat="false" ht="17.15" hidden="false" customHeight="false" outlineLevel="0" collapsed="false">
      <c r="A59" s="0" t="s">
        <v>4401</v>
      </c>
      <c r="B59" s="5" t="s">
        <v>4402</v>
      </c>
      <c r="C59" s="0" t="s">
        <v>82</v>
      </c>
      <c r="D59" s="28" t="n">
        <f aca="false">Deploy!E83</f>
        <v>3.41998203041741</v>
      </c>
      <c r="E59" s="28" t="n">
        <f aca="false">Deploy!F83</f>
        <v>15.7732645192431</v>
      </c>
      <c r="F59" s="28" t="n">
        <f aca="false">Deploy!G83</f>
        <v>31.1902892142797</v>
      </c>
      <c r="G59" s="28" t="n">
        <f aca="false">Deploy!H83</f>
        <v>40.5027446131248</v>
      </c>
      <c r="H59" s="28" t="n">
        <f aca="false">Deploy!I83</f>
        <v>50.7135934963305</v>
      </c>
      <c r="I59" s="28" t="n">
        <f aca="false">Deploy!J83</f>
        <v>63.0906399584411</v>
      </c>
      <c r="J59" s="28" t="n">
        <f aca="false">Deploy!K83</f>
        <v>72.4255481242175</v>
      </c>
      <c r="K59" s="28" t="n">
        <f aca="false">Deploy!L83</f>
        <v>79.8138016600831</v>
      </c>
      <c r="L59" s="28" t="n">
        <f aca="false">Deploy!M83</f>
        <v>87.5421411667075</v>
      </c>
      <c r="M59" s="21" t="s">
        <v>4403</v>
      </c>
    </row>
    <row r="60" customFormat="false" ht="17.15" hidden="false" customHeight="false" outlineLevel="0" collapsed="false">
      <c r="A60" s="0" t="s">
        <v>4404</v>
      </c>
      <c r="B60" s="5" t="s">
        <v>4405</v>
      </c>
      <c r="C60" s="0" t="s">
        <v>82</v>
      </c>
      <c r="D60" s="28" t="n">
        <f aca="false">Deploy!E97</f>
        <v>3.41998203041741</v>
      </c>
      <c r="E60" s="28" t="n">
        <f aca="false">Deploy!F97</f>
        <v>15.7732645192431</v>
      </c>
      <c r="F60" s="28" t="n">
        <f aca="false">Deploy!G97</f>
        <v>31.5948290638629</v>
      </c>
      <c r="G60" s="28" t="n">
        <f aca="false">Deploy!H97</f>
        <v>44.1540873566461</v>
      </c>
      <c r="H60" s="28" t="n">
        <f aca="false">Deploy!I97</f>
        <v>56.2204741371724</v>
      </c>
      <c r="I60" s="28" t="n">
        <f aca="false">Deploy!J97</f>
        <v>63.9271947547443</v>
      </c>
      <c r="J60" s="28" t="n">
        <f aca="false">Deploy!K97</f>
        <v>68.342639804559</v>
      </c>
      <c r="K60" s="28" t="n">
        <f aca="false">Deploy!L97</f>
        <v>73.9162393974225</v>
      </c>
      <c r="L60" s="28" t="n">
        <f aca="false">Deploy!M97</f>
        <v>80.8671153567589</v>
      </c>
      <c r="M60" s="21" t="s">
        <v>4406</v>
      </c>
    </row>
    <row r="61" customFormat="false" ht="17.15" hidden="false" customHeight="false" outlineLevel="0" collapsed="false">
      <c r="A61" s="0" t="s">
        <v>4407</v>
      </c>
      <c r="B61" s="5" t="s">
        <v>4408</v>
      </c>
      <c r="C61" s="0" t="s">
        <v>82</v>
      </c>
      <c r="D61" s="28" t="n">
        <f aca="false">Deploy!E98</f>
        <v>3.41998203041741</v>
      </c>
      <c r="E61" s="28" t="n">
        <f aca="false">Deploy!F98</f>
        <v>15.7732645192431</v>
      </c>
      <c r="F61" s="28" t="n">
        <f aca="false">Deploy!G98</f>
        <v>31.1902892142797</v>
      </c>
      <c r="G61" s="28" t="n">
        <f aca="false">Deploy!H98</f>
        <v>42.4976577253351</v>
      </c>
      <c r="H61" s="28" t="n">
        <f aca="false">Deploy!I98</f>
        <v>53.6945002005803</v>
      </c>
      <c r="I61" s="28" t="n">
        <f aca="false">Deploy!J98</f>
        <v>62.1208644800026</v>
      </c>
      <c r="J61" s="28" t="n">
        <f aca="false">Deploy!K98</f>
        <v>67.1593869208415</v>
      </c>
      <c r="K61" s="28" t="n">
        <f aca="false">Deploy!L98</f>
        <v>72.5985594686714</v>
      </c>
      <c r="L61" s="28" t="n">
        <f aca="false">Deploy!M98</f>
        <v>79.3020245638751</v>
      </c>
      <c r="M61" s="21" t="s">
        <v>4409</v>
      </c>
    </row>
    <row r="62" customFormat="false" ht="17.15" hidden="false" customHeight="false" outlineLevel="0" collapsed="false">
      <c r="A62" s="0" t="s">
        <v>4410</v>
      </c>
      <c r="B62" s="5" t="s">
        <v>4411</v>
      </c>
      <c r="C62" s="0" t="s">
        <v>82</v>
      </c>
      <c r="D62" s="28" t="n">
        <f aca="false">Deploy!E99</f>
        <v>3.41998203041741</v>
      </c>
      <c r="E62" s="28" t="n">
        <f aca="false">Deploy!F99</f>
        <v>15.7732645192431</v>
      </c>
      <c r="F62" s="28" t="n">
        <f aca="false">Deploy!G99</f>
        <v>31.1902892142797</v>
      </c>
      <c r="G62" s="28" t="n">
        <f aca="false">Deploy!H99</f>
        <v>40.5027446131248</v>
      </c>
      <c r="H62" s="28" t="n">
        <f aca="false">Deploy!I99</f>
        <v>49.7623991503155</v>
      </c>
      <c r="I62" s="28" t="n">
        <f aca="false">Deploy!J99</f>
        <v>59.6848228800024</v>
      </c>
      <c r="J62" s="28" t="n">
        <f aca="false">Deploy!K99</f>
        <v>66.6605332588957</v>
      </c>
      <c r="K62" s="28" t="n">
        <f aca="false">Deploy!L99</f>
        <v>72.5985594686714</v>
      </c>
      <c r="L62" s="28" t="n">
        <f aca="false">Deploy!M99</f>
        <v>79.3020245638751</v>
      </c>
      <c r="M62" s="21" t="s">
        <v>4412</v>
      </c>
    </row>
    <row r="63" customFormat="false" ht="17.15" hidden="false" customHeight="false" outlineLevel="0" collapsed="false">
      <c r="A63" s="0" t="s">
        <v>4413</v>
      </c>
      <c r="B63" s="5" t="s">
        <v>4414</v>
      </c>
      <c r="C63" s="0" t="s">
        <v>82</v>
      </c>
      <c r="D63" s="28" t="n">
        <f aca="false">Deploy!E68</f>
        <v>1.61980834349181</v>
      </c>
      <c r="E63" s="28" t="n">
        <f aca="false">Deploy!F68</f>
        <v>9.04912429484716</v>
      </c>
      <c r="F63" s="28" t="n">
        <f aca="false">Deploy!G68</f>
        <v>12.5153714610592</v>
      </c>
      <c r="G63" s="28" t="n">
        <f aca="false">Deploy!H68</f>
        <v>12.6031451245072</v>
      </c>
      <c r="H63" s="28" t="n">
        <f aca="false">Deploy!I68</f>
        <v>19.2160473942424</v>
      </c>
      <c r="I63" s="28" t="n">
        <f aca="false">Deploy!J68</f>
        <v>6.47302133099745</v>
      </c>
      <c r="J63" s="28" t="n">
        <f aca="false">Deploy!K68</f>
        <v>7.25443315391216</v>
      </c>
      <c r="K63" s="28" t="n">
        <f aca="false">Deploy!L68</f>
        <v>8.14274553776249</v>
      </c>
      <c r="L63" s="28" t="n">
        <f aca="false">Deploy!M68</f>
        <v>9.1541907335814</v>
      </c>
      <c r="M63" s="21" t="s">
        <v>4415</v>
      </c>
    </row>
    <row r="64" customFormat="false" ht="17.15" hidden="false" customHeight="false" outlineLevel="0" collapsed="false">
      <c r="A64" s="0" t="s">
        <v>4416</v>
      </c>
      <c r="B64" s="5" t="s">
        <v>4417</v>
      </c>
      <c r="C64" s="0" t="s">
        <v>82</v>
      </c>
      <c r="D64" s="28" t="n">
        <f aca="false">Deploy!E69</f>
        <v>1.61980834349181</v>
      </c>
      <c r="E64" s="28" t="n">
        <f aca="false">Deploy!F69</f>
        <v>9.04912429484716</v>
      </c>
      <c r="F64" s="28" t="n">
        <f aca="false">Deploy!G69</f>
        <v>11.7062917618926</v>
      </c>
      <c r="G64" s="28" t="n">
        <f aca="false">Deploy!H69</f>
        <v>10.9084452602183</v>
      </c>
      <c r="H64" s="28" t="n">
        <f aca="false">Deploy!I69</f>
        <v>17.826535330372</v>
      </c>
      <c r="I64" s="28" t="n">
        <f aca="false">Deploy!J69</f>
        <v>8.84870922539865</v>
      </c>
      <c r="J64" s="28" t="n">
        <f aca="false">Deploy!K69</f>
        <v>7.0662360849021</v>
      </c>
      <c r="K64" s="28" t="n">
        <f aca="false">Deploy!L69</f>
        <v>8.17524087058867</v>
      </c>
      <c r="L64" s="28" t="n">
        <f aca="false">Deploy!M69</f>
        <v>8.7764628243131</v>
      </c>
      <c r="M64" s="21" t="s">
        <v>4418</v>
      </c>
    </row>
    <row r="65" customFormat="false" ht="17.15" hidden="false" customHeight="false" outlineLevel="0" collapsed="false">
      <c r="A65" s="0" t="s">
        <v>4419</v>
      </c>
      <c r="B65" s="5" t="s">
        <v>4420</v>
      </c>
      <c r="C65" s="0" t="s">
        <v>82</v>
      </c>
      <c r="D65" s="28" t="n">
        <f aca="false">Deploy!E70</f>
        <v>1.61980834349181</v>
      </c>
      <c r="E65" s="28" t="n">
        <f aca="false">Deploy!F70</f>
        <v>9.04912429484716</v>
      </c>
      <c r="F65" s="28" t="n">
        <f aca="false">Deploy!G70</f>
        <v>11.7062917618926</v>
      </c>
      <c r="G65" s="28" t="n">
        <f aca="false">Deploy!H70</f>
        <v>6.9186190357976</v>
      </c>
      <c r="H65" s="28" t="n">
        <f aca="false">Deploy!I70</f>
        <v>15.4054674226439</v>
      </c>
      <c r="I65" s="28" t="n">
        <f aca="false">Deploy!J70</f>
        <v>13.7238467066172</v>
      </c>
      <c r="J65" s="28" t="n">
        <f aca="false">Deploy!K70</f>
        <v>8.6019927358324</v>
      </c>
      <c r="K65" s="28" t="n">
        <f aca="false">Deploy!L70</f>
        <v>8.17524087058867</v>
      </c>
      <c r="L65" s="28" t="n">
        <f aca="false">Deploy!M70</f>
        <v>8.7764628243131</v>
      </c>
      <c r="M65" s="21" t="s">
        <v>4421</v>
      </c>
    </row>
    <row r="66" customFormat="false" ht="17.15" hidden="false" customHeight="false" outlineLevel="0" collapsed="false">
      <c r="A66" s="0" t="s">
        <v>4422</v>
      </c>
      <c r="B66" s="5" t="s">
        <v>4423</v>
      </c>
      <c r="C66" s="0" t="s">
        <v>82</v>
      </c>
      <c r="D66" s="28" t="n">
        <f aca="false">Deploy!E84</f>
        <v>1.61980834349181</v>
      </c>
      <c r="E66" s="28" t="n">
        <f aca="false">Deploy!F84</f>
        <v>9.04912429484716</v>
      </c>
      <c r="F66" s="28" t="n">
        <f aca="false">Deploy!G84</f>
        <v>12.5153714610592</v>
      </c>
      <c r="G66" s="28" t="n">
        <f aca="false">Deploy!H84</f>
        <v>12.6031451245072</v>
      </c>
      <c r="H66" s="28" t="n">
        <f aca="false">Deploy!I84</f>
        <v>15.3728379153939</v>
      </c>
      <c r="I66" s="28" t="n">
        <f aca="false">Deploy!J84</f>
        <v>5.50206813134783</v>
      </c>
      <c r="J66" s="28" t="n">
        <f aca="false">Deploy!K84</f>
        <v>6.35231300308971</v>
      </c>
      <c r="K66" s="28" t="n">
        <f aca="false">Deploy!L84</f>
        <v>7.3431517069633</v>
      </c>
      <c r="L66" s="28" t="n">
        <f aca="false">Deploy!M84</f>
        <v>8.50260306756944</v>
      </c>
      <c r="M66" s="21" t="s">
        <v>4424</v>
      </c>
    </row>
    <row r="67" customFormat="false" ht="17.15" hidden="false" customHeight="false" outlineLevel="0" collapsed="false">
      <c r="A67" s="0" t="s">
        <v>4425</v>
      </c>
      <c r="B67" s="5" t="s">
        <v>4426</v>
      </c>
      <c r="C67" s="0" t="s">
        <v>82</v>
      </c>
      <c r="D67" s="28" t="n">
        <f aca="false">Deploy!E85</f>
        <v>1.61980834349181</v>
      </c>
      <c r="E67" s="28" t="n">
        <f aca="false">Deploy!F85</f>
        <v>9.04912429484716</v>
      </c>
      <c r="F67" s="28" t="n">
        <f aca="false">Deploy!G85</f>
        <v>11.7062917618926</v>
      </c>
      <c r="G67" s="28" t="n">
        <f aca="false">Deploy!H85</f>
        <v>10.9084452602183</v>
      </c>
      <c r="H67" s="28" t="n">
        <f aca="false">Deploy!I85</f>
        <v>14.655887510322</v>
      </c>
      <c r="I67" s="28" t="n">
        <f aca="false">Deploy!J85</f>
        <v>7.37511117688923</v>
      </c>
      <c r="J67" s="28" t="n">
        <f aca="false">Deploy!K85</f>
        <v>6.1520701505349</v>
      </c>
      <c r="K67" s="28" t="n">
        <f aca="false">Deploy!L85</f>
        <v>7.3577049337854</v>
      </c>
      <c r="L67" s="28" t="n">
        <f aca="false">Deploy!M85</f>
        <v>8.09897407946338</v>
      </c>
      <c r="M67" s="21" t="s">
        <v>4427</v>
      </c>
    </row>
    <row r="68" customFormat="false" ht="17.15" hidden="false" customHeight="false" outlineLevel="0" collapsed="false">
      <c r="A68" s="0" t="s">
        <v>4428</v>
      </c>
      <c r="B68" s="5" t="s">
        <v>4429</v>
      </c>
      <c r="C68" s="0" t="s">
        <v>82</v>
      </c>
      <c r="D68" s="28" t="n">
        <f aca="false">Deploy!E86</f>
        <v>1.61980834349181</v>
      </c>
      <c r="E68" s="28" t="n">
        <f aca="false">Deploy!F86</f>
        <v>9.04912429484716</v>
      </c>
      <c r="F68" s="28" t="n">
        <f aca="false">Deploy!G86</f>
        <v>11.7062917618926</v>
      </c>
      <c r="G68" s="28" t="n">
        <f aca="false">Deploy!H86</f>
        <v>6.9186190357976</v>
      </c>
      <c r="H68" s="28" t="n">
        <f aca="false">Deploy!I86</f>
        <v>13.5030787306139</v>
      </c>
      <c r="I68" s="28" t="n">
        <f aca="false">Deploy!J86</f>
        <v>11.2510141936071</v>
      </c>
      <c r="J68" s="28" t="n">
        <f aca="false">Deploy!K86</f>
        <v>7.41880213794579</v>
      </c>
      <c r="K68" s="28" t="n">
        <f aca="false">Deploy!L86</f>
        <v>7.3577049337854</v>
      </c>
      <c r="L68" s="28" t="n">
        <f aca="false">Deploy!M86</f>
        <v>8.09897407946338</v>
      </c>
      <c r="M68" s="21" t="s">
        <v>4430</v>
      </c>
    </row>
    <row r="69" customFormat="false" ht="17.15" hidden="false" customHeight="false" outlineLevel="0" collapsed="false">
      <c r="A69" s="0" t="s">
        <v>4431</v>
      </c>
      <c r="B69" s="5" t="s">
        <v>4432</v>
      </c>
      <c r="C69" s="0" t="s">
        <v>82</v>
      </c>
      <c r="D69" s="28" t="n">
        <f aca="false">Deploy!E100</f>
        <v>1.61980834349181</v>
      </c>
      <c r="E69" s="28" t="n">
        <f aca="false">Deploy!F100</f>
        <v>9.04912429484716</v>
      </c>
      <c r="F69" s="28" t="n">
        <f aca="false">Deploy!G100</f>
        <v>12.5153714610592</v>
      </c>
      <c r="G69" s="28" t="n">
        <f aca="false">Deploy!H100</f>
        <v>12.6031451245072</v>
      </c>
      <c r="H69" s="28" t="n">
        <f aca="false">Deploy!I100</f>
        <v>11.5296284365454</v>
      </c>
      <c r="I69" s="28" t="n">
        <f aca="false">Deploy!J100</f>
        <v>3.88381279859847</v>
      </c>
      <c r="J69" s="28" t="n">
        <f aca="false">Deploy!K100</f>
        <v>4.94707730103094</v>
      </c>
      <c r="K69" s="28" t="n">
        <f aca="false">Deploy!L100</f>
        <v>6.2001218846959</v>
      </c>
      <c r="L69" s="28" t="n">
        <f aca="false">Deploy!M100</f>
        <v>7.70163003397704</v>
      </c>
      <c r="M69" s="21" t="s">
        <v>4433</v>
      </c>
    </row>
    <row r="70" customFormat="false" ht="17.15" hidden="false" customHeight="false" outlineLevel="0" collapsed="false">
      <c r="A70" s="0" t="s">
        <v>4434</v>
      </c>
      <c r="B70" s="5" t="s">
        <v>4435</v>
      </c>
      <c r="C70" s="0" t="s">
        <v>82</v>
      </c>
      <c r="D70" s="28" t="n">
        <f aca="false">Deploy!E101</f>
        <v>1.61980834349181</v>
      </c>
      <c r="E70" s="28" t="n">
        <f aca="false">Deploy!F101</f>
        <v>9.04912429484716</v>
      </c>
      <c r="F70" s="28" t="n">
        <f aca="false">Deploy!G101</f>
        <v>11.7062917618926</v>
      </c>
      <c r="G70" s="28" t="n">
        <f aca="false">Deploy!H101</f>
        <v>10.9084452602183</v>
      </c>
      <c r="H70" s="28" t="n">
        <f aca="false">Deploy!I101</f>
        <v>11.485239690272</v>
      </c>
      <c r="I70" s="28" t="n">
        <f aca="false">Deploy!J101</f>
        <v>5.36748886857253</v>
      </c>
      <c r="J70" s="28" t="n">
        <f aca="false">Deploy!K101</f>
        <v>4.70955601310527</v>
      </c>
      <c r="K70" s="28" t="n">
        <f aca="false">Deploy!L101</f>
        <v>6.16878908255453</v>
      </c>
      <c r="L70" s="28" t="n">
        <f aca="false">Deploy!M101</f>
        <v>7.23814110785284</v>
      </c>
      <c r="M70" s="21" t="s">
        <v>4436</v>
      </c>
    </row>
    <row r="71" customFormat="false" ht="17.15" hidden="false" customHeight="false" outlineLevel="0" collapsed="false">
      <c r="A71" s="0" t="s">
        <v>4437</v>
      </c>
      <c r="B71" s="5" t="s">
        <v>4438</v>
      </c>
      <c r="C71" s="0" t="s">
        <v>82</v>
      </c>
      <c r="D71" s="28" t="n">
        <f aca="false">Deploy!E102</f>
        <v>1.61980834349181</v>
      </c>
      <c r="E71" s="28" t="n">
        <f aca="false">Deploy!F102</f>
        <v>9.04912429484716</v>
      </c>
      <c r="F71" s="28" t="n">
        <f aca="false">Deploy!G102</f>
        <v>11.7062917618926</v>
      </c>
      <c r="G71" s="28" t="n">
        <f aca="false">Deploy!H102</f>
        <v>6.9186190357976</v>
      </c>
      <c r="H71" s="28" t="n">
        <f aca="false">Deploy!I102</f>
        <v>11.6006900385839</v>
      </c>
      <c r="I71" s="28" t="n">
        <f aca="false">Deploy!J102</f>
        <v>8.24415742078983</v>
      </c>
      <c r="J71" s="28" t="n">
        <f aca="false">Deploy!K102</f>
        <v>5.70726333699678</v>
      </c>
      <c r="K71" s="28" t="n">
        <f aca="false">Deploy!L102</f>
        <v>6.16878908255453</v>
      </c>
      <c r="L71" s="28" t="n">
        <f aca="false">Deploy!M102</f>
        <v>7.23814110785284</v>
      </c>
      <c r="M71" s="21" t="s">
        <v>4439</v>
      </c>
    </row>
    <row r="72" customFormat="false" ht="17.15" hidden="false" customHeight="false" outlineLevel="0" collapsed="false">
      <c r="A72" s="8" t="s">
        <v>4440</v>
      </c>
    </row>
    <row r="73" customFormat="false" ht="17.15" hidden="false" customHeight="false" outlineLevel="0" collapsed="false">
      <c r="A73" s="0" t="s">
        <v>4441</v>
      </c>
      <c r="B73" s="5" t="s">
        <v>4442</v>
      </c>
      <c r="C73" s="0" t="s">
        <v>82</v>
      </c>
      <c r="D73" s="28" t="n">
        <f aca="false">Deploy!E71</f>
        <v>0</v>
      </c>
      <c r="E73" s="28" t="n">
        <f aca="false">Deploy!F71</f>
        <v>0</v>
      </c>
      <c r="F73" s="28" t="n">
        <f aca="false">Deploy!G71</f>
        <v>0.809079699166553</v>
      </c>
      <c r="G73" s="28" t="n">
        <f aca="false">Deploy!H71</f>
        <v>2.50377956345542</v>
      </c>
      <c r="H73" s="28" t="n">
        <f aca="false">Deploy!I71</f>
        <v>3.89329162732575</v>
      </c>
      <c r="I73" s="28" t="n">
        <f aca="false">Deploy!J71</f>
        <v>1.51760373292456</v>
      </c>
      <c r="J73" s="28" t="n">
        <f aca="false">Deploy!K71</f>
        <v>1.70580080193461</v>
      </c>
      <c r="K73" s="28" t="n">
        <f aca="false">Deploy!L71</f>
        <v>1.67330546910844</v>
      </c>
      <c r="L73" s="28" t="n">
        <f aca="false">Deploy!M71</f>
        <v>2.05103337837674</v>
      </c>
      <c r="M73" s="21" t="s">
        <v>4443</v>
      </c>
    </row>
    <row r="74" customFormat="false" ht="17.15" hidden="false" customHeight="false" outlineLevel="0" collapsed="false">
      <c r="A74" s="0" t="s">
        <v>4444</v>
      </c>
      <c r="B74" s="5" t="s">
        <v>4445</v>
      </c>
      <c r="C74" s="0" t="s">
        <v>82</v>
      </c>
      <c r="D74" s="28" t="n">
        <f aca="false">Deploy!E72</f>
        <v>0</v>
      </c>
      <c r="E74" s="28" t="n">
        <f aca="false">Deploy!F72</f>
        <v>0</v>
      </c>
      <c r="F74" s="28" t="n">
        <f aca="false">Deploy!G72</f>
        <v>0.809079699166553</v>
      </c>
      <c r="G74" s="28" t="n">
        <f aca="false">Deploy!H72</f>
        <v>6.49360578787612</v>
      </c>
      <c r="H74" s="28" t="n">
        <f aca="false">Deploy!I72</f>
        <v>10.3041857594746</v>
      </c>
      <c r="I74" s="28" t="n">
        <f aca="false">Deploy!J72</f>
        <v>3.05336038385485</v>
      </c>
      <c r="J74" s="28" t="n">
        <f aca="false">Deploy!K72</f>
        <v>1.70580080193461</v>
      </c>
      <c r="K74" s="28" t="n">
        <f aca="false">Deploy!L72</f>
        <v>1.67330546910844</v>
      </c>
      <c r="L74" s="28" t="n">
        <f aca="false">Deploy!M72</f>
        <v>2.05103337837674</v>
      </c>
      <c r="M74" s="21" t="s">
        <v>4446</v>
      </c>
    </row>
    <row r="75" customFormat="false" ht="17.15" hidden="false" customHeight="false" outlineLevel="0" collapsed="false">
      <c r="A75" s="0" t="s">
        <v>4447</v>
      </c>
      <c r="B75" s="5" t="s">
        <v>4448</v>
      </c>
      <c r="C75" s="0" t="s">
        <v>82</v>
      </c>
      <c r="D75" s="28" t="n">
        <f aca="false">Deploy!E87</f>
        <v>0</v>
      </c>
      <c r="E75" s="28" t="n">
        <f aca="false">Deploy!F87</f>
        <v>0</v>
      </c>
      <c r="F75" s="28" t="n">
        <f aca="false">Deploy!G87</f>
        <v>0.809079699166553</v>
      </c>
      <c r="G75" s="28" t="n">
        <f aca="false">Deploy!H87</f>
        <v>2.50377956345542</v>
      </c>
      <c r="H75" s="28" t="n">
        <f aca="false">Deploy!I87</f>
        <v>3.22072996852727</v>
      </c>
      <c r="I75" s="28" t="n">
        <f aca="false">Deploy!J87</f>
        <v>1.34768692298587</v>
      </c>
      <c r="J75" s="28" t="n">
        <f aca="false">Deploy!K87</f>
        <v>1.54792977554068</v>
      </c>
      <c r="K75" s="28" t="n">
        <f aca="false">Deploy!L87</f>
        <v>1.53337654871858</v>
      </c>
      <c r="L75" s="28" t="n">
        <f aca="false">Deploy!M87</f>
        <v>1.93700553682464</v>
      </c>
      <c r="M75" s="21" t="s">
        <v>4449</v>
      </c>
    </row>
    <row r="76" customFormat="false" ht="17.15" hidden="false" customHeight="false" outlineLevel="0" collapsed="false">
      <c r="A76" s="0" t="s">
        <v>4450</v>
      </c>
      <c r="B76" s="5" t="s">
        <v>4451</v>
      </c>
      <c r="C76" s="0" t="s">
        <v>82</v>
      </c>
      <c r="D76" s="28" t="n">
        <f aca="false">Deploy!E88</f>
        <v>0</v>
      </c>
      <c r="E76" s="28" t="n">
        <f aca="false">Deploy!F88</f>
        <v>0</v>
      </c>
      <c r="F76" s="28" t="n">
        <f aca="false">Deploy!G88</f>
        <v>0.809079699166553</v>
      </c>
      <c r="G76" s="28" t="n">
        <f aca="false">Deploy!H88</f>
        <v>6.49360578787612</v>
      </c>
      <c r="H76" s="28" t="n">
        <f aca="false">Deploy!I88</f>
        <v>8.36336497265608</v>
      </c>
      <c r="I76" s="28" t="n">
        <f aca="false">Deploy!J88</f>
        <v>2.61441891039676</v>
      </c>
      <c r="J76" s="28" t="n">
        <f aca="false">Deploy!K88</f>
        <v>1.54792977554068</v>
      </c>
      <c r="K76" s="28" t="n">
        <f aca="false">Deploy!L88</f>
        <v>1.53337654871858</v>
      </c>
      <c r="L76" s="28" t="n">
        <f aca="false">Deploy!M88</f>
        <v>1.93700553682464</v>
      </c>
      <c r="M76" s="21" t="s">
        <v>4452</v>
      </c>
    </row>
    <row r="77" customFormat="false" ht="17.15" hidden="false" customHeight="false" outlineLevel="0" collapsed="false">
      <c r="A77" s="0" t="s">
        <v>4453</v>
      </c>
      <c r="B77" s="5" t="s">
        <v>4454</v>
      </c>
      <c r="C77" s="0" t="s">
        <v>82</v>
      </c>
      <c r="D77" s="28" t="n">
        <f aca="false">Deploy!E103</f>
        <v>0</v>
      </c>
      <c r="E77" s="28" t="n">
        <f aca="false">Deploy!F103</f>
        <v>0</v>
      </c>
      <c r="F77" s="28" t="n">
        <f aca="false">Deploy!G103</f>
        <v>0.809079699166553</v>
      </c>
      <c r="G77" s="28" t="n">
        <f aca="false">Deploy!H103</f>
        <v>2.50377956345542</v>
      </c>
      <c r="H77" s="28" t="n">
        <f aca="false">Deploy!I103</f>
        <v>2.54816830972879</v>
      </c>
      <c r="I77" s="28" t="n">
        <f aca="false">Deploy!J103</f>
        <v>1.06449223975473</v>
      </c>
      <c r="J77" s="28" t="n">
        <f aca="false">Deploy!K103</f>
        <v>1.3020135276804</v>
      </c>
      <c r="K77" s="28" t="n">
        <f aca="false">Deploy!L103</f>
        <v>1.33334632982178</v>
      </c>
      <c r="L77" s="28" t="n">
        <f aca="false">Deploy!M103</f>
        <v>1.79683525594598</v>
      </c>
      <c r="M77" s="21" t="s">
        <v>4455</v>
      </c>
    </row>
    <row r="78" customFormat="false" ht="17.15" hidden="false" customHeight="false" outlineLevel="0" collapsed="false">
      <c r="A78" s="0" t="s">
        <v>4456</v>
      </c>
      <c r="B78" s="5" t="s">
        <v>4457</v>
      </c>
      <c r="C78" s="0" t="s">
        <v>82</v>
      </c>
      <c r="D78" s="28" t="n">
        <f aca="false">Deploy!E104</f>
        <v>0</v>
      </c>
      <c r="E78" s="28" t="n">
        <f aca="false">Deploy!F104</f>
        <v>0</v>
      </c>
      <c r="F78" s="28" t="n">
        <f aca="false">Deploy!G104</f>
        <v>0.809079699166553</v>
      </c>
      <c r="G78" s="28" t="n">
        <f aca="false">Deploy!H104</f>
        <v>6.49360578787612</v>
      </c>
      <c r="H78" s="28" t="n">
        <f aca="false">Deploy!I104</f>
        <v>6.42254418583759</v>
      </c>
      <c r="I78" s="28" t="n">
        <f aca="false">Deploy!J104</f>
        <v>2.06219956364624</v>
      </c>
      <c r="J78" s="28" t="n">
        <f aca="false">Deploy!K104</f>
        <v>1.3020135276804</v>
      </c>
      <c r="K78" s="28" t="n">
        <f aca="false">Deploy!L104</f>
        <v>1.33334632982178</v>
      </c>
      <c r="L78" s="28" t="n">
        <f aca="false">Deploy!M104</f>
        <v>1.79683525594598</v>
      </c>
      <c r="M78" s="21" t="s">
        <v>4458</v>
      </c>
    </row>
    <row r="79" customFormat="false" ht="17.15" hidden="false" customHeight="false" outlineLevel="0" collapsed="false">
      <c r="A79" s="8" t="s">
        <v>4459</v>
      </c>
    </row>
    <row r="80" customFormat="false" ht="17.15" hidden="false" customHeight="false" outlineLevel="0" collapsed="false">
      <c r="A80" s="0" t="s">
        <v>4460</v>
      </c>
      <c r="B80" s="0" t="s">
        <v>4461</v>
      </c>
      <c r="C80" s="0" t="s">
        <v>82</v>
      </c>
      <c r="D80" s="28" t="n">
        <f aca="false">CapexGW!E23</f>
        <v>1.593775</v>
      </c>
      <c r="E80" s="28" t="n">
        <f aca="false">CapexGW!F23</f>
        <v>3.729045</v>
      </c>
      <c r="F80" s="28" t="n">
        <f aca="false">CapexGW!G23</f>
        <v>4.5</v>
      </c>
      <c r="G80" s="28" t="n">
        <f aca="false">CapexGW!H23</f>
        <v>8.06447576934396</v>
      </c>
      <c r="H80" s="28" t="n">
        <f aca="false">CapexGW!I23</f>
        <v>12.1304545339915</v>
      </c>
      <c r="I80" s="28" t="n">
        <f aca="false">CapexGW!J23</f>
        <v>16.7948755327632</v>
      </c>
      <c r="J80" s="28" t="n">
        <f aca="false">CapexGW!K23</f>
        <v>21.958611180813</v>
      </c>
      <c r="K80" s="28" t="n">
        <f aca="false">CapexGW!L23</f>
        <v>27.6526019148412</v>
      </c>
      <c r="L80" s="28" t="n">
        <f aca="false">CapexGW!M23</f>
        <v>33.9159917222723</v>
      </c>
      <c r="M80" s="21" t="s">
        <v>4462</v>
      </c>
    </row>
    <row r="81" customFormat="false" ht="17.15" hidden="false" customHeight="false" outlineLevel="0" collapsed="false">
      <c r="A81" s="0" t="s">
        <v>4463</v>
      </c>
      <c r="B81" s="0" t="s">
        <v>4464</v>
      </c>
      <c r="C81" s="0" t="s">
        <v>82</v>
      </c>
      <c r="D81" s="28" t="n">
        <f aca="false">CapexGW!E42</f>
        <v>1.89038669917378</v>
      </c>
      <c r="E81" s="28" t="n">
        <f aca="false">CapexGW!F42</f>
        <v>4.3</v>
      </c>
      <c r="F81" s="28" t="n">
        <f aca="false">CapexGW!G42</f>
        <v>5.59267912772586</v>
      </c>
      <c r="G81" s="28" t="n">
        <f aca="false">CapexGW!H42</f>
        <v>11.2903647877143</v>
      </c>
      <c r="H81" s="28" t="n">
        <f aca="false">CapexGW!I42</f>
        <v>18.0671889116977</v>
      </c>
      <c r="I81" s="28" t="n">
        <f aca="false">CapexGW!J42</f>
        <v>25.7564848214025</v>
      </c>
      <c r="J81" s="28" t="n">
        <f aca="false">CapexGW!K42</f>
        <v>34.2367145915563</v>
      </c>
      <c r="K81" s="28" t="n">
        <f aca="false">CapexGW!L42</f>
        <v>43.5649673387255</v>
      </c>
      <c r="L81" s="28" t="n">
        <f aca="false">CapexGW!M42</f>
        <v>53.8260453606116</v>
      </c>
      <c r="M81" s="21" t="s">
        <v>4465</v>
      </c>
    </row>
    <row r="82" customFormat="false" ht="17.15" hidden="false" customHeight="false" outlineLevel="0" collapsed="false">
      <c r="A82" s="0" t="s">
        <v>4466</v>
      </c>
      <c r="B82" s="0" t="s">
        <v>4467</v>
      </c>
      <c r="C82" s="0" t="s">
        <v>82</v>
      </c>
      <c r="D82" s="28" t="n">
        <f aca="false">CapexGW!E61</f>
        <v>0.810284005979073</v>
      </c>
      <c r="E82" s="28" t="n">
        <f aca="false">CapexGW!F61</f>
        <v>2.2</v>
      </c>
      <c r="F82" s="28" t="n">
        <f aca="false">CapexGW!G61</f>
        <v>2.727</v>
      </c>
      <c r="G82" s="28" t="n">
        <f aca="false">CapexGW!H61</f>
        <v>7.27196548273742</v>
      </c>
      <c r="H82" s="28" t="n">
        <f aca="false">CapexGW!I61</f>
        <v>12.2682036820108</v>
      </c>
      <c r="I82" s="28" t="n">
        <f aca="false">CapexGW!J61</f>
        <v>17.8147124889133</v>
      </c>
      <c r="J82" s="28" t="n">
        <f aca="false">CapexGW!K61</f>
        <v>23.895020898745</v>
      </c>
      <c r="K82" s="28" t="n">
        <f aca="false">CapexGW!L61</f>
        <v>30.5833601495599</v>
      </c>
      <c r="L82" s="28" t="n">
        <f aca="false">CapexGW!M61</f>
        <v>37.9405333254563</v>
      </c>
      <c r="M82" s="21" t="s">
        <v>4468</v>
      </c>
    </row>
    <row r="83" customFormat="false" ht="17.15" hidden="false" customHeight="false" outlineLevel="0" collapsed="false">
      <c r="A83" s="0" t="s">
        <v>4469</v>
      </c>
      <c r="B83" s="0" t="s">
        <v>4470</v>
      </c>
      <c r="C83" s="0" t="s">
        <v>82</v>
      </c>
      <c r="D83" s="28" t="n">
        <f aca="false">CapexGW!E80</f>
        <v>0.968475</v>
      </c>
      <c r="E83" s="28" t="n">
        <f aca="false">CapexGW!F80</f>
        <v>2.476595</v>
      </c>
      <c r="F83" s="28" t="n">
        <f aca="false">CapexGW!G80</f>
        <v>3.152595</v>
      </c>
      <c r="G83" s="28" t="n">
        <f aca="false">CapexGW!H80</f>
        <v>3.767595</v>
      </c>
      <c r="H83" s="28" t="n">
        <f aca="false">CapexGW!I80</f>
        <v>6.50400702658016</v>
      </c>
      <c r="I83" s="28" t="n">
        <f aca="false">CapexGW!J80</f>
        <v>9.51575527840958</v>
      </c>
      <c r="J83" s="28" t="n">
        <f aca="false">CapexGW!K80</f>
        <v>12.8286783554219</v>
      </c>
      <c r="K83" s="28" t="n">
        <f aca="false">CapexGW!L80</f>
        <v>16.4728937401355</v>
      </c>
      <c r="L83" s="28" t="n">
        <f aca="false">CapexGW!M80</f>
        <v>20.4815306633205</v>
      </c>
      <c r="M83" s="21" t="s">
        <v>4471</v>
      </c>
    </row>
    <row r="84" customFormat="false" ht="17.15" hidden="false" customHeight="false" outlineLevel="0" collapsed="false">
      <c r="A84" s="0" t="s">
        <v>4472</v>
      </c>
      <c r="B84" s="0" t="s">
        <v>4473</v>
      </c>
      <c r="C84" s="0" t="s">
        <v>82</v>
      </c>
      <c r="D84" s="28" t="n">
        <f aca="false">CapexGW!E99</f>
        <v>0.386465</v>
      </c>
      <c r="E84" s="28" t="n">
        <f aca="false">CapexGW!F99</f>
        <v>1.20287</v>
      </c>
      <c r="F84" s="28" t="n">
        <f aca="false">CapexGW!G99</f>
        <v>2.749</v>
      </c>
      <c r="G84" s="28" t="n">
        <f aca="false">CapexGW!H99</f>
        <v>4.28196918960021</v>
      </c>
      <c r="H84" s="28" t="n">
        <f aca="false">CapexGW!I99</f>
        <v>5.79221708619802</v>
      </c>
      <c r="I84" s="28" t="n">
        <f aca="false">CapexGW!J99</f>
        <v>7.30959059479468</v>
      </c>
      <c r="J84" s="28" t="n">
        <f aca="false">CapexGW!K99</f>
        <v>8.92586015863146</v>
      </c>
      <c r="K84" s="28" t="n">
        <f aca="false">CapexGW!L99</f>
        <v>10.6820118680603</v>
      </c>
      <c r="L84" s="28" t="n">
        <f aca="false">CapexGW!M99</f>
        <v>12.6137787484321</v>
      </c>
      <c r="M84" s="21" t="s">
        <v>4474</v>
      </c>
    </row>
    <row r="85" customFormat="false" ht="17.15" hidden="false" customHeight="false" outlineLevel="0" collapsed="false">
      <c r="A85" s="0" t="s">
        <v>4475</v>
      </c>
      <c r="B85" s="0" t="s">
        <v>4476</v>
      </c>
      <c r="C85" s="0" t="s">
        <v>82</v>
      </c>
      <c r="D85" s="28" t="n">
        <f aca="false">CapexGW!E118</f>
        <v>0.36</v>
      </c>
      <c r="E85" s="28" t="n">
        <f aca="false">CapexGW!F118</f>
        <v>0.85</v>
      </c>
      <c r="F85" s="28" t="n">
        <f aca="false">CapexGW!G118</f>
        <v>1.85</v>
      </c>
      <c r="G85" s="28" t="n">
        <f aca="false">CapexGW!H118</f>
        <v>3.3875</v>
      </c>
      <c r="H85" s="28" t="n">
        <f aca="false">CapexGW!I118</f>
        <v>4.14554229320819</v>
      </c>
      <c r="I85" s="28" t="n">
        <f aca="false">CapexGW!J118</f>
        <v>4.98821739756346</v>
      </c>
      <c r="J85" s="28" t="n">
        <f aca="false">CapexGW!K118</f>
        <v>5.91332354029914</v>
      </c>
      <c r="K85" s="28" t="n">
        <f aca="false">CapexGW!L118</f>
        <v>6.93094029730838</v>
      </c>
      <c r="L85" s="28" t="n">
        <f aca="false">CapexGW!M118</f>
        <v>8.05031873001854</v>
      </c>
      <c r="M85" s="21" t="s">
        <v>4477</v>
      </c>
    </row>
    <row r="86" customFormat="false" ht="17.15" hidden="false" customHeight="false" outlineLevel="0" collapsed="false">
      <c r="A86" s="0" t="s">
        <v>4478</v>
      </c>
      <c r="B86" s="0" t="s">
        <v>4479</v>
      </c>
      <c r="C86" s="0" t="s">
        <v>82</v>
      </c>
      <c r="D86" s="28" t="n">
        <f aca="false">CapexGW!E137</f>
        <v>0</v>
      </c>
      <c r="E86" s="28" t="n">
        <f aca="false">CapexGW!F137</f>
        <v>0.17</v>
      </c>
      <c r="F86" s="28" t="n">
        <f aca="false">CapexGW!G137</f>
        <v>0.9</v>
      </c>
      <c r="G86" s="28" t="n">
        <f aca="false">CapexGW!H137</f>
        <v>1.29617936652654</v>
      </c>
      <c r="H86" s="28" t="n">
        <f aca="false">CapexGW!I137</f>
        <v>1.8505148006767</v>
      </c>
      <c r="I86" s="28" t="n">
        <f aca="false">CapexGW!J137</f>
        <v>2.48043899442144</v>
      </c>
      <c r="J86" s="28" t="n">
        <f aca="false">CapexGW!K137</f>
        <v>3.1889076417039</v>
      </c>
      <c r="K86" s="28" t="n">
        <f aca="false">CapexGW!L137</f>
        <v>3.96822315371461</v>
      </c>
      <c r="L86" s="28" t="n">
        <f aca="false">CapexGW!M137</f>
        <v>4.82547021692639</v>
      </c>
      <c r="M86" s="21" t="s">
        <v>4480</v>
      </c>
    </row>
    <row r="87" customFormat="false" ht="17.15" hidden="false" customHeight="false" outlineLevel="0" collapsed="false">
      <c r="A87" s="0" t="s">
        <v>4481</v>
      </c>
      <c r="B87" s="0" t="s">
        <v>1696</v>
      </c>
      <c r="C87" s="0" t="s">
        <v>82</v>
      </c>
      <c r="D87" s="28" t="str">
        <f aca="false">Players!E163</f>
        <v/>
      </c>
      <c r="E87" s="28" t="n">
        <f aca="false">Players!F163</f>
        <v>0.0055</v>
      </c>
      <c r="F87" s="28" t="n">
        <f aca="false">Players!G163</f>
        <v>0.014574</v>
      </c>
      <c r="G87" s="28" t="n">
        <f aca="false">Players!H163</f>
        <v>0.016548</v>
      </c>
      <c r="H87" s="28" t="n">
        <f aca="false">Players!I163</f>
        <v>0.016548</v>
      </c>
      <c r="I87" s="28" t="n">
        <f aca="false">Players!J163</f>
        <v>0.016548</v>
      </c>
      <c r="J87" s="28" t="n">
        <f aca="false">Players!K163</f>
        <v>0.016548</v>
      </c>
      <c r="K87" s="28" t="n">
        <f aca="false">Players!L163</f>
        <v>0.016548</v>
      </c>
      <c r="L87" s="28" t="n">
        <f aca="false">Players!M163</f>
        <v>0.016548</v>
      </c>
      <c r="M87" s="21" t="s">
        <v>4482</v>
      </c>
    </row>
    <row r="88" customFormat="false" ht="17.15" hidden="false" customHeight="false" outlineLevel="0" collapsed="false">
      <c r="A88" s="0" t="s">
        <v>4483</v>
      </c>
      <c r="B88" s="0" t="s">
        <v>1697</v>
      </c>
      <c r="C88" s="0" t="s">
        <v>82</v>
      </c>
      <c r="D88" s="28" t="str">
        <f aca="false">Players!E182</f>
        <v/>
      </c>
      <c r="E88" s="28" t="n">
        <f aca="false">Players!F182</f>
        <v>0.5698</v>
      </c>
      <c r="F88" s="28" t="n">
        <f aca="false">Players!G182</f>
        <v>2</v>
      </c>
      <c r="G88" s="28" t="n">
        <f aca="false">Players!H182</f>
        <v>2.585</v>
      </c>
      <c r="H88" s="28" t="n">
        <f aca="false">Players!I182</f>
        <v>2.585</v>
      </c>
      <c r="I88" s="28" t="n">
        <f aca="false">Players!J182</f>
        <v>2.585</v>
      </c>
      <c r="J88" s="28" t="n">
        <f aca="false">Players!K182</f>
        <v>2.585</v>
      </c>
      <c r="K88" s="28" t="n">
        <f aca="false">Players!L182</f>
        <v>2.585</v>
      </c>
      <c r="L88" s="28" t="n">
        <f aca="false">Players!M182</f>
        <v>2.585</v>
      </c>
      <c r="M88" s="21" t="s">
        <v>4484</v>
      </c>
    </row>
    <row r="89" customFormat="false" ht="17.15" hidden="false" customHeight="false" outlineLevel="0" collapsed="false">
      <c r="A89" s="0" t="s">
        <v>4485</v>
      </c>
      <c r="B89" s="0" t="s">
        <v>1698</v>
      </c>
      <c r="C89" s="0" t="s">
        <v>82</v>
      </c>
      <c r="D89" s="28" t="str">
        <f aca="false">Players!E201</f>
        <v/>
      </c>
      <c r="E89" s="28" t="n">
        <f aca="false">Players!F201</f>
        <v>0</v>
      </c>
      <c r="F89" s="28" t="n">
        <f aca="false">Players!G201</f>
        <v>0</v>
      </c>
      <c r="G89" s="28" t="n">
        <f aca="false">Players!H201</f>
        <v>0.522</v>
      </c>
      <c r="H89" s="28" t="n">
        <f aca="false">Players!I201</f>
        <v>1.767</v>
      </c>
      <c r="I89" s="28" t="n">
        <f aca="false">Players!J201</f>
        <v>2.916</v>
      </c>
      <c r="J89" s="28" t="n">
        <f aca="false">Players!K201</f>
        <v>4.065</v>
      </c>
      <c r="K89" s="28" t="n">
        <f aca="false">Players!L201</f>
        <v>5.215</v>
      </c>
      <c r="L89" s="28" t="n">
        <f aca="false">Players!M201</f>
        <v>5.215</v>
      </c>
      <c r="M89" s="21" t="s">
        <v>4486</v>
      </c>
    </row>
    <row r="90" customFormat="false" ht="17.15" hidden="false" customHeight="false" outlineLevel="0" collapsed="false">
      <c r="A90" s="0" t="s">
        <v>4487</v>
      </c>
      <c r="B90" s="0" t="s">
        <v>1699</v>
      </c>
      <c r="C90" s="0" t="s">
        <v>82</v>
      </c>
      <c r="D90" s="28" t="str">
        <f aca="false">Players!E220</f>
        <v/>
      </c>
      <c r="E90" s="28" t="n">
        <f aca="false">Players!F220</f>
        <v>0</v>
      </c>
      <c r="F90" s="28" t="n">
        <f aca="false">Players!G220</f>
        <v>0</v>
      </c>
      <c r="G90" s="28" t="n">
        <f aca="false">Players!H220</f>
        <v>0</v>
      </c>
      <c r="H90" s="28" t="n">
        <f aca="false">Players!I220</f>
        <v>0</v>
      </c>
      <c r="I90" s="28" t="n">
        <f aca="false">Players!J220</f>
        <v>0</v>
      </c>
      <c r="J90" s="28" t="n">
        <f aca="false">Players!K220</f>
        <v>0</v>
      </c>
      <c r="K90" s="28" t="n">
        <f aca="false">Players!L220</f>
        <v>0</v>
      </c>
      <c r="L90" s="28" t="n">
        <f aca="false">Players!M220</f>
        <v>0</v>
      </c>
      <c r="M90" s="21" t="s">
        <v>4488</v>
      </c>
    </row>
    <row r="91" customFormat="false" ht="17.15" hidden="false" customHeight="false" outlineLevel="0" collapsed="false">
      <c r="A91" s="0" t="s">
        <v>4489</v>
      </c>
      <c r="B91" s="5" t="s">
        <v>1700</v>
      </c>
      <c r="C91" s="0" t="s">
        <v>82</v>
      </c>
      <c r="D91" s="28" t="n">
        <f aca="false">Players!E239</f>
        <v>0.2</v>
      </c>
      <c r="E91" s="28" t="n">
        <f aca="false">Players!F239</f>
        <v>0.5</v>
      </c>
      <c r="F91" s="28" t="n">
        <f aca="false">Players!G239</f>
        <v>1.3</v>
      </c>
      <c r="G91" s="28" t="n">
        <f aca="false">Players!H239</f>
        <v>2.775</v>
      </c>
      <c r="H91" s="28" t="n">
        <f aca="false">Players!I239</f>
        <v>4.678</v>
      </c>
      <c r="I91" s="28" t="n">
        <f aca="false">Players!J239</f>
        <v>4.678</v>
      </c>
      <c r="J91" s="28" t="n">
        <f aca="false">Players!K239</f>
        <v>4.678</v>
      </c>
      <c r="K91" s="28" t="n">
        <f aca="false">Players!L239</f>
        <v>4.678</v>
      </c>
      <c r="L91" s="28" t="n">
        <f aca="false">Players!M239</f>
        <v>4.678</v>
      </c>
      <c r="M91" s="21" t="s">
        <v>4490</v>
      </c>
    </row>
    <row r="92" customFormat="false" ht="17.15" hidden="false" customHeight="false" outlineLevel="0" collapsed="false">
      <c r="A92" s="0" t="s">
        <v>4491</v>
      </c>
      <c r="B92" s="5" t="s">
        <v>1701</v>
      </c>
      <c r="C92" s="0" t="s">
        <v>82</v>
      </c>
      <c r="D92" s="28" t="str">
        <f aca="false">Players!E258</f>
        <v/>
      </c>
      <c r="E92" s="28" t="n">
        <f aca="false">Players!F258</f>
        <v>0</v>
      </c>
      <c r="F92" s="28" t="n">
        <f aca="false">Players!G258</f>
        <v>0.4</v>
      </c>
      <c r="G92" s="28" t="n">
        <f aca="false">Players!H258</f>
        <v>1.9</v>
      </c>
      <c r="H92" s="28" t="n">
        <f aca="false">Players!I258</f>
        <v>1.996</v>
      </c>
      <c r="I92" s="28" t="n">
        <f aca="false">Players!J258</f>
        <v>1.996</v>
      </c>
      <c r="J92" s="28" t="n">
        <f aca="false">Players!K258</f>
        <v>2.196</v>
      </c>
      <c r="K92" s="28" t="n">
        <f aca="false">Players!L258</f>
        <v>2.196</v>
      </c>
      <c r="L92" s="28" t="n">
        <f aca="false">Players!M258</f>
        <v>2.196</v>
      </c>
      <c r="M92" s="21" t="s">
        <v>4492</v>
      </c>
    </row>
    <row r="93" customFormat="false" ht="17.15" hidden="false" customHeight="false" outlineLevel="0" collapsed="false">
      <c r="A93" s="0" t="s">
        <v>4493</v>
      </c>
      <c r="B93" s="5" t="s">
        <v>1702</v>
      </c>
      <c r="C93" s="0" t="s">
        <v>82</v>
      </c>
      <c r="D93" s="28" t="str">
        <f aca="false">Players!E277</f>
        <v/>
      </c>
      <c r="E93" s="28" t="n">
        <f aca="false">Players!F277</f>
        <v>8.33333333333333</v>
      </c>
      <c r="F93" s="28" t="n">
        <f aca="false">Players!G277</f>
        <v>11.6666666666667</v>
      </c>
      <c r="G93" s="28" t="n">
        <f aca="false">Players!H277</f>
        <v>13.6561711245072</v>
      </c>
      <c r="H93" s="28" t="n">
        <f aca="false">Players!I277</f>
        <v>15.9373851854162</v>
      </c>
      <c r="I93" s="28" t="n">
        <f aca="false">Players!J277</f>
        <v>18.5499065164136</v>
      </c>
      <c r="J93" s="28" t="n">
        <f aca="false">Players!K277</f>
        <v>21.5384615384615</v>
      </c>
      <c r="K93" s="28" t="n">
        <f aca="false">Players!L277</f>
        <v>23.6923076923077</v>
      </c>
      <c r="L93" s="28" t="n">
        <f aca="false">Players!M277</f>
        <v>26.0615384615385</v>
      </c>
      <c r="M93" s="21" t="s">
        <v>4494</v>
      </c>
    </row>
    <row r="94" customFormat="false" ht="17.15" hidden="false" customHeight="false" outlineLevel="0" collapsed="false">
      <c r="A94" s="0" t="s">
        <v>4495</v>
      </c>
      <c r="B94" s="5" t="s">
        <v>1703</v>
      </c>
      <c r="C94" s="0" t="s">
        <v>82</v>
      </c>
      <c r="D94" s="28" t="str">
        <f aca="false">Players!E296</f>
        <v/>
      </c>
      <c r="E94" s="28" t="n">
        <f aca="false">Players!F296</f>
        <v>1</v>
      </c>
      <c r="F94" s="28" t="n">
        <f aca="false">Players!G296</f>
        <v>1</v>
      </c>
      <c r="G94" s="28" t="n">
        <f aca="false">Players!H296</f>
        <v>1</v>
      </c>
      <c r="H94" s="28" t="n">
        <f aca="false">Players!I296</f>
        <v>1</v>
      </c>
      <c r="I94" s="28" t="n">
        <f aca="false">Players!J296</f>
        <v>1</v>
      </c>
      <c r="J94" s="28" t="n">
        <f aca="false">Players!K296</f>
        <v>1</v>
      </c>
      <c r="K94" s="28" t="n">
        <f aca="false">Players!L296</f>
        <v>1</v>
      </c>
      <c r="L94" s="28" t="n">
        <f aca="false">Players!M296</f>
        <v>1</v>
      </c>
      <c r="M94" s="21" t="s">
        <v>4496</v>
      </c>
    </row>
    <row r="95" customFormat="false" ht="17.15" hidden="false" customHeight="false" outlineLevel="0" collapsed="false">
      <c r="A95" s="8" t="s">
        <v>4497</v>
      </c>
    </row>
    <row r="96" customFormat="false" ht="17.15" hidden="false" customHeight="false" outlineLevel="0" collapsed="false">
      <c r="A96" s="0" t="s">
        <v>4498</v>
      </c>
      <c r="B96" s="0" t="s">
        <v>4499</v>
      </c>
      <c r="C96" s="0" t="s">
        <v>82</v>
      </c>
      <c r="D96" s="28" t="n">
        <f aca="false">Players!E30</f>
        <v>1.593775</v>
      </c>
      <c r="E96" s="28" t="n">
        <f aca="false">Players!F30</f>
        <v>3.729045</v>
      </c>
      <c r="F96" s="28" t="n">
        <f aca="false">Players!G30</f>
        <v>4.5</v>
      </c>
      <c r="G96" s="28" t="n">
        <f aca="false">Players!H30</f>
        <v>5.54</v>
      </c>
      <c r="H96" s="28" t="n">
        <f aca="false">Players!I30</f>
        <v>7.21</v>
      </c>
      <c r="I96" s="28" t="n">
        <f aca="false">Players!J30</f>
        <v>7.354</v>
      </c>
      <c r="J96" s="28" t="n">
        <f aca="false">Players!K30</f>
        <v>7.498</v>
      </c>
      <c r="K96" s="28" t="n">
        <f aca="false">Players!L30</f>
        <v>7.767</v>
      </c>
      <c r="L96" s="28" t="n">
        <f aca="false">Players!M30</f>
        <v>10.333</v>
      </c>
      <c r="M96" s="21" t="s">
        <v>4500</v>
      </c>
    </row>
    <row r="97" customFormat="false" ht="17.15" hidden="false" customHeight="false" outlineLevel="0" collapsed="false">
      <c r="A97" s="0" t="s">
        <v>4501</v>
      </c>
      <c r="B97" s="0" t="s">
        <v>4502</v>
      </c>
      <c r="C97" s="0" t="s">
        <v>82</v>
      </c>
      <c r="D97" s="28" t="n">
        <f aca="false">Players!E49</f>
        <v>1.89038669917378</v>
      </c>
      <c r="E97" s="28" t="n">
        <f aca="false">Players!F49</f>
        <v>4.3</v>
      </c>
      <c r="F97" s="28" t="n">
        <f aca="false">Players!G49</f>
        <v>5.59267912772586</v>
      </c>
      <c r="G97" s="28" t="n">
        <f aca="false">Players!H49</f>
        <v>7.21867912772586</v>
      </c>
      <c r="H97" s="28" t="n">
        <f aca="false">Players!I49</f>
        <v>8.05201246105919</v>
      </c>
      <c r="I97" s="28" t="n">
        <f aca="false">Players!J49</f>
        <v>8.05201246105919</v>
      </c>
      <c r="J97" s="28" t="n">
        <f aca="false">Players!K49</f>
        <v>9.05201246105919</v>
      </c>
      <c r="K97" s="28" t="n">
        <f aca="false">Players!L49</f>
        <v>9.05201246105919</v>
      </c>
      <c r="L97" s="28" t="n">
        <f aca="false">Players!M49</f>
        <v>9.05201246105919</v>
      </c>
      <c r="M97" s="21" t="s">
        <v>4503</v>
      </c>
    </row>
    <row r="98" customFormat="false" ht="17.15" hidden="false" customHeight="false" outlineLevel="0" collapsed="false">
      <c r="A98" s="0" t="s">
        <v>4504</v>
      </c>
      <c r="B98" s="0" t="s">
        <v>4505</v>
      </c>
      <c r="C98" s="0" t="s">
        <v>82</v>
      </c>
      <c r="D98" s="28" t="n">
        <f aca="false">Players!E68</f>
        <v>0.810284005979073</v>
      </c>
      <c r="E98" s="28" t="n">
        <f aca="false">Players!F68</f>
        <v>2.2</v>
      </c>
      <c r="F98" s="28" t="n">
        <f aca="false">Players!G68</f>
        <v>2.727</v>
      </c>
      <c r="G98" s="28" t="n">
        <f aca="false">Players!H68</f>
        <v>3.091</v>
      </c>
      <c r="H98" s="28" t="n">
        <f aca="false">Players!I68</f>
        <v>4.835</v>
      </c>
      <c r="I98" s="28" t="n">
        <f aca="false">Players!J68</f>
        <v>4.897</v>
      </c>
      <c r="J98" s="28" t="n">
        <f aca="false">Players!K68</f>
        <v>4.897</v>
      </c>
      <c r="K98" s="28" t="n">
        <f aca="false">Players!L68</f>
        <v>4.897</v>
      </c>
      <c r="L98" s="28" t="n">
        <f aca="false">Players!M68</f>
        <v>4.897</v>
      </c>
      <c r="M98" s="21" t="s">
        <v>4506</v>
      </c>
    </row>
    <row r="99" customFormat="false" ht="17.15" hidden="false" customHeight="false" outlineLevel="0" collapsed="false">
      <c r="A99" s="0" t="s">
        <v>4507</v>
      </c>
      <c r="B99" s="0" t="s">
        <v>4508</v>
      </c>
      <c r="C99" s="0" t="s">
        <v>82</v>
      </c>
      <c r="D99" s="28" t="n">
        <f aca="false">Players!E87</f>
        <v>0.968475</v>
      </c>
      <c r="E99" s="28" t="n">
        <f aca="false">Players!F87</f>
        <v>2.476595</v>
      </c>
      <c r="F99" s="28" t="n">
        <f aca="false">Players!G87</f>
        <v>3.152595</v>
      </c>
      <c r="G99" s="28" t="n">
        <f aca="false">Players!H87</f>
        <v>3.767595</v>
      </c>
      <c r="H99" s="28" t="n">
        <f aca="false">Players!I87</f>
        <v>6.76192833333333</v>
      </c>
      <c r="I99" s="28" t="n">
        <f aca="false">Players!J87</f>
        <v>7.72992833333333</v>
      </c>
      <c r="J99" s="28" t="n">
        <f aca="false">Players!K87</f>
        <v>7.72992833333333</v>
      </c>
      <c r="K99" s="28" t="n">
        <f aca="false">Players!L87</f>
        <v>7.72992833333333</v>
      </c>
      <c r="L99" s="28" t="n">
        <f aca="false">Players!M87</f>
        <v>7.72992833333333</v>
      </c>
      <c r="M99" s="21" t="s">
        <v>4509</v>
      </c>
    </row>
    <row r="100" customFormat="false" ht="17.15" hidden="false" customHeight="false" outlineLevel="0" collapsed="false">
      <c r="A100" s="0" t="s">
        <v>4510</v>
      </c>
      <c r="B100" s="0" t="s">
        <v>4511</v>
      </c>
      <c r="C100" s="0" t="s">
        <v>82</v>
      </c>
      <c r="D100" s="28" t="n">
        <f aca="false">Players!E106</f>
        <v>0.386465</v>
      </c>
      <c r="E100" s="28" t="n">
        <f aca="false">Players!F106</f>
        <v>1.20287</v>
      </c>
      <c r="F100" s="28" t="n">
        <f aca="false">Players!G106</f>
        <v>2.749</v>
      </c>
      <c r="G100" s="28" t="n">
        <f aca="false">Players!H106</f>
        <v>3.69316666666667</v>
      </c>
      <c r="H100" s="28" t="n">
        <f aca="false">Players!I106</f>
        <v>8.60483333333333</v>
      </c>
      <c r="I100" s="28" t="n">
        <f aca="false">Players!J106</f>
        <v>8.60483333333333</v>
      </c>
      <c r="J100" s="28" t="n">
        <f aca="false">Players!K106</f>
        <v>8.60483333333333</v>
      </c>
      <c r="K100" s="28" t="n">
        <f aca="false">Players!L106</f>
        <v>8.60483333333333</v>
      </c>
      <c r="L100" s="28" t="n">
        <f aca="false">Players!M106</f>
        <v>8.60483333333333</v>
      </c>
      <c r="M100" s="21" t="s">
        <v>4512</v>
      </c>
    </row>
    <row r="101" customFormat="false" ht="17.15" hidden="false" customHeight="false" outlineLevel="0" collapsed="false">
      <c r="A101" s="0" t="s">
        <v>4513</v>
      </c>
      <c r="B101" s="0" t="s">
        <v>4514</v>
      </c>
      <c r="C101" s="0" t="s">
        <v>82</v>
      </c>
      <c r="D101" s="28" t="n">
        <f aca="false">Players!E125</f>
        <v>0.36</v>
      </c>
      <c r="E101" s="28" t="n">
        <f aca="false">Players!F125</f>
        <v>0.85</v>
      </c>
      <c r="F101" s="28" t="n">
        <f aca="false">Players!G125</f>
        <v>1.85</v>
      </c>
      <c r="G101" s="28" t="n">
        <f aca="false">Players!H125</f>
        <v>3.3875</v>
      </c>
      <c r="H101" s="28" t="n">
        <f aca="false">Players!I125</f>
        <v>4.925</v>
      </c>
      <c r="I101" s="28" t="n">
        <f aca="false">Players!J125</f>
        <v>6.4625</v>
      </c>
      <c r="J101" s="28" t="n">
        <f aca="false">Players!K125</f>
        <v>8</v>
      </c>
      <c r="K101" s="28" t="n">
        <f aca="false">Players!L125</f>
        <v>8</v>
      </c>
      <c r="L101" s="28" t="n">
        <f aca="false">Players!M125</f>
        <v>8</v>
      </c>
      <c r="M101" s="21" t="s">
        <v>4515</v>
      </c>
    </row>
    <row r="102" customFormat="false" ht="17.15" hidden="false" customHeight="false" outlineLevel="0" collapsed="false">
      <c r="A102" s="0" t="s">
        <v>4516</v>
      </c>
      <c r="B102" s="0" t="s">
        <v>4517</v>
      </c>
      <c r="C102" s="0" t="s">
        <v>82</v>
      </c>
      <c r="D102" s="28" t="str">
        <f aca="false">Players!E144</f>
        <v/>
      </c>
      <c r="E102" s="28" t="n">
        <f aca="false">Players!F144</f>
        <v>0.17</v>
      </c>
      <c r="F102" s="28" t="n">
        <f aca="false">Players!G144</f>
        <v>0.9</v>
      </c>
      <c r="G102" s="28" t="n">
        <f aca="false">Players!H144</f>
        <v>1.303</v>
      </c>
      <c r="H102" s="28" t="n">
        <f aca="false">Players!I144</f>
        <v>1.303</v>
      </c>
      <c r="I102" s="28" t="n">
        <f aca="false">Players!J144</f>
        <v>1.303</v>
      </c>
      <c r="J102" s="28" t="n">
        <f aca="false">Players!K144</f>
        <v>1.303</v>
      </c>
      <c r="K102" s="28" t="n">
        <f aca="false">Players!L144</f>
        <v>1.303</v>
      </c>
      <c r="L102" s="28" t="n">
        <f aca="false">Players!M144</f>
        <v>1.303</v>
      </c>
      <c r="M102" s="21" t="s">
        <v>4518</v>
      </c>
    </row>
    <row r="103" customFormat="false" ht="17.15" hidden="false" customHeight="false" outlineLevel="0" collapsed="false">
      <c r="A103" s="0" t="s">
        <v>4519</v>
      </c>
      <c r="B103" s="0" t="s">
        <v>4520</v>
      </c>
      <c r="C103" s="0" t="s">
        <v>82</v>
      </c>
      <c r="D103" s="28" t="str">
        <f aca="false">Players!E163</f>
        <v/>
      </c>
      <c r="E103" s="28" t="n">
        <f aca="false">Players!F163</f>
        <v>0.0055</v>
      </c>
      <c r="F103" s="28" t="n">
        <f aca="false">Players!G163</f>
        <v>0.014574</v>
      </c>
      <c r="G103" s="28" t="n">
        <f aca="false">Players!H163</f>
        <v>0.016548</v>
      </c>
      <c r="H103" s="28" t="n">
        <f aca="false">Players!I163</f>
        <v>0.016548</v>
      </c>
      <c r="I103" s="28" t="n">
        <f aca="false">Players!J163</f>
        <v>0.016548</v>
      </c>
      <c r="J103" s="28" t="n">
        <f aca="false">Players!K163</f>
        <v>0.016548</v>
      </c>
      <c r="K103" s="28" t="n">
        <f aca="false">Players!L163</f>
        <v>0.016548</v>
      </c>
      <c r="L103" s="28" t="n">
        <f aca="false">Players!M163</f>
        <v>0.016548</v>
      </c>
      <c r="M103" s="21" t="s">
        <v>4482</v>
      </c>
    </row>
    <row r="104" customFormat="false" ht="17.15" hidden="false" customHeight="false" outlineLevel="0" collapsed="false">
      <c r="A104" s="0" t="s">
        <v>4521</v>
      </c>
      <c r="B104" s="0" t="s">
        <v>4522</v>
      </c>
      <c r="C104" s="0" t="s">
        <v>82</v>
      </c>
      <c r="D104" s="28" t="str">
        <f aca="false">Players!E182</f>
        <v/>
      </c>
      <c r="E104" s="28" t="n">
        <f aca="false">Players!F182</f>
        <v>0.5698</v>
      </c>
      <c r="F104" s="28" t="n">
        <f aca="false">Players!G182</f>
        <v>2</v>
      </c>
      <c r="G104" s="28" t="n">
        <f aca="false">Players!H182</f>
        <v>2.585</v>
      </c>
      <c r="H104" s="28" t="n">
        <f aca="false">Players!I182</f>
        <v>2.585</v>
      </c>
      <c r="I104" s="28" t="n">
        <f aca="false">Players!J182</f>
        <v>2.585</v>
      </c>
      <c r="J104" s="28" t="n">
        <f aca="false">Players!K182</f>
        <v>2.585</v>
      </c>
      <c r="K104" s="28" t="n">
        <f aca="false">Players!L182</f>
        <v>2.585</v>
      </c>
      <c r="L104" s="28" t="n">
        <f aca="false">Players!M182</f>
        <v>2.585</v>
      </c>
      <c r="M104" s="21" t="s">
        <v>4484</v>
      </c>
    </row>
    <row r="105" customFormat="false" ht="17.15" hidden="false" customHeight="false" outlineLevel="0" collapsed="false">
      <c r="A105" s="0" t="s">
        <v>4523</v>
      </c>
      <c r="B105" s="0" t="s">
        <v>4524</v>
      </c>
      <c r="C105" s="0" t="s">
        <v>82</v>
      </c>
      <c r="D105" s="28" t="str">
        <f aca="false">Players!E201</f>
        <v/>
      </c>
      <c r="E105" s="28" t="n">
        <f aca="false">Players!F201</f>
        <v>0</v>
      </c>
      <c r="F105" s="28" t="n">
        <f aca="false">Players!G201</f>
        <v>0</v>
      </c>
      <c r="G105" s="28" t="n">
        <f aca="false">Players!H201</f>
        <v>0.522</v>
      </c>
      <c r="H105" s="28" t="n">
        <f aca="false">Players!I201</f>
        <v>1.767</v>
      </c>
      <c r="I105" s="28" t="n">
        <f aca="false">Players!J201</f>
        <v>2.916</v>
      </c>
      <c r="J105" s="28" t="n">
        <f aca="false">Players!K201</f>
        <v>4.065</v>
      </c>
      <c r="K105" s="28" t="n">
        <f aca="false">Players!L201</f>
        <v>5.215</v>
      </c>
      <c r="L105" s="28" t="n">
        <f aca="false">Players!M201</f>
        <v>5.215</v>
      </c>
      <c r="M105" s="21" t="s">
        <v>4486</v>
      </c>
    </row>
    <row r="106" customFormat="false" ht="17.15" hidden="false" customHeight="false" outlineLevel="0" collapsed="false">
      <c r="A106" s="0" t="s">
        <v>4525</v>
      </c>
      <c r="B106" s="0" t="s">
        <v>4526</v>
      </c>
      <c r="C106" s="0" t="s">
        <v>82</v>
      </c>
      <c r="D106" s="28" t="str">
        <f aca="false">Players!E220</f>
        <v/>
      </c>
      <c r="E106" s="28" t="n">
        <f aca="false">Players!F220</f>
        <v>0</v>
      </c>
      <c r="F106" s="28" t="n">
        <f aca="false">Players!G220</f>
        <v>0</v>
      </c>
      <c r="G106" s="28" t="n">
        <f aca="false">Players!H220</f>
        <v>0</v>
      </c>
      <c r="H106" s="28" t="n">
        <f aca="false">Players!I220</f>
        <v>0</v>
      </c>
      <c r="I106" s="28" t="n">
        <f aca="false">Players!J220</f>
        <v>0</v>
      </c>
      <c r="J106" s="28" t="n">
        <f aca="false">Players!K220</f>
        <v>0</v>
      </c>
      <c r="K106" s="28" t="n">
        <f aca="false">Players!L220</f>
        <v>0</v>
      </c>
      <c r="L106" s="28" t="n">
        <f aca="false">Players!M220</f>
        <v>0</v>
      </c>
      <c r="M106" s="21" t="s">
        <v>4488</v>
      </c>
    </row>
    <row r="107" customFormat="false" ht="17.15" hidden="false" customHeight="false" outlineLevel="0" collapsed="false">
      <c r="A107" s="0" t="s">
        <v>4527</v>
      </c>
      <c r="B107" s="5" t="s">
        <v>4528</v>
      </c>
      <c r="C107" s="0" t="s">
        <v>82</v>
      </c>
      <c r="D107" s="28" t="n">
        <f aca="false">Players!E239</f>
        <v>0.2</v>
      </c>
      <c r="E107" s="28" t="n">
        <f aca="false">Players!F239</f>
        <v>0.5</v>
      </c>
      <c r="F107" s="28" t="n">
        <f aca="false">Players!G239</f>
        <v>1.3</v>
      </c>
      <c r="G107" s="28" t="n">
        <f aca="false">Players!H239</f>
        <v>2.775</v>
      </c>
      <c r="H107" s="28" t="n">
        <f aca="false">Players!I239</f>
        <v>4.678</v>
      </c>
      <c r="I107" s="28" t="n">
        <f aca="false">Players!J239</f>
        <v>4.678</v>
      </c>
      <c r="J107" s="28" t="n">
        <f aca="false">Players!K239</f>
        <v>4.678</v>
      </c>
      <c r="K107" s="28" t="n">
        <f aca="false">Players!L239</f>
        <v>4.678</v>
      </c>
      <c r="L107" s="28" t="n">
        <f aca="false">Players!M239</f>
        <v>4.678</v>
      </c>
      <c r="M107" s="21" t="s">
        <v>4490</v>
      </c>
    </row>
    <row r="108" customFormat="false" ht="17.15" hidden="false" customHeight="false" outlineLevel="0" collapsed="false">
      <c r="A108" s="0" t="s">
        <v>4529</v>
      </c>
      <c r="B108" s="5" t="s">
        <v>4530</v>
      </c>
      <c r="C108" s="0" t="s">
        <v>82</v>
      </c>
      <c r="D108" s="28" t="str">
        <f aca="false">Players!E258</f>
        <v/>
      </c>
      <c r="E108" s="28" t="n">
        <f aca="false">Players!F258</f>
        <v>0</v>
      </c>
      <c r="F108" s="28" t="n">
        <f aca="false">Players!G258</f>
        <v>0.4</v>
      </c>
      <c r="G108" s="28" t="n">
        <f aca="false">Players!H258</f>
        <v>1.9</v>
      </c>
      <c r="H108" s="28" t="n">
        <f aca="false">Players!I258</f>
        <v>1.996</v>
      </c>
      <c r="I108" s="28" t="n">
        <f aca="false">Players!J258</f>
        <v>1.996</v>
      </c>
      <c r="J108" s="28" t="n">
        <f aca="false">Players!K258</f>
        <v>2.196</v>
      </c>
      <c r="K108" s="28" t="n">
        <f aca="false">Players!L258</f>
        <v>2.196</v>
      </c>
      <c r="L108" s="28" t="n">
        <f aca="false">Players!M258</f>
        <v>2.196</v>
      </c>
      <c r="M108" s="21" t="s">
        <v>4492</v>
      </c>
    </row>
    <row r="109" customFormat="false" ht="17.15" hidden="false" customHeight="false" outlineLevel="0" collapsed="false">
      <c r="A109" s="0" t="s">
        <v>4531</v>
      </c>
      <c r="B109" s="5" t="s">
        <v>4532</v>
      </c>
      <c r="C109" s="0" t="s">
        <v>82</v>
      </c>
      <c r="D109" s="28" t="str">
        <f aca="false">Players!E277</f>
        <v/>
      </c>
      <c r="E109" s="28" t="n">
        <f aca="false">Players!F277</f>
        <v>8.33333333333333</v>
      </c>
      <c r="F109" s="28" t="n">
        <f aca="false">Players!G277</f>
        <v>11.6666666666667</v>
      </c>
      <c r="G109" s="28" t="n">
        <f aca="false">Players!H277</f>
        <v>13.6561711245072</v>
      </c>
      <c r="H109" s="28" t="n">
        <f aca="false">Players!I277</f>
        <v>15.9373851854162</v>
      </c>
      <c r="I109" s="28" t="n">
        <f aca="false">Players!J277</f>
        <v>18.5499065164136</v>
      </c>
      <c r="J109" s="28" t="n">
        <f aca="false">Players!K277</f>
        <v>21.5384615384615</v>
      </c>
      <c r="K109" s="28" t="n">
        <f aca="false">Players!L277</f>
        <v>23.6923076923077</v>
      </c>
      <c r="L109" s="28" t="n">
        <f aca="false">Players!M277</f>
        <v>26.0615384615385</v>
      </c>
      <c r="M109" s="21" t="s">
        <v>4494</v>
      </c>
    </row>
    <row r="110" customFormat="false" ht="17.15" hidden="false" customHeight="false" outlineLevel="0" collapsed="false">
      <c r="A110" s="0" t="s">
        <v>4533</v>
      </c>
      <c r="B110" s="5" t="s">
        <v>4534</v>
      </c>
      <c r="C110" s="0" t="s">
        <v>82</v>
      </c>
      <c r="D110" s="28" t="str">
        <f aca="false">Players!E296</f>
        <v/>
      </c>
      <c r="E110" s="28" t="n">
        <f aca="false">Players!F296</f>
        <v>1</v>
      </c>
      <c r="F110" s="28" t="n">
        <f aca="false">Players!G296</f>
        <v>1</v>
      </c>
      <c r="G110" s="28" t="n">
        <f aca="false">Players!H296</f>
        <v>1</v>
      </c>
      <c r="H110" s="28" t="n">
        <f aca="false">Players!I296</f>
        <v>1</v>
      </c>
      <c r="I110" s="28" t="n">
        <f aca="false">Players!J296</f>
        <v>1</v>
      </c>
      <c r="J110" s="28" t="n">
        <f aca="false">Players!K296</f>
        <v>1</v>
      </c>
      <c r="K110" s="28" t="n">
        <f aca="false">Players!L296</f>
        <v>1</v>
      </c>
      <c r="L110" s="28" t="n">
        <f aca="false">Players!M296</f>
        <v>1</v>
      </c>
      <c r="M110" s="21" t="s">
        <v>4496</v>
      </c>
    </row>
    <row r="111" customFormat="false" ht="17.15" hidden="false" customHeight="false" outlineLevel="0" collapsed="false">
      <c r="A111" s="8" t="s">
        <v>4535</v>
      </c>
    </row>
    <row r="112" customFormat="false" ht="15" hidden="false" customHeight="false" outlineLevel="0" collapsed="false">
      <c r="A112" s="0" t="s">
        <v>4536</v>
      </c>
      <c r="B112" s="5" t="s">
        <v>4186</v>
      </c>
      <c r="C112" s="0" t="s">
        <v>395</v>
      </c>
      <c r="D112" s="28" t="n">
        <f aca="false">Spend!E8</f>
        <v>22.5302381301231</v>
      </c>
      <c r="E112" s="28" t="n">
        <f aca="false">Spend!F8</f>
        <v>120.526480331681</v>
      </c>
      <c r="F112" s="28" t="n">
        <f aca="false">Spend!G8</f>
        <v>203.123153153356</v>
      </c>
      <c r="G112" s="28" t="n">
        <f aca="false">Spend!H8</f>
        <v>429.630606253116</v>
      </c>
      <c r="H112" s="28" t="n">
        <f aca="false">Spend!I8</f>
        <v>513.718022432297</v>
      </c>
      <c r="I112" s="28" t="n">
        <f aca="false">Spend!J8</f>
        <v>527.249601573163</v>
      </c>
      <c r="J112" s="28" t="n">
        <f aca="false">Spend!K8</f>
        <v>535.028824082797</v>
      </c>
      <c r="K112" s="28" t="n">
        <f aca="false">Spend!L8</f>
        <v>469.707431424022</v>
      </c>
      <c r="L112" s="28" t="n">
        <f aca="false">Spend!M8</f>
        <v>322.328166291522</v>
      </c>
      <c r="M112" s="21" t="s">
        <v>4537</v>
      </c>
    </row>
    <row r="113" customFormat="false" ht="15" hidden="false" customHeight="false" outlineLevel="0" collapsed="false">
      <c r="A113" s="0" t="s">
        <v>4538</v>
      </c>
      <c r="B113" s="5" t="s">
        <v>4191</v>
      </c>
      <c r="C113" s="0" t="s">
        <v>395</v>
      </c>
      <c r="D113" s="28" t="n">
        <f aca="false">Spend!E9</f>
        <v>5.89453904567174</v>
      </c>
      <c r="E113" s="28" t="n">
        <f aca="false">Spend!F9</f>
        <v>31.5330907844514</v>
      </c>
      <c r="F113" s="28" t="n">
        <f aca="false">Spend!G9</f>
        <v>53.1426854180292</v>
      </c>
      <c r="G113" s="28" t="n">
        <f aca="false">Spend!H9</f>
        <v>112.403356287152</v>
      </c>
      <c r="H113" s="28" t="n">
        <f aca="false">Spend!I9</f>
        <v>134.402970985194</v>
      </c>
      <c r="I113" s="28" t="n">
        <f aca="false">Spend!J9</f>
        <v>137.943209713909</v>
      </c>
      <c r="J113" s="28" t="n">
        <f aca="false">Spend!K9</f>
        <v>139.978471417011</v>
      </c>
      <c r="K113" s="28" t="n">
        <f aca="false">Spend!L9</f>
        <v>122.888572174889</v>
      </c>
      <c r="L113" s="28" t="n">
        <f aca="false">Spend!M9</f>
        <v>84.3300435065029</v>
      </c>
      <c r="M113" s="21" t="s">
        <v>4539</v>
      </c>
    </row>
    <row r="114" customFormat="false" ht="15" hidden="false" customHeight="false" outlineLevel="0" collapsed="false">
      <c r="A114" s="0" t="s">
        <v>4540</v>
      </c>
      <c r="B114" s="5" t="s">
        <v>4195</v>
      </c>
      <c r="C114" s="0" t="s">
        <v>395</v>
      </c>
      <c r="D114" s="28" t="n">
        <f aca="false">Spend!E10</f>
        <v>7.64106913327818</v>
      </c>
      <c r="E114" s="28" t="n">
        <f aca="false">Spend!F10</f>
        <v>40.8762287946592</v>
      </c>
      <c r="F114" s="28" t="n">
        <f aca="false">Spend!G10</f>
        <v>68.8886662826304</v>
      </c>
      <c r="G114" s="28" t="n">
        <f aca="false">Spend!H10</f>
        <v>145.708054446309</v>
      </c>
      <c r="H114" s="28" t="n">
        <f aca="false">Spend!I10</f>
        <v>174.226073499326</v>
      </c>
      <c r="I114" s="28" t="n">
        <f aca="false">Spend!J10</f>
        <v>178.815271851363</v>
      </c>
      <c r="J114" s="28" t="n">
        <f aca="false">Spend!K10</f>
        <v>181.453574059088</v>
      </c>
      <c r="K114" s="28" t="n">
        <f aca="false">Spend!L10</f>
        <v>159.300000967449</v>
      </c>
      <c r="L114" s="28" t="n">
        <f aca="false">Spend!M10</f>
        <v>109.316723063985</v>
      </c>
      <c r="M114" s="21" t="s">
        <v>4541</v>
      </c>
    </row>
    <row r="115" customFormat="false" ht="15" hidden="false" customHeight="false" outlineLevel="0" collapsed="false">
      <c r="A115" s="0" t="s">
        <v>4542</v>
      </c>
      <c r="B115" s="5" t="s">
        <v>4543</v>
      </c>
      <c r="C115" s="0" t="s">
        <v>395</v>
      </c>
      <c r="D115" s="28" t="n">
        <f aca="false">Spend!E11</f>
        <v>2.3578156182687</v>
      </c>
      <c r="E115" s="28" t="n">
        <f aca="false">Spend!F11</f>
        <v>12.6132363137805</v>
      </c>
      <c r="F115" s="28" t="n">
        <f aca="false">Spend!G11</f>
        <v>21.2570741672117</v>
      </c>
      <c r="G115" s="28" t="n">
        <f aca="false">Spend!H11</f>
        <v>44.9613425148609</v>
      </c>
      <c r="H115" s="28" t="n">
        <f aca="false">Spend!I11</f>
        <v>53.7611883940776</v>
      </c>
      <c r="I115" s="28" t="n">
        <f aca="false">Spend!J11</f>
        <v>55.1772838855635</v>
      </c>
      <c r="J115" s="28" t="n">
        <f aca="false">Spend!K11</f>
        <v>55.9913885668044</v>
      </c>
      <c r="K115" s="28" t="n">
        <f aca="false">Spend!L11</f>
        <v>49.1554288699558</v>
      </c>
      <c r="L115" s="28" t="n">
        <f aca="false">Spend!M11</f>
        <v>33.7320174026012</v>
      </c>
      <c r="M115" s="21" t="s">
        <v>4544</v>
      </c>
    </row>
    <row r="116" customFormat="false" ht="17.15" hidden="false" customHeight="false" outlineLevel="0" collapsed="false">
      <c r="A116" s="0" t="s">
        <v>4545</v>
      </c>
      <c r="B116" s="5" t="s">
        <v>4201</v>
      </c>
      <c r="C116" s="0" t="s">
        <v>395</v>
      </c>
      <c r="D116" s="28" t="n">
        <f aca="false">Spend!E12</f>
        <v>0.130989756570483</v>
      </c>
      <c r="E116" s="28" t="n">
        <f aca="false">Spend!F12</f>
        <v>0.700735350765586</v>
      </c>
      <c r="F116" s="28" t="n">
        <f aca="false">Spend!G12</f>
        <v>1.18094856484509</v>
      </c>
      <c r="G116" s="28" t="n">
        <f aca="false">Spend!H12</f>
        <v>2.49785236193672</v>
      </c>
      <c r="H116" s="28" t="n">
        <f aca="false">Spend!I12</f>
        <v>2.98673268855987</v>
      </c>
      <c r="I116" s="28" t="n">
        <f aca="false">Spend!J12</f>
        <v>3.06540466030908</v>
      </c>
      <c r="J116" s="28" t="n">
        <f aca="false">Spend!K12</f>
        <v>3.1106326981558</v>
      </c>
      <c r="K116" s="28" t="n">
        <f aca="false">Spend!L12</f>
        <v>2.73085715944199</v>
      </c>
      <c r="L116" s="28" t="n">
        <f aca="false">Spend!M12</f>
        <v>1.87400096681117</v>
      </c>
      <c r="M116" s="21" t="s">
        <v>4546</v>
      </c>
    </row>
    <row r="117" customFormat="false" ht="15" hidden="false" customHeight="false" outlineLevel="0" collapsed="false">
      <c r="A117" s="0" t="s">
        <v>4547</v>
      </c>
      <c r="B117" s="5" t="s">
        <v>4548</v>
      </c>
      <c r="C117" s="0" t="s">
        <v>395</v>
      </c>
      <c r="D117" s="28" t="n">
        <f aca="false">Spend!E13</f>
        <v>2.75078488798014</v>
      </c>
      <c r="E117" s="28" t="n">
        <f aca="false">Spend!F13</f>
        <v>14.7154423660773</v>
      </c>
      <c r="F117" s="28" t="n">
        <f aca="false">Spend!G13</f>
        <v>24.799919861747</v>
      </c>
      <c r="G117" s="28" t="n">
        <f aca="false">Spend!H13</f>
        <v>52.4548996006711</v>
      </c>
      <c r="H117" s="28" t="n">
        <f aca="false">Spend!I13</f>
        <v>62.7213864597572</v>
      </c>
      <c r="I117" s="28" t="n">
        <f aca="false">Spend!J13</f>
        <v>64.3734978664908</v>
      </c>
      <c r="J117" s="28" t="n">
        <f aca="false">Spend!K13</f>
        <v>65.3232866612718</v>
      </c>
      <c r="K117" s="28" t="n">
        <f aca="false">Spend!L13</f>
        <v>57.3480003482817</v>
      </c>
      <c r="L117" s="28" t="n">
        <f aca="false">Spend!M13</f>
        <v>39.3540203030347</v>
      </c>
      <c r="M117" s="21" t="s">
        <v>4549</v>
      </c>
    </row>
    <row r="118" customFormat="false" ht="15" hidden="false" customHeight="false" outlineLevel="0" collapsed="false">
      <c r="A118" s="0" t="s">
        <v>4550</v>
      </c>
      <c r="B118" s="5" t="s">
        <v>4209</v>
      </c>
      <c r="C118" s="0" t="s">
        <v>395</v>
      </c>
      <c r="D118" s="28" t="n">
        <f aca="false">Spend!E14</f>
        <v>2.00850960074741</v>
      </c>
      <c r="E118" s="28" t="n">
        <f aca="false">Spend!F14</f>
        <v>10.744608711739</v>
      </c>
      <c r="F118" s="28" t="n">
        <f aca="false">Spend!G14</f>
        <v>18.1078779942914</v>
      </c>
      <c r="G118" s="28" t="n">
        <f aca="false">Spend!H14</f>
        <v>38.3004028830297</v>
      </c>
      <c r="H118" s="28" t="n">
        <f aca="false">Spend!I14</f>
        <v>45.7965678912513</v>
      </c>
      <c r="I118" s="28" t="n">
        <f aca="false">Spend!J14</f>
        <v>47.0028714580726</v>
      </c>
      <c r="J118" s="28" t="n">
        <f aca="false">Spend!K14</f>
        <v>47.6963680383889</v>
      </c>
      <c r="K118" s="28" t="n">
        <f aca="false">Spend!L14</f>
        <v>41.8731431114438</v>
      </c>
      <c r="L118" s="28" t="n">
        <f aca="false">Spend!M14</f>
        <v>28.7346814911047</v>
      </c>
      <c r="M118" s="21" t="s">
        <v>4551</v>
      </c>
    </row>
    <row r="119" customFormat="false" ht="15" hidden="false" customHeight="false" outlineLevel="0" collapsed="false">
      <c r="A119" s="0" t="s">
        <v>4552</v>
      </c>
      <c r="B119" s="5" t="s">
        <v>4213</v>
      </c>
      <c r="C119" s="0" t="s">
        <v>395</v>
      </c>
      <c r="D119" s="28" t="n">
        <f aca="false">Spend!E15</f>
        <v>0.349306017521288</v>
      </c>
      <c r="E119" s="28" t="n">
        <f aca="false">Spend!F15</f>
        <v>1.86862760204156</v>
      </c>
      <c r="F119" s="28" t="n">
        <f aca="false">Spend!G15</f>
        <v>3.14919617292025</v>
      </c>
      <c r="G119" s="28" t="n">
        <f aca="false">Spend!H15</f>
        <v>6.66093963183125</v>
      </c>
      <c r="H119" s="28" t="n">
        <f aca="false">Spend!I15</f>
        <v>7.96462050282631</v>
      </c>
      <c r="I119" s="28" t="n">
        <f aca="false">Spend!J15</f>
        <v>8.17441242749089</v>
      </c>
      <c r="J119" s="28" t="n">
        <f aca="false">Spend!K15</f>
        <v>8.29502052841546</v>
      </c>
      <c r="K119" s="28" t="n">
        <f aca="false">Spend!L15</f>
        <v>7.28228575851196</v>
      </c>
      <c r="L119" s="28" t="n">
        <f aca="false">Spend!M15</f>
        <v>4.99733591149647</v>
      </c>
      <c r="M119" s="21" t="s">
        <v>4553</v>
      </c>
    </row>
    <row r="120" customFormat="false" ht="17.15" hidden="false" customHeight="false" outlineLevel="0" collapsed="false">
      <c r="A120" s="0" t="s">
        <v>4554</v>
      </c>
      <c r="B120" s="0" t="s">
        <v>4555</v>
      </c>
      <c r="C120" s="0" t="s">
        <v>395</v>
      </c>
      <c r="D120" s="28" t="n">
        <f aca="false">Spend!E16</f>
        <v>43.663252190161</v>
      </c>
      <c r="E120" s="28" t="n">
        <f aca="false">Spend!F16</f>
        <v>233.578450255195</v>
      </c>
      <c r="F120" s="28" t="n">
        <f aca="false">Spend!G16</f>
        <v>393.649521615031</v>
      </c>
      <c r="G120" s="28" t="n">
        <f aca="false">Spend!H16</f>
        <v>832.617453978906</v>
      </c>
      <c r="H120" s="28" t="n">
        <f aca="false">Spend!I16</f>
        <v>995.577562853289</v>
      </c>
      <c r="I120" s="28" t="n">
        <f aca="false">Spend!J16</f>
        <v>1021.80155343636</v>
      </c>
      <c r="J120" s="28" t="n">
        <f aca="false">Spend!K16</f>
        <v>1036.87756605193</v>
      </c>
      <c r="K120" s="28" t="n">
        <f aca="false">Spend!L16</f>
        <v>910.285719813996</v>
      </c>
      <c r="L120" s="28" t="n">
        <f aca="false">Spend!M16</f>
        <v>624.666988937058</v>
      </c>
      <c r="M120" s="21" t="s">
        <v>4556</v>
      </c>
    </row>
    <row r="121" customFormat="false" ht="15" hidden="false" customHeight="false" outlineLevel="0" collapsed="false">
      <c r="A121" s="0" t="s">
        <v>4557</v>
      </c>
      <c r="B121" s="5" t="s">
        <v>4558</v>
      </c>
      <c r="C121" s="0" t="s">
        <v>395</v>
      </c>
      <c r="D121" s="28" t="n">
        <f aca="false">Spend!E18</f>
        <v>4.13051127590411</v>
      </c>
      <c r="E121" s="28" t="n">
        <f aca="false">Spend!F18</f>
        <v>23.0752669518602</v>
      </c>
      <c r="F121" s="28" t="n">
        <f aca="false">Spend!G18</f>
        <v>31.9141972257009</v>
      </c>
      <c r="G121" s="28" t="n">
        <f aca="false">Spend!H18</f>
        <v>61.1037475113945</v>
      </c>
      <c r="H121" s="28" t="n">
        <f aca="false">Spend!I18</f>
        <v>68.6543966383419</v>
      </c>
      <c r="I121" s="28" t="n">
        <f aca="false">Spend!J18</f>
        <v>70.5418436675014</v>
      </c>
      <c r="J121" s="28" t="n">
        <f aca="false">Spend!K18</f>
        <v>71.5826423641566</v>
      </c>
      <c r="K121" s="28" t="n">
        <f aca="false">Spend!L18</f>
        <v>62.8431545478924</v>
      </c>
      <c r="L121" s="28" t="n">
        <f aca="false">Spend!M18</f>
        <v>43.1249697454988</v>
      </c>
      <c r="M121" s="21" t="s">
        <v>4559</v>
      </c>
    </row>
    <row r="122" customFormat="false" ht="17.15" hidden="false" customHeight="false" outlineLevel="0" collapsed="false">
      <c r="A122" s="0" t="s">
        <v>4560</v>
      </c>
      <c r="B122" s="5" t="s">
        <v>4561</v>
      </c>
      <c r="C122" s="0" t="s">
        <v>395</v>
      </c>
      <c r="D122" s="28" t="n">
        <f aca="false">Spend!E19</f>
        <v>2.59169334958689</v>
      </c>
      <c r="E122" s="28" t="n">
        <f aca="false">Spend!F19</f>
        <v>14.4785988717555</v>
      </c>
      <c r="F122" s="28" t="n">
        <f aca="false">Spend!G19</f>
        <v>20.0245943376947</v>
      </c>
      <c r="G122" s="28" t="n">
        <f aca="false">Spend!H19</f>
        <v>38.3396062816593</v>
      </c>
      <c r="H122" s="28" t="n">
        <f aca="false">Spend!I19</f>
        <v>43.0772684789596</v>
      </c>
      <c r="I122" s="28" t="n">
        <f aca="false">Spend!J19</f>
        <v>44.261548967844</v>
      </c>
      <c r="J122" s="28" t="n">
        <f aca="false">Spend!K19</f>
        <v>44.9145991304512</v>
      </c>
      <c r="K122" s="28" t="n">
        <f aca="false">Spend!L19</f>
        <v>39.4309989320109</v>
      </c>
      <c r="L122" s="28" t="n">
        <f aca="false">Spend!M19</f>
        <v>27.0588045461953</v>
      </c>
      <c r="M122" s="21" t="s">
        <v>4562</v>
      </c>
    </row>
    <row r="123" customFormat="false" ht="17.15" hidden="false" customHeight="false" outlineLevel="0" collapsed="false">
      <c r="A123" s="0" t="s">
        <v>4563</v>
      </c>
      <c r="B123" s="0" t="s">
        <v>243</v>
      </c>
      <c r="C123" s="0" t="s">
        <v>395</v>
      </c>
      <c r="D123" s="28" t="n">
        <f aca="false">Spend!E20</f>
        <v>1.21485625761885</v>
      </c>
      <c r="E123" s="28" t="n">
        <f aca="false">Spend!F20</f>
        <v>6.78684322113537</v>
      </c>
      <c r="F123" s="28" t="n">
        <f aca="false">Spend!G20</f>
        <v>9.38652859579439</v>
      </c>
      <c r="G123" s="28" t="n">
        <f aca="false">Spend!H20</f>
        <v>17.9716904445278</v>
      </c>
      <c r="H123" s="28" t="n">
        <f aca="false">Spend!I20</f>
        <v>20.1924695995123</v>
      </c>
      <c r="I123" s="28" t="n">
        <f aca="false">Spend!J20</f>
        <v>20.7476010786769</v>
      </c>
      <c r="J123" s="28" t="n">
        <f aca="false">Spend!K20</f>
        <v>21.053718342399</v>
      </c>
      <c r="K123" s="28" t="n">
        <f aca="false">Spend!L20</f>
        <v>18.4832807493801</v>
      </c>
      <c r="L123" s="28" t="n">
        <f aca="false">Spend!M20</f>
        <v>12.6838146310291</v>
      </c>
      <c r="M123" s="21" t="s">
        <v>4564</v>
      </c>
    </row>
    <row r="124" customFormat="false" ht="15" hidden="false" customHeight="false" outlineLevel="0" collapsed="false">
      <c r="A124" s="0" t="s">
        <v>4565</v>
      </c>
      <c r="B124" s="5" t="s">
        <v>4566</v>
      </c>
      <c r="C124" s="0" t="s">
        <v>395</v>
      </c>
      <c r="D124" s="28" t="n">
        <f aca="false">Spend!E21</f>
        <v>3.07763585263443</v>
      </c>
      <c r="E124" s="28" t="n">
        <f aca="false">Spend!F21</f>
        <v>17.1933361602096</v>
      </c>
      <c r="F124" s="28" t="n">
        <f aca="false">Spend!G21</f>
        <v>23.7792057760125</v>
      </c>
      <c r="G124" s="28" t="n">
        <f aca="false">Spend!H21</f>
        <v>45.5282824594704</v>
      </c>
      <c r="H124" s="28" t="n">
        <f aca="false">Spend!I21</f>
        <v>51.1542563187645</v>
      </c>
      <c r="I124" s="28" t="n">
        <f aca="false">Spend!J21</f>
        <v>52.5605893993147</v>
      </c>
      <c r="J124" s="28" t="n">
        <f aca="false">Spend!K21</f>
        <v>53.3360864674108</v>
      </c>
      <c r="K124" s="28" t="n">
        <f aca="false">Spend!L21</f>
        <v>46.824311231763</v>
      </c>
      <c r="L124" s="28" t="n">
        <f aca="false">Spend!M21</f>
        <v>32.1323303986069</v>
      </c>
      <c r="M124" s="21" t="s">
        <v>4567</v>
      </c>
    </row>
    <row r="125" customFormat="false" ht="15" hidden="false" customHeight="false" outlineLevel="0" collapsed="false">
      <c r="A125" s="0" t="s">
        <v>4568</v>
      </c>
      <c r="B125" s="5" t="s">
        <v>4569</v>
      </c>
      <c r="C125" s="0" t="s">
        <v>395</v>
      </c>
      <c r="D125" s="28" t="n">
        <f aca="false">Spend!E22</f>
        <v>2.75367418393607</v>
      </c>
      <c r="E125" s="28" t="n">
        <f aca="false">Spend!F22</f>
        <v>15.3835113012402</v>
      </c>
      <c r="F125" s="28" t="n">
        <f aca="false">Spend!G22</f>
        <v>21.2761314838006</v>
      </c>
      <c r="G125" s="28" t="n">
        <f aca="false">Spend!H22</f>
        <v>40.735831674263</v>
      </c>
      <c r="H125" s="28" t="n">
        <f aca="false">Spend!I22</f>
        <v>45.7695977588946</v>
      </c>
      <c r="I125" s="28" t="n">
        <f aca="false">Spend!J22</f>
        <v>47.0278957783342</v>
      </c>
      <c r="J125" s="28" t="n">
        <f aca="false">Spend!K22</f>
        <v>47.7217615761044</v>
      </c>
      <c r="K125" s="28" t="n">
        <f aca="false">Spend!L22</f>
        <v>41.8954363652616</v>
      </c>
      <c r="L125" s="28" t="n">
        <f aca="false">Spend!M22</f>
        <v>28.7499798303325</v>
      </c>
      <c r="M125" s="21" t="s">
        <v>4570</v>
      </c>
    </row>
    <row r="126" customFormat="false" ht="15" hidden="false" customHeight="false" outlineLevel="0" collapsed="false">
      <c r="A126" s="0" t="s">
        <v>4571</v>
      </c>
      <c r="B126" s="5" t="s">
        <v>252</v>
      </c>
      <c r="C126" s="0" t="s">
        <v>395</v>
      </c>
      <c r="D126" s="28" t="n">
        <f aca="false">Spend!E23</f>
        <v>4.77843461330083</v>
      </c>
      <c r="E126" s="28" t="n">
        <f aca="false">Spend!F23</f>
        <v>26.6949166697991</v>
      </c>
      <c r="F126" s="28" t="n">
        <f aca="false">Spend!G23</f>
        <v>36.9203458101246</v>
      </c>
      <c r="G126" s="28" t="n">
        <f aca="false">Spend!H23</f>
        <v>70.6886490818093</v>
      </c>
      <c r="H126" s="28" t="n">
        <f aca="false">Spend!I23</f>
        <v>79.4237137580818</v>
      </c>
      <c r="I126" s="28" t="n">
        <f aca="false">Spend!J23</f>
        <v>81.6072309094624</v>
      </c>
      <c r="J126" s="28" t="n">
        <f aca="false">Spend!K23</f>
        <v>82.8112921467694</v>
      </c>
      <c r="K126" s="28" t="n">
        <f aca="false">Spend!L23</f>
        <v>72.7009042808951</v>
      </c>
      <c r="L126" s="28" t="n">
        <f aca="false">Spend!M23</f>
        <v>49.8896708820476</v>
      </c>
      <c r="M126" s="21" t="s">
        <v>4572</v>
      </c>
    </row>
    <row r="127" customFormat="false" ht="17.15" hidden="false" customHeight="false" outlineLevel="0" collapsed="false">
      <c r="A127" s="0" t="s">
        <v>4573</v>
      </c>
      <c r="B127" s="5" t="s">
        <v>4574</v>
      </c>
      <c r="C127" s="0" t="s">
        <v>395</v>
      </c>
      <c r="D127" s="28" t="n">
        <f aca="false">Spend!E24</f>
        <v>1.13386584044426</v>
      </c>
      <c r="E127" s="28" t="n">
        <f aca="false">Spend!F24</f>
        <v>6.33438700639301</v>
      </c>
      <c r="F127" s="28" t="n">
        <f aca="false">Spend!G24</f>
        <v>8.76076002274143</v>
      </c>
      <c r="G127" s="28" t="n">
        <f aca="false">Spend!H24</f>
        <v>16.7735777482259</v>
      </c>
      <c r="H127" s="28" t="n">
        <f aca="false">Spend!I24</f>
        <v>18.8463049595448</v>
      </c>
      <c r="I127" s="28" t="n">
        <f aca="false">Spend!J24</f>
        <v>19.3644276734317</v>
      </c>
      <c r="J127" s="28" t="n">
        <f aca="false">Spend!K24</f>
        <v>19.6501371195724</v>
      </c>
      <c r="K127" s="28" t="n">
        <f aca="false">Spend!L24</f>
        <v>17.2510620327548</v>
      </c>
      <c r="L127" s="28" t="n">
        <f aca="false">Spend!M24</f>
        <v>11.8382269889605</v>
      </c>
      <c r="M127" s="21" t="s">
        <v>4575</v>
      </c>
    </row>
    <row r="128" customFormat="false" ht="17.15" hidden="false" customHeight="false" outlineLevel="0" collapsed="false">
      <c r="A128" s="0" t="s">
        <v>4576</v>
      </c>
      <c r="B128" s="5" t="s">
        <v>258</v>
      </c>
      <c r="C128" s="0" t="s">
        <v>395</v>
      </c>
      <c r="D128" s="28" t="n">
        <f aca="false">Spend!E25</f>
        <v>0.485942503047542</v>
      </c>
      <c r="E128" s="28" t="n">
        <f aca="false">Spend!F25</f>
        <v>2.71473728845415</v>
      </c>
      <c r="F128" s="28" t="n">
        <f aca="false">Spend!G25</f>
        <v>3.75461143831776</v>
      </c>
      <c r="G128" s="28" t="n">
        <f aca="false">Spend!H25</f>
        <v>7.18867617781112</v>
      </c>
      <c r="H128" s="28" t="n">
        <f aca="false">Spend!I25</f>
        <v>8.07698783980493</v>
      </c>
      <c r="I128" s="28" t="n">
        <f aca="false">Spend!J25</f>
        <v>8.29904043147075</v>
      </c>
      <c r="J128" s="28" t="n">
        <f aca="false">Spend!K25</f>
        <v>8.4214873369596</v>
      </c>
      <c r="K128" s="28" t="n">
        <f aca="false">Spend!L25</f>
        <v>7.39331229975205</v>
      </c>
      <c r="L128" s="28" t="n">
        <f aca="false">Spend!M25</f>
        <v>5.07352585241162</v>
      </c>
      <c r="M128" s="21" t="s">
        <v>4577</v>
      </c>
    </row>
    <row r="129" customFormat="false" ht="15" hidden="false" customHeight="false" outlineLevel="0" collapsed="false">
      <c r="A129" s="0" t="s">
        <v>4578</v>
      </c>
      <c r="B129" s="5" t="s">
        <v>261</v>
      </c>
      <c r="C129" s="0" t="s">
        <v>395</v>
      </c>
      <c r="D129" s="28" t="n">
        <f aca="false">Spend!E26</f>
        <v>0.323961668698361</v>
      </c>
      <c r="E129" s="28" t="n">
        <f aca="false">Spend!F26</f>
        <v>1.80982485896943</v>
      </c>
      <c r="F129" s="28" t="n">
        <f aca="false">Spend!G26</f>
        <v>2.50307429221184</v>
      </c>
      <c r="G129" s="28" t="n">
        <f aca="false">Spend!H26</f>
        <v>4.79245078520741</v>
      </c>
      <c r="H129" s="28" t="n">
        <f aca="false">Spend!I26</f>
        <v>5.38465855986995</v>
      </c>
      <c r="I129" s="28" t="n">
        <f aca="false">Spend!J26</f>
        <v>5.5326936209805</v>
      </c>
      <c r="J129" s="28" t="n">
        <f aca="false">Spend!K26</f>
        <v>5.6143248913064</v>
      </c>
      <c r="K129" s="28" t="n">
        <f aca="false">Spend!L26</f>
        <v>4.92887486650137</v>
      </c>
      <c r="L129" s="28" t="n">
        <f aca="false">Spend!M26</f>
        <v>3.38235056827442</v>
      </c>
      <c r="M129" s="21" t="s">
        <v>4579</v>
      </c>
    </row>
    <row r="130" customFormat="false" ht="15" hidden="false" customHeight="false" outlineLevel="0" collapsed="false">
      <c r="A130" s="0" t="s">
        <v>4580</v>
      </c>
      <c r="B130" s="5" t="s">
        <v>4581</v>
      </c>
      <c r="C130" s="0" t="s">
        <v>395</v>
      </c>
      <c r="D130" s="28" t="n">
        <f aca="false">Spend!E27</f>
        <v>0.0323961668698383</v>
      </c>
      <c r="E130" s="28" t="n">
        <f aca="false">Spend!F27</f>
        <v>0.180982485896955</v>
      </c>
      <c r="F130" s="28" t="n">
        <f aca="false">Spend!G27</f>
        <v>0.250307429221201</v>
      </c>
      <c r="G130" s="28" t="n">
        <f aca="false">Spend!H27</f>
        <v>0.479245078520773</v>
      </c>
      <c r="H130" s="28" t="n">
        <f aca="false">Spend!I27</f>
        <v>0.538465855987031</v>
      </c>
      <c r="I130" s="28" t="n">
        <f aca="false">Spend!J27</f>
        <v>0.553269362098087</v>
      </c>
      <c r="J130" s="28" t="n">
        <f aca="false">Spend!K27</f>
        <v>0.561432489130678</v>
      </c>
      <c r="K130" s="28" t="n">
        <f aca="false">Spend!L27</f>
        <v>0.49288748665017</v>
      </c>
      <c r="L130" s="28" t="n">
        <f aca="false">Spend!M27</f>
        <v>0.338235056827464</v>
      </c>
      <c r="M130" s="21" t="s">
        <v>4582</v>
      </c>
    </row>
    <row r="131" customFormat="false" ht="15" hidden="false" customHeight="false" outlineLevel="0" collapsed="false">
      <c r="A131" s="0" t="s">
        <v>4583</v>
      </c>
      <c r="B131" s="5" t="s">
        <v>4584</v>
      </c>
      <c r="C131" s="0" t="s">
        <v>395</v>
      </c>
      <c r="D131" s="28" t="n">
        <f aca="false">Spend!E28</f>
        <v>20.5229717120412</v>
      </c>
      <c r="E131" s="28" t="n">
        <f aca="false">Spend!F28</f>
        <v>114.652404815713</v>
      </c>
      <c r="F131" s="28" t="n">
        <f aca="false">Spend!G28</f>
        <v>158.56975641162</v>
      </c>
      <c r="G131" s="28" t="n">
        <f aca="false">Spend!H28</f>
        <v>303.60175724289</v>
      </c>
      <c r="H131" s="28" t="n">
        <f aca="false">Spend!I28</f>
        <v>341.118119767761</v>
      </c>
      <c r="I131" s="28" t="n">
        <f aca="false">Spend!J28</f>
        <v>350.496140889115</v>
      </c>
      <c r="J131" s="28" t="n">
        <f aca="false">Spend!K28</f>
        <v>355.667481864261</v>
      </c>
      <c r="K131" s="28" t="n">
        <f aca="false">Spend!L28</f>
        <v>312.244222792862</v>
      </c>
      <c r="L131" s="28" t="n">
        <f aca="false">Spend!M28</f>
        <v>214.271908500184</v>
      </c>
      <c r="M131" s="21" t="s">
        <v>4585</v>
      </c>
    </row>
    <row r="132" customFormat="false" ht="17.15" hidden="false" customHeight="false" outlineLevel="0" collapsed="false">
      <c r="A132" s="0" t="s">
        <v>4586</v>
      </c>
      <c r="B132" s="0" t="s">
        <v>4241</v>
      </c>
      <c r="C132" s="0" t="s">
        <v>395</v>
      </c>
      <c r="D132" s="28" t="n">
        <f aca="false">Spend!E29</f>
        <v>0.746407684681024</v>
      </c>
      <c r="E132" s="28" t="n">
        <f aca="false">Spend!F29</f>
        <v>4.16983647506557</v>
      </c>
      <c r="F132" s="28" t="n">
        <f aca="false">Spend!G29</f>
        <v>5.76708316925607</v>
      </c>
      <c r="G132" s="28" t="n">
        <f aca="false">Spend!H29</f>
        <v>11.0418066091179</v>
      </c>
      <c r="H132" s="28" t="n">
        <f aca="false">Spend!I29</f>
        <v>12.4062533219404</v>
      </c>
      <c r="I132" s="28" t="n">
        <f aca="false">Spend!J29</f>
        <v>12.7473261027391</v>
      </c>
      <c r="J132" s="28" t="n">
        <f aca="false">Spend!K29</f>
        <v>12.9354045495699</v>
      </c>
      <c r="K132" s="28" t="n">
        <f aca="false">Spend!L29</f>
        <v>11.3561276924191</v>
      </c>
      <c r="L132" s="28" t="n">
        <f aca="false">Spend!M29</f>
        <v>7.79293570930425</v>
      </c>
      <c r="M132" s="21" t="s">
        <v>4587</v>
      </c>
    </row>
    <row r="133" customFormat="false" ht="17.15" hidden="false" customHeight="false" outlineLevel="0" collapsed="false">
      <c r="A133" s="0" t="s">
        <v>4588</v>
      </c>
      <c r="B133" s="5" t="s">
        <v>4589</v>
      </c>
      <c r="C133" s="0" t="s">
        <v>395</v>
      </c>
      <c r="D133" s="28" t="n">
        <f aca="false">Spend!E30</f>
        <v>64.9326315868833</v>
      </c>
      <c r="E133" s="28" t="n">
        <f aca="false">Spend!F30</f>
        <v>352.400691545974</v>
      </c>
      <c r="F133" s="28" t="n">
        <f aca="false">Spend!G30</f>
        <v>557.986361195907</v>
      </c>
      <c r="G133" s="28" t="n">
        <f aca="false">Spend!H30</f>
        <v>1147.26101783091</v>
      </c>
      <c r="H133" s="28" t="n">
        <f aca="false">Spend!I30</f>
        <v>1349.10193594299</v>
      </c>
      <c r="I133" s="28" t="n">
        <f aca="false">Spend!J30</f>
        <v>1385.04502042822</v>
      </c>
      <c r="J133" s="28" t="n">
        <f aca="false">Spend!K30</f>
        <v>1405.48045246576</v>
      </c>
      <c r="K133" s="28" t="n">
        <f aca="false">Spend!L30</f>
        <v>1233.88607029928</v>
      </c>
      <c r="L133" s="28" t="n">
        <f aca="false">Spend!M30</f>
        <v>846.731833146547</v>
      </c>
      <c r="M133" s="21" t="s">
        <v>4590</v>
      </c>
    </row>
    <row r="134" customFormat="false" ht="17.15" hidden="false" customHeight="false" outlineLevel="0" collapsed="false">
      <c r="A134" s="8" t="s">
        <v>4591</v>
      </c>
    </row>
    <row r="135" customFormat="false" ht="15" hidden="false" customHeight="false" outlineLevel="0" collapsed="false">
      <c r="A135" s="0" t="s">
        <v>4592</v>
      </c>
      <c r="B135" s="5" t="s">
        <v>4558</v>
      </c>
      <c r="C135" s="0" t="s">
        <v>230</v>
      </c>
      <c r="D135" s="28" t="n">
        <f aca="false">Facility!E5</f>
        <v>2.55</v>
      </c>
      <c r="E135" s="28" t="n">
        <f aca="false">Facility!F5</f>
        <v>2.55</v>
      </c>
      <c r="F135" s="28" t="n">
        <f aca="false">Facility!G5</f>
        <v>2.55</v>
      </c>
      <c r="G135" s="28" t="n">
        <f aca="false">Facility!H5</f>
        <v>2.55</v>
      </c>
      <c r="H135" s="28" t="n">
        <f aca="false">Facility!I5</f>
        <v>2.55</v>
      </c>
      <c r="I135" s="28" t="n">
        <f aca="false">Facility!J5</f>
        <v>2.55</v>
      </c>
      <c r="J135" s="28" t="n">
        <f aca="false">Facility!K5</f>
        <v>2.55</v>
      </c>
      <c r="K135" s="28" t="n">
        <f aca="false">Facility!L5</f>
        <v>2.55</v>
      </c>
      <c r="L135" s="28" t="n">
        <f aca="false">Facility!M5</f>
        <v>2.55</v>
      </c>
      <c r="M135" s="21" t="s">
        <v>4593</v>
      </c>
    </row>
    <row r="136" customFormat="false" ht="17.15" hidden="false" customHeight="false" outlineLevel="0" collapsed="false">
      <c r="A136" s="0" t="s">
        <v>4594</v>
      </c>
      <c r="B136" s="5" t="s">
        <v>4561</v>
      </c>
      <c r="C136" s="0" t="s">
        <v>230</v>
      </c>
      <c r="D136" s="28" t="n">
        <f aca="false">Facility!E6</f>
        <v>1.6</v>
      </c>
      <c r="E136" s="28" t="n">
        <f aca="false">Facility!F6</f>
        <v>1.6</v>
      </c>
      <c r="F136" s="28" t="n">
        <f aca="false">Facility!G6</f>
        <v>1.6</v>
      </c>
      <c r="G136" s="28" t="n">
        <f aca="false">Facility!H6</f>
        <v>1.6</v>
      </c>
      <c r="H136" s="28" t="n">
        <f aca="false">Facility!I6</f>
        <v>1.6</v>
      </c>
      <c r="I136" s="28" t="n">
        <f aca="false">Facility!J6</f>
        <v>1.6</v>
      </c>
      <c r="J136" s="28" t="n">
        <f aca="false">Facility!K6</f>
        <v>1.6</v>
      </c>
      <c r="K136" s="28" t="n">
        <f aca="false">Facility!L6</f>
        <v>1.6</v>
      </c>
      <c r="L136" s="28" t="n">
        <f aca="false">Facility!M6</f>
        <v>1.6</v>
      </c>
      <c r="M136" s="21" t="s">
        <v>4595</v>
      </c>
    </row>
    <row r="137" customFormat="false" ht="17.15" hidden="false" customHeight="false" outlineLevel="0" collapsed="false">
      <c r="A137" s="0" t="s">
        <v>4596</v>
      </c>
      <c r="B137" s="0" t="s">
        <v>243</v>
      </c>
      <c r="C137" s="0" t="s">
        <v>230</v>
      </c>
      <c r="D137" s="28" t="n">
        <f aca="false">Facility!E7</f>
        <v>0.75</v>
      </c>
      <c r="E137" s="28" t="n">
        <f aca="false">Facility!F7</f>
        <v>0.75</v>
      </c>
      <c r="F137" s="28" t="n">
        <f aca="false">Facility!G7</f>
        <v>0.75</v>
      </c>
      <c r="G137" s="28" t="n">
        <f aca="false">Facility!H7</f>
        <v>0.75</v>
      </c>
      <c r="H137" s="28" t="n">
        <f aca="false">Facility!I7</f>
        <v>0.75</v>
      </c>
      <c r="I137" s="28" t="n">
        <f aca="false">Facility!J7</f>
        <v>0.75</v>
      </c>
      <c r="J137" s="28" t="n">
        <f aca="false">Facility!K7</f>
        <v>0.75</v>
      </c>
      <c r="K137" s="28" t="n">
        <f aca="false">Facility!L7</f>
        <v>0.75</v>
      </c>
      <c r="L137" s="28" t="n">
        <f aca="false">Facility!M7</f>
        <v>0.75</v>
      </c>
      <c r="M137" s="21" t="s">
        <v>4597</v>
      </c>
    </row>
    <row r="138" customFormat="false" ht="15" hidden="false" customHeight="false" outlineLevel="0" collapsed="false">
      <c r="A138" s="0" t="s">
        <v>4598</v>
      </c>
      <c r="B138" s="5" t="s">
        <v>4566</v>
      </c>
      <c r="C138" s="0" t="s">
        <v>230</v>
      </c>
      <c r="D138" s="28" t="n">
        <f aca="false">Facility!E8</f>
        <v>1.9</v>
      </c>
      <c r="E138" s="28" t="n">
        <f aca="false">Facility!F8</f>
        <v>1.9</v>
      </c>
      <c r="F138" s="28" t="n">
        <f aca="false">Facility!G8</f>
        <v>1.9</v>
      </c>
      <c r="G138" s="28" t="n">
        <f aca="false">Facility!H8</f>
        <v>1.9</v>
      </c>
      <c r="H138" s="28" t="n">
        <f aca="false">Facility!I8</f>
        <v>1.9</v>
      </c>
      <c r="I138" s="28" t="n">
        <f aca="false">Facility!J8</f>
        <v>1.9</v>
      </c>
      <c r="J138" s="28" t="n">
        <f aca="false">Facility!K8</f>
        <v>1.9</v>
      </c>
      <c r="K138" s="28" t="n">
        <f aca="false">Facility!L8</f>
        <v>1.9</v>
      </c>
      <c r="L138" s="28" t="n">
        <f aca="false">Facility!M8</f>
        <v>1.9</v>
      </c>
      <c r="M138" s="21" t="s">
        <v>4599</v>
      </c>
    </row>
    <row r="139" customFormat="false" ht="15" hidden="false" customHeight="false" outlineLevel="0" collapsed="false">
      <c r="A139" s="0" t="s">
        <v>4600</v>
      </c>
      <c r="B139" s="5" t="s">
        <v>4569</v>
      </c>
      <c r="C139" s="0" t="s">
        <v>230</v>
      </c>
      <c r="D139" s="28" t="n">
        <f aca="false">Facility!E9</f>
        <v>1.7</v>
      </c>
      <c r="E139" s="28" t="n">
        <f aca="false">Facility!F9</f>
        <v>1.7</v>
      </c>
      <c r="F139" s="28" t="n">
        <f aca="false">Facility!G9</f>
        <v>1.7</v>
      </c>
      <c r="G139" s="28" t="n">
        <f aca="false">Facility!H9</f>
        <v>1.7</v>
      </c>
      <c r="H139" s="28" t="n">
        <f aca="false">Facility!I9</f>
        <v>1.7</v>
      </c>
      <c r="I139" s="28" t="n">
        <f aca="false">Facility!J9</f>
        <v>1.7</v>
      </c>
      <c r="J139" s="28" t="n">
        <f aca="false">Facility!K9</f>
        <v>1.7</v>
      </c>
      <c r="K139" s="28" t="n">
        <f aca="false">Facility!L9</f>
        <v>1.7</v>
      </c>
      <c r="L139" s="28" t="n">
        <f aca="false">Facility!M9</f>
        <v>1.7</v>
      </c>
      <c r="M139" s="21" t="s">
        <v>4601</v>
      </c>
    </row>
    <row r="140" customFormat="false" ht="15" hidden="false" customHeight="false" outlineLevel="0" collapsed="false">
      <c r="A140" s="0" t="s">
        <v>4602</v>
      </c>
      <c r="B140" s="5" t="s">
        <v>252</v>
      </c>
      <c r="C140" s="0" t="s">
        <v>230</v>
      </c>
      <c r="D140" s="28" t="n">
        <f aca="false">Facility!E10</f>
        <v>2.95</v>
      </c>
      <c r="E140" s="28" t="n">
        <f aca="false">Facility!F10</f>
        <v>2.95</v>
      </c>
      <c r="F140" s="28" t="n">
        <f aca="false">Facility!G10</f>
        <v>2.95</v>
      </c>
      <c r="G140" s="28" t="n">
        <f aca="false">Facility!H10</f>
        <v>2.95</v>
      </c>
      <c r="H140" s="28" t="n">
        <f aca="false">Facility!I10</f>
        <v>2.95</v>
      </c>
      <c r="I140" s="28" t="n">
        <f aca="false">Facility!J10</f>
        <v>2.95</v>
      </c>
      <c r="J140" s="28" t="n">
        <f aca="false">Facility!K10</f>
        <v>2.95</v>
      </c>
      <c r="K140" s="28" t="n">
        <f aca="false">Facility!L10</f>
        <v>2.95</v>
      </c>
      <c r="L140" s="28" t="n">
        <f aca="false">Facility!M10</f>
        <v>2.95</v>
      </c>
      <c r="M140" s="21" t="s">
        <v>4603</v>
      </c>
    </row>
    <row r="141" customFormat="false" ht="17.15" hidden="false" customHeight="false" outlineLevel="0" collapsed="false">
      <c r="A141" s="0" t="s">
        <v>4604</v>
      </c>
      <c r="B141" s="5" t="s">
        <v>4574</v>
      </c>
      <c r="C141" s="0" t="s">
        <v>230</v>
      </c>
      <c r="D141" s="28" t="n">
        <f aca="false">Facility!E11</f>
        <v>0.7</v>
      </c>
      <c r="E141" s="28" t="n">
        <f aca="false">Facility!F11</f>
        <v>0.7</v>
      </c>
      <c r="F141" s="28" t="n">
        <f aca="false">Facility!G11</f>
        <v>0.7</v>
      </c>
      <c r="G141" s="28" t="n">
        <f aca="false">Facility!H11</f>
        <v>0.7</v>
      </c>
      <c r="H141" s="28" t="n">
        <f aca="false">Facility!I11</f>
        <v>0.7</v>
      </c>
      <c r="I141" s="28" t="n">
        <f aca="false">Facility!J11</f>
        <v>0.7</v>
      </c>
      <c r="J141" s="28" t="n">
        <f aca="false">Facility!K11</f>
        <v>0.7</v>
      </c>
      <c r="K141" s="28" t="n">
        <f aca="false">Facility!L11</f>
        <v>0.7</v>
      </c>
      <c r="L141" s="28" t="n">
        <f aca="false">Facility!M11</f>
        <v>0.7</v>
      </c>
      <c r="M141" s="21" t="s">
        <v>4605</v>
      </c>
    </row>
    <row r="142" customFormat="false" ht="17.15" hidden="false" customHeight="false" outlineLevel="0" collapsed="false">
      <c r="A142" s="0" t="s">
        <v>4606</v>
      </c>
      <c r="B142" s="5" t="s">
        <v>258</v>
      </c>
      <c r="C142" s="0" t="s">
        <v>230</v>
      </c>
      <c r="D142" s="28" t="n">
        <f aca="false">Facility!E12</f>
        <v>0.3</v>
      </c>
      <c r="E142" s="28" t="n">
        <f aca="false">Facility!F12</f>
        <v>0.3</v>
      </c>
      <c r="F142" s="28" t="n">
        <f aca="false">Facility!G12</f>
        <v>0.3</v>
      </c>
      <c r="G142" s="28" t="n">
        <f aca="false">Facility!H12</f>
        <v>0.3</v>
      </c>
      <c r="H142" s="28" t="n">
        <f aca="false">Facility!I12</f>
        <v>0.3</v>
      </c>
      <c r="I142" s="28" t="n">
        <f aca="false">Facility!J12</f>
        <v>0.3</v>
      </c>
      <c r="J142" s="28" t="n">
        <f aca="false">Facility!K12</f>
        <v>0.3</v>
      </c>
      <c r="K142" s="28" t="n">
        <f aca="false">Facility!L12</f>
        <v>0.3</v>
      </c>
      <c r="L142" s="28" t="n">
        <f aca="false">Facility!M12</f>
        <v>0.3</v>
      </c>
      <c r="M142" s="21" t="s">
        <v>4607</v>
      </c>
    </row>
    <row r="143" customFormat="false" ht="15" hidden="false" customHeight="false" outlineLevel="0" collapsed="false">
      <c r="A143" s="0" t="s">
        <v>4608</v>
      </c>
      <c r="B143" s="5" t="s">
        <v>261</v>
      </c>
      <c r="C143" s="0" t="s">
        <v>230</v>
      </c>
      <c r="D143" s="28" t="n">
        <f aca="false">Facility!E13</f>
        <v>0.2</v>
      </c>
      <c r="E143" s="28" t="n">
        <f aca="false">Facility!F13</f>
        <v>0.2</v>
      </c>
      <c r="F143" s="28" t="n">
        <f aca="false">Facility!G13</f>
        <v>0.2</v>
      </c>
      <c r="G143" s="28" t="n">
        <f aca="false">Facility!H13</f>
        <v>0.2</v>
      </c>
      <c r="H143" s="28" t="n">
        <f aca="false">Facility!I13</f>
        <v>0.2</v>
      </c>
      <c r="I143" s="28" t="n">
        <f aca="false">Facility!J13</f>
        <v>0.2</v>
      </c>
      <c r="J143" s="28" t="n">
        <f aca="false">Facility!K13</f>
        <v>0.2</v>
      </c>
      <c r="K143" s="28" t="n">
        <f aca="false">Facility!L13</f>
        <v>0.2</v>
      </c>
      <c r="L143" s="28" t="n">
        <f aca="false">Facility!M13</f>
        <v>0.2</v>
      </c>
      <c r="M143" s="21" t="s">
        <v>4609</v>
      </c>
    </row>
    <row r="144" customFormat="false" ht="17.15" hidden="false" customHeight="false" outlineLevel="0" collapsed="false">
      <c r="A144" s="0" t="s">
        <v>4610</v>
      </c>
      <c r="B144" s="5" t="s">
        <v>4611</v>
      </c>
      <c r="C144" s="0" t="s">
        <v>230</v>
      </c>
      <c r="D144" s="28" t="n">
        <f aca="false">Facility!E14</f>
        <v>0.0200000000000014</v>
      </c>
      <c r="E144" s="28" t="n">
        <f aca="false">Facility!F14</f>
        <v>0.0200000000000014</v>
      </c>
      <c r="F144" s="28" t="n">
        <f aca="false">Facility!G14</f>
        <v>0.0200000000000014</v>
      </c>
      <c r="G144" s="28" t="n">
        <f aca="false">Facility!H14</f>
        <v>0.0200000000000014</v>
      </c>
      <c r="H144" s="28" t="n">
        <f aca="false">Facility!I14</f>
        <v>0.0200000000000014</v>
      </c>
      <c r="I144" s="28" t="n">
        <f aca="false">Facility!J14</f>
        <v>0.0200000000000014</v>
      </c>
      <c r="J144" s="28" t="n">
        <f aca="false">Facility!K14</f>
        <v>0.0200000000000014</v>
      </c>
      <c r="K144" s="28" t="n">
        <f aca="false">Facility!L14</f>
        <v>0.0200000000000014</v>
      </c>
      <c r="L144" s="28" t="n">
        <f aca="false">Facility!M14</f>
        <v>0.0200000000000014</v>
      </c>
      <c r="M144" s="21" t="s">
        <v>4612</v>
      </c>
    </row>
    <row r="145" customFormat="false" ht="17.15" hidden="false" customHeight="false" outlineLevel="0" collapsed="false">
      <c r="A145" s="0" t="s">
        <v>4613</v>
      </c>
      <c r="B145" s="5" t="s">
        <v>4614</v>
      </c>
      <c r="C145" s="0" t="s">
        <v>230</v>
      </c>
      <c r="D145" s="28" t="n">
        <f aca="false">Facility!E16</f>
        <v>2.304</v>
      </c>
      <c r="E145" s="28" t="n">
        <f aca="false">Facility!F16</f>
        <v>2.304</v>
      </c>
      <c r="F145" s="28" t="n">
        <f aca="false">Facility!G16</f>
        <v>2.304</v>
      </c>
      <c r="G145" s="28" t="n">
        <f aca="false">Facility!H16</f>
        <v>2.304</v>
      </c>
      <c r="H145" s="28" t="n">
        <f aca="false">Facility!I16</f>
        <v>2.304</v>
      </c>
      <c r="I145" s="28" t="n">
        <f aca="false">Facility!J16</f>
        <v>2.304</v>
      </c>
      <c r="J145" s="28" t="n">
        <f aca="false">Facility!K16</f>
        <v>2.304</v>
      </c>
      <c r="K145" s="28" t="n">
        <f aca="false">Facility!L16</f>
        <v>2.304</v>
      </c>
      <c r="L145" s="28" t="n">
        <f aca="false">Facility!M16</f>
        <v>2.304</v>
      </c>
      <c r="M145" s="21" t="s">
        <v>4615</v>
      </c>
    </row>
    <row r="146" customFormat="false" ht="17.15" hidden="false" customHeight="false" outlineLevel="0" collapsed="false">
      <c r="A146" s="0" t="s">
        <v>4616</v>
      </c>
      <c r="B146" s="5" t="s">
        <v>4617</v>
      </c>
      <c r="C146" s="0" t="s">
        <v>82</v>
      </c>
      <c r="D146" s="28" t="n">
        <f aca="false">Facility!E38</f>
        <v>2.59169334958689</v>
      </c>
      <c r="E146" s="28" t="n">
        <f aca="false">Facility!F38</f>
        <v>14.4785988717555</v>
      </c>
      <c r="F146" s="28" t="n">
        <f aca="false">Facility!G38</f>
        <v>20.0245943376947</v>
      </c>
      <c r="G146" s="28" t="n">
        <f aca="false">Facility!H38</f>
        <v>38.3396062816593</v>
      </c>
      <c r="H146" s="28" t="n">
        <f aca="false">Facility!I38</f>
        <v>43.0772684789596</v>
      </c>
      <c r="I146" s="28" t="n">
        <f aca="false">Facility!J38</f>
        <v>44.261548967844</v>
      </c>
      <c r="J146" s="28" t="n">
        <f aca="false">Facility!K38</f>
        <v>44.9145991304512</v>
      </c>
      <c r="K146" s="28" t="n">
        <f aca="false">Facility!L38</f>
        <v>39.4309989320109</v>
      </c>
      <c r="L146" s="28" t="n">
        <f aca="false">Facility!M38</f>
        <v>27.0588045461953</v>
      </c>
      <c r="M146" s="21" t="s">
        <v>4618</v>
      </c>
    </row>
    <row r="147" customFormat="false" ht="17.15" hidden="false" customHeight="false" outlineLevel="0" collapsed="false">
      <c r="A147" s="0" t="s">
        <v>4619</v>
      </c>
      <c r="B147" s="5" t="s">
        <v>4620</v>
      </c>
      <c r="C147" s="0" t="s">
        <v>82</v>
      </c>
      <c r="D147" s="28" t="n">
        <f aca="false">Facility!E39</f>
        <v>0.46650480292564</v>
      </c>
      <c r="E147" s="28" t="n">
        <f aca="false">Facility!F39</f>
        <v>2.60614779691598</v>
      </c>
      <c r="F147" s="28" t="n">
        <f aca="false">Facility!G39</f>
        <v>3.60442698078505</v>
      </c>
      <c r="G147" s="28" t="n">
        <f aca="false">Facility!H39</f>
        <v>6.90112913069867</v>
      </c>
      <c r="H147" s="28" t="n">
        <f aca="false">Facility!I39</f>
        <v>7.75390832621273</v>
      </c>
      <c r="I147" s="28" t="n">
        <f aca="false">Facility!J39</f>
        <v>7.96707881421192</v>
      </c>
      <c r="J147" s="28" t="n">
        <f aca="false">Facility!K39</f>
        <v>8.08462784348122</v>
      </c>
      <c r="K147" s="28" t="n">
        <f aca="false">Facility!L39</f>
        <v>7.09757980776197</v>
      </c>
      <c r="L147" s="28" t="n">
        <f aca="false">Facility!M39</f>
        <v>4.87058481831516</v>
      </c>
      <c r="M147" s="21" t="s">
        <v>4621</v>
      </c>
    </row>
    <row r="148" customFormat="false" ht="17.15" hidden="false" customHeight="false" outlineLevel="0" collapsed="false">
      <c r="A148" s="8" t="s">
        <v>4622</v>
      </c>
    </row>
    <row r="149" customFormat="false" ht="15" hidden="false" customHeight="false" outlineLevel="0" collapsed="false">
      <c r="A149" s="6" t="s">
        <v>1713</v>
      </c>
      <c r="B149" s="6" t="s">
        <v>1723</v>
      </c>
      <c r="C149" s="6" t="s">
        <v>2003</v>
      </c>
      <c r="D149" s="6" t="s">
        <v>2090</v>
      </c>
      <c r="E149" s="6" t="s">
        <v>20</v>
      </c>
      <c r="F149" s="6"/>
      <c r="G149" s="6"/>
      <c r="H149" s="6"/>
      <c r="I149" s="6"/>
      <c r="J149" s="6"/>
      <c r="K149" s="6"/>
      <c r="L149" s="6"/>
      <c r="M149" s="6" t="s">
        <v>4249</v>
      </c>
    </row>
    <row r="150" customFormat="false" ht="17.15" hidden="false" customHeight="false" outlineLevel="0" collapsed="false">
      <c r="A150" s="0" t="s">
        <v>4623</v>
      </c>
      <c r="B150" s="0" t="s">
        <v>1692</v>
      </c>
      <c r="C150" s="0" t="n">
        <v>2024</v>
      </c>
      <c r="D150" s="37" t="str">
        <f aca="false">IF(Funding!W5="","",Funding!W5)</f>
        <v/>
      </c>
      <c r="E150" s="21" t="s">
        <v>4624</v>
      </c>
      <c r="M150" s="21" t="s">
        <v>4625</v>
      </c>
    </row>
    <row r="151" customFormat="false" ht="17.15" hidden="false" customHeight="false" outlineLevel="0" collapsed="false">
      <c r="A151" s="0" t="s">
        <v>4626</v>
      </c>
      <c r="B151" s="0" t="s">
        <v>1692</v>
      </c>
      <c r="C151" s="0" t="n">
        <v>2024</v>
      </c>
      <c r="D151" s="43" t="str">
        <f aca="false">IF(Funding!AC5="","",Funding!AC5)</f>
        <v/>
      </c>
      <c r="E151" s="21" t="s">
        <v>4627</v>
      </c>
      <c r="M151" s="21" t="s">
        <v>4628</v>
      </c>
    </row>
    <row r="152" customFormat="false" ht="17.15" hidden="false" customHeight="false" outlineLevel="0" collapsed="false">
      <c r="A152" s="0" t="s">
        <v>4629</v>
      </c>
      <c r="B152" s="0" t="s">
        <v>1692</v>
      </c>
      <c r="C152" s="0" t="n">
        <v>2024</v>
      </c>
      <c r="D152" s="43" t="str">
        <f aca="false">IF(Funding!AD5="","",Funding!AD5)</f>
        <v/>
      </c>
      <c r="E152" s="21" t="s">
        <v>4630</v>
      </c>
      <c r="M152" s="21" t="s">
        <v>4631</v>
      </c>
    </row>
    <row r="153" customFormat="false" ht="17.15" hidden="false" customHeight="false" outlineLevel="0" collapsed="false">
      <c r="A153" s="0" t="s">
        <v>4632</v>
      </c>
      <c r="B153" s="0" t="s">
        <v>1692</v>
      </c>
      <c r="C153" s="0" t="n">
        <v>2024</v>
      </c>
      <c r="D153" s="43" t="str">
        <f aca="false">IF(Funding!AE5="","",Funding!AE5)</f>
        <v/>
      </c>
      <c r="E153" s="21" t="s">
        <v>4633</v>
      </c>
      <c r="M153" s="21" t="s">
        <v>4634</v>
      </c>
    </row>
    <row r="154" customFormat="false" ht="17.15" hidden="false" customHeight="false" outlineLevel="0" collapsed="false">
      <c r="A154" s="0" t="s">
        <v>4635</v>
      </c>
      <c r="B154" s="0" t="s">
        <v>1692</v>
      </c>
      <c r="C154" s="0" t="n">
        <v>2024</v>
      </c>
      <c r="D154" s="43" t="str">
        <f aca="false">IF(Funding!AF5="","",Funding!AF5)</f>
        <v/>
      </c>
      <c r="E154" s="21" t="s">
        <v>4636</v>
      </c>
      <c r="M154" s="21" t="s">
        <v>4637</v>
      </c>
    </row>
    <row r="155" customFormat="false" ht="17.15" hidden="false" customHeight="false" outlineLevel="0" collapsed="false">
      <c r="A155" s="0" t="s">
        <v>4638</v>
      </c>
      <c r="B155" s="0" t="s">
        <v>1692</v>
      </c>
      <c r="C155" s="0" t="n">
        <v>2024</v>
      </c>
      <c r="D155" s="43" t="str">
        <f aca="false">IF(Funding!AG5="","",Funding!AG5)</f>
        <v/>
      </c>
      <c r="E155" s="21" t="s">
        <v>4639</v>
      </c>
      <c r="M155" s="21" t="s">
        <v>4640</v>
      </c>
    </row>
    <row r="156" customFormat="false" ht="17.15" hidden="false" customHeight="false" outlineLevel="0" collapsed="false">
      <c r="A156" s="0" t="s">
        <v>4641</v>
      </c>
      <c r="B156" s="0" t="s">
        <v>1692</v>
      </c>
      <c r="C156" s="0" t="n">
        <v>2024</v>
      </c>
      <c r="D156" s="37" t="n">
        <f aca="false">IF(Funding!AL5="","",Funding!AL5)</f>
        <v>24.395</v>
      </c>
      <c r="E156" s="21" t="s">
        <v>4642</v>
      </c>
      <c r="M156" s="21" t="s">
        <v>4643</v>
      </c>
    </row>
    <row r="157" customFormat="false" ht="17.15" hidden="false" customHeight="false" outlineLevel="0" collapsed="false">
      <c r="A157" s="0" t="s">
        <v>4644</v>
      </c>
      <c r="B157" s="0" t="s">
        <v>1692</v>
      </c>
      <c r="C157" s="0" t="n">
        <v>2024</v>
      </c>
      <c r="D157" s="43" t="str">
        <f aca="false">IF(Funding!AM5="","",Funding!AM5)</f>
        <v/>
      </c>
      <c r="E157" s="21" t="s">
        <v>4645</v>
      </c>
      <c r="M157" s="21" t="s">
        <v>4646</v>
      </c>
    </row>
    <row r="158" customFormat="false" ht="17.15" hidden="false" customHeight="false" outlineLevel="0" collapsed="false">
      <c r="A158" s="0" t="s">
        <v>4647</v>
      </c>
      <c r="B158" s="0" t="s">
        <v>1692</v>
      </c>
      <c r="C158" s="0" t="n">
        <v>2024</v>
      </c>
      <c r="D158" s="43" t="str">
        <f aca="false">IF(Funding!AN5="","",Funding!AN5)</f>
        <v/>
      </c>
      <c r="E158" s="21" t="s">
        <v>4648</v>
      </c>
      <c r="M158" s="21" t="s">
        <v>4649</v>
      </c>
    </row>
    <row r="159" customFormat="false" ht="17.15" hidden="false" customHeight="false" outlineLevel="0" collapsed="false">
      <c r="A159" s="0" t="s">
        <v>4650</v>
      </c>
      <c r="B159" s="0" t="s">
        <v>1692</v>
      </c>
      <c r="C159" s="0" t="n">
        <v>2024</v>
      </c>
      <c r="D159" s="43" t="str">
        <f aca="false">IF(Funding!AO5="","",Funding!AO5)</f>
        <v/>
      </c>
      <c r="E159" s="21" t="s">
        <v>4651</v>
      </c>
      <c r="M159" s="21" t="s">
        <v>4652</v>
      </c>
    </row>
    <row r="160" customFormat="false" ht="17.15" hidden="false" customHeight="false" outlineLevel="0" collapsed="false">
      <c r="A160" s="0" t="s">
        <v>4653</v>
      </c>
      <c r="B160" s="0" t="s">
        <v>1692</v>
      </c>
      <c r="C160" s="0" t="n">
        <v>2024</v>
      </c>
      <c r="D160" s="43" t="str">
        <f aca="false">IF(Funding!AP5="","",Funding!AP5)</f>
        <v/>
      </c>
      <c r="E160" s="21" t="s">
        <v>4654</v>
      </c>
      <c r="M160" s="21" t="s">
        <v>4655</v>
      </c>
    </row>
    <row r="161" customFormat="false" ht="17.15" hidden="false" customHeight="false" outlineLevel="0" collapsed="false">
      <c r="A161" s="0" t="s">
        <v>4656</v>
      </c>
      <c r="B161" s="0" t="s">
        <v>1692</v>
      </c>
      <c r="C161" s="0" t="n">
        <v>2024</v>
      </c>
      <c r="D161" s="43" t="str">
        <f aca="false">IF(Funding!AQ5="","",Funding!AQ5)</f>
        <v/>
      </c>
      <c r="E161" s="21" t="s">
        <v>4657</v>
      </c>
      <c r="M161" s="21" t="s">
        <v>4658</v>
      </c>
    </row>
    <row r="162" customFormat="false" ht="17.15" hidden="false" customHeight="false" outlineLevel="0" collapsed="false">
      <c r="A162" s="0" t="s">
        <v>4659</v>
      </c>
      <c r="B162" s="0" t="s">
        <v>1692</v>
      </c>
      <c r="C162" s="0" t="n">
        <v>2024</v>
      </c>
      <c r="D162" s="37" t="str">
        <f aca="false">IF(Funding!E5="","",Funding!E5)</f>
        <v/>
      </c>
      <c r="E162" s="21" t="s">
        <v>2105</v>
      </c>
      <c r="M162" s="21" t="s">
        <v>4660</v>
      </c>
    </row>
    <row r="163" customFormat="false" ht="17.15" hidden="false" customHeight="false" outlineLevel="0" collapsed="false">
      <c r="A163" s="0" t="s">
        <v>4661</v>
      </c>
      <c r="B163" s="0" t="s">
        <v>1692</v>
      </c>
      <c r="C163" s="0" t="n">
        <v>2024</v>
      </c>
      <c r="D163" s="37" t="str">
        <f aca="false">IF(Funding!I5="","",Funding!I5)</f>
        <v/>
      </c>
      <c r="E163" s="21" t="s">
        <v>2111</v>
      </c>
      <c r="M163" s="21" t="s">
        <v>4662</v>
      </c>
    </row>
    <row r="164" customFormat="false" ht="17.15" hidden="false" customHeight="false" outlineLevel="0" collapsed="false">
      <c r="A164" s="0" t="s">
        <v>4663</v>
      </c>
      <c r="B164" s="0" t="s">
        <v>1692</v>
      </c>
      <c r="C164" s="0" t="n">
        <v>2024</v>
      </c>
      <c r="D164" s="37" t="str">
        <f aca="false">IF(Funding!O5="","",Funding!O5)</f>
        <v/>
      </c>
      <c r="E164" s="21" t="s">
        <v>4664</v>
      </c>
      <c r="M164" s="21" t="s">
        <v>4665</v>
      </c>
    </row>
    <row r="165" customFormat="false" ht="17.15" hidden="false" customHeight="false" outlineLevel="0" collapsed="false">
      <c r="A165" s="0" t="s">
        <v>4666</v>
      </c>
      <c r="B165" s="0" t="s">
        <v>1692</v>
      </c>
      <c r="C165" s="0" t="n">
        <v>2024</v>
      </c>
      <c r="D165" s="37" t="n">
        <f aca="false">N(Funding!J5)+N(Funding!K5)+N(Funding!L5)+N(Funding!M5)</f>
        <v>24.395</v>
      </c>
      <c r="E165" s="21" t="s">
        <v>4667</v>
      </c>
      <c r="M165" s="21" t="s">
        <v>4668</v>
      </c>
    </row>
    <row r="166" customFormat="false" ht="17.15" hidden="false" customHeight="false" outlineLevel="0" collapsed="false">
      <c r="A166" s="0" t="s">
        <v>4669</v>
      </c>
      <c r="B166" s="0" t="s">
        <v>1692</v>
      </c>
      <c r="C166" s="0" t="n">
        <v>2024</v>
      </c>
      <c r="D166" s="37" t="str">
        <f aca="false">IF(Funding!R5="","",Funding!R5)</f>
        <v/>
      </c>
      <c r="E166" s="21" t="s">
        <v>4670</v>
      </c>
      <c r="M166" s="21" t="s">
        <v>4671</v>
      </c>
    </row>
    <row r="167" customFormat="false" ht="17.15" hidden="false" customHeight="false" outlineLevel="0" collapsed="false">
      <c r="A167" s="0" t="s">
        <v>4672</v>
      </c>
      <c r="B167" s="0" t="s">
        <v>1692</v>
      </c>
      <c r="C167" s="0" t="n">
        <v>2025</v>
      </c>
      <c r="D167" s="37" t="n">
        <f aca="false">IF(Funding!W6="","",Funding!W6)</f>
        <v>85.062</v>
      </c>
      <c r="E167" s="21" t="s">
        <v>4624</v>
      </c>
      <c r="M167" s="21" t="s">
        <v>4673</v>
      </c>
    </row>
    <row r="168" customFormat="false" ht="17.15" hidden="false" customHeight="false" outlineLevel="0" collapsed="false">
      <c r="A168" s="0" t="s">
        <v>4674</v>
      </c>
      <c r="B168" s="0" t="s">
        <v>1692</v>
      </c>
      <c r="C168" s="0" t="n">
        <v>2025</v>
      </c>
      <c r="D168" s="43" t="n">
        <f aca="false">IF(Funding!AC6="","",Funding!AC6)</f>
        <v>0.758870000705368</v>
      </c>
      <c r="E168" s="21" t="s">
        <v>4627</v>
      </c>
      <c r="M168" s="21" t="s">
        <v>4675</v>
      </c>
    </row>
    <row r="169" customFormat="false" ht="17.15" hidden="false" customHeight="false" outlineLevel="0" collapsed="false">
      <c r="A169" s="0" t="s">
        <v>4676</v>
      </c>
      <c r="B169" s="0" t="s">
        <v>1692</v>
      </c>
      <c r="C169" s="0" t="n">
        <v>2025</v>
      </c>
      <c r="D169" s="43" t="n">
        <f aca="false">IF(Funding!AD6="","",Funding!AD6)</f>
        <v>0.241129999294632</v>
      </c>
      <c r="E169" s="21" t="s">
        <v>4630</v>
      </c>
      <c r="M169" s="21" t="s">
        <v>4677</v>
      </c>
    </row>
    <row r="170" customFormat="false" ht="17.15" hidden="false" customHeight="false" outlineLevel="0" collapsed="false">
      <c r="A170" s="0" t="s">
        <v>4678</v>
      </c>
      <c r="B170" s="0" t="s">
        <v>1692</v>
      </c>
      <c r="C170" s="0" t="n">
        <v>2025</v>
      </c>
      <c r="D170" s="43" t="n">
        <f aca="false">IF(Funding!AE6="","",Funding!AE6)</f>
        <v>0</v>
      </c>
      <c r="E170" s="21" t="s">
        <v>4633</v>
      </c>
      <c r="M170" s="21" t="s">
        <v>4679</v>
      </c>
    </row>
    <row r="171" customFormat="false" ht="17.15" hidden="false" customHeight="false" outlineLevel="0" collapsed="false">
      <c r="A171" s="0" t="s">
        <v>4680</v>
      </c>
      <c r="B171" s="0" t="s">
        <v>1692</v>
      </c>
      <c r="C171" s="0" t="n">
        <v>2025</v>
      </c>
      <c r="D171" s="43" t="n">
        <f aca="false">IF(Funding!AF6="","",Funding!AF6)</f>
        <v>0</v>
      </c>
      <c r="E171" s="21" t="s">
        <v>4636</v>
      </c>
      <c r="M171" s="21" t="s">
        <v>4681</v>
      </c>
    </row>
    <row r="172" customFormat="false" ht="17.15" hidden="false" customHeight="false" outlineLevel="0" collapsed="false">
      <c r="A172" s="0" t="s">
        <v>4682</v>
      </c>
      <c r="B172" s="0" t="s">
        <v>1692</v>
      </c>
      <c r="C172" s="0" t="n">
        <v>2025</v>
      </c>
      <c r="D172" s="43" t="n">
        <f aca="false">IF(Funding!AG6="","",Funding!AG6)</f>
        <v>0</v>
      </c>
      <c r="E172" s="21" t="s">
        <v>4639</v>
      </c>
      <c r="M172" s="21" t="s">
        <v>4683</v>
      </c>
    </row>
    <row r="173" customFormat="false" ht="17.15" hidden="false" customHeight="false" outlineLevel="0" collapsed="false">
      <c r="A173" s="0" t="s">
        <v>4684</v>
      </c>
      <c r="B173" s="0" t="s">
        <v>1692</v>
      </c>
      <c r="C173" s="0" t="n">
        <v>2025</v>
      </c>
      <c r="D173" s="37" t="n">
        <f aca="false">IF(Funding!AL6="","",Funding!AL6)</f>
        <v>20.511</v>
      </c>
      <c r="E173" s="21" t="s">
        <v>4642</v>
      </c>
      <c r="M173" s="21" t="s">
        <v>4685</v>
      </c>
    </row>
    <row r="174" customFormat="false" ht="17.15" hidden="false" customHeight="false" outlineLevel="0" collapsed="false">
      <c r="A174" s="0" t="s">
        <v>4686</v>
      </c>
      <c r="B174" s="0" t="s">
        <v>1692</v>
      </c>
      <c r="C174" s="0" t="n">
        <v>2025</v>
      </c>
      <c r="D174" s="43" t="n">
        <f aca="false">IF(Funding!AM6="","",Funding!AM6)</f>
        <v>0.241129999294632</v>
      </c>
      <c r="E174" s="21" t="s">
        <v>4645</v>
      </c>
      <c r="M174" s="21" t="s">
        <v>4687</v>
      </c>
    </row>
    <row r="175" customFormat="false" ht="17.15" hidden="false" customHeight="false" outlineLevel="0" collapsed="false">
      <c r="A175" s="0" t="s">
        <v>4688</v>
      </c>
      <c r="B175" s="0" t="s">
        <v>1692</v>
      </c>
      <c r="C175" s="0" t="n">
        <v>2025</v>
      </c>
      <c r="D175" s="43" t="n">
        <f aca="false">IF(Funding!AN6="","",Funding!AN6)</f>
        <v>1.60073828501564</v>
      </c>
      <c r="E175" s="21" t="s">
        <v>4648</v>
      </c>
      <c r="M175" s="21" t="s">
        <v>4689</v>
      </c>
    </row>
    <row r="176" customFormat="false" ht="17.15" hidden="false" customHeight="false" outlineLevel="0" collapsed="false">
      <c r="A176" s="0" t="s">
        <v>4690</v>
      </c>
      <c r="B176" s="0" t="s">
        <v>1692</v>
      </c>
      <c r="C176" s="0" t="n">
        <v>2025</v>
      </c>
      <c r="D176" s="43" t="n">
        <f aca="false">IF(Funding!AO6="","",Funding!AO6)</f>
        <v>0</v>
      </c>
      <c r="E176" s="21" t="s">
        <v>4651</v>
      </c>
      <c r="M176" s="21" t="s">
        <v>4691</v>
      </c>
    </row>
    <row r="177" customFormat="false" ht="17.15" hidden="false" customHeight="false" outlineLevel="0" collapsed="false">
      <c r="A177" s="0" t="s">
        <v>4692</v>
      </c>
      <c r="B177" s="0" t="s">
        <v>1692</v>
      </c>
      <c r="C177" s="0" t="n">
        <v>2025</v>
      </c>
      <c r="D177" s="43" t="n">
        <f aca="false">IF(Funding!AP6="","",Funding!AP6)</f>
        <v>0</v>
      </c>
      <c r="E177" s="21" t="s">
        <v>4654</v>
      </c>
      <c r="M177" s="21" t="s">
        <v>4693</v>
      </c>
    </row>
    <row r="178" customFormat="false" ht="17.15" hidden="false" customHeight="false" outlineLevel="0" collapsed="false">
      <c r="A178" s="0" t="s">
        <v>4694</v>
      </c>
      <c r="B178" s="0" t="s">
        <v>1692</v>
      </c>
      <c r="C178" s="0" t="n">
        <v>2025</v>
      </c>
      <c r="D178" s="43" t="n">
        <f aca="false">IF(Funding!AQ6="","",Funding!AQ6)</f>
        <v>0.241129999294632</v>
      </c>
      <c r="E178" s="21" t="s">
        <v>4657</v>
      </c>
      <c r="M178" s="21" t="s">
        <v>4695</v>
      </c>
    </row>
    <row r="179" customFormat="false" ht="17.15" hidden="false" customHeight="false" outlineLevel="0" collapsed="false">
      <c r="A179" s="0" t="s">
        <v>4696</v>
      </c>
      <c r="B179" s="0" t="s">
        <v>1692</v>
      </c>
      <c r="C179" s="0" t="n">
        <v>2025</v>
      </c>
      <c r="D179" s="37" t="n">
        <f aca="false">IF(Funding!E6="","",Funding!E6)</f>
        <v>136.162</v>
      </c>
      <c r="E179" s="21" t="s">
        <v>2105</v>
      </c>
      <c r="M179" s="21" t="s">
        <v>4697</v>
      </c>
    </row>
    <row r="180" customFormat="false" ht="17.15" hidden="false" customHeight="false" outlineLevel="0" collapsed="false">
      <c r="A180" s="0" t="s">
        <v>4698</v>
      </c>
      <c r="B180" s="0" t="s">
        <v>1692</v>
      </c>
      <c r="C180" s="0" t="n">
        <v>2025</v>
      </c>
      <c r="D180" s="37" t="str">
        <f aca="false">IF(Funding!I6="","",Funding!I6)</f>
        <v/>
      </c>
      <c r="E180" s="21" t="s">
        <v>2111</v>
      </c>
      <c r="M180" s="21" t="s">
        <v>4699</v>
      </c>
    </row>
    <row r="181" customFormat="false" ht="17.15" hidden="false" customHeight="false" outlineLevel="0" collapsed="false">
      <c r="A181" s="0" t="s">
        <v>4700</v>
      </c>
      <c r="B181" s="0" t="s">
        <v>1692</v>
      </c>
      <c r="C181" s="0" t="n">
        <v>2025</v>
      </c>
      <c r="D181" s="37" t="n">
        <f aca="false">IF(Funding!O6="","",Funding!O6)</f>
        <v>92.7</v>
      </c>
      <c r="E181" s="21" t="s">
        <v>4664</v>
      </c>
      <c r="M181" s="21" t="s">
        <v>4701</v>
      </c>
    </row>
    <row r="182" customFormat="false" ht="17.15" hidden="false" customHeight="false" outlineLevel="0" collapsed="false">
      <c r="A182" s="0" t="s">
        <v>4702</v>
      </c>
      <c r="B182" s="0" t="s">
        <v>1692</v>
      </c>
      <c r="C182" s="0" t="n">
        <v>2025</v>
      </c>
      <c r="D182" s="37" t="n">
        <f aca="false">N(Funding!J6)+N(Funding!K6)+N(Funding!L6)+N(Funding!M6)</f>
        <v>0</v>
      </c>
      <c r="E182" s="21" t="s">
        <v>4667</v>
      </c>
      <c r="M182" s="21" t="s">
        <v>4703</v>
      </c>
    </row>
    <row r="183" customFormat="false" ht="17.15" hidden="false" customHeight="false" outlineLevel="0" collapsed="false">
      <c r="A183" s="0" t="s">
        <v>4704</v>
      </c>
      <c r="B183" s="0" t="s">
        <v>1692</v>
      </c>
      <c r="C183" s="0" t="n">
        <v>2025</v>
      </c>
      <c r="D183" s="37" t="str">
        <f aca="false">IF(Funding!R6="","",Funding!R6)</f>
        <v/>
      </c>
      <c r="E183" s="21" t="s">
        <v>4670</v>
      </c>
      <c r="M183" s="21" t="s">
        <v>4705</v>
      </c>
    </row>
    <row r="184" customFormat="false" ht="17.15" hidden="false" customHeight="false" outlineLevel="0" collapsed="false">
      <c r="A184" s="0" t="s">
        <v>4706</v>
      </c>
      <c r="B184" s="0" t="s">
        <v>1692</v>
      </c>
      <c r="C184" s="0" t="n">
        <v>2026</v>
      </c>
      <c r="D184" s="37" t="n">
        <f aca="false">IF(Funding!W7="","",Funding!W7)</f>
        <v>140.556</v>
      </c>
      <c r="E184" s="21" t="s">
        <v>4624</v>
      </c>
      <c r="M184" s="21" t="s">
        <v>4707</v>
      </c>
    </row>
    <row r="185" customFormat="false" ht="17.15" hidden="false" customHeight="false" outlineLevel="0" collapsed="false">
      <c r="A185" s="0" t="s">
        <v>4708</v>
      </c>
      <c r="B185" s="0" t="s">
        <v>1692</v>
      </c>
      <c r="C185" s="0" t="n">
        <v>2026</v>
      </c>
      <c r="D185" s="43" t="n">
        <f aca="false">IF(Funding!AC7="","",Funding!AC7)</f>
        <v>0.824923873758502</v>
      </c>
      <c r="E185" s="21" t="s">
        <v>4627</v>
      </c>
      <c r="M185" s="21" t="s">
        <v>4709</v>
      </c>
    </row>
    <row r="186" customFormat="false" ht="17.15" hidden="false" customHeight="false" outlineLevel="0" collapsed="false">
      <c r="A186" s="0" t="s">
        <v>4710</v>
      </c>
      <c r="B186" s="0" t="s">
        <v>1692</v>
      </c>
      <c r="C186" s="0" t="n">
        <v>2026</v>
      </c>
      <c r="D186" s="43" t="n">
        <f aca="false">IF(Funding!AD7="","",Funding!AD7)</f>
        <v>0.175076126241498</v>
      </c>
      <c r="E186" s="21" t="s">
        <v>4630</v>
      </c>
      <c r="M186" s="21" t="s">
        <v>4711</v>
      </c>
    </row>
    <row r="187" customFormat="false" ht="17.15" hidden="false" customHeight="false" outlineLevel="0" collapsed="false">
      <c r="A187" s="0" t="s">
        <v>4712</v>
      </c>
      <c r="B187" s="0" t="s">
        <v>1692</v>
      </c>
      <c r="C187" s="0" t="n">
        <v>2026</v>
      </c>
      <c r="D187" s="43" t="n">
        <f aca="false">IF(Funding!AE7="","",Funding!AE7)</f>
        <v>0</v>
      </c>
      <c r="E187" s="21" t="s">
        <v>4633</v>
      </c>
      <c r="M187" s="21" t="s">
        <v>4713</v>
      </c>
    </row>
    <row r="188" customFormat="false" ht="17.15" hidden="false" customHeight="false" outlineLevel="0" collapsed="false">
      <c r="A188" s="0" t="s">
        <v>4714</v>
      </c>
      <c r="B188" s="0" t="s">
        <v>1692</v>
      </c>
      <c r="C188" s="0" t="n">
        <v>2026</v>
      </c>
      <c r="D188" s="43" t="n">
        <f aca="false">IF(Funding!AF7="","",Funding!AF7)</f>
        <v>0</v>
      </c>
      <c r="E188" s="21" t="s">
        <v>4636</v>
      </c>
      <c r="M188" s="21" t="s">
        <v>4715</v>
      </c>
    </row>
    <row r="189" customFormat="false" ht="17.15" hidden="false" customHeight="false" outlineLevel="0" collapsed="false">
      <c r="A189" s="0" t="s">
        <v>4716</v>
      </c>
      <c r="B189" s="0" t="s">
        <v>1692</v>
      </c>
      <c r="C189" s="0" t="n">
        <v>2026</v>
      </c>
      <c r="D189" s="43" t="n">
        <f aca="false">IF(Funding!AG7="","",Funding!AG7)</f>
        <v>0</v>
      </c>
      <c r="E189" s="21" t="s">
        <v>4639</v>
      </c>
      <c r="M189" s="21" t="s">
        <v>4717</v>
      </c>
    </row>
    <row r="190" customFormat="false" ht="17.15" hidden="false" customHeight="false" outlineLevel="0" collapsed="false">
      <c r="A190" s="0" t="s">
        <v>4718</v>
      </c>
      <c r="B190" s="0" t="s">
        <v>1692</v>
      </c>
      <c r="C190" s="0" t="n">
        <v>2026</v>
      </c>
      <c r="D190" s="37" t="n">
        <f aca="false">IF(Funding!AL7="","",Funding!AL7)</f>
        <v>24.608</v>
      </c>
      <c r="E190" s="21" t="s">
        <v>4642</v>
      </c>
      <c r="M190" s="21" t="s">
        <v>4719</v>
      </c>
    </row>
    <row r="191" customFormat="false" ht="17.15" hidden="false" customHeight="false" outlineLevel="0" collapsed="false">
      <c r="A191" s="0" t="s">
        <v>4720</v>
      </c>
      <c r="B191" s="0" t="s">
        <v>1692</v>
      </c>
      <c r="C191" s="0" t="n">
        <v>2026</v>
      </c>
      <c r="D191" s="43" t="n">
        <f aca="false">IF(Funding!AM7="","",Funding!AM7)</f>
        <v>0.175076126241498</v>
      </c>
      <c r="E191" s="21" t="s">
        <v>4645</v>
      </c>
      <c r="M191" s="21" t="s">
        <v>4721</v>
      </c>
    </row>
    <row r="192" customFormat="false" ht="17.15" hidden="false" customHeight="false" outlineLevel="0" collapsed="false">
      <c r="A192" s="0" t="s">
        <v>4722</v>
      </c>
      <c r="B192" s="0" t="s">
        <v>1692</v>
      </c>
      <c r="C192" s="0" t="n">
        <v>2026</v>
      </c>
      <c r="D192" s="43" t="n">
        <f aca="false">IF(Funding!AN7="","",Funding!AN7)</f>
        <v>1.30150971854634</v>
      </c>
      <c r="E192" s="21" t="s">
        <v>4648</v>
      </c>
      <c r="M192" s="21" t="s">
        <v>4723</v>
      </c>
    </row>
    <row r="193" customFormat="false" ht="17.15" hidden="false" customHeight="false" outlineLevel="0" collapsed="false">
      <c r="A193" s="0" t="s">
        <v>4724</v>
      </c>
      <c r="B193" s="0" t="s">
        <v>1692</v>
      </c>
      <c r="C193" s="0" t="n">
        <v>2026</v>
      </c>
      <c r="D193" s="43" t="n">
        <f aca="false">IF(Funding!AO7="","",Funding!AO7)</f>
        <v>0</v>
      </c>
      <c r="E193" s="21" t="s">
        <v>4651</v>
      </c>
      <c r="M193" s="21" t="s">
        <v>4725</v>
      </c>
    </row>
    <row r="194" customFormat="false" ht="17.15" hidden="false" customHeight="false" outlineLevel="0" collapsed="false">
      <c r="A194" s="0" t="s">
        <v>4726</v>
      </c>
      <c r="B194" s="0" t="s">
        <v>1692</v>
      </c>
      <c r="C194" s="0" t="n">
        <v>2026</v>
      </c>
      <c r="D194" s="43" t="n">
        <f aca="false">IF(Funding!AP7="","",Funding!AP7)</f>
        <v>0</v>
      </c>
      <c r="E194" s="21" t="s">
        <v>4654</v>
      </c>
      <c r="M194" s="21" t="s">
        <v>4727</v>
      </c>
    </row>
    <row r="195" customFormat="false" ht="17.15" hidden="false" customHeight="false" outlineLevel="0" collapsed="false">
      <c r="A195" s="0" t="s">
        <v>4728</v>
      </c>
      <c r="B195" s="0" t="s">
        <v>1692</v>
      </c>
      <c r="C195" s="0" t="n">
        <v>2026</v>
      </c>
      <c r="D195" s="43" t="n">
        <f aca="false">IF(Funding!AQ7="","",Funding!AQ7)</f>
        <v>0.175076126241498</v>
      </c>
      <c r="E195" s="21" t="s">
        <v>4657</v>
      </c>
      <c r="M195" s="21" t="s">
        <v>4729</v>
      </c>
    </row>
    <row r="196" customFormat="false" ht="17.15" hidden="false" customHeight="false" outlineLevel="0" collapsed="false">
      <c r="A196" s="0" t="s">
        <v>4730</v>
      </c>
      <c r="B196" s="0" t="s">
        <v>1692</v>
      </c>
      <c r="C196" s="0" t="n">
        <v>2026</v>
      </c>
      <c r="D196" s="37" t="n">
        <f aca="false">IF(Funding!E7="","",Funding!E7)</f>
        <v>182.935</v>
      </c>
      <c r="E196" s="21" t="s">
        <v>2105</v>
      </c>
      <c r="M196" s="21" t="s">
        <v>4731</v>
      </c>
    </row>
    <row r="197" customFormat="false" ht="17.15" hidden="false" customHeight="false" outlineLevel="0" collapsed="false">
      <c r="A197" s="0" t="s">
        <v>4732</v>
      </c>
      <c r="B197" s="0" t="s">
        <v>1692</v>
      </c>
      <c r="C197" s="0" t="n">
        <v>2026</v>
      </c>
      <c r="D197" s="37" t="str">
        <f aca="false">IF(Funding!I7="","",Funding!I7)</f>
        <v/>
      </c>
      <c r="E197" s="21" t="s">
        <v>2111</v>
      </c>
      <c r="M197" s="21" t="s">
        <v>4733</v>
      </c>
    </row>
    <row r="198" customFormat="false" ht="17.15" hidden="false" customHeight="false" outlineLevel="0" collapsed="false">
      <c r="A198" s="0" t="s">
        <v>4734</v>
      </c>
      <c r="B198" s="0" t="s">
        <v>1692</v>
      </c>
      <c r="C198" s="0" t="n">
        <v>2026</v>
      </c>
      <c r="D198" s="37" t="n">
        <f aca="false">IF(Funding!O7="","",Funding!O7)</f>
        <v>329.1</v>
      </c>
      <c r="E198" s="21" t="s">
        <v>4664</v>
      </c>
      <c r="M198" s="21" t="s">
        <v>4735</v>
      </c>
    </row>
    <row r="199" customFormat="false" ht="17.15" hidden="false" customHeight="false" outlineLevel="0" collapsed="false">
      <c r="A199" s="0" t="s">
        <v>4736</v>
      </c>
      <c r="B199" s="0" t="s">
        <v>1692</v>
      </c>
      <c r="C199" s="0" t="n">
        <v>2026</v>
      </c>
      <c r="D199" s="37" t="n">
        <f aca="false">N(Funding!J7)+N(Funding!K7)+N(Funding!L7)+N(Funding!M7)</f>
        <v>0</v>
      </c>
      <c r="E199" s="21" t="s">
        <v>4667</v>
      </c>
      <c r="M199" s="21" t="s">
        <v>4737</v>
      </c>
    </row>
    <row r="200" customFormat="false" ht="17.15" hidden="false" customHeight="false" outlineLevel="0" collapsed="false">
      <c r="A200" s="0" t="s">
        <v>4738</v>
      </c>
      <c r="B200" s="0" t="s">
        <v>1692</v>
      </c>
      <c r="C200" s="0" t="n">
        <v>2026</v>
      </c>
      <c r="D200" s="37" t="str">
        <f aca="false">IF(Funding!R7="","",Funding!R7)</f>
        <v/>
      </c>
      <c r="E200" s="21" t="s">
        <v>4670</v>
      </c>
      <c r="M200" s="21" t="s">
        <v>4739</v>
      </c>
    </row>
    <row r="201" customFormat="false" ht="17.15" hidden="false" customHeight="false" outlineLevel="0" collapsed="false">
      <c r="A201" s="0" t="s">
        <v>4740</v>
      </c>
      <c r="B201" s="0" t="s">
        <v>1693</v>
      </c>
      <c r="C201" s="0" t="n">
        <v>2024</v>
      </c>
      <c r="D201" s="37" t="str">
        <f aca="false">IF(Funding!W8="","",Funding!W8)</f>
        <v/>
      </c>
      <c r="E201" s="21" t="s">
        <v>4624</v>
      </c>
      <c r="M201" s="21" t="s">
        <v>4741</v>
      </c>
    </row>
    <row r="202" customFormat="false" ht="17.15" hidden="false" customHeight="false" outlineLevel="0" collapsed="false">
      <c r="A202" s="0" t="s">
        <v>4742</v>
      </c>
      <c r="B202" s="0" t="s">
        <v>1693</v>
      </c>
      <c r="C202" s="0" t="n">
        <v>2024</v>
      </c>
      <c r="D202" s="43" t="str">
        <f aca="false">IF(Funding!AC8="","",Funding!AC8)</f>
        <v/>
      </c>
      <c r="E202" s="21" t="s">
        <v>4627</v>
      </c>
      <c r="M202" s="21" t="s">
        <v>4743</v>
      </c>
    </row>
    <row r="203" customFormat="false" ht="17.15" hidden="false" customHeight="false" outlineLevel="0" collapsed="false">
      <c r="A203" s="0" t="s">
        <v>4744</v>
      </c>
      <c r="B203" s="0" t="s">
        <v>1693</v>
      </c>
      <c r="C203" s="0" t="n">
        <v>2024</v>
      </c>
      <c r="D203" s="43" t="str">
        <f aca="false">IF(Funding!AD8="","",Funding!AD8)</f>
        <v/>
      </c>
      <c r="E203" s="21" t="s">
        <v>4630</v>
      </c>
      <c r="M203" s="21" t="s">
        <v>4745</v>
      </c>
    </row>
    <row r="204" customFormat="false" ht="17.15" hidden="false" customHeight="false" outlineLevel="0" collapsed="false">
      <c r="A204" s="0" t="s">
        <v>4746</v>
      </c>
      <c r="B204" s="0" t="s">
        <v>1693</v>
      </c>
      <c r="C204" s="0" t="n">
        <v>2024</v>
      </c>
      <c r="D204" s="43" t="str">
        <f aca="false">IF(Funding!AE8="","",Funding!AE8)</f>
        <v/>
      </c>
      <c r="E204" s="21" t="s">
        <v>4633</v>
      </c>
      <c r="M204" s="21" t="s">
        <v>4747</v>
      </c>
    </row>
    <row r="205" customFormat="false" ht="17.15" hidden="false" customHeight="false" outlineLevel="0" collapsed="false">
      <c r="A205" s="0" t="s">
        <v>4748</v>
      </c>
      <c r="B205" s="0" t="s">
        <v>1693</v>
      </c>
      <c r="C205" s="0" t="n">
        <v>2024</v>
      </c>
      <c r="D205" s="43" t="str">
        <f aca="false">IF(Funding!AF8="","",Funding!AF8)</f>
        <v/>
      </c>
      <c r="E205" s="21" t="s">
        <v>4636</v>
      </c>
      <c r="M205" s="21" t="s">
        <v>4749</v>
      </c>
    </row>
    <row r="206" customFormat="false" ht="17.15" hidden="false" customHeight="false" outlineLevel="0" collapsed="false">
      <c r="A206" s="0" t="s">
        <v>4750</v>
      </c>
      <c r="B206" s="0" t="s">
        <v>1693</v>
      </c>
      <c r="C206" s="0" t="n">
        <v>2024</v>
      </c>
      <c r="D206" s="43" t="str">
        <f aca="false">IF(Funding!AG8="","",Funding!AG8)</f>
        <v/>
      </c>
      <c r="E206" s="21" t="s">
        <v>4639</v>
      </c>
      <c r="M206" s="21" t="s">
        <v>4751</v>
      </c>
    </row>
    <row r="207" customFormat="false" ht="17.15" hidden="false" customHeight="false" outlineLevel="0" collapsed="false">
      <c r="A207" s="0" t="s">
        <v>4752</v>
      </c>
      <c r="B207" s="0" t="s">
        <v>1693</v>
      </c>
      <c r="C207" s="0" t="n">
        <v>2024</v>
      </c>
      <c r="D207" s="37" t="n">
        <f aca="false">IF(Funding!AL8="","",Funding!AL8)</f>
        <v>0</v>
      </c>
      <c r="E207" s="21" t="s">
        <v>4642</v>
      </c>
      <c r="M207" s="21" t="s">
        <v>4753</v>
      </c>
    </row>
    <row r="208" customFormat="false" ht="17.15" hidden="false" customHeight="false" outlineLevel="0" collapsed="false">
      <c r="A208" s="0" t="s">
        <v>4754</v>
      </c>
      <c r="B208" s="0" t="s">
        <v>1693</v>
      </c>
      <c r="C208" s="0" t="n">
        <v>2024</v>
      </c>
      <c r="D208" s="43" t="str">
        <f aca="false">IF(Funding!AM8="","",Funding!AM8)</f>
        <v/>
      </c>
      <c r="E208" s="21" t="s">
        <v>4645</v>
      </c>
      <c r="M208" s="21" t="s">
        <v>4755</v>
      </c>
    </row>
    <row r="209" customFormat="false" ht="17.15" hidden="false" customHeight="false" outlineLevel="0" collapsed="false">
      <c r="A209" s="0" t="s">
        <v>4756</v>
      </c>
      <c r="B209" s="0" t="s">
        <v>1693</v>
      </c>
      <c r="C209" s="0" t="n">
        <v>2024</v>
      </c>
      <c r="D209" s="43" t="str">
        <f aca="false">IF(Funding!AN8="","",Funding!AN8)</f>
        <v/>
      </c>
      <c r="E209" s="21" t="s">
        <v>4648</v>
      </c>
      <c r="M209" s="21" t="s">
        <v>4757</v>
      </c>
    </row>
    <row r="210" customFormat="false" ht="17.15" hidden="false" customHeight="false" outlineLevel="0" collapsed="false">
      <c r="A210" s="0" t="s">
        <v>4758</v>
      </c>
      <c r="B210" s="0" t="s">
        <v>1693</v>
      </c>
      <c r="C210" s="0" t="n">
        <v>2024</v>
      </c>
      <c r="D210" s="43" t="str">
        <f aca="false">IF(Funding!AO8="","",Funding!AO8)</f>
        <v/>
      </c>
      <c r="E210" s="21" t="s">
        <v>4651</v>
      </c>
      <c r="M210" s="21" t="s">
        <v>4759</v>
      </c>
    </row>
    <row r="211" customFormat="false" ht="17.15" hidden="false" customHeight="false" outlineLevel="0" collapsed="false">
      <c r="A211" s="0" t="s">
        <v>4760</v>
      </c>
      <c r="B211" s="0" t="s">
        <v>1693</v>
      </c>
      <c r="C211" s="0" t="n">
        <v>2024</v>
      </c>
      <c r="D211" s="43" t="str">
        <f aca="false">IF(Funding!AP8="","",Funding!AP8)</f>
        <v/>
      </c>
      <c r="E211" s="21" t="s">
        <v>4654</v>
      </c>
      <c r="M211" s="21" t="s">
        <v>4761</v>
      </c>
    </row>
    <row r="212" customFormat="false" ht="17.15" hidden="false" customHeight="false" outlineLevel="0" collapsed="false">
      <c r="A212" s="0" t="s">
        <v>4762</v>
      </c>
      <c r="B212" s="0" t="s">
        <v>1693</v>
      </c>
      <c r="C212" s="0" t="n">
        <v>2024</v>
      </c>
      <c r="D212" s="43" t="str">
        <f aca="false">IF(Funding!AQ8="","",Funding!AQ8)</f>
        <v/>
      </c>
      <c r="E212" s="21" t="s">
        <v>4657</v>
      </c>
      <c r="M212" s="21" t="s">
        <v>4763</v>
      </c>
    </row>
    <row r="213" customFormat="false" ht="17.15" hidden="false" customHeight="false" outlineLevel="0" collapsed="false">
      <c r="A213" s="0" t="s">
        <v>4764</v>
      </c>
      <c r="B213" s="0" t="s">
        <v>1693</v>
      </c>
      <c r="C213" s="0" t="n">
        <v>2024</v>
      </c>
      <c r="D213" s="37" t="str">
        <f aca="false">IF(Funding!E8="","",Funding!E8)</f>
        <v/>
      </c>
      <c r="E213" s="21" t="s">
        <v>2105</v>
      </c>
      <c r="M213" s="21" t="s">
        <v>4765</v>
      </c>
    </row>
    <row r="214" customFormat="false" ht="17.15" hidden="false" customHeight="false" outlineLevel="0" collapsed="false">
      <c r="A214" s="0" t="s">
        <v>4766</v>
      </c>
      <c r="B214" s="0" t="s">
        <v>1693</v>
      </c>
      <c r="C214" s="0" t="n">
        <v>2024</v>
      </c>
      <c r="D214" s="37" t="str">
        <f aca="false">IF(Funding!I8="","",Funding!I8)</f>
        <v/>
      </c>
      <c r="E214" s="21" t="s">
        <v>2111</v>
      </c>
      <c r="M214" s="21" t="s">
        <v>4767</v>
      </c>
    </row>
    <row r="215" customFormat="false" ht="17.15" hidden="false" customHeight="false" outlineLevel="0" collapsed="false">
      <c r="A215" s="0" t="s">
        <v>4768</v>
      </c>
      <c r="B215" s="0" t="s">
        <v>1693</v>
      </c>
      <c r="C215" s="0" t="n">
        <v>2024</v>
      </c>
      <c r="D215" s="37" t="str">
        <f aca="false">IF(Funding!O8="","",Funding!O8)</f>
        <v/>
      </c>
      <c r="E215" s="21" t="s">
        <v>4664</v>
      </c>
      <c r="M215" s="21" t="s">
        <v>4769</v>
      </c>
    </row>
    <row r="216" customFormat="false" ht="17.15" hidden="false" customHeight="false" outlineLevel="0" collapsed="false">
      <c r="A216" s="0" t="s">
        <v>4770</v>
      </c>
      <c r="B216" s="0" t="s">
        <v>1693</v>
      </c>
      <c r="C216" s="0" t="n">
        <v>2024</v>
      </c>
      <c r="D216" s="37" t="n">
        <f aca="false">N(Funding!J8)+N(Funding!K8)+N(Funding!L8)+N(Funding!M8)</f>
        <v>0</v>
      </c>
      <c r="E216" s="21" t="s">
        <v>4667</v>
      </c>
      <c r="M216" s="21" t="s">
        <v>4771</v>
      </c>
    </row>
    <row r="217" customFormat="false" ht="17.15" hidden="false" customHeight="false" outlineLevel="0" collapsed="false">
      <c r="A217" s="0" t="s">
        <v>4772</v>
      </c>
      <c r="B217" s="0" t="s">
        <v>1693</v>
      </c>
      <c r="C217" s="0" t="n">
        <v>2024</v>
      </c>
      <c r="D217" s="37" t="str">
        <f aca="false">IF(Funding!R8="","",Funding!R8)</f>
        <v/>
      </c>
      <c r="E217" s="21" t="s">
        <v>4670</v>
      </c>
      <c r="M217" s="21" t="s">
        <v>4773</v>
      </c>
    </row>
    <row r="218" customFormat="false" ht="17.15" hidden="false" customHeight="false" outlineLevel="0" collapsed="false">
      <c r="A218" s="0" t="s">
        <v>4774</v>
      </c>
      <c r="B218" s="0" t="s">
        <v>1693</v>
      </c>
      <c r="C218" s="0" t="n">
        <v>2025</v>
      </c>
      <c r="D218" s="37" t="n">
        <f aca="false">IF(Funding!W9="","",Funding!W9)</f>
        <v>91.447</v>
      </c>
      <c r="E218" s="21" t="s">
        <v>4624</v>
      </c>
      <c r="M218" s="21" t="s">
        <v>4775</v>
      </c>
    </row>
    <row r="219" customFormat="false" ht="17.15" hidden="false" customHeight="false" outlineLevel="0" collapsed="false">
      <c r="A219" s="0" t="s">
        <v>4776</v>
      </c>
      <c r="B219" s="0" t="s">
        <v>1693</v>
      </c>
      <c r="C219" s="0" t="n">
        <v>2025</v>
      </c>
      <c r="D219" s="43" t="n">
        <f aca="false">IF(Funding!AC9="","",Funding!AC9)</f>
        <v>1</v>
      </c>
      <c r="E219" s="21" t="s">
        <v>4627</v>
      </c>
      <c r="M219" s="21" t="s">
        <v>4777</v>
      </c>
    </row>
    <row r="220" customFormat="false" ht="17.15" hidden="false" customHeight="false" outlineLevel="0" collapsed="false">
      <c r="A220" s="0" t="s">
        <v>4778</v>
      </c>
      <c r="B220" s="0" t="s">
        <v>1693</v>
      </c>
      <c r="C220" s="0" t="n">
        <v>2025</v>
      </c>
      <c r="D220" s="43" t="n">
        <f aca="false">IF(Funding!AD9="","",Funding!AD9)</f>
        <v>0</v>
      </c>
      <c r="E220" s="21" t="s">
        <v>4630</v>
      </c>
      <c r="M220" s="21" t="s">
        <v>4779</v>
      </c>
    </row>
    <row r="221" customFormat="false" ht="17.15" hidden="false" customHeight="false" outlineLevel="0" collapsed="false">
      <c r="A221" s="0" t="s">
        <v>4780</v>
      </c>
      <c r="B221" s="0" t="s">
        <v>1693</v>
      </c>
      <c r="C221" s="0" t="n">
        <v>2025</v>
      </c>
      <c r="D221" s="43" t="n">
        <f aca="false">IF(Funding!AE9="","",Funding!AE9)</f>
        <v>0</v>
      </c>
      <c r="E221" s="21" t="s">
        <v>4633</v>
      </c>
      <c r="M221" s="21" t="s">
        <v>4781</v>
      </c>
    </row>
    <row r="222" customFormat="false" ht="17.15" hidden="false" customHeight="false" outlineLevel="0" collapsed="false">
      <c r="A222" s="0" t="s">
        <v>4782</v>
      </c>
      <c r="B222" s="0" t="s">
        <v>1693</v>
      </c>
      <c r="C222" s="0" t="n">
        <v>2025</v>
      </c>
      <c r="D222" s="43" t="n">
        <f aca="false">IF(Funding!AF9="","",Funding!AF9)</f>
        <v>0</v>
      </c>
      <c r="E222" s="21" t="s">
        <v>4636</v>
      </c>
      <c r="M222" s="21" t="s">
        <v>4783</v>
      </c>
    </row>
    <row r="223" customFormat="false" ht="17.15" hidden="false" customHeight="false" outlineLevel="0" collapsed="false">
      <c r="A223" s="0" t="s">
        <v>4784</v>
      </c>
      <c r="B223" s="0" t="s">
        <v>1693</v>
      </c>
      <c r="C223" s="0" t="n">
        <v>2025</v>
      </c>
      <c r="D223" s="43" t="n">
        <f aca="false">IF(Funding!AG9="","",Funding!AG9)</f>
        <v>0</v>
      </c>
      <c r="E223" s="21" t="s">
        <v>4639</v>
      </c>
      <c r="M223" s="21" t="s">
        <v>4785</v>
      </c>
    </row>
    <row r="224" customFormat="false" ht="17.15" hidden="false" customHeight="false" outlineLevel="0" collapsed="false">
      <c r="A224" s="0" t="s">
        <v>4786</v>
      </c>
      <c r="B224" s="0" t="s">
        <v>1693</v>
      </c>
      <c r="C224" s="0" t="n">
        <v>2025</v>
      </c>
      <c r="D224" s="37" t="n">
        <f aca="false">IF(Funding!AL9="","",Funding!AL9)</f>
        <v>64.564</v>
      </c>
      <c r="E224" s="21" t="s">
        <v>4642</v>
      </c>
      <c r="M224" s="21" t="s">
        <v>4787</v>
      </c>
    </row>
    <row r="225" customFormat="false" ht="17.15" hidden="false" customHeight="false" outlineLevel="0" collapsed="false">
      <c r="A225" s="0" t="s">
        <v>4788</v>
      </c>
      <c r="B225" s="0" t="s">
        <v>1693</v>
      </c>
      <c r="C225" s="0" t="n">
        <v>2025</v>
      </c>
      <c r="D225" s="43" t="n">
        <f aca="false">IF(Funding!AM9="","",Funding!AM9)</f>
        <v>0.706026441545376</v>
      </c>
      <c r="E225" s="21" t="s">
        <v>4645</v>
      </c>
      <c r="M225" s="21" t="s">
        <v>4789</v>
      </c>
    </row>
    <row r="226" customFormat="false" ht="17.15" hidden="false" customHeight="false" outlineLevel="0" collapsed="false">
      <c r="A226" s="0" t="s">
        <v>4790</v>
      </c>
      <c r="B226" s="0" t="s">
        <v>1693</v>
      </c>
      <c r="C226" s="0" t="n">
        <v>2025</v>
      </c>
      <c r="D226" s="43" t="n">
        <f aca="false">IF(Funding!AN9="","",Funding!AN9)</f>
        <v>1.80118538607062</v>
      </c>
      <c r="E226" s="21" t="s">
        <v>4648</v>
      </c>
      <c r="M226" s="21" t="s">
        <v>4791</v>
      </c>
    </row>
    <row r="227" customFormat="false" ht="17.15" hidden="false" customHeight="false" outlineLevel="0" collapsed="false">
      <c r="A227" s="0" t="s">
        <v>4792</v>
      </c>
      <c r="B227" s="0" t="s">
        <v>1693</v>
      </c>
      <c r="C227" s="0" t="n">
        <v>2025</v>
      </c>
      <c r="D227" s="43" t="n">
        <f aca="false">IF(Funding!AO9="","",Funding!AO9)</f>
        <v>0.706026441545376</v>
      </c>
      <c r="E227" s="21" t="s">
        <v>4651</v>
      </c>
      <c r="M227" s="21" t="s">
        <v>4793</v>
      </c>
    </row>
    <row r="228" customFormat="false" ht="17.15" hidden="false" customHeight="false" outlineLevel="0" collapsed="false">
      <c r="A228" s="0" t="s">
        <v>4794</v>
      </c>
      <c r="B228" s="0" t="s">
        <v>1693</v>
      </c>
      <c r="C228" s="0" t="n">
        <v>2025</v>
      </c>
      <c r="D228" s="43" t="n">
        <f aca="false">IF(Funding!AP9="","",Funding!AP9)</f>
        <v>0</v>
      </c>
      <c r="E228" s="21" t="s">
        <v>4654</v>
      </c>
      <c r="M228" s="21" t="s">
        <v>4795</v>
      </c>
    </row>
    <row r="229" customFormat="false" ht="17.15" hidden="false" customHeight="false" outlineLevel="0" collapsed="false">
      <c r="A229" s="0" t="s">
        <v>4796</v>
      </c>
      <c r="B229" s="0" t="s">
        <v>1693</v>
      </c>
      <c r="C229" s="0" t="n">
        <v>2025</v>
      </c>
      <c r="D229" s="43" t="n">
        <f aca="false">IF(Funding!AQ9="","",Funding!AQ9)</f>
        <v>0</v>
      </c>
      <c r="E229" s="21" t="s">
        <v>4657</v>
      </c>
      <c r="M229" s="21" t="s">
        <v>4797</v>
      </c>
    </row>
    <row r="230" customFormat="false" ht="17.15" hidden="false" customHeight="false" outlineLevel="0" collapsed="false">
      <c r="A230" s="0" t="s">
        <v>4798</v>
      </c>
      <c r="B230" s="0" t="s">
        <v>1693</v>
      </c>
      <c r="C230" s="0" t="n">
        <v>2025</v>
      </c>
      <c r="D230" s="37" t="n">
        <f aca="false">IF(Funding!E9="","",Funding!E9)</f>
        <v>164.713</v>
      </c>
      <c r="E230" s="21" t="s">
        <v>2105</v>
      </c>
      <c r="M230" s="21" t="s">
        <v>4799</v>
      </c>
    </row>
    <row r="231" customFormat="false" ht="17.15" hidden="false" customHeight="false" outlineLevel="0" collapsed="false">
      <c r="A231" s="0" t="s">
        <v>4800</v>
      </c>
      <c r="B231" s="0" t="s">
        <v>1693</v>
      </c>
      <c r="C231" s="0" t="n">
        <v>2025</v>
      </c>
      <c r="D231" s="37" t="n">
        <f aca="false">IF(Funding!I9="","",Funding!I9)</f>
        <v>73.266</v>
      </c>
      <c r="E231" s="21" t="s">
        <v>2111</v>
      </c>
      <c r="M231" s="21" t="s">
        <v>4801</v>
      </c>
    </row>
    <row r="232" customFormat="false" ht="17.15" hidden="false" customHeight="false" outlineLevel="0" collapsed="false">
      <c r="A232" s="0" t="s">
        <v>4802</v>
      </c>
      <c r="B232" s="0" t="s">
        <v>1693</v>
      </c>
      <c r="C232" s="0" t="n">
        <v>2025</v>
      </c>
      <c r="D232" s="37" t="str">
        <f aca="false">IF(Funding!O9="","",Funding!O9)</f>
        <v/>
      </c>
      <c r="E232" s="21" t="s">
        <v>4664</v>
      </c>
      <c r="M232" s="21" t="s">
        <v>4803</v>
      </c>
    </row>
    <row r="233" customFormat="false" ht="17.15" hidden="false" customHeight="false" outlineLevel="0" collapsed="false">
      <c r="A233" s="0" t="s">
        <v>4804</v>
      </c>
      <c r="B233" s="0" t="s">
        <v>1693</v>
      </c>
      <c r="C233" s="0" t="n">
        <v>2025</v>
      </c>
      <c r="D233" s="37" t="n">
        <f aca="false">N(Funding!J9)+N(Funding!K9)+N(Funding!L9)+N(Funding!M9)</f>
        <v>64.564</v>
      </c>
      <c r="E233" s="21" t="s">
        <v>4667</v>
      </c>
      <c r="M233" s="21" t="s">
        <v>4805</v>
      </c>
    </row>
    <row r="234" customFormat="false" ht="17.15" hidden="false" customHeight="false" outlineLevel="0" collapsed="false">
      <c r="A234" s="0" t="s">
        <v>4806</v>
      </c>
      <c r="B234" s="0" t="s">
        <v>1693</v>
      </c>
      <c r="C234" s="0" t="n">
        <v>2025</v>
      </c>
      <c r="D234" s="37" t="str">
        <f aca="false">IF(Funding!R9="","",Funding!R9)</f>
        <v/>
      </c>
      <c r="E234" s="21" t="s">
        <v>4670</v>
      </c>
      <c r="M234" s="21" t="s">
        <v>4807</v>
      </c>
    </row>
    <row r="235" customFormat="false" ht="17.15" hidden="false" customHeight="false" outlineLevel="0" collapsed="false">
      <c r="A235" s="0" t="s">
        <v>4808</v>
      </c>
      <c r="B235" s="0" t="s">
        <v>1693</v>
      </c>
      <c r="C235" s="0" t="n">
        <v>2026</v>
      </c>
      <c r="D235" s="37" t="n">
        <f aca="false">IF(Funding!W10="","",Funding!W10)</f>
        <v>131.953</v>
      </c>
      <c r="E235" s="21" t="s">
        <v>4624</v>
      </c>
      <c r="M235" s="21" t="s">
        <v>4809</v>
      </c>
    </row>
    <row r="236" customFormat="false" ht="17.15" hidden="false" customHeight="false" outlineLevel="0" collapsed="false">
      <c r="A236" s="0" t="s">
        <v>4810</v>
      </c>
      <c r="B236" s="0" t="s">
        <v>1693</v>
      </c>
      <c r="C236" s="0" t="n">
        <v>2026</v>
      </c>
      <c r="D236" s="43" t="n">
        <f aca="false">IF(Funding!AC10="","",Funding!AC10)</f>
        <v>0.963593097542307</v>
      </c>
      <c r="E236" s="21" t="s">
        <v>4627</v>
      </c>
      <c r="M236" s="21" t="s">
        <v>4811</v>
      </c>
    </row>
    <row r="237" customFormat="false" ht="17.15" hidden="false" customHeight="false" outlineLevel="0" collapsed="false">
      <c r="A237" s="0" t="s">
        <v>4812</v>
      </c>
      <c r="B237" s="0" t="s">
        <v>1693</v>
      </c>
      <c r="C237" s="0" t="n">
        <v>2026</v>
      </c>
      <c r="D237" s="43" t="n">
        <f aca="false">IF(Funding!AD10="","",Funding!AD10)</f>
        <v>0</v>
      </c>
      <c r="E237" s="21" t="s">
        <v>4630</v>
      </c>
      <c r="M237" s="21" t="s">
        <v>4813</v>
      </c>
    </row>
    <row r="238" customFormat="false" ht="17.15" hidden="false" customHeight="false" outlineLevel="0" collapsed="false">
      <c r="A238" s="0" t="s">
        <v>4814</v>
      </c>
      <c r="B238" s="0" t="s">
        <v>1693</v>
      </c>
      <c r="C238" s="0" t="n">
        <v>2026</v>
      </c>
      <c r="D238" s="43" t="n">
        <f aca="false">IF(Funding!AE10="","",Funding!AE10)</f>
        <v>0.0364069024576933</v>
      </c>
      <c r="E238" s="21" t="s">
        <v>4633</v>
      </c>
      <c r="M238" s="21" t="s">
        <v>4815</v>
      </c>
    </row>
    <row r="239" customFormat="false" ht="17.15" hidden="false" customHeight="false" outlineLevel="0" collapsed="false">
      <c r="A239" s="0" t="s">
        <v>4816</v>
      </c>
      <c r="B239" s="0" t="s">
        <v>1693</v>
      </c>
      <c r="C239" s="0" t="n">
        <v>2026</v>
      </c>
      <c r="D239" s="43" t="n">
        <f aca="false">IF(Funding!AF10="","",Funding!AF10)</f>
        <v>0</v>
      </c>
      <c r="E239" s="21" t="s">
        <v>4636</v>
      </c>
      <c r="M239" s="21" t="s">
        <v>4817</v>
      </c>
    </row>
    <row r="240" customFormat="false" ht="17.15" hidden="false" customHeight="false" outlineLevel="0" collapsed="false">
      <c r="A240" s="0" t="s">
        <v>4818</v>
      </c>
      <c r="B240" s="0" t="s">
        <v>1693</v>
      </c>
      <c r="C240" s="0" t="n">
        <v>2026</v>
      </c>
      <c r="D240" s="43" t="n">
        <f aca="false">IF(Funding!AG10="","",Funding!AG10)</f>
        <v>0</v>
      </c>
      <c r="E240" s="21" t="s">
        <v>4639</v>
      </c>
      <c r="M240" s="21" t="s">
        <v>4819</v>
      </c>
    </row>
    <row r="241" customFormat="false" ht="17.15" hidden="false" customHeight="false" outlineLevel="0" collapsed="false">
      <c r="A241" s="0" t="s">
        <v>4820</v>
      </c>
      <c r="B241" s="0" t="s">
        <v>1693</v>
      </c>
      <c r="C241" s="0" t="n">
        <v>2026</v>
      </c>
      <c r="D241" s="37" t="n">
        <f aca="false">IF(Funding!AL10="","",Funding!AL10)</f>
        <v>147.155</v>
      </c>
      <c r="E241" s="21" t="s">
        <v>4642</v>
      </c>
      <c r="M241" s="21" t="s">
        <v>4821</v>
      </c>
    </row>
    <row r="242" customFormat="false" ht="17.15" hidden="false" customHeight="false" outlineLevel="0" collapsed="false">
      <c r="A242" s="0" t="s">
        <v>4822</v>
      </c>
      <c r="B242" s="0" t="s">
        <v>1693</v>
      </c>
      <c r="C242" s="0" t="n">
        <v>2026</v>
      </c>
      <c r="D242" s="43" t="n">
        <f aca="false">IF(Funding!AM10="","",Funding!AM10)</f>
        <v>1.11520768758573</v>
      </c>
      <c r="E242" s="21" t="s">
        <v>4645</v>
      </c>
      <c r="M242" s="21" t="s">
        <v>4823</v>
      </c>
    </row>
    <row r="243" customFormat="false" ht="17.15" hidden="false" customHeight="false" outlineLevel="0" collapsed="false">
      <c r="A243" s="0" t="s">
        <v>4824</v>
      </c>
      <c r="B243" s="0" t="s">
        <v>1693</v>
      </c>
      <c r="C243" s="0" t="n">
        <v>2026</v>
      </c>
      <c r="D243" s="43" t="n">
        <f aca="false">IF(Funding!AN10="","",Funding!AN10)</f>
        <v>0.963593097542307</v>
      </c>
      <c r="E243" s="21" t="s">
        <v>4648</v>
      </c>
      <c r="M243" s="21" t="s">
        <v>4825</v>
      </c>
    </row>
    <row r="244" customFormat="false" ht="17.15" hidden="false" customHeight="false" outlineLevel="0" collapsed="false">
      <c r="A244" s="0" t="s">
        <v>4826</v>
      </c>
      <c r="B244" s="0" t="s">
        <v>1693</v>
      </c>
      <c r="C244" s="0" t="n">
        <v>2026</v>
      </c>
      <c r="D244" s="43" t="n">
        <f aca="false">IF(Funding!AO10="","",Funding!AO10)</f>
        <v>0.645851174281752</v>
      </c>
      <c r="E244" s="21" t="s">
        <v>4651</v>
      </c>
      <c r="M244" s="21" t="s">
        <v>4827</v>
      </c>
    </row>
    <row r="245" customFormat="false" ht="17.15" hidden="false" customHeight="false" outlineLevel="0" collapsed="false">
      <c r="A245" s="0" t="s">
        <v>4828</v>
      </c>
      <c r="B245" s="0" t="s">
        <v>1693</v>
      </c>
      <c r="C245" s="0" t="n">
        <v>2026</v>
      </c>
      <c r="D245" s="43" t="n">
        <f aca="false">IF(Funding!AP10="","",Funding!AP10)</f>
        <v>0.469356513303979</v>
      </c>
      <c r="E245" s="21" t="s">
        <v>4654</v>
      </c>
      <c r="M245" s="21" t="s">
        <v>4829</v>
      </c>
    </row>
    <row r="246" customFormat="false" ht="17.15" hidden="false" customHeight="false" outlineLevel="0" collapsed="false">
      <c r="A246" s="0" t="s">
        <v>4830</v>
      </c>
      <c r="B246" s="0" t="s">
        <v>1693</v>
      </c>
      <c r="C246" s="0" t="n">
        <v>2026</v>
      </c>
      <c r="D246" s="43" t="n">
        <f aca="false">IF(Funding!AQ10="","",Funding!AQ10)</f>
        <v>0</v>
      </c>
      <c r="E246" s="21" t="s">
        <v>4657</v>
      </c>
      <c r="M246" s="21" t="s">
        <v>4831</v>
      </c>
    </row>
    <row r="247" customFormat="false" ht="17.15" hidden="false" customHeight="false" outlineLevel="0" collapsed="false">
      <c r="A247" s="0" t="s">
        <v>4832</v>
      </c>
      <c r="B247" s="0" t="s">
        <v>1693</v>
      </c>
      <c r="C247" s="0" t="n">
        <v>2026</v>
      </c>
      <c r="D247" s="37" t="n">
        <f aca="false">IF(Funding!E10="","",Funding!E10)</f>
        <v>127.149</v>
      </c>
      <c r="E247" s="21" t="s">
        <v>2105</v>
      </c>
      <c r="M247" s="21" t="s">
        <v>4833</v>
      </c>
    </row>
    <row r="248" customFormat="false" ht="17.15" hidden="false" customHeight="false" outlineLevel="0" collapsed="false">
      <c r="A248" s="0" t="s">
        <v>4834</v>
      </c>
      <c r="B248" s="0" t="s">
        <v>1693</v>
      </c>
      <c r="C248" s="0" t="n">
        <v>2026</v>
      </c>
      <c r="D248" s="37" t="n">
        <f aca="false">IF(Funding!I10="","",Funding!I10)</f>
        <v>-4.804</v>
      </c>
      <c r="E248" s="21" t="s">
        <v>2111</v>
      </c>
      <c r="M248" s="21" t="s">
        <v>4835</v>
      </c>
    </row>
    <row r="249" customFormat="false" ht="17.15" hidden="false" customHeight="false" outlineLevel="0" collapsed="false">
      <c r="A249" s="0" t="s">
        <v>4836</v>
      </c>
      <c r="B249" s="0" t="s">
        <v>1693</v>
      </c>
      <c r="C249" s="0" t="n">
        <v>2026</v>
      </c>
      <c r="D249" s="37" t="n">
        <f aca="false">IF(Funding!O10="","",Funding!O10)</f>
        <v>85.2</v>
      </c>
      <c r="E249" s="21" t="s">
        <v>4664</v>
      </c>
      <c r="M249" s="21" t="s">
        <v>4837</v>
      </c>
    </row>
    <row r="250" customFormat="false" ht="17.15" hidden="false" customHeight="false" outlineLevel="0" collapsed="false">
      <c r="A250" s="0" t="s">
        <v>4838</v>
      </c>
      <c r="B250" s="0" t="s">
        <v>1693</v>
      </c>
      <c r="C250" s="0" t="n">
        <v>2026</v>
      </c>
      <c r="D250" s="37" t="n">
        <f aca="false">N(Funding!J10)+N(Funding!K10)+N(Funding!L10)+N(Funding!M10)</f>
        <v>85.222</v>
      </c>
      <c r="E250" s="21" t="s">
        <v>4667</v>
      </c>
      <c r="M250" s="21" t="s">
        <v>4839</v>
      </c>
    </row>
    <row r="251" customFormat="false" ht="17.15" hidden="false" customHeight="false" outlineLevel="0" collapsed="false">
      <c r="A251" s="0" t="s">
        <v>4840</v>
      </c>
      <c r="B251" s="0" t="s">
        <v>1693</v>
      </c>
      <c r="C251" s="0" t="n">
        <v>2026</v>
      </c>
      <c r="D251" s="37" t="n">
        <f aca="false">IF(Funding!R10="","",Funding!R10)</f>
        <v>61.933</v>
      </c>
      <c r="E251" s="21" t="s">
        <v>4670</v>
      </c>
      <c r="M251" s="21" t="s">
        <v>4841</v>
      </c>
    </row>
    <row r="252" customFormat="false" ht="17.15" hidden="false" customHeight="false" outlineLevel="0" collapsed="false">
      <c r="A252" s="0" t="s">
        <v>4842</v>
      </c>
      <c r="B252" s="0" t="s">
        <v>1694</v>
      </c>
      <c r="C252" s="0" t="n">
        <v>2024</v>
      </c>
      <c r="D252" s="37" t="str">
        <f aca="false">IF(Funding!W11="","",Funding!W11)</f>
        <v/>
      </c>
      <c r="E252" s="21" t="s">
        <v>4624</v>
      </c>
      <c r="M252" s="21" t="s">
        <v>4843</v>
      </c>
    </row>
    <row r="253" customFormat="false" ht="17.15" hidden="false" customHeight="false" outlineLevel="0" collapsed="false">
      <c r="A253" s="0" t="s">
        <v>4844</v>
      </c>
      <c r="B253" s="0" t="s">
        <v>1694</v>
      </c>
      <c r="C253" s="0" t="n">
        <v>2024</v>
      </c>
      <c r="D253" s="43" t="str">
        <f aca="false">IF(Funding!AC11="","",Funding!AC11)</f>
        <v/>
      </c>
      <c r="E253" s="21" t="s">
        <v>4627</v>
      </c>
      <c r="M253" s="21" t="s">
        <v>4845</v>
      </c>
    </row>
    <row r="254" customFormat="false" ht="17.15" hidden="false" customHeight="false" outlineLevel="0" collapsed="false">
      <c r="A254" s="0" t="s">
        <v>4846</v>
      </c>
      <c r="B254" s="0" t="s">
        <v>1694</v>
      </c>
      <c r="C254" s="0" t="n">
        <v>2024</v>
      </c>
      <c r="D254" s="43" t="str">
        <f aca="false">IF(Funding!AD11="","",Funding!AD11)</f>
        <v/>
      </c>
      <c r="E254" s="21" t="s">
        <v>4630</v>
      </c>
      <c r="M254" s="21" t="s">
        <v>4847</v>
      </c>
    </row>
    <row r="255" customFormat="false" ht="17.15" hidden="false" customHeight="false" outlineLevel="0" collapsed="false">
      <c r="A255" s="0" t="s">
        <v>4848</v>
      </c>
      <c r="B255" s="0" t="s">
        <v>1694</v>
      </c>
      <c r="C255" s="0" t="n">
        <v>2024</v>
      </c>
      <c r="D255" s="43" t="str">
        <f aca="false">IF(Funding!AE11="","",Funding!AE11)</f>
        <v/>
      </c>
      <c r="E255" s="21" t="s">
        <v>4633</v>
      </c>
      <c r="M255" s="21" t="s">
        <v>4849</v>
      </c>
    </row>
    <row r="256" customFormat="false" ht="17.15" hidden="false" customHeight="false" outlineLevel="0" collapsed="false">
      <c r="A256" s="0" t="s">
        <v>4850</v>
      </c>
      <c r="B256" s="0" t="s">
        <v>1694</v>
      </c>
      <c r="C256" s="0" t="n">
        <v>2024</v>
      </c>
      <c r="D256" s="43" t="str">
        <f aca="false">IF(Funding!AF11="","",Funding!AF11)</f>
        <v/>
      </c>
      <c r="E256" s="21" t="s">
        <v>4636</v>
      </c>
      <c r="M256" s="21" t="s">
        <v>4851</v>
      </c>
    </row>
    <row r="257" customFormat="false" ht="17.15" hidden="false" customHeight="false" outlineLevel="0" collapsed="false">
      <c r="A257" s="0" t="s">
        <v>4852</v>
      </c>
      <c r="B257" s="0" t="s">
        <v>1694</v>
      </c>
      <c r="C257" s="0" t="n">
        <v>2024</v>
      </c>
      <c r="D257" s="43" t="str">
        <f aca="false">IF(Funding!AG11="","",Funding!AG11)</f>
        <v/>
      </c>
      <c r="E257" s="21" t="s">
        <v>4639</v>
      </c>
      <c r="M257" s="21" t="s">
        <v>4853</v>
      </c>
    </row>
    <row r="258" customFormat="false" ht="17.15" hidden="false" customHeight="false" outlineLevel="0" collapsed="false">
      <c r="A258" s="0" t="s">
        <v>4854</v>
      </c>
      <c r="B258" s="0" t="s">
        <v>1694</v>
      </c>
      <c r="C258" s="0" t="n">
        <v>2024</v>
      </c>
      <c r="D258" s="37" t="n">
        <f aca="false">IF(Funding!AL11="","",Funding!AL11)</f>
        <v>0</v>
      </c>
      <c r="E258" s="21" t="s">
        <v>4642</v>
      </c>
      <c r="M258" s="21" t="s">
        <v>4855</v>
      </c>
    </row>
    <row r="259" customFormat="false" ht="17.15" hidden="false" customHeight="false" outlineLevel="0" collapsed="false">
      <c r="A259" s="0" t="s">
        <v>4856</v>
      </c>
      <c r="B259" s="0" t="s">
        <v>1694</v>
      </c>
      <c r="C259" s="0" t="n">
        <v>2024</v>
      </c>
      <c r="D259" s="43" t="str">
        <f aca="false">IF(Funding!AM11="","",Funding!AM11)</f>
        <v/>
      </c>
      <c r="E259" s="21" t="s">
        <v>4645</v>
      </c>
      <c r="M259" s="21" t="s">
        <v>4857</v>
      </c>
    </row>
    <row r="260" customFormat="false" ht="17.15" hidden="false" customHeight="false" outlineLevel="0" collapsed="false">
      <c r="A260" s="0" t="s">
        <v>4858</v>
      </c>
      <c r="B260" s="0" t="s">
        <v>1694</v>
      </c>
      <c r="C260" s="0" t="n">
        <v>2024</v>
      </c>
      <c r="D260" s="43" t="str">
        <f aca="false">IF(Funding!AN11="","",Funding!AN11)</f>
        <v/>
      </c>
      <c r="E260" s="21" t="s">
        <v>4648</v>
      </c>
      <c r="M260" s="21" t="s">
        <v>4859</v>
      </c>
    </row>
    <row r="261" customFormat="false" ht="17.15" hidden="false" customHeight="false" outlineLevel="0" collapsed="false">
      <c r="A261" s="0" t="s">
        <v>4860</v>
      </c>
      <c r="B261" s="0" t="s">
        <v>1694</v>
      </c>
      <c r="C261" s="0" t="n">
        <v>2024</v>
      </c>
      <c r="D261" s="43" t="str">
        <f aca="false">IF(Funding!AO11="","",Funding!AO11)</f>
        <v/>
      </c>
      <c r="E261" s="21" t="s">
        <v>4651</v>
      </c>
      <c r="M261" s="21" t="s">
        <v>4861</v>
      </c>
    </row>
    <row r="262" customFormat="false" ht="17.15" hidden="false" customHeight="false" outlineLevel="0" collapsed="false">
      <c r="A262" s="0" t="s">
        <v>4862</v>
      </c>
      <c r="B262" s="0" t="s">
        <v>1694</v>
      </c>
      <c r="C262" s="0" t="n">
        <v>2024</v>
      </c>
      <c r="D262" s="43" t="str">
        <f aca="false">IF(Funding!AP11="","",Funding!AP11)</f>
        <v/>
      </c>
      <c r="E262" s="21" t="s">
        <v>4654</v>
      </c>
      <c r="M262" s="21" t="s">
        <v>4863</v>
      </c>
    </row>
    <row r="263" customFormat="false" ht="17.15" hidden="false" customHeight="false" outlineLevel="0" collapsed="false">
      <c r="A263" s="0" t="s">
        <v>4864</v>
      </c>
      <c r="B263" s="0" t="s">
        <v>1694</v>
      </c>
      <c r="C263" s="0" t="n">
        <v>2024</v>
      </c>
      <c r="D263" s="43" t="str">
        <f aca="false">IF(Funding!AQ11="","",Funding!AQ11)</f>
        <v/>
      </c>
      <c r="E263" s="21" t="s">
        <v>4657</v>
      </c>
      <c r="M263" s="21" t="s">
        <v>4865</v>
      </c>
    </row>
    <row r="264" customFormat="false" ht="17.15" hidden="false" customHeight="false" outlineLevel="0" collapsed="false">
      <c r="A264" s="0" t="s">
        <v>4866</v>
      </c>
      <c r="B264" s="0" t="s">
        <v>1694</v>
      </c>
      <c r="C264" s="0" t="n">
        <v>2024</v>
      </c>
      <c r="D264" s="37" t="str">
        <f aca="false">IF(Funding!E11="","",Funding!E11)</f>
        <v/>
      </c>
      <c r="E264" s="21" t="s">
        <v>2105</v>
      </c>
      <c r="M264" s="21" t="s">
        <v>4867</v>
      </c>
    </row>
    <row r="265" customFormat="false" ht="17.15" hidden="false" customHeight="false" outlineLevel="0" collapsed="false">
      <c r="A265" s="0" t="s">
        <v>4868</v>
      </c>
      <c r="B265" s="0" t="s">
        <v>1694</v>
      </c>
      <c r="C265" s="0" t="n">
        <v>2024</v>
      </c>
      <c r="D265" s="37" t="str">
        <f aca="false">IF(Funding!I11="","",Funding!I11)</f>
        <v/>
      </c>
      <c r="E265" s="21" t="s">
        <v>2111</v>
      </c>
      <c r="M265" s="21" t="s">
        <v>4869</v>
      </c>
    </row>
    <row r="266" customFormat="false" ht="17.15" hidden="false" customHeight="false" outlineLevel="0" collapsed="false">
      <c r="A266" s="0" t="s">
        <v>4870</v>
      </c>
      <c r="B266" s="0" t="s">
        <v>1694</v>
      </c>
      <c r="C266" s="0" t="n">
        <v>2024</v>
      </c>
      <c r="D266" s="37" t="str">
        <f aca="false">IF(Funding!O11="","",Funding!O11)</f>
        <v/>
      </c>
      <c r="E266" s="21" t="s">
        <v>4664</v>
      </c>
      <c r="M266" s="21" t="s">
        <v>4871</v>
      </c>
    </row>
    <row r="267" customFormat="false" ht="17.15" hidden="false" customHeight="false" outlineLevel="0" collapsed="false">
      <c r="A267" s="0" t="s">
        <v>4872</v>
      </c>
      <c r="B267" s="0" t="s">
        <v>1694</v>
      </c>
      <c r="C267" s="0" t="n">
        <v>2024</v>
      </c>
      <c r="D267" s="37" t="n">
        <f aca="false">N(Funding!J11)+N(Funding!K11)+N(Funding!L11)+N(Funding!M11)</f>
        <v>0</v>
      </c>
      <c r="E267" s="21" t="s">
        <v>4667</v>
      </c>
      <c r="M267" s="21" t="s">
        <v>4873</v>
      </c>
    </row>
    <row r="268" customFormat="false" ht="17.15" hidden="false" customHeight="false" outlineLevel="0" collapsed="false">
      <c r="A268" s="0" t="s">
        <v>4874</v>
      </c>
      <c r="B268" s="0" t="s">
        <v>1694</v>
      </c>
      <c r="C268" s="0" t="n">
        <v>2024</v>
      </c>
      <c r="D268" s="37" t="str">
        <f aca="false">IF(Funding!R11="","",Funding!R11)</f>
        <v/>
      </c>
      <c r="E268" s="21" t="s">
        <v>4670</v>
      </c>
      <c r="M268" s="21" t="s">
        <v>4875</v>
      </c>
    </row>
    <row r="269" customFormat="false" ht="17.15" hidden="false" customHeight="false" outlineLevel="0" collapsed="false">
      <c r="A269" s="0" t="s">
        <v>4876</v>
      </c>
      <c r="B269" s="0" t="s">
        <v>1694</v>
      </c>
      <c r="C269" s="0" t="n">
        <v>2025</v>
      </c>
      <c r="D269" s="37" t="n">
        <f aca="false">IF(Funding!W12="","",Funding!W12)</f>
        <v>131.231</v>
      </c>
      <c r="E269" s="21" t="s">
        <v>4624</v>
      </c>
      <c r="M269" s="21" t="s">
        <v>4877</v>
      </c>
    </row>
    <row r="270" customFormat="false" ht="17.15" hidden="false" customHeight="false" outlineLevel="0" collapsed="false">
      <c r="A270" s="0" t="s">
        <v>4878</v>
      </c>
      <c r="B270" s="0" t="s">
        <v>1694</v>
      </c>
      <c r="C270" s="0" t="n">
        <v>2025</v>
      </c>
      <c r="D270" s="43" t="n">
        <f aca="false">IF(Funding!AC12="","",Funding!AC12)</f>
        <v>0.977817741234922</v>
      </c>
      <c r="E270" s="21" t="s">
        <v>4627</v>
      </c>
      <c r="M270" s="21" t="s">
        <v>4879</v>
      </c>
    </row>
    <row r="271" customFormat="false" ht="17.15" hidden="false" customHeight="false" outlineLevel="0" collapsed="false">
      <c r="A271" s="0" t="s">
        <v>4880</v>
      </c>
      <c r="B271" s="0" t="s">
        <v>1694</v>
      </c>
      <c r="C271" s="0" t="n">
        <v>2025</v>
      </c>
      <c r="D271" s="43" t="n">
        <f aca="false">IF(Funding!AD12="","",Funding!AD12)</f>
        <v>0.0221822587650784</v>
      </c>
      <c r="E271" s="21" t="s">
        <v>4630</v>
      </c>
      <c r="M271" s="21" t="s">
        <v>4881</v>
      </c>
    </row>
    <row r="272" customFormat="false" ht="17.15" hidden="false" customHeight="false" outlineLevel="0" collapsed="false">
      <c r="A272" s="0" t="s">
        <v>4882</v>
      </c>
      <c r="B272" s="0" t="s">
        <v>1694</v>
      </c>
      <c r="C272" s="0" t="n">
        <v>2025</v>
      </c>
      <c r="D272" s="43" t="n">
        <f aca="false">IF(Funding!AE12="","",Funding!AE12)</f>
        <v>0</v>
      </c>
      <c r="E272" s="21" t="s">
        <v>4633</v>
      </c>
      <c r="M272" s="21" t="s">
        <v>4883</v>
      </c>
    </row>
    <row r="273" customFormat="false" ht="17.15" hidden="false" customHeight="false" outlineLevel="0" collapsed="false">
      <c r="A273" s="0" t="s">
        <v>4884</v>
      </c>
      <c r="B273" s="0" t="s">
        <v>1694</v>
      </c>
      <c r="C273" s="0" t="n">
        <v>2025</v>
      </c>
      <c r="D273" s="43" t="n">
        <f aca="false">IF(Funding!AF12="","",Funding!AF12)</f>
        <v>0</v>
      </c>
      <c r="E273" s="21" t="s">
        <v>4636</v>
      </c>
      <c r="M273" s="21" t="s">
        <v>4885</v>
      </c>
    </row>
    <row r="274" customFormat="false" ht="17.15" hidden="false" customHeight="false" outlineLevel="0" collapsed="false">
      <c r="A274" s="0" t="s">
        <v>4886</v>
      </c>
      <c r="B274" s="0" t="s">
        <v>1694</v>
      </c>
      <c r="C274" s="0" t="n">
        <v>2025</v>
      </c>
      <c r="D274" s="43" t="n">
        <f aca="false">IF(Funding!AG12="","",Funding!AG12)</f>
        <v>0</v>
      </c>
      <c r="E274" s="21" t="s">
        <v>4639</v>
      </c>
      <c r="M274" s="21" t="s">
        <v>4887</v>
      </c>
    </row>
    <row r="275" customFormat="false" ht="17.15" hidden="false" customHeight="false" outlineLevel="0" collapsed="false">
      <c r="A275" s="0" t="s">
        <v>4888</v>
      </c>
      <c r="B275" s="0" t="s">
        <v>1694</v>
      </c>
      <c r="C275" s="0" t="n">
        <v>2025</v>
      </c>
      <c r="D275" s="37" t="n">
        <f aca="false">IF(Funding!AL12="","",Funding!AL12)</f>
        <v>17.911</v>
      </c>
      <c r="E275" s="21" t="s">
        <v>4642</v>
      </c>
      <c r="M275" s="21" t="s">
        <v>4889</v>
      </c>
    </row>
    <row r="276" customFormat="false" ht="17.15" hidden="false" customHeight="false" outlineLevel="0" collapsed="false">
      <c r="A276" s="0" t="s">
        <v>4890</v>
      </c>
      <c r="B276" s="0" t="s">
        <v>1694</v>
      </c>
      <c r="C276" s="0" t="n">
        <v>2025</v>
      </c>
      <c r="D276" s="43" t="n">
        <f aca="false">IF(Funding!AM12="","",Funding!AM12)</f>
        <v>0.136484519663799</v>
      </c>
      <c r="E276" s="21" t="s">
        <v>4645</v>
      </c>
      <c r="M276" s="21" t="s">
        <v>4891</v>
      </c>
    </row>
    <row r="277" customFormat="false" ht="17.15" hidden="false" customHeight="false" outlineLevel="0" collapsed="false">
      <c r="A277" s="0" t="s">
        <v>4892</v>
      </c>
      <c r="B277" s="0" t="s">
        <v>1694</v>
      </c>
      <c r="C277" s="0" t="n">
        <v>2025</v>
      </c>
      <c r="D277" s="43" t="n">
        <f aca="false">IF(Funding!AN12="","",Funding!AN12)</f>
        <v>1.06311770846827</v>
      </c>
      <c r="E277" s="21" t="s">
        <v>4648</v>
      </c>
      <c r="M277" s="21" t="s">
        <v>4893</v>
      </c>
    </row>
    <row r="278" customFormat="false" ht="17.15" hidden="false" customHeight="false" outlineLevel="0" collapsed="false">
      <c r="A278" s="0" t="s">
        <v>4894</v>
      </c>
      <c r="B278" s="0" t="s">
        <v>1694</v>
      </c>
      <c r="C278" s="0" t="n">
        <v>2025</v>
      </c>
      <c r="D278" s="43" t="n">
        <f aca="false">IF(Funding!AO12="","",Funding!AO12)</f>
        <v>0.114302260898721</v>
      </c>
      <c r="E278" s="21" t="s">
        <v>4651</v>
      </c>
      <c r="M278" s="21" t="s">
        <v>4895</v>
      </c>
    </row>
    <row r="279" customFormat="false" ht="17.15" hidden="false" customHeight="false" outlineLevel="0" collapsed="false">
      <c r="A279" s="0" t="s">
        <v>4896</v>
      </c>
      <c r="B279" s="0" t="s">
        <v>1694</v>
      </c>
      <c r="C279" s="0" t="n">
        <v>2025</v>
      </c>
      <c r="D279" s="43" t="n">
        <f aca="false">IF(Funding!AP12="","",Funding!AP12)</f>
        <v>0</v>
      </c>
      <c r="E279" s="21" t="s">
        <v>4654</v>
      </c>
      <c r="M279" s="21" t="s">
        <v>4897</v>
      </c>
    </row>
    <row r="280" customFormat="false" ht="17.15" hidden="false" customHeight="false" outlineLevel="0" collapsed="false">
      <c r="A280" s="0" t="s">
        <v>4898</v>
      </c>
      <c r="B280" s="0" t="s">
        <v>1694</v>
      </c>
      <c r="C280" s="0" t="n">
        <v>2025</v>
      </c>
      <c r="D280" s="43" t="n">
        <f aca="false">IF(Funding!AQ12="","",Funding!AQ12)</f>
        <v>0.0221822587650784</v>
      </c>
      <c r="E280" s="21" t="s">
        <v>4657</v>
      </c>
      <c r="M280" s="21" t="s">
        <v>4899</v>
      </c>
    </row>
    <row r="281" customFormat="false" ht="17.15" hidden="false" customHeight="false" outlineLevel="0" collapsed="false">
      <c r="A281" s="0" t="s">
        <v>4900</v>
      </c>
      <c r="B281" s="0" t="s">
        <v>1694</v>
      </c>
      <c r="C281" s="0" t="n">
        <v>2025</v>
      </c>
      <c r="D281" s="37" t="n">
        <f aca="false">IF(Funding!E12="","",Funding!E12)</f>
        <v>139.514</v>
      </c>
      <c r="E281" s="21" t="s">
        <v>2105</v>
      </c>
      <c r="M281" s="21" t="s">
        <v>4901</v>
      </c>
    </row>
    <row r="282" customFormat="false" ht="17.15" hidden="false" customHeight="false" outlineLevel="0" collapsed="false">
      <c r="A282" s="0" t="s">
        <v>4902</v>
      </c>
      <c r="B282" s="0" t="s">
        <v>1694</v>
      </c>
      <c r="C282" s="0" t="n">
        <v>2025</v>
      </c>
      <c r="D282" s="37" t="n">
        <f aca="false">IF(Funding!I12="","",Funding!I12)</f>
        <v>11.194</v>
      </c>
      <c r="E282" s="21" t="s">
        <v>2111</v>
      </c>
      <c r="M282" s="21" t="s">
        <v>4903</v>
      </c>
    </row>
    <row r="283" customFormat="false" ht="17.15" hidden="false" customHeight="false" outlineLevel="0" collapsed="false">
      <c r="A283" s="0" t="s">
        <v>4904</v>
      </c>
      <c r="B283" s="0" t="s">
        <v>1694</v>
      </c>
      <c r="C283" s="0" t="n">
        <v>2025</v>
      </c>
      <c r="D283" s="37" t="n">
        <f aca="false">IF(Funding!O12="","",Funding!O12)</f>
        <v>96.4</v>
      </c>
      <c r="E283" s="21" t="s">
        <v>4664</v>
      </c>
      <c r="M283" s="21" t="s">
        <v>4905</v>
      </c>
    </row>
    <row r="284" customFormat="false" ht="17.15" hidden="false" customHeight="false" outlineLevel="0" collapsed="false">
      <c r="A284" s="0" t="s">
        <v>4906</v>
      </c>
      <c r="B284" s="0" t="s">
        <v>1694</v>
      </c>
      <c r="C284" s="0" t="n">
        <v>2025</v>
      </c>
      <c r="D284" s="37" t="n">
        <f aca="false">N(Funding!J12)+N(Funding!K12)+N(Funding!L12)+N(Funding!M12)</f>
        <v>15</v>
      </c>
      <c r="E284" s="21" t="s">
        <v>4667</v>
      </c>
      <c r="M284" s="21" t="s">
        <v>4907</v>
      </c>
    </row>
    <row r="285" customFormat="false" ht="17.15" hidden="false" customHeight="false" outlineLevel="0" collapsed="false">
      <c r="A285" s="0" t="s">
        <v>4908</v>
      </c>
      <c r="B285" s="0" t="s">
        <v>1694</v>
      </c>
      <c r="C285" s="0" t="n">
        <v>2025</v>
      </c>
      <c r="D285" s="37" t="str">
        <f aca="false">IF(Funding!R12="","",Funding!R12)</f>
        <v/>
      </c>
      <c r="E285" s="21" t="s">
        <v>4670</v>
      </c>
      <c r="M285" s="21" t="s">
        <v>4909</v>
      </c>
    </row>
    <row r="286" customFormat="false" ht="17.15" hidden="false" customHeight="false" outlineLevel="0" collapsed="false">
      <c r="A286" s="0" t="s">
        <v>4910</v>
      </c>
      <c r="B286" s="0" t="s">
        <v>1694</v>
      </c>
      <c r="C286" s="0" t="n">
        <v>2026</v>
      </c>
      <c r="D286" s="37" t="n">
        <f aca="false">IF(Funding!W13="","",Funding!W13)</f>
        <v>175.788</v>
      </c>
      <c r="E286" s="21" t="s">
        <v>4624</v>
      </c>
      <c r="M286" s="21" t="s">
        <v>4911</v>
      </c>
    </row>
    <row r="287" customFormat="false" ht="17.15" hidden="false" customHeight="false" outlineLevel="0" collapsed="false">
      <c r="A287" s="0" t="s">
        <v>4912</v>
      </c>
      <c r="B287" s="0" t="s">
        <v>1694</v>
      </c>
      <c r="C287" s="0" t="n">
        <v>2026</v>
      </c>
      <c r="D287" s="43" t="n">
        <f aca="false">IF(Funding!AC13="","",Funding!AC13)</f>
        <v>0.647603932009011</v>
      </c>
      <c r="E287" s="21" t="s">
        <v>4627</v>
      </c>
      <c r="M287" s="21" t="s">
        <v>4913</v>
      </c>
    </row>
    <row r="288" customFormat="false" ht="17.15" hidden="false" customHeight="false" outlineLevel="0" collapsed="false">
      <c r="A288" s="0" t="s">
        <v>4914</v>
      </c>
      <c r="B288" s="0" t="s">
        <v>1694</v>
      </c>
      <c r="C288" s="0" t="n">
        <v>2026</v>
      </c>
      <c r="D288" s="43" t="n">
        <f aca="false">IF(Funding!AD13="","",Funding!AD13)</f>
        <v>0.020479213598198</v>
      </c>
      <c r="E288" s="21" t="s">
        <v>4630</v>
      </c>
      <c r="M288" s="21" t="s">
        <v>4915</v>
      </c>
    </row>
    <row r="289" customFormat="false" ht="17.15" hidden="false" customHeight="false" outlineLevel="0" collapsed="false">
      <c r="A289" s="0" t="s">
        <v>4916</v>
      </c>
      <c r="B289" s="0" t="s">
        <v>1694</v>
      </c>
      <c r="C289" s="0" t="n">
        <v>2026</v>
      </c>
      <c r="D289" s="43" t="n">
        <f aca="false">IF(Funding!AE13="","",Funding!AE13)</f>
        <v>0</v>
      </c>
      <c r="E289" s="21" t="s">
        <v>4633</v>
      </c>
      <c r="M289" s="21" t="s">
        <v>4917</v>
      </c>
    </row>
    <row r="290" customFormat="false" ht="17.15" hidden="false" customHeight="false" outlineLevel="0" collapsed="false">
      <c r="A290" s="0" t="s">
        <v>4918</v>
      </c>
      <c r="B290" s="0" t="s">
        <v>1694</v>
      </c>
      <c r="C290" s="0" t="n">
        <v>2026</v>
      </c>
      <c r="D290" s="43" t="n">
        <f aca="false">IF(Funding!AF13="","",Funding!AF13)</f>
        <v>0.331916854392791</v>
      </c>
      <c r="E290" s="21" t="s">
        <v>4636</v>
      </c>
      <c r="M290" s="21" t="s">
        <v>4919</v>
      </c>
    </row>
    <row r="291" customFormat="false" ht="17.15" hidden="false" customHeight="false" outlineLevel="0" collapsed="false">
      <c r="A291" s="0" t="s">
        <v>4920</v>
      </c>
      <c r="B291" s="0" t="s">
        <v>1694</v>
      </c>
      <c r="C291" s="0" t="n">
        <v>2026</v>
      </c>
      <c r="D291" s="43" t="n">
        <f aca="false">IF(Funding!AG13="","",Funding!AG13)</f>
        <v>0</v>
      </c>
      <c r="E291" s="21" t="s">
        <v>4639</v>
      </c>
      <c r="M291" s="21" t="s">
        <v>4921</v>
      </c>
    </row>
    <row r="292" customFormat="false" ht="17.15" hidden="false" customHeight="false" outlineLevel="0" collapsed="false">
      <c r="A292" s="0" t="s">
        <v>4922</v>
      </c>
      <c r="B292" s="0" t="s">
        <v>1694</v>
      </c>
      <c r="C292" s="0" t="n">
        <v>2026</v>
      </c>
      <c r="D292" s="37" t="n">
        <f aca="false">IF(Funding!AL13="","",Funding!AL13)</f>
        <v>118.7</v>
      </c>
      <c r="E292" s="21" t="s">
        <v>4642</v>
      </c>
      <c r="M292" s="21" t="s">
        <v>4923</v>
      </c>
    </row>
    <row r="293" customFormat="false" ht="17.15" hidden="false" customHeight="false" outlineLevel="0" collapsed="false">
      <c r="A293" s="0" t="s">
        <v>4924</v>
      </c>
      <c r="B293" s="0" t="s">
        <v>1694</v>
      </c>
      <c r="C293" s="0" t="n">
        <v>2026</v>
      </c>
      <c r="D293" s="43" t="n">
        <f aca="false">IF(Funding!AM13="","",Funding!AM13)</f>
        <v>0.675245181696134</v>
      </c>
      <c r="E293" s="21" t="s">
        <v>4645</v>
      </c>
      <c r="M293" s="21" t="s">
        <v>4925</v>
      </c>
    </row>
    <row r="294" customFormat="false" ht="17.15" hidden="false" customHeight="false" outlineLevel="0" collapsed="false">
      <c r="A294" s="0" t="s">
        <v>4926</v>
      </c>
      <c r="B294" s="0" t="s">
        <v>1694</v>
      </c>
      <c r="C294" s="0" t="n">
        <v>2026</v>
      </c>
      <c r="D294" s="43" t="n">
        <f aca="false">IF(Funding!AN13="","",Funding!AN13)</f>
        <v>0.647603932009011</v>
      </c>
      <c r="E294" s="21" t="s">
        <v>4648</v>
      </c>
      <c r="M294" s="21" t="s">
        <v>4927</v>
      </c>
    </row>
    <row r="295" customFormat="false" ht="17.15" hidden="false" customHeight="false" outlineLevel="0" collapsed="false">
      <c r="A295" s="0" t="s">
        <v>4928</v>
      </c>
      <c r="B295" s="0" t="s">
        <v>1694</v>
      </c>
      <c r="C295" s="0" t="n">
        <v>2026</v>
      </c>
      <c r="D295" s="43" t="n">
        <f aca="false">IF(Funding!AO13="","",Funding!AO13)</f>
        <v>0.654765968097936</v>
      </c>
      <c r="E295" s="21" t="s">
        <v>4651</v>
      </c>
      <c r="M295" s="21" t="s">
        <v>4929</v>
      </c>
    </row>
    <row r="296" customFormat="false" ht="17.15" hidden="false" customHeight="false" outlineLevel="0" collapsed="false">
      <c r="A296" s="0" t="s">
        <v>4930</v>
      </c>
      <c r="B296" s="0" t="s">
        <v>1694</v>
      </c>
      <c r="C296" s="0" t="n">
        <v>2026</v>
      </c>
      <c r="D296" s="43" t="n">
        <f aca="false">IF(Funding!AP13="","",Funding!AP13)</f>
        <v>0</v>
      </c>
      <c r="E296" s="21" t="s">
        <v>4654</v>
      </c>
      <c r="M296" s="21" t="s">
        <v>4931</v>
      </c>
    </row>
    <row r="297" customFormat="false" ht="17.15" hidden="false" customHeight="false" outlineLevel="0" collapsed="false">
      <c r="A297" s="0" t="s">
        <v>4932</v>
      </c>
      <c r="B297" s="0" t="s">
        <v>1694</v>
      </c>
      <c r="C297" s="0" t="n">
        <v>2026</v>
      </c>
      <c r="D297" s="43" t="n">
        <f aca="false">IF(Funding!AQ13="","",Funding!AQ13)</f>
        <v>0.020479213598198</v>
      </c>
      <c r="E297" s="21" t="s">
        <v>4657</v>
      </c>
      <c r="M297" s="21" t="s">
        <v>4933</v>
      </c>
    </row>
    <row r="298" customFormat="false" ht="17.15" hidden="false" customHeight="false" outlineLevel="0" collapsed="false">
      <c r="A298" s="0" t="s">
        <v>4934</v>
      </c>
      <c r="B298" s="0" t="s">
        <v>1694</v>
      </c>
      <c r="C298" s="0" t="n">
        <v>2026</v>
      </c>
      <c r="D298" s="37" t="n">
        <f aca="false">IF(Funding!E13="","",Funding!E13)</f>
        <v>113.841</v>
      </c>
      <c r="E298" s="21" t="s">
        <v>2105</v>
      </c>
      <c r="M298" s="21" t="s">
        <v>4935</v>
      </c>
    </row>
    <row r="299" customFormat="false" ht="17.15" hidden="false" customHeight="false" outlineLevel="0" collapsed="false">
      <c r="A299" s="0" t="s">
        <v>4936</v>
      </c>
      <c r="B299" s="0" t="s">
        <v>1694</v>
      </c>
      <c r="C299" s="0" t="n">
        <v>2026</v>
      </c>
      <c r="D299" s="37" t="n">
        <f aca="false">IF(Funding!I13="","",Funding!I13)</f>
        <v>-58.347</v>
      </c>
      <c r="E299" s="21" t="s">
        <v>2111</v>
      </c>
      <c r="M299" s="21" t="s">
        <v>4937</v>
      </c>
    </row>
    <row r="300" customFormat="false" ht="17.15" hidden="false" customHeight="false" outlineLevel="0" collapsed="false">
      <c r="A300" s="0" t="s">
        <v>4938</v>
      </c>
      <c r="B300" s="0" t="s">
        <v>1694</v>
      </c>
      <c r="C300" s="0" t="n">
        <v>2026</v>
      </c>
      <c r="D300" s="37" t="n">
        <f aca="false">IF(Funding!O13="","",Funding!O13)</f>
        <v>164.922</v>
      </c>
      <c r="E300" s="21" t="s">
        <v>4664</v>
      </c>
      <c r="M300" s="21" t="s">
        <v>4939</v>
      </c>
    </row>
    <row r="301" customFormat="false" ht="17.15" hidden="false" customHeight="false" outlineLevel="0" collapsed="false">
      <c r="A301" s="0" t="s">
        <v>4940</v>
      </c>
      <c r="B301" s="0" t="s">
        <v>1694</v>
      </c>
      <c r="C301" s="0" t="n">
        <v>2026</v>
      </c>
      <c r="D301" s="37" t="n">
        <f aca="false">N(Funding!J13)+N(Funding!K13)+N(Funding!L13)+N(Funding!M13)</f>
        <v>115.1</v>
      </c>
      <c r="E301" s="21" t="s">
        <v>4667</v>
      </c>
      <c r="M301" s="21" t="s">
        <v>4941</v>
      </c>
    </row>
    <row r="302" customFormat="false" ht="17.15" hidden="false" customHeight="false" outlineLevel="0" collapsed="false">
      <c r="A302" s="0" t="s">
        <v>4942</v>
      </c>
      <c r="B302" s="0" t="s">
        <v>1694</v>
      </c>
      <c r="C302" s="0" t="n">
        <v>2026</v>
      </c>
      <c r="D302" s="37" t="str">
        <f aca="false">IF(Funding!R13="","",Funding!R13)</f>
        <v/>
      </c>
      <c r="E302" s="21" t="s">
        <v>4670</v>
      </c>
      <c r="M302" s="21" t="s">
        <v>4943</v>
      </c>
    </row>
    <row r="303" customFormat="false" ht="15" hidden="false" customHeight="false" outlineLevel="0" collapsed="false">
      <c r="A303" s="0" t="s">
        <v>4944</v>
      </c>
      <c r="B303" s="0" t="s">
        <v>1429</v>
      </c>
      <c r="C303" s="0" t="n">
        <v>2024</v>
      </c>
      <c r="D303" s="37" t="str">
        <f aca="false">IF(Funding!W14="","",Funding!W14)</f>
        <v/>
      </c>
      <c r="E303" s="21" t="s">
        <v>4624</v>
      </c>
      <c r="M303" s="21" t="s">
        <v>4945</v>
      </c>
    </row>
    <row r="304" customFormat="false" ht="15" hidden="false" customHeight="false" outlineLevel="0" collapsed="false">
      <c r="A304" s="0" t="s">
        <v>4946</v>
      </c>
      <c r="B304" s="0" t="s">
        <v>1429</v>
      </c>
      <c r="C304" s="0" t="n">
        <v>2024</v>
      </c>
      <c r="D304" s="43" t="str">
        <f aca="false">IF(Funding!AC14="","",Funding!AC14)</f>
        <v/>
      </c>
      <c r="E304" s="21" t="s">
        <v>4627</v>
      </c>
      <c r="M304" s="21" t="s">
        <v>4947</v>
      </c>
    </row>
    <row r="305" customFormat="false" ht="15" hidden="false" customHeight="false" outlineLevel="0" collapsed="false">
      <c r="A305" s="0" t="s">
        <v>4948</v>
      </c>
      <c r="B305" s="0" t="s">
        <v>1429</v>
      </c>
      <c r="C305" s="0" t="n">
        <v>2024</v>
      </c>
      <c r="D305" s="43" t="str">
        <f aca="false">IF(Funding!AD14="","",Funding!AD14)</f>
        <v/>
      </c>
      <c r="E305" s="21" t="s">
        <v>4630</v>
      </c>
      <c r="M305" s="21" t="s">
        <v>4949</v>
      </c>
    </row>
    <row r="306" customFormat="false" ht="15" hidden="false" customHeight="false" outlineLevel="0" collapsed="false">
      <c r="A306" s="0" t="s">
        <v>4950</v>
      </c>
      <c r="B306" s="0" t="s">
        <v>1429</v>
      </c>
      <c r="C306" s="0" t="n">
        <v>2024</v>
      </c>
      <c r="D306" s="43" t="str">
        <f aca="false">IF(Funding!AE14="","",Funding!AE14)</f>
        <v/>
      </c>
      <c r="E306" s="21" t="s">
        <v>4633</v>
      </c>
      <c r="M306" s="21" t="s">
        <v>4951</v>
      </c>
    </row>
    <row r="307" customFormat="false" ht="15" hidden="false" customHeight="false" outlineLevel="0" collapsed="false">
      <c r="A307" s="0" t="s">
        <v>4952</v>
      </c>
      <c r="B307" s="0" t="s">
        <v>1429</v>
      </c>
      <c r="C307" s="0" t="n">
        <v>2024</v>
      </c>
      <c r="D307" s="43" t="str">
        <f aca="false">IF(Funding!AF14="","",Funding!AF14)</f>
        <v/>
      </c>
      <c r="E307" s="21" t="s">
        <v>4636</v>
      </c>
      <c r="M307" s="21" t="s">
        <v>4953</v>
      </c>
    </row>
    <row r="308" customFormat="false" ht="15" hidden="false" customHeight="false" outlineLevel="0" collapsed="false">
      <c r="A308" s="0" t="s">
        <v>4954</v>
      </c>
      <c r="B308" s="0" t="s">
        <v>1429</v>
      </c>
      <c r="C308" s="0" t="n">
        <v>2024</v>
      </c>
      <c r="D308" s="43" t="str">
        <f aca="false">IF(Funding!AG14="","",Funding!AG14)</f>
        <v/>
      </c>
      <c r="E308" s="21" t="s">
        <v>4639</v>
      </c>
      <c r="M308" s="21" t="s">
        <v>4955</v>
      </c>
    </row>
    <row r="309" customFormat="false" ht="15" hidden="false" customHeight="false" outlineLevel="0" collapsed="false">
      <c r="A309" s="0" t="s">
        <v>4956</v>
      </c>
      <c r="B309" s="0" t="s">
        <v>1429</v>
      </c>
      <c r="C309" s="0" t="n">
        <v>2024</v>
      </c>
      <c r="D309" s="37" t="n">
        <f aca="false">IF(Funding!AL14="","",Funding!AL14)</f>
        <v>0</v>
      </c>
      <c r="E309" s="21" t="s">
        <v>4642</v>
      </c>
      <c r="M309" s="21" t="s">
        <v>4957</v>
      </c>
    </row>
    <row r="310" customFormat="false" ht="15" hidden="false" customHeight="false" outlineLevel="0" collapsed="false">
      <c r="A310" s="0" t="s">
        <v>4958</v>
      </c>
      <c r="B310" s="0" t="s">
        <v>1429</v>
      </c>
      <c r="C310" s="0" t="n">
        <v>2024</v>
      </c>
      <c r="D310" s="43" t="str">
        <f aca="false">IF(Funding!AM14="","",Funding!AM14)</f>
        <v/>
      </c>
      <c r="E310" s="21" t="s">
        <v>4645</v>
      </c>
      <c r="M310" s="21" t="s">
        <v>4959</v>
      </c>
    </row>
    <row r="311" customFormat="false" ht="15" hidden="false" customHeight="false" outlineLevel="0" collapsed="false">
      <c r="A311" s="0" t="s">
        <v>4960</v>
      </c>
      <c r="B311" s="0" t="s">
        <v>1429</v>
      </c>
      <c r="C311" s="0" t="n">
        <v>2024</v>
      </c>
      <c r="D311" s="43" t="str">
        <f aca="false">IF(Funding!AN14="","",Funding!AN14)</f>
        <v/>
      </c>
      <c r="E311" s="21" t="s">
        <v>4648</v>
      </c>
      <c r="M311" s="21" t="s">
        <v>4961</v>
      </c>
    </row>
    <row r="312" customFormat="false" ht="15" hidden="false" customHeight="false" outlineLevel="0" collapsed="false">
      <c r="A312" s="0" t="s">
        <v>4962</v>
      </c>
      <c r="B312" s="0" t="s">
        <v>1429</v>
      </c>
      <c r="C312" s="0" t="n">
        <v>2024</v>
      </c>
      <c r="D312" s="43" t="str">
        <f aca="false">IF(Funding!AO14="","",Funding!AO14)</f>
        <v/>
      </c>
      <c r="E312" s="21" t="s">
        <v>4651</v>
      </c>
      <c r="M312" s="21" t="s">
        <v>4963</v>
      </c>
    </row>
    <row r="313" customFormat="false" ht="15" hidden="false" customHeight="false" outlineLevel="0" collapsed="false">
      <c r="A313" s="0" t="s">
        <v>4964</v>
      </c>
      <c r="B313" s="0" t="s">
        <v>1429</v>
      </c>
      <c r="C313" s="0" t="n">
        <v>2024</v>
      </c>
      <c r="D313" s="43" t="str">
        <f aca="false">IF(Funding!AP14="","",Funding!AP14)</f>
        <v/>
      </c>
      <c r="E313" s="21" t="s">
        <v>4654</v>
      </c>
      <c r="M313" s="21" t="s">
        <v>4965</v>
      </c>
    </row>
    <row r="314" customFormat="false" ht="15" hidden="false" customHeight="false" outlineLevel="0" collapsed="false">
      <c r="A314" s="0" t="s">
        <v>4966</v>
      </c>
      <c r="B314" s="0" t="s">
        <v>1429</v>
      </c>
      <c r="C314" s="0" t="n">
        <v>2024</v>
      </c>
      <c r="D314" s="43" t="str">
        <f aca="false">IF(Funding!AQ14="","",Funding!AQ14)</f>
        <v/>
      </c>
      <c r="E314" s="21" t="s">
        <v>4657</v>
      </c>
      <c r="M314" s="21" t="s">
        <v>4967</v>
      </c>
    </row>
    <row r="315" customFormat="false" ht="15" hidden="false" customHeight="false" outlineLevel="0" collapsed="false">
      <c r="A315" s="0" t="s">
        <v>4968</v>
      </c>
      <c r="B315" s="0" t="s">
        <v>1429</v>
      </c>
      <c r="C315" s="0" t="n">
        <v>2024</v>
      </c>
      <c r="D315" s="37" t="str">
        <f aca="false">IF(Funding!E14="","",Funding!E14)</f>
        <v/>
      </c>
      <c r="E315" s="21" t="s">
        <v>2105</v>
      </c>
      <c r="M315" s="21" t="s">
        <v>4969</v>
      </c>
    </row>
    <row r="316" customFormat="false" ht="15" hidden="false" customHeight="false" outlineLevel="0" collapsed="false">
      <c r="A316" s="0" t="s">
        <v>4970</v>
      </c>
      <c r="B316" s="0" t="s">
        <v>1429</v>
      </c>
      <c r="C316" s="0" t="n">
        <v>2024</v>
      </c>
      <c r="D316" s="37" t="str">
        <f aca="false">IF(Funding!I14="","",Funding!I14)</f>
        <v/>
      </c>
      <c r="E316" s="21" t="s">
        <v>2111</v>
      </c>
      <c r="M316" s="21" t="s">
        <v>4971</v>
      </c>
    </row>
    <row r="317" customFormat="false" ht="15" hidden="false" customHeight="false" outlineLevel="0" collapsed="false">
      <c r="A317" s="0" t="s">
        <v>4972</v>
      </c>
      <c r="B317" s="0" t="s">
        <v>1429</v>
      </c>
      <c r="C317" s="0" t="n">
        <v>2024</v>
      </c>
      <c r="D317" s="37" t="str">
        <f aca="false">IF(Funding!O14="","",Funding!O14)</f>
        <v/>
      </c>
      <c r="E317" s="21" t="s">
        <v>4664</v>
      </c>
      <c r="M317" s="21" t="s">
        <v>4973</v>
      </c>
    </row>
    <row r="318" customFormat="false" ht="15" hidden="false" customHeight="false" outlineLevel="0" collapsed="false">
      <c r="A318" s="0" t="s">
        <v>4974</v>
      </c>
      <c r="B318" s="0" t="s">
        <v>1429</v>
      </c>
      <c r="C318" s="0" t="n">
        <v>2024</v>
      </c>
      <c r="D318" s="37" t="n">
        <f aca="false">N(Funding!J14)+N(Funding!K14)+N(Funding!L14)+N(Funding!M14)</f>
        <v>0</v>
      </c>
      <c r="E318" s="21" t="s">
        <v>4667</v>
      </c>
      <c r="M318" s="21" t="s">
        <v>4975</v>
      </c>
    </row>
    <row r="319" customFormat="false" ht="15" hidden="false" customHeight="false" outlineLevel="0" collapsed="false">
      <c r="A319" s="0" t="s">
        <v>4976</v>
      </c>
      <c r="B319" s="0" t="s">
        <v>1429</v>
      </c>
      <c r="C319" s="0" t="n">
        <v>2024</v>
      </c>
      <c r="D319" s="37" t="str">
        <f aca="false">IF(Funding!R14="","",Funding!R14)</f>
        <v/>
      </c>
      <c r="E319" s="21" t="s">
        <v>4670</v>
      </c>
      <c r="M319" s="21" t="s">
        <v>4977</v>
      </c>
    </row>
    <row r="320" customFormat="false" ht="15" hidden="false" customHeight="false" outlineLevel="0" collapsed="false">
      <c r="A320" s="0" t="s">
        <v>4978</v>
      </c>
      <c r="B320" s="0" t="s">
        <v>1429</v>
      </c>
      <c r="C320" s="0" t="n">
        <v>2025</v>
      </c>
      <c r="D320" s="37" t="n">
        <f aca="false">IF(Funding!W15="","",Funding!W15)</f>
        <v>72.215</v>
      </c>
      <c r="E320" s="21" t="s">
        <v>4624</v>
      </c>
      <c r="M320" s="21" t="s">
        <v>4979</v>
      </c>
    </row>
    <row r="321" customFormat="false" ht="15" hidden="false" customHeight="false" outlineLevel="0" collapsed="false">
      <c r="A321" s="0" t="s">
        <v>4980</v>
      </c>
      <c r="B321" s="0" t="s">
        <v>1429</v>
      </c>
      <c r="C321" s="0" t="n">
        <v>2025</v>
      </c>
      <c r="D321" s="43" t="n">
        <f aca="false">IF(Funding!AC15="","",Funding!AC15)</f>
        <v>1</v>
      </c>
      <c r="E321" s="21" t="s">
        <v>4627</v>
      </c>
      <c r="M321" s="21" t="s">
        <v>4981</v>
      </c>
    </row>
    <row r="322" customFormat="false" ht="15" hidden="false" customHeight="false" outlineLevel="0" collapsed="false">
      <c r="A322" s="0" t="s">
        <v>4982</v>
      </c>
      <c r="B322" s="0" t="s">
        <v>1429</v>
      </c>
      <c r="C322" s="0" t="n">
        <v>2025</v>
      </c>
      <c r="D322" s="43" t="n">
        <f aca="false">IF(Funding!AD15="","",Funding!AD15)</f>
        <v>0</v>
      </c>
      <c r="E322" s="21" t="s">
        <v>4630</v>
      </c>
      <c r="M322" s="21" t="s">
        <v>4983</v>
      </c>
    </row>
    <row r="323" customFormat="false" ht="15" hidden="false" customHeight="false" outlineLevel="0" collapsed="false">
      <c r="A323" s="0" t="s">
        <v>4984</v>
      </c>
      <c r="B323" s="0" t="s">
        <v>1429</v>
      </c>
      <c r="C323" s="0" t="n">
        <v>2025</v>
      </c>
      <c r="D323" s="43" t="n">
        <f aca="false">IF(Funding!AE15="","",Funding!AE15)</f>
        <v>0</v>
      </c>
      <c r="E323" s="21" t="s">
        <v>4633</v>
      </c>
      <c r="M323" s="21" t="s">
        <v>4985</v>
      </c>
    </row>
    <row r="324" customFormat="false" ht="15" hidden="false" customHeight="false" outlineLevel="0" collapsed="false">
      <c r="A324" s="0" t="s">
        <v>4986</v>
      </c>
      <c r="B324" s="0" t="s">
        <v>1429</v>
      </c>
      <c r="C324" s="0" t="n">
        <v>2025</v>
      </c>
      <c r="D324" s="43" t="n">
        <f aca="false">IF(Funding!AF15="","",Funding!AF15)</f>
        <v>0</v>
      </c>
      <c r="E324" s="21" t="s">
        <v>4636</v>
      </c>
      <c r="M324" s="21" t="s">
        <v>4987</v>
      </c>
    </row>
    <row r="325" customFormat="false" ht="15" hidden="false" customHeight="false" outlineLevel="0" collapsed="false">
      <c r="A325" s="0" t="s">
        <v>4988</v>
      </c>
      <c r="B325" s="0" t="s">
        <v>1429</v>
      </c>
      <c r="C325" s="0" t="n">
        <v>2025</v>
      </c>
      <c r="D325" s="43" t="n">
        <f aca="false">IF(Funding!AG15="","",Funding!AG15)</f>
        <v>0</v>
      </c>
      <c r="E325" s="21" t="s">
        <v>4639</v>
      </c>
      <c r="M325" s="21" t="s">
        <v>4989</v>
      </c>
    </row>
    <row r="326" customFormat="false" ht="15" hidden="false" customHeight="false" outlineLevel="0" collapsed="false">
      <c r="A326" s="0" t="s">
        <v>4990</v>
      </c>
      <c r="B326" s="0" t="s">
        <v>1429</v>
      </c>
      <c r="C326" s="0" t="n">
        <v>2025</v>
      </c>
      <c r="D326" s="37" t="n">
        <f aca="false">IF(Funding!AL15="","",Funding!AL15)</f>
        <v>57.3</v>
      </c>
      <c r="E326" s="21" t="s">
        <v>4642</v>
      </c>
      <c r="M326" s="21" t="s">
        <v>4991</v>
      </c>
    </row>
    <row r="327" customFormat="false" ht="15" hidden="false" customHeight="false" outlineLevel="0" collapsed="false">
      <c r="A327" s="0" t="s">
        <v>4992</v>
      </c>
      <c r="B327" s="0" t="s">
        <v>1429</v>
      </c>
      <c r="C327" s="0" t="n">
        <v>2025</v>
      </c>
      <c r="D327" s="43" t="n">
        <f aca="false">IF(Funding!AM15="","",Funding!AM15)</f>
        <v>0.793463961780793</v>
      </c>
      <c r="E327" s="21" t="s">
        <v>4645</v>
      </c>
      <c r="M327" s="21" t="s">
        <v>4993</v>
      </c>
    </row>
    <row r="328" customFormat="false" ht="15" hidden="false" customHeight="false" outlineLevel="0" collapsed="false">
      <c r="A328" s="0" t="s">
        <v>4994</v>
      </c>
      <c r="B328" s="0" t="s">
        <v>1429</v>
      </c>
      <c r="C328" s="0" t="n">
        <v>2025</v>
      </c>
      <c r="D328" s="43" t="n">
        <f aca="false">IF(Funding!AN15="","",Funding!AN15)</f>
        <v>1.6035449698816</v>
      </c>
      <c r="E328" s="21" t="s">
        <v>4648</v>
      </c>
      <c r="M328" s="21" t="s">
        <v>4995</v>
      </c>
    </row>
    <row r="329" customFormat="false" ht="15" hidden="false" customHeight="false" outlineLevel="0" collapsed="false">
      <c r="A329" s="0" t="s">
        <v>4996</v>
      </c>
      <c r="B329" s="0" t="s">
        <v>1429</v>
      </c>
      <c r="C329" s="0" t="n">
        <v>2025</v>
      </c>
      <c r="D329" s="43" t="n">
        <f aca="false">IF(Funding!AO15="","",Funding!AO15)</f>
        <v>0.415426158000415</v>
      </c>
      <c r="E329" s="21" t="s">
        <v>4651</v>
      </c>
      <c r="M329" s="21" t="s">
        <v>4997</v>
      </c>
    </row>
    <row r="330" customFormat="false" ht="15" hidden="false" customHeight="false" outlineLevel="0" collapsed="false">
      <c r="A330" s="0" t="s">
        <v>4998</v>
      </c>
      <c r="B330" s="0" t="s">
        <v>1429</v>
      </c>
      <c r="C330" s="0" t="n">
        <v>2025</v>
      </c>
      <c r="D330" s="43" t="n">
        <f aca="false">IF(Funding!AP15="","",Funding!AP15)</f>
        <v>0</v>
      </c>
      <c r="E330" s="21" t="s">
        <v>4654</v>
      </c>
      <c r="M330" s="21" t="s">
        <v>4999</v>
      </c>
    </row>
    <row r="331" customFormat="false" ht="15" hidden="false" customHeight="false" outlineLevel="0" collapsed="false">
      <c r="A331" s="0" t="s">
        <v>5000</v>
      </c>
      <c r="B331" s="0" t="s">
        <v>1429</v>
      </c>
      <c r="C331" s="0" t="n">
        <v>2025</v>
      </c>
      <c r="D331" s="43" t="n">
        <f aca="false">IF(Funding!AQ15="","",Funding!AQ15)</f>
        <v>0.378037803780378</v>
      </c>
      <c r="E331" s="21" t="s">
        <v>4657</v>
      </c>
      <c r="M331" s="21" t="s">
        <v>5001</v>
      </c>
    </row>
    <row r="332" customFormat="false" ht="15" hidden="false" customHeight="false" outlineLevel="0" collapsed="false">
      <c r="A332" s="0" t="s">
        <v>5002</v>
      </c>
      <c r="B332" s="0" t="s">
        <v>1429</v>
      </c>
      <c r="C332" s="0" t="n">
        <v>2025</v>
      </c>
      <c r="D332" s="37" t="n">
        <f aca="false">IF(Funding!E15="","",Funding!E15)</f>
        <v>115.8</v>
      </c>
      <c r="E332" s="21" t="s">
        <v>2105</v>
      </c>
      <c r="M332" s="21" t="s">
        <v>5003</v>
      </c>
    </row>
    <row r="333" customFormat="false" ht="15" hidden="false" customHeight="false" outlineLevel="0" collapsed="false">
      <c r="A333" s="0" t="s">
        <v>5004</v>
      </c>
      <c r="B333" s="0" t="s">
        <v>1429</v>
      </c>
      <c r="C333" s="0" t="n">
        <v>2025</v>
      </c>
      <c r="D333" s="37" t="n">
        <f aca="false">IF(Funding!I15="","",Funding!I15)</f>
        <v>43.585</v>
      </c>
      <c r="E333" s="21" t="s">
        <v>2111</v>
      </c>
      <c r="M333" s="21" t="s">
        <v>5005</v>
      </c>
    </row>
    <row r="334" customFormat="false" ht="15" hidden="false" customHeight="false" outlineLevel="0" collapsed="false">
      <c r="A334" s="0" t="s">
        <v>5006</v>
      </c>
      <c r="B334" s="0" t="s">
        <v>1429</v>
      </c>
      <c r="C334" s="0" t="n">
        <v>2025</v>
      </c>
      <c r="D334" s="37" t="str">
        <f aca="false">IF(Funding!O15="","",Funding!O15)</f>
        <v/>
      </c>
      <c r="E334" s="21" t="s">
        <v>4664</v>
      </c>
      <c r="M334" s="21" t="s">
        <v>5007</v>
      </c>
    </row>
    <row r="335" customFormat="false" ht="15" hidden="false" customHeight="false" outlineLevel="0" collapsed="false">
      <c r="A335" s="0" t="s">
        <v>5008</v>
      </c>
      <c r="B335" s="0" t="s">
        <v>1429</v>
      </c>
      <c r="C335" s="0" t="n">
        <v>2025</v>
      </c>
      <c r="D335" s="37" t="n">
        <f aca="false">N(Funding!J15)+N(Funding!K15)+N(Funding!L15)+N(Funding!M15)</f>
        <v>30</v>
      </c>
      <c r="E335" s="21" t="s">
        <v>4667</v>
      </c>
      <c r="M335" s="21" t="s">
        <v>5009</v>
      </c>
    </row>
    <row r="336" customFormat="false" ht="15" hidden="false" customHeight="false" outlineLevel="0" collapsed="false">
      <c r="A336" s="0" t="s">
        <v>5010</v>
      </c>
      <c r="B336" s="0" t="s">
        <v>1429</v>
      </c>
      <c r="C336" s="0" t="n">
        <v>2025</v>
      </c>
      <c r="D336" s="37" t="str">
        <f aca="false">IF(Funding!R15="","",Funding!R15)</f>
        <v/>
      </c>
      <c r="E336" s="21" t="s">
        <v>4670</v>
      </c>
      <c r="M336" s="21" t="s">
        <v>5011</v>
      </c>
    </row>
    <row r="337" customFormat="false" ht="15" hidden="false" customHeight="false" outlineLevel="0" collapsed="false">
      <c r="A337" s="0" t="s">
        <v>5012</v>
      </c>
      <c r="B337" s="0" t="s">
        <v>1429</v>
      </c>
      <c r="C337" s="0" t="n">
        <v>2026</v>
      </c>
      <c r="D337" s="37" t="n">
        <f aca="false">IF(Funding!W16="","",Funding!W16)</f>
        <v>85.824</v>
      </c>
      <c r="E337" s="21" t="s">
        <v>4624</v>
      </c>
      <c r="M337" s="21" t="s">
        <v>5013</v>
      </c>
    </row>
    <row r="338" customFormat="false" ht="15" hidden="false" customHeight="false" outlineLevel="0" collapsed="false">
      <c r="A338" s="0" t="s">
        <v>5014</v>
      </c>
      <c r="B338" s="0" t="s">
        <v>1429</v>
      </c>
      <c r="C338" s="0" t="n">
        <v>2026</v>
      </c>
      <c r="D338" s="43" t="n">
        <f aca="false">IF(Funding!AC16="","",Funding!AC16)</f>
        <v>0.96773629753915</v>
      </c>
      <c r="E338" s="21" t="s">
        <v>4627</v>
      </c>
      <c r="M338" s="21" t="s">
        <v>5015</v>
      </c>
    </row>
    <row r="339" customFormat="false" ht="15" hidden="false" customHeight="false" outlineLevel="0" collapsed="false">
      <c r="A339" s="0" t="s">
        <v>5016</v>
      </c>
      <c r="B339" s="0" t="s">
        <v>1429</v>
      </c>
      <c r="C339" s="0" t="n">
        <v>2026</v>
      </c>
      <c r="D339" s="43" t="n">
        <f aca="false">IF(Funding!AD16="","",Funding!AD16)</f>
        <v>0.03226370246085</v>
      </c>
      <c r="E339" s="21" t="s">
        <v>4630</v>
      </c>
      <c r="M339" s="21" t="s">
        <v>5017</v>
      </c>
    </row>
    <row r="340" customFormat="false" ht="15" hidden="false" customHeight="false" outlineLevel="0" collapsed="false">
      <c r="A340" s="0" t="s">
        <v>5018</v>
      </c>
      <c r="B340" s="0" t="s">
        <v>1429</v>
      </c>
      <c r="C340" s="0" t="n">
        <v>2026</v>
      </c>
      <c r="D340" s="43" t="n">
        <f aca="false">IF(Funding!AE16="","",Funding!AE16)</f>
        <v>0</v>
      </c>
      <c r="E340" s="21" t="s">
        <v>4633</v>
      </c>
      <c r="M340" s="21" t="s">
        <v>5019</v>
      </c>
    </row>
    <row r="341" customFormat="false" ht="15" hidden="false" customHeight="false" outlineLevel="0" collapsed="false">
      <c r="A341" s="0" t="s">
        <v>5020</v>
      </c>
      <c r="B341" s="0" t="s">
        <v>1429</v>
      </c>
      <c r="C341" s="0" t="n">
        <v>2026</v>
      </c>
      <c r="D341" s="43" t="n">
        <f aca="false">IF(Funding!AF16="","",Funding!AF16)</f>
        <v>0</v>
      </c>
      <c r="E341" s="21" t="s">
        <v>4636</v>
      </c>
      <c r="M341" s="21" t="s">
        <v>5021</v>
      </c>
    </row>
    <row r="342" customFormat="false" ht="15" hidden="false" customHeight="false" outlineLevel="0" collapsed="false">
      <c r="A342" s="0" t="s">
        <v>5022</v>
      </c>
      <c r="B342" s="0" t="s">
        <v>1429</v>
      </c>
      <c r="C342" s="0" t="n">
        <v>2026</v>
      </c>
      <c r="D342" s="43" t="n">
        <f aca="false">IF(Funding!AG16="","",Funding!AG16)</f>
        <v>0</v>
      </c>
      <c r="E342" s="21" t="s">
        <v>4639</v>
      </c>
      <c r="M342" s="21" t="s">
        <v>5023</v>
      </c>
    </row>
    <row r="343" customFormat="false" ht="15" hidden="false" customHeight="false" outlineLevel="0" collapsed="false">
      <c r="A343" s="0" t="s">
        <v>5024</v>
      </c>
      <c r="B343" s="0" t="s">
        <v>1429</v>
      </c>
      <c r="C343" s="0" t="n">
        <v>2026</v>
      </c>
      <c r="D343" s="37" t="n">
        <f aca="false">IF(Funding!AL16="","",Funding!AL16)</f>
        <v>41.769</v>
      </c>
      <c r="E343" s="21" t="s">
        <v>4642</v>
      </c>
      <c r="M343" s="21" t="s">
        <v>5025</v>
      </c>
    </row>
    <row r="344" customFormat="false" ht="15" hidden="false" customHeight="false" outlineLevel="0" collapsed="false">
      <c r="A344" s="0" t="s">
        <v>5026</v>
      </c>
      <c r="B344" s="0" t="s">
        <v>1429</v>
      </c>
      <c r="C344" s="0" t="n">
        <v>2026</v>
      </c>
      <c r="D344" s="43" t="n">
        <f aca="false">IF(Funding!AM16="","",Funding!AM16)</f>
        <v>0.486682046979866</v>
      </c>
      <c r="E344" s="21" t="s">
        <v>4645</v>
      </c>
      <c r="M344" s="21" t="s">
        <v>5027</v>
      </c>
    </row>
    <row r="345" customFormat="false" ht="15" hidden="false" customHeight="false" outlineLevel="0" collapsed="false">
      <c r="A345" s="0" t="s">
        <v>5028</v>
      </c>
      <c r="B345" s="0" t="s">
        <v>1429</v>
      </c>
      <c r="C345" s="0" t="n">
        <v>2026</v>
      </c>
      <c r="D345" s="43" t="n">
        <f aca="false">IF(Funding!AN16="","",Funding!AN16)</f>
        <v>1.12874021252796</v>
      </c>
      <c r="E345" s="21" t="s">
        <v>4648</v>
      </c>
      <c r="M345" s="21" t="s">
        <v>5029</v>
      </c>
    </row>
    <row r="346" customFormat="false" ht="15" hidden="false" customHeight="false" outlineLevel="0" collapsed="false">
      <c r="A346" s="0" t="s">
        <v>5030</v>
      </c>
      <c r="B346" s="0" t="s">
        <v>1429</v>
      </c>
      <c r="C346" s="0" t="n">
        <v>2026</v>
      </c>
      <c r="D346" s="43" t="n">
        <f aca="false">IF(Funding!AO16="","",Funding!AO16)</f>
        <v>0.291293810589113</v>
      </c>
      <c r="E346" s="21" t="s">
        <v>4651</v>
      </c>
      <c r="M346" s="21" t="s">
        <v>5031</v>
      </c>
    </row>
    <row r="347" customFormat="false" ht="15" hidden="false" customHeight="false" outlineLevel="0" collapsed="false">
      <c r="A347" s="0" t="s">
        <v>5032</v>
      </c>
      <c r="B347" s="0" t="s">
        <v>1429</v>
      </c>
      <c r="C347" s="0" t="n">
        <v>2026</v>
      </c>
      <c r="D347" s="43" t="n">
        <f aca="false">IF(Funding!AP16="","",Funding!AP16)</f>
        <v>0</v>
      </c>
      <c r="E347" s="21" t="s">
        <v>4654</v>
      </c>
      <c r="M347" s="21" t="s">
        <v>5033</v>
      </c>
    </row>
    <row r="348" customFormat="false" ht="15" hidden="false" customHeight="false" outlineLevel="0" collapsed="false">
      <c r="A348" s="0" t="s">
        <v>5034</v>
      </c>
      <c r="B348" s="0" t="s">
        <v>1429</v>
      </c>
      <c r="C348" s="0" t="n">
        <v>2026</v>
      </c>
      <c r="D348" s="43" t="n">
        <f aca="false">IF(Funding!AQ16="","",Funding!AQ16)</f>
        <v>0.195388236390753</v>
      </c>
      <c r="E348" s="21" t="s">
        <v>4657</v>
      </c>
      <c r="M348" s="21" t="s">
        <v>5035</v>
      </c>
    </row>
    <row r="349" customFormat="false" ht="15" hidden="false" customHeight="false" outlineLevel="0" collapsed="false">
      <c r="A349" s="0" t="s">
        <v>5036</v>
      </c>
      <c r="B349" s="0" t="s">
        <v>1429</v>
      </c>
      <c r="C349" s="0" t="n">
        <v>2026</v>
      </c>
      <c r="D349" s="37" t="n">
        <f aca="false">IF(Funding!E16="","",Funding!E16)</f>
        <v>96.873</v>
      </c>
      <c r="E349" s="21" t="s">
        <v>2105</v>
      </c>
      <c r="M349" s="21" t="s">
        <v>5037</v>
      </c>
    </row>
    <row r="350" customFormat="false" ht="15" hidden="false" customHeight="false" outlineLevel="0" collapsed="false">
      <c r="A350" s="0" t="s">
        <v>5038</v>
      </c>
      <c r="B350" s="0" t="s">
        <v>1429</v>
      </c>
      <c r="C350" s="0" t="n">
        <v>2026</v>
      </c>
      <c r="D350" s="37" t="n">
        <f aca="false">IF(Funding!I16="","",Funding!I16)</f>
        <v>11.049</v>
      </c>
      <c r="E350" s="21" t="s">
        <v>2111</v>
      </c>
      <c r="M350" s="21" t="s">
        <v>5039</v>
      </c>
    </row>
    <row r="351" customFormat="false" ht="15" hidden="false" customHeight="false" outlineLevel="0" collapsed="false">
      <c r="A351" s="0" t="s">
        <v>5040</v>
      </c>
      <c r="B351" s="0" t="s">
        <v>1429</v>
      </c>
      <c r="C351" s="0" t="n">
        <v>2026</v>
      </c>
      <c r="D351" s="37" t="n">
        <f aca="false">IF(Funding!O16="","",Funding!O16)</f>
        <v>355.73</v>
      </c>
      <c r="E351" s="21" t="s">
        <v>4664</v>
      </c>
      <c r="M351" s="21" t="s">
        <v>5041</v>
      </c>
    </row>
    <row r="352" customFormat="false" ht="15" hidden="false" customHeight="false" outlineLevel="0" collapsed="false">
      <c r="A352" s="0" t="s">
        <v>5042</v>
      </c>
      <c r="B352" s="0" t="s">
        <v>1429</v>
      </c>
      <c r="C352" s="0" t="n">
        <v>2026</v>
      </c>
      <c r="D352" s="37" t="n">
        <f aca="false">N(Funding!J16)+N(Funding!K16)+N(Funding!L16)+N(Funding!M16)</f>
        <v>25</v>
      </c>
      <c r="E352" s="21" t="s">
        <v>4667</v>
      </c>
      <c r="M352" s="21" t="s">
        <v>5043</v>
      </c>
    </row>
    <row r="353" customFormat="false" ht="15" hidden="false" customHeight="false" outlineLevel="0" collapsed="false">
      <c r="A353" s="0" t="s">
        <v>5044</v>
      </c>
      <c r="B353" s="0" t="s">
        <v>1429</v>
      </c>
      <c r="C353" s="0" t="n">
        <v>2026</v>
      </c>
      <c r="D353" s="37" t="str">
        <f aca="false">IF(Funding!R16="","",Funding!R16)</f>
        <v/>
      </c>
      <c r="E353" s="21" t="s">
        <v>4670</v>
      </c>
      <c r="M353" s="21" t="s">
        <v>5045</v>
      </c>
    </row>
    <row r="354" customFormat="false" ht="17.15" hidden="false" customHeight="false" outlineLevel="0" collapsed="false">
      <c r="A354" s="0" t="s">
        <v>5046</v>
      </c>
      <c r="B354" s="0" t="s">
        <v>1695</v>
      </c>
      <c r="C354" s="0" t="n">
        <v>2024</v>
      </c>
      <c r="D354" s="37" t="str">
        <f aca="false">IF(Funding!W17="","",Funding!W17)</f>
        <v/>
      </c>
      <c r="E354" s="21" t="s">
        <v>4624</v>
      </c>
      <c r="M354" s="21" t="s">
        <v>5047</v>
      </c>
    </row>
    <row r="355" customFormat="false" ht="17.15" hidden="false" customHeight="false" outlineLevel="0" collapsed="false">
      <c r="A355" s="0" t="s">
        <v>5048</v>
      </c>
      <c r="B355" s="0" t="s">
        <v>1695</v>
      </c>
      <c r="C355" s="0" t="n">
        <v>2024</v>
      </c>
      <c r="D355" s="43" t="str">
        <f aca="false">IF(Funding!AC17="","",Funding!AC17)</f>
        <v/>
      </c>
      <c r="E355" s="21" t="s">
        <v>4627</v>
      </c>
      <c r="M355" s="21" t="s">
        <v>5049</v>
      </c>
    </row>
    <row r="356" customFormat="false" ht="17.15" hidden="false" customHeight="false" outlineLevel="0" collapsed="false">
      <c r="A356" s="0" t="s">
        <v>5050</v>
      </c>
      <c r="B356" s="0" t="s">
        <v>1695</v>
      </c>
      <c r="C356" s="0" t="n">
        <v>2024</v>
      </c>
      <c r="D356" s="43" t="str">
        <f aca="false">IF(Funding!AD17="","",Funding!AD17)</f>
        <v/>
      </c>
      <c r="E356" s="21" t="s">
        <v>4630</v>
      </c>
      <c r="M356" s="21" t="s">
        <v>5051</v>
      </c>
    </row>
    <row r="357" customFormat="false" ht="17.15" hidden="false" customHeight="false" outlineLevel="0" collapsed="false">
      <c r="A357" s="0" t="s">
        <v>5052</v>
      </c>
      <c r="B357" s="0" t="s">
        <v>1695</v>
      </c>
      <c r="C357" s="0" t="n">
        <v>2024</v>
      </c>
      <c r="D357" s="43" t="str">
        <f aca="false">IF(Funding!AE17="","",Funding!AE17)</f>
        <v/>
      </c>
      <c r="E357" s="21" t="s">
        <v>4633</v>
      </c>
      <c r="M357" s="21" t="s">
        <v>5053</v>
      </c>
    </row>
    <row r="358" customFormat="false" ht="17.15" hidden="false" customHeight="false" outlineLevel="0" collapsed="false">
      <c r="A358" s="0" t="s">
        <v>5054</v>
      </c>
      <c r="B358" s="0" t="s">
        <v>1695</v>
      </c>
      <c r="C358" s="0" t="n">
        <v>2024</v>
      </c>
      <c r="D358" s="43" t="str">
        <f aca="false">IF(Funding!AF17="","",Funding!AF17)</f>
        <v/>
      </c>
      <c r="E358" s="21" t="s">
        <v>4636</v>
      </c>
      <c r="M358" s="21" t="s">
        <v>5055</v>
      </c>
    </row>
    <row r="359" customFormat="false" ht="17.15" hidden="false" customHeight="false" outlineLevel="0" collapsed="false">
      <c r="A359" s="0" t="s">
        <v>5056</v>
      </c>
      <c r="B359" s="0" t="s">
        <v>1695</v>
      </c>
      <c r="C359" s="0" t="n">
        <v>2024</v>
      </c>
      <c r="D359" s="43" t="str">
        <f aca="false">IF(Funding!AG17="","",Funding!AG17)</f>
        <v/>
      </c>
      <c r="E359" s="21" t="s">
        <v>4639</v>
      </c>
      <c r="M359" s="21" t="s">
        <v>5057</v>
      </c>
    </row>
    <row r="360" customFormat="false" ht="17.15" hidden="false" customHeight="false" outlineLevel="0" collapsed="false">
      <c r="A360" s="0" t="s">
        <v>5058</v>
      </c>
      <c r="B360" s="0" t="s">
        <v>1695</v>
      </c>
      <c r="C360" s="0" t="n">
        <v>2024</v>
      </c>
      <c r="D360" s="37" t="n">
        <f aca="false">IF(Funding!AL17="","",Funding!AL17)</f>
        <v>0</v>
      </c>
      <c r="E360" s="21" t="s">
        <v>4642</v>
      </c>
      <c r="M360" s="21" t="s">
        <v>5059</v>
      </c>
    </row>
    <row r="361" customFormat="false" ht="17.15" hidden="false" customHeight="false" outlineLevel="0" collapsed="false">
      <c r="A361" s="0" t="s">
        <v>5060</v>
      </c>
      <c r="B361" s="0" t="s">
        <v>1695</v>
      </c>
      <c r="C361" s="0" t="n">
        <v>2024</v>
      </c>
      <c r="D361" s="43" t="str">
        <f aca="false">IF(Funding!AM17="","",Funding!AM17)</f>
        <v/>
      </c>
      <c r="E361" s="21" t="s">
        <v>4645</v>
      </c>
      <c r="M361" s="21" t="s">
        <v>5061</v>
      </c>
    </row>
    <row r="362" customFormat="false" ht="17.15" hidden="false" customHeight="false" outlineLevel="0" collapsed="false">
      <c r="A362" s="0" t="s">
        <v>5062</v>
      </c>
      <c r="B362" s="0" t="s">
        <v>1695</v>
      </c>
      <c r="C362" s="0" t="n">
        <v>2024</v>
      </c>
      <c r="D362" s="43" t="str">
        <f aca="false">IF(Funding!AN17="","",Funding!AN17)</f>
        <v/>
      </c>
      <c r="E362" s="21" t="s">
        <v>4648</v>
      </c>
      <c r="M362" s="21" t="s">
        <v>5063</v>
      </c>
    </row>
    <row r="363" customFormat="false" ht="17.15" hidden="false" customHeight="false" outlineLevel="0" collapsed="false">
      <c r="A363" s="0" t="s">
        <v>5064</v>
      </c>
      <c r="B363" s="0" t="s">
        <v>1695</v>
      </c>
      <c r="C363" s="0" t="n">
        <v>2024</v>
      </c>
      <c r="D363" s="43" t="str">
        <f aca="false">IF(Funding!AO17="","",Funding!AO17)</f>
        <v/>
      </c>
      <c r="E363" s="21" t="s">
        <v>4651</v>
      </c>
      <c r="M363" s="21" t="s">
        <v>5065</v>
      </c>
    </row>
    <row r="364" customFormat="false" ht="17.15" hidden="false" customHeight="false" outlineLevel="0" collapsed="false">
      <c r="A364" s="0" t="s">
        <v>5066</v>
      </c>
      <c r="B364" s="0" t="s">
        <v>1695</v>
      </c>
      <c r="C364" s="0" t="n">
        <v>2024</v>
      </c>
      <c r="D364" s="43" t="str">
        <f aca="false">IF(Funding!AP17="","",Funding!AP17)</f>
        <v/>
      </c>
      <c r="E364" s="21" t="s">
        <v>4654</v>
      </c>
      <c r="M364" s="21" t="s">
        <v>5067</v>
      </c>
    </row>
    <row r="365" customFormat="false" ht="17.15" hidden="false" customHeight="false" outlineLevel="0" collapsed="false">
      <c r="A365" s="0" t="s">
        <v>5068</v>
      </c>
      <c r="B365" s="0" t="s">
        <v>1695</v>
      </c>
      <c r="C365" s="0" t="n">
        <v>2024</v>
      </c>
      <c r="D365" s="43" t="str">
        <f aca="false">IF(Funding!AQ17="","",Funding!AQ17)</f>
        <v/>
      </c>
      <c r="E365" s="21" t="s">
        <v>4657</v>
      </c>
      <c r="M365" s="21" t="s">
        <v>5069</v>
      </c>
    </row>
    <row r="366" customFormat="false" ht="17.15" hidden="false" customHeight="false" outlineLevel="0" collapsed="false">
      <c r="A366" s="0" t="s">
        <v>5070</v>
      </c>
      <c r="B366" s="0" t="s">
        <v>1695</v>
      </c>
      <c r="C366" s="0" t="n">
        <v>2024</v>
      </c>
      <c r="D366" s="37" t="str">
        <f aca="false">IF(Funding!E17="","",Funding!E17)</f>
        <v/>
      </c>
      <c r="E366" s="21" t="s">
        <v>2105</v>
      </c>
      <c r="M366" s="21" t="s">
        <v>5071</v>
      </c>
    </row>
    <row r="367" customFormat="false" ht="17.15" hidden="false" customHeight="false" outlineLevel="0" collapsed="false">
      <c r="A367" s="0" t="s">
        <v>5072</v>
      </c>
      <c r="B367" s="0" t="s">
        <v>1695</v>
      </c>
      <c r="C367" s="0" t="n">
        <v>2024</v>
      </c>
      <c r="D367" s="37" t="str">
        <f aca="false">IF(Funding!I17="","",Funding!I17)</f>
        <v/>
      </c>
      <c r="E367" s="21" t="s">
        <v>2111</v>
      </c>
      <c r="M367" s="21" t="s">
        <v>5073</v>
      </c>
    </row>
    <row r="368" customFormat="false" ht="17.15" hidden="false" customHeight="false" outlineLevel="0" collapsed="false">
      <c r="A368" s="0" t="s">
        <v>5074</v>
      </c>
      <c r="B368" s="0" t="s">
        <v>1695</v>
      </c>
      <c r="C368" s="0" t="n">
        <v>2024</v>
      </c>
      <c r="D368" s="37" t="str">
        <f aca="false">IF(Funding!O17="","",Funding!O17)</f>
        <v/>
      </c>
      <c r="E368" s="21" t="s">
        <v>4664</v>
      </c>
      <c r="M368" s="21" t="s">
        <v>5075</v>
      </c>
    </row>
    <row r="369" customFormat="false" ht="17.15" hidden="false" customHeight="false" outlineLevel="0" collapsed="false">
      <c r="A369" s="0" t="s">
        <v>5076</v>
      </c>
      <c r="B369" s="0" t="s">
        <v>1695</v>
      </c>
      <c r="C369" s="0" t="n">
        <v>2024</v>
      </c>
      <c r="D369" s="37" t="n">
        <f aca="false">N(Funding!J17)+N(Funding!K17)+N(Funding!L17)+N(Funding!M17)</f>
        <v>0</v>
      </c>
      <c r="E369" s="21" t="s">
        <v>4667</v>
      </c>
      <c r="M369" s="21" t="s">
        <v>5077</v>
      </c>
    </row>
    <row r="370" customFormat="false" ht="17.15" hidden="false" customHeight="false" outlineLevel="0" collapsed="false">
      <c r="A370" s="0" t="s">
        <v>5078</v>
      </c>
      <c r="B370" s="0" t="s">
        <v>1695</v>
      </c>
      <c r="C370" s="0" t="n">
        <v>2024</v>
      </c>
      <c r="D370" s="37" t="str">
        <f aca="false">IF(Funding!R17="","",Funding!R17)</f>
        <v/>
      </c>
      <c r="E370" s="21" t="s">
        <v>4670</v>
      </c>
      <c r="M370" s="21" t="s">
        <v>5079</v>
      </c>
    </row>
    <row r="371" customFormat="false" ht="17.15" hidden="false" customHeight="false" outlineLevel="0" collapsed="false">
      <c r="A371" s="0" t="s">
        <v>5080</v>
      </c>
      <c r="B371" s="0" t="s">
        <v>1695</v>
      </c>
      <c r="C371" s="0" t="n">
        <v>2025</v>
      </c>
      <c r="D371" s="37" t="str">
        <f aca="false">IF(Funding!W18="","",Funding!W18)</f>
        <v/>
      </c>
      <c r="E371" s="21" t="s">
        <v>4624</v>
      </c>
      <c r="M371" s="21" t="s">
        <v>5081</v>
      </c>
    </row>
    <row r="372" customFormat="false" ht="17.15" hidden="false" customHeight="false" outlineLevel="0" collapsed="false">
      <c r="A372" s="0" t="s">
        <v>5082</v>
      </c>
      <c r="B372" s="0" t="s">
        <v>1695</v>
      </c>
      <c r="C372" s="0" t="n">
        <v>2025</v>
      </c>
      <c r="D372" s="43" t="str">
        <f aca="false">IF(Funding!AC18="","",Funding!AC18)</f>
        <v/>
      </c>
      <c r="E372" s="21" t="s">
        <v>4627</v>
      </c>
      <c r="M372" s="21" t="s">
        <v>5083</v>
      </c>
    </row>
    <row r="373" customFormat="false" ht="17.15" hidden="false" customHeight="false" outlineLevel="0" collapsed="false">
      <c r="A373" s="0" t="s">
        <v>5084</v>
      </c>
      <c r="B373" s="0" t="s">
        <v>1695</v>
      </c>
      <c r="C373" s="0" t="n">
        <v>2025</v>
      </c>
      <c r="D373" s="43" t="str">
        <f aca="false">IF(Funding!AD18="","",Funding!AD18)</f>
        <v/>
      </c>
      <c r="E373" s="21" t="s">
        <v>4630</v>
      </c>
      <c r="M373" s="21" t="s">
        <v>5085</v>
      </c>
    </row>
    <row r="374" customFormat="false" ht="17.15" hidden="false" customHeight="false" outlineLevel="0" collapsed="false">
      <c r="A374" s="0" t="s">
        <v>5086</v>
      </c>
      <c r="B374" s="0" t="s">
        <v>1695</v>
      </c>
      <c r="C374" s="0" t="n">
        <v>2025</v>
      </c>
      <c r="D374" s="43" t="str">
        <f aca="false">IF(Funding!AE18="","",Funding!AE18)</f>
        <v/>
      </c>
      <c r="E374" s="21" t="s">
        <v>4633</v>
      </c>
      <c r="M374" s="21" t="s">
        <v>5087</v>
      </c>
    </row>
    <row r="375" customFormat="false" ht="17.15" hidden="false" customHeight="false" outlineLevel="0" collapsed="false">
      <c r="A375" s="0" t="s">
        <v>5088</v>
      </c>
      <c r="B375" s="0" t="s">
        <v>1695</v>
      </c>
      <c r="C375" s="0" t="n">
        <v>2025</v>
      </c>
      <c r="D375" s="43" t="str">
        <f aca="false">IF(Funding!AF18="","",Funding!AF18)</f>
        <v/>
      </c>
      <c r="E375" s="21" t="s">
        <v>4636</v>
      </c>
      <c r="M375" s="21" t="s">
        <v>5089</v>
      </c>
    </row>
    <row r="376" customFormat="false" ht="17.15" hidden="false" customHeight="false" outlineLevel="0" collapsed="false">
      <c r="A376" s="0" t="s">
        <v>5090</v>
      </c>
      <c r="B376" s="0" t="s">
        <v>1695</v>
      </c>
      <c r="C376" s="0" t="n">
        <v>2025</v>
      </c>
      <c r="D376" s="43" t="str">
        <f aca="false">IF(Funding!AG18="","",Funding!AG18)</f>
        <v/>
      </c>
      <c r="E376" s="21" t="s">
        <v>4639</v>
      </c>
      <c r="M376" s="21" t="s">
        <v>5091</v>
      </c>
    </row>
    <row r="377" customFormat="false" ht="17.15" hidden="false" customHeight="false" outlineLevel="0" collapsed="false">
      <c r="A377" s="0" t="s">
        <v>5092</v>
      </c>
      <c r="B377" s="0" t="s">
        <v>1695</v>
      </c>
      <c r="C377" s="0" t="n">
        <v>2025</v>
      </c>
      <c r="D377" s="37" t="n">
        <f aca="false">IF(Funding!AL18="","",Funding!AL18)</f>
        <v>15</v>
      </c>
      <c r="E377" s="21" t="s">
        <v>4642</v>
      </c>
      <c r="M377" s="21" t="s">
        <v>5093</v>
      </c>
    </row>
    <row r="378" customFormat="false" ht="17.15" hidden="false" customHeight="false" outlineLevel="0" collapsed="false">
      <c r="A378" s="0" t="s">
        <v>5094</v>
      </c>
      <c r="B378" s="0" t="s">
        <v>1695</v>
      </c>
      <c r="C378" s="0" t="n">
        <v>2025</v>
      </c>
      <c r="D378" s="43" t="str">
        <f aca="false">IF(Funding!AM18="","",Funding!AM18)</f>
        <v/>
      </c>
      <c r="E378" s="21" t="s">
        <v>4645</v>
      </c>
      <c r="M378" s="21" t="s">
        <v>5095</v>
      </c>
    </row>
    <row r="379" customFormat="false" ht="17.15" hidden="false" customHeight="false" outlineLevel="0" collapsed="false">
      <c r="A379" s="0" t="s">
        <v>5096</v>
      </c>
      <c r="B379" s="0" t="s">
        <v>1695</v>
      </c>
      <c r="C379" s="0" t="n">
        <v>2025</v>
      </c>
      <c r="D379" s="43" t="str">
        <f aca="false">IF(Funding!AN18="","",Funding!AN18)</f>
        <v/>
      </c>
      <c r="E379" s="21" t="s">
        <v>4648</v>
      </c>
      <c r="M379" s="21" t="s">
        <v>5097</v>
      </c>
    </row>
    <row r="380" customFormat="false" ht="17.15" hidden="false" customHeight="false" outlineLevel="0" collapsed="false">
      <c r="A380" s="0" t="s">
        <v>5098</v>
      </c>
      <c r="B380" s="0" t="s">
        <v>1695</v>
      </c>
      <c r="C380" s="0" t="n">
        <v>2025</v>
      </c>
      <c r="D380" s="43" t="str">
        <f aca="false">IF(Funding!AO18="","",Funding!AO18)</f>
        <v/>
      </c>
      <c r="E380" s="21" t="s">
        <v>4651</v>
      </c>
      <c r="M380" s="21" t="s">
        <v>5099</v>
      </c>
    </row>
    <row r="381" customFormat="false" ht="17.15" hidden="false" customHeight="false" outlineLevel="0" collapsed="false">
      <c r="A381" s="0" t="s">
        <v>5100</v>
      </c>
      <c r="B381" s="0" t="s">
        <v>1695</v>
      </c>
      <c r="C381" s="0" t="n">
        <v>2025</v>
      </c>
      <c r="D381" s="43" t="str">
        <f aca="false">IF(Funding!AP18="","",Funding!AP18)</f>
        <v/>
      </c>
      <c r="E381" s="21" t="s">
        <v>4654</v>
      </c>
      <c r="M381" s="21" t="s">
        <v>5101</v>
      </c>
    </row>
    <row r="382" customFormat="false" ht="17.15" hidden="false" customHeight="false" outlineLevel="0" collapsed="false">
      <c r="A382" s="0" t="s">
        <v>5102</v>
      </c>
      <c r="B382" s="0" t="s">
        <v>1695</v>
      </c>
      <c r="C382" s="0" t="n">
        <v>2025</v>
      </c>
      <c r="D382" s="43" t="str">
        <f aca="false">IF(Funding!AQ18="","",Funding!AQ18)</f>
        <v/>
      </c>
      <c r="E382" s="21" t="s">
        <v>4657</v>
      </c>
      <c r="M382" s="21" t="s">
        <v>5103</v>
      </c>
    </row>
    <row r="383" customFormat="false" ht="17.15" hidden="false" customHeight="false" outlineLevel="0" collapsed="false">
      <c r="A383" s="0" t="s">
        <v>5104</v>
      </c>
      <c r="B383" s="0" t="s">
        <v>1695</v>
      </c>
      <c r="C383" s="0" t="n">
        <v>2025</v>
      </c>
      <c r="D383" s="37" t="str">
        <f aca="false">IF(Funding!E18="","",Funding!E18)</f>
        <v/>
      </c>
      <c r="E383" s="21" t="s">
        <v>2105</v>
      </c>
      <c r="M383" s="21" t="s">
        <v>5105</v>
      </c>
    </row>
    <row r="384" customFormat="false" ht="17.15" hidden="false" customHeight="false" outlineLevel="0" collapsed="false">
      <c r="A384" s="0" t="s">
        <v>5106</v>
      </c>
      <c r="B384" s="0" t="s">
        <v>1695</v>
      </c>
      <c r="C384" s="0" t="n">
        <v>2025</v>
      </c>
      <c r="D384" s="37" t="str">
        <f aca="false">IF(Funding!I18="","",Funding!I18)</f>
        <v/>
      </c>
      <c r="E384" s="21" t="s">
        <v>2111</v>
      </c>
      <c r="M384" s="21" t="s">
        <v>5107</v>
      </c>
    </row>
    <row r="385" customFormat="false" ht="17.15" hidden="false" customHeight="false" outlineLevel="0" collapsed="false">
      <c r="A385" s="0" t="s">
        <v>5108</v>
      </c>
      <c r="B385" s="0" t="s">
        <v>1695</v>
      </c>
      <c r="C385" s="0" t="n">
        <v>2025</v>
      </c>
      <c r="D385" s="37" t="str">
        <f aca="false">IF(Funding!O18="","",Funding!O18)</f>
        <v/>
      </c>
      <c r="E385" s="21" t="s">
        <v>4664</v>
      </c>
      <c r="M385" s="21" t="s">
        <v>5109</v>
      </c>
    </row>
    <row r="386" customFormat="false" ht="17.15" hidden="false" customHeight="false" outlineLevel="0" collapsed="false">
      <c r="A386" s="0" t="s">
        <v>5110</v>
      </c>
      <c r="B386" s="0" t="s">
        <v>1695</v>
      </c>
      <c r="C386" s="0" t="n">
        <v>2025</v>
      </c>
      <c r="D386" s="37" t="n">
        <f aca="false">N(Funding!J18)+N(Funding!K18)+N(Funding!L18)+N(Funding!M18)</f>
        <v>0</v>
      </c>
      <c r="E386" s="21" t="s">
        <v>4667</v>
      </c>
      <c r="M386" s="21" t="s">
        <v>5111</v>
      </c>
    </row>
    <row r="387" customFormat="false" ht="17.15" hidden="false" customHeight="false" outlineLevel="0" collapsed="false">
      <c r="A387" s="0" t="s">
        <v>5112</v>
      </c>
      <c r="B387" s="0" t="s">
        <v>1695</v>
      </c>
      <c r="C387" s="0" t="n">
        <v>2025</v>
      </c>
      <c r="D387" s="37" t="str">
        <f aca="false">IF(Funding!R18="","",Funding!R18)</f>
        <v/>
      </c>
      <c r="E387" s="21" t="s">
        <v>4670</v>
      </c>
      <c r="M387" s="21" t="s">
        <v>5113</v>
      </c>
    </row>
    <row r="388" customFormat="false" ht="17.15" hidden="false" customHeight="false" outlineLevel="0" collapsed="false">
      <c r="A388" s="0" t="s">
        <v>5114</v>
      </c>
      <c r="B388" s="0" t="s">
        <v>1695</v>
      </c>
      <c r="C388" s="0" t="n">
        <v>2026</v>
      </c>
      <c r="D388" s="37" t="n">
        <f aca="false">IF(Funding!W19="","",Funding!W19)</f>
        <v>55.663</v>
      </c>
      <c r="E388" s="21" t="s">
        <v>4624</v>
      </c>
      <c r="M388" s="21" t="s">
        <v>5115</v>
      </c>
    </row>
    <row r="389" customFormat="false" ht="17.15" hidden="false" customHeight="false" outlineLevel="0" collapsed="false">
      <c r="A389" s="0" t="s">
        <v>5116</v>
      </c>
      <c r="B389" s="0" t="s">
        <v>1695</v>
      </c>
      <c r="C389" s="0" t="n">
        <v>2026</v>
      </c>
      <c r="D389" s="43" t="n">
        <f aca="false">IF(Funding!AC19="","",Funding!AC19)</f>
        <v>0.574474965416884</v>
      </c>
      <c r="E389" s="21" t="s">
        <v>4627</v>
      </c>
      <c r="M389" s="21" t="s">
        <v>5117</v>
      </c>
    </row>
    <row r="390" customFormat="false" ht="17.15" hidden="false" customHeight="false" outlineLevel="0" collapsed="false">
      <c r="A390" s="0" t="s">
        <v>5118</v>
      </c>
      <c r="B390" s="0" t="s">
        <v>1695</v>
      </c>
      <c r="C390" s="0" t="n">
        <v>2026</v>
      </c>
      <c r="D390" s="43" t="n">
        <f aca="false">IF(Funding!AD19="","",Funding!AD19)</f>
        <v>0</v>
      </c>
      <c r="E390" s="21" t="s">
        <v>4630</v>
      </c>
      <c r="M390" s="21" t="s">
        <v>5119</v>
      </c>
    </row>
    <row r="391" customFormat="false" ht="17.15" hidden="false" customHeight="false" outlineLevel="0" collapsed="false">
      <c r="A391" s="0" t="s">
        <v>5120</v>
      </c>
      <c r="B391" s="0" t="s">
        <v>1695</v>
      </c>
      <c r="C391" s="0" t="n">
        <v>2026</v>
      </c>
      <c r="D391" s="43" t="n">
        <f aca="false">IF(Funding!AE19="","",Funding!AE19)</f>
        <v>0.0898262759822503</v>
      </c>
      <c r="E391" s="21" t="s">
        <v>4633</v>
      </c>
      <c r="M391" s="21" t="s">
        <v>5121</v>
      </c>
    </row>
    <row r="392" customFormat="false" ht="17.15" hidden="false" customHeight="false" outlineLevel="0" collapsed="false">
      <c r="A392" s="0" t="s">
        <v>5122</v>
      </c>
      <c r="B392" s="0" t="s">
        <v>1695</v>
      </c>
      <c r="C392" s="0" t="n">
        <v>2026</v>
      </c>
      <c r="D392" s="43" t="n">
        <f aca="false">IF(Funding!AF19="","",Funding!AF19)</f>
        <v>0.335698758600866</v>
      </c>
      <c r="E392" s="21" t="s">
        <v>4636</v>
      </c>
      <c r="M392" s="21" t="s">
        <v>5123</v>
      </c>
    </row>
    <row r="393" customFormat="false" ht="17.15" hidden="false" customHeight="false" outlineLevel="0" collapsed="false">
      <c r="A393" s="0" t="s">
        <v>5124</v>
      </c>
      <c r="B393" s="0" t="s">
        <v>1695</v>
      </c>
      <c r="C393" s="0" t="n">
        <v>2026</v>
      </c>
      <c r="D393" s="43" t="n">
        <f aca="false">IF(Funding!AG19="","",Funding!AG19)</f>
        <v>0</v>
      </c>
      <c r="E393" s="21" t="s">
        <v>4639</v>
      </c>
      <c r="M393" s="21" t="s">
        <v>5125</v>
      </c>
    </row>
    <row r="394" customFormat="false" ht="17.15" hidden="false" customHeight="false" outlineLevel="0" collapsed="false">
      <c r="A394" s="0" t="s">
        <v>5126</v>
      </c>
      <c r="B394" s="0" t="s">
        <v>1695</v>
      </c>
      <c r="C394" s="0" t="n">
        <v>2026</v>
      </c>
      <c r="D394" s="37" t="n">
        <f aca="false">IF(Funding!AL19="","",Funding!AL19)</f>
        <v>104</v>
      </c>
      <c r="E394" s="21" t="s">
        <v>4642</v>
      </c>
      <c r="M394" s="21" t="s">
        <v>5127</v>
      </c>
    </row>
    <row r="395" customFormat="false" ht="17.15" hidden="false" customHeight="false" outlineLevel="0" collapsed="false">
      <c r="A395" s="0" t="s">
        <v>5128</v>
      </c>
      <c r="B395" s="0" t="s">
        <v>1695</v>
      </c>
      <c r="C395" s="0" t="n">
        <v>2026</v>
      </c>
      <c r="D395" s="43" t="n">
        <f aca="false">IF(Funding!AM19="","",Funding!AM19)</f>
        <v>1.86838654043081</v>
      </c>
      <c r="E395" s="21" t="s">
        <v>4645</v>
      </c>
      <c r="M395" s="21" t="s">
        <v>5129</v>
      </c>
    </row>
    <row r="396" customFormat="false" ht="17.15" hidden="false" customHeight="false" outlineLevel="0" collapsed="false">
      <c r="A396" s="0" t="s">
        <v>5130</v>
      </c>
      <c r="B396" s="0" t="s">
        <v>1695</v>
      </c>
      <c r="C396" s="0" t="n">
        <v>2026</v>
      </c>
      <c r="D396" s="43" t="n">
        <f aca="false">IF(Funding!AN19="","",Funding!AN19)</f>
        <v>0.574474965416884</v>
      </c>
      <c r="E396" s="21" t="s">
        <v>4648</v>
      </c>
      <c r="M396" s="21" t="s">
        <v>5131</v>
      </c>
    </row>
    <row r="397" customFormat="false" ht="17.15" hidden="false" customHeight="false" outlineLevel="0" collapsed="false">
      <c r="A397" s="0" t="s">
        <v>5132</v>
      </c>
      <c r="B397" s="0" t="s">
        <v>1695</v>
      </c>
      <c r="C397" s="0" t="n">
        <v>2026</v>
      </c>
      <c r="D397" s="43" t="n">
        <f aca="false">IF(Funding!AO19="","",Funding!AO19)</f>
        <v>0.772505973447353</v>
      </c>
      <c r="E397" s="21" t="s">
        <v>4651</v>
      </c>
      <c r="M397" s="21" t="s">
        <v>5133</v>
      </c>
    </row>
    <row r="398" customFormat="false" ht="17.15" hidden="false" customHeight="false" outlineLevel="0" collapsed="false">
      <c r="A398" s="0" t="s">
        <v>5134</v>
      </c>
      <c r="B398" s="0" t="s">
        <v>1695</v>
      </c>
      <c r="C398" s="0" t="n">
        <v>2026</v>
      </c>
      <c r="D398" s="43" t="n">
        <f aca="false">IF(Funding!AP19="","",Funding!AP19)</f>
        <v>0.0898262759822503</v>
      </c>
      <c r="E398" s="21" t="s">
        <v>4654</v>
      </c>
      <c r="M398" s="21" t="s">
        <v>5135</v>
      </c>
    </row>
    <row r="399" customFormat="false" ht="17.15" hidden="false" customHeight="false" outlineLevel="0" collapsed="false">
      <c r="A399" s="0" t="s">
        <v>5136</v>
      </c>
      <c r="B399" s="0" t="s">
        <v>1695</v>
      </c>
      <c r="C399" s="0" t="n">
        <v>2026</v>
      </c>
      <c r="D399" s="43" t="n">
        <f aca="false">IF(Funding!AQ19="","",Funding!AQ19)</f>
        <v>1.0060542910012</v>
      </c>
      <c r="E399" s="21" t="s">
        <v>4657</v>
      </c>
      <c r="M399" s="21" t="s">
        <v>5137</v>
      </c>
    </row>
    <row r="400" customFormat="false" ht="17.15" hidden="false" customHeight="false" outlineLevel="0" collapsed="false">
      <c r="A400" s="0" t="s">
        <v>5138</v>
      </c>
      <c r="B400" s="0" t="s">
        <v>1695</v>
      </c>
      <c r="C400" s="0" t="n">
        <v>2026</v>
      </c>
      <c r="D400" s="37" t="n">
        <f aca="false">IF(Funding!E19="","",Funding!E19)</f>
        <v>31.977</v>
      </c>
      <c r="E400" s="21" t="s">
        <v>2105</v>
      </c>
      <c r="M400" s="21" t="s">
        <v>5139</v>
      </c>
    </row>
    <row r="401" customFormat="false" ht="17.15" hidden="false" customHeight="false" outlineLevel="0" collapsed="false">
      <c r="A401" s="0" t="s">
        <v>5140</v>
      </c>
      <c r="B401" s="0" t="s">
        <v>1695</v>
      </c>
      <c r="C401" s="0" t="n">
        <v>2026</v>
      </c>
      <c r="D401" s="37" t="n">
        <f aca="false">IF(Funding!I19="","",Funding!I19)</f>
        <v>-23.686</v>
      </c>
      <c r="E401" s="21" t="s">
        <v>2111</v>
      </c>
      <c r="M401" s="21" t="s">
        <v>5141</v>
      </c>
    </row>
    <row r="402" customFormat="false" ht="17.15" hidden="false" customHeight="false" outlineLevel="0" collapsed="false">
      <c r="A402" s="0" t="s">
        <v>5142</v>
      </c>
      <c r="B402" s="0" t="s">
        <v>1695</v>
      </c>
      <c r="C402" s="0" t="n">
        <v>2026</v>
      </c>
      <c r="D402" s="37" t="n">
        <f aca="false">IF(Funding!O19="","",Funding!O19)</f>
        <v>260</v>
      </c>
      <c r="E402" s="21" t="s">
        <v>4664</v>
      </c>
      <c r="M402" s="21" t="s">
        <v>5143</v>
      </c>
    </row>
    <row r="403" customFormat="false" ht="17.15" hidden="false" customHeight="false" outlineLevel="0" collapsed="false">
      <c r="A403" s="0" t="s">
        <v>5144</v>
      </c>
      <c r="B403" s="0" t="s">
        <v>1695</v>
      </c>
      <c r="C403" s="0" t="n">
        <v>2026</v>
      </c>
      <c r="D403" s="37" t="n">
        <f aca="false">N(Funding!J19)+N(Funding!K19)+N(Funding!L19)+N(Funding!M19)</f>
        <v>43</v>
      </c>
      <c r="E403" s="21" t="s">
        <v>4667</v>
      </c>
      <c r="M403" s="21" t="s">
        <v>5145</v>
      </c>
    </row>
    <row r="404" customFormat="false" ht="17.15" hidden="false" customHeight="false" outlineLevel="0" collapsed="false">
      <c r="A404" s="0" t="s">
        <v>5146</v>
      </c>
      <c r="B404" s="0" t="s">
        <v>1695</v>
      </c>
      <c r="C404" s="0" t="n">
        <v>2026</v>
      </c>
      <c r="D404" s="37" t="n">
        <f aca="false">IF(Funding!R19="","",Funding!R19)</f>
        <v>5</v>
      </c>
      <c r="E404" s="21" t="s">
        <v>4670</v>
      </c>
      <c r="M404" s="21" t="s">
        <v>5147</v>
      </c>
    </row>
    <row r="405" customFormat="false" ht="15" hidden="false" customHeight="false" outlineLevel="0" collapsed="false">
      <c r="A405" s="0" t="s">
        <v>5148</v>
      </c>
      <c r="B405" s="0" t="s">
        <v>1467</v>
      </c>
      <c r="C405" s="0" t="n">
        <v>2024</v>
      </c>
      <c r="D405" s="37" t="n">
        <f aca="false">IF(Funding!W20="","",Funding!W20)</f>
        <v>8.702</v>
      </c>
      <c r="E405" s="21" t="s">
        <v>4624</v>
      </c>
      <c r="M405" s="21" t="s">
        <v>5149</v>
      </c>
    </row>
    <row r="406" customFormat="false" ht="15" hidden="false" customHeight="false" outlineLevel="0" collapsed="false">
      <c r="A406" s="0" t="s">
        <v>5150</v>
      </c>
      <c r="B406" s="0" t="s">
        <v>1467</v>
      </c>
      <c r="C406" s="0" t="n">
        <v>2024</v>
      </c>
      <c r="D406" s="43" t="n">
        <f aca="false">IF(Funding!AC20="","",Funding!AC20)</f>
        <v>0.315904389795449</v>
      </c>
      <c r="E406" s="21" t="s">
        <v>4627</v>
      </c>
      <c r="M406" s="21" t="s">
        <v>5151</v>
      </c>
    </row>
    <row r="407" customFormat="false" ht="15" hidden="false" customHeight="false" outlineLevel="0" collapsed="false">
      <c r="A407" s="0" t="s">
        <v>5152</v>
      </c>
      <c r="B407" s="0" t="s">
        <v>1467</v>
      </c>
      <c r="C407" s="0" t="n">
        <v>2024</v>
      </c>
      <c r="D407" s="43" t="n">
        <f aca="false">IF(Funding!AD20="","",Funding!AD20)</f>
        <v>0</v>
      </c>
      <c r="E407" s="21" t="s">
        <v>4630</v>
      </c>
      <c r="M407" s="21" t="s">
        <v>5153</v>
      </c>
    </row>
    <row r="408" customFormat="false" ht="15" hidden="false" customHeight="false" outlineLevel="0" collapsed="false">
      <c r="A408" s="0" t="s">
        <v>5154</v>
      </c>
      <c r="B408" s="0" t="s">
        <v>1467</v>
      </c>
      <c r="C408" s="0" t="n">
        <v>2024</v>
      </c>
      <c r="D408" s="43" t="n">
        <f aca="false">IF(Funding!AE20="","",Funding!AE20)</f>
        <v>0</v>
      </c>
      <c r="E408" s="21" t="s">
        <v>4633</v>
      </c>
      <c r="M408" s="21" t="s">
        <v>5155</v>
      </c>
    </row>
    <row r="409" customFormat="false" ht="15" hidden="false" customHeight="false" outlineLevel="0" collapsed="false">
      <c r="A409" s="0" t="s">
        <v>5156</v>
      </c>
      <c r="B409" s="0" t="s">
        <v>1467</v>
      </c>
      <c r="C409" s="0" t="n">
        <v>2024</v>
      </c>
      <c r="D409" s="43" t="n">
        <f aca="false">IF(Funding!AF20="","",Funding!AF20)</f>
        <v>0.684095610204551</v>
      </c>
      <c r="E409" s="21" t="s">
        <v>4636</v>
      </c>
      <c r="M409" s="21" t="s">
        <v>5157</v>
      </c>
    </row>
    <row r="410" customFormat="false" ht="15" hidden="false" customHeight="false" outlineLevel="0" collapsed="false">
      <c r="A410" s="0" t="s">
        <v>5158</v>
      </c>
      <c r="B410" s="0" t="s">
        <v>1467</v>
      </c>
      <c r="C410" s="0" t="n">
        <v>2024</v>
      </c>
      <c r="D410" s="43" t="n">
        <f aca="false">IF(Funding!AG20="","",Funding!AG20)</f>
        <v>0</v>
      </c>
      <c r="E410" s="21" t="s">
        <v>4639</v>
      </c>
      <c r="M410" s="21" t="s">
        <v>5159</v>
      </c>
    </row>
    <row r="411" customFormat="false" ht="15" hidden="false" customHeight="false" outlineLevel="0" collapsed="false">
      <c r="A411" s="0" t="s">
        <v>5160</v>
      </c>
      <c r="B411" s="0" t="s">
        <v>1467</v>
      </c>
      <c r="C411" s="0" t="n">
        <v>2024</v>
      </c>
      <c r="D411" s="37" t="n">
        <f aca="false">IF(Funding!AL20="","",Funding!AL20)</f>
        <v>7.018</v>
      </c>
      <c r="E411" s="21" t="s">
        <v>4642</v>
      </c>
      <c r="M411" s="21" t="s">
        <v>5161</v>
      </c>
    </row>
    <row r="412" customFormat="false" ht="15" hidden="false" customHeight="false" outlineLevel="0" collapsed="false">
      <c r="A412" s="0" t="s">
        <v>5162</v>
      </c>
      <c r="B412" s="0" t="s">
        <v>1467</v>
      </c>
      <c r="C412" s="0" t="n">
        <v>2024</v>
      </c>
      <c r="D412" s="43" t="n">
        <f aca="false">IF(Funding!AM20="","",Funding!AM20)</f>
        <v>0.806481268673868</v>
      </c>
      <c r="E412" s="21" t="s">
        <v>4645</v>
      </c>
      <c r="M412" s="21" t="s">
        <v>5163</v>
      </c>
    </row>
    <row r="413" customFormat="false" ht="15" hidden="false" customHeight="false" outlineLevel="0" collapsed="false">
      <c r="A413" s="0" t="s">
        <v>5164</v>
      </c>
      <c r="B413" s="0" t="s">
        <v>1467</v>
      </c>
      <c r="C413" s="0" t="n">
        <v>2024</v>
      </c>
      <c r="D413" s="43" t="n">
        <f aca="false">IF(Funding!AN20="","",Funding!AN20)</f>
        <v>0.315904389795449</v>
      </c>
      <c r="E413" s="21" t="s">
        <v>4648</v>
      </c>
      <c r="M413" s="21" t="s">
        <v>5165</v>
      </c>
    </row>
    <row r="414" customFormat="false" ht="15" hidden="false" customHeight="false" outlineLevel="0" collapsed="false">
      <c r="A414" s="0" t="s">
        <v>5166</v>
      </c>
      <c r="B414" s="0" t="s">
        <v>1467</v>
      </c>
      <c r="C414" s="0" t="n">
        <v>2024</v>
      </c>
      <c r="D414" s="43" t="n">
        <f aca="false">IF(Funding!AO20="","",Funding!AO20)</f>
        <v>0.806481268673868</v>
      </c>
      <c r="E414" s="21" t="s">
        <v>4651</v>
      </c>
      <c r="M414" s="21" t="s">
        <v>5167</v>
      </c>
    </row>
    <row r="415" customFormat="false" ht="15" hidden="false" customHeight="false" outlineLevel="0" collapsed="false">
      <c r="A415" s="0" t="s">
        <v>5168</v>
      </c>
      <c r="B415" s="0" t="s">
        <v>1467</v>
      </c>
      <c r="C415" s="0" t="n">
        <v>2024</v>
      </c>
      <c r="D415" s="43" t="n">
        <f aca="false">IF(Funding!AP20="","",Funding!AP20)</f>
        <v>0</v>
      </c>
      <c r="E415" s="21" t="s">
        <v>4654</v>
      </c>
      <c r="M415" s="21" t="s">
        <v>5169</v>
      </c>
    </row>
    <row r="416" customFormat="false" ht="15" hidden="false" customHeight="false" outlineLevel="0" collapsed="false">
      <c r="A416" s="0" t="s">
        <v>5170</v>
      </c>
      <c r="B416" s="0" t="s">
        <v>1467</v>
      </c>
      <c r="C416" s="0" t="n">
        <v>2024</v>
      </c>
      <c r="D416" s="43" t="n">
        <f aca="false">IF(Funding!AQ20="","",Funding!AQ20)</f>
        <v>0</v>
      </c>
      <c r="E416" s="21" t="s">
        <v>4657</v>
      </c>
      <c r="M416" s="21" t="s">
        <v>5171</v>
      </c>
    </row>
    <row r="417" customFormat="false" ht="15" hidden="false" customHeight="false" outlineLevel="0" collapsed="false">
      <c r="A417" s="0" t="s">
        <v>5172</v>
      </c>
      <c r="B417" s="0" t="s">
        <v>1467</v>
      </c>
      <c r="C417" s="0" t="n">
        <v>2024</v>
      </c>
      <c r="D417" s="37" t="n">
        <f aca="false">IF(Funding!E20="","",Funding!E20)</f>
        <v>2.749</v>
      </c>
      <c r="E417" s="21" t="s">
        <v>2105</v>
      </c>
      <c r="M417" s="21" t="s">
        <v>5173</v>
      </c>
    </row>
    <row r="418" customFormat="false" ht="15" hidden="false" customHeight="false" outlineLevel="0" collapsed="false">
      <c r="A418" s="0" t="s">
        <v>5174</v>
      </c>
      <c r="B418" s="0" t="s">
        <v>1467</v>
      </c>
      <c r="C418" s="0" t="n">
        <v>2024</v>
      </c>
      <c r="D418" s="37" t="str">
        <f aca="false">IF(Funding!I20="","",Funding!I20)</f>
        <v/>
      </c>
      <c r="E418" s="21" t="s">
        <v>2111</v>
      </c>
      <c r="M418" s="21" t="s">
        <v>5175</v>
      </c>
    </row>
    <row r="419" customFormat="false" ht="15" hidden="false" customHeight="false" outlineLevel="0" collapsed="false">
      <c r="A419" s="0" t="s">
        <v>5176</v>
      </c>
      <c r="B419" s="0" t="s">
        <v>1467</v>
      </c>
      <c r="C419" s="0" t="n">
        <v>2024</v>
      </c>
      <c r="D419" s="37" t="str">
        <f aca="false">IF(Funding!O20="","",Funding!O20)</f>
        <v/>
      </c>
      <c r="E419" s="21" t="s">
        <v>4664</v>
      </c>
      <c r="M419" s="21" t="s">
        <v>5177</v>
      </c>
    </row>
    <row r="420" customFormat="false" ht="15" hidden="false" customHeight="false" outlineLevel="0" collapsed="false">
      <c r="A420" s="0" t="s">
        <v>5178</v>
      </c>
      <c r="B420" s="0" t="s">
        <v>1467</v>
      </c>
      <c r="C420" s="0" t="n">
        <v>2024</v>
      </c>
      <c r="D420" s="37" t="n">
        <f aca="false">N(Funding!J20)+N(Funding!K20)+N(Funding!L20)+N(Funding!M20)</f>
        <v>7.018</v>
      </c>
      <c r="E420" s="21" t="s">
        <v>4667</v>
      </c>
      <c r="M420" s="21" t="s">
        <v>5179</v>
      </c>
    </row>
    <row r="421" customFormat="false" ht="15" hidden="false" customHeight="false" outlineLevel="0" collapsed="false">
      <c r="A421" s="0" t="s">
        <v>5180</v>
      </c>
      <c r="B421" s="0" t="s">
        <v>1467</v>
      </c>
      <c r="C421" s="0" t="n">
        <v>2024</v>
      </c>
      <c r="D421" s="37" t="str">
        <f aca="false">IF(Funding!R20="","",Funding!R20)</f>
        <v/>
      </c>
      <c r="E421" s="21" t="s">
        <v>4670</v>
      </c>
      <c r="M421" s="21" t="s">
        <v>5181</v>
      </c>
    </row>
    <row r="422" customFormat="false" ht="15" hidden="false" customHeight="false" outlineLevel="0" collapsed="false">
      <c r="A422" s="0" t="s">
        <v>5182</v>
      </c>
      <c r="B422" s="0" t="s">
        <v>1467</v>
      </c>
      <c r="C422" s="0" t="n">
        <v>2025</v>
      </c>
      <c r="D422" s="37" t="n">
        <f aca="false">IF(Funding!W21="","",Funding!W21)</f>
        <v>10.309</v>
      </c>
      <c r="E422" s="21" t="s">
        <v>4624</v>
      </c>
      <c r="M422" s="21" t="s">
        <v>5183</v>
      </c>
    </row>
    <row r="423" customFormat="false" ht="15" hidden="false" customHeight="false" outlineLevel="0" collapsed="false">
      <c r="A423" s="0" t="s">
        <v>5184</v>
      </c>
      <c r="B423" s="0" t="s">
        <v>1467</v>
      </c>
      <c r="C423" s="0" t="n">
        <v>2025</v>
      </c>
      <c r="D423" s="43" t="n">
        <f aca="false">IF(Funding!AC21="","",Funding!AC21)</f>
        <v>0.296634009118246</v>
      </c>
      <c r="E423" s="21" t="s">
        <v>4627</v>
      </c>
      <c r="M423" s="21" t="s">
        <v>5185</v>
      </c>
    </row>
    <row r="424" customFormat="false" ht="15" hidden="false" customHeight="false" outlineLevel="0" collapsed="false">
      <c r="A424" s="0" t="s">
        <v>5186</v>
      </c>
      <c r="B424" s="0" t="s">
        <v>1467</v>
      </c>
      <c r="C424" s="0" t="n">
        <v>2025</v>
      </c>
      <c r="D424" s="43" t="n">
        <f aca="false">IF(Funding!AD21="","",Funding!AD21)</f>
        <v>0</v>
      </c>
      <c r="E424" s="21" t="s">
        <v>4630</v>
      </c>
      <c r="M424" s="21" t="s">
        <v>5187</v>
      </c>
    </row>
    <row r="425" customFormat="false" ht="15" hidden="false" customHeight="false" outlineLevel="0" collapsed="false">
      <c r="A425" s="0" t="s">
        <v>5188</v>
      </c>
      <c r="B425" s="0" t="s">
        <v>1467</v>
      </c>
      <c r="C425" s="0" t="n">
        <v>2025</v>
      </c>
      <c r="D425" s="43" t="n">
        <f aca="false">IF(Funding!AE21="","",Funding!AE21)</f>
        <v>0.144630905034436</v>
      </c>
      <c r="E425" s="21" t="s">
        <v>4633</v>
      </c>
      <c r="M425" s="21" t="s">
        <v>5189</v>
      </c>
    </row>
    <row r="426" customFormat="false" ht="15" hidden="false" customHeight="false" outlineLevel="0" collapsed="false">
      <c r="A426" s="0" t="s">
        <v>5190</v>
      </c>
      <c r="B426" s="0" t="s">
        <v>1467</v>
      </c>
      <c r="C426" s="0" t="n">
        <v>2025</v>
      </c>
      <c r="D426" s="43" t="n">
        <f aca="false">IF(Funding!AF21="","",Funding!AF21)</f>
        <v>0.558735085847318</v>
      </c>
      <c r="E426" s="21" t="s">
        <v>4636</v>
      </c>
      <c r="M426" s="21" t="s">
        <v>5191</v>
      </c>
    </row>
    <row r="427" customFormat="false" ht="15" hidden="false" customHeight="false" outlineLevel="0" collapsed="false">
      <c r="A427" s="0" t="s">
        <v>5192</v>
      </c>
      <c r="B427" s="0" t="s">
        <v>1467</v>
      </c>
      <c r="C427" s="0" t="n">
        <v>2025</v>
      </c>
      <c r="D427" s="43" t="n">
        <f aca="false">IF(Funding!AG21="","",Funding!AG21)</f>
        <v>0</v>
      </c>
      <c r="E427" s="21" t="s">
        <v>4639</v>
      </c>
      <c r="M427" s="21" t="s">
        <v>5193</v>
      </c>
    </row>
    <row r="428" customFormat="false" ht="15" hidden="false" customHeight="false" outlineLevel="0" collapsed="false">
      <c r="A428" s="0" t="s">
        <v>5194</v>
      </c>
      <c r="B428" s="0" t="s">
        <v>1467</v>
      </c>
      <c r="C428" s="0" t="n">
        <v>2025</v>
      </c>
      <c r="D428" s="37" t="n">
        <f aca="false">IF(Funding!AL21="","",Funding!AL21)</f>
        <v>13.32</v>
      </c>
      <c r="E428" s="21" t="s">
        <v>4642</v>
      </c>
      <c r="M428" s="21" t="s">
        <v>5195</v>
      </c>
    </row>
    <row r="429" customFormat="false" ht="15" hidden="false" customHeight="false" outlineLevel="0" collapsed="false">
      <c r="A429" s="0" t="s">
        <v>5196</v>
      </c>
      <c r="B429" s="0" t="s">
        <v>1467</v>
      </c>
      <c r="C429" s="0" t="n">
        <v>2025</v>
      </c>
      <c r="D429" s="43" t="n">
        <f aca="false">IF(Funding!AM21="","",Funding!AM21)</f>
        <v>1.29207488602192</v>
      </c>
      <c r="E429" s="21" t="s">
        <v>4645</v>
      </c>
      <c r="M429" s="21" t="s">
        <v>5197</v>
      </c>
    </row>
    <row r="430" customFormat="false" ht="15" hidden="false" customHeight="false" outlineLevel="0" collapsed="false">
      <c r="A430" s="0" t="s">
        <v>5198</v>
      </c>
      <c r="B430" s="0" t="s">
        <v>1467</v>
      </c>
      <c r="C430" s="0" t="n">
        <v>2025</v>
      </c>
      <c r="D430" s="43" t="n">
        <f aca="false">IF(Funding!AN21="","",Funding!AN21)</f>
        <v>0.296634009118246</v>
      </c>
      <c r="E430" s="21" t="s">
        <v>4648</v>
      </c>
      <c r="M430" s="21" t="s">
        <v>5199</v>
      </c>
    </row>
    <row r="431" customFormat="false" ht="15" hidden="false" customHeight="false" outlineLevel="0" collapsed="false">
      <c r="A431" s="0" t="s">
        <v>5200</v>
      </c>
      <c r="B431" s="0" t="s">
        <v>1467</v>
      </c>
      <c r="C431" s="0" t="n">
        <v>2025</v>
      </c>
      <c r="D431" s="43" t="n">
        <f aca="false">IF(Funding!AO21="","",Funding!AO21)</f>
        <v>1.14744398098749</v>
      </c>
      <c r="E431" s="21" t="s">
        <v>4651</v>
      </c>
      <c r="M431" s="21" t="s">
        <v>5201</v>
      </c>
    </row>
    <row r="432" customFormat="false" ht="15" hidden="false" customHeight="false" outlineLevel="0" collapsed="false">
      <c r="A432" s="0" t="s">
        <v>5202</v>
      </c>
      <c r="B432" s="0" t="s">
        <v>1467</v>
      </c>
      <c r="C432" s="0" t="n">
        <v>2025</v>
      </c>
      <c r="D432" s="43" t="n">
        <f aca="false">IF(Funding!AP21="","",Funding!AP21)</f>
        <v>0.144630905034436</v>
      </c>
      <c r="E432" s="21" t="s">
        <v>4654</v>
      </c>
      <c r="M432" s="21" t="s">
        <v>5203</v>
      </c>
    </row>
    <row r="433" customFormat="false" ht="15" hidden="false" customHeight="false" outlineLevel="0" collapsed="false">
      <c r="A433" s="0" t="s">
        <v>5204</v>
      </c>
      <c r="B433" s="0" t="s">
        <v>1467</v>
      </c>
      <c r="C433" s="0" t="n">
        <v>2025</v>
      </c>
      <c r="D433" s="43" t="n">
        <f aca="false">IF(Funding!AQ21="","",Funding!AQ21)</f>
        <v>0</v>
      </c>
      <c r="E433" s="21" t="s">
        <v>4657</v>
      </c>
      <c r="M433" s="21" t="s">
        <v>5205</v>
      </c>
    </row>
    <row r="434" customFormat="false" ht="15" hidden="false" customHeight="false" outlineLevel="0" collapsed="false">
      <c r="A434" s="0" t="s">
        <v>5206</v>
      </c>
      <c r="B434" s="0" t="s">
        <v>1467</v>
      </c>
      <c r="C434" s="0" t="n">
        <v>2025</v>
      </c>
      <c r="D434" s="37" t="n">
        <f aca="false">IF(Funding!E21="","",Funding!E21)</f>
        <v>3.058</v>
      </c>
      <c r="E434" s="21" t="s">
        <v>2105</v>
      </c>
      <c r="M434" s="21" t="s">
        <v>5207</v>
      </c>
    </row>
    <row r="435" customFormat="false" ht="15" hidden="false" customHeight="false" outlineLevel="0" collapsed="false">
      <c r="A435" s="0" t="s">
        <v>5208</v>
      </c>
      <c r="B435" s="0" t="s">
        <v>1467</v>
      </c>
      <c r="C435" s="0" t="n">
        <v>2025</v>
      </c>
      <c r="D435" s="37" t="str">
        <f aca="false">IF(Funding!I21="","",Funding!I21)</f>
        <v/>
      </c>
      <c r="E435" s="21" t="s">
        <v>2111</v>
      </c>
      <c r="M435" s="21" t="s">
        <v>5209</v>
      </c>
    </row>
    <row r="436" customFormat="false" ht="15" hidden="false" customHeight="false" outlineLevel="0" collapsed="false">
      <c r="A436" s="0" t="s">
        <v>5210</v>
      </c>
      <c r="B436" s="0" t="s">
        <v>1467</v>
      </c>
      <c r="C436" s="0" t="n">
        <v>2025</v>
      </c>
      <c r="D436" s="37" t="str">
        <f aca="false">IF(Funding!O21="","",Funding!O21)</f>
        <v/>
      </c>
      <c r="E436" s="21" t="s">
        <v>4664</v>
      </c>
      <c r="M436" s="21" t="s">
        <v>5211</v>
      </c>
    </row>
    <row r="437" customFormat="false" ht="15" hidden="false" customHeight="false" outlineLevel="0" collapsed="false">
      <c r="A437" s="0" t="s">
        <v>5212</v>
      </c>
      <c r="B437" s="0" t="s">
        <v>1467</v>
      </c>
      <c r="C437" s="0" t="n">
        <v>2025</v>
      </c>
      <c r="D437" s="37" t="n">
        <f aca="false">N(Funding!J21)+N(Funding!K21)+N(Funding!L21)+N(Funding!M21)</f>
        <v>11.829</v>
      </c>
      <c r="E437" s="21" t="s">
        <v>4667</v>
      </c>
      <c r="M437" s="21" t="s">
        <v>5213</v>
      </c>
    </row>
    <row r="438" customFormat="false" ht="15" hidden="false" customHeight="false" outlineLevel="0" collapsed="false">
      <c r="A438" s="0" t="s">
        <v>5214</v>
      </c>
      <c r="B438" s="0" t="s">
        <v>1467</v>
      </c>
      <c r="C438" s="0" t="n">
        <v>2025</v>
      </c>
      <c r="D438" s="37" t="n">
        <f aca="false">IF(Funding!R21="","",Funding!R21)</f>
        <v>1.491</v>
      </c>
      <c r="E438" s="21" t="s">
        <v>4670</v>
      </c>
      <c r="M438" s="21" t="s">
        <v>5215</v>
      </c>
    </row>
    <row r="439" customFormat="false" ht="15" hidden="false" customHeight="false" outlineLevel="0" collapsed="false">
      <c r="A439" s="0" t="s">
        <v>5216</v>
      </c>
      <c r="B439" s="0" t="s">
        <v>1467</v>
      </c>
      <c r="C439" s="0" t="n">
        <v>2026</v>
      </c>
      <c r="D439" s="37" t="n">
        <f aca="false">IF(Funding!W22="","",Funding!W22)</f>
        <v>14.117</v>
      </c>
      <c r="E439" s="21" t="s">
        <v>4624</v>
      </c>
      <c r="M439" s="21" t="s">
        <v>5217</v>
      </c>
    </row>
    <row r="440" customFormat="false" ht="15" hidden="false" customHeight="false" outlineLevel="0" collapsed="false">
      <c r="A440" s="0" t="s">
        <v>5218</v>
      </c>
      <c r="B440" s="0" t="s">
        <v>1467</v>
      </c>
      <c r="C440" s="0" t="n">
        <v>2026</v>
      </c>
      <c r="D440" s="43" t="n">
        <f aca="false">IF(Funding!AC22="","",Funding!AC22)</f>
        <v>0.259474392576326</v>
      </c>
      <c r="E440" s="21" t="s">
        <v>4627</v>
      </c>
      <c r="M440" s="21" t="s">
        <v>5219</v>
      </c>
    </row>
    <row r="441" customFormat="false" ht="15" hidden="false" customHeight="false" outlineLevel="0" collapsed="false">
      <c r="A441" s="0" t="s">
        <v>5220</v>
      </c>
      <c r="B441" s="0" t="s">
        <v>1467</v>
      </c>
      <c r="C441" s="0" t="n">
        <v>2026</v>
      </c>
      <c r="D441" s="43" t="n">
        <f aca="false">IF(Funding!AD22="","",Funding!AD22)</f>
        <v>0</v>
      </c>
      <c r="E441" s="21" t="s">
        <v>4630</v>
      </c>
      <c r="M441" s="21" t="s">
        <v>5221</v>
      </c>
    </row>
    <row r="442" customFormat="false" ht="15" hidden="false" customHeight="false" outlineLevel="0" collapsed="false">
      <c r="A442" s="0" t="s">
        <v>5222</v>
      </c>
      <c r="B442" s="0" t="s">
        <v>1467</v>
      </c>
      <c r="C442" s="0" t="n">
        <v>2026</v>
      </c>
      <c r="D442" s="43" t="n">
        <f aca="false">IF(Funding!AE22="","",Funding!AE22)</f>
        <v>0.211234681589573</v>
      </c>
      <c r="E442" s="21" t="s">
        <v>4633</v>
      </c>
      <c r="M442" s="21" t="s">
        <v>5223</v>
      </c>
    </row>
    <row r="443" customFormat="false" ht="15" hidden="false" customHeight="false" outlineLevel="0" collapsed="false">
      <c r="A443" s="0" t="s">
        <v>5224</v>
      </c>
      <c r="B443" s="0" t="s">
        <v>1467</v>
      </c>
      <c r="C443" s="0" t="n">
        <v>2026</v>
      </c>
      <c r="D443" s="43" t="n">
        <f aca="false">IF(Funding!AF22="","",Funding!AF22)</f>
        <v>0.529290925834101</v>
      </c>
      <c r="E443" s="21" t="s">
        <v>4636</v>
      </c>
      <c r="M443" s="21" t="s">
        <v>5225</v>
      </c>
    </row>
    <row r="444" customFormat="false" ht="15" hidden="false" customHeight="false" outlineLevel="0" collapsed="false">
      <c r="A444" s="0" t="s">
        <v>5226</v>
      </c>
      <c r="B444" s="0" t="s">
        <v>1467</v>
      </c>
      <c r="C444" s="0" t="n">
        <v>2026</v>
      </c>
      <c r="D444" s="43" t="n">
        <f aca="false">IF(Funding!AG22="","",Funding!AG22)</f>
        <v>0</v>
      </c>
      <c r="E444" s="21" t="s">
        <v>4639</v>
      </c>
      <c r="M444" s="21" t="s">
        <v>5227</v>
      </c>
    </row>
    <row r="445" customFormat="false" ht="15" hidden="false" customHeight="false" outlineLevel="0" collapsed="false">
      <c r="A445" s="0" t="s">
        <v>5228</v>
      </c>
      <c r="B445" s="0" t="s">
        <v>1467</v>
      </c>
      <c r="C445" s="0" t="n">
        <v>2026</v>
      </c>
      <c r="D445" s="37" t="n">
        <f aca="false">IF(Funding!AL22="","",Funding!AL22)</f>
        <v>19.729</v>
      </c>
      <c r="E445" s="21" t="s">
        <v>4642</v>
      </c>
      <c r="M445" s="21" t="s">
        <v>5229</v>
      </c>
    </row>
    <row r="446" customFormat="false" ht="15" hidden="false" customHeight="false" outlineLevel="0" collapsed="false">
      <c r="A446" s="0" t="s">
        <v>5230</v>
      </c>
      <c r="B446" s="0" t="s">
        <v>1467</v>
      </c>
      <c r="C446" s="0" t="n">
        <v>2026</v>
      </c>
      <c r="D446" s="43" t="n">
        <f aca="false">IF(Funding!AM22="","",Funding!AM22)</f>
        <v>1.39753488701565</v>
      </c>
      <c r="E446" s="21" t="s">
        <v>4645</v>
      </c>
      <c r="M446" s="21" t="s">
        <v>5231</v>
      </c>
    </row>
    <row r="447" customFormat="false" ht="15" hidden="false" customHeight="false" outlineLevel="0" collapsed="false">
      <c r="A447" s="0" t="s">
        <v>5232</v>
      </c>
      <c r="B447" s="0" t="s">
        <v>1467</v>
      </c>
      <c r="C447" s="0" t="n">
        <v>2026</v>
      </c>
      <c r="D447" s="43" t="n">
        <f aca="false">IF(Funding!AN22="","",Funding!AN22)</f>
        <v>0.259474392576326</v>
      </c>
      <c r="E447" s="21" t="s">
        <v>4648</v>
      </c>
      <c r="M447" s="21" t="s">
        <v>5233</v>
      </c>
    </row>
    <row r="448" customFormat="false" ht="15" hidden="false" customHeight="false" outlineLevel="0" collapsed="false">
      <c r="A448" s="0" t="s">
        <v>5234</v>
      </c>
      <c r="B448" s="0" t="s">
        <v>1467</v>
      </c>
      <c r="C448" s="0" t="n">
        <v>2026</v>
      </c>
      <c r="D448" s="43" t="n">
        <f aca="false">IF(Funding!AO22="","",Funding!AO22)</f>
        <v>1.18630020542608</v>
      </c>
      <c r="E448" s="21" t="s">
        <v>4651</v>
      </c>
      <c r="M448" s="21" t="s">
        <v>5235</v>
      </c>
    </row>
    <row r="449" customFormat="false" ht="15" hidden="false" customHeight="false" outlineLevel="0" collapsed="false">
      <c r="A449" s="0" t="s">
        <v>5236</v>
      </c>
      <c r="B449" s="0" t="s">
        <v>1467</v>
      </c>
      <c r="C449" s="0" t="n">
        <v>2026</v>
      </c>
      <c r="D449" s="43" t="n">
        <f aca="false">IF(Funding!AP22="","",Funding!AP22)</f>
        <v>0.211234681589573</v>
      </c>
      <c r="E449" s="21" t="s">
        <v>4654</v>
      </c>
      <c r="M449" s="21" t="s">
        <v>5237</v>
      </c>
    </row>
    <row r="450" customFormat="false" ht="15" hidden="false" customHeight="false" outlineLevel="0" collapsed="false">
      <c r="A450" s="0" t="s">
        <v>5238</v>
      </c>
      <c r="B450" s="0" t="s">
        <v>1467</v>
      </c>
      <c r="C450" s="0" t="n">
        <v>2026</v>
      </c>
      <c r="D450" s="43" t="n">
        <f aca="false">IF(Funding!AQ22="","",Funding!AQ22)</f>
        <v>0</v>
      </c>
      <c r="E450" s="21" t="s">
        <v>4657</v>
      </c>
      <c r="M450" s="21" t="s">
        <v>5239</v>
      </c>
    </row>
    <row r="451" customFormat="false" ht="15" hidden="false" customHeight="false" outlineLevel="0" collapsed="false">
      <c r="A451" s="0" t="s">
        <v>5240</v>
      </c>
      <c r="B451" s="0" t="s">
        <v>1467</v>
      </c>
      <c r="C451" s="0" t="n">
        <v>2026</v>
      </c>
      <c r="D451" s="37" t="n">
        <f aca="false">IF(Funding!E22="","",Funding!E22)</f>
        <v>3.663</v>
      </c>
      <c r="E451" s="21" t="s">
        <v>2105</v>
      </c>
      <c r="M451" s="21" t="s">
        <v>5241</v>
      </c>
    </row>
    <row r="452" customFormat="false" ht="15" hidden="false" customHeight="false" outlineLevel="0" collapsed="false">
      <c r="A452" s="0" t="s">
        <v>5242</v>
      </c>
      <c r="B452" s="0" t="s">
        <v>1467</v>
      </c>
      <c r="C452" s="0" t="n">
        <v>2026</v>
      </c>
      <c r="D452" s="37" t="str">
        <f aca="false">IF(Funding!I22="","",Funding!I22)</f>
        <v/>
      </c>
      <c r="E452" s="21" t="s">
        <v>2111</v>
      </c>
      <c r="M452" s="21" t="s">
        <v>5243</v>
      </c>
    </row>
    <row r="453" customFormat="false" ht="15" hidden="false" customHeight="false" outlineLevel="0" collapsed="false">
      <c r="A453" s="0" t="s">
        <v>5244</v>
      </c>
      <c r="B453" s="0" t="s">
        <v>1467</v>
      </c>
      <c r="C453" s="0" t="n">
        <v>2026</v>
      </c>
      <c r="D453" s="37" t="str">
        <f aca="false">IF(Funding!O22="","",Funding!O22)</f>
        <v/>
      </c>
      <c r="E453" s="21" t="s">
        <v>4664</v>
      </c>
      <c r="M453" s="21" t="s">
        <v>5245</v>
      </c>
    </row>
    <row r="454" customFormat="false" ht="15" hidden="false" customHeight="false" outlineLevel="0" collapsed="false">
      <c r="A454" s="0" t="s">
        <v>5246</v>
      </c>
      <c r="B454" s="0" t="s">
        <v>1467</v>
      </c>
      <c r="C454" s="0" t="n">
        <v>2026</v>
      </c>
      <c r="D454" s="37" t="n">
        <f aca="false">N(Funding!J22)+N(Funding!K22)+N(Funding!L22)+N(Funding!M22)</f>
        <v>16.747</v>
      </c>
      <c r="E454" s="21" t="s">
        <v>4667</v>
      </c>
      <c r="M454" s="21" t="s">
        <v>5247</v>
      </c>
    </row>
    <row r="455" customFormat="false" ht="15" hidden="false" customHeight="false" outlineLevel="0" collapsed="false">
      <c r="A455" s="0" t="s">
        <v>5248</v>
      </c>
      <c r="B455" s="0" t="s">
        <v>1467</v>
      </c>
      <c r="C455" s="0" t="n">
        <v>2026</v>
      </c>
      <c r="D455" s="37" t="n">
        <f aca="false">IF(Funding!R22="","",Funding!R22)</f>
        <v>2.982</v>
      </c>
      <c r="E455" s="21" t="s">
        <v>4670</v>
      </c>
      <c r="M455" s="21" t="s">
        <v>5249</v>
      </c>
    </row>
    <row r="456" customFormat="false" ht="15" hidden="false" customHeight="false" outlineLevel="0" collapsed="false">
      <c r="A456" s="0" t="s">
        <v>5250</v>
      </c>
      <c r="B456" s="0" t="s">
        <v>1486</v>
      </c>
      <c r="C456" s="0" t="n">
        <v>2025</v>
      </c>
      <c r="D456" s="37" t="n">
        <f aca="false">IF(Funding!W23="","",Funding!W23)</f>
        <v>4.1</v>
      </c>
      <c r="E456" s="21" t="s">
        <v>4624</v>
      </c>
      <c r="M456" s="21" t="s">
        <v>5251</v>
      </c>
    </row>
    <row r="457" customFormat="false" ht="15" hidden="false" customHeight="false" outlineLevel="0" collapsed="false">
      <c r="A457" s="0" t="s">
        <v>5252</v>
      </c>
      <c r="B457" s="0" t="s">
        <v>1486</v>
      </c>
      <c r="C457" s="0" t="n">
        <v>2025</v>
      </c>
      <c r="D457" s="43" t="str">
        <f aca="false">IF(Funding!AC23="","",Funding!AC23)</f>
        <v/>
      </c>
      <c r="E457" s="21" t="s">
        <v>4627</v>
      </c>
      <c r="M457" s="21" t="s">
        <v>5253</v>
      </c>
    </row>
    <row r="458" customFormat="false" ht="15" hidden="false" customHeight="false" outlineLevel="0" collapsed="false">
      <c r="A458" s="0" t="s">
        <v>5254</v>
      </c>
      <c r="B458" s="0" t="s">
        <v>1486</v>
      </c>
      <c r="C458" s="0" t="n">
        <v>2025</v>
      </c>
      <c r="D458" s="43" t="n">
        <f aca="false">IF(Funding!AD23="","",Funding!AD23)</f>
        <v>0</v>
      </c>
      <c r="E458" s="21" t="s">
        <v>4630</v>
      </c>
      <c r="M458" s="21" t="s">
        <v>5255</v>
      </c>
    </row>
    <row r="459" customFormat="false" ht="15" hidden="false" customHeight="false" outlineLevel="0" collapsed="false">
      <c r="A459" s="0" t="s">
        <v>5256</v>
      </c>
      <c r="B459" s="0" t="s">
        <v>1486</v>
      </c>
      <c r="C459" s="0" t="n">
        <v>2025</v>
      </c>
      <c r="D459" s="43" t="n">
        <f aca="false">IF(Funding!AE23="","",Funding!AE23)</f>
        <v>0</v>
      </c>
      <c r="E459" s="21" t="s">
        <v>4633</v>
      </c>
      <c r="M459" s="21" t="s">
        <v>5257</v>
      </c>
    </row>
    <row r="460" customFormat="false" ht="15" hidden="false" customHeight="false" outlineLevel="0" collapsed="false">
      <c r="A460" s="0" t="s">
        <v>5258</v>
      </c>
      <c r="B460" s="0" t="s">
        <v>1486</v>
      </c>
      <c r="C460" s="0" t="n">
        <v>2025</v>
      </c>
      <c r="D460" s="43" t="n">
        <f aca="false">IF(Funding!AF23="","",Funding!AF23)</f>
        <v>0</v>
      </c>
      <c r="E460" s="21" t="s">
        <v>4636</v>
      </c>
      <c r="M460" s="21" t="s">
        <v>5259</v>
      </c>
    </row>
    <row r="461" customFormat="false" ht="15" hidden="false" customHeight="false" outlineLevel="0" collapsed="false">
      <c r="A461" s="0" t="s">
        <v>5260</v>
      </c>
      <c r="B461" s="0" t="s">
        <v>1486</v>
      </c>
      <c r="C461" s="0" t="n">
        <v>2025</v>
      </c>
      <c r="D461" s="43" t="n">
        <f aca="false">IF(Funding!AG23="","",Funding!AG23)</f>
        <v>1</v>
      </c>
      <c r="E461" s="21" t="s">
        <v>4639</v>
      </c>
      <c r="M461" s="21" t="s">
        <v>5261</v>
      </c>
    </row>
    <row r="462" customFormat="false" ht="15" hidden="false" customHeight="false" outlineLevel="0" collapsed="false">
      <c r="A462" s="0" t="s">
        <v>5262</v>
      </c>
      <c r="B462" s="0" t="s">
        <v>1486</v>
      </c>
      <c r="C462" s="0" t="n">
        <v>2025</v>
      </c>
      <c r="D462" s="37" t="n">
        <f aca="false">IF(Funding!AL23="","",Funding!AL23)</f>
        <v>0</v>
      </c>
      <c r="E462" s="21" t="s">
        <v>4642</v>
      </c>
      <c r="M462" s="21" t="s">
        <v>5263</v>
      </c>
    </row>
    <row r="463" customFormat="false" ht="15" hidden="false" customHeight="false" outlineLevel="0" collapsed="false">
      <c r="A463" s="0" t="s">
        <v>5264</v>
      </c>
      <c r="B463" s="0" t="s">
        <v>1486</v>
      </c>
      <c r="C463" s="0" t="n">
        <v>2025</v>
      </c>
      <c r="D463" s="43" t="n">
        <f aca="false">IF(Funding!AM23="","",Funding!AM23)</f>
        <v>0</v>
      </c>
      <c r="E463" s="21" t="s">
        <v>4645</v>
      </c>
      <c r="M463" s="21" t="s">
        <v>5265</v>
      </c>
    </row>
    <row r="464" customFormat="false" ht="15" hidden="false" customHeight="false" outlineLevel="0" collapsed="false">
      <c r="A464" s="0" t="s">
        <v>5266</v>
      </c>
      <c r="B464" s="0" t="s">
        <v>1486</v>
      </c>
      <c r="C464" s="0" t="n">
        <v>2025</v>
      </c>
      <c r="D464" s="43" t="str">
        <f aca="false">IF(Funding!AN23="","",Funding!AN23)</f>
        <v/>
      </c>
      <c r="E464" s="21" t="s">
        <v>4648</v>
      </c>
      <c r="M464" s="21" t="s">
        <v>5267</v>
      </c>
    </row>
    <row r="465" customFormat="false" ht="15" hidden="false" customHeight="false" outlineLevel="0" collapsed="false">
      <c r="A465" s="0" t="s">
        <v>5268</v>
      </c>
      <c r="B465" s="0" t="s">
        <v>1486</v>
      </c>
      <c r="C465" s="0" t="n">
        <v>2025</v>
      </c>
      <c r="D465" s="43" t="n">
        <f aca="false">IF(Funding!AO23="","",Funding!AO23)</f>
        <v>0</v>
      </c>
      <c r="E465" s="21" t="s">
        <v>4651</v>
      </c>
      <c r="M465" s="21" t="s">
        <v>5269</v>
      </c>
    </row>
    <row r="466" customFormat="false" ht="15" hidden="false" customHeight="false" outlineLevel="0" collapsed="false">
      <c r="A466" s="0" t="s">
        <v>5270</v>
      </c>
      <c r="B466" s="0" t="s">
        <v>1486</v>
      </c>
      <c r="C466" s="0" t="n">
        <v>2025</v>
      </c>
      <c r="D466" s="43" t="n">
        <f aca="false">IF(Funding!AP23="","",Funding!AP23)</f>
        <v>0</v>
      </c>
      <c r="E466" s="21" t="s">
        <v>4654</v>
      </c>
      <c r="M466" s="21" t="s">
        <v>5271</v>
      </c>
    </row>
    <row r="467" customFormat="false" ht="15" hidden="false" customHeight="false" outlineLevel="0" collapsed="false">
      <c r="A467" s="0" t="s">
        <v>5272</v>
      </c>
      <c r="B467" s="0" t="s">
        <v>1486</v>
      </c>
      <c r="C467" s="0" t="n">
        <v>2025</v>
      </c>
      <c r="D467" s="43" t="n">
        <f aca="false">IF(Funding!AQ23="","",Funding!AQ23)</f>
        <v>0</v>
      </c>
      <c r="E467" s="21" t="s">
        <v>4657</v>
      </c>
      <c r="M467" s="21" t="s">
        <v>5273</v>
      </c>
    </row>
    <row r="468" customFormat="false" ht="15" hidden="false" customHeight="false" outlineLevel="0" collapsed="false">
      <c r="A468" s="0" t="s">
        <v>5274</v>
      </c>
      <c r="B468" s="0" t="s">
        <v>1486</v>
      </c>
      <c r="C468" s="0" t="n">
        <v>2025</v>
      </c>
      <c r="D468" s="37" t="str">
        <f aca="false">IF(Funding!E23="","",Funding!E23)</f>
        <v/>
      </c>
      <c r="E468" s="21" t="s">
        <v>2105</v>
      </c>
      <c r="M468" s="21" t="s">
        <v>5275</v>
      </c>
    </row>
    <row r="469" customFormat="false" ht="15" hidden="false" customHeight="false" outlineLevel="0" collapsed="false">
      <c r="A469" s="0" t="s">
        <v>5276</v>
      </c>
      <c r="B469" s="0" t="s">
        <v>1486</v>
      </c>
      <c r="C469" s="0" t="n">
        <v>2025</v>
      </c>
      <c r="D469" s="37" t="str">
        <f aca="false">IF(Funding!I23="","",Funding!I23)</f>
        <v/>
      </c>
      <c r="E469" s="21" t="s">
        <v>2111</v>
      </c>
      <c r="M469" s="21" t="s">
        <v>5277</v>
      </c>
    </row>
    <row r="470" customFormat="false" ht="15" hidden="false" customHeight="false" outlineLevel="0" collapsed="false">
      <c r="A470" s="0" t="s">
        <v>5278</v>
      </c>
      <c r="B470" s="0" t="s">
        <v>1486</v>
      </c>
      <c r="C470" s="0" t="n">
        <v>2025</v>
      </c>
      <c r="D470" s="37" t="str">
        <f aca="false">IF(Funding!O23="","",Funding!O23)</f>
        <v/>
      </c>
      <c r="E470" s="21" t="s">
        <v>4664</v>
      </c>
      <c r="M470" s="21" t="s">
        <v>5279</v>
      </c>
    </row>
    <row r="471" customFormat="false" ht="15" hidden="false" customHeight="false" outlineLevel="0" collapsed="false">
      <c r="A471" s="0" t="s">
        <v>5280</v>
      </c>
      <c r="B471" s="0" t="s">
        <v>1486</v>
      </c>
      <c r="C471" s="0" t="n">
        <v>2025</v>
      </c>
      <c r="D471" s="37" t="n">
        <f aca="false">N(Funding!J23)+N(Funding!K23)+N(Funding!L23)+N(Funding!M23)</f>
        <v>0</v>
      </c>
      <c r="E471" s="21" t="s">
        <v>4667</v>
      </c>
      <c r="M471" s="21" t="s">
        <v>5281</v>
      </c>
    </row>
    <row r="472" customFormat="false" ht="15" hidden="false" customHeight="false" outlineLevel="0" collapsed="false">
      <c r="A472" s="0" t="s">
        <v>5282</v>
      </c>
      <c r="B472" s="0" t="s">
        <v>1486</v>
      </c>
      <c r="C472" s="0" t="n">
        <v>2025</v>
      </c>
      <c r="D472" s="37" t="str">
        <f aca="false">IF(Funding!R23="","",Funding!R23)</f>
        <v/>
      </c>
      <c r="E472" s="21" t="s">
        <v>4670</v>
      </c>
      <c r="M472" s="21" t="s">
        <v>5283</v>
      </c>
    </row>
    <row r="473" customFormat="false" ht="15" hidden="false" customHeight="false" outlineLevel="0" collapsed="false">
      <c r="A473" s="0" t="s">
        <v>5284</v>
      </c>
      <c r="B473" s="0" t="s">
        <v>1486</v>
      </c>
      <c r="C473" s="0" t="n">
        <v>2026</v>
      </c>
      <c r="D473" s="37" t="n">
        <f aca="false">IF(Funding!W24="","",Funding!W24)</f>
        <v>8.13</v>
      </c>
      <c r="E473" s="21" t="s">
        <v>4624</v>
      </c>
      <c r="M473" s="21" t="s">
        <v>5285</v>
      </c>
    </row>
    <row r="474" customFormat="false" ht="15" hidden="false" customHeight="false" outlineLevel="0" collapsed="false">
      <c r="A474" s="0" t="s">
        <v>5286</v>
      </c>
      <c r="B474" s="0" t="s">
        <v>1486</v>
      </c>
      <c r="C474" s="0" t="n">
        <v>2026</v>
      </c>
      <c r="D474" s="43" t="str">
        <f aca="false">IF(Funding!AC24="","",Funding!AC24)</f>
        <v/>
      </c>
      <c r="E474" s="21" t="s">
        <v>4627</v>
      </c>
      <c r="M474" s="21" t="s">
        <v>5287</v>
      </c>
    </row>
    <row r="475" customFormat="false" ht="15" hidden="false" customHeight="false" outlineLevel="0" collapsed="false">
      <c r="A475" s="0" t="s">
        <v>5288</v>
      </c>
      <c r="B475" s="0" t="s">
        <v>1486</v>
      </c>
      <c r="C475" s="0" t="n">
        <v>2026</v>
      </c>
      <c r="D475" s="43" t="n">
        <f aca="false">IF(Funding!AD24="","",Funding!AD24)</f>
        <v>0</v>
      </c>
      <c r="E475" s="21" t="s">
        <v>4630</v>
      </c>
      <c r="M475" s="21" t="s">
        <v>5289</v>
      </c>
    </row>
    <row r="476" customFormat="false" ht="15" hidden="false" customHeight="false" outlineLevel="0" collapsed="false">
      <c r="A476" s="0" t="s">
        <v>5290</v>
      </c>
      <c r="B476" s="0" t="s">
        <v>1486</v>
      </c>
      <c r="C476" s="0" t="n">
        <v>2026</v>
      </c>
      <c r="D476" s="43" t="n">
        <f aca="false">IF(Funding!AE24="","",Funding!AE24)</f>
        <v>0.591758917589176</v>
      </c>
      <c r="E476" s="21" t="s">
        <v>4633</v>
      </c>
      <c r="M476" s="21" t="s">
        <v>5291</v>
      </c>
    </row>
    <row r="477" customFormat="false" ht="15" hidden="false" customHeight="false" outlineLevel="0" collapsed="false">
      <c r="A477" s="0" t="s">
        <v>5292</v>
      </c>
      <c r="B477" s="0" t="s">
        <v>1486</v>
      </c>
      <c r="C477" s="0" t="n">
        <v>2026</v>
      </c>
      <c r="D477" s="43" t="n">
        <f aca="false">IF(Funding!AF24="","",Funding!AF24)</f>
        <v>0.408241082410824</v>
      </c>
      <c r="E477" s="21" t="s">
        <v>4636</v>
      </c>
      <c r="M477" s="21" t="s">
        <v>5293</v>
      </c>
    </row>
    <row r="478" customFormat="false" ht="15" hidden="false" customHeight="false" outlineLevel="0" collapsed="false">
      <c r="A478" s="0" t="s">
        <v>5294</v>
      </c>
      <c r="B478" s="0" t="s">
        <v>1486</v>
      </c>
      <c r="C478" s="0" t="n">
        <v>2026</v>
      </c>
      <c r="D478" s="43" t="n">
        <f aca="false">IF(Funding!AG24="","",Funding!AG24)</f>
        <v>0</v>
      </c>
      <c r="E478" s="21" t="s">
        <v>4639</v>
      </c>
      <c r="M478" s="21" t="s">
        <v>5295</v>
      </c>
    </row>
    <row r="479" customFormat="false" ht="15" hidden="false" customHeight="false" outlineLevel="0" collapsed="false">
      <c r="A479" s="0" t="s">
        <v>5296</v>
      </c>
      <c r="B479" s="0" t="s">
        <v>1486</v>
      </c>
      <c r="C479" s="0" t="n">
        <v>2026</v>
      </c>
      <c r="D479" s="37" t="n">
        <f aca="false">IF(Funding!AL24="","",Funding!AL24)</f>
        <v>9.149</v>
      </c>
      <c r="E479" s="21" t="s">
        <v>4642</v>
      </c>
      <c r="M479" s="21" t="s">
        <v>5297</v>
      </c>
    </row>
    <row r="480" customFormat="false" ht="15" hidden="false" customHeight="false" outlineLevel="0" collapsed="false">
      <c r="A480" s="0" t="s">
        <v>5298</v>
      </c>
      <c r="B480" s="0" t="s">
        <v>1486</v>
      </c>
      <c r="C480" s="0" t="n">
        <v>2026</v>
      </c>
      <c r="D480" s="43" t="n">
        <f aca="false">IF(Funding!AM24="","",Funding!AM24)</f>
        <v>1.12533825338253</v>
      </c>
      <c r="E480" s="21" t="s">
        <v>4645</v>
      </c>
      <c r="M480" s="21" t="s">
        <v>5299</v>
      </c>
    </row>
    <row r="481" customFormat="false" ht="15" hidden="false" customHeight="false" outlineLevel="0" collapsed="false">
      <c r="A481" s="0" t="s">
        <v>5300</v>
      </c>
      <c r="B481" s="0" t="s">
        <v>1486</v>
      </c>
      <c r="C481" s="0" t="n">
        <v>2026</v>
      </c>
      <c r="D481" s="43" t="str">
        <f aca="false">IF(Funding!AN24="","",Funding!AN24)</f>
        <v/>
      </c>
      <c r="E481" s="21" t="s">
        <v>4648</v>
      </c>
      <c r="M481" s="21" t="s">
        <v>5301</v>
      </c>
    </row>
    <row r="482" customFormat="false" ht="15" hidden="false" customHeight="false" outlineLevel="0" collapsed="false">
      <c r="A482" s="0" t="s">
        <v>5302</v>
      </c>
      <c r="B482" s="0" t="s">
        <v>1486</v>
      </c>
      <c r="C482" s="0" t="n">
        <v>2026</v>
      </c>
      <c r="D482" s="43" t="n">
        <f aca="false">IF(Funding!AO24="","",Funding!AO24)</f>
        <v>0.533579335793358</v>
      </c>
      <c r="E482" s="21" t="s">
        <v>4651</v>
      </c>
      <c r="M482" s="21" t="s">
        <v>5303</v>
      </c>
    </row>
    <row r="483" customFormat="false" ht="15" hidden="false" customHeight="false" outlineLevel="0" collapsed="false">
      <c r="A483" s="0" t="s">
        <v>5304</v>
      </c>
      <c r="B483" s="0" t="s">
        <v>1486</v>
      </c>
      <c r="C483" s="0" t="n">
        <v>2026</v>
      </c>
      <c r="D483" s="43" t="n">
        <f aca="false">IF(Funding!AP24="","",Funding!AP24)</f>
        <v>0.591758917589176</v>
      </c>
      <c r="E483" s="21" t="s">
        <v>4654</v>
      </c>
      <c r="M483" s="21" t="s">
        <v>5305</v>
      </c>
    </row>
    <row r="484" customFormat="false" ht="15" hidden="false" customHeight="false" outlineLevel="0" collapsed="false">
      <c r="A484" s="0" t="s">
        <v>5306</v>
      </c>
      <c r="B484" s="0" t="s">
        <v>1486</v>
      </c>
      <c r="C484" s="0" t="n">
        <v>2026</v>
      </c>
      <c r="D484" s="43" t="n">
        <f aca="false">IF(Funding!AQ24="","",Funding!AQ24)</f>
        <v>0</v>
      </c>
      <c r="E484" s="21" t="s">
        <v>4657</v>
      </c>
      <c r="M484" s="21" t="s">
        <v>5307</v>
      </c>
    </row>
    <row r="485" customFormat="false" ht="15" hidden="false" customHeight="false" outlineLevel="0" collapsed="false">
      <c r="A485" s="0" t="s">
        <v>5308</v>
      </c>
      <c r="B485" s="0" t="s">
        <v>1486</v>
      </c>
      <c r="C485" s="0" t="n">
        <v>2026</v>
      </c>
      <c r="D485" s="37" t="str">
        <f aca="false">IF(Funding!E24="","",Funding!E24)</f>
        <v/>
      </c>
      <c r="E485" s="21" t="s">
        <v>2105</v>
      </c>
      <c r="M485" s="21" t="s">
        <v>5309</v>
      </c>
    </row>
    <row r="486" customFormat="false" ht="15" hidden="false" customHeight="false" outlineLevel="0" collapsed="false">
      <c r="A486" s="0" t="s">
        <v>5310</v>
      </c>
      <c r="B486" s="0" t="s">
        <v>1486</v>
      </c>
      <c r="C486" s="0" t="n">
        <v>2026</v>
      </c>
      <c r="D486" s="37" t="n">
        <f aca="false">IF(Funding!I24="","",Funding!I24)</f>
        <v>-3.626</v>
      </c>
      <c r="E486" s="21" t="s">
        <v>2111</v>
      </c>
      <c r="M486" s="21" t="s">
        <v>5311</v>
      </c>
    </row>
    <row r="487" customFormat="false" ht="15" hidden="false" customHeight="false" outlineLevel="0" collapsed="false">
      <c r="A487" s="0" t="s">
        <v>5312</v>
      </c>
      <c r="B487" s="0" t="s">
        <v>1486</v>
      </c>
      <c r="C487" s="0" t="n">
        <v>2026</v>
      </c>
      <c r="D487" s="37" t="n">
        <f aca="false">IF(Funding!O24="","",Funding!O24)</f>
        <v>12.054</v>
      </c>
      <c r="E487" s="21" t="s">
        <v>4664</v>
      </c>
      <c r="M487" s="21" t="s">
        <v>5313</v>
      </c>
    </row>
    <row r="488" customFormat="false" ht="15" hidden="false" customHeight="false" outlineLevel="0" collapsed="false">
      <c r="A488" s="0" t="s">
        <v>5314</v>
      </c>
      <c r="B488" s="0" t="s">
        <v>1486</v>
      </c>
      <c r="C488" s="0" t="n">
        <v>2026</v>
      </c>
      <c r="D488" s="37" t="n">
        <f aca="false">N(Funding!J24)+N(Funding!K24)+N(Funding!L24)+N(Funding!M24)</f>
        <v>4.338</v>
      </c>
      <c r="E488" s="21" t="s">
        <v>4667</v>
      </c>
      <c r="M488" s="21" t="s">
        <v>5315</v>
      </c>
    </row>
    <row r="489" customFormat="false" ht="15" hidden="false" customHeight="false" outlineLevel="0" collapsed="false">
      <c r="A489" s="0" t="s">
        <v>5316</v>
      </c>
      <c r="B489" s="0" t="s">
        <v>1486</v>
      </c>
      <c r="C489" s="0" t="n">
        <v>2026</v>
      </c>
      <c r="D489" s="37" t="n">
        <f aca="false">IF(Funding!R24="","",Funding!R24)</f>
        <v>4.811</v>
      </c>
      <c r="E489" s="21" t="s">
        <v>4670</v>
      </c>
      <c r="M489" s="21" t="s">
        <v>5317</v>
      </c>
    </row>
    <row r="490" customFormat="false" ht="17.15" hidden="false" customHeight="false" outlineLevel="0" collapsed="false">
      <c r="A490" s="0" t="s">
        <v>5318</v>
      </c>
      <c r="B490" s="0" t="s">
        <v>1697</v>
      </c>
      <c r="C490" s="0" t="n">
        <v>2025</v>
      </c>
      <c r="D490" s="37" t="n">
        <f aca="false">IF(Funding!W25="","",Funding!W25)</f>
        <v>20.7</v>
      </c>
      <c r="E490" s="21" t="s">
        <v>4624</v>
      </c>
      <c r="M490" s="21" t="s">
        <v>5319</v>
      </c>
    </row>
    <row r="491" customFormat="false" ht="17.15" hidden="false" customHeight="false" outlineLevel="0" collapsed="false">
      <c r="A491" s="0" t="s">
        <v>5320</v>
      </c>
      <c r="B491" s="0" t="s">
        <v>1697</v>
      </c>
      <c r="C491" s="0" t="n">
        <v>2025</v>
      </c>
      <c r="D491" s="43" t="n">
        <f aca="false">IF(Funding!AC25="","",Funding!AC25)</f>
        <v>0.328502415458937</v>
      </c>
      <c r="E491" s="21" t="s">
        <v>4627</v>
      </c>
      <c r="M491" s="21" t="s">
        <v>5321</v>
      </c>
    </row>
    <row r="492" customFormat="false" ht="17.15" hidden="false" customHeight="false" outlineLevel="0" collapsed="false">
      <c r="A492" s="0" t="s">
        <v>5322</v>
      </c>
      <c r="B492" s="0" t="s">
        <v>1697</v>
      </c>
      <c r="C492" s="0" t="n">
        <v>2025</v>
      </c>
      <c r="D492" s="43" t="n">
        <f aca="false">IF(Funding!AD25="","",Funding!AD25)</f>
        <v>0</v>
      </c>
      <c r="E492" s="21" t="s">
        <v>4630</v>
      </c>
      <c r="M492" s="21" t="s">
        <v>5323</v>
      </c>
    </row>
    <row r="493" customFormat="false" ht="17.15" hidden="false" customHeight="false" outlineLevel="0" collapsed="false">
      <c r="A493" s="0" t="s">
        <v>5324</v>
      </c>
      <c r="B493" s="0" t="s">
        <v>1697</v>
      </c>
      <c r="C493" s="0" t="n">
        <v>2025</v>
      </c>
      <c r="D493" s="43" t="n">
        <f aca="false">IF(Funding!AE25="","",Funding!AE25)</f>
        <v>0</v>
      </c>
      <c r="E493" s="21" t="s">
        <v>4633</v>
      </c>
      <c r="M493" s="21" t="s">
        <v>5325</v>
      </c>
    </row>
    <row r="494" customFormat="false" ht="17.15" hidden="false" customHeight="false" outlineLevel="0" collapsed="false">
      <c r="A494" s="0" t="s">
        <v>5326</v>
      </c>
      <c r="B494" s="0" t="s">
        <v>1697</v>
      </c>
      <c r="C494" s="0" t="n">
        <v>2025</v>
      </c>
      <c r="D494" s="43" t="n">
        <f aca="false">IF(Funding!AF25="","",Funding!AF25)</f>
        <v>0.671497584541063</v>
      </c>
      <c r="E494" s="21" t="s">
        <v>4636</v>
      </c>
      <c r="M494" s="21" t="s">
        <v>5327</v>
      </c>
    </row>
    <row r="495" customFormat="false" ht="17.15" hidden="false" customHeight="false" outlineLevel="0" collapsed="false">
      <c r="A495" s="0" t="s">
        <v>5328</v>
      </c>
      <c r="B495" s="0" t="s">
        <v>1697</v>
      </c>
      <c r="C495" s="0" t="n">
        <v>2025</v>
      </c>
      <c r="D495" s="43" t="n">
        <f aca="false">IF(Funding!AG25="","",Funding!AG25)</f>
        <v>0</v>
      </c>
      <c r="E495" s="21" t="s">
        <v>4639</v>
      </c>
      <c r="M495" s="21" t="s">
        <v>5329</v>
      </c>
    </row>
    <row r="496" customFormat="false" ht="17.15" hidden="false" customHeight="false" outlineLevel="0" collapsed="false">
      <c r="A496" s="0" t="s">
        <v>5330</v>
      </c>
      <c r="B496" s="0" t="s">
        <v>1697</v>
      </c>
      <c r="C496" s="0" t="n">
        <v>2025</v>
      </c>
      <c r="D496" s="37" t="n">
        <f aca="false">IF(Funding!AL25="","",Funding!AL25)</f>
        <v>16</v>
      </c>
      <c r="E496" s="21" t="s">
        <v>4642</v>
      </c>
      <c r="M496" s="21" t="s">
        <v>5331</v>
      </c>
    </row>
    <row r="497" customFormat="false" ht="17.15" hidden="false" customHeight="false" outlineLevel="0" collapsed="false">
      <c r="A497" s="0" t="s">
        <v>5332</v>
      </c>
      <c r="B497" s="0" t="s">
        <v>1697</v>
      </c>
      <c r="C497" s="0" t="n">
        <v>2025</v>
      </c>
      <c r="D497" s="43" t="n">
        <f aca="false">IF(Funding!AM25="","",Funding!AM25)</f>
        <v>0.772946859903382</v>
      </c>
      <c r="E497" s="21" t="s">
        <v>4645</v>
      </c>
      <c r="M497" s="21" t="s">
        <v>5333</v>
      </c>
    </row>
    <row r="498" customFormat="false" ht="17.15" hidden="false" customHeight="false" outlineLevel="0" collapsed="false">
      <c r="A498" s="0" t="s">
        <v>5334</v>
      </c>
      <c r="B498" s="0" t="s">
        <v>1697</v>
      </c>
      <c r="C498" s="0" t="n">
        <v>2025</v>
      </c>
      <c r="D498" s="43" t="n">
        <f aca="false">IF(Funding!AN25="","",Funding!AN25)</f>
        <v>0.328502415458937</v>
      </c>
      <c r="E498" s="21" t="s">
        <v>4648</v>
      </c>
      <c r="M498" s="21" t="s">
        <v>5335</v>
      </c>
    </row>
    <row r="499" customFormat="false" ht="17.15" hidden="false" customHeight="false" outlineLevel="0" collapsed="false">
      <c r="A499" s="0" t="s">
        <v>5336</v>
      </c>
      <c r="B499" s="0" t="s">
        <v>1697</v>
      </c>
      <c r="C499" s="0" t="n">
        <v>2025</v>
      </c>
      <c r="D499" s="43" t="n">
        <f aca="false">IF(Funding!AO25="","",Funding!AO25)</f>
        <v>0.772946859903382</v>
      </c>
      <c r="E499" s="21" t="s">
        <v>4651</v>
      </c>
      <c r="M499" s="21" t="s">
        <v>5337</v>
      </c>
    </row>
    <row r="500" customFormat="false" ht="17.15" hidden="false" customHeight="false" outlineLevel="0" collapsed="false">
      <c r="A500" s="0" t="s">
        <v>5338</v>
      </c>
      <c r="B500" s="0" t="s">
        <v>1697</v>
      </c>
      <c r="C500" s="0" t="n">
        <v>2025</v>
      </c>
      <c r="D500" s="43" t="n">
        <f aca="false">IF(Funding!AP25="","",Funding!AP25)</f>
        <v>0</v>
      </c>
      <c r="E500" s="21" t="s">
        <v>4654</v>
      </c>
      <c r="M500" s="21" t="s">
        <v>5339</v>
      </c>
    </row>
    <row r="501" customFormat="false" ht="17.15" hidden="false" customHeight="false" outlineLevel="0" collapsed="false">
      <c r="A501" s="0" t="s">
        <v>5340</v>
      </c>
      <c r="B501" s="0" t="s">
        <v>1697</v>
      </c>
      <c r="C501" s="0" t="n">
        <v>2025</v>
      </c>
      <c r="D501" s="43" t="n">
        <f aca="false">IF(Funding!AQ25="","",Funding!AQ25)</f>
        <v>0</v>
      </c>
      <c r="E501" s="21" t="s">
        <v>4657</v>
      </c>
      <c r="M501" s="21" t="s">
        <v>5341</v>
      </c>
    </row>
    <row r="502" customFormat="false" ht="17.15" hidden="false" customHeight="false" outlineLevel="0" collapsed="false">
      <c r="A502" s="0" t="s">
        <v>5342</v>
      </c>
      <c r="B502" s="0" t="s">
        <v>1697</v>
      </c>
      <c r="C502" s="0" t="n">
        <v>2025</v>
      </c>
      <c r="D502" s="37" t="n">
        <f aca="false">IF(Funding!E25="","",Funding!E25)</f>
        <v>6.8</v>
      </c>
      <c r="E502" s="21" t="s">
        <v>2105</v>
      </c>
      <c r="M502" s="21" t="s">
        <v>5343</v>
      </c>
    </row>
    <row r="503" customFormat="false" ht="17.15" hidden="false" customHeight="false" outlineLevel="0" collapsed="false">
      <c r="A503" s="0" t="s">
        <v>5344</v>
      </c>
      <c r="B503" s="0" t="s">
        <v>1697</v>
      </c>
      <c r="C503" s="0" t="n">
        <v>2025</v>
      </c>
      <c r="D503" s="37" t="n">
        <f aca="false">IF(Funding!I25="","",Funding!I25)</f>
        <v>-13.9</v>
      </c>
      <c r="E503" s="21" t="s">
        <v>2111</v>
      </c>
      <c r="M503" s="21" t="s">
        <v>5345</v>
      </c>
    </row>
    <row r="504" customFormat="false" ht="17.15" hidden="false" customHeight="false" outlineLevel="0" collapsed="false">
      <c r="A504" s="0" t="s">
        <v>5346</v>
      </c>
      <c r="B504" s="0" t="s">
        <v>1697</v>
      </c>
      <c r="C504" s="0" t="n">
        <v>2025</v>
      </c>
      <c r="D504" s="37" t="str">
        <f aca="false">IF(Funding!O25="","",Funding!O25)</f>
        <v/>
      </c>
      <c r="E504" s="21" t="s">
        <v>4664</v>
      </c>
      <c r="M504" s="21" t="s">
        <v>5347</v>
      </c>
    </row>
    <row r="505" customFormat="false" ht="17.15" hidden="false" customHeight="false" outlineLevel="0" collapsed="false">
      <c r="A505" s="0" t="s">
        <v>5348</v>
      </c>
      <c r="B505" s="0" t="s">
        <v>1697</v>
      </c>
      <c r="C505" s="0" t="n">
        <v>2025</v>
      </c>
      <c r="D505" s="37" t="n">
        <f aca="false">N(Funding!J25)+N(Funding!K25)+N(Funding!L25)+N(Funding!M25)</f>
        <v>16</v>
      </c>
      <c r="E505" s="21" t="s">
        <v>4667</v>
      </c>
      <c r="M505" s="21" t="s">
        <v>5349</v>
      </c>
    </row>
    <row r="506" customFormat="false" ht="17.15" hidden="false" customHeight="false" outlineLevel="0" collapsed="false">
      <c r="A506" s="0" t="s">
        <v>5350</v>
      </c>
      <c r="B506" s="0" t="s">
        <v>1697</v>
      </c>
      <c r="C506" s="0" t="n">
        <v>2025</v>
      </c>
      <c r="D506" s="37" t="str">
        <f aca="false">IF(Funding!R25="","",Funding!R25)</f>
        <v/>
      </c>
      <c r="E506" s="21" t="s">
        <v>4670</v>
      </c>
      <c r="M506" s="21" t="s">
        <v>5351</v>
      </c>
    </row>
    <row r="507" customFormat="false" ht="17.15" hidden="false" customHeight="false" outlineLevel="0" collapsed="false">
      <c r="A507" s="0" t="s">
        <v>5352</v>
      </c>
      <c r="B507" s="0" t="s">
        <v>1697</v>
      </c>
      <c r="C507" s="0" t="n">
        <v>2026</v>
      </c>
      <c r="D507" s="37" t="n">
        <f aca="false">IF(Funding!W26="","",Funding!W26)</f>
        <v>28.5</v>
      </c>
      <c r="E507" s="21" t="s">
        <v>4624</v>
      </c>
      <c r="M507" s="21" t="s">
        <v>5353</v>
      </c>
    </row>
    <row r="508" customFormat="false" ht="17.15" hidden="false" customHeight="false" outlineLevel="0" collapsed="false">
      <c r="A508" s="0" t="s">
        <v>5354</v>
      </c>
      <c r="B508" s="0" t="s">
        <v>1697</v>
      </c>
      <c r="C508" s="0" t="n">
        <v>2026</v>
      </c>
      <c r="D508" s="43" t="n">
        <f aca="false">IF(Funding!AC26="","",Funding!AC26)</f>
        <v>0.121754385964912</v>
      </c>
      <c r="E508" s="21" t="s">
        <v>4627</v>
      </c>
      <c r="M508" s="21" t="s">
        <v>5355</v>
      </c>
    </row>
    <row r="509" customFormat="false" ht="17.15" hidden="false" customHeight="false" outlineLevel="0" collapsed="false">
      <c r="A509" s="0" t="s">
        <v>5356</v>
      </c>
      <c r="B509" s="0" t="s">
        <v>1697</v>
      </c>
      <c r="C509" s="0" t="n">
        <v>2026</v>
      </c>
      <c r="D509" s="43" t="n">
        <f aca="false">IF(Funding!AD26="","",Funding!AD26)</f>
        <v>0</v>
      </c>
      <c r="E509" s="21" t="s">
        <v>4630</v>
      </c>
      <c r="M509" s="21" t="s">
        <v>5357</v>
      </c>
    </row>
    <row r="510" customFormat="false" ht="17.15" hidden="false" customHeight="false" outlineLevel="0" collapsed="false">
      <c r="A510" s="0" t="s">
        <v>5358</v>
      </c>
      <c r="B510" s="0" t="s">
        <v>1697</v>
      </c>
      <c r="C510" s="0" t="n">
        <v>2026</v>
      </c>
      <c r="D510" s="43" t="n">
        <f aca="false">IF(Funding!AE26="","",Funding!AE26)</f>
        <v>0.878245614035088</v>
      </c>
      <c r="E510" s="21" t="s">
        <v>4633</v>
      </c>
      <c r="M510" s="21" t="s">
        <v>5359</v>
      </c>
    </row>
    <row r="511" customFormat="false" ht="17.15" hidden="false" customHeight="false" outlineLevel="0" collapsed="false">
      <c r="A511" s="0" t="s">
        <v>5360</v>
      </c>
      <c r="B511" s="0" t="s">
        <v>1697</v>
      </c>
      <c r="C511" s="0" t="n">
        <v>2026</v>
      </c>
      <c r="D511" s="43" t="n">
        <f aca="false">IF(Funding!AF26="","",Funding!AF26)</f>
        <v>0</v>
      </c>
      <c r="E511" s="21" t="s">
        <v>4636</v>
      </c>
      <c r="M511" s="21" t="s">
        <v>5361</v>
      </c>
    </row>
    <row r="512" customFormat="false" ht="17.15" hidden="false" customHeight="false" outlineLevel="0" collapsed="false">
      <c r="A512" s="0" t="s">
        <v>5362</v>
      </c>
      <c r="B512" s="0" t="s">
        <v>1697</v>
      </c>
      <c r="C512" s="0" t="n">
        <v>2026</v>
      </c>
      <c r="D512" s="43" t="n">
        <f aca="false">IF(Funding!AG26="","",Funding!AG26)</f>
        <v>0</v>
      </c>
      <c r="E512" s="21" t="s">
        <v>4639</v>
      </c>
      <c r="M512" s="21" t="s">
        <v>5363</v>
      </c>
    </row>
    <row r="513" customFormat="false" ht="17.15" hidden="false" customHeight="false" outlineLevel="0" collapsed="false">
      <c r="A513" s="0" t="s">
        <v>5364</v>
      </c>
      <c r="B513" s="0" t="s">
        <v>1697</v>
      </c>
      <c r="C513" s="0" t="n">
        <v>2026</v>
      </c>
      <c r="D513" s="37" t="n">
        <f aca="false">IF(Funding!AL26="","",Funding!AL26)</f>
        <v>100</v>
      </c>
      <c r="E513" s="21" t="s">
        <v>4642</v>
      </c>
      <c r="M513" s="21" t="s">
        <v>5365</v>
      </c>
    </row>
    <row r="514" customFormat="false" ht="17.15" hidden="false" customHeight="false" outlineLevel="0" collapsed="false">
      <c r="A514" s="0" t="s">
        <v>5366</v>
      </c>
      <c r="B514" s="0" t="s">
        <v>1697</v>
      </c>
      <c r="C514" s="0" t="n">
        <v>2026</v>
      </c>
      <c r="D514" s="43" t="n">
        <f aca="false">IF(Funding!AM26="","",Funding!AM26)</f>
        <v>3.50877192982456</v>
      </c>
      <c r="E514" s="21" t="s">
        <v>4645</v>
      </c>
      <c r="M514" s="21" t="s">
        <v>5367</v>
      </c>
    </row>
    <row r="515" customFormat="false" ht="17.15" hidden="false" customHeight="false" outlineLevel="0" collapsed="false">
      <c r="A515" s="0" t="s">
        <v>5368</v>
      </c>
      <c r="B515" s="0" t="s">
        <v>1697</v>
      </c>
      <c r="C515" s="0" t="n">
        <v>2026</v>
      </c>
      <c r="D515" s="43" t="n">
        <f aca="false">IF(Funding!AN26="","",Funding!AN26)</f>
        <v>0.121754385964912</v>
      </c>
      <c r="E515" s="21" t="s">
        <v>4648</v>
      </c>
      <c r="M515" s="21" t="s">
        <v>5369</v>
      </c>
    </row>
    <row r="516" customFormat="false" ht="17.15" hidden="false" customHeight="false" outlineLevel="0" collapsed="false">
      <c r="A516" s="0" t="s">
        <v>5370</v>
      </c>
      <c r="B516" s="0" t="s">
        <v>1697</v>
      </c>
      <c r="C516" s="0" t="n">
        <v>2026</v>
      </c>
      <c r="D516" s="43" t="n">
        <f aca="false">IF(Funding!AO26="","",Funding!AO26)</f>
        <v>0.87719298245614</v>
      </c>
      <c r="E516" s="21" t="s">
        <v>4651</v>
      </c>
      <c r="M516" s="21" t="s">
        <v>5371</v>
      </c>
    </row>
    <row r="517" customFormat="false" ht="17.15" hidden="false" customHeight="false" outlineLevel="0" collapsed="false">
      <c r="A517" s="0" t="s">
        <v>5372</v>
      </c>
      <c r="B517" s="0" t="s">
        <v>1697</v>
      </c>
      <c r="C517" s="0" t="n">
        <v>2026</v>
      </c>
      <c r="D517" s="43" t="n">
        <f aca="false">IF(Funding!AP26="","",Funding!AP26)</f>
        <v>2.63157894736842</v>
      </c>
      <c r="E517" s="21" t="s">
        <v>4654</v>
      </c>
      <c r="M517" s="21" t="s">
        <v>5373</v>
      </c>
    </row>
    <row r="518" customFormat="false" ht="17.15" hidden="false" customHeight="false" outlineLevel="0" collapsed="false">
      <c r="A518" s="0" t="s">
        <v>5374</v>
      </c>
      <c r="B518" s="0" t="s">
        <v>1697</v>
      </c>
      <c r="C518" s="0" t="n">
        <v>2026</v>
      </c>
      <c r="D518" s="43" t="n">
        <f aca="false">IF(Funding!AQ26="","",Funding!AQ26)</f>
        <v>0</v>
      </c>
      <c r="E518" s="21" t="s">
        <v>4657</v>
      </c>
      <c r="M518" s="21" t="s">
        <v>5375</v>
      </c>
    </row>
    <row r="519" customFormat="false" ht="17.15" hidden="false" customHeight="false" outlineLevel="0" collapsed="false">
      <c r="A519" s="0" t="s">
        <v>5376</v>
      </c>
      <c r="B519" s="0" t="s">
        <v>1697</v>
      </c>
      <c r="C519" s="0" t="n">
        <v>2026</v>
      </c>
      <c r="D519" s="37" t="n">
        <f aca="false">IF(Funding!E26="","",Funding!E26)</f>
        <v>3.47</v>
      </c>
      <c r="E519" s="21" t="s">
        <v>2105</v>
      </c>
      <c r="M519" s="21" t="s">
        <v>5377</v>
      </c>
    </row>
    <row r="520" customFormat="false" ht="17.15" hidden="false" customHeight="false" outlineLevel="0" collapsed="false">
      <c r="A520" s="0" t="s">
        <v>5378</v>
      </c>
      <c r="B520" s="0" t="s">
        <v>1697</v>
      </c>
      <c r="C520" s="0" t="n">
        <v>2026</v>
      </c>
      <c r="D520" s="37" t="str">
        <f aca="false">IF(Funding!I26="","",Funding!I26)</f>
        <v/>
      </c>
      <c r="E520" s="21" t="s">
        <v>2111</v>
      </c>
      <c r="M520" s="21" t="s">
        <v>5379</v>
      </c>
    </row>
    <row r="521" customFormat="false" ht="17.15" hidden="false" customHeight="false" outlineLevel="0" collapsed="false">
      <c r="A521" s="0" t="s">
        <v>5380</v>
      </c>
      <c r="B521" s="0" t="s">
        <v>1697</v>
      </c>
      <c r="C521" s="0" t="n">
        <v>2026</v>
      </c>
      <c r="D521" s="37" t="str">
        <f aca="false">IF(Funding!O26="","",Funding!O26)</f>
        <v/>
      </c>
      <c r="E521" s="21" t="s">
        <v>4664</v>
      </c>
      <c r="M521" s="21" t="s">
        <v>5381</v>
      </c>
    </row>
    <row r="522" customFormat="false" ht="17.15" hidden="false" customHeight="false" outlineLevel="0" collapsed="false">
      <c r="A522" s="0" t="s">
        <v>5382</v>
      </c>
      <c r="B522" s="0" t="s">
        <v>1697</v>
      </c>
      <c r="C522" s="0" t="n">
        <v>2026</v>
      </c>
      <c r="D522" s="37" t="n">
        <f aca="false">N(Funding!J26)+N(Funding!K26)+N(Funding!L26)+N(Funding!M26)</f>
        <v>25</v>
      </c>
      <c r="E522" s="21" t="s">
        <v>4667</v>
      </c>
      <c r="M522" s="21" t="s">
        <v>5383</v>
      </c>
    </row>
    <row r="523" customFormat="false" ht="17.15" hidden="false" customHeight="false" outlineLevel="0" collapsed="false">
      <c r="A523" s="0" t="s">
        <v>5384</v>
      </c>
      <c r="B523" s="0" t="s">
        <v>1697</v>
      </c>
      <c r="C523" s="0" t="n">
        <v>2026</v>
      </c>
      <c r="D523" s="37" t="n">
        <f aca="false">IF(Funding!R26="","",Funding!R26)</f>
        <v>75</v>
      </c>
      <c r="E523" s="21" t="s">
        <v>4670</v>
      </c>
      <c r="M523" s="21" t="s">
        <v>5385</v>
      </c>
    </row>
    <row r="524" customFormat="false" ht="17.15" hidden="false" customHeight="false" outlineLevel="0" collapsed="false">
      <c r="A524" s="0" t="s">
        <v>5386</v>
      </c>
      <c r="B524" s="0" t="s">
        <v>1698</v>
      </c>
      <c r="C524" s="0" t="n">
        <v>2025</v>
      </c>
      <c r="D524" s="37" t="str">
        <f aca="false">IF(Funding!W27="","",Funding!W27)</f>
        <v/>
      </c>
      <c r="E524" s="21" t="s">
        <v>4624</v>
      </c>
      <c r="M524" s="21" t="s">
        <v>5387</v>
      </c>
    </row>
    <row r="525" customFormat="false" ht="17.15" hidden="false" customHeight="false" outlineLevel="0" collapsed="false">
      <c r="A525" s="0" t="s">
        <v>5388</v>
      </c>
      <c r="B525" s="0" t="s">
        <v>1698</v>
      </c>
      <c r="C525" s="0" t="n">
        <v>2025</v>
      </c>
      <c r="D525" s="43" t="str">
        <f aca="false">IF(Funding!AC27="","",Funding!AC27)</f>
        <v/>
      </c>
      <c r="E525" s="21" t="s">
        <v>4627</v>
      </c>
      <c r="M525" s="21" t="s">
        <v>5389</v>
      </c>
    </row>
    <row r="526" customFormat="false" ht="17.15" hidden="false" customHeight="false" outlineLevel="0" collapsed="false">
      <c r="A526" s="0" t="s">
        <v>5390</v>
      </c>
      <c r="B526" s="0" t="s">
        <v>1698</v>
      </c>
      <c r="C526" s="0" t="n">
        <v>2025</v>
      </c>
      <c r="D526" s="43" t="str">
        <f aca="false">IF(Funding!AD27="","",Funding!AD27)</f>
        <v/>
      </c>
      <c r="E526" s="21" t="s">
        <v>4630</v>
      </c>
      <c r="M526" s="21" t="s">
        <v>5391</v>
      </c>
    </row>
    <row r="527" customFormat="false" ht="17.15" hidden="false" customHeight="false" outlineLevel="0" collapsed="false">
      <c r="A527" s="0" t="s">
        <v>5392</v>
      </c>
      <c r="B527" s="0" t="s">
        <v>1698</v>
      </c>
      <c r="C527" s="0" t="n">
        <v>2025</v>
      </c>
      <c r="D527" s="43" t="str">
        <f aca="false">IF(Funding!AE27="","",Funding!AE27)</f>
        <v/>
      </c>
      <c r="E527" s="21" t="s">
        <v>4633</v>
      </c>
      <c r="M527" s="21" t="s">
        <v>5393</v>
      </c>
    </row>
    <row r="528" customFormat="false" ht="17.15" hidden="false" customHeight="false" outlineLevel="0" collapsed="false">
      <c r="A528" s="0" t="s">
        <v>5394</v>
      </c>
      <c r="B528" s="0" t="s">
        <v>1698</v>
      </c>
      <c r="C528" s="0" t="n">
        <v>2025</v>
      </c>
      <c r="D528" s="43" t="str">
        <f aca="false">IF(Funding!AF27="","",Funding!AF27)</f>
        <v/>
      </c>
      <c r="E528" s="21" t="s">
        <v>4636</v>
      </c>
      <c r="M528" s="21" t="s">
        <v>5395</v>
      </c>
    </row>
    <row r="529" customFormat="false" ht="17.15" hidden="false" customHeight="false" outlineLevel="0" collapsed="false">
      <c r="A529" s="0" t="s">
        <v>5396</v>
      </c>
      <c r="B529" s="0" t="s">
        <v>1698</v>
      </c>
      <c r="C529" s="0" t="n">
        <v>2025</v>
      </c>
      <c r="D529" s="43" t="str">
        <f aca="false">IF(Funding!AG27="","",Funding!AG27)</f>
        <v/>
      </c>
      <c r="E529" s="21" t="s">
        <v>4639</v>
      </c>
      <c r="M529" s="21" t="s">
        <v>5397</v>
      </c>
    </row>
    <row r="530" customFormat="false" ht="17.15" hidden="false" customHeight="false" outlineLevel="0" collapsed="false">
      <c r="A530" s="0" t="s">
        <v>5398</v>
      </c>
      <c r="B530" s="0" t="s">
        <v>1698</v>
      </c>
      <c r="C530" s="0" t="n">
        <v>2025</v>
      </c>
      <c r="D530" s="37" t="n">
        <f aca="false">IF(Funding!AL27="","",Funding!AL27)</f>
        <v>0</v>
      </c>
      <c r="E530" s="21" t="s">
        <v>4642</v>
      </c>
      <c r="M530" s="21" t="s">
        <v>5399</v>
      </c>
    </row>
    <row r="531" customFormat="false" ht="17.15" hidden="false" customHeight="false" outlineLevel="0" collapsed="false">
      <c r="A531" s="0" t="s">
        <v>5400</v>
      </c>
      <c r="B531" s="0" t="s">
        <v>1698</v>
      </c>
      <c r="C531" s="0" t="n">
        <v>2025</v>
      </c>
      <c r="D531" s="43" t="str">
        <f aca="false">IF(Funding!AM27="","",Funding!AM27)</f>
        <v/>
      </c>
      <c r="E531" s="21" t="s">
        <v>4645</v>
      </c>
      <c r="M531" s="21" t="s">
        <v>5401</v>
      </c>
    </row>
    <row r="532" customFormat="false" ht="17.15" hidden="false" customHeight="false" outlineLevel="0" collapsed="false">
      <c r="A532" s="0" t="s">
        <v>5402</v>
      </c>
      <c r="B532" s="0" t="s">
        <v>1698</v>
      </c>
      <c r="C532" s="0" t="n">
        <v>2025</v>
      </c>
      <c r="D532" s="43" t="str">
        <f aca="false">IF(Funding!AN27="","",Funding!AN27)</f>
        <v/>
      </c>
      <c r="E532" s="21" t="s">
        <v>4648</v>
      </c>
      <c r="M532" s="21" t="s">
        <v>5403</v>
      </c>
    </row>
    <row r="533" customFormat="false" ht="17.15" hidden="false" customHeight="false" outlineLevel="0" collapsed="false">
      <c r="A533" s="0" t="s">
        <v>5404</v>
      </c>
      <c r="B533" s="0" t="s">
        <v>1698</v>
      </c>
      <c r="C533" s="0" t="n">
        <v>2025</v>
      </c>
      <c r="D533" s="43" t="str">
        <f aca="false">IF(Funding!AO27="","",Funding!AO27)</f>
        <v/>
      </c>
      <c r="E533" s="21" t="s">
        <v>4651</v>
      </c>
      <c r="M533" s="21" t="s">
        <v>5405</v>
      </c>
    </row>
    <row r="534" customFormat="false" ht="17.15" hidden="false" customHeight="false" outlineLevel="0" collapsed="false">
      <c r="A534" s="0" t="s">
        <v>5406</v>
      </c>
      <c r="B534" s="0" t="s">
        <v>1698</v>
      </c>
      <c r="C534" s="0" t="n">
        <v>2025</v>
      </c>
      <c r="D534" s="43" t="str">
        <f aca="false">IF(Funding!AP27="","",Funding!AP27)</f>
        <v/>
      </c>
      <c r="E534" s="21" t="s">
        <v>4654</v>
      </c>
      <c r="M534" s="21" t="s">
        <v>5407</v>
      </c>
    </row>
    <row r="535" customFormat="false" ht="17.15" hidden="false" customHeight="false" outlineLevel="0" collapsed="false">
      <c r="A535" s="0" t="s">
        <v>5408</v>
      </c>
      <c r="B535" s="0" t="s">
        <v>1698</v>
      </c>
      <c r="C535" s="0" t="n">
        <v>2025</v>
      </c>
      <c r="D535" s="43" t="str">
        <f aca="false">IF(Funding!AQ27="","",Funding!AQ27)</f>
        <v/>
      </c>
      <c r="E535" s="21" t="s">
        <v>4657</v>
      </c>
      <c r="M535" s="21" t="s">
        <v>5409</v>
      </c>
    </row>
    <row r="536" customFormat="false" ht="17.15" hidden="false" customHeight="false" outlineLevel="0" collapsed="false">
      <c r="A536" s="0" t="s">
        <v>5410</v>
      </c>
      <c r="B536" s="0" t="s">
        <v>1698</v>
      </c>
      <c r="C536" s="0" t="n">
        <v>2025</v>
      </c>
      <c r="D536" s="37" t="str">
        <f aca="false">IF(Funding!E27="","",Funding!E27)</f>
        <v/>
      </c>
      <c r="E536" s="21" t="s">
        <v>2105</v>
      </c>
      <c r="M536" s="21" t="s">
        <v>5411</v>
      </c>
    </row>
    <row r="537" customFormat="false" ht="17.15" hidden="false" customHeight="false" outlineLevel="0" collapsed="false">
      <c r="A537" s="0" t="s">
        <v>5412</v>
      </c>
      <c r="B537" s="0" t="s">
        <v>1698</v>
      </c>
      <c r="C537" s="0" t="n">
        <v>2025</v>
      </c>
      <c r="D537" s="37" t="n">
        <f aca="false">IF(Funding!I27="","",Funding!I27)</f>
        <v>-8</v>
      </c>
      <c r="E537" s="21" t="s">
        <v>2111</v>
      </c>
      <c r="M537" s="21" t="s">
        <v>5413</v>
      </c>
    </row>
    <row r="538" customFormat="false" ht="17.15" hidden="false" customHeight="false" outlineLevel="0" collapsed="false">
      <c r="A538" s="0" t="s">
        <v>5414</v>
      </c>
      <c r="B538" s="0" t="s">
        <v>1698</v>
      </c>
      <c r="C538" s="0" t="n">
        <v>2025</v>
      </c>
      <c r="D538" s="37" t="str">
        <f aca="false">IF(Funding!O27="","",Funding!O27)</f>
        <v/>
      </c>
      <c r="E538" s="21" t="s">
        <v>4664</v>
      </c>
      <c r="M538" s="21" t="s">
        <v>5415</v>
      </c>
    </row>
    <row r="539" customFormat="false" ht="17.15" hidden="false" customHeight="false" outlineLevel="0" collapsed="false">
      <c r="A539" s="0" t="s">
        <v>5416</v>
      </c>
      <c r="B539" s="0" t="s">
        <v>1698</v>
      </c>
      <c r="C539" s="0" t="n">
        <v>2025</v>
      </c>
      <c r="D539" s="37" t="n">
        <f aca="false">N(Funding!J27)+N(Funding!K27)+N(Funding!L27)+N(Funding!M27)</f>
        <v>0</v>
      </c>
      <c r="E539" s="21" t="s">
        <v>4667</v>
      </c>
      <c r="M539" s="21" t="s">
        <v>5417</v>
      </c>
    </row>
    <row r="540" customFormat="false" ht="17.15" hidden="false" customHeight="false" outlineLevel="0" collapsed="false">
      <c r="A540" s="0" t="s">
        <v>5418</v>
      </c>
      <c r="B540" s="0" t="s">
        <v>1698</v>
      </c>
      <c r="C540" s="0" t="n">
        <v>2025</v>
      </c>
      <c r="D540" s="37" t="str">
        <f aca="false">IF(Funding!R27="","",Funding!R27)</f>
        <v/>
      </c>
      <c r="E540" s="21" t="s">
        <v>4670</v>
      </c>
      <c r="M540" s="21" t="s">
        <v>5419</v>
      </c>
    </row>
    <row r="541" customFormat="false" ht="17.15" hidden="false" customHeight="false" outlineLevel="0" collapsed="false">
      <c r="A541" s="0" t="s">
        <v>5420</v>
      </c>
      <c r="B541" s="0" t="s">
        <v>1698</v>
      </c>
      <c r="C541" s="0" t="n">
        <v>2026</v>
      </c>
      <c r="D541" s="37" t="str">
        <f aca="false">IF(Funding!W28="","",Funding!W28)</f>
        <v/>
      </c>
      <c r="E541" s="21" t="s">
        <v>4624</v>
      </c>
      <c r="M541" s="21" t="s">
        <v>5421</v>
      </c>
    </row>
    <row r="542" customFormat="false" ht="17.15" hidden="false" customHeight="false" outlineLevel="0" collapsed="false">
      <c r="A542" s="0" t="s">
        <v>5422</v>
      </c>
      <c r="B542" s="0" t="s">
        <v>1698</v>
      </c>
      <c r="C542" s="0" t="n">
        <v>2026</v>
      </c>
      <c r="D542" s="43" t="str">
        <f aca="false">IF(Funding!AC28="","",Funding!AC28)</f>
        <v/>
      </c>
      <c r="E542" s="21" t="s">
        <v>4627</v>
      </c>
      <c r="M542" s="21" t="s">
        <v>5423</v>
      </c>
    </row>
    <row r="543" customFormat="false" ht="17.15" hidden="false" customHeight="false" outlineLevel="0" collapsed="false">
      <c r="A543" s="0" t="s">
        <v>5424</v>
      </c>
      <c r="B543" s="0" t="s">
        <v>1698</v>
      </c>
      <c r="C543" s="0" t="n">
        <v>2026</v>
      </c>
      <c r="D543" s="43" t="str">
        <f aca="false">IF(Funding!AD28="","",Funding!AD28)</f>
        <v/>
      </c>
      <c r="E543" s="21" t="s">
        <v>4630</v>
      </c>
      <c r="M543" s="21" t="s">
        <v>5425</v>
      </c>
    </row>
    <row r="544" customFormat="false" ht="17.15" hidden="false" customHeight="false" outlineLevel="0" collapsed="false">
      <c r="A544" s="0" t="s">
        <v>5426</v>
      </c>
      <c r="B544" s="0" t="s">
        <v>1698</v>
      </c>
      <c r="C544" s="0" t="n">
        <v>2026</v>
      </c>
      <c r="D544" s="43" t="str">
        <f aca="false">IF(Funding!AE28="","",Funding!AE28)</f>
        <v/>
      </c>
      <c r="E544" s="21" t="s">
        <v>4633</v>
      </c>
      <c r="M544" s="21" t="s">
        <v>5427</v>
      </c>
    </row>
    <row r="545" customFormat="false" ht="17.15" hidden="false" customHeight="false" outlineLevel="0" collapsed="false">
      <c r="A545" s="0" t="s">
        <v>5428</v>
      </c>
      <c r="B545" s="0" t="s">
        <v>1698</v>
      </c>
      <c r="C545" s="0" t="n">
        <v>2026</v>
      </c>
      <c r="D545" s="43" t="str">
        <f aca="false">IF(Funding!AF28="","",Funding!AF28)</f>
        <v/>
      </c>
      <c r="E545" s="21" t="s">
        <v>4636</v>
      </c>
      <c r="M545" s="21" t="s">
        <v>5429</v>
      </c>
    </row>
    <row r="546" customFormat="false" ht="17.15" hidden="false" customHeight="false" outlineLevel="0" collapsed="false">
      <c r="A546" s="0" t="s">
        <v>5430</v>
      </c>
      <c r="B546" s="0" t="s">
        <v>1698</v>
      </c>
      <c r="C546" s="0" t="n">
        <v>2026</v>
      </c>
      <c r="D546" s="43" t="str">
        <f aca="false">IF(Funding!AG28="","",Funding!AG28)</f>
        <v/>
      </c>
      <c r="E546" s="21" t="s">
        <v>4639</v>
      </c>
      <c r="M546" s="21" t="s">
        <v>5431</v>
      </c>
    </row>
    <row r="547" customFormat="false" ht="17.15" hidden="false" customHeight="false" outlineLevel="0" collapsed="false">
      <c r="A547" s="0" t="s">
        <v>5432</v>
      </c>
      <c r="B547" s="0" t="s">
        <v>1698</v>
      </c>
      <c r="C547" s="0" t="n">
        <v>2026</v>
      </c>
      <c r="D547" s="37" t="n">
        <f aca="false">IF(Funding!AL28="","",Funding!AL28)</f>
        <v>227</v>
      </c>
      <c r="E547" s="21" t="s">
        <v>4642</v>
      </c>
      <c r="M547" s="21" t="s">
        <v>5433</v>
      </c>
    </row>
    <row r="548" customFormat="false" ht="17.15" hidden="false" customHeight="false" outlineLevel="0" collapsed="false">
      <c r="A548" s="0" t="s">
        <v>5434</v>
      </c>
      <c r="B548" s="0" t="s">
        <v>1698</v>
      </c>
      <c r="C548" s="0" t="n">
        <v>2026</v>
      </c>
      <c r="D548" s="43" t="str">
        <f aca="false">IF(Funding!AM28="","",Funding!AM28)</f>
        <v/>
      </c>
      <c r="E548" s="21" t="s">
        <v>4645</v>
      </c>
      <c r="M548" s="21" t="s">
        <v>5435</v>
      </c>
    </row>
    <row r="549" customFormat="false" ht="17.15" hidden="false" customHeight="false" outlineLevel="0" collapsed="false">
      <c r="A549" s="0" t="s">
        <v>5436</v>
      </c>
      <c r="B549" s="0" t="s">
        <v>1698</v>
      </c>
      <c r="C549" s="0" t="n">
        <v>2026</v>
      </c>
      <c r="D549" s="43" t="str">
        <f aca="false">IF(Funding!AN28="","",Funding!AN28)</f>
        <v/>
      </c>
      <c r="E549" s="21" t="s">
        <v>4648</v>
      </c>
      <c r="M549" s="21" t="s">
        <v>5437</v>
      </c>
    </row>
    <row r="550" customFormat="false" ht="17.15" hidden="false" customHeight="false" outlineLevel="0" collapsed="false">
      <c r="A550" s="0" t="s">
        <v>5438</v>
      </c>
      <c r="B550" s="0" t="s">
        <v>1698</v>
      </c>
      <c r="C550" s="0" t="n">
        <v>2026</v>
      </c>
      <c r="D550" s="43" t="str">
        <f aca="false">IF(Funding!AO28="","",Funding!AO28)</f>
        <v/>
      </c>
      <c r="E550" s="21" t="s">
        <v>4651</v>
      </c>
      <c r="M550" s="21" t="s">
        <v>5439</v>
      </c>
    </row>
    <row r="551" customFormat="false" ht="17.15" hidden="false" customHeight="false" outlineLevel="0" collapsed="false">
      <c r="A551" s="0" t="s">
        <v>5440</v>
      </c>
      <c r="B551" s="0" t="s">
        <v>1698</v>
      </c>
      <c r="C551" s="0" t="n">
        <v>2026</v>
      </c>
      <c r="D551" s="43" t="str">
        <f aca="false">IF(Funding!AP28="","",Funding!AP28)</f>
        <v/>
      </c>
      <c r="E551" s="21" t="s">
        <v>4654</v>
      </c>
      <c r="M551" s="21" t="s">
        <v>5441</v>
      </c>
    </row>
    <row r="552" customFormat="false" ht="17.15" hidden="false" customHeight="false" outlineLevel="0" collapsed="false">
      <c r="A552" s="0" t="s">
        <v>5442</v>
      </c>
      <c r="B552" s="0" t="s">
        <v>1698</v>
      </c>
      <c r="C552" s="0" t="n">
        <v>2026</v>
      </c>
      <c r="D552" s="43" t="str">
        <f aca="false">IF(Funding!AQ28="","",Funding!AQ28)</f>
        <v/>
      </c>
      <c r="E552" s="21" t="s">
        <v>4657</v>
      </c>
      <c r="M552" s="21" t="s">
        <v>5443</v>
      </c>
    </row>
    <row r="553" customFormat="false" ht="17.15" hidden="false" customHeight="false" outlineLevel="0" collapsed="false">
      <c r="A553" s="0" t="s">
        <v>5444</v>
      </c>
      <c r="B553" s="0" t="s">
        <v>1698</v>
      </c>
      <c r="C553" s="0" t="n">
        <v>2026</v>
      </c>
      <c r="D553" s="37" t="str">
        <f aca="false">IF(Funding!E28="","",Funding!E28)</f>
        <v/>
      </c>
      <c r="E553" s="21" t="s">
        <v>2105</v>
      </c>
      <c r="M553" s="21" t="s">
        <v>5445</v>
      </c>
    </row>
    <row r="554" customFormat="false" ht="17.15" hidden="false" customHeight="false" outlineLevel="0" collapsed="false">
      <c r="A554" s="0" t="s">
        <v>5446</v>
      </c>
      <c r="B554" s="0" t="s">
        <v>1698</v>
      </c>
      <c r="C554" s="0" t="n">
        <v>2026</v>
      </c>
      <c r="D554" s="37" t="str">
        <f aca="false">IF(Funding!I28="","",Funding!I28)</f>
        <v/>
      </c>
      <c r="E554" s="21" t="s">
        <v>2111</v>
      </c>
      <c r="M554" s="21" t="s">
        <v>5447</v>
      </c>
    </row>
    <row r="555" customFormat="false" ht="17.15" hidden="false" customHeight="false" outlineLevel="0" collapsed="false">
      <c r="A555" s="0" t="s">
        <v>5448</v>
      </c>
      <c r="B555" s="0" t="s">
        <v>1698</v>
      </c>
      <c r="C555" s="0" t="n">
        <v>2026</v>
      </c>
      <c r="D555" s="37" t="str">
        <f aca="false">IF(Funding!O28="","",Funding!O28)</f>
        <v/>
      </c>
      <c r="E555" s="21" t="s">
        <v>4664</v>
      </c>
      <c r="M555" s="21" t="s">
        <v>5449</v>
      </c>
    </row>
    <row r="556" customFormat="false" ht="17.15" hidden="false" customHeight="false" outlineLevel="0" collapsed="false">
      <c r="A556" s="0" t="s">
        <v>5450</v>
      </c>
      <c r="B556" s="0" t="s">
        <v>1698</v>
      </c>
      <c r="C556" s="0" t="n">
        <v>2026</v>
      </c>
      <c r="D556" s="37" t="n">
        <f aca="false">N(Funding!J28)+N(Funding!K28)+N(Funding!L28)+N(Funding!M28)</f>
        <v>0</v>
      </c>
      <c r="E556" s="21" t="s">
        <v>4667</v>
      </c>
      <c r="M556" s="21" t="s">
        <v>5451</v>
      </c>
    </row>
    <row r="557" customFormat="false" ht="17.15" hidden="false" customHeight="false" outlineLevel="0" collapsed="false">
      <c r="A557" s="0" t="s">
        <v>5452</v>
      </c>
      <c r="B557" s="0" t="s">
        <v>1698</v>
      </c>
      <c r="C557" s="0" t="n">
        <v>2026</v>
      </c>
      <c r="D557" s="37" t="n">
        <f aca="false">IF(Funding!R28="","",Funding!R28)</f>
        <v>122</v>
      </c>
      <c r="E557" s="21" t="s">
        <v>4670</v>
      </c>
      <c r="M557" s="21" t="s">
        <v>5453</v>
      </c>
    </row>
    <row r="558" customFormat="false" ht="17.15" hidden="false" customHeight="false" outlineLevel="0" collapsed="false">
      <c r="A558" s="0" t="s">
        <v>5454</v>
      </c>
      <c r="B558" s="0" t="s">
        <v>1699</v>
      </c>
      <c r="C558" s="0" t="n">
        <v>2025</v>
      </c>
      <c r="D558" s="37" t="str">
        <f aca="false">IF(Funding!W29="","",Funding!W29)</f>
        <v/>
      </c>
      <c r="E558" s="21" t="s">
        <v>4624</v>
      </c>
      <c r="M558" s="21" t="s">
        <v>5455</v>
      </c>
    </row>
    <row r="559" customFormat="false" ht="17.15" hidden="false" customHeight="false" outlineLevel="0" collapsed="false">
      <c r="A559" s="0" t="s">
        <v>5456</v>
      </c>
      <c r="B559" s="0" t="s">
        <v>1699</v>
      </c>
      <c r="C559" s="0" t="n">
        <v>2025</v>
      </c>
      <c r="D559" s="43" t="str">
        <f aca="false">IF(Funding!AC29="","",Funding!AC29)</f>
        <v/>
      </c>
      <c r="E559" s="21" t="s">
        <v>4627</v>
      </c>
      <c r="M559" s="21" t="s">
        <v>5457</v>
      </c>
    </row>
    <row r="560" customFormat="false" ht="17.15" hidden="false" customHeight="false" outlineLevel="0" collapsed="false">
      <c r="A560" s="0" t="s">
        <v>5458</v>
      </c>
      <c r="B560" s="0" t="s">
        <v>1699</v>
      </c>
      <c r="C560" s="0" t="n">
        <v>2025</v>
      </c>
      <c r="D560" s="43" t="str">
        <f aca="false">IF(Funding!AD29="","",Funding!AD29)</f>
        <v/>
      </c>
      <c r="E560" s="21" t="s">
        <v>4630</v>
      </c>
      <c r="M560" s="21" t="s">
        <v>5459</v>
      </c>
    </row>
    <row r="561" customFormat="false" ht="17.15" hidden="false" customHeight="false" outlineLevel="0" collapsed="false">
      <c r="A561" s="0" t="s">
        <v>5460</v>
      </c>
      <c r="B561" s="0" t="s">
        <v>1699</v>
      </c>
      <c r="C561" s="0" t="n">
        <v>2025</v>
      </c>
      <c r="D561" s="43" t="str">
        <f aca="false">IF(Funding!AE29="","",Funding!AE29)</f>
        <v/>
      </c>
      <c r="E561" s="21" t="s">
        <v>4633</v>
      </c>
      <c r="M561" s="21" t="s">
        <v>5461</v>
      </c>
    </row>
    <row r="562" customFormat="false" ht="17.15" hidden="false" customHeight="false" outlineLevel="0" collapsed="false">
      <c r="A562" s="0" t="s">
        <v>5462</v>
      </c>
      <c r="B562" s="0" t="s">
        <v>1699</v>
      </c>
      <c r="C562" s="0" t="n">
        <v>2025</v>
      </c>
      <c r="D562" s="43" t="str">
        <f aca="false">IF(Funding!AF29="","",Funding!AF29)</f>
        <v/>
      </c>
      <c r="E562" s="21" t="s">
        <v>4636</v>
      </c>
      <c r="M562" s="21" t="s">
        <v>5463</v>
      </c>
    </row>
    <row r="563" customFormat="false" ht="17.15" hidden="false" customHeight="false" outlineLevel="0" collapsed="false">
      <c r="A563" s="0" t="s">
        <v>5464</v>
      </c>
      <c r="B563" s="0" t="s">
        <v>1699</v>
      </c>
      <c r="C563" s="0" t="n">
        <v>2025</v>
      </c>
      <c r="D563" s="43" t="str">
        <f aca="false">IF(Funding!AG29="","",Funding!AG29)</f>
        <v/>
      </c>
      <c r="E563" s="21" t="s">
        <v>4639</v>
      </c>
      <c r="M563" s="21" t="s">
        <v>5465</v>
      </c>
    </row>
    <row r="564" customFormat="false" ht="17.15" hidden="false" customHeight="false" outlineLevel="0" collapsed="false">
      <c r="A564" s="0" t="s">
        <v>5466</v>
      </c>
      <c r="B564" s="0" t="s">
        <v>1699</v>
      </c>
      <c r="C564" s="0" t="n">
        <v>2025</v>
      </c>
      <c r="D564" s="37" t="n">
        <f aca="false">IF(Funding!AL29="","",Funding!AL29)</f>
        <v>0</v>
      </c>
      <c r="E564" s="21" t="s">
        <v>4642</v>
      </c>
      <c r="M564" s="21" t="s">
        <v>5467</v>
      </c>
    </row>
    <row r="565" customFormat="false" ht="17.15" hidden="false" customHeight="false" outlineLevel="0" collapsed="false">
      <c r="A565" s="0" t="s">
        <v>5468</v>
      </c>
      <c r="B565" s="0" t="s">
        <v>1699</v>
      </c>
      <c r="C565" s="0" t="n">
        <v>2025</v>
      </c>
      <c r="D565" s="43" t="str">
        <f aca="false">IF(Funding!AM29="","",Funding!AM29)</f>
        <v/>
      </c>
      <c r="E565" s="21" t="s">
        <v>4645</v>
      </c>
      <c r="M565" s="21" t="s">
        <v>5469</v>
      </c>
    </row>
    <row r="566" customFormat="false" ht="17.15" hidden="false" customHeight="false" outlineLevel="0" collapsed="false">
      <c r="A566" s="0" t="s">
        <v>5470</v>
      </c>
      <c r="B566" s="0" t="s">
        <v>1699</v>
      </c>
      <c r="C566" s="0" t="n">
        <v>2025</v>
      </c>
      <c r="D566" s="43" t="str">
        <f aca="false">IF(Funding!AN29="","",Funding!AN29)</f>
        <v/>
      </c>
      <c r="E566" s="21" t="s">
        <v>4648</v>
      </c>
      <c r="M566" s="21" t="s">
        <v>5471</v>
      </c>
    </row>
    <row r="567" customFormat="false" ht="17.15" hidden="false" customHeight="false" outlineLevel="0" collapsed="false">
      <c r="A567" s="0" t="s">
        <v>5472</v>
      </c>
      <c r="B567" s="0" t="s">
        <v>1699</v>
      </c>
      <c r="C567" s="0" t="n">
        <v>2025</v>
      </c>
      <c r="D567" s="43" t="str">
        <f aca="false">IF(Funding!AO29="","",Funding!AO29)</f>
        <v/>
      </c>
      <c r="E567" s="21" t="s">
        <v>4651</v>
      </c>
      <c r="M567" s="21" t="s">
        <v>5473</v>
      </c>
    </row>
    <row r="568" customFormat="false" ht="17.15" hidden="false" customHeight="false" outlineLevel="0" collapsed="false">
      <c r="A568" s="0" t="s">
        <v>5474</v>
      </c>
      <c r="B568" s="0" t="s">
        <v>1699</v>
      </c>
      <c r="C568" s="0" t="n">
        <v>2025</v>
      </c>
      <c r="D568" s="43" t="str">
        <f aca="false">IF(Funding!AP29="","",Funding!AP29)</f>
        <v/>
      </c>
      <c r="E568" s="21" t="s">
        <v>4654</v>
      </c>
      <c r="M568" s="21" t="s">
        <v>5475</v>
      </c>
    </row>
    <row r="569" customFormat="false" ht="17.15" hidden="false" customHeight="false" outlineLevel="0" collapsed="false">
      <c r="A569" s="0" t="s">
        <v>5476</v>
      </c>
      <c r="B569" s="0" t="s">
        <v>1699</v>
      </c>
      <c r="C569" s="0" t="n">
        <v>2025</v>
      </c>
      <c r="D569" s="43" t="str">
        <f aca="false">IF(Funding!AQ29="","",Funding!AQ29)</f>
        <v/>
      </c>
      <c r="E569" s="21" t="s">
        <v>4657</v>
      </c>
      <c r="M569" s="21" t="s">
        <v>5477</v>
      </c>
    </row>
    <row r="570" customFormat="false" ht="17.15" hidden="false" customHeight="false" outlineLevel="0" collapsed="false">
      <c r="A570" s="0" t="s">
        <v>5478</v>
      </c>
      <c r="B570" s="0" t="s">
        <v>1699</v>
      </c>
      <c r="C570" s="0" t="n">
        <v>2025</v>
      </c>
      <c r="D570" s="37" t="str">
        <f aca="false">IF(Funding!E29="","",Funding!E29)</f>
        <v/>
      </c>
      <c r="E570" s="21" t="s">
        <v>2105</v>
      </c>
      <c r="M570" s="21" t="s">
        <v>5479</v>
      </c>
    </row>
    <row r="571" customFormat="false" ht="17.15" hidden="false" customHeight="false" outlineLevel="0" collapsed="false">
      <c r="A571" s="0" t="s">
        <v>5480</v>
      </c>
      <c r="B571" s="0" t="s">
        <v>1699</v>
      </c>
      <c r="C571" s="0" t="n">
        <v>2025</v>
      </c>
      <c r="D571" s="37" t="str">
        <f aca="false">IF(Funding!I29="","",Funding!I29)</f>
        <v/>
      </c>
      <c r="E571" s="21" t="s">
        <v>2111</v>
      </c>
      <c r="M571" s="21" t="s">
        <v>5481</v>
      </c>
    </row>
    <row r="572" customFormat="false" ht="17.15" hidden="false" customHeight="false" outlineLevel="0" collapsed="false">
      <c r="A572" s="0" t="s">
        <v>5482</v>
      </c>
      <c r="B572" s="0" t="s">
        <v>1699</v>
      </c>
      <c r="C572" s="0" t="n">
        <v>2025</v>
      </c>
      <c r="D572" s="37" t="str">
        <f aca="false">IF(Funding!O29="","",Funding!O29)</f>
        <v/>
      </c>
      <c r="E572" s="21" t="s">
        <v>4664</v>
      </c>
      <c r="M572" s="21" t="s">
        <v>5483</v>
      </c>
    </row>
    <row r="573" customFormat="false" ht="17.15" hidden="false" customHeight="false" outlineLevel="0" collapsed="false">
      <c r="A573" s="0" t="s">
        <v>5484</v>
      </c>
      <c r="B573" s="0" t="s">
        <v>1699</v>
      </c>
      <c r="C573" s="0" t="n">
        <v>2025</v>
      </c>
      <c r="D573" s="37" t="n">
        <f aca="false">N(Funding!J29)+N(Funding!K29)+N(Funding!L29)+N(Funding!M29)</f>
        <v>0</v>
      </c>
      <c r="E573" s="21" t="s">
        <v>4667</v>
      </c>
      <c r="M573" s="21" t="s">
        <v>5485</v>
      </c>
    </row>
    <row r="574" customFormat="false" ht="17.15" hidden="false" customHeight="false" outlineLevel="0" collapsed="false">
      <c r="A574" s="0" t="s">
        <v>5486</v>
      </c>
      <c r="B574" s="0" t="s">
        <v>1699</v>
      </c>
      <c r="C574" s="0" t="n">
        <v>2025</v>
      </c>
      <c r="D574" s="37" t="str">
        <f aca="false">IF(Funding!R29="","",Funding!R29)</f>
        <v/>
      </c>
      <c r="E574" s="21" t="s">
        <v>4670</v>
      </c>
      <c r="M574" s="21" t="s">
        <v>5487</v>
      </c>
    </row>
    <row r="575" customFormat="false" ht="17.15" hidden="false" customHeight="false" outlineLevel="0" collapsed="false">
      <c r="A575" s="0" t="s">
        <v>5488</v>
      </c>
      <c r="B575" s="0" t="s">
        <v>1699</v>
      </c>
      <c r="C575" s="0" t="n">
        <v>2026</v>
      </c>
      <c r="D575" s="37" t="str">
        <f aca="false">IF(Funding!W30="","",Funding!W30)</f>
        <v/>
      </c>
      <c r="E575" s="21" t="s">
        <v>4624</v>
      </c>
      <c r="M575" s="21" t="s">
        <v>5489</v>
      </c>
    </row>
    <row r="576" customFormat="false" ht="17.15" hidden="false" customHeight="false" outlineLevel="0" collapsed="false">
      <c r="A576" s="0" t="s">
        <v>5490</v>
      </c>
      <c r="B576" s="0" t="s">
        <v>1699</v>
      </c>
      <c r="C576" s="0" t="n">
        <v>2026</v>
      </c>
      <c r="D576" s="43" t="str">
        <f aca="false">IF(Funding!AC30="","",Funding!AC30)</f>
        <v/>
      </c>
      <c r="E576" s="21" t="s">
        <v>4627</v>
      </c>
      <c r="M576" s="21" t="s">
        <v>5491</v>
      </c>
    </row>
    <row r="577" customFormat="false" ht="17.15" hidden="false" customHeight="false" outlineLevel="0" collapsed="false">
      <c r="A577" s="0" t="s">
        <v>5492</v>
      </c>
      <c r="B577" s="0" t="s">
        <v>1699</v>
      </c>
      <c r="C577" s="0" t="n">
        <v>2026</v>
      </c>
      <c r="D577" s="43" t="str">
        <f aca="false">IF(Funding!AD30="","",Funding!AD30)</f>
        <v/>
      </c>
      <c r="E577" s="21" t="s">
        <v>4630</v>
      </c>
      <c r="M577" s="21" t="s">
        <v>5493</v>
      </c>
    </row>
    <row r="578" customFormat="false" ht="17.15" hidden="false" customHeight="false" outlineLevel="0" collapsed="false">
      <c r="A578" s="0" t="s">
        <v>5494</v>
      </c>
      <c r="B578" s="0" t="s">
        <v>1699</v>
      </c>
      <c r="C578" s="0" t="n">
        <v>2026</v>
      </c>
      <c r="D578" s="43" t="str">
        <f aca="false">IF(Funding!AE30="","",Funding!AE30)</f>
        <v/>
      </c>
      <c r="E578" s="21" t="s">
        <v>4633</v>
      </c>
      <c r="M578" s="21" t="s">
        <v>5495</v>
      </c>
    </row>
    <row r="579" customFormat="false" ht="17.15" hidden="false" customHeight="false" outlineLevel="0" collapsed="false">
      <c r="A579" s="0" t="s">
        <v>5496</v>
      </c>
      <c r="B579" s="0" t="s">
        <v>1699</v>
      </c>
      <c r="C579" s="0" t="n">
        <v>2026</v>
      </c>
      <c r="D579" s="43" t="str">
        <f aca="false">IF(Funding!AF30="","",Funding!AF30)</f>
        <v/>
      </c>
      <c r="E579" s="21" t="s">
        <v>4636</v>
      </c>
      <c r="M579" s="21" t="s">
        <v>5497</v>
      </c>
    </row>
    <row r="580" customFormat="false" ht="17.15" hidden="false" customHeight="false" outlineLevel="0" collapsed="false">
      <c r="A580" s="0" t="s">
        <v>5498</v>
      </c>
      <c r="B580" s="0" t="s">
        <v>1699</v>
      </c>
      <c r="C580" s="0" t="n">
        <v>2026</v>
      </c>
      <c r="D580" s="43" t="str">
        <f aca="false">IF(Funding!AG30="","",Funding!AG30)</f>
        <v/>
      </c>
      <c r="E580" s="21" t="s">
        <v>4639</v>
      </c>
      <c r="M580" s="21" t="s">
        <v>5499</v>
      </c>
    </row>
    <row r="581" customFormat="false" ht="17.15" hidden="false" customHeight="false" outlineLevel="0" collapsed="false">
      <c r="A581" s="0" t="s">
        <v>5500</v>
      </c>
      <c r="B581" s="0" t="s">
        <v>1699</v>
      </c>
      <c r="C581" s="0" t="n">
        <v>2026</v>
      </c>
      <c r="D581" s="37" t="n">
        <f aca="false">IF(Funding!AL30="","",Funding!AL30)</f>
        <v>130</v>
      </c>
      <c r="E581" s="21" t="s">
        <v>4642</v>
      </c>
      <c r="M581" s="21" t="s">
        <v>5501</v>
      </c>
    </row>
    <row r="582" customFormat="false" ht="17.15" hidden="false" customHeight="false" outlineLevel="0" collapsed="false">
      <c r="A582" s="0" t="s">
        <v>5502</v>
      </c>
      <c r="B582" s="0" t="s">
        <v>1699</v>
      </c>
      <c r="C582" s="0" t="n">
        <v>2026</v>
      </c>
      <c r="D582" s="43" t="str">
        <f aca="false">IF(Funding!AM30="","",Funding!AM30)</f>
        <v/>
      </c>
      <c r="E582" s="21" t="s">
        <v>4645</v>
      </c>
      <c r="M582" s="21" t="s">
        <v>5503</v>
      </c>
    </row>
    <row r="583" customFormat="false" ht="17.15" hidden="false" customHeight="false" outlineLevel="0" collapsed="false">
      <c r="A583" s="0" t="s">
        <v>5504</v>
      </c>
      <c r="B583" s="0" t="s">
        <v>1699</v>
      </c>
      <c r="C583" s="0" t="n">
        <v>2026</v>
      </c>
      <c r="D583" s="43" t="str">
        <f aca="false">IF(Funding!AN30="","",Funding!AN30)</f>
        <v/>
      </c>
      <c r="E583" s="21" t="s">
        <v>4648</v>
      </c>
      <c r="M583" s="21" t="s">
        <v>5505</v>
      </c>
    </row>
    <row r="584" customFormat="false" ht="17.15" hidden="false" customHeight="false" outlineLevel="0" collapsed="false">
      <c r="A584" s="0" t="s">
        <v>5506</v>
      </c>
      <c r="B584" s="0" t="s">
        <v>1699</v>
      </c>
      <c r="C584" s="0" t="n">
        <v>2026</v>
      </c>
      <c r="D584" s="43" t="str">
        <f aca="false">IF(Funding!AO30="","",Funding!AO30)</f>
        <v/>
      </c>
      <c r="E584" s="21" t="s">
        <v>4651</v>
      </c>
      <c r="M584" s="21" t="s">
        <v>5507</v>
      </c>
    </row>
    <row r="585" customFormat="false" ht="17.15" hidden="false" customHeight="false" outlineLevel="0" collapsed="false">
      <c r="A585" s="0" t="s">
        <v>5508</v>
      </c>
      <c r="B585" s="0" t="s">
        <v>1699</v>
      </c>
      <c r="C585" s="0" t="n">
        <v>2026</v>
      </c>
      <c r="D585" s="43" t="str">
        <f aca="false">IF(Funding!AP30="","",Funding!AP30)</f>
        <v/>
      </c>
      <c r="E585" s="21" t="s">
        <v>4654</v>
      </c>
      <c r="M585" s="21" t="s">
        <v>5509</v>
      </c>
    </row>
    <row r="586" customFormat="false" ht="17.15" hidden="false" customHeight="false" outlineLevel="0" collapsed="false">
      <c r="A586" s="0" t="s">
        <v>5510</v>
      </c>
      <c r="B586" s="0" t="s">
        <v>1699</v>
      </c>
      <c r="C586" s="0" t="n">
        <v>2026</v>
      </c>
      <c r="D586" s="43" t="str">
        <f aca="false">IF(Funding!AQ30="","",Funding!AQ30)</f>
        <v/>
      </c>
      <c r="E586" s="21" t="s">
        <v>4657</v>
      </c>
      <c r="M586" s="21" t="s">
        <v>5511</v>
      </c>
    </row>
    <row r="587" customFormat="false" ht="17.15" hidden="false" customHeight="false" outlineLevel="0" collapsed="false">
      <c r="A587" s="0" t="s">
        <v>5512</v>
      </c>
      <c r="B587" s="0" t="s">
        <v>1699</v>
      </c>
      <c r="C587" s="0" t="n">
        <v>2026</v>
      </c>
      <c r="D587" s="37" t="str">
        <f aca="false">IF(Funding!E30="","",Funding!E30)</f>
        <v/>
      </c>
      <c r="E587" s="21" t="s">
        <v>2105</v>
      </c>
      <c r="M587" s="21" t="s">
        <v>5513</v>
      </c>
    </row>
    <row r="588" customFormat="false" ht="17.15" hidden="false" customHeight="false" outlineLevel="0" collapsed="false">
      <c r="A588" s="0" t="s">
        <v>5514</v>
      </c>
      <c r="B588" s="0" t="s">
        <v>1699</v>
      </c>
      <c r="C588" s="0" t="n">
        <v>2026</v>
      </c>
      <c r="D588" s="37" t="str">
        <f aca="false">IF(Funding!I30="","",Funding!I30)</f>
        <v/>
      </c>
      <c r="E588" s="21" t="s">
        <v>2111</v>
      </c>
      <c r="M588" s="21" t="s">
        <v>5515</v>
      </c>
    </row>
    <row r="589" customFormat="false" ht="17.15" hidden="false" customHeight="false" outlineLevel="0" collapsed="false">
      <c r="A589" s="0" t="s">
        <v>5516</v>
      </c>
      <c r="B589" s="0" t="s">
        <v>1699</v>
      </c>
      <c r="C589" s="0" t="n">
        <v>2026</v>
      </c>
      <c r="D589" s="37" t="str">
        <f aca="false">IF(Funding!O30="","",Funding!O30)</f>
        <v/>
      </c>
      <c r="E589" s="21" t="s">
        <v>4664</v>
      </c>
      <c r="M589" s="21" t="s">
        <v>5517</v>
      </c>
    </row>
    <row r="590" customFormat="false" ht="17.15" hidden="false" customHeight="false" outlineLevel="0" collapsed="false">
      <c r="A590" s="0" t="s">
        <v>5518</v>
      </c>
      <c r="B590" s="0" t="s">
        <v>1699</v>
      </c>
      <c r="C590" s="0" t="n">
        <v>2026</v>
      </c>
      <c r="D590" s="37" t="n">
        <f aca="false">N(Funding!J30)+N(Funding!K30)+N(Funding!L30)+N(Funding!M30)</f>
        <v>35</v>
      </c>
      <c r="E590" s="21" t="s">
        <v>4667</v>
      </c>
      <c r="M590" s="21" t="s">
        <v>5519</v>
      </c>
    </row>
    <row r="591" customFormat="false" ht="17.15" hidden="false" customHeight="false" outlineLevel="0" collapsed="false">
      <c r="A591" s="0" t="s">
        <v>5520</v>
      </c>
      <c r="B591" s="0" t="s">
        <v>1699</v>
      </c>
      <c r="C591" s="0" t="n">
        <v>2026</v>
      </c>
      <c r="D591" s="37" t="n">
        <f aca="false">IF(Funding!R30="","",Funding!R30)</f>
        <v>95</v>
      </c>
      <c r="E591" s="21" t="s">
        <v>4670</v>
      </c>
      <c r="M591" s="21" t="s">
        <v>5521</v>
      </c>
    </row>
    <row r="592" customFormat="false" ht="17.15" hidden="false" customHeight="false" outlineLevel="0" collapsed="false">
      <c r="A592" s="8" t="s">
        <v>5522</v>
      </c>
    </row>
    <row r="593" customFormat="false" ht="15" hidden="false" customHeight="false" outlineLevel="0" collapsed="false">
      <c r="A593" s="6" t="s">
        <v>4248</v>
      </c>
      <c r="B593" s="6" t="s">
        <v>20</v>
      </c>
      <c r="C593" s="6" t="s">
        <v>22</v>
      </c>
      <c r="D593" s="7" t="s">
        <v>27</v>
      </c>
      <c r="E593" s="7" t="s">
        <v>28</v>
      </c>
      <c r="F593" s="7" t="s">
        <v>29</v>
      </c>
      <c r="G593" s="7" t="s">
        <v>30</v>
      </c>
      <c r="H593" s="7" t="s">
        <v>31</v>
      </c>
      <c r="I593" s="7" t="s">
        <v>32</v>
      </c>
      <c r="J593" s="7" t="s">
        <v>33</v>
      </c>
      <c r="K593" s="6"/>
      <c r="L593" s="6"/>
      <c r="M593" s="6" t="s">
        <v>4249</v>
      </c>
    </row>
    <row r="594" customFormat="false" ht="17.15" hidden="false" customHeight="false" outlineLevel="0" collapsed="false">
      <c r="A594" s="0" t="s">
        <v>5523</v>
      </c>
      <c r="B594" s="5" t="s">
        <v>5524</v>
      </c>
      <c r="C594" s="0" t="s">
        <v>230</v>
      </c>
      <c r="D594" s="36" t="n">
        <f aca="false">IF(Gap!E10="","",Gap!E10)</f>
        <v>38.629833744513</v>
      </c>
      <c r="E594" s="36" t="n">
        <f aca="false">IF(Gap!F10="","",Gap!F10)</f>
        <v>37.4862910698083</v>
      </c>
      <c r="F594" s="36" t="n">
        <f aca="false">IF(Gap!G10="","",Gap!G10)</f>
        <v>43.1273029840416</v>
      </c>
      <c r="G594" s="36" t="n">
        <f aca="false">IF(Gap!H10="","",Gap!H10)</f>
        <v>46.2751762378003</v>
      </c>
      <c r="H594" s="36" t="n">
        <f aca="false">IF(Gap!I10="","",Gap!I10)</f>
        <v>48.5209846706899</v>
      </c>
      <c r="I594" s="36" t="n">
        <f aca="false">IF(Gap!J10="","",Gap!J10)</f>
        <v>48.4688133677891</v>
      </c>
      <c r="J594" s="36" t="n">
        <f aca="false">IF(Gap!K10="","",Gap!K10)</f>
        <v>48.4688133677891</v>
      </c>
      <c r="M594" s="21" t="s">
        <v>5525</v>
      </c>
    </row>
    <row r="595" customFormat="false" ht="17.15" hidden="false" customHeight="false" outlineLevel="0" collapsed="false">
      <c r="A595" s="0" t="s">
        <v>5526</v>
      </c>
      <c r="B595" s="5" t="s">
        <v>5527</v>
      </c>
      <c r="C595" s="0" t="s">
        <v>230</v>
      </c>
      <c r="D595" s="36" t="n">
        <f aca="false">IF(Gap!E12="","",Gap!E12)</f>
        <v>13.9091999498872</v>
      </c>
      <c r="E595" s="36" t="n">
        <f aca="false">IF(Gap!F12="","",Gap!F12)</f>
        <v>13.3191319297396</v>
      </c>
      <c r="F595" s="36" t="n">
        <f aca="false">IF(Gap!G12="","",Gap!G12)</f>
        <v>16.2298940774839</v>
      </c>
      <c r="G595" s="36" t="n">
        <f aca="false">IF(Gap!H12="","",Gap!H12)</f>
        <v>17.9294738958711</v>
      </c>
      <c r="H595" s="36" t="n">
        <f aca="false">IF(Gap!I12="","",Gap!I12)</f>
        <v>19.0808021240516</v>
      </c>
      <c r="I595" s="36" t="n">
        <f aca="false">IF(Gap!J12="","",Gap!J12)</f>
        <v>19.059417986703</v>
      </c>
      <c r="J595" s="36" t="n">
        <f aca="false">IF(Gap!K12="","",Gap!K12)</f>
        <v>19.059417986703</v>
      </c>
      <c r="M595" s="21" t="s">
        <v>5528</v>
      </c>
    </row>
    <row r="596" customFormat="false" ht="17.15" hidden="false" customHeight="false" outlineLevel="0" collapsed="false">
      <c r="A596" s="0" t="s">
        <v>5529</v>
      </c>
      <c r="B596" s="5" t="s">
        <v>5530</v>
      </c>
      <c r="C596" s="0" t="s">
        <v>230</v>
      </c>
      <c r="D596" s="36" t="n">
        <f aca="false">IF(Gap!E13="","",Gap!E13)</f>
        <v>3.63903487061002</v>
      </c>
      <c r="E596" s="36" t="n">
        <f aca="false">IF(Gap!F13="","",Gap!F13)</f>
        <v>3.48465660952489</v>
      </c>
      <c r="F596" s="36" t="n">
        <f aca="false">IF(Gap!G13="","",Gap!G13)</f>
        <v>4.24619321794638</v>
      </c>
      <c r="G596" s="36" t="n">
        <f aca="false">IF(Gap!H13="","",Gap!H13)</f>
        <v>4.69085072857092</v>
      </c>
      <c r="H596" s="36" t="n">
        <f aca="false">IF(Gap!I13="","",Gap!I13)</f>
        <v>4.99207032315305</v>
      </c>
      <c r="I596" s="36" t="n">
        <f aca="false">IF(Gap!J13="","",Gap!J13)</f>
        <v>4.98647563605601</v>
      </c>
      <c r="J596" s="36" t="n">
        <f aca="false">IF(Gap!K13="","",Gap!K13)</f>
        <v>4.98647563605601</v>
      </c>
      <c r="M596" s="21" t="s">
        <v>5531</v>
      </c>
    </row>
    <row r="597" customFormat="false" ht="17.15" hidden="false" customHeight="false" outlineLevel="0" collapsed="false">
      <c r="A597" s="0" t="s">
        <v>5532</v>
      </c>
      <c r="B597" s="5" t="s">
        <v>5533</v>
      </c>
      <c r="C597" s="0" t="s">
        <v>230</v>
      </c>
      <c r="D597" s="36" t="n">
        <f aca="false">IF(Gap!E14="","",Gap!E14)</f>
        <v>4.71726742486484</v>
      </c>
      <c r="E597" s="36" t="n">
        <f aca="false">IF(Gap!F14="","",Gap!F14)</f>
        <v>4.51714745679152</v>
      </c>
      <c r="F597" s="36" t="n">
        <f aca="false">IF(Gap!G14="","",Gap!G14)</f>
        <v>5.50432454178234</v>
      </c>
      <c r="G597" s="36" t="n">
        <f aca="false">IF(Gap!H14="","",Gap!H14)</f>
        <v>6.08073242592527</v>
      </c>
      <c r="H597" s="36" t="n">
        <f aca="false">IF(Gap!I14="","",Gap!I14)</f>
        <v>6.47120227075395</v>
      </c>
      <c r="I597" s="36" t="n">
        <f aca="false">IF(Gap!J14="","",Gap!J14)</f>
        <v>6.46394989859112</v>
      </c>
      <c r="J597" s="36" t="n">
        <f aca="false">IF(Gap!K14="","",Gap!K14)</f>
        <v>6.46394989859112</v>
      </c>
      <c r="M597" s="21" t="s">
        <v>5534</v>
      </c>
    </row>
    <row r="598" customFormat="false" ht="17.15" hidden="false" customHeight="false" outlineLevel="0" collapsed="false">
      <c r="A598" s="0" t="s">
        <v>5535</v>
      </c>
      <c r="B598" s="5" t="s">
        <v>5536</v>
      </c>
      <c r="C598" s="0" t="s">
        <v>230</v>
      </c>
      <c r="D598" s="36" t="n">
        <f aca="false">IF(Gap!E15="","",Gap!E15)</f>
        <v>1.45561394824401</v>
      </c>
      <c r="E598" s="36" t="n">
        <f aca="false">IF(Gap!F15="","",Gap!F15)</f>
        <v>1.39386264380995</v>
      </c>
      <c r="F598" s="36" t="n">
        <f aca="false">IF(Gap!G15="","",Gap!G15)</f>
        <v>1.69847728717855</v>
      </c>
      <c r="G598" s="36" t="n">
        <f aca="false">IF(Gap!H15="","",Gap!H15)</f>
        <v>1.87634029142837</v>
      </c>
      <c r="H598" s="36" t="n">
        <f aca="false">IF(Gap!I15="","",Gap!I15)</f>
        <v>1.99682812926122</v>
      </c>
      <c r="I598" s="36" t="n">
        <f aca="false">IF(Gap!J15="","",Gap!J15)</f>
        <v>1.9945902544224</v>
      </c>
      <c r="J598" s="36" t="n">
        <f aca="false">IF(Gap!K15="","",Gap!K15)</f>
        <v>1.9945902544224</v>
      </c>
      <c r="M598" s="21" t="s">
        <v>5537</v>
      </c>
    </row>
    <row r="599" customFormat="false" ht="17.15" hidden="false" customHeight="false" outlineLevel="0" collapsed="false">
      <c r="A599" s="0" t="s">
        <v>5538</v>
      </c>
      <c r="B599" s="5" t="s">
        <v>5539</v>
      </c>
      <c r="C599" s="0" t="s">
        <v>230</v>
      </c>
      <c r="D599" s="36" t="n">
        <f aca="false">IF(Gap!E16="","",Gap!E16)</f>
        <v>0.0808674415691116</v>
      </c>
      <c r="E599" s="36" t="n">
        <f aca="false">IF(Gap!F16="","",Gap!F16)</f>
        <v>0.0774368135449974</v>
      </c>
      <c r="F599" s="36" t="n">
        <f aca="false">IF(Gap!G16="","",Gap!G16)</f>
        <v>0.0943598492876973</v>
      </c>
      <c r="G599" s="36" t="n">
        <f aca="false">IF(Gap!H16="","",Gap!H16)</f>
        <v>0.104241127301576</v>
      </c>
      <c r="H599" s="36" t="n">
        <f aca="false">IF(Gap!I16="","",Gap!I16)</f>
        <v>0.110934896070068</v>
      </c>
      <c r="I599" s="36" t="n">
        <f aca="false">IF(Gap!J16="","",Gap!J16)</f>
        <v>0.110810569690134</v>
      </c>
      <c r="J599" s="36" t="n">
        <f aca="false">IF(Gap!K16="","",Gap!K16)</f>
        <v>0.110810569690134</v>
      </c>
      <c r="M599" s="21" t="s">
        <v>5540</v>
      </c>
    </row>
    <row r="600" customFormat="false" ht="17.15" hidden="false" customHeight="false" outlineLevel="0" collapsed="false">
      <c r="A600" s="0" t="s">
        <v>5541</v>
      </c>
      <c r="B600" s="5" t="s">
        <v>5542</v>
      </c>
      <c r="C600" s="0" t="s">
        <v>230</v>
      </c>
      <c r="D600" s="36" t="n">
        <f aca="false">IF(Gap!E17="","",Gap!E17)</f>
        <v>1.69821627295134</v>
      </c>
      <c r="E600" s="36" t="n">
        <f aca="false">IF(Gap!F17="","",Gap!F17)</f>
        <v>1.62617308444495</v>
      </c>
      <c r="F600" s="36" t="n">
        <f aca="false">IF(Gap!G17="","",Gap!G17)</f>
        <v>1.98155683504164</v>
      </c>
      <c r="G600" s="36" t="n">
        <f aca="false">IF(Gap!H17="","",Gap!H17)</f>
        <v>2.1890636733331</v>
      </c>
      <c r="H600" s="36" t="n">
        <f aca="false">IF(Gap!I17="","",Gap!I17)</f>
        <v>2.32963281747142</v>
      </c>
      <c r="I600" s="36" t="n">
        <f aca="false">IF(Gap!J17="","",Gap!J17)</f>
        <v>2.32702196349281</v>
      </c>
      <c r="J600" s="36" t="n">
        <f aca="false">IF(Gap!K17="","",Gap!K17)</f>
        <v>2.32702196349281</v>
      </c>
      <c r="M600" s="21" t="s">
        <v>5543</v>
      </c>
    </row>
    <row r="601" customFormat="false" ht="17.15" hidden="false" customHeight="false" outlineLevel="0" collapsed="false">
      <c r="A601" s="0" t="s">
        <v>5544</v>
      </c>
      <c r="B601" s="5" t="s">
        <v>5545</v>
      </c>
      <c r="C601" s="0" t="s">
        <v>230</v>
      </c>
      <c r="D601" s="36" t="n">
        <f aca="false">IF(Gap!E18="","",Gap!E18)</f>
        <v>1.23996743739304</v>
      </c>
      <c r="E601" s="36" t="n">
        <f aca="false">IF(Gap!F18="","",Gap!F18)</f>
        <v>1.18736447435663</v>
      </c>
      <c r="F601" s="36" t="n">
        <f aca="false">IF(Gap!G18="","",Gap!G18)</f>
        <v>1.44685102241136</v>
      </c>
      <c r="G601" s="36" t="n">
        <f aca="false">IF(Gap!H18="","",Gap!H18)</f>
        <v>1.5983639519575</v>
      </c>
      <c r="H601" s="36" t="n">
        <f aca="false">IF(Gap!I18="","",Gap!I18)</f>
        <v>1.70100173974104</v>
      </c>
      <c r="I601" s="36" t="n">
        <f aca="false">IF(Gap!J18="","",Gap!J18)</f>
        <v>1.69909540191538</v>
      </c>
      <c r="J601" s="36" t="n">
        <f aca="false">IF(Gap!K18="","",Gap!K18)</f>
        <v>1.69909540191538</v>
      </c>
      <c r="M601" s="21" t="s">
        <v>5546</v>
      </c>
    </row>
    <row r="602" customFormat="false" ht="17.15" hidden="false" customHeight="false" outlineLevel="0" collapsed="false">
      <c r="A602" s="0" t="s">
        <v>5547</v>
      </c>
      <c r="B602" s="5" t="s">
        <v>5548</v>
      </c>
      <c r="C602" s="0" t="s">
        <v>230</v>
      </c>
      <c r="D602" s="36" t="n">
        <f aca="false">IF(Gap!E19="","",Gap!E19)</f>
        <v>0.215646510850964</v>
      </c>
      <c r="E602" s="36" t="n">
        <f aca="false">IF(Gap!F19="","",Gap!F19)</f>
        <v>0.206498169453327</v>
      </c>
      <c r="F602" s="36" t="n">
        <f aca="false">IF(Gap!G19="","",Gap!G19)</f>
        <v>0.251626264767193</v>
      </c>
      <c r="G602" s="36" t="n">
        <f aca="false">IF(Gap!H19="","",Gap!H19)</f>
        <v>0.277976339470869</v>
      </c>
      <c r="H602" s="36" t="n">
        <f aca="false">IF(Gap!I19="","",Gap!I19)</f>
        <v>0.29582638952018</v>
      </c>
      <c r="I602" s="36" t="n">
        <f aca="false">IF(Gap!J19="","",Gap!J19)</f>
        <v>0.295494852507023</v>
      </c>
      <c r="J602" s="36" t="n">
        <f aca="false">IF(Gap!K19="","",Gap!K19)</f>
        <v>0.295494852507023</v>
      </c>
      <c r="M602" s="21" t="s">
        <v>5549</v>
      </c>
    </row>
    <row r="603" customFormat="false" ht="17.15" hidden="false" customHeight="false" outlineLevel="0" collapsed="false">
      <c r="A603" s="0" t="s">
        <v>5550</v>
      </c>
      <c r="B603" s="5" t="s">
        <v>5551</v>
      </c>
      <c r="C603" s="0" t="s">
        <v>230</v>
      </c>
      <c r="D603" s="36" t="n">
        <f aca="false">IF(Gap!E20="","",Gap!E20)</f>
        <v>2.34954622847383</v>
      </c>
      <c r="E603" s="36" t="n">
        <f aca="false">IF(Gap!F20="","",Gap!F20)</f>
        <v>2.34954622847383</v>
      </c>
      <c r="F603" s="36" t="n">
        <f aca="false">IF(Gap!G20="","",Gap!G20)</f>
        <v>2.34954622847383</v>
      </c>
      <c r="G603" s="36" t="n">
        <f aca="false">IF(Gap!H20="","",Gap!H20)</f>
        <v>2.32018478295589</v>
      </c>
      <c r="H603" s="36" t="n">
        <f aca="false">IF(Gap!I20="","",Gap!I20)</f>
        <v>2.32311359516193</v>
      </c>
      <c r="I603" s="36" t="n">
        <f aca="false">IF(Gap!J20="","",Gap!J20)</f>
        <v>2.32095421083257</v>
      </c>
      <c r="J603" s="36" t="n">
        <f aca="false">IF(Gap!K20="","",Gap!K20)</f>
        <v>2.32095421083257</v>
      </c>
      <c r="M603" s="21" t="s">
        <v>5552</v>
      </c>
    </row>
    <row r="604" customFormat="false" ht="17.15" hidden="false" customHeight="false" outlineLevel="0" collapsed="false">
      <c r="A604" s="0" t="s">
        <v>5553</v>
      </c>
      <c r="B604" s="5" t="s">
        <v>5554</v>
      </c>
      <c r="C604" s="0" t="s">
        <v>230</v>
      </c>
      <c r="D604" s="36" t="n">
        <f aca="false">IF(Gap!E21="","",Gap!E21)</f>
        <v>1.4742250845326</v>
      </c>
      <c r="E604" s="36" t="n">
        <f aca="false">IF(Gap!F21="","",Gap!F21)</f>
        <v>1.4742250845326</v>
      </c>
      <c r="F604" s="36" t="n">
        <f aca="false">IF(Gap!G21="","",Gap!G21)</f>
        <v>1.4742250845326</v>
      </c>
      <c r="G604" s="36" t="n">
        <f aca="false">IF(Gap!H21="","",Gap!H21)</f>
        <v>1.45580221675664</v>
      </c>
      <c r="H604" s="36" t="n">
        <f aca="false">IF(Gap!I21="","",Gap!I21)</f>
        <v>1.4576399028467</v>
      </c>
      <c r="I604" s="36" t="n">
        <f aca="false">IF(Gap!J21="","",Gap!J21)</f>
        <v>1.4562849950322</v>
      </c>
      <c r="J604" s="36" t="n">
        <f aca="false">IF(Gap!K21="","",Gap!K21)</f>
        <v>1.4562849950322</v>
      </c>
      <c r="M604" s="21" t="s">
        <v>5555</v>
      </c>
    </row>
    <row r="605" customFormat="false" ht="17.15" hidden="false" customHeight="false" outlineLevel="0" collapsed="false">
      <c r="A605" s="0" t="s">
        <v>5556</v>
      </c>
      <c r="B605" s="5" t="s">
        <v>5557</v>
      </c>
      <c r="C605" s="0" t="s">
        <v>230</v>
      </c>
      <c r="D605" s="36" t="n">
        <f aca="false">IF(Gap!E22="","",Gap!E22)</f>
        <v>0.691043008374656</v>
      </c>
      <c r="E605" s="36" t="n">
        <f aca="false">IF(Gap!F22="","",Gap!F22)</f>
        <v>0.691043008374656</v>
      </c>
      <c r="F605" s="36" t="n">
        <f aca="false">IF(Gap!G22="","",Gap!G22)</f>
        <v>0.691043008374656</v>
      </c>
      <c r="G605" s="36" t="n">
        <f aca="false">IF(Gap!H22="","",Gap!H22)</f>
        <v>0.682407289104673</v>
      </c>
      <c r="H605" s="36" t="n">
        <f aca="false">IF(Gap!I22="","",Gap!I22)</f>
        <v>0.683268704459392</v>
      </c>
      <c r="I605" s="36" t="n">
        <f aca="false">IF(Gap!J22="","",Gap!J22)</f>
        <v>0.682633591421344</v>
      </c>
      <c r="J605" s="36" t="n">
        <f aca="false">IF(Gap!K22="","",Gap!K22)</f>
        <v>0.682633591421344</v>
      </c>
      <c r="M605" s="21" t="s">
        <v>5558</v>
      </c>
    </row>
    <row r="606" customFormat="false" ht="17.15" hidden="false" customHeight="false" outlineLevel="0" collapsed="false">
      <c r="A606" s="0" t="s">
        <v>5559</v>
      </c>
      <c r="B606" s="5" t="s">
        <v>5560</v>
      </c>
      <c r="C606" s="0" t="s">
        <v>230</v>
      </c>
      <c r="D606" s="36" t="n">
        <f aca="false">IF(Gap!E23="","",Gap!E23)</f>
        <v>1.75064228788246</v>
      </c>
      <c r="E606" s="36" t="n">
        <f aca="false">IF(Gap!F23="","",Gap!F23)</f>
        <v>1.75064228788246</v>
      </c>
      <c r="F606" s="36" t="n">
        <f aca="false">IF(Gap!G23="","",Gap!G23)</f>
        <v>1.75064228788246</v>
      </c>
      <c r="G606" s="36" t="n">
        <f aca="false">IF(Gap!H23="","",Gap!H23)</f>
        <v>1.72876513239851</v>
      </c>
      <c r="H606" s="36" t="n">
        <f aca="false">IF(Gap!I23="","",Gap!I23)</f>
        <v>1.73094738463046</v>
      </c>
      <c r="I606" s="36" t="n">
        <f aca="false">IF(Gap!J23="","",Gap!J23)</f>
        <v>1.72933843160074</v>
      </c>
      <c r="J606" s="36" t="n">
        <f aca="false">IF(Gap!K23="","",Gap!K23)</f>
        <v>1.72933843160074</v>
      </c>
      <c r="M606" s="21" t="s">
        <v>5561</v>
      </c>
    </row>
    <row r="607" customFormat="false" ht="17.15" hidden="false" customHeight="false" outlineLevel="0" collapsed="false">
      <c r="A607" s="0" t="s">
        <v>5562</v>
      </c>
      <c r="B607" s="5" t="s">
        <v>5563</v>
      </c>
      <c r="C607" s="0" t="s">
        <v>230</v>
      </c>
      <c r="D607" s="36" t="n">
        <f aca="false">IF(Gap!E24="","",Gap!E24)</f>
        <v>1.56636415231589</v>
      </c>
      <c r="E607" s="36" t="n">
        <f aca="false">IF(Gap!F24="","",Gap!F24)</f>
        <v>1.56636415231589</v>
      </c>
      <c r="F607" s="36" t="n">
        <f aca="false">IF(Gap!G24="","",Gap!G24)</f>
        <v>1.56636415231589</v>
      </c>
      <c r="G607" s="36" t="n">
        <f aca="false">IF(Gap!H24="","",Gap!H24)</f>
        <v>1.54678985530393</v>
      </c>
      <c r="H607" s="36" t="n">
        <f aca="false">IF(Gap!I24="","",Gap!I24)</f>
        <v>1.54874239677462</v>
      </c>
      <c r="I607" s="36" t="n">
        <f aca="false">IF(Gap!J24="","",Gap!J24)</f>
        <v>1.54730280722171</v>
      </c>
      <c r="J607" s="36" t="n">
        <f aca="false">IF(Gap!K24="","",Gap!K24)</f>
        <v>1.54730280722171</v>
      </c>
      <c r="M607" s="21" t="s">
        <v>5564</v>
      </c>
    </row>
    <row r="608" customFormat="false" ht="17.15" hidden="false" customHeight="false" outlineLevel="0" collapsed="false">
      <c r="A608" s="0" t="s">
        <v>5565</v>
      </c>
      <c r="B608" s="5" t="s">
        <v>5566</v>
      </c>
      <c r="C608" s="0" t="s">
        <v>230</v>
      </c>
      <c r="D608" s="36" t="n">
        <f aca="false">IF(Gap!E25="","",Gap!E25)</f>
        <v>2.71810249960698</v>
      </c>
      <c r="E608" s="36" t="n">
        <f aca="false">IF(Gap!F25="","",Gap!F25)</f>
        <v>2.71810249960698</v>
      </c>
      <c r="F608" s="36" t="n">
        <f aca="false">IF(Gap!G25="","",Gap!G25)</f>
        <v>2.71810249960698</v>
      </c>
      <c r="G608" s="36" t="n">
        <f aca="false">IF(Gap!H25="","",Gap!H25)</f>
        <v>2.68413533714505</v>
      </c>
      <c r="H608" s="36" t="n">
        <f aca="false">IF(Gap!I25="","",Gap!I25)</f>
        <v>2.68752357087361</v>
      </c>
      <c r="I608" s="36" t="n">
        <f aca="false">IF(Gap!J25="","",Gap!J25)</f>
        <v>2.68502545959062</v>
      </c>
      <c r="J608" s="36" t="n">
        <f aca="false">IF(Gap!K25="","",Gap!K25)</f>
        <v>2.68502545959062</v>
      </c>
      <c r="M608" s="21" t="s">
        <v>5567</v>
      </c>
    </row>
    <row r="609" customFormat="false" ht="17.15" hidden="false" customHeight="false" outlineLevel="0" collapsed="false">
      <c r="A609" s="0" t="s">
        <v>5568</v>
      </c>
      <c r="B609" s="5" t="s">
        <v>5569</v>
      </c>
      <c r="C609" s="0" t="s">
        <v>230</v>
      </c>
      <c r="D609" s="36" t="n">
        <f aca="false">IF(Gap!E26="","",Gap!E26)</f>
        <v>0.644973474483012</v>
      </c>
      <c r="E609" s="36" t="n">
        <f aca="false">IF(Gap!F26="","",Gap!F26)</f>
        <v>0.644973474483012</v>
      </c>
      <c r="F609" s="36" t="n">
        <f aca="false">IF(Gap!G26="","",Gap!G26)</f>
        <v>0.644973474483012</v>
      </c>
      <c r="G609" s="36" t="n">
        <f aca="false">IF(Gap!H26="","",Gap!H26)</f>
        <v>0.636913469831028</v>
      </c>
      <c r="H609" s="36" t="n">
        <f aca="false">IF(Gap!I26="","",Gap!I26)</f>
        <v>0.637717457495433</v>
      </c>
      <c r="I609" s="36" t="n">
        <f aca="false">IF(Gap!J26="","",Gap!J26)</f>
        <v>0.637124685326587</v>
      </c>
      <c r="J609" s="36" t="n">
        <f aca="false">IF(Gap!K26="","",Gap!K26)</f>
        <v>0.637124685326587</v>
      </c>
      <c r="M609" s="21" t="s">
        <v>5570</v>
      </c>
    </row>
    <row r="610" customFormat="false" ht="17.15" hidden="false" customHeight="false" outlineLevel="0" collapsed="false">
      <c r="A610" s="0" t="s">
        <v>5571</v>
      </c>
      <c r="B610" s="5" t="s">
        <v>5572</v>
      </c>
      <c r="C610" s="0" t="s">
        <v>230</v>
      </c>
      <c r="D610" s="36" t="n">
        <f aca="false">IF(Gap!E27="","",Gap!E27)</f>
        <v>0.276417203349862</v>
      </c>
      <c r="E610" s="36" t="n">
        <f aca="false">IF(Gap!F27="","",Gap!F27)</f>
        <v>0.276417203349862</v>
      </c>
      <c r="F610" s="36" t="n">
        <f aca="false">IF(Gap!G27="","",Gap!G27)</f>
        <v>0.276417203349862</v>
      </c>
      <c r="G610" s="36" t="n">
        <f aca="false">IF(Gap!H27="","",Gap!H27)</f>
        <v>0.272962915641869</v>
      </c>
      <c r="H610" s="36" t="n">
        <f aca="false">IF(Gap!I27="","",Gap!I27)</f>
        <v>0.273307481783757</v>
      </c>
      <c r="I610" s="36" t="n">
        <f aca="false">IF(Gap!J27="","",Gap!J27)</f>
        <v>0.273053436568538</v>
      </c>
      <c r="J610" s="36" t="n">
        <f aca="false">IF(Gap!K27="","",Gap!K27)</f>
        <v>0.273053436568538</v>
      </c>
      <c r="M610" s="21" t="s">
        <v>5573</v>
      </c>
    </row>
    <row r="611" customFormat="false" ht="17.15" hidden="false" customHeight="false" outlineLevel="0" collapsed="false">
      <c r="A611" s="0" t="s">
        <v>5574</v>
      </c>
      <c r="B611" s="5" t="s">
        <v>5575</v>
      </c>
      <c r="C611" s="0" t="s">
        <v>230</v>
      </c>
      <c r="D611" s="36" t="n">
        <f aca="false">IF(Gap!E28="","",Gap!E28)</f>
        <v>0.184278135566575</v>
      </c>
      <c r="E611" s="36" t="n">
        <f aca="false">IF(Gap!F28="","",Gap!F28)</f>
        <v>0.184278135566575</v>
      </c>
      <c r="F611" s="36" t="n">
        <f aca="false">IF(Gap!G28="","",Gap!G28)</f>
        <v>0.184278135566575</v>
      </c>
      <c r="G611" s="36" t="n">
        <f aca="false">IF(Gap!H28="","",Gap!H28)</f>
        <v>0.181975277094579</v>
      </c>
      <c r="H611" s="36" t="n">
        <f aca="false">IF(Gap!I28="","",Gap!I28)</f>
        <v>0.182204987855838</v>
      </c>
      <c r="I611" s="36" t="n">
        <f aca="false">IF(Gap!J28="","",Gap!J28)</f>
        <v>0.182035624379025</v>
      </c>
      <c r="J611" s="36" t="n">
        <f aca="false">IF(Gap!K28="","",Gap!K28)</f>
        <v>0.182035624379025</v>
      </c>
      <c r="M611" s="21" t="s">
        <v>5576</v>
      </c>
    </row>
    <row r="612" customFormat="false" ht="17.15" hidden="false" customHeight="false" outlineLevel="0" collapsed="false">
      <c r="A612" s="0" t="s">
        <v>5577</v>
      </c>
      <c r="B612" s="5" t="s">
        <v>5578</v>
      </c>
      <c r="C612" s="0" t="s">
        <v>230</v>
      </c>
      <c r="D612" s="36" t="n">
        <f aca="false">IF(Gap!E29="","",Gap!E29)</f>
        <v>0.0184278135566587</v>
      </c>
      <c r="E612" s="36" t="n">
        <f aca="false">IF(Gap!F29="","",Gap!F29)</f>
        <v>0.0184278135566587</v>
      </c>
      <c r="F612" s="36" t="n">
        <f aca="false">IF(Gap!G29="","",Gap!G29)</f>
        <v>0.0184278135566587</v>
      </c>
      <c r="G612" s="36" t="n">
        <f aca="false">IF(Gap!H29="","",Gap!H29)</f>
        <v>0.0181975277094592</v>
      </c>
      <c r="H612" s="36" t="n">
        <f aca="false">IF(Gap!I29="","",Gap!I29)</f>
        <v>0.018220498785585</v>
      </c>
      <c r="I612" s="36" t="n">
        <f aca="false">IF(Gap!J29="","",Gap!J29)</f>
        <v>0.0182035624379037</v>
      </c>
      <c r="J612" s="36" t="n">
        <f aca="false">IF(Gap!K29="","",Gap!K29)</f>
        <v>0.0182035624379037</v>
      </c>
      <c r="M612" s="21" t="s">
        <v>5579</v>
      </c>
    </row>
    <row r="613" customFormat="false" ht="17.15" hidden="false" customHeight="false" outlineLevel="0" collapsed="false">
      <c r="A613" s="0" t="s">
        <v>5580</v>
      </c>
      <c r="B613" s="0" t="s">
        <v>2870</v>
      </c>
      <c r="C613" s="0" t="s">
        <v>395</v>
      </c>
      <c r="D613" s="37" t="n">
        <f aca="false">IF(Gap!E539="","",Gap!E539)</f>
        <v>60.556995</v>
      </c>
      <c r="E613" s="37" t="n">
        <f aca="false">IF(Gap!F539="","",Gap!F539)</f>
        <v>92.812193</v>
      </c>
      <c r="F613" s="37" t="n">
        <f aca="false">IF(Gap!G539="","",Gap!G539)</f>
        <v>184.082278</v>
      </c>
      <c r="G613" s="37" t="n">
        <f aca="false">IF(Gap!H539="","",Gap!H539)</f>
        <v>212.566374166667</v>
      </c>
      <c r="H613" s="37" t="n">
        <f aca="false">IF(Gap!I539="","",Gap!I539)</f>
        <v>246.95029175</v>
      </c>
      <c r="I613" s="37" t="n">
        <f aca="false">IF(Gap!J539="","",Gap!J539)</f>
        <v>277.130736</v>
      </c>
      <c r="J613" s="37" t="n">
        <f aca="false">IF(Gap!K539="","",Gap!K539)</f>
        <v>299.026397916667</v>
      </c>
      <c r="M613" s="21" t="s">
        <v>5581</v>
      </c>
    </row>
    <row r="614" customFormat="false" ht="17.15" hidden="false" customHeight="false" outlineLevel="0" collapsed="false">
      <c r="A614" s="0" t="s">
        <v>5582</v>
      </c>
      <c r="B614" s="0" t="s">
        <v>2876</v>
      </c>
      <c r="C614" s="0" t="s">
        <v>395</v>
      </c>
      <c r="D614" s="37" t="n">
        <f aca="false">IF(Gap!E542="","",Gap!E542)</f>
        <v>335.253</v>
      </c>
      <c r="E614" s="37" t="n">
        <f aca="false">IF(Gap!F542="","",Gap!F542)</f>
        <v>589.4335</v>
      </c>
      <c r="F614" s="37" t="n">
        <f aca="false">IF(Gap!G542="","",Gap!G542)</f>
        <v>800.087775083333</v>
      </c>
      <c r="G614" s="37" t="n">
        <f aca="false">IF(Gap!H542="","",Gap!H542)</f>
        <v>942.583301916667</v>
      </c>
      <c r="H614" s="37" t="n">
        <f aca="false">IF(Gap!I542="","",Gap!I542)</f>
        <v>1153.28686216667</v>
      </c>
      <c r="I614" s="37" t="n">
        <f aca="false">IF(Gap!J542="","",Gap!J542)</f>
        <v>1408.73059683333</v>
      </c>
      <c r="J614" s="37" t="n">
        <f aca="false">IF(Gap!K542="","",Gap!K542)</f>
        <v>1631.71418825</v>
      </c>
      <c r="M614" s="21" t="s">
        <v>5583</v>
      </c>
    </row>
    <row r="615" customFormat="false" ht="17.15" hidden="false" customHeight="false" outlineLevel="0" collapsed="false">
      <c r="A615" s="0" t="s">
        <v>5584</v>
      </c>
      <c r="B615" s="5" t="s">
        <v>5585</v>
      </c>
      <c r="C615" s="0" t="s">
        <v>395</v>
      </c>
      <c r="D615" s="37" t="n">
        <f aca="false">IF(Gap!E544="","",Gap!E544)</f>
        <v>38.221</v>
      </c>
      <c r="E615" s="37" t="n">
        <f aca="false">IF(Gap!F544="","",Gap!F544)</f>
        <v>258.571166666667</v>
      </c>
      <c r="M615" s="21" t="s">
        <v>5586</v>
      </c>
    </row>
    <row r="616" customFormat="false" ht="17.15" hidden="false" customHeight="false" outlineLevel="0" collapsed="false">
      <c r="A616" s="0" t="s">
        <v>5587</v>
      </c>
      <c r="B616" s="5" t="s">
        <v>5588</v>
      </c>
      <c r="C616" s="0" t="s">
        <v>395</v>
      </c>
      <c r="D616" s="37" t="n">
        <f aca="false">IF(Gap!E545="","",Gap!E545)</f>
        <v>40.7635</v>
      </c>
      <c r="E616" s="37" t="n">
        <f aca="false">IF(Gap!F545="","",Gap!F545)</f>
        <v>132.939</v>
      </c>
      <c r="F616" s="37" t="n">
        <f aca="false">IF(Gap!G545="","",Gap!G545)</f>
        <v>61.5815855</v>
      </c>
      <c r="G616" s="37" t="n">
        <f aca="false">IF(Gap!H545="","",Gap!H545)</f>
        <v>72.6296863333333</v>
      </c>
      <c r="H616" s="37" t="n">
        <f aca="false">IF(Gap!I545="","",Gap!I545)</f>
        <v>70.290903</v>
      </c>
      <c r="I616" s="37" t="n">
        <f aca="false">IF(Gap!J545="","",Gap!J545)</f>
        <v>101.3441095</v>
      </c>
      <c r="J616" s="37" t="n">
        <f aca="false">IF(Gap!K545="","",Gap!K545)</f>
        <v>104.2079605</v>
      </c>
      <c r="M616" s="21" t="s">
        <v>5589</v>
      </c>
    </row>
    <row r="617" customFormat="false" ht="17.15" hidden="false" customHeight="false" outlineLevel="0" collapsed="false">
      <c r="A617" s="0" t="s">
        <v>5590</v>
      </c>
      <c r="B617" s="0" t="s">
        <v>5591</v>
      </c>
      <c r="C617" s="5" t="s">
        <v>2880</v>
      </c>
      <c r="D617" s="44" t="n">
        <f aca="false">IF(Gap!E543="","",Gap!E543)</f>
        <v>7</v>
      </c>
      <c r="E617" s="44" t="n">
        <f aca="false">IF(Gap!F543="","",Gap!F543)</f>
        <v>5</v>
      </c>
      <c r="F617" s="44" t="n">
        <f aca="false">IF(Gap!G543="","",Gap!G543)</f>
        <v>0</v>
      </c>
      <c r="G617" s="44" t="n">
        <f aca="false">IF(Gap!H543="","",Gap!H543)</f>
        <v>0</v>
      </c>
      <c r="H617" s="44" t="n">
        <f aca="false">IF(Gap!I543="","",Gap!I543)</f>
        <v>0</v>
      </c>
      <c r="I617" s="44" t="n">
        <f aca="false">IF(Gap!J543="","",Gap!J543)</f>
        <v>0</v>
      </c>
      <c r="J617" s="44" t="n">
        <f aca="false">IF(Gap!K543="","",Gap!K543)</f>
        <v>0</v>
      </c>
      <c r="M617" s="21" t="s">
        <v>5592</v>
      </c>
    </row>
    <row r="618" customFormat="false" ht="17.15" hidden="false" customHeight="false" outlineLevel="0" collapsed="false">
      <c r="A618" s="0" t="s">
        <v>5593</v>
      </c>
      <c r="B618" s="5" t="s">
        <v>5594</v>
      </c>
      <c r="C618" s="0" t="s">
        <v>395</v>
      </c>
      <c r="D618" s="37" t="n">
        <f aca="false">IF(Gap!G546="","",Gap!G546)</f>
        <v>531.017541</v>
      </c>
      <c r="M618" s="21" t="s">
        <v>5595</v>
      </c>
    </row>
    <row r="619" customFormat="false" ht="17.15" hidden="false" customHeight="false" outlineLevel="0" collapsed="false">
      <c r="A619" s="0" t="s">
        <v>5596</v>
      </c>
      <c r="B619" s="5" t="s">
        <v>5597</v>
      </c>
      <c r="C619" s="5" t="s">
        <v>2865</v>
      </c>
      <c r="D619" s="44" t="n">
        <f aca="false">IF(Gap!E540="","",Gap!E540)</f>
        <v>1</v>
      </c>
      <c r="E619" s="44" t="n">
        <f aca="false">IF(Gap!F540="","",Gap!F540)</f>
        <v>4</v>
      </c>
      <c r="F619" s="44" t="n">
        <f aca="false">IF(Gap!G540="","",Gap!G540)</f>
        <v>5</v>
      </c>
      <c r="G619" s="44" t="n">
        <f aca="false">IF(Gap!H540="","",Gap!H540)</f>
        <v>2</v>
      </c>
      <c r="H619" s="44" t="n">
        <f aca="false">IF(Gap!I540="","",Gap!I540)</f>
        <v>2</v>
      </c>
      <c r="I619" s="44" t="n">
        <f aca="false">IF(Gap!J540="","",Gap!J540)</f>
        <v>2</v>
      </c>
      <c r="J619" s="44" t="n">
        <f aca="false">IF(Gap!K540="","",Gap!K540)</f>
        <v>2</v>
      </c>
      <c r="M619" s="21" t="s">
        <v>5598</v>
      </c>
    </row>
    <row r="620" customFormat="false" ht="17.15" hidden="false" customHeight="false" outlineLevel="0" collapsed="false">
      <c r="A620" s="0" t="s">
        <v>5599</v>
      </c>
      <c r="B620" s="5" t="s">
        <v>5600</v>
      </c>
      <c r="C620" s="5" t="s">
        <v>2865</v>
      </c>
      <c r="D620" s="44" t="n">
        <f aca="false">IF(Gap!E541="","",Gap!E541)</f>
        <v>9</v>
      </c>
      <c r="E620" s="44" t="n">
        <f aca="false">IF(Gap!F541="","",Gap!F541)</f>
        <v>6</v>
      </c>
      <c r="F620" s="44" t="n">
        <f aca="false">IF(Gap!G541="","",Gap!G541)</f>
        <v>3</v>
      </c>
      <c r="G620" s="44" t="n">
        <f aca="false">IF(Gap!H541="","",Gap!H541)</f>
        <v>3</v>
      </c>
      <c r="H620" s="44" t="n">
        <f aca="false">IF(Gap!I541="","",Gap!I541)</f>
        <v>3</v>
      </c>
      <c r="I620" s="44" t="n">
        <f aca="false">IF(Gap!J541="","",Gap!J541)</f>
        <v>3</v>
      </c>
      <c r="J620" s="44" t="n">
        <f aca="false">IF(Gap!K541="","",Gap!K541)</f>
        <v>3</v>
      </c>
      <c r="M620" s="21" t="s">
        <v>5601</v>
      </c>
    </row>
    <row r="621" customFormat="false" ht="17.15" hidden="false" customHeight="false" outlineLevel="0" collapsed="false">
      <c r="A621" s="0" t="s">
        <v>5602</v>
      </c>
      <c r="B621" s="5" t="s">
        <v>5603</v>
      </c>
      <c r="C621" s="5" t="s">
        <v>2865</v>
      </c>
      <c r="D621" s="44" t="n">
        <f aca="false">IF(Gap!E536="","",Gap!E536)</f>
        <v>0</v>
      </c>
      <c r="E621" s="44" t="n">
        <f aca="false">IF(Gap!F536="","",Gap!F536)</f>
        <v>0</v>
      </c>
      <c r="F621" s="44" t="n">
        <f aca="false">IF(Gap!G536="","",Gap!G536)</f>
        <v>0</v>
      </c>
      <c r="G621" s="44" t="n">
        <f aca="false">IF(Gap!H536="","",Gap!H536)</f>
        <v>0</v>
      </c>
      <c r="H621" s="44" t="n">
        <f aca="false">IF(Gap!I536="","",Gap!I536)</f>
        <v>2</v>
      </c>
      <c r="I621" s="44" t="n">
        <f aca="false">IF(Gap!J536="","",Gap!J536)</f>
        <v>2</v>
      </c>
      <c r="J621" s="44" t="n">
        <f aca="false">IF(Gap!K536="","",Gap!K536)</f>
        <v>2</v>
      </c>
      <c r="M621" s="21" t="s">
        <v>5604</v>
      </c>
    </row>
    <row r="622" customFormat="false" ht="17.15" hidden="false" customHeight="false" outlineLevel="0" collapsed="false">
      <c r="A622" s="0" t="s">
        <v>5605</v>
      </c>
      <c r="B622" s="5" t="s">
        <v>5606</v>
      </c>
      <c r="C622" s="0" t="s">
        <v>395</v>
      </c>
      <c r="D622" s="37" t="n">
        <f aca="false">IF(Gap!E535="","",Gap!E535)</f>
        <v>0</v>
      </c>
      <c r="E622" s="37" t="n">
        <f aca="false">IF(Gap!F535="","",Gap!F535)</f>
        <v>0</v>
      </c>
      <c r="F622" s="37" t="n">
        <f aca="false">IF(Gap!G535="","",Gap!G535)</f>
        <v>0</v>
      </c>
      <c r="G622" s="37" t="n">
        <f aca="false">IF(Gap!H535="","",Gap!H535)</f>
        <v>0</v>
      </c>
      <c r="H622" s="37" t="n">
        <f aca="false">IF(Gap!I535="","",Gap!I535)</f>
        <v>144.173088</v>
      </c>
      <c r="I622" s="37" t="n">
        <f aca="false">IF(Gap!J535="","",Gap!J535)</f>
        <v>111.228907</v>
      </c>
      <c r="J622" s="37" t="n">
        <f aca="false">IF(Gap!K535="","",Gap!K535)</f>
        <v>90.2728589999999</v>
      </c>
      <c r="M622" s="21" t="s">
        <v>5607</v>
      </c>
    </row>
    <row r="623" customFormat="false" ht="15" hidden="false" customHeight="false" outlineLevel="0" collapsed="false">
      <c r="A623" s="0" t="s">
        <v>5608</v>
      </c>
      <c r="B623" s="5" t="s">
        <v>2888</v>
      </c>
      <c r="C623" s="0" t="s">
        <v>395</v>
      </c>
      <c r="D623" s="37" t="n">
        <f aca="false">IF(Gap!G547="","",Gap!G547)</f>
        <v>1319.41</v>
      </c>
      <c r="M623" s="21" t="s">
        <v>5609</v>
      </c>
    </row>
    <row r="624" customFormat="false" ht="17.15" hidden="false" customHeight="false" outlineLevel="0" collapsed="false">
      <c r="A624" s="0" t="s">
        <v>5610</v>
      </c>
      <c r="B624" s="5" t="s">
        <v>2890</v>
      </c>
      <c r="C624" s="0" t="s">
        <v>395</v>
      </c>
      <c r="D624" s="37" t="n">
        <f aca="false">IF(Gap!G548="","",Gap!G548)</f>
        <v>922.11</v>
      </c>
      <c r="M624" s="21" t="s">
        <v>5611</v>
      </c>
    </row>
    <row r="625" customFormat="false" ht="17.15" hidden="false" customHeight="false" outlineLevel="0" collapsed="false">
      <c r="A625" s="0" t="s">
        <v>5612</v>
      </c>
      <c r="B625" s="5" t="s">
        <v>5613</v>
      </c>
      <c r="C625" s="0" t="s">
        <v>395</v>
      </c>
      <c r="D625" s="37" t="n">
        <f aca="false">IF(Gap!G549="","",Gap!G549)</f>
        <v>410.054244833333</v>
      </c>
      <c r="M625" s="21" t="s">
        <v>5614</v>
      </c>
    </row>
    <row r="626" customFormat="false" ht="17.15" hidden="false" customHeight="false" outlineLevel="0" collapsed="false">
      <c r="A626" s="0" t="s">
        <v>5615</v>
      </c>
      <c r="B626" s="5" t="s">
        <v>5616</v>
      </c>
      <c r="C626" s="0" t="s">
        <v>82</v>
      </c>
      <c r="D626" s="28" t="n">
        <f aca="false">IF(Gap!E564="","",Gap!E564)</f>
        <v>1.61980834349181</v>
      </c>
      <c r="E626" s="28" t="n">
        <f aca="false">IF(Gap!F564="","",Gap!F564)</f>
        <v>9.04912429484716</v>
      </c>
      <c r="F626" s="28" t="n">
        <f aca="false">IF(Gap!G564="","",Gap!G564)</f>
        <v>12.5153714610592</v>
      </c>
      <c r="G626" s="28" t="n">
        <f aca="false">IF(Gap!H564="","",Gap!H564)</f>
        <v>23.9622539260371</v>
      </c>
      <c r="H626" s="28" t="n">
        <f aca="false">IF(Gap!I564="","",Gap!I564)</f>
        <v>26.9232927993498</v>
      </c>
      <c r="I626" s="28" t="n">
        <f aca="false">IF(Gap!J564="","",Gap!J564)</f>
        <v>27.6634681049025</v>
      </c>
      <c r="J626" s="28" t="n">
        <f aca="false">IF(Gap!K564="","",Gap!K564)</f>
        <v>28.071624456532</v>
      </c>
      <c r="M626" s="21" t="s">
        <v>5617</v>
      </c>
    </row>
    <row r="627" customFormat="false" ht="17.15" hidden="false" customHeight="false" outlineLevel="0" collapsed="false">
      <c r="A627" s="0" t="s">
        <v>5618</v>
      </c>
      <c r="B627" s="5" t="s">
        <v>5619</v>
      </c>
      <c r="C627" s="0" t="s">
        <v>41</v>
      </c>
      <c r="D627" s="28" t="n">
        <f aca="false">IF(Gap!E565="","",Gap!E565)</f>
        <v>1</v>
      </c>
      <c r="E627" s="28" t="n">
        <f aca="false">IF(Gap!F565="","",Gap!F565)</f>
        <v>1</v>
      </c>
      <c r="F627" s="28" t="n">
        <f aca="false">IF(Gap!G565="","",Gap!G565)</f>
        <v>1</v>
      </c>
      <c r="G627" s="28" t="n">
        <f aca="false">IF(Gap!H565="","",Gap!H565)</f>
        <v>1</v>
      </c>
      <c r="H627" s="28" t="n">
        <f aca="false">IF(Gap!I565="","",Gap!I565)</f>
        <v>1</v>
      </c>
      <c r="I627" s="28" t="n">
        <f aca="false">IF(Gap!J565="","",Gap!J565)</f>
        <v>1</v>
      </c>
      <c r="J627" s="28" t="n">
        <f aca="false">IF(Gap!K565="","",Gap!K565)</f>
        <v>1</v>
      </c>
      <c r="M627" s="21" t="s">
        <v>5620</v>
      </c>
    </row>
    <row r="628" customFormat="false" ht="17.15" hidden="false" customHeight="false" outlineLevel="0" collapsed="false">
      <c r="A628" s="0" t="s">
        <v>5621</v>
      </c>
      <c r="B628" s="5" t="s">
        <v>5622</v>
      </c>
      <c r="C628" s="5" t="s">
        <v>726</v>
      </c>
      <c r="D628" s="28" t="n">
        <f aca="false">IF(Gap!E591="","",Gap!E591)</f>
        <v>0.811976138205809</v>
      </c>
      <c r="E628" s="28" t="n">
        <f aca="false">IF(Gap!F591="","",Gap!F591)</f>
        <v>0.830437512691783</v>
      </c>
      <c r="F628" s="28" t="n">
        <f aca="false">IF(Gap!G591="","",Gap!G591)</f>
        <v>0.674358385471085</v>
      </c>
      <c r="G628" s="28" t="n">
        <f aca="false">IF(Gap!H591="","",Gap!H591)</f>
        <v>0.719917639062103</v>
      </c>
      <c r="H628" s="28" t="n">
        <f aca="false">IF(Gap!I591="","",Gap!I591)</f>
        <v>0.740621893120411</v>
      </c>
      <c r="I628" s="28" t="n">
        <f aca="false">IF(Gap!J591="","",Gap!J591)</f>
        <v>0.817173148835507</v>
      </c>
      <c r="J628" s="28" t="n">
        <f aca="false">IF(Gap!K591="","",Gap!K591)</f>
        <v>0.933332034148545</v>
      </c>
      <c r="M628" s="21" t="s">
        <v>5623</v>
      </c>
    </row>
    <row r="629" customFormat="false" ht="17.15" hidden="false" customHeight="false" outlineLevel="0" collapsed="false">
      <c r="A629" s="0" t="s">
        <v>5624</v>
      </c>
      <c r="B629" s="5" t="s">
        <v>5625</v>
      </c>
      <c r="C629" s="0" t="s">
        <v>395</v>
      </c>
      <c r="D629" s="37" t="n">
        <f aca="false">IF(Gap!E573="","",Gap!E573)</f>
        <v>198.215717405791</v>
      </c>
      <c r="E629" s="37" t="n">
        <f aca="false">IF(Gap!F573="","",Gap!F573)</f>
        <v>462.14996825741</v>
      </c>
      <c r="F629" s="37" t="n">
        <f aca="false">IF(Gap!G573="","",Gap!G573)</f>
        <v>647.469742218903</v>
      </c>
      <c r="G629" s="37" t="n">
        <f aca="false">IF(Gap!H573="","",Gap!H573)</f>
        <v>1038.67760329275</v>
      </c>
      <c r="H629" s="37" t="n">
        <f aca="false">IF(Gap!I573="","",Gap!I573)</f>
        <v>1366.48160680253</v>
      </c>
      <c r="I629" s="37" t="n">
        <f aca="false">IF(Gap!J573="","",Gap!J573)</f>
        <v>1471.73582275985</v>
      </c>
      <c r="J629" s="37" t="n">
        <f aca="false">IF(Gap!K573="","",Gap!K573)</f>
        <v>1580.68760981596</v>
      </c>
      <c r="M629" s="21" t="s">
        <v>5626</v>
      </c>
    </row>
    <row r="630" customFormat="false" ht="17.15" hidden="false" customHeight="false" outlineLevel="0" collapsed="false">
      <c r="A630" s="0" t="s">
        <v>5627</v>
      </c>
      <c r="B630" s="5" t="s">
        <v>5628</v>
      </c>
      <c r="C630" s="0" t="s">
        <v>395</v>
      </c>
      <c r="D630" s="37" t="n">
        <f aca="false">IF(Gap!E572="","",Gap!E572)</f>
        <v>137.658722405791</v>
      </c>
      <c r="E630" s="37" t="n">
        <f aca="false">IF(Gap!F572="","",Gap!F572)</f>
        <v>369.33777525741</v>
      </c>
      <c r="F630" s="37" t="n">
        <f aca="false">IF(Gap!G572="","",Gap!G572)</f>
        <v>463.387464218903</v>
      </c>
      <c r="G630" s="37" t="n">
        <f aca="false">IF(Gap!H572="","",Gap!H572)</f>
        <v>826.111229126079</v>
      </c>
      <c r="H630" s="37" t="n">
        <f aca="false">IF(Gap!I572="","",Gap!I572)</f>
        <v>1119.53131505253</v>
      </c>
      <c r="I630" s="37" t="n">
        <f aca="false">IF(Gap!J572="","",Gap!J572)</f>
        <v>1194.60508675985</v>
      </c>
      <c r="J630" s="37" t="n">
        <f aca="false">IF(Gap!K572="","",Gap!K572)</f>
        <v>1281.6612118993</v>
      </c>
      <c r="M630" s="21" t="s">
        <v>5629</v>
      </c>
    </row>
    <row r="631" customFormat="false" ht="17.15" hidden="false" customHeight="false" outlineLevel="0" collapsed="false">
      <c r="A631" s="0" t="s">
        <v>5630</v>
      </c>
      <c r="B631" s="5" t="s">
        <v>5631</v>
      </c>
      <c r="C631" s="0" t="s">
        <v>395</v>
      </c>
      <c r="D631" s="37" t="n">
        <f aca="false">IF(Gap!E574="","",Gap!E574)</f>
        <v>-175.258282594209</v>
      </c>
      <c r="E631" s="37" t="n">
        <f aca="false">IF(Gap!F574="","",Gap!F574)</f>
        <v>-385.854698409257</v>
      </c>
      <c r="F631" s="37" t="n">
        <f aca="false">IF(Gap!G574="","",Gap!G574)</f>
        <v>-152.61803286443</v>
      </c>
      <c r="G631" s="37" t="n">
        <f aca="false">IF(Gap!H574="","",Gap!H574)</f>
        <v>96.0943013760785</v>
      </c>
      <c r="H631" s="37" t="n">
        <f aca="false">IF(Gap!I574="","",Gap!I574)</f>
        <v>213.194744635864</v>
      </c>
      <c r="I631" s="37" t="n">
        <f aca="false">IF(Gap!J574="","",Gap!J574)</f>
        <v>63.0052259265167</v>
      </c>
      <c r="J631" s="37" t="n">
        <f aca="false">IF(Gap!K574="","",Gap!K574)</f>
        <v>-51.0265784340384</v>
      </c>
      <c r="M631" s="21" t="s">
        <v>5632</v>
      </c>
    </row>
    <row r="632" customFormat="false" ht="17.15" hidden="false" customHeight="false" outlineLevel="0" collapsed="false">
      <c r="A632" s="0" t="s">
        <v>5633</v>
      </c>
      <c r="B632" s="5" t="s">
        <v>5634</v>
      </c>
      <c r="C632" s="0" t="s">
        <v>395</v>
      </c>
      <c r="F632" s="37" t="n">
        <f aca="false">IF(Gap!G575="","",Gap!G575)</f>
        <v>-152.61803286443</v>
      </c>
      <c r="G632" s="37" t="n">
        <f aca="false">IF(Gap!H575="","",Gap!H575)</f>
        <v>-56.5237314883512</v>
      </c>
      <c r="H632" s="37" t="n">
        <f aca="false">IF(Gap!I575="","",Gap!I575)</f>
        <v>156.671013147512</v>
      </c>
      <c r="I632" s="37" t="n">
        <f aca="false">IF(Gap!J575="","",Gap!J575)</f>
        <v>219.676239074029</v>
      </c>
      <c r="J632" s="37" t="n">
        <f aca="false">IF(Gap!K575="","",Gap!K575)</f>
        <v>168.649660639991</v>
      </c>
      <c r="M632" s="21" t="s">
        <v>5635</v>
      </c>
    </row>
    <row r="633" customFormat="false" ht="17.15" hidden="false" customHeight="false" outlineLevel="0" collapsed="false">
      <c r="A633" s="0" t="s">
        <v>5636</v>
      </c>
      <c r="B633" s="5" t="s">
        <v>5637</v>
      </c>
      <c r="C633" s="0" t="s">
        <v>395</v>
      </c>
      <c r="F633" s="37" t="n">
        <f aca="false">IF(Gap!G576="","",Gap!G576)</f>
        <v>-683.63557386443</v>
      </c>
      <c r="G633" s="37" t="n">
        <f aca="false">IF(Gap!H576="","",Gap!H576)</f>
        <v>-587.541272488351</v>
      </c>
      <c r="H633" s="37" t="n">
        <f aca="false">IF(Gap!I576="","",Gap!I576)</f>
        <v>-374.346527852488</v>
      </c>
      <c r="I633" s="37" t="n">
        <f aca="false">IF(Gap!J576="","",Gap!J576)</f>
        <v>-311.341301925971</v>
      </c>
      <c r="J633" s="37" t="n">
        <f aca="false">IF(Gap!K576="","",Gap!K576)</f>
        <v>-362.367880360009</v>
      </c>
      <c r="M633" s="21" t="s">
        <v>5638</v>
      </c>
    </row>
    <row r="634" customFormat="false" ht="17.15" hidden="false" customHeight="false" outlineLevel="0" collapsed="false">
      <c r="A634" s="0" t="s">
        <v>5639</v>
      </c>
      <c r="B634" s="5" t="s">
        <v>5640</v>
      </c>
      <c r="C634" s="0" t="s">
        <v>395</v>
      </c>
      <c r="F634" s="37" t="n">
        <f aca="false">IF(Gap!G577="","",Gap!G577)</f>
        <v>-2003.04557386443</v>
      </c>
      <c r="G634" s="37" t="n">
        <f aca="false">IF(Gap!H577="","",Gap!H577)</f>
        <v>-1906.95127248835</v>
      </c>
      <c r="H634" s="37" t="n">
        <f aca="false">IF(Gap!I577="","",Gap!I577)</f>
        <v>-1693.75652785249</v>
      </c>
      <c r="I634" s="37" t="n">
        <f aca="false">IF(Gap!J577="","",Gap!J577)</f>
        <v>-1630.75130192597</v>
      </c>
      <c r="J634" s="37" t="n">
        <f aca="false">IF(Gap!K577="","",Gap!K577)</f>
        <v>-1681.77788036001</v>
      </c>
      <c r="M634" s="21" t="s">
        <v>5641</v>
      </c>
    </row>
    <row r="635" customFormat="false" ht="17.15" hidden="false" customHeight="false" outlineLevel="0" collapsed="false">
      <c r="A635" s="0" t="s">
        <v>5642</v>
      </c>
      <c r="B635" s="5" t="s">
        <v>5643</v>
      </c>
      <c r="C635" s="5" t="s">
        <v>5644</v>
      </c>
      <c r="D635" s="20" t="str">
        <f aca="false">IF(Gap!D580="","",Gap!D580)</f>
        <v>Anthropic 型（2030 起轉正）</v>
      </c>
      <c r="M635" s="21" t="s">
        <v>5645</v>
      </c>
    </row>
    <row r="636" customFormat="false" ht="17.15" hidden="false" customHeight="false" outlineLevel="0" collapsed="false">
      <c r="A636" s="0" t="s">
        <v>5646</v>
      </c>
      <c r="B636" s="5" t="s">
        <v>5647</v>
      </c>
      <c r="C636" s="0" t="s">
        <v>395</v>
      </c>
      <c r="D636" s="37" t="n">
        <f aca="false">IF(Gap!E583="","",Gap!E583)</f>
        <v>198.215717405791</v>
      </c>
      <c r="E636" s="37" t="n">
        <f aca="false">IF(Gap!F583="","",Gap!F583)</f>
        <v>462.14996825741</v>
      </c>
      <c r="F636" s="37" t="n">
        <f aca="false">IF(Gap!G583="","",Gap!G583)</f>
        <v>647.469742218903</v>
      </c>
      <c r="G636" s="37" t="n">
        <f aca="false">IF(Gap!H583="","",Gap!H583)</f>
        <v>1171.87600368819</v>
      </c>
      <c r="H636" s="37" t="n">
        <f aca="false">IF(Gap!I583="","",Gap!I583)</f>
        <v>1336.23990991667</v>
      </c>
      <c r="I636" s="37" t="n">
        <f aca="false">IF(Gap!J583="","",Gap!J583)</f>
        <v>1231.829605</v>
      </c>
      <c r="J636" s="37" t="n">
        <f aca="false">IF(Gap!K583="","",Gap!K583)</f>
        <v>1098.61520208333</v>
      </c>
      <c r="M636" s="21" t="s">
        <v>5648</v>
      </c>
    </row>
    <row r="637" customFormat="false" ht="17.15" hidden="false" customHeight="false" outlineLevel="0" collapsed="false">
      <c r="A637" s="0" t="s">
        <v>5649</v>
      </c>
      <c r="B637" s="5" t="s">
        <v>5650</v>
      </c>
      <c r="C637" s="0" t="s">
        <v>395</v>
      </c>
      <c r="D637" s="37" t="n">
        <f aca="false">IF(Gap!E582="","",Gap!E582)</f>
        <v>137.658722405791</v>
      </c>
      <c r="E637" s="37" t="n">
        <f aca="false">IF(Gap!F582="","",Gap!F582)</f>
        <v>369.33777525741</v>
      </c>
      <c r="F637" s="37" t="n">
        <f aca="false">IF(Gap!G582="","",Gap!G582)</f>
        <v>463.387464218903</v>
      </c>
      <c r="G637" s="37" t="n">
        <f aca="false">IF(Gap!H582="","",Gap!H582)</f>
        <v>959.30962952152</v>
      </c>
      <c r="H637" s="37" t="n">
        <f aca="false">IF(Gap!I582="","",Gap!I582)</f>
        <v>1089.28961816667</v>
      </c>
      <c r="I637" s="37" t="n">
        <f aca="false">IF(Gap!J582="","",Gap!J582)</f>
        <v>954.698869</v>
      </c>
      <c r="J637" s="37" t="n">
        <f aca="false">IF(Gap!K582="","",Gap!K582)</f>
        <v>799.588804166667</v>
      </c>
      <c r="M637" s="21" t="s">
        <v>5651</v>
      </c>
    </row>
    <row r="638" customFormat="false" ht="17.15" hidden="false" customHeight="false" outlineLevel="0" collapsed="false">
      <c r="A638" s="0" t="s">
        <v>5652</v>
      </c>
      <c r="B638" s="5" t="s">
        <v>5653</v>
      </c>
      <c r="C638" s="0" t="s">
        <v>395</v>
      </c>
      <c r="D638" s="37" t="n">
        <f aca="false">IF(Gap!E584="","",Gap!E584)</f>
        <v>-175.258282594209</v>
      </c>
      <c r="E638" s="37" t="n">
        <f aca="false">IF(Gap!F584="","",Gap!F584)</f>
        <v>-385.854698409257</v>
      </c>
      <c r="F638" s="37" t="n">
        <f aca="false">IF(Gap!G584="","",Gap!G584)</f>
        <v>-152.61803286443</v>
      </c>
      <c r="G638" s="37" t="n">
        <f aca="false">IF(Gap!H584="","",Gap!H584)</f>
        <v>229.29270177152</v>
      </c>
      <c r="H638" s="37" t="n">
        <f aca="false">IF(Gap!I584="","",Gap!I584)</f>
        <v>182.95304775</v>
      </c>
      <c r="I638" s="37" t="n">
        <f aca="false">IF(Gap!J584="","",Gap!J584)</f>
        <v>-176.900991833333</v>
      </c>
      <c r="J638" s="37" t="n">
        <f aca="false">IF(Gap!K584="","",Gap!K584)</f>
        <v>-533.098986166667</v>
      </c>
      <c r="M638" s="21" t="s">
        <v>5654</v>
      </c>
    </row>
    <row r="639" customFormat="false" ht="17.15" hidden="false" customHeight="false" outlineLevel="0" collapsed="false">
      <c r="A639" s="0" t="s">
        <v>5655</v>
      </c>
      <c r="B639" s="5" t="s">
        <v>5656</v>
      </c>
      <c r="C639" s="0" t="s">
        <v>395</v>
      </c>
      <c r="F639" s="37" t="n">
        <f aca="false">IF(Gap!G585="","",Gap!G585)</f>
        <v>-152.61803286443</v>
      </c>
      <c r="G639" s="37" t="n">
        <f aca="false">IF(Gap!H585="","",Gap!H585)</f>
        <v>76.67466890709</v>
      </c>
      <c r="H639" s="37" t="n">
        <f aca="false">IF(Gap!I585="","",Gap!I585)</f>
        <v>259.62771665709</v>
      </c>
      <c r="I639" s="37" t="n">
        <f aca="false">IF(Gap!J585="","",Gap!J585)</f>
        <v>82.7267248237569</v>
      </c>
      <c r="J639" s="37" t="n">
        <f aca="false">IF(Gap!K585="","",Gap!K585)</f>
        <v>-450.37226134291</v>
      </c>
      <c r="M639" s="21" t="s">
        <v>5657</v>
      </c>
    </row>
    <row r="640" customFormat="false" ht="17.15" hidden="false" customHeight="false" outlineLevel="0" collapsed="false">
      <c r="A640" s="0" t="s">
        <v>5658</v>
      </c>
      <c r="B640" s="5" t="s">
        <v>5659</v>
      </c>
      <c r="C640" s="0" t="s">
        <v>395</v>
      </c>
      <c r="F640" s="37" t="n">
        <f aca="false">IF(Gap!G586="","",Gap!G586)</f>
        <v>-683.63557386443</v>
      </c>
      <c r="G640" s="37" t="n">
        <f aca="false">IF(Gap!H586="","",Gap!H586)</f>
        <v>-454.34287209291</v>
      </c>
      <c r="H640" s="37" t="n">
        <f aca="false">IF(Gap!I586="","",Gap!I586)</f>
        <v>-271.38982434291</v>
      </c>
      <c r="I640" s="37" t="n">
        <f aca="false">IF(Gap!J586="","",Gap!J586)</f>
        <v>-448.290816176243</v>
      </c>
      <c r="J640" s="37" t="n">
        <f aca="false">IF(Gap!K586="","",Gap!K586)</f>
        <v>-981.38980234291</v>
      </c>
      <c r="M640" s="21" t="s">
        <v>5660</v>
      </c>
    </row>
    <row r="641" customFormat="false" ht="17.15" hidden="false" customHeight="false" outlineLevel="0" collapsed="false">
      <c r="A641" s="0" t="s">
        <v>5661</v>
      </c>
      <c r="B641" s="5" t="s">
        <v>5662</v>
      </c>
      <c r="C641" s="0" t="s">
        <v>395</v>
      </c>
      <c r="F641" s="37" t="n">
        <f aca="false">IF(Gap!G587="","",Gap!G587)</f>
        <v>-2003.04557386443</v>
      </c>
      <c r="G641" s="37" t="n">
        <f aca="false">IF(Gap!H587="","",Gap!H587)</f>
        <v>-1773.75287209291</v>
      </c>
      <c r="H641" s="37" t="n">
        <f aca="false">IF(Gap!I587="","",Gap!I587)</f>
        <v>-1590.79982434291</v>
      </c>
      <c r="I641" s="37" t="n">
        <f aca="false">IF(Gap!J587="","",Gap!J587)</f>
        <v>-1767.70081617624</v>
      </c>
      <c r="J641" s="37" t="n">
        <f aca="false">IF(Gap!K587="","",Gap!K587)</f>
        <v>-2300.79980234291</v>
      </c>
      <c r="M641" s="21" t="s">
        <v>5663</v>
      </c>
    </row>
    <row r="642" customFormat="false" ht="17.15" hidden="false" customHeight="false" outlineLevel="0" collapsed="false">
      <c r="A642" s="0" t="s">
        <v>5664</v>
      </c>
      <c r="B642" s="5" t="s">
        <v>5665</v>
      </c>
      <c r="C642" s="5" t="s">
        <v>5644</v>
      </c>
      <c r="D642" s="20" t="str">
        <f aca="false">IF(Gap!D590="","",Gap!D590)</f>
        <v>Anthropic 型（2029 起轉正）</v>
      </c>
      <c r="M642" s="21" t="s">
        <v>5666</v>
      </c>
    </row>
    <row r="643" customFormat="false" ht="17.15" hidden="false" customHeight="false" outlineLevel="0" collapsed="false">
      <c r="A643" s="0" t="s">
        <v>5667</v>
      </c>
      <c r="B643" s="5" t="s">
        <v>5668</v>
      </c>
      <c r="C643" s="0" t="s">
        <v>82</v>
      </c>
      <c r="D643" s="28" t="n">
        <f aca="false">IF(Gap!E594="","",Gap!E594)</f>
        <v>1.61980834349181</v>
      </c>
      <c r="E643" s="28" t="n">
        <f aca="false">IF(Gap!F594="","",Gap!F594)</f>
        <v>9.04912429484716</v>
      </c>
      <c r="F643" s="28" t="n">
        <f aca="false">IF(Gap!G594="","",Gap!G594)</f>
        <v>11.7062917618926</v>
      </c>
      <c r="G643" s="28" t="n">
        <f aca="false">IF(Gap!H594="","",Gap!H594)</f>
        <v>20.2797100214805</v>
      </c>
      <c r="H643" s="28" t="n">
        <f aca="false">IF(Gap!I594="","",Gap!I594)</f>
        <v>26.1728568298534</v>
      </c>
      <c r="I643" s="28" t="n">
        <f aca="false">IF(Gap!J594="","",Gap!J594)</f>
        <v>27.6795957597641</v>
      </c>
      <c r="J643" s="28" t="n">
        <f aca="false">IF(Gap!K594="","",Gap!K594)</f>
        <v>27.9487470949969</v>
      </c>
      <c r="M643" s="21" t="s">
        <v>5669</v>
      </c>
    </row>
    <row r="644" customFormat="false" ht="17.15" hidden="false" customHeight="false" outlineLevel="0" collapsed="false">
      <c r="A644" s="0" t="s">
        <v>5670</v>
      </c>
      <c r="B644" s="5" t="s">
        <v>5671</v>
      </c>
      <c r="C644" s="0" t="s">
        <v>41</v>
      </c>
      <c r="D644" s="28" t="n">
        <f aca="false">IF(Gap!E595="","",Gap!E595)</f>
        <v>1</v>
      </c>
      <c r="E644" s="28" t="n">
        <f aca="false">IF(Gap!F595="","",Gap!F595)</f>
        <v>1</v>
      </c>
      <c r="F644" s="28" t="n">
        <f aca="false">IF(Gap!G595="","",Gap!G595)</f>
        <v>0.935353121424805</v>
      </c>
      <c r="G644" s="28" t="n">
        <f aca="false">IF(Gap!H595="","",Gap!H595)</f>
        <v>0.846318968327299</v>
      </c>
      <c r="H644" s="28" t="n">
        <f aca="false">IF(Gap!I595="","",Gap!I595)</f>
        <v>0.972126887484041</v>
      </c>
      <c r="I644" s="28" t="n">
        <f aca="false">IF(Gap!J595="","",Gap!J595)</f>
        <v>1.00058299468456</v>
      </c>
      <c r="J644" s="28" t="n">
        <f aca="false">IF(Gap!K595="","",Gap!K595)</f>
        <v>0.995622719956039</v>
      </c>
      <c r="M644" s="21" t="s">
        <v>5672</v>
      </c>
    </row>
    <row r="645" customFormat="false" ht="17.15" hidden="false" customHeight="false" outlineLevel="0" collapsed="false">
      <c r="A645" s="0" t="s">
        <v>5673</v>
      </c>
      <c r="B645" s="5" t="s">
        <v>5674</v>
      </c>
      <c r="C645" s="5" t="s">
        <v>726</v>
      </c>
      <c r="D645" s="28" t="n">
        <f aca="false">IF(Gap!E621="","",Gap!E621)</f>
        <v>0.816901762584096</v>
      </c>
      <c r="E645" s="28" t="n">
        <f aca="false">IF(Gap!F621="","",Gap!F621)</f>
        <v>0.838812894146966</v>
      </c>
      <c r="F645" s="28" t="n">
        <f aca="false">IF(Gap!G621="","",Gap!G621)</f>
        <v>0.674193445577446</v>
      </c>
      <c r="G645" s="28" t="n">
        <f aca="false">IF(Gap!H621="","",Gap!H621)</f>
        <v>0.72176495031041</v>
      </c>
      <c r="H645" s="28" t="n">
        <f aca="false">IF(Gap!I621="","",Gap!I621)</f>
        <v>0.741137891022164</v>
      </c>
      <c r="I645" s="28" t="n">
        <f aca="false">IF(Gap!J621="","",Gap!J621)</f>
        <v>0.81800553674313</v>
      </c>
      <c r="J645" s="28" t="n">
        <f aca="false">IF(Gap!K621="","",Gap!K621)</f>
        <v>0.938223604308705</v>
      </c>
      <c r="M645" s="21" t="s">
        <v>5675</v>
      </c>
    </row>
    <row r="646" customFormat="false" ht="17.15" hidden="false" customHeight="false" outlineLevel="0" collapsed="false">
      <c r="A646" s="0" t="s">
        <v>5676</v>
      </c>
      <c r="B646" s="5" t="s">
        <v>5677</v>
      </c>
      <c r="C646" s="0" t="s">
        <v>395</v>
      </c>
      <c r="D646" s="37" t="n">
        <f aca="false">IF(Gap!E603="","",Gap!E603)</f>
        <v>195.192879875412</v>
      </c>
      <c r="E646" s="37" t="n">
        <f aca="false">IF(Gap!F603="","",Gap!F603)</f>
        <v>444.10854041044</v>
      </c>
      <c r="F646" s="37" t="n">
        <f aca="false">IF(Gap!G603="","",Gap!G603)</f>
        <v>612.968717800638</v>
      </c>
      <c r="G646" s="37" t="n">
        <f aca="false">IF(Gap!H603="","",Gap!H603)</f>
        <v>945.383299608852</v>
      </c>
      <c r="H646" s="37" t="n">
        <f aca="false">IF(Gap!I603="","",Gap!I603)</f>
        <v>1342.11995038596</v>
      </c>
      <c r="I646" s="37" t="n">
        <f aca="false">IF(Gap!J603="","",Gap!J603)</f>
        <v>1476.52729831463</v>
      </c>
      <c r="J646" s="37" t="n">
        <f aca="false">IF(Gap!K603="","",Gap!K603)</f>
        <v>1592.77424156671</v>
      </c>
      <c r="M646" s="21" t="s">
        <v>5678</v>
      </c>
    </row>
    <row r="647" customFormat="false" ht="17.15" hidden="false" customHeight="false" outlineLevel="0" collapsed="false">
      <c r="A647" s="0" t="s">
        <v>5679</v>
      </c>
      <c r="B647" s="5" t="s">
        <v>5680</v>
      </c>
      <c r="C647" s="0" t="s">
        <v>395</v>
      </c>
      <c r="D647" s="37" t="n">
        <f aca="false">IF(Gap!E602="","",Gap!E602)</f>
        <v>134.635884875412</v>
      </c>
      <c r="E647" s="37" t="n">
        <f aca="false">IF(Gap!F602="","",Gap!F602)</f>
        <v>351.29634741044</v>
      </c>
      <c r="F647" s="37" t="n">
        <f aca="false">IF(Gap!G602="","",Gap!G602)</f>
        <v>428.886439800638</v>
      </c>
      <c r="G647" s="37" t="n">
        <f aca="false">IF(Gap!H602="","",Gap!H602)</f>
        <v>732.816925442185</v>
      </c>
      <c r="H647" s="37" t="n">
        <f aca="false">IF(Gap!I602="","",Gap!I602)</f>
        <v>1095.16965863596</v>
      </c>
      <c r="I647" s="37" t="n">
        <f aca="false">IF(Gap!J602="","",Gap!J602)</f>
        <v>1199.39656231463</v>
      </c>
      <c r="J647" s="37" t="n">
        <f aca="false">IF(Gap!K602="","",Gap!K602)</f>
        <v>1293.74784365004</v>
      </c>
      <c r="M647" s="21" t="s">
        <v>5681</v>
      </c>
    </row>
    <row r="648" customFormat="false" ht="17.15" hidden="false" customHeight="false" outlineLevel="0" collapsed="false">
      <c r="A648" s="0" t="s">
        <v>5682</v>
      </c>
      <c r="B648" s="5" t="s">
        <v>5683</v>
      </c>
      <c r="C648" s="0" t="s">
        <v>395</v>
      </c>
      <c r="D648" s="37" t="n">
        <f aca="false">IF(Gap!E604="","",Gap!E604)</f>
        <v>-178.281120124588</v>
      </c>
      <c r="E648" s="37" t="n">
        <f aca="false">IF(Gap!F604="","",Gap!F604)</f>
        <v>-403.896126256227</v>
      </c>
      <c r="F648" s="37" t="n">
        <f aca="false">IF(Gap!G604="","",Gap!G604)</f>
        <v>-187.119057282695</v>
      </c>
      <c r="G648" s="37" t="n">
        <f aca="false">IF(Gap!H604="","",Gap!H604)</f>
        <v>2.79999769218512</v>
      </c>
      <c r="H648" s="37" t="n">
        <f aca="false">IF(Gap!I604="","",Gap!I604)</f>
        <v>188.833088219294</v>
      </c>
      <c r="I648" s="37" t="n">
        <f aca="false">IF(Gap!J604="","",Gap!J604)</f>
        <v>67.7967014812932</v>
      </c>
      <c r="J648" s="37" t="n">
        <f aca="false">IF(Gap!K604="","",Gap!K604)</f>
        <v>-38.9399466832947</v>
      </c>
      <c r="M648" s="21" t="s">
        <v>5684</v>
      </c>
    </row>
    <row r="649" customFormat="false" ht="17.15" hidden="false" customHeight="false" outlineLevel="0" collapsed="false">
      <c r="A649" s="0" t="s">
        <v>5685</v>
      </c>
      <c r="B649" s="5" t="s">
        <v>5686</v>
      </c>
      <c r="C649" s="0" t="s">
        <v>395</v>
      </c>
      <c r="F649" s="37" t="n">
        <f aca="false">IF(Gap!G605="","",Gap!G605)</f>
        <v>-187.119057282695</v>
      </c>
      <c r="G649" s="37" t="n">
        <f aca="false">IF(Gap!H605="","",Gap!H605)</f>
        <v>-184.31905959051</v>
      </c>
      <c r="H649" s="37" t="n">
        <f aca="false">IF(Gap!I605="","",Gap!I605)</f>
        <v>4.51402862878399</v>
      </c>
      <c r="I649" s="37" t="n">
        <f aca="false">IF(Gap!J605="","",Gap!J605)</f>
        <v>72.3107301100772</v>
      </c>
      <c r="J649" s="37" t="n">
        <f aca="false">IF(Gap!K605="","",Gap!K605)</f>
        <v>33.3707834267825</v>
      </c>
      <c r="M649" s="21" t="s">
        <v>5687</v>
      </c>
    </row>
    <row r="650" customFormat="false" ht="17.15" hidden="false" customHeight="false" outlineLevel="0" collapsed="false">
      <c r="A650" s="0" t="s">
        <v>5688</v>
      </c>
      <c r="B650" s="5" t="s">
        <v>5689</v>
      </c>
      <c r="C650" s="0" t="s">
        <v>395</v>
      </c>
      <c r="F650" s="37" t="n">
        <f aca="false">IF(Gap!G606="","",Gap!G606)</f>
        <v>-718.136598282695</v>
      </c>
      <c r="G650" s="37" t="n">
        <f aca="false">IF(Gap!H606="","",Gap!H606)</f>
        <v>-715.33660059051</v>
      </c>
      <c r="H650" s="37" t="n">
        <f aca="false">IF(Gap!I606="","",Gap!I606)</f>
        <v>-526.503512371216</v>
      </c>
      <c r="I650" s="37" t="n">
        <f aca="false">IF(Gap!J606="","",Gap!J606)</f>
        <v>-458.706810889923</v>
      </c>
      <c r="J650" s="37" t="n">
        <f aca="false">IF(Gap!K606="","",Gap!K606)</f>
        <v>-497.646757573217</v>
      </c>
      <c r="M650" s="21" t="s">
        <v>5690</v>
      </c>
    </row>
    <row r="651" customFormat="false" ht="17.15" hidden="false" customHeight="false" outlineLevel="0" collapsed="false">
      <c r="A651" s="0" t="s">
        <v>5691</v>
      </c>
      <c r="B651" s="5" t="s">
        <v>5692</v>
      </c>
      <c r="C651" s="0" t="s">
        <v>395</v>
      </c>
      <c r="F651" s="37" t="n">
        <f aca="false">IF(Gap!G607="","",Gap!G607)</f>
        <v>-2037.5465982827</v>
      </c>
      <c r="G651" s="37" t="n">
        <f aca="false">IF(Gap!H607="","",Gap!H607)</f>
        <v>-2034.74660059051</v>
      </c>
      <c r="H651" s="37" t="n">
        <f aca="false">IF(Gap!I607="","",Gap!I607)</f>
        <v>-1845.91351237122</v>
      </c>
      <c r="I651" s="37" t="n">
        <f aca="false">IF(Gap!J607="","",Gap!J607)</f>
        <v>-1778.11681088992</v>
      </c>
      <c r="J651" s="37" t="n">
        <f aca="false">IF(Gap!K607="","",Gap!K607)</f>
        <v>-1817.05675757322</v>
      </c>
      <c r="M651" s="21" t="s">
        <v>5693</v>
      </c>
    </row>
    <row r="652" customFormat="false" ht="17.15" hidden="false" customHeight="false" outlineLevel="0" collapsed="false">
      <c r="A652" s="0" t="s">
        <v>5694</v>
      </c>
      <c r="B652" s="5" t="s">
        <v>5695</v>
      </c>
      <c r="C652" s="5" t="s">
        <v>5644</v>
      </c>
      <c r="D652" s="20" t="str">
        <f aca="false">IF(Gap!D610="","",Gap!D610)</f>
        <v>Anthropic 型（2030 起轉正）</v>
      </c>
      <c r="M652" s="21" t="s">
        <v>5696</v>
      </c>
    </row>
    <row r="653" customFormat="false" ht="17.15" hidden="false" customHeight="false" outlineLevel="0" collapsed="false">
      <c r="A653" s="0" t="s">
        <v>5697</v>
      </c>
      <c r="B653" s="5" t="s">
        <v>5698</v>
      </c>
      <c r="C653" s="0" t="s">
        <v>395</v>
      </c>
      <c r="D653" s="37" t="n">
        <f aca="false">IF(Gap!E613="","",Gap!E613)</f>
        <v>195.192879875412</v>
      </c>
      <c r="E653" s="37" t="n">
        <f aca="false">IF(Gap!F613="","",Gap!F613)</f>
        <v>444.10854041044</v>
      </c>
      <c r="F653" s="37" t="n">
        <f aca="false">IF(Gap!G613="","",Gap!G613)</f>
        <v>612.968717800638</v>
      </c>
      <c r="G653" s="37" t="n">
        <f aca="false">IF(Gap!H613="","",Gap!H613)</f>
        <v>1024.44831012976</v>
      </c>
      <c r="H653" s="37" t="n">
        <f aca="false">IF(Gap!I613="","",Gap!I613)</f>
        <v>1305.87801782704</v>
      </c>
      <c r="I653" s="37" t="n">
        <f aca="false">IF(Gap!J613="","",Gap!J613)</f>
        <v>1232.38618936598</v>
      </c>
      <c r="J653" s="37" t="n">
        <f aca="false">IF(Gap!K613="","",Gap!K613)</f>
        <v>1095.11517796748</v>
      </c>
      <c r="M653" s="21" t="s">
        <v>5699</v>
      </c>
    </row>
    <row r="654" customFormat="false" ht="17.15" hidden="false" customHeight="false" outlineLevel="0" collapsed="false">
      <c r="A654" s="0" t="s">
        <v>5700</v>
      </c>
      <c r="B654" s="5" t="s">
        <v>5701</v>
      </c>
      <c r="C654" s="0" t="s">
        <v>395</v>
      </c>
      <c r="D654" s="37" t="n">
        <f aca="false">IF(Gap!E612="","",Gap!E612)</f>
        <v>134.635884875412</v>
      </c>
      <c r="E654" s="37" t="n">
        <f aca="false">IF(Gap!F612="","",Gap!F612)</f>
        <v>351.29634741044</v>
      </c>
      <c r="F654" s="37" t="n">
        <f aca="false">IF(Gap!G612="","",Gap!G612)</f>
        <v>428.886439800638</v>
      </c>
      <c r="G654" s="37" t="n">
        <f aca="false">IF(Gap!H612="","",Gap!H612)</f>
        <v>811.881935963096</v>
      </c>
      <c r="H654" s="37" t="n">
        <f aca="false">IF(Gap!I612="","",Gap!I612)</f>
        <v>1058.92772607704</v>
      </c>
      <c r="I654" s="37" t="n">
        <f aca="false">IF(Gap!J612="","",Gap!J612)</f>
        <v>955.255453365981</v>
      </c>
      <c r="J654" s="37" t="n">
        <f aca="false">IF(Gap!K612="","",Gap!K612)</f>
        <v>796.088780050813</v>
      </c>
      <c r="M654" s="21" t="s">
        <v>5702</v>
      </c>
    </row>
    <row r="655" customFormat="false" ht="17.15" hidden="false" customHeight="false" outlineLevel="0" collapsed="false">
      <c r="A655" s="0" t="s">
        <v>5703</v>
      </c>
      <c r="B655" s="5" t="s">
        <v>5704</v>
      </c>
      <c r="C655" s="0" t="s">
        <v>395</v>
      </c>
      <c r="D655" s="37" t="n">
        <f aca="false">IF(Gap!E614="","",Gap!E614)</f>
        <v>-178.281120124588</v>
      </c>
      <c r="E655" s="37" t="n">
        <f aca="false">IF(Gap!F614="","",Gap!F614)</f>
        <v>-403.896126256227</v>
      </c>
      <c r="F655" s="37" t="n">
        <f aca="false">IF(Gap!G614="","",Gap!G614)</f>
        <v>-187.119057282695</v>
      </c>
      <c r="G655" s="37" t="n">
        <f aca="false">IF(Gap!H614="","",Gap!H614)</f>
        <v>81.8650082130961</v>
      </c>
      <c r="H655" s="37" t="n">
        <f aca="false">IF(Gap!I614="","",Gap!I614)</f>
        <v>152.591155660374</v>
      </c>
      <c r="I655" s="37" t="n">
        <f aca="false">IF(Gap!J614="","",Gap!J614)</f>
        <v>-176.344407467353</v>
      </c>
      <c r="J655" s="37" t="n">
        <f aca="false">IF(Gap!K614="","",Gap!K614)</f>
        <v>-536.59901028252</v>
      </c>
      <c r="M655" s="21" t="s">
        <v>5705</v>
      </c>
    </row>
    <row r="656" customFormat="false" ht="17.15" hidden="false" customHeight="false" outlineLevel="0" collapsed="false">
      <c r="A656" s="0" t="s">
        <v>5706</v>
      </c>
      <c r="B656" s="5" t="s">
        <v>5707</v>
      </c>
      <c r="C656" s="0" t="s">
        <v>395</v>
      </c>
      <c r="F656" s="37" t="n">
        <f aca="false">IF(Gap!G615="","",Gap!G615)</f>
        <v>-187.119057282695</v>
      </c>
      <c r="G656" s="37" t="n">
        <f aca="false">IF(Gap!H615="","",Gap!H615)</f>
        <v>-105.254049069599</v>
      </c>
      <c r="H656" s="37" t="n">
        <f aca="false">IF(Gap!I615="","",Gap!I615)</f>
        <v>47.3371065907751</v>
      </c>
      <c r="I656" s="37" t="n">
        <f aca="false">IF(Gap!J615="","",Gap!J615)</f>
        <v>-129.007300876577</v>
      </c>
      <c r="J656" s="37" t="n">
        <f aca="false">IF(Gap!K615="","",Gap!K615)</f>
        <v>-665.606311159098</v>
      </c>
      <c r="M656" s="21" t="s">
        <v>5708</v>
      </c>
    </row>
    <row r="657" customFormat="false" ht="17.15" hidden="false" customHeight="false" outlineLevel="0" collapsed="false">
      <c r="A657" s="0" t="s">
        <v>5709</v>
      </c>
      <c r="B657" s="5" t="s">
        <v>5710</v>
      </c>
      <c r="C657" s="0" t="s">
        <v>395</v>
      </c>
      <c r="F657" s="37" t="n">
        <f aca="false">IF(Gap!G616="","",Gap!G616)</f>
        <v>-718.136598282695</v>
      </c>
      <c r="G657" s="37" t="n">
        <f aca="false">IF(Gap!H616="","",Gap!H616)</f>
        <v>-636.271590069599</v>
      </c>
      <c r="H657" s="37" t="n">
        <f aca="false">IF(Gap!I616="","",Gap!I616)</f>
        <v>-483.680434409225</v>
      </c>
      <c r="I657" s="37" t="n">
        <f aca="false">IF(Gap!J616="","",Gap!J616)</f>
        <v>-660.024841876577</v>
      </c>
      <c r="J657" s="37" t="n">
        <f aca="false">IF(Gap!K616="","",Gap!K616)</f>
        <v>-1196.6238521591</v>
      </c>
      <c r="M657" s="21" t="s">
        <v>5711</v>
      </c>
    </row>
    <row r="658" customFormat="false" ht="17.15" hidden="false" customHeight="false" outlineLevel="0" collapsed="false">
      <c r="A658" s="0" t="s">
        <v>5712</v>
      </c>
      <c r="B658" s="5" t="s">
        <v>5713</v>
      </c>
      <c r="C658" s="0" t="s">
        <v>395</v>
      </c>
      <c r="F658" s="37" t="n">
        <f aca="false">IF(Gap!G617="","",Gap!G617)</f>
        <v>-2037.5465982827</v>
      </c>
      <c r="G658" s="37" t="n">
        <f aca="false">IF(Gap!H617="","",Gap!H617)</f>
        <v>-1955.6815900696</v>
      </c>
      <c r="H658" s="37" t="n">
        <f aca="false">IF(Gap!I617="","",Gap!I617)</f>
        <v>-1803.09043440923</v>
      </c>
      <c r="I658" s="37" t="n">
        <f aca="false">IF(Gap!J617="","",Gap!J617)</f>
        <v>-1979.43484187658</v>
      </c>
      <c r="J658" s="37" t="n">
        <f aca="false">IF(Gap!K617="","",Gap!K617)</f>
        <v>-2516.0338521591</v>
      </c>
      <c r="M658" s="21" t="s">
        <v>5714</v>
      </c>
    </row>
    <row r="659" customFormat="false" ht="17.15" hidden="false" customHeight="false" outlineLevel="0" collapsed="false">
      <c r="A659" s="0" t="s">
        <v>5715</v>
      </c>
      <c r="B659" s="5" t="s">
        <v>5716</v>
      </c>
      <c r="C659" s="5" t="s">
        <v>5644</v>
      </c>
      <c r="D659" s="20" t="str">
        <f aca="false">IF(Gap!D620="","",Gap!D620)</f>
        <v>Anthropic 型（2029 起轉正）</v>
      </c>
      <c r="M659" s="21" t="s">
        <v>5717</v>
      </c>
    </row>
    <row r="660" customFormat="false" ht="17.15" hidden="false" customHeight="false" outlineLevel="0" collapsed="false">
      <c r="A660" s="0" t="s">
        <v>5718</v>
      </c>
      <c r="B660" s="5" t="s">
        <v>5719</v>
      </c>
      <c r="C660" s="0" t="s">
        <v>82</v>
      </c>
      <c r="D660" s="28" t="n">
        <f aca="false">IF(Gap!E624="","",Gap!E624)</f>
        <v>1.61980834349181</v>
      </c>
      <c r="E660" s="28" t="n">
        <f aca="false">IF(Gap!F624="","",Gap!F624)</f>
        <v>9.04912429484716</v>
      </c>
      <c r="F660" s="28" t="n">
        <f aca="false">IF(Gap!G624="","",Gap!G624)</f>
        <v>11.7062917618926</v>
      </c>
      <c r="G660" s="28" t="n">
        <f aca="false">IF(Gap!H624="","",Gap!H624)</f>
        <v>12.5413778925549</v>
      </c>
      <c r="H660" s="28" t="n">
        <f aca="false">IF(Gap!I624="","",Gap!I624)</f>
        <v>24.1617662268376</v>
      </c>
      <c r="I660" s="28" t="n">
        <f aca="false">IF(Gap!J624="","",Gap!J624)</f>
        <v>35.3537546624176</v>
      </c>
      <c r="J660" s="28" t="n">
        <f aca="false">IF(Gap!K624="","",Gap!K624)</f>
        <v>30.0240109242847</v>
      </c>
      <c r="M660" s="21" t="s">
        <v>5720</v>
      </c>
    </row>
    <row r="661" customFormat="false" ht="17.15" hidden="false" customHeight="false" outlineLevel="0" collapsed="false">
      <c r="A661" s="0" t="s">
        <v>5721</v>
      </c>
      <c r="B661" s="5" t="s">
        <v>5722</v>
      </c>
      <c r="C661" s="0" t="s">
        <v>41</v>
      </c>
      <c r="D661" s="28" t="n">
        <f aca="false">IF(Gap!E625="","",Gap!E625)</f>
        <v>1</v>
      </c>
      <c r="E661" s="28" t="n">
        <f aca="false">IF(Gap!F625="","",Gap!F625)</f>
        <v>1</v>
      </c>
      <c r="F661" s="28" t="n">
        <f aca="false">IF(Gap!G625="","",Gap!G625)</f>
        <v>0.935353121424805</v>
      </c>
      <c r="G661" s="28" t="n">
        <f aca="false">IF(Gap!H625="","",Gap!H625)</f>
        <v>0.523380560579387</v>
      </c>
      <c r="H661" s="28" t="n">
        <f aca="false">IF(Gap!I625="","",Gap!I625)</f>
        <v>0.897429835455384</v>
      </c>
      <c r="I661" s="28" t="n">
        <f aca="false">IF(Gap!J625="","",Gap!J625)</f>
        <v>1.27799430383612</v>
      </c>
      <c r="J661" s="28" t="n">
        <f aca="false">IF(Gap!K625="","",Gap!K625)</f>
        <v>1.06955017764561</v>
      </c>
      <c r="M661" s="21" t="s">
        <v>5723</v>
      </c>
    </row>
    <row r="662" customFormat="false" ht="17.15" hidden="false" customHeight="false" outlineLevel="0" collapsed="false">
      <c r="A662" s="0" t="s">
        <v>5724</v>
      </c>
      <c r="B662" s="5" t="s">
        <v>5725</v>
      </c>
      <c r="C662" s="5" t="s">
        <v>726</v>
      </c>
      <c r="D662" s="28" t="n">
        <f aca="false">IF(Gap!E651="","",Gap!E651)</f>
        <v>0.816901762584096</v>
      </c>
      <c r="E662" s="28" t="n">
        <f aca="false">IF(Gap!F651="","",Gap!F651)</f>
        <v>0.854460356132562</v>
      </c>
      <c r="F662" s="28" t="n">
        <f aca="false">IF(Gap!G651="","",Gap!G651)</f>
        <v>0.67056344397463</v>
      </c>
      <c r="G662" s="28" t="n">
        <f aca="false">IF(Gap!H651="","",Gap!H651)</f>
        <v>0.73133358226981</v>
      </c>
      <c r="H662" s="28" t="n">
        <f aca="false">IF(Gap!I651="","",Gap!I651)</f>
        <v>0.745526960117536</v>
      </c>
      <c r="I662" s="28" t="n">
        <f aca="false">IF(Gap!J651="","",Gap!J651)</f>
        <v>0.810869492176076</v>
      </c>
      <c r="J662" s="28" t="n">
        <f aca="false">IF(Gap!K651="","",Gap!K651)</f>
        <v>0.932706223655326</v>
      </c>
      <c r="M662" s="21" t="s">
        <v>5726</v>
      </c>
    </row>
    <row r="663" customFormat="false" ht="17.15" hidden="false" customHeight="false" outlineLevel="0" collapsed="false">
      <c r="A663" s="0" t="s">
        <v>5727</v>
      </c>
      <c r="B663" s="5" t="s">
        <v>5728</v>
      </c>
      <c r="C663" s="0" t="s">
        <v>395</v>
      </c>
      <c r="D663" s="37" t="n">
        <f aca="false">IF(Gap!E633="","",Gap!E633)</f>
        <v>195.192879875412</v>
      </c>
      <c r="E663" s="37" t="n">
        <f aca="false">IF(Gap!F633="","",Gap!F633)</f>
        <v>412.549150219803</v>
      </c>
      <c r="F663" s="37" t="n">
        <f aca="false">IF(Gap!G633="","",Gap!G633)</f>
        <v>572.966488123504</v>
      </c>
      <c r="G663" s="37" t="n">
        <f aca="false">IF(Gap!H633="","",Gap!H633)</f>
        <v>782.326878445746</v>
      </c>
      <c r="H663" s="37" t="n">
        <f aca="false">IF(Gap!I633="","",Gap!I633)</f>
        <v>1323.47369278499</v>
      </c>
      <c r="I663" s="37" t="n">
        <f aca="false">IF(Gap!J633="","",Gap!J633)</f>
        <v>1737.44246838393</v>
      </c>
      <c r="J663" s="37" t="n">
        <f aca="false">IF(Gap!K633="","",Gap!K633)</f>
        <v>1663.86372901982</v>
      </c>
      <c r="M663" s="21" t="s">
        <v>5729</v>
      </c>
    </row>
    <row r="664" customFormat="false" ht="17.15" hidden="false" customHeight="false" outlineLevel="0" collapsed="false">
      <c r="A664" s="0" t="s">
        <v>5730</v>
      </c>
      <c r="B664" s="5" t="s">
        <v>5731</v>
      </c>
      <c r="C664" s="0" t="s">
        <v>395</v>
      </c>
      <c r="D664" s="37" t="n">
        <f aca="false">IF(Gap!E632="","",Gap!E632)</f>
        <v>134.635884875412</v>
      </c>
      <c r="E664" s="37" t="n">
        <f aca="false">IF(Gap!F632="","",Gap!F632)</f>
        <v>319.736957219803</v>
      </c>
      <c r="F664" s="37" t="n">
        <f aca="false">IF(Gap!G632="","",Gap!G632)</f>
        <v>388.884210123504</v>
      </c>
      <c r="G664" s="37" t="n">
        <f aca="false">IF(Gap!H632="","",Gap!H632)</f>
        <v>569.760504279079</v>
      </c>
      <c r="H664" s="37" t="n">
        <f aca="false">IF(Gap!I632="","",Gap!I632)</f>
        <v>1076.52340103499</v>
      </c>
      <c r="I664" s="37" t="n">
        <f aca="false">IF(Gap!J632="","",Gap!J632)</f>
        <v>1460.31173238393</v>
      </c>
      <c r="J664" s="37" t="n">
        <f aca="false">IF(Gap!K632="","",Gap!K632)</f>
        <v>1364.83733110316</v>
      </c>
      <c r="M664" s="21" t="s">
        <v>5732</v>
      </c>
    </row>
    <row r="665" customFormat="false" ht="17.15" hidden="false" customHeight="false" outlineLevel="0" collapsed="false">
      <c r="A665" s="0" t="s">
        <v>5733</v>
      </c>
      <c r="B665" s="5" t="s">
        <v>5734</v>
      </c>
      <c r="C665" s="0" t="s">
        <v>395</v>
      </c>
      <c r="D665" s="37" t="n">
        <f aca="false">IF(Gap!E634="","",Gap!E634)</f>
        <v>-178.281120124588</v>
      </c>
      <c r="E665" s="37" t="n">
        <f aca="false">IF(Gap!F634="","",Gap!F634)</f>
        <v>-435.455516446863</v>
      </c>
      <c r="F665" s="37" t="n">
        <f aca="false">IF(Gap!G634="","",Gap!G634)</f>
        <v>-227.121286959829</v>
      </c>
      <c r="G665" s="37" t="n">
        <f aca="false">IF(Gap!H634="","",Gap!H634)</f>
        <v>-160.256423470921</v>
      </c>
      <c r="H665" s="37" t="n">
        <f aca="false">IF(Gap!I634="","",Gap!I634)</f>
        <v>170.186830618323</v>
      </c>
      <c r="I665" s="37" t="n">
        <f aca="false">IF(Gap!J634="","",Gap!J634)</f>
        <v>328.711871550598</v>
      </c>
      <c r="J665" s="37" t="n">
        <f aca="false">IF(Gap!K634="","",Gap!K634)</f>
        <v>32.149540769823</v>
      </c>
      <c r="M665" s="21" t="s">
        <v>5735</v>
      </c>
    </row>
    <row r="666" customFormat="false" ht="17.15" hidden="false" customHeight="false" outlineLevel="0" collapsed="false">
      <c r="A666" s="0" t="s">
        <v>5736</v>
      </c>
      <c r="B666" s="5" t="s">
        <v>5737</v>
      </c>
      <c r="C666" s="0" t="s">
        <v>395</v>
      </c>
      <c r="F666" s="37" t="n">
        <f aca="false">IF(Gap!G635="","",Gap!G635)</f>
        <v>-227.121286959829</v>
      </c>
      <c r="G666" s="37" t="n">
        <f aca="false">IF(Gap!H635="","",Gap!H635)</f>
        <v>-387.37771043075</v>
      </c>
      <c r="H666" s="37" t="n">
        <f aca="false">IF(Gap!I635="","",Gap!I635)</f>
        <v>-217.190879812427</v>
      </c>
      <c r="I666" s="37" t="n">
        <f aca="false">IF(Gap!J635="","",Gap!J635)</f>
        <v>111.520991738171</v>
      </c>
      <c r="J666" s="37" t="n">
        <f aca="false">IF(Gap!K635="","",Gap!K635)</f>
        <v>143.670532507994</v>
      </c>
      <c r="M666" s="21" t="s">
        <v>5738</v>
      </c>
    </row>
    <row r="667" customFormat="false" ht="17.15" hidden="false" customHeight="false" outlineLevel="0" collapsed="false">
      <c r="A667" s="0" t="s">
        <v>5739</v>
      </c>
      <c r="B667" s="5" t="s">
        <v>5740</v>
      </c>
      <c r="C667" s="0" t="s">
        <v>395</v>
      </c>
      <c r="F667" s="37" t="n">
        <f aca="false">IF(Gap!G636="","",Gap!G636)</f>
        <v>-758.138827959829</v>
      </c>
      <c r="G667" s="37" t="n">
        <f aca="false">IF(Gap!H636="","",Gap!H636)</f>
        <v>-918.39525143075</v>
      </c>
      <c r="H667" s="37" t="n">
        <f aca="false">IF(Gap!I636="","",Gap!I636)</f>
        <v>-748.208420812427</v>
      </c>
      <c r="I667" s="37" t="n">
        <f aca="false">IF(Gap!J636="","",Gap!J636)</f>
        <v>-419.496549261829</v>
      </c>
      <c r="J667" s="37" t="n">
        <f aca="false">IF(Gap!K636="","",Gap!K636)</f>
        <v>-387.347008492006</v>
      </c>
      <c r="M667" s="21" t="s">
        <v>5741</v>
      </c>
    </row>
    <row r="668" customFormat="false" ht="17.15" hidden="false" customHeight="false" outlineLevel="0" collapsed="false">
      <c r="A668" s="0" t="s">
        <v>5742</v>
      </c>
      <c r="B668" s="5" t="s">
        <v>5743</v>
      </c>
      <c r="C668" s="0" t="s">
        <v>395</v>
      </c>
      <c r="F668" s="37" t="n">
        <f aca="false">IF(Gap!G637="","",Gap!G637)</f>
        <v>-2077.54882795983</v>
      </c>
      <c r="G668" s="37" t="n">
        <f aca="false">IF(Gap!H637="","",Gap!H637)</f>
        <v>-2237.80525143075</v>
      </c>
      <c r="H668" s="37" t="n">
        <f aca="false">IF(Gap!I637="","",Gap!I637)</f>
        <v>-2067.61842081243</v>
      </c>
      <c r="I668" s="37" t="n">
        <f aca="false">IF(Gap!J637="","",Gap!J637)</f>
        <v>-1738.90654926183</v>
      </c>
      <c r="J668" s="37" t="n">
        <f aca="false">IF(Gap!K637="","",Gap!K637)</f>
        <v>-1706.75700849201</v>
      </c>
      <c r="M668" s="21" t="s">
        <v>5744</v>
      </c>
    </row>
    <row r="669" customFormat="false" ht="17.15" hidden="false" customHeight="false" outlineLevel="0" collapsed="false">
      <c r="A669" s="0" t="s">
        <v>5745</v>
      </c>
      <c r="B669" s="5" t="s">
        <v>5746</v>
      </c>
      <c r="C669" s="5" t="s">
        <v>5644</v>
      </c>
      <c r="D669" s="20" t="str">
        <f aca="false">IF(Gap!D640="","",Gap!D640)</f>
        <v>OpenAI 型</v>
      </c>
      <c r="M669" s="21" t="s">
        <v>5747</v>
      </c>
    </row>
    <row r="670" customFormat="false" ht="17.15" hidden="false" customHeight="false" outlineLevel="0" collapsed="false">
      <c r="A670" s="0" t="s">
        <v>5748</v>
      </c>
      <c r="B670" s="5" t="s">
        <v>5749</v>
      </c>
      <c r="C670" s="0" t="s">
        <v>395</v>
      </c>
      <c r="D670" s="37" t="n">
        <f aca="false">IF(Gap!E643="","",Gap!E643)</f>
        <v>195.192879875412</v>
      </c>
      <c r="E670" s="37" t="n">
        <f aca="false">IF(Gap!F643="","",Gap!F643)</f>
        <v>412.549150219803</v>
      </c>
      <c r="F670" s="37" t="n">
        <f aca="false">IF(Gap!G643="","",Gap!G643)</f>
        <v>572.966488123504</v>
      </c>
      <c r="G670" s="37" t="n">
        <f aca="false">IF(Gap!H643="","",Gap!H643)</f>
        <v>714.650385834844</v>
      </c>
      <c r="H670" s="37" t="n">
        <f aca="false">IF(Gap!I643="","",Gap!I643)</f>
        <v>1224.51129454457</v>
      </c>
      <c r="I670" s="37" t="n">
        <f aca="false">IF(Gap!J643="","",Gap!J643)</f>
        <v>1497.23045246079</v>
      </c>
      <c r="J670" s="37" t="n">
        <f aca="false">IF(Gap!K643="","",Gap!K643)</f>
        <v>1154.22674545657</v>
      </c>
      <c r="M670" s="21" t="s">
        <v>5750</v>
      </c>
    </row>
    <row r="671" customFormat="false" ht="17.15" hidden="false" customHeight="false" outlineLevel="0" collapsed="false">
      <c r="A671" s="0" t="s">
        <v>5751</v>
      </c>
      <c r="B671" s="5" t="s">
        <v>5752</v>
      </c>
      <c r="C671" s="0" t="s">
        <v>395</v>
      </c>
      <c r="D671" s="37" t="n">
        <f aca="false">IF(Gap!E642="","",Gap!E642)</f>
        <v>134.635884875412</v>
      </c>
      <c r="E671" s="37" t="n">
        <f aca="false">IF(Gap!F642="","",Gap!F642)</f>
        <v>319.736957219803</v>
      </c>
      <c r="F671" s="37" t="n">
        <f aca="false">IF(Gap!G642="","",Gap!G642)</f>
        <v>388.884210123504</v>
      </c>
      <c r="G671" s="37" t="n">
        <f aca="false">IF(Gap!H642="","",Gap!H642)</f>
        <v>502.084011668177</v>
      </c>
      <c r="H671" s="37" t="n">
        <f aca="false">IF(Gap!I642="","",Gap!I642)</f>
        <v>977.56100279457</v>
      </c>
      <c r="I671" s="37" t="n">
        <f aca="false">IF(Gap!J642="","",Gap!J642)</f>
        <v>1220.09971646079</v>
      </c>
      <c r="J671" s="37" t="n">
        <f aca="false">IF(Gap!K642="","",Gap!K642)</f>
        <v>855.2003475399</v>
      </c>
      <c r="M671" s="21" t="s">
        <v>5753</v>
      </c>
    </row>
    <row r="672" customFormat="false" ht="17.15" hidden="false" customHeight="false" outlineLevel="0" collapsed="false">
      <c r="A672" s="0" t="s">
        <v>5754</v>
      </c>
      <c r="B672" s="5" t="s">
        <v>5755</v>
      </c>
      <c r="C672" s="0" t="s">
        <v>395</v>
      </c>
      <c r="D672" s="37" t="n">
        <f aca="false">IF(Gap!E644="","",Gap!E644)</f>
        <v>-178.281120124588</v>
      </c>
      <c r="E672" s="37" t="n">
        <f aca="false">IF(Gap!F644="","",Gap!F644)</f>
        <v>-435.455516446863</v>
      </c>
      <c r="F672" s="37" t="n">
        <f aca="false">IF(Gap!G644="","",Gap!G644)</f>
        <v>-227.121286959829</v>
      </c>
      <c r="G672" s="37" t="n">
        <f aca="false">IF(Gap!H644="","",Gap!H644)</f>
        <v>-227.932916081823</v>
      </c>
      <c r="H672" s="37" t="n">
        <f aca="false">IF(Gap!I644="","",Gap!I644)</f>
        <v>71.2244323779032</v>
      </c>
      <c r="I672" s="37" t="n">
        <f aca="false">IF(Gap!J644="","",Gap!J644)</f>
        <v>88.4998556274545</v>
      </c>
      <c r="J672" s="37" t="n">
        <f aca="false">IF(Gap!K644="","",Gap!K644)</f>
        <v>-477.487442793434</v>
      </c>
      <c r="M672" s="21" t="s">
        <v>5756</v>
      </c>
    </row>
    <row r="673" customFormat="false" ht="17.15" hidden="false" customHeight="false" outlineLevel="0" collapsed="false">
      <c r="A673" s="0" t="s">
        <v>5757</v>
      </c>
      <c r="B673" s="5" t="s">
        <v>5758</v>
      </c>
      <c r="C673" s="0" t="s">
        <v>395</v>
      </c>
      <c r="F673" s="37" t="n">
        <f aca="false">IF(Gap!G645="","",Gap!G645)</f>
        <v>-227.121286959829</v>
      </c>
      <c r="G673" s="37" t="n">
        <f aca="false">IF(Gap!H645="","",Gap!H645)</f>
        <v>-455.054203041652</v>
      </c>
      <c r="H673" s="37" t="n">
        <f aca="false">IF(Gap!I645="","",Gap!I645)</f>
        <v>-383.829770663748</v>
      </c>
      <c r="I673" s="37" t="n">
        <f aca="false">IF(Gap!J645="","",Gap!J645)</f>
        <v>-295.329915036294</v>
      </c>
      <c r="J673" s="37" t="n">
        <f aca="false">IF(Gap!K645="","",Gap!K645)</f>
        <v>-772.817357829727</v>
      </c>
      <c r="M673" s="21" t="s">
        <v>5759</v>
      </c>
    </row>
    <row r="674" customFormat="false" ht="17.15" hidden="false" customHeight="false" outlineLevel="0" collapsed="false">
      <c r="A674" s="0" t="s">
        <v>5760</v>
      </c>
      <c r="B674" s="5" t="s">
        <v>5761</v>
      </c>
      <c r="C674" s="0" t="s">
        <v>395</v>
      </c>
      <c r="F674" s="37" t="n">
        <f aca="false">IF(Gap!G646="","",Gap!G646)</f>
        <v>-758.138827959829</v>
      </c>
      <c r="G674" s="37" t="n">
        <f aca="false">IF(Gap!H646="","",Gap!H646)</f>
        <v>-986.071744041652</v>
      </c>
      <c r="H674" s="37" t="n">
        <f aca="false">IF(Gap!I646="","",Gap!I646)</f>
        <v>-914.847311663748</v>
      </c>
      <c r="I674" s="37" t="n">
        <f aca="false">IF(Gap!J646="","",Gap!J646)</f>
        <v>-826.347456036294</v>
      </c>
      <c r="J674" s="37" t="n">
        <f aca="false">IF(Gap!K646="","",Gap!K646)</f>
        <v>-1303.83489882973</v>
      </c>
      <c r="M674" s="21" t="s">
        <v>5762</v>
      </c>
    </row>
    <row r="675" customFormat="false" ht="17.15" hidden="false" customHeight="false" outlineLevel="0" collapsed="false">
      <c r="A675" s="0" t="s">
        <v>5763</v>
      </c>
      <c r="B675" s="5" t="s">
        <v>5764</v>
      </c>
      <c r="C675" s="0" t="s">
        <v>395</v>
      </c>
      <c r="F675" s="37" t="n">
        <f aca="false">IF(Gap!G647="","",Gap!G647)</f>
        <v>-2077.54882795983</v>
      </c>
      <c r="G675" s="37" t="n">
        <f aca="false">IF(Gap!H647="","",Gap!H647)</f>
        <v>-2305.48174404165</v>
      </c>
      <c r="H675" s="37" t="n">
        <f aca="false">IF(Gap!I647="","",Gap!I647)</f>
        <v>-2234.25731166375</v>
      </c>
      <c r="I675" s="37" t="n">
        <f aca="false">IF(Gap!J647="","",Gap!J647)</f>
        <v>-2145.75745603629</v>
      </c>
      <c r="J675" s="37" t="n">
        <f aca="false">IF(Gap!K647="","",Gap!K647)</f>
        <v>-2623.24489882973</v>
      </c>
      <c r="M675" s="21" t="s">
        <v>5765</v>
      </c>
    </row>
    <row r="676" customFormat="false" ht="17.15" hidden="false" customHeight="false" outlineLevel="0" collapsed="false">
      <c r="A676" s="0" t="s">
        <v>5766</v>
      </c>
      <c r="B676" s="5" t="s">
        <v>5767</v>
      </c>
      <c r="C676" s="5" t="s">
        <v>5644</v>
      </c>
      <c r="D676" s="20" t="str">
        <f aca="false">IF(Gap!D650="","",Gap!D650)</f>
        <v>Anthropic 型（2030 起轉正）</v>
      </c>
      <c r="M676" s="21" t="s">
        <v>5768</v>
      </c>
    </row>
    <row r="677" customFormat="false" ht="17.15" hidden="false" customHeight="false" outlineLevel="0" collapsed="false">
      <c r="A677" s="0" t="s">
        <v>5769</v>
      </c>
      <c r="B677" s="5" t="s">
        <v>5770</v>
      </c>
      <c r="C677" s="0" t="s">
        <v>82</v>
      </c>
      <c r="D677" s="28" t="n">
        <f aca="false">IF(Gap!E654="","",Gap!E654)</f>
        <v>1.61980834349181</v>
      </c>
      <c r="E677" s="28" t="n">
        <f aca="false">IF(Gap!F654="","",Gap!F654)</f>
        <v>9.04912429484716</v>
      </c>
      <c r="F677" s="28" t="n">
        <f aca="false">IF(Gap!G654="","",Gap!G654)</f>
        <v>12.5153714610592</v>
      </c>
      <c r="G677" s="28" t="n">
        <f aca="false">IF(Gap!H654="","",Gap!H654)</f>
        <v>23.9622539260371</v>
      </c>
      <c r="H677" s="28" t="n">
        <f aca="false">IF(Gap!I654="","",Gap!I654)</f>
        <v>21.5386342394798</v>
      </c>
      <c r="I677" s="28" t="n">
        <f aca="false">IF(Gap!J654="","",Gap!J654)</f>
        <v>23.5139478891671</v>
      </c>
      <c r="J677" s="28" t="n">
        <f aca="false">IF(Gap!K654="","",Gap!K654)</f>
        <v>23.6603912321806</v>
      </c>
      <c r="M677" s="21" t="s">
        <v>5771</v>
      </c>
    </row>
    <row r="678" customFormat="false" ht="17.15" hidden="false" customHeight="false" outlineLevel="0" collapsed="false">
      <c r="A678" s="0" t="s">
        <v>5772</v>
      </c>
      <c r="B678" s="5" t="s">
        <v>5773</v>
      </c>
      <c r="C678" s="0" t="s">
        <v>41</v>
      </c>
      <c r="D678" s="28" t="n">
        <f aca="false">IF(Gap!E655="","",Gap!E655)</f>
        <v>1</v>
      </c>
      <c r="E678" s="28" t="n">
        <f aca="false">IF(Gap!F655="","",Gap!F655)</f>
        <v>1</v>
      </c>
      <c r="F678" s="28" t="n">
        <f aca="false">IF(Gap!G655="","",Gap!G655)</f>
        <v>1</v>
      </c>
      <c r="G678" s="28" t="n">
        <f aca="false">IF(Gap!H655="","",Gap!H655)</f>
        <v>1</v>
      </c>
      <c r="H678" s="28" t="n">
        <f aca="false">IF(Gap!I655="","",Gap!I655)</f>
        <v>0.8</v>
      </c>
      <c r="I678" s="28" t="n">
        <f aca="false">IF(Gap!J655="","",Gap!J655)</f>
        <v>0.85</v>
      </c>
      <c r="J678" s="28" t="n">
        <f aca="false">IF(Gap!K655="","",Gap!K655)</f>
        <v>0.842857928254843</v>
      </c>
      <c r="M678" s="21" t="s">
        <v>5774</v>
      </c>
    </row>
    <row r="679" customFormat="false" ht="17.15" hidden="false" customHeight="false" outlineLevel="0" collapsed="false">
      <c r="A679" s="0" t="s">
        <v>5775</v>
      </c>
      <c r="B679" s="5" t="s">
        <v>5776</v>
      </c>
      <c r="C679" s="5" t="s">
        <v>726</v>
      </c>
      <c r="D679" s="28" t="n">
        <f aca="false">IF(Gap!E681="","",Gap!E681)</f>
        <v>0.811976138205809</v>
      </c>
      <c r="E679" s="28" t="n">
        <f aca="false">IF(Gap!F681="","",Gap!F681)</f>
        <v>0.830437512691783</v>
      </c>
      <c r="F679" s="28" t="n">
        <f aca="false">IF(Gap!G681="","",Gap!G681)</f>
        <v>0.671845403120181</v>
      </c>
      <c r="G679" s="28" t="n">
        <f aca="false">IF(Gap!H681="","",Gap!H681)</f>
        <v>0.718165526959648</v>
      </c>
      <c r="H679" s="28" t="n">
        <f aca="false">IF(Gap!I681="","",Gap!I681)</f>
        <v>0.741742900721514</v>
      </c>
      <c r="I679" s="28" t="n">
        <f aca="false">IF(Gap!J681="","",Gap!J681)</f>
        <v>0.817169678677699</v>
      </c>
      <c r="J679" s="28" t="n">
        <f aca="false">IF(Gap!K681="","",Gap!K681)</f>
        <v>0.937235556897171</v>
      </c>
      <c r="M679" s="21" t="s">
        <v>5777</v>
      </c>
    </row>
    <row r="680" customFormat="false" ht="17.15" hidden="false" customHeight="false" outlineLevel="0" collapsed="false">
      <c r="A680" s="0" t="s">
        <v>5778</v>
      </c>
      <c r="B680" s="5" t="s">
        <v>5779</v>
      </c>
      <c r="C680" s="0" t="s">
        <v>395</v>
      </c>
      <c r="D680" s="37" t="n">
        <f aca="false">IF(Gap!E663="","",Gap!E663)</f>
        <v>198.215717405791</v>
      </c>
      <c r="E680" s="37" t="n">
        <f aca="false">IF(Gap!F663="","",Gap!F663)</f>
        <v>462.14996825741</v>
      </c>
      <c r="F680" s="37" t="n">
        <f aca="false">IF(Gap!G663="","",Gap!G663)</f>
        <v>624.864192850613</v>
      </c>
      <c r="G680" s="37" t="n">
        <f aca="false">IF(Gap!H663="","",Gap!H663)</f>
        <v>997.165957889002</v>
      </c>
      <c r="H680" s="37" t="n">
        <f aca="false">IF(Gap!I663="","",Gap!I663)</f>
        <v>1154.81751665812</v>
      </c>
      <c r="I680" s="37" t="n">
        <f aca="false">IF(Gap!J663="","",Gap!J663)</f>
        <v>1291.72872403953</v>
      </c>
      <c r="J680" s="37" t="n">
        <f aca="false">IF(Gap!K663="","",Gap!K663)</f>
        <v>1389.43021167936</v>
      </c>
      <c r="M680" s="21" t="s">
        <v>5780</v>
      </c>
    </row>
    <row r="681" customFormat="false" ht="17.15" hidden="false" customHeight="false" outlineLevel="0" collapsed="false">
      <c r="A681" s="0" t="s">
        <v>5781</v>
      </c>
      <c r="B681" s="5" t="s">
        <v>5782</v>
      </c>
      <c r="C681" s="0" t="s">
        <v>395</v>
      </c>
      <c r="D681" s="37" t="n">
        <f aca="false">IF(Gap!E662="","",Gap!E662)</f>
        <v>137.658722405791</v>
      </c>
      <c r="E681" s="37" t="n">
        <f aca="false">IF(Gap!F662="","",Gap!F662)</f>
        <v>369.33777525741</v>
      </c>
      <c r="F681" s="37" t="n">
        <f aca="false">IF(Gap!G662="","",Gap!G662)</f>
        <v>440.781914850613</v>
      </c>
      <c r="G681" s="37" t="n">
        <f aca="false">IF(Gap!H662="","",Gap!H662)</f>
        <v>784.599583722335</v>
      </c>
      <c r="H681" s="37" t="n">
        <f aca="false">IF(Gap!I662="","",Gap!I662)</f>
        <v>907.86722490812</v>
      </c>
      <c r="I681" s="37" t="n">
        <f aca="false">IF(Gap!J662="","",Gap!J662)</f>
        <v>1014.59798803953</v>
      </c>
      <c r="J681" s="37" t="n">
        <f aca="false">IF(Gap!K662="","",Gap!K662)</f>
        <v>1090.40381376269</v>
      </c>
      <c r="M681" s="21" t="s">
        <v>5783</v>
      </c>
    </row>
    <row r="682" customFormat="false" ht="17.15" hidden="false" customHeight="false" outlineLevel="0" collapsed="false">
      <c r="A682" s="0" t="s">
        <v>5784</v>
      </c>
      <c r="B682" s="5" t="s">
        <v>5785</v>
      </c>
      <c r="C682" s="0" t="s">
        <v>395</v>
      </c>
      <c r="D682" s="37" t="n">
        <f aca="false">IF(Gap!E664="","",Gap!E664)</f>
        <v>-175.258282594209</v>
      </c>
      <c r="E682" s="37" t="n">
        <f aca="false">IF(Gap!F664="","",Gap!F664)</f>
        <v>-385.854698409257</v>
      </c>
      <c r="F682" s="37" t="n">
        <f aca="false">IF(Gap!G664="","",Gap!G664)</f>
        <v>-175.22358223272</v>
      </c>
      <c r="G682" s="37" t="n">
        <f aca="false">IF(Gap!H664="","",Gap!H664)</f>
        <v>54.5826559723349</v>
      </c>
      <c r="H682" s="37" t="n">
        <f aca="false">IF(Gap!I664="","",Gap!I664)</f>
        <v>1.53065449145333</v>
      </c>
      <c r="I682" s="37" t="n">
        <f aca="false">IF(Gap!J664="","",Gap!J664)</f>
        <v>-117.001872793802</v>
      </c>
      <c r="J682" s="37" t="n">
        <f aca="false">IF(Gap!K664="","",Gap!K664)</f>
        <v>-242.283976570644</v>
      </c>
      <c r="M682" s="21" t="s">
        <v>5786</v>
      </c>
    </row>
    <row r="683" customFormat="false" ht="17.15" hidden="false" customHeight="false" outlineLevel="0" collapsed="false">
      <c r="A683" s="0" t="s">
        <v>5787</v>
      </c>
      <c r="B683" s="5" t="s">
        <v>5788</v>
      </c>
      <c r="C683" s="0" t="s">
        <v>395</v>
      </c>
      <c r="F683" s="37" t="n">
        <f aca="false">IF(Gap!G665="","",Gap!G665)</f>
        <v>-175.22358223272</v>
      </c>
      <c r="G683" s="37" t="n">
        <f aca="false">IF(Gap!H665="","",Gap!H665)</f>
        <v>-120.640926260385</v>
      </c>
      <c r="H683" s="37" t="n">
        <f aca="false">IF(Gap!I665="","",Gap!I665)</f>
        <v>-119.110271768932</v>
      </c>
      <c r="I683" s="37" t="n">
        <f aca="false">IF(Gap!J665="","",Gap!J665)</f>
        <v>-236.112144562734</v>
      </c>
      <c r="J683" s="37" t="n">
        <f aca="false">IF(Gap!K665="","",Gap!K665)</f>
        <v>-478.396121133378</v>
      </c>
      <c r="M683" s="21" t="s">
        <v>5789</v>
      </c>
    </row>
    <row r="684" customFormat="false" ht="17.15" hidden="false" customHeight="false" outlineLevel="0" collapsed="false">
      <c r="A684" s="0" t="s">
        <v>5790</v>
      </c>
      <c r="B684" s="5" t="s">
        <v>5791</v>
      </c>
      <c r="C684" s="0" t="s">
        <v>395</v>
      </c>
      <c r="F684" s="37" t="n">
        <f aca="false">IF(Gap!G666="","",Gap!G666)</f>
        <v>-706.24112323272</v>
      </c>
      <c r="G684" s="37" t="n">
        <f aca="false">IF(Gap!H666="","",Gap!H666)</f>
        <v>-651.658467260385</v>
      </c>
      <c r="H684" s="37" t="n">
        <f aca="false">IF(Gap!I666="","",Gap!I666)</f>
        <v>-650.127812768932</v>
      </c>
      <c r="I684" s="37" t="n">
        <f aca="false">IF(Gap!J666="","",Gap!J666)</f>
        <v>-767.129685562734</v>
      </c>
      <c r="J684" s="37" t="n">
        <f aca="false">IF(Gap!K666="","",Gap!K666)</f>
        <v>-1009.41366213338</v>
      </c>
      <c r="M684" s="21" t="s">
        <v>5792</v>
      </c>
    </row>
    <row r="685" customFormat="false" ht="17.15" hidden="false" customHeight="false" outlineLevel="0" collapsed="false">
      <c r="A685" s="0" t="s">
        <v>5793</v>
      </c>
      <c r="B685" s="5" t="s">
        <v>5794</v>
      </c>
      <c r="C685" s="0" t="s">
        <v>395</v>
      </c>
      <c r="F685" s="37" t="n">
        <f aca="false">IF(Gap!G667="","",Gap!G667)</f>
        <v>-2025.65112323272</v>
      </c>
      <c r="G685" s="37" t="n">
        <f aca="false">IF(Gap!H667="","",Gap!H667)</f>
        <v>-1971.06846726039</v>
      </c>
      <c r="H685" s="37" t="n">
        <f aca="false">IF(Gap!I667="","",Gap!I667)</f>
        <v>-1969.53781276893</v>
      </c>
      <c r="I685" s="37" t="n">
        <f aca="false">IF(Gap!J667="","",Gap!J667)</f>
        <v>-2086.53968556273</v>
      </c>
      <c r="J685" s="37" t="n">
        <f aca="false">IF(Gap!K667="","",Gap!K667)</f>
        <v>-2328.82366213338</v>
      </c>
      <c r="M685" s="21" t="s">
        <v>5795</v>
      </c>
    </row>
    <row r="686" customFormat="false" ht="17.15" hidden="false" customHeight="false" outlineLevel="0" collapsed="false">
      <c r="A686" s="0" t="s">
        <v>5796</v>
      </c>
      <c r="B686" s="5" t="s">
        <v>5797</v>
      </c>
      <c r="C686" s="5" t="s">
        <v>5644</v>
      </c>
      <c r="D686" s="20" t="str">
        <f aca="false">IF(Gap!D670="","",Gap!D670)</f>
        <v>Anthropic 型（2029 起轉正）</v>
      </c>
      <c r="M686" s="21" t="s">
        <v>5798</v>
      </c>
    </row>
    <row r="687" customFormat="false" ht="17.15" hidden="false" customHeight="false" outlineLevel="0" collapsed="false">
      <c r="A687" s="0" t="s">
        <v>5799</v>
      </c>
      <c r="B687" s="5" t="s">
        <v>5800</v>
      </c>
      <c r="C687" s="0" t="s">
        <v>395</v>
      </c>
      <c r="D687" s="37" t="n">
        <f aca="false">IF(Gap!E673="","",Gap!E673)</f>
        <v>198.215717405791</v>
      </c>
      <c r="E687" s="37" t="n">
        <f aca="false">IF(Gap!F673="","",Gap!F673)</f>
        <v>462.14996825741</v>
      </c>
      <c r="F687" s="37" t="n">
        <f aca="false">IF(Gap!G673="","",Gap!G673)</f>
        <v>624.864192850613</v>
      </c>
      <c r="G687" s="37" t="n">
        <f aca="false">IF(Gap!H673="","",Gap!H673)</f>
        <v>1171.87600368819</v>
      </c>
      <c r="H687" s="37" t="n">
        <f aca="false">IF(Gap!I673="","",Gap!I673)</f>
        <v>1118.38198628333</v>
      </c>
      <c r="I687" s="37" t="n">
        <f aca="false">IF(Gap!J673="","",Gap!J673)</f>
        <v>1088.62477465</v>
      </c>
      <c r="J687" s="37" t="n">
        <f aca="false">IF(Gap!K673="","",Gap!K673)</f>
        <v>972.966160852351</v>
      </c>
      <c r="M687" s="21" t="s">
        <v>5801</v>
      </c>
    </row>
    <row r="688" customFormat="false" ht="17.15" hidden="false" customHeight="false" outlineLevel="0" collapsed="false">
      <c r="A688" s="0" t="s">
        <v>5802</v>
      </c>
      <c r="B688" s="5" t="s">
        <v>5803</v>
      </c>
      <c r="C688" s="0" t="s">
        <v>395</v>
      </c>
      <c r="D688" s="37" t="n">
        <f aca="false">IF(Gap!E672="","",Gap!E672)</f>
        <v>137.658722405791</v>
      </c>
      <c r="E688" s="37" t="n">
        <f aca="false">IF(Gap!F672="","",Gap!F672)</f>
        <v>369.33777525741</v>
      </c>
      <c r="F688" s="37" t="n">
        <f aca="false">IF(Gap!G672="","",Gap!G672)</f>
        <v>440.781914850613</v>
      </c>
      <c r="G688" s="37" t="n">
        <f aca="false">IF(Gap!H672="","",Gap!H672)</f>
        <v>959.30962952152</v>
      </c>
      <c r="H688" s="37" t="n">
        <f aca="false">IF(Gap!I672="","",Gap!I672)</f>
        <v>871.431694533333</v>
      </c>
      <c r="I688" s="37" t="n">
        <f aca="false">IF(Gap!J672="","",Gap!J672)</f>
        <v>811.49403865</v>
      </c>
      <c r="J688" s="37" t="n">
        <f aca="false">IF(Gap!K672="","",Gap!K672)</f>
        <v>673.939762935684</v>
      </c>
      <c r="M688" s="21" t="s">
        <v>5804</v>
      </c>
    </row>
    <row r="689" customFormat="false" ht="17.15" hidden="false" customHeight="false" outlineLevel="0" collapsed="false">
      <c r="A689" s="0" t="s">
        <v>5805</v>
      </c>
      <c r="B689" s="5" t="s">
        <v>5806</v>
      </c>
      <c r="C689" s="0" t="s">
        <v>395</v>
      </c>
      <c r="D689" s="37" t="n">
        <f aca="false">IF(Gap!E674="","",Gap!E674)</f>
        <v>-175.258282594209</v>
      </c>
      <c r="E689" s="37" t="n">
        <f aca="false">IF(Gap!F674="","",Gap!F674)</f>
        <v>-385.854698409257</v>
      </c>
      <c r="F689" s="37" t="n">
        <f aca="false">IF(Gap!G674="","",Gap!G674)</f>
        <v>-175.22358223272</v>
      </c>
      <c r="G689" s="37" t="n">
        <f aca="false">IF(Gap!H674="","",Gap!H674)</f>
        <v>229.29270177152</v>
      </c>
      <c r="H689" s="37" t="n">
        <f aca="false">IF(Gap!I674="","",Gap!I674)</f>
        <v>-34.9048758833337</v>
      </c>
      <c r="I689" s="37" t="n">
        <f aca="false">IF(Gap!J674="","",Gap!J674)</f>
        <v>-320.105822183333</v>
      </c>
      <c r="J689" s="37" t="n">
        <f aca="false">IF(Gap!K674="","",Gap!K674)</f>
        <v>-658.748027397649</v>
      </c>
      <c r="M689" s="21" t="s">
        <v>5807</v>
      </c>
    </row>
    <row r="690" customFormat="false" ht="17.15" hidden="false" customHeight="false" outlineLevel="0" collapsed="false">
      <c r="A690" s="0" t="s">
        <v>5808</v>
      </c>
      <c r="B690" s="5" t="s">
        <v>5809</v>
      </c>
      <c r="C690" s="0" t="s">
        <v>395</v>
      </c>
      <c r="F690" s="37" t="n">
        <f aca="false">IF(Gap!G675="","",Gap!G675)</f>
        <v>-175.22358223272</v>
      </c>
      <c r="G690" s="37" t="n">
        <f aca="false">IF(Gap!H675="","",Gap!H675)</f>
        <v>54.0691195387998</v>
      </c>
      <c r="H690" s="37" t="n">
        <f aca="false">IF(Gap!I675="","",Gap!I675)</f>
        <v>19.1642436554661</v>
      </c>
      <c r="I690" s="37" t="n">
        <f aca="false">IF(Gap!J675="","",Gap!J675)</f>
        <v>-300.941578527867</v>
      </c>
      <c r="J690" s="37" t="n">
        <f aca="false">IF(Gap!K675="","",Gap!K675)</f>
        <v>-959.689605925516</v>
      </c>
      <c r="M690" s="21" t="s">
        <v>5810</v>
      </c>
    </row>
    <row r="691" customFormat="false" ht="17.15" hidden="false" customHeight="false" outlineLevel="0" collapsed="false">
      <c r="A691" s="0" t="s">
        <v>5811</v>
      </c>
      <c r="B691" s="5" t="s">
        <v>5812</v>
      </c>
      <c r="C691" s="0" t="s">
        <v>395</v>
      </c>
      <c r="F691" s="37" t="n">
        <f aca="false">IF(Gap!G676="","",Gap!G676)</f>
        <v>-706.24112323272</v>
      </c>
      <c r="G691" s="37" t="n">
        <f aca="false">IF(Gap!H676="","",Gap!H676)</f>
        <v>-476.9484214612</v>
      </c>
      <c r="H691" s="37" t="n">
        <f aca="false">IF(Gap!I676="","",Gap!I676)</f>
        <v>-511.853297344534</v>
      </c>
      <c r="I691" s="37" t="n">
        <f aca="false">IF(Gap!J676="","",Gap!J676)</f>
        <v>-831.959119527867</v>
      </c>
      <c r="J691" s="37" t="n">
        <f aca="false">IF(Gap!K676="","",Gap!K676)</f>
        <v>-1490.70714692552</v>
      </c>
      <c r="M691" s="21" t="s">
        <v>5813</v>
      </c>
    </row>
    <row r="692" customFormat="false" ht="17.15" hidden="false" customHeight="false" outlineLevel="0" collapsed="false">
      <c r="A692" s="0" t="s">
        <v>5814</v>
      </c>
      <c r="B692" s="5" t="s">
        <v>5815</v>
      </c>
      <c r="C692" s="0" t="s">
        <v>395</v>
      </c>
      <c r="F692" s="37" t="n">
        <f aca="false">IF(Gap!G677="","",Gap!G677)</f>
        <v>-2025.65112323272</v>
      </c>
      <c r="G692" s="37" t="n">
        <f aca="false">IF(Gap!H677="","",Gap!H677)</f>
        <v>-1796.3584214612</v>
      </c>
      <c r="H692" s="37" t="n">
        <f aca="false">IF(Gap!I677="","",Gap!I677)</f>
        <v>-1831.26329734453</v>
      </c>
      <c r="I692" s="37" t="n">
        <f aca="false">IF(Gap!J677="","",Gap!J677)</f>
        <v>-2151.36911952787</v>
      </c>
      <c r="J692" s="37" t="n">
        <f aca="false">IF(Gap!K677="","",Gap!K677)</f>
        <v>-2810.11714692552</v>
      </c>
      <c r="M692" s="21" t="s">
        <v>5816</v>
      </c>
    </row>
    <row r="693" customFormat="false" ht="17.15" hidden="false" customHeight="false" outlineLevel="0" collapsed="false">
      <c r="A693" s="0" t="s">
        <v>5817</v>
      </c>
      <c r="B693" s="5" t="s">
        <v>5818</v>
      </c>
      <c r="C693" s="5" t="s">
        <v>5644</v>
      </c>
      <c r="D693" s="20" t="str">
        <f aca="false">IF(Gap!D680="","",Gap!D680)</f>
        <v>Anthropic 型（2028 起轉正）</v>
      </c>
      <c r="M693" s="21" t="s">
        <v>5819</v>
      </c>
    </row>
    <row r="694" customFormat="false" ht="17.15" hidden="false" customHeight="false" outlineLevel="0" collapsed="false">
      <c r="A694" s="0" t="s">
        <v>5820</v>
      </c>
      <c r="B694" s="5" t="s">
        <v>5821</v>
      </c>
      <c r="C694" s="0" t="s">
        <v>82</v>
      </c>
      <c r="D694" s="28" t="n">
        <f aca="false">IF(Gap!E684="","",Gap!E684)</f>
        <v>1.61980834349181</v>
      </c>
      <c r="E694" s="28" t="n">
        <f aca="false">IF(Gap!F684="","",Gap!F684)</f>
        <v>9.04912429484716</v>
      </c>
      <c r="F694" s="28" t="n">
        <f aca="false">IF(Gap!G684="","",Gap!G684)</f>
        <v>11.7062917618926</v>
      </c>
      <c r="G694" s="28" t="n">
        <f aca="false">IF(Gap!H684="","",Gap!H684)</f>
        <v>20.2797100214805</v>
      </c>
      <c r="H694" s="28" t="n">
        <f aca="false">IF(Gap!I684="","",Gap!I684)</f>
        <v>21.7305135179606</v>
      </c>
      <c r="I694" s="28" t="n">
        <f aca="false">IF(Gap!J684="","",Gap!J684)</f>
        <v>23.3139263338052</v>
      </c>
      <c r="J694" s="28" t="n">
        <f aca="false">IF(Gap!K684="","",Gap!K684)</f>
        <v>23.5833136471532</v>
      </c>
      <c r="M694" s="21" t="s">
        <v>5822</v>
      </c>
    </row>
    <row r="695" customFormat="false" ht="17.15" hidden="false" customHeight="false" outlineLevel="0" collapsed="false">
      <c r="A695" s="0" t="s">
        <v>5823</v>
      </c>
      <c r="B695" s="5" t="s">
        <v>5824</v>
      </c>
      <c r="C695" s="0" t="s">
        <v>41</v>
      </c>
      <c r="D695" s="28" t="n">
        <f aca="false">IF(Gap!E685="","",Gap!E685)</f>
        <v>1</v>
      </c>
      <c r="E695" s="28" t="n">
        <f aca="false">IF(Gap!F685="","",Gap!F685)</f>
        <v>1</v>
      </c>
      <c r="F695" s="28" t="n">
        <f aca="false">IF(Gap!G685="","",Gap!G685)</f>
        <v>0.935353121424805</v>
      </c>
      <c r="G695" s="28" t="n">
        <f aca="false">IF(Gap!H685="","",Gap!H685)</f>
        <v>0.846318968327299</v>
      </c>
      <c r="H695" s="28" t="n">
        <f aca="false">IF(Gap!I685="","",Gap!I685)</f>
        <v>0.807126887484041</v>
      </c>
      <c r="I695" s="28" t="n">
        <f aca="false">IF(Gap!J685="","",Gap!J685)</f>
        <v>0.842769469301411</v>
      </c>
      <c r="J695" s="28" t="n">
        <f aca="false">IF(Gap!K685="","",Gap!K685)</f>
        <v>0.840112181027187</v>
      </c>
      <c r="M695" s="21" t="s">
        <v>5825</v>
      </c>
    </row>
    <row r="696" customFormat="false" ht="17.15" hidden="false" customHeight="false" outlineLevel="0" collapsed="false">
      <c r="A696" s="0" t="s">
        <v>5826</v>
      </c>
      <c r="B696" s="5" t="s">
        <v>5827</v>
      </c>
      <c r="C696" s="5" t="s">
        <v>726</v>
      </c>
      <c r="D696" s="28" t="n">
        <f aca="false">IF(Gap!E711="","",Gap!E711)</f>
        <v>0.816901762584096</v>
      </c>
      <c r="E696" s="28" t="n">
        <f aca="false">IF(Gap!F711="","",Gap!F711)</f>
        <v>0.838812894146966</v>
      </c>
      <c r="F696" s="28" t="n">
        <f aca="false">IF(Gap!G711="","",Gap!G711)</f>
        <v>0.671958568020335</v>
      </c>
      <c r="G696" s="28" t="n">
        <f aca="false">IF(Gap!H711="","",Gap!H711)</f>
        <v>0.719829075092927</v>
      </c>
      <c r="H696" s="28" t="n">
        <f aca="false">IF(Gap!I711="","",Gap!I711)</f>
        <v>0.741459347783949</v>
      </c>
      <c r="I696" s="28" t="n">
        <f aca="false">IF(Gap!J711="","",Gap!J711)</f>
        <v>0.818292096552246</v>
      </c>
      <c r="J696" s="28" t="n">
        <f aca="false">IF(Gap!K711="","",Gap!K711)</f>
        <v>0.941353963621279</v>
      </c>
      <c r="M696" s="21" t="s">
        <v>5828</v>
      </c>
    </row>
    <row r="697" customFormat="false" ht="17.15" hidden="false" customHeight="false" outlineLevel="0" collapsed="false">
      <c r="A697" s="0" t="s">
        <v>5829</v>
      </c>
      <c r="B697" s="5" t="s">
        <v>5830</v>
      </c>
      <c r="C697" s="0" t="s">
        <v>395</v>
      </c>
      <c r="D697" s="37" t="n">
        <f aca="false">IF(Gap!E693="","",Gap!E693)</f>
        <v>195.192879875412</v>
      </c>
      <c r="E697" s="37" t="n">
        <f aca="false">IF(Gap!F693="","",Gap!F693)</f>
        <v>444.10854041044</v>
      </c>
      <c r="F697" s="37" t="n">
        <f aca="false">IF(Gap!G693="","",Gap!G693)</f>
        <v>594.319139571799</v>
      </c>
      <c r="G697" s="37" t="n">
        <f aca="false">IF(Gap!H693="","",Gap!H693)</f>
        <v>906.842803602764</v>
      </c>
      <c r="H697" s="37" t="n">
        <f aca="false">IF(Gap!I693="","",Gap!I693)</f>
        <v>1159.61831765343</v>
      </c>
      <c r="I697" s="37" t="n">
        <f aca="false">IF(Gap!J693="","",Gap!J693)</f>
        <v>1288.88232425735</v>
      </c>
      <c r="J697" s="37" t="n">
        <f aca="false">IF(Gap!K693="","",Gap!K693)</f>
        <v>1398.9735108886</v>
      </c>
      <c r="M697" s="21" t="s">
        <v>5831</v>
      </c>
    </row>
    <row r="698" customFormat="false" ht="17.15" hidden="false" customHeight="false" outlineLevel="0" collapsed="false">
      <c r="A698" s="0" t="s">
        <v>5832</v>
      </c>
      <c r="B698" s="5" t="s">
        <v>5833</v>
      </c>
      <c r="C698" s="0" t="s">
        <v>395</v>
      </c>
      <c r="D698" s="37" t="n">
        <f aca="false">IF(Gap!E692="","",Gap!E692)</f>
        <v>134.635884875412</v>
      </c>
      <c r="E698" s="37" t="n">
        <f aca="false">IF(Gap!F692="","",Gap!F692)</f>
        <v>351.29634741044</v>
      </c>
      <c r="F698" s="37" t="n">
        <f aca="false">IF(Gap!G692="","",Gap!G692)</f>
        <v>410.236861571799</v>
      </c>
      <c r="G698" s="37" t="n">
        <f aca="false">IF(Gap!H692="","",Gap!H692)</f>
        <v>694.276429436097</v>
      </c>
      <c r="H698" s="37" t="n">
        <f aca="false">IF(Gap!I692="","",Gap!I692)</f>
        <v>912.668025903431</v>
      </c>
      <c r="I698" s="37" t="n">
        <f aca="false">IF(Gap!J692="","",Gap!J692)</f>
        <v>1011.75158825735</v>
      </c>
      <c r="J698" s="37" t="n">
        <f aca="false">IF(Gap!K692="","",Gap!K692)</f>
        <v>1099.94711297193</v>
      </c>
      <c r="M698" s="21" t="s">
        <v>5834</v>
      </c>
    </row>
    <row r="699" customFormat="false" ht="17.15" hidden="false" customHeight="false" outlineLevel="0" collapsed="false">
      <c r="A699" s="0" t="s">
        <v>5835</v>
      </c>
      <c r="B699" s="5" t="s">
        <v>5836</v>
      </c>
      <c r="C699" s="0" t="s">
        <v>395</v>
      </c>
      <c r="D699" s="37" t="n">
        <f aca="false">IF(Gap!E694="","",Gap!E694)</f>
        <v>-178.281120124588</v>
      </c>
      <c r="E699" s="37" t="n">
        <f aca="false">IF(Gap!F694="","",Gap!F694)</f>
        <v>-403.896126256227</v>
      </c>
      <c r="F699" s="37" t="n">
        <f aca="false">IF(Gap!G694="","",Gap!G694)</f>
        <v>-205.768635511535</v>
      </c>
      <c r="G699" s="37" t="n">
        <f aca="false">IF(Gap!H694="","",Gap!H694)</f>
        <v>-35.7404983139029</v>
      </c>
      <c r="H699" s="37" t="n">
        <f aca="false">IF(Gap!I694="","",Gap!I694)</f>
        <v>6.33145548676453</v>
      </c>
      <c r="I699" s="37" t="n">
        <f aca="false">IF(Gap!J694="","",Gap!J694)</f>
        <v>-119.848272575988</v>
      </c>
      <c r="J699" s="37" t="n">
        <f aca="false">IF(Gap!K694="","",Gap!K694)</f>
        <v>-232.740677361404</v>
      </c>
      <c r="M699" s="21" t="s">
        <v>5837</v>
      </c>
    </row>
    <row r="700" customFormat="false" ht="17.15" hidden="false" customHeight="false" outlineLevel="0" collapsed="false">
      <c r="A700" s="0" t="s">
        <v>5838</v>
      </c>
      <c r="B700" s="5" t="s">
        <v>5839</v>
      </c>
      <c r="C700" s="0" t="s">
        <v>395</v>
      </c>
      <c r="F700" s="37" t="n">
        <f aca="false">IF(Gap!G695="","",Gap!G695)</f>
        <v>-205.768635511535</v>
      </c>
      <c r="G700" s="37" t="n">
        <f aca="false">IF(Gap!H695="","",Gap!H695)</f>
        <v>-241.509133825437</v>
      </c>
      <c r="H700" s="37" t="n">
        <f aca="false">IF(Gap!I695="","",Gap!I695)</f>
        <v>-235.177678338673</v>
      </c>
      <c r="I700" s="37" t="n">
        <f aca="false">IF(Gap!J695="","",Gap!J695)</f>
        <v>-355.02595091466</v>
      </c>
      <c r="J700" s="37" t="n">
        <f aca="false">IF(Gap!K695="","",Gap!K695)</f>
        <v>-587.766628276064</v>
      </c>
      <c r="M700" s="21" t="s">
        <v>5840</v>
      </c>
    </row>
    <row r="701" customFormat="false" ht="17.15" hidden="false" customHeight="false" outlineLevel="0" collapsed="false">
      <c r="A701" s="0" t="s">
        <v>5841</v>
      </c>
      <c r="B701" s="5" t="s">
        <v>5842</v>
      </c>
      <c r="C701" s="0" t="s">
        <v>395</v>
      </c>
      <c r="F701" s="37" t="n">
        <f aca="false">IF(Gap!G696="","",Gap!G696)</f>
        <v>-736.786176511534</v>
      </c>
      <c r="G701" s="37" t="n">
        <f aca="false">IF(Gap!H696="","",Gap!H696)</f>
        <v>-772.526674825437</v>
      </c>
      <c r="H701" s="37" t="n">
        <f aca="false">IF(Gap!I696="","",Gap!I696)</f>
        <v>-766.195219338673</v>
      </c>
      <c r="I701" s="37" t="n">
        <f aca="false">IF(Gap!J696="","",Gap!J696)</f>
        <v>-886.04349191466</v>
      </c>
      <c r="J701" s="37" t="n">
        <f aca="false">IF(Gap!K696="","",Gap!K696)</f>
        <v>-1118.78416927606</v>
      </c>
      <c r="M701" s="21" t="s">
        <v>5843</v>
      </c>
    </row>
    <row r="702" customFormat="false" ht="17.15" hidden="false" customHeight="false" outlineLevel="0" collapsed="false">
      <c r="A702" s="0" t="s">
        <v>5844</v>
      </c>
      <c r="B702" s="5" t="s">
        <v>5845</v>
      </c>
      <c r="C702" s="0" t="s">
        <v>395</v>
      </c>
      <c r="F702" s="37" t="n">
        <f aca="false">IF(Gap!G697="","",Gap!G697)</f>
        <v>-2056.19617651153</v>
      </c>
      <c r="G702" s="37" t="n">
        <f aca="false">IF(Gap!H697="","",Gap!H697)</f>
        <v>-2091.93667482544</v>
      </c>
      <c r="H702" s="37" t="n">
        <f aca="false">IF(Gap!I697="","",Gap!I697)</f>
        <v>-2085.60521933867</v>
      </c>
      <c r="I702" s="37" t="n">
        <f aca="false">IF(Gap!J697="","",Gap!J697)</f>
        <v>-2205.45349191466</v>
      </c>
      <c r="J702" s="37" t="n">
        <f aca="false">IF(Gap!K697="","",Gap!K697)</f>
        <v>-2438.19416927606</v>
      </c>
      <c r="M702" s="21" t="s">
        <v>5846</v>
      </c>
    </row>
    <row r="703" customFormat="false" ht="17.15" hidden="false" customHeight="false" outlineLevel="0" collapsed="false">
      <c r="A703" s="0" t="s">
        <v>5847</v>
      </c>
      <c r="B703" s="5" t="s">
        <v>5848</v>
      </c>
      <c r="C703" s="5" t="s">
        <v>5644</v>
      </c>
      <c r="D703" s="20" t="str">
        <f aca="false">IF(Gap!D700="","",Gap!D700)</f>
        <v>Anthropic 型（2029 起轉正）</v>
      </c>
      <c r="M703" s="21" t="s">
        <v>5849</v>
      </c>
    </row>
    <row r="704" customFormat="false" ht="17.15" hidden="false" customHeight="false" outlineLevel="0" collapsed="false">
      <c r="A704" s="0" t="s">
        <v>5850</v>
      </c>
      <c r="B704" s="5" t="s">
        <v>5851</v>
      </c>
      <c r="C704" s="0" t="s">
        <v>395</v>
      </c>
      <c r="D704" s="37" t="n">
        <f aca="false">IF(Gap!E703="","",Gap!E703)</f>
        <v>195.192879875412</v>
      </c>
      <c r="E704" s="37" t="n">
        <f aca="false">IF(Gap!F703="","",Gap!F703)</f>
        <v>444.10854041044</v>
      </c>
      <c r="F704" s="37" t="n">
        <f aca="false">IF(Gap!G703="","",Gap!G703)</f>
        <v>594.319139571799</v>
      </c>
      <c r="G704" s="37" t="n">
        <f aca="false">IF(Gap!H703="","",Gap!H703)</f>
        <v>1024.44831012976</v>
      </c>
      <c r="H704" s="37" t="n">
        <f aca="false">IF(Gap!I703="","",Gap!I703)</f>
        <v>1126.14523082954</v>
      </c>
      <c r="I704" s="37" t="n">
        <f aca="false">IF(Gap!J703="","",Gap!J703)</f>
        <v>1081.72179516979</v>
      </c>
      <c r="J704" s="37" t="n">
        <f aca="false">IF(Gap!K703="","",Gap!K703)</f>
        <v>970.770692110046</v>
      </c>
      <c r="M704" s="21" t="s">
        <v>5852</v>
      </c>
    </row>
    <row r="705" customFormat="false" ht="17.15" hidden="false" customHeight="false" outlineLevel="0" collapsed="false">
      <c r="A705" s="0" t="s">
        <v>5853</v>
      </c>
      <c r="B705" s="5" t="s">
        <v>5854</v>
      </c>
      <c r="C705" s="0" t="s">
        <v>395</v>
      </c>
      <c r="D705" s="37" t="n">
        <f aca="false">IF(Gap!E702="","",Gap!E702)</f>
        <v>134.635884875412</v>
      </c>
      <c r="E705" s="37" t="n">
        <f aca="false">IF(Gap!F702="","",Gap!F702)</f>
        <v>351.29634741044</v>
      </c>
      <c r="F705" s="37" t="n">
        <f aca="false">IF(Gap!G702="","",Gap!G702)</f>
        <v>410.236861571799</v>
      </c>
      <c r="G705" s="37" t="n">
        <f aca="false">IF(Gap!H702="","",Gap!H702)</f>
        <v>811.881935963096</v>
      </c>
      <c r="H705" s="37" t="n">
        <f aca="false">IF(Gap!I702="","",Gap!I702)</f>
        <v>879.194939079541</v>
      </c>
      <c r="I705" s="37" t="n">
        <f aca="false">IF(Gap!J702="","",Gap!J702)</f>
        <v>804.591059169787</v>
      </c>
      <c r="J705" s="37" t="n">
        <f aca="false">IF(Gap!K702="","",Gap!K702)</f>
        <v>671.744294193379</v>
      </c>
      <c r="M705" s="21" t="s">
        <v>5855</v>
      </c>
    </row>
    <row r="706" customFormat="false" ht="17.15" hidden="false" customHeight="false" outlineLevel="0" collapsed="false">
      <c r="A706" s="0" t="s">
        <v>5856</v>
      </c>
      <c r="B706" s="5" t="s">
        <v>5857</v>
      </c>
      <c r="C706" s="0" t="s">
        <v>395</v>
      </c>
      <c r="D706" s="37" t="n">
        <f aca="false">IF(Gap!E704="","",Gap!E704)</f>
        <v>-178.281120124588</v>
      </c>
      <c r="E706" s="37" t="n">
        <f aca="false">IF(Gap!F704="","",Gap!F704)</f>
        <v>-403.896126256227</v>
      </c>
      <c r="F706" s="37" t="n">
        <f aca="false">IF(Gap!G704="","",Gap!G704)</f>
        <v>-205.768635511535</v>
      </c>
      <c r="G706" s="37" t="n">
        <f aca="false">IF(Gap!H704="","",Gap!H704)</f>
        <v>81.8650082130961</v>
      </c>
      <c r="H706" s="37" t="n">
        <f aca="false">IF(Gap!I704="","",Gap!I704)</f>
        <v>-27.141631337126</v>
      </c>
      <c r="I706" s="37" t="n">
        <f aca="false">IF(Gap!J704="","",Gap!J704)</f>
        <v>-327.008801663547</v>
      </c>
      <c r="J706" s="37" t="n">
        <f aca="false">IF(Gap!K704="","",Gap!K704)</f>
        <v>-660.943496139955</v>
      </c>
      <c r="M706" s="21" t="s">
        <v>5858</v>
      </c>
    </row>
    <row r="707" customFormat="false" ht="17.15" hidden="false" customHeight="false" outlineLevel="0" collapsed="false">
      <c r="A707" s="0" t="s">
        <v>5859</v>
      </c>
      <c r="B707" s="5" t="s">
        <v>5860</v>
      </c>
      <c r="C707" s="0" t="s">
        <v>395</v>
      </c>
      <c r="F707" s="37" t="n">
        <f aca="false">IF(Gap!G705="","",Gap!G705)</f>
        <v>-205.768635511535</v>
      </c>
      <c r="G707" s="37" t="n">
        <f aca="false">IF(Gap!H705="","",Gap!H705)</f>
        <v>-123.903627298438</v>
      </c>
      <c r="H707" s="37" t="n">
        <f aca="false">IF(Gap!I705="","",Gap!I705)</f>
        <v>-151.045258635564</v>
      </c>
      <c r="I707" s="37" t="n">
        <f aca="false">IF(Gap!J705="","",Gap!J705)</f>
        <v>-478.054060299111</v>
      </c>
      <c r="J707" s="37" t="n">
        <f aca="false">IF(Gap!K705="","",Gap!K705)</f>
        <v>-1138.99755643907</v>
      </c>
      <c r="M707" s="21" t="s">
        <v>5861</v>
      </c>
    </row>
    <row r="708" customFormat="false" ht="17.15" hidden="false" customHeight="false" outlineLevel="0" collapsed="false">
      <c r="A708" s="0" t="s">
        <v>5862</v>
      </c>
      <c r="B708" s="5" t="s">
        <v>5863</v>
      </c>
      <c r="C708" s="0" t="s">
        <v>395</v>
      </c>
      <c r="F708" s="37" t="n">
        <f aca="false">IF(Gap!G706="","",Gap!G706)</f>
        <v>-736.786176511534</v>
      </c>
      <c r="G708" s="37" t="n">
        <f aca="false">IF(Gap!H706="","",Gap!H706)</f>
        <v>-654.921168298438</v>
      </c>
      <c r="H708" s="37" t="n">
        <f aca="false">IF(Gap!I706="","",Gap!I706)</f>
        <v>-682.062799635564</v>
      </c>
      <c r="I708" s="37" t="n">
        <f aca="false">IF(Gap!J706="","",Gap!J706)</f>
        <v>-1009.07160129911</v>
      </c>
      <c r="J708" s="37" t="n">
        <f aca="false">IF(Gap!K706="","",Gap!K706)</f>
        <v>-1670.01509743907</v>
      </c>
      <c r="M708" s="21" t="s">
        <v>5864</v>
      </c>
    </row>
    <row r="709" customFormat="false" ht="17.15" hidden="false" customHeight="false" outlineLevel="0" collapsed="false">
      <c r="A709" s="0" t="s">
        <v>5865</v>
      </c>
      <c r="B709" s="5" t="s">
        <v>5866</v>
      </c>
      <c r="C709" s="0" t="s">
        <v>395</v>
      </c>
      <c r="F709" s="37" t="n">
        <f aca="false">IF(Gap!G707="","",Gap!G707)</f>
        <v>-2056.19617651153</v>
      </c>
      <c r="G709" s="37" t="n">
        <f aca="false">IF(Gap!H707="","",Gap!H707)</f>
        <v>-1974.33116829844</v>
      </c>
      <c r="H709" s="37" t="n">
        <f aca="false">IF(Gap!I707="","",Gap!I707)</f>
        <v>-2001.47279963556</v>
      </c>
      <c r="I709" s="37" t="n">
        <f aca="false">IF(Gap!J707="","",Gap!J707)</f>
        <v>-2328.48160129911</v>
      </c>
      <c r="J709" s="37" t="n">
        <f aca="false">IF(Gap!K707="","",Gap!K707)</f>
        <v>-2989.42509743907</v>
      </c>
      <c r="M709" s="21" t="s">
        <v>5867</v>
      </c>
    </row>
    <row r="710" customFormat="false" ht="17.15" hidden="false" customHeight="false" outlineLevel="0" collapsed="false">
      <c r="A710" s="0" t="s">
        <v>5868</v>
      </c>
      <c r="B710" s="5" t="s">
        <v>5869</v>
      </c>
      <c r="C710" s="5" t="s">
        <v>5644</v>
      </c>
      <c r="D710" s="20" t="str">
        <f aca="false">IF(Gap!D710="","",Gap!D710)</f>
        <v>Anthropic 型（2028 起轉正）</v>
      </c>
      <c r="M710" s="21" t="s">
        <v>5870</v>
      </c>
    </row>
    <row r="711" customFormat="false" ht="17.15" hidden="false" customHeight="false" outlineLevel="0" collapsed="false">
      <c r="A711" s="0" t="s">
        <v>5871</v>
      </c>
      <c r="B711" s="5" t="s">
        <v>5872</v>
      </c>
      <c r="C711" s="0" t="s">
        <v>82</v>
      </c>
      <c r="D711" s="28" t="n">
        <f aca="false">IF(Gap!E714="","",Gap!E714)</f>
        <v>1.61980834349181</v>
      </c>
      <c r="E711" s="28" t="n">
        <f aca="false">IF(Gap!F714="","",Gap!F714)</f>
        <v>9.04912429484716</v>
      </c>
      <c r="F711" s="28" t="n">
        <f aca="false">IF(Gap!G714="","",Gap!G714)</f>
        <v>11.7062917618926</v>
      </c>
      <c r="G711" s="28" t="n">
        <f aca="false">IF(Gap!H714="","",Gap!H714)</f>
        <v>12.5413778925549</v>
      </c>
      <c r="H711" s="28" t="n">
        <f aca="false">IF(Gap!I714="","",Gap!I714)</f>
        <v>21.496360239702</v>
      </c>
      <c r="I711" s="28" t="n">
        <f aca="false">IF(Gap!J714="","",Gap!J714)</f>
        <v>29.5880740108925</v>
      </c>
      <c r="J711" s="28" t="n">
        <f aca="false">IF(Gap!K714="","",Gap!K714)</f>
        <v>25.2816513772501</v>
      </c>
      <c r="M711" s="21" t="s">
        <v>5873</v>
      </c>
    </row>
    <row r="712" customFormat="false" ht="17.15" hidden="false" customHeight="false" outlineLevel="0" collapsed="false">
      <c r="A712" s="0" t="s">
        <v>5874</v>
      </c>
      <c r="B712" s="5" t="s">
        <v>5875</v>
      </c>
      <c r="C712" s="0" t="s">
        <v>41</v>
      </c>
      <c r="D712" s="28" t="n">
        <f aca="false">IF(Gap!E715="","",Gap!E715)</f>
        <v>1</v>
      </c>
      <c r="E712" s="28" t="n">
        <f aca="false">IF(Gap!F715="","",Gap!F715)</f>
        <v>1</v>
      </c>
      <c r="F712" s="28" t="n">
        <f aca="false">IF(Gap!G715="","",Gap!G715)</f>
        <v>0.935353121424805</v>
      </c>
      <c r="G712" s="28" t="n">
        <f aca="false">IF(Gap!H715="","",Gap!H715)</f>
        <v>0.523380560579387</v>
      </c>
      <c r="H712" s="28" t="n">
        <f aca="false">IF(Gap!I715="","",Gap!I715)</f>
        <v>0.798429835455384</v>
      </c>
      <c r="I712" s="28" t="n">
        <f aca="false">IF(Gap!J715="","",Gap!J715)</f>
        <v>1.06957211216944</v>
      </c>
      <c r="J712" s="28" t="n">
        <f aca="false">IF(Gap!K715="","",Gap!K715)</f>
        <v>0.900612339567236</v>
      </c>
      <c r="M712" s="21" t="s">
        <v>5876</v>
      </c>
    </row>
    <row r="713" customFormat="false" ht="17.15" hidden="false" customHeight="false" outlineLevel="0" collapsed="false">
      <c r="A713" s="0" t="s">
        <v>5877</v>
      </c>
      <c r="B713" s="5" t="s">
        <v>5878</v>
      </c>
      <c r="C713" s="5" t="s">
        <v>726</v>
      </c>
      <c r="D713" s="28" t="n">
        <f aca="false">IF(Gap!E741="","",Gap!E741)</f>
        <v>0.816901762584096</v>
      </c>
      <c r="E713" s="28" t="n">
        <f aca="false">IF(Gap!F741="","",Gap!F741)</f>
        <v>0.854460356132562</v>
      </c>
      <c r="F713" s="28" t="n">
        <f aca="false">IF(Gap!G741="","",Gap!G741)</f>
        <v>0.669014453278282</v>
      </c>
      <c r="G713" s="28" t="n">
        <f aca="false">IF(Gap!H741="","",Gap!H741)</f>
        <v>0.728737488919119</v>
      </c>
      <c r="H713" s="28" t="n">
        <f aca="false">IF(Gap!I741="","",Gap!I741)</f>
        <v>0.744272591231188</v>
      </c>
      <c r="I713" s="28" t="n">
        <f aca="false">IF(Gap!J741="","",Gap!J741)</f>
        <v>0.811285349439084</v>
      </c>
      <c r="J713" s="28" t="n">
        <f aca="false">IF(Gap!K741="","",Gap!K741)</f>
        <v>0.935847295004497</v>
      </c>
      <c r="M713" s="21" t="s">
        <v>5879</v>
      </c>
    </row>
    <row r="714" customFormat="false" ht="17.15" hidden="false" customHeight="false" outlineLevel="0" collapsed="false">
      <c r="A714" s="0" t="s">
        <v>5880</v>
      </c>
      <c r="B714" s="5" t="s">
        <v>5881</v>
      </c>
      <c r="C714" s="0" t="s">
        <v>395</v>
      </c>
      <c r="D714" s="37" t="n">
        <f aca="false">IF(Gap!E723="","",Gap!E723)</f>
        <v>195.192879875412</v>
      </c>
      <c r="E714" s="37" t="n">
        <f aca="false">IF(Gap!F723="","",Gap!F723)</f>
        <v>412.549150219803</v>
      </c>
      <c r="F714" s="37" t="n">
        <f aca="false">IF(Gap!G723="","",Gap!G723)</f>
        <v>561.776741186201</v>
      </c>
      <c r="G714" s="37" t="n">
        <f aca="false">IF(Gap!H723="","",Gap!H723)</f>
        <v>744.867465031309</v>
      </c>
      <c r="H714" s="37" t="n">
        <f aca="false">IF(Gap!I723="","",Gap!I723)</f>
        <v>1189.1550129271</v>
      </c>
      <c r="I714" s="37" t="n">
        <f aca="false">IF(Gap!J723="","",Gap!J723)</f>
        <v>1502.20648615188</v>
      </c>
      <c r="J714" s="37" t="n">
        <f aca="false">IF(Gap!K723="","",Gap!K723)</f>
        <v>1457.15115416025</v>
      </c>
      <c r="M714" s="21" t="s">
        <v>5882</v>
      </c>
    </row>
    <row r="715" customFormat="false" ht="17.15" hidden="false" customHeight="false" outlineLevel="0" collapsed="false">
      <c r="A715" s="0" t="s">
        <v>5883</v>
      </c>
      <c r="B715" s="5" t="s">
        <v>5884</v>
      </c>
      <c r="C715" s="0" t="s">
        <v>395</v>
      </c>
      <c r="D715" s="37" t="n">
        <f aca="false">IF(Gap!E722="","",Gap!E722)</f>
        <v>134.635884875412</v>
      </c>
      <c r="E715" s="37" t="n">
        <f aca="false">IF(Gap!F722="","",Gap!F722)</f>
        <v>319.736957219803</v>
      </c>
      <c r="F715" s="37" t="n">
        <f aca="false">IF(Gap!G722="","",Gap!G722)</f>
        <v>377.694463186201</v>
      </c>
      <c r="G715" s="37" t="n">
        <f aca="false">IF(Gap!H722="","",Gap!H722)</f>
        <v>532.301090864642</v>
      </c>
      <c r="H715" s="37" t="n">
        <f aca="false">IF(Gap!I722="","",Gap!I722)</f>
        <v>942.204721177105</v>
      </c>
      <c r="I715" s="37" t="n">
        <f aca="false">IF(Gap!J722="","",Gap!J722)</f>
        <v>1225.07575015188</v>
      </c>
      <c r="J715" s="37" t="n">
        <f aca="false">IF(Gap!K722="","",Gap!K722)</f>
        <v>1158.12475624359</v>
      </c>
      <c r="M715" s="21" t="s">
        <v>5885</v>
      </c>
    </row>
    <row r="716" customFormat="false" ht="17.15" hidden="false" customHeight="false" outlineLevel="0" collapsed="false">
      <c r="A716" s="0" t="s">
        <v>5886</v>
      </c>
      <c r="B716" s="5" t="s">
        <v>5887</v>
      </c>
      <c r="C716" s="0" t="s">
        <v>395</v>
      </c>
      <c r="D716" s="37" t="n">
        <f aca="false">IF(Gap!E724="","",Gap!E724)</f>
        <v>-178.281120124588</v>
      </c>
      <c r="E716" s="37" t="n">
        <f aca="false">IF(Gap!F724="","",Gap!F724)</f>
        <v>-435.455516446863</v>
      </c>
      <c r="F716" s="37" t="n">
        <f aca="false">IF(Gap!G724="","",Gap!G724)</f>
        <v>-238.311033897133</v>
      </c>
      <c r="G716" s="37" t="n">
        <f aca="false">IF(Gap!H724="","",Gap!H724)</f>
        <v>-197.715836885358</v>
      </c>
      <c r="H716" s="37" t="n">
        <f aca="false">IF(Gap!I724="","",Gap!I724)</f>
        <v>35.8681507604381</v>
      </c>
      <c r="I716" s="37" t="n">
        <f aca="false">IF(Gap!J724="","",Gap!J724)</f>
        <v>93.4758893185467</v>
      </c>
      <c r="J716" s="37" t="n">
        <f aca="false">IF(Gap!K724="","",Gap!K724)</f>
        <v>-174.563034089746</v>
      </c>
      <c r="M716" s="21" t="s">
        <v>5888</v>
      </c>
    </row>
    <row r="717" customFormat="false" ht="17.15" hidden="false" customHeight="false" outlineLevel="0" collapsed="false">
      <c r="A717" s="0" t="s">
        <v>5889</v>
      </c>
      <c r="B717" s="5" t="s">
        <v>5890</v>
      </c>
      <c r="C717" s="0" t="s">
        <v>395</v>
      </c>
      <c r="F717" s="37" t="n">
        <f aca="false">IF(Gap!G725="","",Gap!G725)</f>
        <v>-238.311033897133</v>
      </c>
      <c r="G717" s="37" t="n">
        <f aca="false">IF(Gap!H725="","",Gap!H725)</f>
        <v>-436.02687078249</v>
      </c>
      <c r="H717" s="37" t="n">
        <f aca="false">IF(Gap!I725="","",Gap!I725)</f>
        <v>-400.158720022052</v>
      </c>
      <c r="I717" s="37" t="n">
        <f aca="false">IF(Gap!J725="","",Gap!J725)</f>
        <v>-306.682830703506</v>
      </c>
      <c r="J717" s="37" t="n">
        <f aca="false">IF(Gap!K725="","",Gap!K725)</f>
        <v>-481.245864793252</v>
      </c>
      <c r="M717" s="21" t="s">
        <v>5891</v>
      </c>
    </row>
    <row r="718" customFormat="false" ht="17.15" hidden="false" customHeight="false" outlineLevel="0" collapsed="false">
      <c r="A718" s="0" t="s">
        <v>5892</v>
      </c>
      <c r="B718" s="5" t="s">
        <v>5893</v>
      </c>
      <c r="C718" s="0" t="s">
        <v>395</v>
      </c>
      <c r="F718" s="37" t="n">
        <f aca="false">IF(Gap!G726="","",Gap!G726)</f>
        <v>-769.328574897133</v>
      </c>
      <c r="G718" s="37" t="n">
        <f aca="false">IF(Gap!H726="","",Gap!H726)</f>
        <v>-967.04441178249</v>
      </c>
      <c r="H718" s="37" t="n">
        <f aca="false">IF(Gap!I726="","",Gap!I726)</f>
        <v>-931.176261022052</v>
      </c>
      <c r="I718" s="37" t="n">
        <f aca="false">IF(Gap!J726="","",Gap!J726)</f>
        <v>-837.700371703506</v>
      </c>
      <c r="J718" s="37" t="n">
        <f aca="false">IF(Gap!K726="","",Gap!K726)</f>
        <v>-1012.26340579325</v>
      </c>
      <c r="M718" s="21" t="s">
        <v>5894</v>
      </c>
    </row>
    <row r="719" customFormat="false" ht="17.15" hidden="false" customHeight="false" outlineLevel="0" collapsed="false">
      <c r="A719" s="0" t="s">
        <v>5895</v>
      </c>
      <c r="B719" s="5" t="s">
        <v>5896</v>
      </c>
      <c r="C719" s="0" t="s">
        <v>395</v>
      </c>
      <c r="F719" s="37" t="n">
        <f aca="false">IF(Gap!G727="","",Gap!G727)</f>
        <v>-2088.73857489713</v>
      </c>
      <c r="G719" s="37" t="n">
        <f aca="false">IF(Gap!H727="","",Gap!H727)</f>
        <v>-2286.45441178249</v>
      </c>
      <c r="H719" s="37" t="n">
        <f aca="false">IF(Gap!I727="","",Gap!I727)</f>
        <v>-2250.58626102205</v>
      </c>
      <c r="I719" s="37" t="n">
        <f aca="false">IF(Gap!J727="","",Gap!J727)</f>
        <v>-2157.11037170351</v>
      </c>
      <c r="J719" s="37" t="n">
        <f aca="false">IF(Gap!K727="","",Gap!K727)</f>
        <v>-2331.67340579325</v>
      </c>
      <c r="M719" s="21" t="s">
        <v>5897</v>
      </c>
    </row>
    <row r="720" customFormat="false" ht="17.15" hidden="false" customHeight="false" outlineLevel="0" collapsed="false">
      <c r="A720" s="0" t="s">
        <v>5898</v>
      </c>
      <c r="B720" s="5" t="s">
        <v>5899</v>
      </c>
      <c r="C720" s="5" t="s">
        <v>5644</v>
      </c>
      <c r="D720" s="20" t="str">
        <f aca="false">IF(Gap!D730="","",Gap!D730)</f>
        <v>Anthropic 型（2030 起轉正）</v>
      </c>
      <c r="M720" s="21" t="s">
        <v>5900</v>
      </c>
    </row>
    <row r="721" customFormat="false" ht="17.15" hidden="false" customHeight="false" outlineLevel="0" collapsed="false">
      <c r="A721" s="0" t="s">
        <v>5901</v>
      </c>
      <c r="B721" s="5" t="s">
        <v>5902</v>
      </c>
      <c r="C721" s="0" t="s">
        <v>395</v>
      </c>
      <c r="D721" s="37" t="n">
        <f aca="false">IF(Gap!E733="","",Gap!E733)</f>
        <v>195.192879875412</v>
      </c>
      <c r="E721" s="37" t="n">
        <f aca="false">IF(Gap!F733="","",Gap!F733)</f>
        <v>412.549150219803</v>
      </c>
      <c r="F721" s="37" t="n">
        <f aca="false">IF(Gap!G733="","",Gap!G733)</f>
        <v>561.776741186201</v>
      </c>
      <c r="G721" s="37" t="n">
        <f aca="false">IF(Gap!H733="","",Gap!H733)</f>
        <v>714.650385834844</v>
      </c>
      <c r="H721" s="37" t="n">
        <f aca="false">IF(Gap!I733="","",Gap!I733)</f>
        <v>1116.67162234607</v>
      </c>
      <c r="I721" s="37" t="n">
        <f aca="false">IF(Gap!J733="","",Gap!J733)</f>
        <v>1298.25002180211</v>
      </c>
      <c r="J721" s="37" t="n">
        <f aca="false">IF(Gap!K733="","",Gap!K733)</f>
        <v>1019.14594152898</v>
      </c>
      <c r="M721" s="21" t="s">
        <v>5903</v>
      </c>
    </row>
    <row r="722" customFormat="false" ht="17.15" hidden="false" customHeight="false" outlineLevel="0" collapsed="false">
      <c r="A722" s="0" t="s">
        <v>5904</v>
      </c>
      <c r="B722" s="5" t="s">
        <v>5905</v>
      </c>
      <c r="C722" s="0" t="s">
        <v>395</v>
      </c>
      <c r="D722" s="37" t="n">
        <f aca="false">IF(Gap!E732="","",Gap!E732)</f>
        <v>134.635884875412</v>
      </c>
      <c r="E722" s="37" t="n">
        <f aca="false">IF(Gap!F732="","",Gap!F732)</f>
        <v>319.736957219803</v>
      </c>
      <c r="F722" s="37" t="n">
        <f aca="false">IF(Gap!G732="","",Gap!G732)</f>
        <v>377.694463186201</v>
      </c>
      <c r="G722" s="37" t="n">
        <f aca="false">IF(Gap!H732="","",Gap!H732)</f>
        <v>502.084011668177</v>
      </c>
      <c r="H722" s="37" t="n">
        <f aca="false">IF(Gap!I732="","",Gap!I732)</f>
        <v>869.72133059607</v>
      </c>
      <c r="I722" s="37" t="n">
        <f aca="false">IF(Gap!J732="","",Gap!J732)</f>
        <v>1021.11928580211</v>
      </c>
      <c r="J722" s="37" t="n">
        <f aca="false">IF(Gap!K732="","",Gap!K732)</f>
        <v>720.11954361231</v>
      </c>
      <c r="M722" s="21" t="s">
        <v>5906</v>
      </c>
    </row>
    <row r="723" customFormat="false" ht="17.15" hidden="false" customHeight="false" outlineLevel="0" collapsed="false">
      <c r="A723" s="0" t="s">
        <v>5907</v>
      </c>
      <c r="B723" s="5" t="s">
        <v>5908</v>
      </c>
      <c r="C723" s="0" t="s">
        <v>395</v>
      </c>
      <c r="D723" s="37" t="n">
        <f aca="false">IF(Gap!E734="","",Gap!E734)</f>
        <v>-178.281120124588</v>
      </c>
      <c r="E723" s="37" t="n">
        <f aca="false">IF(Gap!F734="","",Gap!F734)</f>
        <v>-435.455516446863</v>
      </c>
      <c r="F723" s="37" t="n">
        <f aca="false">IF(Gap!G734="","",Gap!G734)</f>
        <v>-238.311033897133</v>
      </c>
      <c r="G723" s="37" t="n">
        <f aca="false">IF(Gap!H734="","",Gap!H734)</f>
        <v>-227.932916081823</v>
      </c>
      <c r="H723" s="37" t="n">
        <f aca="false">IF(Gap!I734="","",Gap!I734)</f>
        <v>-36.6152398205968</v>
      </c>
      <c r="I723" s="37" t="n">
        <f aca="false">IF(Gap!J734="","",Gap!J734)</f>
        <v>-110.480575031227</v>
      </c>
      <c r="J723" s="37" t="n">
        <f aca="false">IF(Gap!K734="","",Gap!K734)</f>
        <v>-612.568246721023</v>
      </c>
      <c r="M723" s="21" t="s">
        <v>5909</v>
      </c>
    </row>
    <row r="724" customFormat="false" ht="17.15" hidden="false" customHeight="false" outlineLevel="0" collapsed="false">
      <c r="A724" s="0" t="s">
        <v>5910</v>
      </c>
      <c r="B724" s="5" t="s">
        <v>5911</v>
      </c>
      <c r="C724" s="0" t="s">
        <v>395</v>
      </c>
      <c r="F724" s="37" t="n">
        <f aca="false">IF(Gap!G735="","",Gap!G735)</f>
        <v>-238.311033897133</v>
      </c>
      <c r="G724" s="37" t="n">
        <f aca="false">IF(Gap!H735="","",Gap!H735)</f>
        <v>-466.243949978955</v>
      </c>
      <c r="H724" s="37" t="n">
        <f aca="false">IF(Gap!I735="","",Gap!I735)</f>
        <v>-502.859189799552</v>
      </c>
      <c r="I724" s="37" t="n">
        <f aca="false">IF(Gap!J735="","",Gap!J735)</f>
        <v>-613.339764830779</v>
      </c>
      <c r="J724" s="37" t="n">
        <f aca="false">IF(Gap!K735="","",Gap!K735)</f>
        <v>-1225.9080115518</v>
      </c>
      <c r="M724" s="21" t="s">
        <v>5912</v>
      </c>
    </row>
    <row r="725" customFormat="false" ht="17.15" hidden="false" customHeight="false" outlineLevel="0" collapsed="false">
      <c r="A725" s="0" t="s">
        <v>5913</v>
      </c>
      <c r="B725" s="5" t="s">
        <v>5914</v>
      </c>
      <c r="C725" s="0" t="s">
        <v>395</v>
      </c>
      <c r="F725" s="37" t="n">
        <f aca="false">IF(Gap!G736="","",Gap!G736)</f>
        <v>-769.328574897133</v>
      </c>
      <c r="G725" s="37" t="n">
        <f aca="false">IF(Gap!H736="","",Gap!H736)</f>
        <v>-997.261490978955</v>
      </c>
      <c r="H725" s="37" t="n">
        <f aca="false">IF(Gap!I736="","",Gap!I736)</f>
        <v>-1033.87673079955</v>
      </c>
      <c r="I725" s="37" t="n">
        <f aca="false">IF(Gap!J736="","",Gap!J736)</f>
        <v>-1144.35730583078</v>
      </c>
      <c r="J725" s="37" t="n">
        <f aca="false">IF(Gap!K736="","",Gap!K736)</f>
        <v>-1756.9255525518</v>
      </c>
      <c r="M725" s="21" t="s">
        <v>5915</v>
      </c>
    </row>
    <row r="726" customFormat="false" ht="17.15" hidden="false" customHeight="false" outlineLevel="0" collapsed="false">
      <c r="A726" s="0" t="s">
        <v>5916</v>
      </c>
      <c r="B726" s="5" t="s">
        <v>5917</v>
      </c>
      <c r="C726" s="0" t="s">
        <v>395</v>
      </c>
      <c r="F726" s="37" t="n">
        <f aca="false">IF(Gap!G737="","",Gap!G737)</f>
        <v>-2088.73857489713</v>
      </c>
      <c r="G726" s="37" t="n">
        <f aca="false">IF(Gap!H737="","",Gap!H737)</f>
        <v>-2316.67149097896</v>
      </c>
      <c r="H726" s="37" t="n">
        <f aca="false">IF(Gap!I737="","",Gap!I737)</f>
        <v>-2353.28673079955</v>
      </c>
      <c r="I726" s="37" t="n">
        <f aca="false">IF(Gap!J737="","",Gap!J737)</f>
        <v>-2463.76730583078</v>
      </c>
      <c r="J726" s="37" t="n">
        <f aca="false">IF(Gap!K737="","",Gap!K737)</f>
        <v>-3076.3355525518</v>
      </c>
      <c r="M726" s="21" t="s">
        <v>5918</v>
      </c>
    </row>
    <row r="727" customFormat="false" ht="17.15" hidden="false" customHeight="false" outlineLevel="0" collapsed="false">
      <c r="A727" s="0" t="s">
        <v>5919</v>
      </c>
      <c r="B727" s="5" t="s">
        <v>5920</v>
      </c>
      <c r="C727" s="5" t="s">
        <v>5644</v>
      </c>
      <c r="D727" s="20" t="str">
        <f aca="false">IF(Gap!D740="","",Gap!D740)</f>
        <v>Anthropic 型（2026–2030 皆為正）</v>
      </c>
      <c r="M727" s="21" t="s">
        <v>5921</v>
      </c>
    </row>
    <row r="728" customFormat="false" ht="17.15" hidden="false" customHeight="false" outlineLevel="0" collapsed="false">
      <c r="A728" s="0" t="s">
        <v>5922</v>
      </c>
      <c r="B728" s="5" t="s">
        <v>5923</v>
      </c>
      <c r="C728" s="0" t="s">
        <v>82</v>
      </c>
      <c r="D728" s="28" t="n">
        <f aca="false">IF(Gap!E744="","",Gap!E744)</f>
        <v>1.61980834349181</v>
      </c>
      <c r="E728" s="28" t="n">
        <f aca="false">IF(Gap!F744="","",Gap!F744)</f>
        <v>9.04912429484716</v>
      </c>
      <c r="F728" s="28" t="n">
        <f aca="false">IF(Gap!G744="","",Gap!G744)</f>
        <v>12.5153714610592</v>
      </c>
      <c r="G728" s="28" t="n">
        <f aca="false">IF(Gap!H744="","",Gap!H744)</f>
        <v>23.9622539260371</v>
      </c>
      <c r="H728" s="28" t="n">
        <f aca="false">IF(Gap!I744="","",Gap!I744)</f>
        <v>16.1539756796098</v>
      </c>
      <c r="I728" s="28" t="n">
        <f aca="false">IF(Gap!J744="","",Gap!J744)</f>
        <v>16.5980808629415</v>
      </c>
      <c r="J728" s="28" t="n">
        <f aca="false">IF(Gap!K744="","",Gap!K744)</f>
        <v>16.5732278061264</v>
      </c>
      <c r="M728" s="21" t="s">
        <v>5924</v>
      </c>
    </row>
    <row r="729" customFormat="false" ht="17.15" hidden="false" customHeight="false" outlineLevel="0" collapsed="false">
      <c r="A729" s="0" t="s">
        <v>5925</v>
      </c>
      <c r="B729" s="5" t="s">
        <v>5926</v>
      </c>
      <c r="C729" s="0" t="s">
        <v>41</v>
      </c>
      <c r="D729" s="28" t="n">
        <f aca="false">IF(Gap!E745="","",Gap!E745)</f>
        <v>1</v>
      </c>
      <c r="E729" s="28" t="n">
        <f aca="false">IF(Gap!F745="","",Gap!F745)</f>
        <v>1</v>
      </c>
      <c r="F729" s="28" t="n">
        <f aca="false">IF(Gap!G745="","",Gap!G745)</f>
        <v>1</v>
      </c>
      <c r="G729" s="28" t="n">
        <f aca="false">IF(Gap!H745="","",Gap!H745)</f>
        <v>1</v>
      </c>
      <c r="H729" s="28" t="n">
        <f aca="false">IF(Gap!I745="","",Gap!I745)</f>
        <v>0.6</v>
      </c>
      <c r="I729" s="28" t="n">
        <f aca="false">IF(Gap!J745="","",Gap!J745)</f>
        <v>0.6</v>
      </c>
      <c r="J729" s="28" t="n">
        <f aca="false">IF(Gap!K745="","",Gap!K745)</f>
        <v>0.590390763875796</v>
      </c>
      <c r="M729" s="21" t="s">
        <v>5927</v>
      </c>
    </row>
    <row r="730" customFormat="false" ht="17.15" hidden="false" customHeight="false" outlineLevel="0" collapsed="false">
      <c r="A730" s="0" t="s">
        <v>5928</v>
      </c>
      <c r="B730" s="5" t="s">
        <v>5929</v>
      </c>
      <c r="C730" s="5" t="s">
        <v>726</v>
      </c>
      <c r="D730" s="28" t="n">
        <f aca="false">IF(Gap!E771="","",Gap!E771)</f>
        <v>0.811976138205809</v>
      </c>
      <c r="E730" s="28" t="n">
        <f aca="false">IF(Gap!F771="","",Gap!F771)</f>
        <v>0.830437512691783</v>
      </c>
      <c r="F730" s="28" t="n">
        <f aca="false">IF(Gap!G771="","",Gap!G771)</f>
        <v>0.669082515918041</v>
      </c>
      <c r="G730" s="28" t="n">
        <f aca="false">IF(Gap!H771="","",Gap!H771)</f>
        <v>0.715072794151658</v>
      </c>
      <c r="H730" s="28" t="n">
        <f aca="false">IF(Gap!I771="","",Gap!I771)</f>
        <v>0.740393748333291</v>
      </c>
      <c r="I730" s="28" t="n">
        <f aca="false">IF(Gap!J771="","",Gap!J771)</f>
        <v>0.818037755083922</v>
      </c>
      <c r="J730" s="28" t="n">
        <f aca="false">IF(Gap!K771="","",Gap!K771)</f>
        <v>0.949688612098224</v>
      </c>
      <c r="M730" s="21" t="s">
        <v>5930</v>
      </c>
    </row>
    <row r="731" customFormat="false" ht="17.15" hidden="false" customHeight="false" outlineLevel="0" collapsed="false">
      <c r="A731" s="0" t="s">
        <v>5931</v>
      </c>
      <c r="B731" s="5" t="s">
        <v>5932</v>
      </c>
      <c r="C731" s="0" t="s">
        <v>395</v>
      </c>
      <c r="D731" s="37" t="n">
        <f aca="false">IF(Gap!E753="","",Gap!E753)</f>
        <v>198.215717405791</v>
      </c>
      <c r="E731" s="37" t="n">
        <f aca="false">IF(Gap!F753="","",Gap!F753)</f>
        <v>462.14996825741</v>
      </c>
      <c r="F731" s="37" t="n">
        <f aca="false">IF(Gap!G753="","",Gap!G753)</f>
        <v>602.258643482323</v>
      </c>
      <c r="G731" s="37" t="n">
        <f aca="false">IF(Gap!H753="","",Gap!H753)</f>
        <v>943.050248461622</v>
      </c>
      <c r="H731" s="37" t="n">
        <f aca="false">IF(Gap!I753="","",Gap!I753)</f>
        <v>917.337233480352</v>
      </c>
      <c r="I731" s="37" t="n">
        <f aca="false">IF(Gap!J753="","",Gap!J753)</f>
        <v>995.711255545146</v>
      </c>
      <c r="J731" s="37" t="n">
        <f aca="false">IF(Gap!K753="","",Gap!K753)</f>
        <v>1086.68014668827</v>
      </c>
      <c r="M731" s="21" t="s">
        <v>5933</v>
      </c>
    </row>
    <row r="732" customFormat="false" ht="17.15" hidden="false" customHeight="false" outlineLevel="0" collapsed="false">
      <c r="A732" s="0" t="s">
        <v>5934</v>
      </c>
      <c r="B732" s="5" t="s">
        <v>5935</v>
      </c>
      <c r="C732" s="0" t="s">
        <v>395</v>
      </c>
      <c r="D732" s="37" t="n">
        <f aca="false">IF(Gap!E752="","",Gap!E752)</f>
        <v>137.658722405791</v>
      </c>
      <c r="E732" s="37" t="n">
        <f aca="false">IF(Gap!F752="","",Gap!F752)</f>
        <v>369.33777525741</v>
      </c>
      <c r="F732" s="37" t="n">
        <f aca="false">IF(Gap!G752="","",Gap!G752)</f>
        <v>418.176365482323</v>
      </c>
      <c r="G732" s="37" t="n">
        <f aca="false">IF(Gap!H752="","",Gap!H752)</f>
        <v>730.483874294955</v>
      </c>
      <c r="H732" s="37" t="n">
        <f aca="false">IF(Gap!I752="","",Gap!I752)</f>
        <v>670.386941730352</v>
      </c>
      <c r="I732" s="37" t="n">
        <f aca="false">IF(Gap!J752="","",Gap!J752)</f>
        <v>718.580519545146</v>
      </c>
      <c r="J732" s="37" t="n">
        <f aca="false">IF(Gap!K752="","",Gap!K752)</f>
        <v>787.653748771603</v>
      </c>
      <c r="M732" s="21" t="s">
        <v>5936</v>
      </c>
    </row>
    <row r="733" customFormat="false" ht="17.15" hidden="false" customHeight="false" outlineLevel="0" collapsed="false">
      <c r="A733" s="0" t="s">
        <v>5937</v>
      </c>
      <c r="B733" s="5" t="s">
        <v>5938</v>
      </c>
      <c r="C733" s="0" t="s">
        <v>395</v>
      </c>
      <c r="D733" s="37" t="n">
        <f aca="false">IF(Gap!E754="","",Gap!E754)</f>
        <v>-175.258282594209</v>
      </c>
      <c r="E733" s="37" t="n">
        <f aca="false">IF(Gap!F754="","",Gap!F754)</f>
        <v>-385.854698409257</v>
      </c>
      <c r="F733" s="37" t="n">
        <f aca="false">IF(Gap!G754="","",Gap!G754)</f>
        <v>-197.82913160101</v>
      </c>
      <c r="G733" s="37" t="n">
        <f aca="false">IF(Gap!H754="","",Gap!H754)</f>
        <v>0.466946544955363</v>
      </c>
      <c r="H733" s="37" t="n">
        <f aca="false">IF(Gap!I754="","",Gap!I754)</f>
        <v>-235.949628686315</v>
      </c>
      <c r="I733" s="37" t="n">
        <f aca="false">IF(Gap!J754="","",Gap!J754)</f>
        <v>-413.019341288187</v>
      </c>
      <c r="J733" s="37" t="n">
        <f aca="false">IF(Gap!K754="","",Gap!K754)</f>
        <v>-545.034041561731</v>
      </c>
      <c r="M733" s="21" t="s">
        <v>5939</v>
      </c>
    </row>
    <row r="734" customFormat="false" ht="17.15" hidden="false" customHeight="false" outlineLevel="0" collapsed="false">
      <c r="A734" s="0" t="s">
        <v>5940</v>
      </c>
      <c r="B734" s="5" t="s">
        <v>5941</v>
      </c>
      <c r="C734" s="0" t="s">
        <v>395</v>
      </c>
      <c r="F734" s="37" t="n">
        <f aca="false">IF(Gap!G755="","",Gap!G755)</f>
        <v>-197.82913160101</v>
      </c>
      <c r="G734" s="37" t="n">
        <f aca="false">IF(Gap!H755="","",Gap!H755)</f>
        <v>-197.362185056055</v>
      </c>
      <c r="H734" s="37" t="n">
        <f aca="false">IF(Gap!I755="","",Gap!I755)</f>
        <v>-433.31181374237</v>
      </c>
      <c r="I734" s="37" t="n">
        <f aca="false">IF(Gap!J755="","",Gap!J755)</f>
        <v>-846.331155030557</v>
      </c>
      <c r="J734" s="37" t="n">
        <f aca="false">IF(Gap!K755="","",Gap!K755)</f>
        <v>-1391.36519659229</v>
      </c>
      <c r="M734" s="21" t="s">
        <v>5942</v>
      </c>
    </row>
    <row r="735" customFormat="false" ht="17.15" hidden="false" customHeight="false" outlineLevel="0" collapsed="false">
      <c r="A735" s="0" t="s">
        <v>5943</v>
      </c>
      <c r="B735" s="5" t="s">
        <v>5944</v>
      </c>
      <c r="C735" s="0" t="s">
        <v>395</v>
      </c>
      <c r="F735" s="37" t="n">
        <f aca="false">IF(Gap!G756="","",Gap!G756)</f>
        <v>-728.84667260101</v>
      </c>
      <c r="G735" s="37" t="n">
        <f aca="false">IF(Gap!H756="","",Gap!H756)</f>
        <v>-728.379726056055</v>
      </c>
      <c r="H735" s="37" t="n">
        <f aca="false">IF(Gap!I756="","",Gap!I756)</f>
        <v>-964.32935474237</v>
      </c>
      <c r="I735" s="37" t="n">
        <f aca="false">IF(Gap!J756="","",Gap!J756)</f>
        <v>-1377.34869603056</v>
      </c>
      <c r="J735" s="37" t="n">
        <f aca="false">IF(Gap!K756="","",Gap!K756)</f>
        <v>-1922.38273759229</v>
      </c>
      <c r="M735" s="21" t="s">
        <v>5945</v>
      </c>
    </row>
    <row r="736" customFormat="false" ht="17.15" hidden="false" customHeight="false" outlineLevel="0" collapsed="false">
      <c r="A736" s="0" t="s">
        <v>5946</v>
      </c>
      <c r="B736" s="5" t="s">
        <v>5947</v>
      </c>
      <c r="C736" s="0" t="s">
        <v>395</v>
      </c>
      <c r="F736" s="37" t="n">
        <f aca="false">IF(Gap!G757="","",Gap!G757)</f>
        <v>-2048.25667260101</v>
      </c>
      <c r="G736" s="37" t="n">
        <f aca="false">IF(Gap!H757="","",Gap!H757)</f>
        <v>-2047.78972605605</v>
      </c>
      <c r="H736" s="37" t="n">
        <f aca="false">IF(Gap!I757="","",Gap!I757)</f>
        <v>-2283.73935474237</v>
      </c>
      <c r="I736" s="37" t="n">
        <f aca="false">IF(Gap!J757="","",Gap!J757)</f>
        <v>-2696.75869603056</v>
      </c>
      <c r="J736" s="37" t="n">
        <f aca="false">IF(Gap!K757="","",Gap!K757)</f>
        <v>-3241.79273759229</v>
      </c>
      <c r="M736" s="21" t="s">
        <v>5948</v>
      </c>
    </row>
    <row r="737" customFormat="false" ht="17.15" hidden="false" customHeight="false" outlineLevel="0" collapsed="false">
      <c r="A737" s="0" t="s">
        <v>5949</v>
      </c>
      <c r="B737" s="5" t="s">
        <v>5950</v>
      </c>
      <c r="C737" s="5" t="s">
        <v>5644</v>
      </c>
      <c r="D737" s="20" t="str">
        <f aca="false">IF(Gap!D760="","",Gap!D760)</f>
        <v>Anthropic 型（2028 起轉正）</v>
      </c>
      <c r="M737" s="21" t="s">
        <v>5951</v>
      </c>
    </row>
    <row r="738" customFormat="false" ht="17.15" hidden="false" customHeight="false" outlineLevel="0" collapsed="false">
      <c r="A738" s="0" t="s">
        <v>5952</v>
      </c>
      <c r="B738" s="5" t="s">
        <v>5953</v>
      </c>
      <c r="C738" s="0" t="s">
        <v>395</v>
      </c>
      <c r="D738" s="37" t="n">
        <f aca="false">IF(Gap!E763="","",Gap!E763)</f>
        <v>198.215717405791</v>
      </c>
      <c r="E738" s="37" t="n">
        <f aca="false">IF(Gap!F763="","",Gap!F763)</f>
        <v>462.14996825741</v>
      </c>
      <c r="F738" s="37" t="n">
        <f aca="false">IF(Gap!G763="","",Gap!G763)</f>
        <v>602.258643482323</v>
      </c>
      <c r="G738" s="37" t="n">
        <f aca="false">IF(Gap!H763="","",Gap!H763)</f>
        <v>1171.87600368819</v>
      </c>
      <c r="H738" s="37" t="n">
        <f aca="false">IF(Gap!I763="","",Gap!I763)</f>
        <v>900.52406265</v>
      </c>
      <c r="I738" s="37" t="n">
        <f aca="false">IF(Gap!J763="","",Gap!J763)</f>
        <v>849.9500574</v>
      </c>
      <c r="J738" s="37" t="n">
        <f aca="false">IF(Gap!K763="","",Gap!K763)</f>
        <v>771.096242795159</v>
      </c>
      <c r="M738" s="21" t="s">
        <v>5954</v>
      </c>
    </row>
    <row r="739" customFormat="false" ht="17.15" hidden="false" customHeight="false" outlineLevel="0" collapsed="false">
      <c r="A739" s="0" t="s">
        <v>5955</v>
      </c>
      <c r="B739" s="5" t="s">
        <v>5956</v>
      </c>
      <c r="C739" s="0" t="s">
        <v>395</v>
      </c>
      <c r="D739" s="37" t="n">
        <f aca="false">IF(Gap!E762="","",Gap!E762)</f>
        <v>137.658722405791</v>
      </c>
      <c r="E739" s="37" t="n">
        <f aca="false">IF(Gap!F762="","",Gap!F762)</f>
        <v>369.33777525741</v>
      </c>
      <c r="F739" s="37" t="n">
        <f aca="false">IF(Gap!G762="","",Gap!G762)</f>
        <v>418.176365482323</v>
      </c>
      <c r="G739" s="37" t="n">
        <f aca="false">IF(Gap!H762="","",Gap!H762)</f>
        <v>959.30962952152</v>
      </c>
      <c r="H739" s="37" t="n">
        <f aca="false">IF(Gap!I762="","",Gap!I762)</f>
        <v>653.5737709</v>
      </c>
      <c r="I739" s="37" t="n">
        <f aca="false">IF(Gap!J762="","",Gap!J762)</f>
        <v>572.8193214</v>
      </c>
      <c r="J739" s="37" t="n">
        <f aca="false">IF(Gap!K762="","",Gap!K762)</f>
        <v>472.069844878492</v>
      </c>
      <c r="M739" s="21" t="s">
        <v>5957</v>
      </c>
    </row>
    <row r="740" customFormat="false" ht="17.15" hidden="false" customHeight="false" outlineLevel="0" collapsed="false">
      <c r="A740" s="0" t="s">
        <v>5958</v>
      </c>
      <c r="B740" s="5" t="s">
        <v>5959</v>
      </c>
      <c r="C740" s="0" t="s">
        <v>395</v>
      </c>
      <c r="D740" s="37" t="n">
        <f aca="false">IF(Gap!E764="","",Gap!E764)</f>
        <v>-175.258282594209</v>
      </c>
      <c r="E740" s="37" t="n">
        <f aca="false">IF(Gap!F764="","",Gap!F764)</f>
        <v>-385.854698409257</v>
      </c>
      <c r="F740" s="37" t="n">
        <f aca="false">IF(Gap!G764="","",Gap!G764)</f>
        <v>-197.82913160101</v>
      </c>
      <c r="G740" s="37" t="n">
        <f aca="false">IF(Gap!H764="","",Gap!H764)</f>
        <v>229.29270177152</v>
      </c>
      <c r="H740" s="37" t="n">
        <f aca="false">IF(Gap!I764="","",Gap!I764)</f>
        <v>-252.762799516667</v>
      </c>
      <c r="I740" s="37" t="n">
        <f aca="false">IF(Gap!J764="","",Gap!J764)</f>
        <v>-558.780539433333</v>
      </c>
      <c r="J740" s="37" t="n">
        <f aca="false">IF(Gap!K764="","",Gap!K764)</f>
        <v>-860.617945454841</v>
      </c>
      <c r="M740" s="21" t="s">
        <v>5960</v>
      </c>
    </row>
    <row r="741" customFormat="false" ht="17.15" hidden="false" customHeight="false" outlineLevel="0" collapsed="false">
      <c r="A741" s="0" t="s">
        <v>5961</v>
      </c>
      <c r="B741" s="5" t="s">
        <v>5962</v>
      </c>
      <c r="C741" s="0" t="s">
        <v>395</v>
      </c>
      <c r="F741" s="37" t="n">
        <f aca="false">IF(Gap!G765="","",Gap!G765)</f>
        <v>-197.82913160101</v>
      </c>
      <c r="G741" s="37" t="n">
        <f aca="false">IF(Gap!H765="","",Gap!H765)</f>
        <v>31.4635701705096</v>
      </c>
      <c r="H741" s="37" t="n">
        <f aca="false">IF(Gap!I765="","",Gap!I765)</f>
        <v>-221.299229346158</v>
      </c>
      <c r="I741" s="37" t="n">
        <f aca="false">IF(Gap!J765="","",Gap!J765)</f>
        <v>-780.079768779491</v>
      </c>
      <c r="J741" s="37" t="n">
        <f aca="false">IF(Gap!K765="","",Gap!K765)</f>
        <v>-1640.69771423433</v>
      </c>
      <c r="M741" s="21" t="s">
        <v>5963</v>
      </c>
    </row>
    <row r="742" customFormat="false" ht="17.15" hidden="false" customHeight="false" outlineLevel="0" collapsed="false">
      <c r="A742" s="0" t="s">
        <v>5964</v>
      </c>
      <c r="B742" s="5" t="s">
        <v>5965</v>
      </c>
      <c r="C742" s="0" t="s">
        <v>395</v>
      </c>
      <c r="F742" s="37" t="n">
        <f aca="false">IF(Gap!G766="","",Gap!G766)</f>
        <v>-728.84667260101</v>
      </c>
      <c r="G742" s="37" t="n">
        <f aca="false">IF(Gap!H766="","",Gap!H766)</f>
        <v>-499.55397082949</v>
      </c>
      <c r="H742" s="37" t="n">
        <f aca="false">IF(Gap!I766="","",Gap!I766)</f>
        <v>-752.316770346158</v>
      </c>
      <c r="I742" s="37" t="n">
        <f aca="false">IF(Gap!J766="","",Gap!J766)</f>
        <v>-1311.09730977949</v>
      </c>
      <c r="J742" s="37" t="n">
        <f aca="false">IF(Gap!K766="","",Gap!K766)</f>
        <v>-2171.71525523433</v>
      </c>
      <c r="M742" s="21" t="s">
        <v>5966</v>
      </c>
    </row>
    <row r="743" customFormat="false" ht="17.15" hidden="false" customHeight="false" outlineLevel="0" collapsed="false">
      <c r="A743" s="0" t="s">
        <v>5967</v>
      </c>
      <c r="B743" s="5" t="s">
        <v>5968</v>
      </c>
      <c r="C743" s="0" t="s">
        <v>395</v>
      </c>
      <c r="F743" s="37" t="n">
        <f aca="false">IF(Gap!G767="","",Gap!G767)</f>
        <v>-2048.25667260101</v>
      </c>
      <c r="G743" s="37" t="n">
        <f aca="false">IF(Gap!H767="","",Gap!H767)</f>
        <v>-1818.96397082949</v>
      </c>
      <c r="H743" s="37" t="n">
        <f aca="false">IF(Gap!I767="","",Gap!I767)</f>
        <v>-2071.72677034616</v>
      </c>
      <c r="I743" s="37" t="n">
        <f aca="false">IF(Gap!J767="","",Gap!J767)</f>
        <v>-2630.50730977949</v>
      </c>
      <c r="J743" s="37" t="n">
        <f aca="false">IF(Gap!K767="","",Gap!K767)</f>
        <v>-3491.12525523433</v>
      </c>
      <c r="M743" s="21" t="s">
        <v>5969</v>
      </c>
    </row>
    <row r="744" customFormat="false" ht="17.15" hidden="false" customHeight="false" outlineLevel="0" collapsed="false">
      <c r="A744" s="0" t="s">
        <v>5970</v>
      </c>
      <c r="B744" s="5" t="s">
        <v>5971</v>
      </c>
      <c r="C744" s="5" t="s">
        <v>5644</v>
      </c>
      <c r="D744" s="20" t="str">
        <f aca="false">IF(Gap!D770="","",Gap!D770)</f>
        <v>Anthropic 型（2028 起轉正）</v>
      </c>
      <c r="M744" s="21" t="s">
        <v>5972</v>
      </c>
    </row>
    <row r="745" customFormat="false" ht="17.15" hidden="false" customHeight="false" outlineLevel="0" collapsed="false">
      <c r="A745" s="0" t="s">
        <v>5973</v>
      </c>
      <c r="B745" s="5" t="s">
        <v>5974</v>
      </c>
      <c r="C745" s="0" t="s">
        <v>82</v>
      </c>
      <c r="D745" s="28" t="n">
        <f aca="false">IF(Gap!E774="","",Gap!E774)</f>
        <v>1.61980834349181</v>
      </c>
      <c r="E745" s="28" t="n">
        <f aca="false">IF(Gap!F774="","",Gap!F774)</f>
        <v>9.04912429484716</v>
      </c>
      <c r="F745" s="28" t="n">
        <f aca="false">IF(Gap!G774="","",Gap!G774)</f>
        <v>11.7062917618926</v>
      </c>
      <c r="G745" s="28" t="n">
        <f aca="false">IF(Gap!H774="","",Gap!H774)</f>
        <v>20.2797100214805</v>
      </c>
      <c r="H745" s="28" t="n">
        <f aca="false">IF(Gap!I774="","",Gap!I774)</f>
        <v>17.2881702060679</v>
      </c>
      <c r="I745" s="28" t="n">
        <f aca="false">IF(Gap!J774="","",Gap!J774)</f>
        <v>16.6660207891918</v>
      </c>
      <c r="J745" s="28" t="n">
        <f aca="false">IF(Gap!K774="","",Gap!K774)</f>
        <v>16.5261270910691</v>
      </c>
      <c r="M745" s="21" t="s">
        <v>5975</v>
      </c>
    </row>
    <row r="746" customFormat="false" ht="17.15" hidden="false" customHeight="false" outlineLevel="0" collapsed="false">
      <c r="A746" s="0" t="s">
        <v>5976</v>
      </c>
      <c r="B746" s="5" t="s">
        <v>5977</v>
      </c>
      <c r="C746" s="0" t="s">
        <v>41</v>
      </c>
      <c r="D746" s="28" t="n">
        <f aca="false">IF(Gap!E775="","",Gap!E775)</f>
        <v>1</v>
      </c>
      <c r="E746" s="28" t="n">
        <f aca="false">IF(Gap!F775="","",Gap!F775)</f>
        <v>1</v>
      </c>
      <c r="F746" s="28" t="n">
        <f aca="false">IF(Gap!G775="","",Gap!G775)</f>
        <v>0.935353121424805</v>
      </c>
      <c r="G746" s="28" t="n">
        <f aca="false">IF(Gap!H775="","",Gap!H775)</f>
        <v>0.846318968327299</v>
      </c>
      <c r="H746" s="28" t="n">
        <f aca="false">IF(Gap!I775="","",Gap!I775)</f>
        <v>0.642126887484041</v>
      </c>
      <c r="I746" s="28" t="n">
        <f aca="false">IF(Gap!J775="","",Gap!J775)</f>
        <v>0.602455943918263</v>
      </c>
      <c r="J746" s="28" t="n">
        <f aca="false">IF(Gap!K775="","",Gap!K775)</f>
        <v>0.588712887515976</v>
      </c>
      <c r="M746" s="21" t="s">
        <v>5978</v>
      </c>
    </row>
    <row r="747" customFormat="false" ht="17.15" hidden="false" customHeight="false" outlineLevel="0" collapsed="false">
      <c r="A747" s="0" t="s">
        <v>5979</v>
      </c>
      <c r="B747" s="5" t="s">
        <v>5980</v>
      </c>
      <c r="C747" s="5" t="s">
        <v>726</v>
      </c>
      <c r="D747" s="28" t="n">
        <f aca="false">IF(Gap!E801="","",Gap!E801)</f>
        <v>0.816901762584096</v>
      </c>
      <c r="E747" s="28" t="n">
        <f aca="false">IF(Gap!F801="","",Gap!F801)</f>
        <v>0.838812894146966</v>
      </c>
      <c r="F747" s="28" t="n">
        <f aca="false">IF(Gap!G801="","",Gap!G801)</f>
        <v>0.669527755139329</v>
      </c>
      <c r="G747" s="28" t="n">
        <f aca="false">IF(Gap!H801="","",Gap!H801)</f>
        <v>0.716618298106347</v>
      </c>
      <c r="H747" s="28" t="n">
        <f aca="false">IF(Gap!I801="","",Gap!I801)</f>
        <v>0.739040352408857</v>
      </c>
      <c r="I747" s="28" t="n">
        <f aca="false">IF(Gap!J801="","",Gap!J801)</f>
        <v>0.818644872799124</v>
      </c>
      <c r="J747" s="28" t="n">
        <f aca="false">IF(Gap!K801="","",Gap!K801)</f>
        <v>0.951817154820071</v>
      </c>
      <c r="M747" s="21" t="s">
        <v>5981</v>
      </c>
    </row>
    <row r="748" customFormat="false" ht="17.15" hidden="false" customHeight="false" outlineLevel="0" collapsed="false">
      <c r="A748" s="0" t="s">
        <v>5982</v>
      </c>
      <c r="B748" s="5" t="s">
        <v>5983</v>
      </c>
      <c r="C748" s="0" t="s">
        <v>395</v>
      </c>
      <c r="D748" s="37" t="n">
        <f aca="false">IF(Gap!E783="","",Gap!E783)</f>
        <v>195.192879875412</v>
      </c>
      <c r="E748" s="37" t="n">
        <f aca="false">IF(Gap!F783="","",Gap!F783)</f>
        <v>444.10854041044</v>
      </c>
      <c r="F748" s="37" t="n">
        <f aca="false">IF(Gap!G783="","",Gap!G783)</f>
        <v>575.669561342959</v>
      </c>
      <c r="G748" s="37" t="n">
        <f aca="false">IF(Gap!H783="","",Gap!H783)</f>
        <v>857.903954777177</v>
      </c>
      <c r="H748" s="37" t="n">
        <f aca="false">IF(Gap!I783="","",Gap!I783)</f>
        <v>953.428079124786</v>
      </c>
      <c r="I748" s="37" t="n">
        <f aca="false">IF(Gap!J783="","",Gap!J783)</f>
        <v>1000.242583721</v>
      </c>
      <c r="J748" s="37" t="n">
        <f aca="false">IF(Gap!K783="","",Gap!K783)</f>
        <v>1090.22269149078</v>
      </c>
      <c r="M748" s="21" t="s">
        <v>5984</v>
      </c>
    </row>
    <row r="749" customFormat="false" ht="17.15" hidden="false" customHeight="false" outlineLevel="0" collapsed="false">
      <c r="A749" s="0" t="s">
        <v>5985</v>
      </c>
      <c r="B749" s="5" t="s">
        <v>5986</v>
      </c>
      <c r="C749" s="0" t="s">
        <v>395</v>
      </c>
      <c r="D749" s="37" t="n">
        <f aca="false">IF(Gap!E782="","",Gap!E782)</f>
        <v>134.635884875412</v>
      </c>
      <c r="E749" s="37" t="n">
        <f aca="false">IF(Gap!F782="","",Gap!F782)</f>
        <v>351.29634741044</v>
      </c>
      <c r="F749" s="37" t="n">
        <f aca="false">IF(Gap!G782="","",Gap!G782)</f>
        <v>391.587283342959</v>
      </c>
      <c r="G749" s="37" t="n">
        <f aca="false">IF(Gap!H782="","",Gap!H782)</f>
        <v>645.33758061051</v>
      </c>
      <c r="H749" s="37" t="n">
        <f aca="false">IF(Gap!I782="","",Gap!I782)</f>
        <v>706.477787374786</v>
      </c>
      <c r="I749" s="37" t="n">
        <f aca="false">IF(Gap!J782="","",Gap!J782)</f>
        <v>723.111847721</v>
      </c>
      <c r="J749" s="37" t="n">
        <f aca="false">IF(Gap!K782="","",Gap!K782)</f>
        <v>791.196293574117</v>
      </c>
      <c r="M749" s="21" t="s">
        <v>5987</v>
      </c>
    </row>
    <row r="750" customFormat="false" ht="17.15" hidden="false" customHeight="false" outlineLevel="0" collapsed="false">
      <c r="A750" s="0" t="s">
        <v>5988</v>
      </c>
      <c r="B750" s="5" t="s">
        <v>5989</v>
      </c>
      <c r="C750" s="0" t="s">
        <v>395</v>
      </c>
      <c r="D750" s="37" t="n">
        <f aca="false">IF(Gap!E784="","",Gap!E784)</f>
        <v>-178.281120124588</v>
      </c>
      <c r="E750" s="37" t="n">
        <f aca="false">IF(Gap!F784="","",Gap!F784)</f>
        <v>-403.896126256227</v>
      </c>
      <c r="F750" s="37" t="n">
        <f aca="false">IF(Gap!G784="","",Gap!G784)</f>
        <v>-224.418213740374</v>
      </c>
      <c r="G750" s="37" t="n">
        <f aca="false">IF(Gap!H784="","",Gap!H784)</f>
        <v>-84.6793471394902</v>
      </c>
      <c r="H750" s="37" t="n">
        <f aca="false">IF(Gap!I784="","",Gap!I784)</f>
        <v>-199.85878304188</v>
      </c>
      <c r="I750" s="37" t="n">
        <f aca="false">IF(Gap!J784="","",Gap!J784)</f>
        <v>-408.488013112333</v>
      </c>
      <c r="J750" s="37" t="n">
        <f aca="false">IF(Gap!K784="","",Gap!K784)</f>
        <v>-541.491496759217</v>
      </c>
      <c r="M750" s="21" t="s">
        <v>5990</v>
      </c>
    </row>
    <row r="751" customFormat="false" ht="17.15" hidden="false" customHeight="false" outlineLevel="0" collapsed="false">
      <c r="A751" s="0" t="s">
        <v>5991</v>
      </c>
      <c r="B751" s="5" t="s">
        <v>5992</v>
      </c>
      <c r="C751" s="0" t="s">
        <v>395</v>
      </c>
      <c r="F751" s="37" t="n">
        <f aca="false">IF(Gap!G785="","",Gap!G785)</f>
        <v>-224.418213740374</v>
      </c>
      <c r="G751" s="37" t="n">
        <f aca="false">IF(Gap!H785="","",Gap!H785)</f>
        <v>-309.097560879864</v>
      </c>
      <c r="H751" s="37" t="n">
        <f aca="false">IF(Gap!I785="","",Gap!I785)</f>
        <v>-508.956343921744</v>
      </c>
      <c r="I751" s="37" t="n">
        <f aca="false">IF(Gap!J785="","",Gap!J785)</f>
        <v>-917.444357034077</v>
      </c>
      <c r="J751" s="37" t="n">
        <f aca="false">IF(Gap!K785="","",Gap!K785)</f>
        <v>-1458.93585379329</v>
      </c>
      <c r="M751" s="21" t="s">
        <v>5993</v>
      </c>
    </row>
    <row r="752" customFormat="false" ht="17.15" hidden="false" customHeight="false" outlineLevel="0" collapsed="false">
      <c r="A752" s="0" t="s">
        <v>5994</v>
      </c>
      <c r="B752" s="5" t="s">
        <v>5995</v>
      </c>
      <c r="C752" s="0" t="s">
        <v>395</v>
      </c>
      <c r="F752" s="37" t="n">
        <f aca="false">IF(Gap!G786="","",Gap!G786)</f>
        <v>-755.435754740374</v>
      </c>
      <c r="G752" s="37" t="n">
        <f aca="false">IF(Gap!H786="","",Gap!H786)</f>
        <v>-840.115101879864</v>
      </c>
      <c r="H752" s="37" t="n">
        <f aca="false">IF(Gap!I786="","",Gap!I786)</f>
        <v>-1039.97388492174</v>
      </c>
      <c r="I752" s="37" t="n">
        <f aca="false">IF(Gap!J786="","",Gap!J786)</f>
        <v>-1448.46189803408</v>
      </c>
      <c r="J752" s="37" t="n">
        <f aca="false">IF(Gap!K786="","",Gap!K786)</f>
        <v>-1989.95339479329</v>
      </c>
      <c r="M752" s="21" t="s">
        <v>5996</v>
      </c>
    </row>
    <row r="753" customFormat="false" ht="17.15" hidden="false" customHeight="false" outlineLevel="0" collapsed="false">
      <c r="A753" s="0" t="s">
        <v>5997</v>
      </c>
      <c r="B753" s="5" t="s">
        <v>5998</v>
      </c>
      <c r="C753" s="0" t="s">
        <v>395</v>
      </c>
      <c r="F753" s="37" t="n">
        <f aca="false">IF(Gap!G787="","",Gap!G787)</f>
        <v>-2074.84575474037</v>
      </c>
      <c r="G753" s="37" t="n">
        <f aca="false">IF(Gap!H787="","",Gap!H787)</f>
        <v>-2159.52510187986</v>
      </c>
      <c r="H753" s="37" t="n">
        <f aca="false">IF(Gap!I787="","",Gap!I787)</f>
        <v>-2359.38388492174</v>
      </c>
      <c r="I753" s="37" t="n">
        <f aca="false">IF(Gap!J787="","",Gap!J787)</f>
        <v>-2767.87189803408</v>
      </c>
      <c r="J753" s="37" t="n">
        <f aca="false">IF(Gap!K787="","",Gap!K787)</f>
        <v>-3309.36339479329</v>
      </c>
      <c r="M753" s="21" t="s">
        <v>5999</v>
      </c>
    </row>
    <row r="754" customFormat="false" ht="17.15" hidden="false" customHeight="false" outlineLevel="0" collapsed="false">
      <c r="A754" s="0" t="s">
        <v>6000</v>
      </c>
      <c r="B754" s="5" t="s">
        <v>6001</v>
      </c>
      <c r="C754" s="5" t="s">
        <v>5644</v>
      </c>
      <c r="D754" s="20" t="str">
        <f aca="false">IF(Gap!D790="","",Gap!D790)</f>
        <v>Anthropic 型（2026–2030 皆為正）</v>
      </c>
      <c r="M754" s="21" t="s">
        <v>6002</v>
      </c>
    </row>
    <row r="755" customFormat="false" ht="17.15" hidden="false" customHeight="false" outlineLevel="0" collapsed="false">
      <c r="A755" s="0" t="s">
        <v>6003</v>
      </c>
      <c r="B755" s="5" t="s">
        <v>6004</v>
      </c>
      <c r="C755" s="0" t="s">
        <v>395</v>
      </c>
      <c r="D755" s="37" t="n">
        <f aca="false">IF(Gap!E793="","",Gap!E793)</f>
        <v>195.192879875412</v>
      </c>
      <c r="E755" s="37" t="n">
        <f aca="false">IF(Gap!F793="","",Gap!F793)</f>
        <v>444.10854041044</v>
      </c>
      <c r="F755" s="37" t="n">
        <f aca="false">IF(Gap!G793="","",Gap!G793)</f>
        <v>575.669561342959</v>
      </c>
      <c r="G755" s="37" t="n">
        <f aca="false">IF(Gap!H793="","",Gap!H793)</f>
        <v>1024.44831012976</v>
      </c>
      <c r="H755" s="37" t="n">
        <f aca="false">IF(Gap!I793="","",Gap!I793)</f>
        <v>946.412443832041</v>
      </c>
      <c r="I755" s="37" t="n">
        <f aca="false">IF(Gap!J793="","",Gap!J793)</f>
        <v>852.294744281093</v>
      </c>
      <c r="J755" s="37" t="n">
        <f aca="false">IF(Gap!K793="","",Gap!K793)</f>
        <v>769.754631643071</v>
      </c>
      <c r="M755" s="21" t="s">
        <v>6005</v>
      </c>
    </row>
    <row r="756" customFormat="false" ht="17.15" hidden="false" customHeight="false" outlineLevel="0" collapsed="false">
      <c r="A756" s="0" t="s">
        <v>6006</v>
      </c>
      <c r="B756" s="5" t="s">
        <v>6007</v>
      </c>
      <c r="C756" s="0" t="s">
        <v>395</v>
      </c>
      <c r="D756" s="37" t="n">
        <f aca="false">IF(Gap!E792="","",Gap!E792)</f>
        <v>134.635884875412</v>
      </c>
      <c r="E756" s="37" t="n">
        <f aca="false">IF(Gap!F792="","",Gap!F792)</f>
        <v>351.29634741044</v>
      </c>
      <c r="F756" s="37" t="n">
        <f aca="false">IF(Gap!G792="","",Gap!G792)</f>
        <v>391.587283342959</v>
      </c>
      <c r="G756" s="37" t="n">
        <f aca="false">IF(Gap!H792="","",Gap!H792)</f>
        <v>811.881935963096</v>
      </c>
      <c r="H756" s="37" t="n">
        <f aca="false">IF(Gap!I792="","",Gap!I792)</f>
        <v>699.462152082041</v>
      </c>
      <c r="I756" s="37" t="n">
        <f aca="false">IF(Gap!J792="","",Gap!J792)</f>
        <v>575.164008281093</v>
      </c>
      <c r="J756" s="37" t="n">
        <f aca="false">IF(Gap!K792="","",Gap!K792)</f>
        <v>470.728233726405</v>
      </c>
      <c r="M756" s="21" t="s">
        <v>6008</v>
      </c>
    </row>
    <row r="757" customFormat="false" ht="17.15" hidden="false" customHeight="false" outlineLevel="0" collapsed="false">
      <c r="A757" s="0" t="s">
        <v>6009</v>
      </c>
      <c r="B757" s="5" t="s">
        <v>6010</v>
      </c>
      <c r="C757" s="0" t="s">
        <v>395</v>
      </c>
      <c r="D757" s="37" t="n">
        <f aca="false">IF(Gap!E794="","",Gap!E794)</f>
        <v>-178.281120124588</v>
      </c>
      <c r="E757" s="37" t="n">
        <f aca="false">IF(Gap!F794="","",Gap!F794)</f>
        <v>-403.896126256227</v>
      </c>
      <c r="F757" s="37" t="n">
        <f aca="false">IF(Gap!G794="","",Gap!G794)</f>
        <v>-224.418213740374</v>
      </c>
      <c r="G757" s="37" t="n">
        <f aca="false">IF(Gap!H794="","",Gap!H794)</f>
        <v>81.8650082130961</v>
      </c>
      <c r="H757" s="37" t="n">
        <f aca="false">IF(Gap!I794="","",Gap!I794)</f>
        <v>-206.874418334626</v>
      </c>
      <c r="I757" s="37" t="n">
        <f aca="false">IF(Gap!J794="","",Gap!J794)</f>
        <v>-556.43585255224</v>
      </c>
      <c r="J757" s="37" t="n">
        <f aca="false">IF(Gap!K794="","",Gap!K794)</f>
        <v>-861.959556606929</v>
      </c>
      <c r="M757" s="21" t="s">
        <v>6011</v>
      </c>
    </row>
    <row r="758" customFormat="false" ht="17.15" hidden="false" customHeight="false" outlineLevel="0" collapsed="false">
      <c r="A758" s="0" t="s">
        <v>6012</v>
      </c>
      <c r="B758" s="5" t="s">
        <v>6013</v>
      </c>
      <c r="C758" s="0" t="s">
        <v>395</v>
      </c>
      <c r="F758" s="37" t="n">
        <f aca="false">IF(Gap!G795="","",Gap!G795)</f>
        <v>-224.418213740374</v>
      </c>
      <c r="G758" s="37" t="n">
        <f aca="false">IF(Gap!H795="","",Gap!H795)</f>
        <v>-142.553205527278</v>
      </c>
      <c r="H758" s="37" t="n">
        <f aca="false">IF(Gap!I795="","",Gap!I795)</f>
        <v>-349.427623861903</v>
      </c>
      <c r="I758" s="37" t="n">
        <f aca="false">IF(Gap!J795="","",Gap!J795)</f>
        <v>-905.863476414144</v>
      </c>
      <c r="J758" s="37" t="n">
        <f aca="false">IF(Gap!K795="","",Gap!K795)</f>
        <v>-1767.82303302107</v>
      </c>
      <c r="M758" s="21" t="s">
        <v>6014</v>
      </c>
    </row>
    <row r="759" customFormat="false" ht="17.15" hidden="false" customHeight="false" outlineLevel="0" collapsed="false">
      <c r="A759" s="0" t="s">
        <v>6015</v>
      </c>
      <c r="B759" s="5" t="s">
        <v>6016</v>
      </c>
      <c r="C759" s="0" t="s">
        <v>395</v>
      </c>
      <c r="F759" s="37" t="n">
        <f aca="false">IF(Gap!G796="","",Gap!G796)</f>
        <v>-755.435754740374</v>
      </c>
      <c r="G759" s="37" t="n">
        <f aca="false">IF(Gap!H796="","",Gap!H796)</f>
        <v>-673.570746527278</v>
      </c>
      <c r="H759" s="37" t="n">
        <f aca="false">IF(Gap!I796="","",Gap!I796)</f>
        <v>-880.445164861903</v>
      </c>
      <c r="I759" s="37" t="n">
        <f aca="false">IF(Gap!J796="","",Gap!J796)</f>
        <v>-1436.88101741414</v>
      </c>
      <c r="J759" s="37" t="n">
        <f aca="false">IF(Gap!K796="","",Gap!K796)</f>
        <v>-2298.84057402107</v>
      </c>
      <c r="M759" s="21" t="s">
        <v>6017</v>
      </c>
    </row>
    <row r="760" customFormat="false" ht="17.15" hidden="false" customHeight="false" outlineLevel="0" collapsed="false">
      <c r="A760" s="0" t="s">
        <v>6018</v>
      </c>
      <c r="B760" s="5" t="s">
        <v>6019</v>
      </c>
      <c r="C760" s="0" t="s">
        <v>395</v>
      </c>
      <c r="F760" s="37" t="n">
        <f aca="false">IF(Gap!G797="","",Gap!G797)</f>
        <v>-2074.84575474037</v>
      </c>
      <c r="G760" s="37" t="n">
        <f aca="false">IF(Gap!H797="","",Gap!H797)</f>
        <v>-1992.98074652728</v>
      </c>
      <c r="H760" s="37" t="n">
        <f aca="false">IF(Gap!I797="","",Gap!I797)</f>
        <v>-2199.8551648619</v>
      </c>
      <c r="I760" s="37" t="n">
        <f aca="false">IF(Gap!J797="","",Gap!J797)</f>
        <v>-2756.29101741414</v>
      </c>
      <c r="J760" s="37" t="n">
        <f aca="false">IF(Gap!K797="","",Gap!K797)</f>
        <v>-3618.25057402107</v>
      </c>
      <c r="M760" s="21" t="s">
        <v>6020</v>
      </c>
    </row>
    <row r="761" customFormat="false" ht="17.15" hidden="false" customHeight="false" outlineLevel="0" collapsed="false">
      <c r="A761" s="0" t="s">
        <v>6021</v>
      </c>
      <c r="B761" s="5" t="s">
        <v>6022</v>
      </c>
      <c r="C761" s="5" t="s">
        <v>5644</v>
      </c>
      <c r="D761" s="20" t="str">
        <f aca="false">IF(Gap!D800="","",Gap!D800)</f>
        <v>Anthropic 型（2028 起轉正）</v>
      </c>
      <c r="M761" s="21" t="s">
        <v>6023</v>
      </c>
    </row>
    <row r="762" customFormat="false" ht="17.15" hidden="false" customHeight="false" outlineLevel="0" collapsed="false">
      <c r="A762" s="0" t="s">
        <v>6024</v>
      </c>
      <c r="B762" s="5" t="s">
        <v>6025</v>
      </c>
      <c r="C762" s="0" t="s">
        <v>82</v>
      </c>
      <c r="D762" s="28" t="n">
        <f aca="false">IF(Gap!E804="","",Gap!E804)</f>
        <v>1.61980834349181</v>
      </c>
      <c r="E762" s="28" t="n">
        <f aca="false">IF(Gap!F804="","",Gap!F804)</f>
        <v>9.04912429484716</v>
      </c>
      <c r="F762" s="28" t="n">
        <f aca="false">IF(Gap!G804="","",Gap!G804)</f>
        <v>11.7062917618926</v>
      </c>
      <c r="G762" s="28" t="n">
        <f aca="false">IF(Gap!H804="","",Gap!H804)</f>
        <v>12.5413778925549</v>
      </c>
      <c r="H762" s="28" t="n">
        <f aca="false">IF(Gap!I804="","",Gap!I804)</f>
        <v>18.8309542525663</v>
      </c>
      <c r="I762" s="28" t="n">
        <f aca="false">IF(Gap!J804="","",Gap!J804)</f>
        <v>21.5401572407129</v>
      </c>
      <c r="J762" s="28" t="n">
        <f aca="false">IF(Gap!K804="","",Gap!K804)</f>
        <v>17.8475387219751</v>
      </c>
      <c r="M762" s="21" t="s">
        <v>6026</v>
      </c>
    </row>
    <row r="763" customFormat="false" ht="17.15" hidden="false" customHeight="false" outlineLevel="0" collapsed="false">
      <c r="A763" s="0" t="s">
        <v>6027</v>
      </c>
      <c r="B763" s="5" t="s">
        <v>6028</v>
      </c>
      <c r="C763" s="0" t="s">
        <v>41</v>
      </c>
      <c r="D763" s="28" t="n">
        <f aca="false">IF(Gap!E805="","",Gap!E805)</f>
        <v>1</v>
      </c>
      <c r="E763" s="28" t="n">
        <f aca="false">IF(Gap!F805="","",Gap!F805)</f>
        <v>1</v>
      </c>
      <c r="F763" s="28" t="n">
        <f aca="false">IF(Gap!G805="","",Gap!G805)</f>
        <v>0.935353121424805</v>
      </c>
      <c r="G763" s="28" t="n">
        <f aca="false">IF(Gap!H805="","",Gap!H805)</f>
        <v>0.523380560579387</v>
      </c>
      <c r="H763" s="28" t="n">
        <f aca="false">IF(Gap!I805="","",Gap!I805)</f>
        <v>0.699429835455385</v>
      </c>
      <c r="I763" s="28" t="n">
        <f aca="false">IF(Gap!J805="","",Gap!J805)</f>
        <v>0.778649920502759</v>
      </c>
      <c r="J763" s="28" t="n">
        <f aca="false">IF(Gap!K805="","",Gap!K805)</f>
        <v>0.635785746906504</v>
      </c>
      <c r="M763" s="21" t="s">
        <v>6029</v>
      </c>
    </row>
    <row r="764" customFormat="false" ht="17.15" hidden="false" customHeight="false" outlineLevel="0" collapsed="false">
      <c r="A764" s="0" t="s">
        <v>6030</v>
      </c>
      <c r="B764" s="5" t="s">
        <v>6031</v>
      </c>
      <c r="C764" s="5" t="s">
        <v>726</v>
      </c>
      <c r="D764" s="28" t="n">
        <f aca="false">IF(Gap!E831="","",Gap!E831)</f>
        <v>0.816901762584096</v>
      </c>
      <c r="E764" s="28" t="n">
        <f aca="false">IF(Gap!F831="","",Gap!F831)</f>
        <v>0.854460356132562</v>
      </c>
      <c r="F764" s="28" t="n">
        <f aca="false">IF(Gap!G831="","",Gap!G831)</f>
        <v>0.66737868414511</v>
      </c>
      <c r="G764" s="28" t="n">
        <f aca="false">IF(Gap!H831="","",Gap!H831)</f>
        <v>0.724503322172091</v>
      </c>
      <c r="H764" s="28" t="n">
        <f aca="false">IF(Gap!I831="","",Gap!I831)</f>
        <v>0.740009732527038</v>
      </c>
      <c r="I764" s="28" t="n">
        <f aca="false">IF(Gap!J831="","",Gap!J831)</f>
        <v>0.811075271364581</v>
      </c>
      <c r="J764" s="28" t="n">
        <f aca="false">IF(Gap!K831="","",Gap!K831)</f>
        <v>0.945216204371965</v>
      </c>
      <c r="M764" s="21" t="s">
        <v>6032</v>
      </c>
    </row>
    <row r="765" customFormat="false" ht="17.15" hidden="false" customHeight="false" outlineLevel="0" collapsed="false">
      <c r="A765" s="0" t="s">
        <v>6033</v>
      </c>
      <c r="B765" s="5" t="s">
        <v>6034</v>
      </c>
      <c r="C765" s="0" t="s">
        <v>395</v>
      </c>
      <c r="D765" s="37" t="n">
        <f aca="false">IF(Gap!E813="","",Gap!E813)</f>
        <v>195.192879875412</v>
      </c>
      <c r="E765" s="37" t="n">
        <f aca="false">IF(Gap!F813="","",Gap!F813)</f>
        <v>412.549150219803</v>
      </c>
      <c r="F765" s="37" t="n">
        <f aca="false">IF(Gap!G813="","",Gap!G813)</f>
        <v>550.586994248897</v>
      </c>
      <c r="G765" s="37" t="n">
        <f aca="false">IF(Gap!H813="","",Gap!H813)</f>
        <v>697.009698797373</v>
      </c>
      <c r="H765" s="37" t="n">
        <f aca="false">IF(Gap!I813="","",Gap!I813)</f>
        <v>1031.14772727311</v>
      </c>
      <c r="I765" s="37" t="n">
        <f aca="false">IF(Gap!J813="","",Gap!J813)</f>
        <v>1165.97573744076</v>
      </c>
      <c r="J765" s="37" t="n">
        <f aca="false">IF(Gap!K813="","",Gap!K813)</f>
        <v>1135.48849058098</v>
      </c>
      <c r="M765" s="21" t="s">
        <v>6035</v>
      </c>
    </row>
    <row r="766" customFormat="false" ht="17.15" hidden="false" customHeight="false" outlineLevel="0" collapsed="false">
      <c r="A766" s="0" t="s">
        <v>6036</v>
      </c>
      <c r="B766" s="5" t="s">
        <v>6037</v>
      </c>
      <c r="C766" s="0" t="s">
        <v>395</v>
      </c>
      <c r="D766" s="37" t="n">
        <f aca="false">IF(Gap!E812="","",Gap!E812)</f>
        <v>134.635884875412</v>
      </c>
      <c r="E766" s="37" t="n">
        <f aca="false">IF(Gap!F812="","",Gap!F812)</f>
        <v>319.736957219803</v>
      </c>
      <c r="F766" s="37" t="n">
        <f aca="false">IF(Gap!G812="","",Gap!G812)</f>
        <v>366.504716248897</v>
      </c>
      <c r="G766" s="37" t="n">
        <f aca="false">IF(Gap!H812="","",Gap!H812)</f>
        <v>484.443324630706</v>
      </c>
      <c r="H766" s="37" t="n">
        <f aca="false">IF(Gap!I812="","",Gap!I812)</f>
        <v>784.197435523105</v>
      </c>
      <c r="I766" s="37" t="n">
        <f aca="false">IF(Gap!J812="","",Gap!J812)</f>
        <v>888.845001440764</v>
      </c>
      <c r="J766" s="37" t="n">
        <f aca="false">IF(Gap!K812="","",Gap!K812)</f>
        <v>836.462092664315</v>
      </c>
      <c r="M766" s="21" t="s">
        <v>6038</v>
      </c>
    </row>
    <row r="767" customFormat="false" ht="17.15" hidden="false" customHeight="false" outlineLevel="0" collapsed="false">
      <c r="A767" s="0" t="s">
        <v>6039</v>
      </c>
      <c r="B767" s="5" t="s">
        <v>6040</v>
      </c>
      <c r="C767" s="0" t="s">
        <v>395</v>
      </c>
      <c r="D767" s="37" t="n">
        <f aca="false">IF(Gap!E814="","",Gap!E814)</f>
        <v>-178.281120124588</v>
      </c>
      <c r="E767" s="37" t="n">
        <f aca="false">IF(Gap!F814="","",Gap!F814)</f>
        <v>-435.455516446863</v>
      </c>
      <c r="F767" s="37" t="n">
        <f aca="false">IF(Gap!G814="","",Gap!G814)</f>
        <v>-249.500780834436</v>
      </c>
      <c r="G767" s="37" t="n">
        <f aca="false">IF(Gap!H814="","",Gap!H814)</f>
        <v>-245.573603119294</v>
      </c>
      <c r="H767" s="37" t="n">
        <f aca="false">IF(Gap!I814="","",Gap!I814)</f>
        <v>-122.139134893562</v>
      </c>
      <c r="I767" s="37" t="n">
        <f aca="false">IF(Gap!J814="","",Gap!J814)</f>
        <v>-242.754859392569</v>
      </c>
      <c r="J767" s="37" t="n">
        <f aca="false">IF(Gap!K814="","",Gap!K814)</f>
        <v>-496.225697669019</v>
      </c>
      <c r="M767" s="21" t="s">
        <v>6041</v>
      </c>
    </row>
    <row r="768" customFormat="false" ht="17.15" hidden="false" customHeight="false" outlineLevel="0" collapsed="false">
      <c r="A768" s="0" t="s">
        <v>6042</v>
      </c>
      <c r="B768" s="5" t="s">
        <v>6043</v>
      </c>
      <c r="C768" s="0" t="s">
        <v>395</v>
      </c>
      <c r="F768" s="37" t="n">
        <f aca="false">IF(Gap!G815="","",Gap!G815)</f>
        <v>-249.500780834436</v>
      </c>
      <c r="G768" s="37" t="n">
        <f aca="false">IF(Gap!H815="","",Gap!H815)</f>
        <v>-495.07438395373</v>
      </c>
      <c r="H768" s="37" t="n">
        <f aca="false">IF(Gap!I815="","",Gap!I815)</f>
        <v>-617.213518847292</v>
      </c>
      <c r="I768" s="37" t="n">
        <f aca="false">IF(Gap!J815="","",Gap!J815)</f>
        <v>-859.968378239861</v>
      </c>
      <c r="J768" s="37" t="n">
        <f aca="false">IF(Gap!K815="","",Gap!K815)</f>
        <v>-1356.19407590888</v>
      </c>
      <c r="M768" s="21" t="s">
        <v>6044</v>
      </c>
    </row>
    <row r="769" customFormat="false" ht="17.15" hidden="false" customHeight="false" outlineLevel="0" collapsed="false">
      <c r="A769" s="0" t="s">
        <v>6045</v>
      </c>
      <c r="B769" s="5" t="s">
        <v>6046</v>
      </c>
      <c r="C769" s="0" t="s">
        <v>395</v>
      </c>
      <c r="F769" s="37" t="n">
        <f aca="false">IF(Gap!G816="","",Gap!G816)</f>
        <v>-780.518321834436</v>
      </c>
      <c r="G769" s="37" t="n">
        <f aca="false">IF(Gap!H816="","",Gap!H816)</f>
        <v>-1026.09192495373</v>
      </c>
      <c r="H769" s="37" t="n">
        <f aca="false">IF(Gap!I816="","",Gap!I816)</f>
        <v>-1148.23105984729</v>
      </c>
      <c r="I769" s="37" t="n">
        <f aca="false">IF(Gap!J816="","",Gap!J816)</f>
        <v>-1390.98591923986</v>
      </c>
      <c r="J769" s="37" t="n">
        <f aca="false">IF(Gap!K816="","",Gap!K816)</f>
        <v>-1887.21161690888</v>
      </c>
      <c r="M769" s="21" t="s">
        <v>6047</v>
      </c>
    </row>
    <row r="770" customFormat="false" ht="17.15" hidden="false" customHeight="false" outlineLevel="0" collapsed="false">
      <c r="A770" s="0" t="s">
        <v>6048</v>
      </c>
      <c r="B770" s="5" t="s">
        <v>6049</v>
      </c>
      <c r="C770" s="0" t="s">
        <v>395</v>
      </c>
      <c r="F770" s="37" t="n">
        <f aca="false">IF(Gap!G817="","",Gap!G817)</f>
        <v>-2099.92832183444</v>
      </c>
      <c r="G770" s="37" t="n">
        <f aca="false">IF(Gap!H817="","",Gap!H817)</f>
        <v>-2345.50192495373</v>
      </c>
      <c r="H770" s="37" t="n">
        <f aca="false">IF(Gap!I817="","",Gap!I817)</f>
        <v>-2467.64105984729</v>
      </c>
      <c r="I770" s="37" t="n">
        <f aca="false">IF(Gap!J817="","",Gap!J817)</f>
        <v>-2710.39591923986</v>
      </c>
      <c r="J770" s="37" t="n">
        <f aca="false">IF(Gap!K817="","",Gap!K817)</f>
        <v>-3206.62161690888</v>
      </c>
      <c r="M770" s="21" t="s">
        <v>6050</v>
      </c>
    </row>
    <row r="771" customFormat="false" ht="17.15" hidden="false" customHeight="false" outlineLevel="0" collapsed="false">
      <c r="A771" s="0" t="s">
        <v>6051</v>
      </c>
      <c r="B771" s="5" t="s">
        <v>6052</v>
      </c>
      <c r="C771" s="5" t="s">
        <v>5644</v>
      </c>
      <c r="D771" s="20" t="str">
        <f aca="false">IF(Gap!D820="","",Gap!D820)</f>
        <v>Anthropic 型（2026–2030 皆為正）</v>
      </c>
      <c r="M771" s="21" t="s">
        <v>6053</v>
      </c>
    </row>
    <row r="772" customFormat="false" ht="17.15" hidden="false" customHeight="false" outlineLevel="0" collapsed="false">
      <c r="A772" s="0" t="s">
        <v>6054</v>
      </c>
      <c r="B772" s="5" t="s">
        <v>6055</v>
      </c>
      <c r="C772" s="0" t="s">
        <v>395</v>
      </c>
      <c r="D772" s="37" t="n">
        <f aca="false">IF(Gap!E823="","",Gap!E823)</f>
        <v>195.192879875412</v>
      </c>
      <c r="E772" s="37" t="n">
        <f aca="false">IF(Gap!F823="","",Gap!F823)</f>
        <v>412.549150219803</v>
      </c>
      <c r="F772" s="37" t="n">
        <f aca="false">IF(Gap!G823="","",Gap!G823)</f>
        <v>550.586994248897</v>
      </c>
      <c r="G772" s="37" t="n">
        <f aca="false">IF(Gap!H823="","",Gap!H823)</f>
        <v>714.650385834844</v>
      </c>
      <c r="H772" s="37" t="n">
        <f aca="false">IF(Gap!I823="","",Gap!I823)</f>
        <v>1008.83195014757</v>
      </c>
      <c r="I772" s="37" t="n">
        <f aca="false">IF(Gap!J823="","",Gap!J823)</f>
        <v>1020.50693445092</v>
      </c>
      <c r="J772" s="37" t="n">
        <f aca="false">IF(Gap!K823="","",Gap!K823)</f>
        <v>807.393562991849</v>
      </c>
      <c r="M772" s="21" t="s">
        <v>6056</v>
      </c>
    </row>
    <row r="773" customFormat="false" ht="17.15" hidden="false" customHeight="false" outlineLevel="0" collapsed="false">
      <c r="A773" s="0" t="s">
        <v>6057</v>
      </c>
      <c r="B773" s="5" t="s">
        <v>6058</v>
      </c>
      <c r="C773" s="0" t="s">
        <v>395</v>
      </c>
      <c r="D773" s="37" t="n">
        <f aca="false">IF(Gap!E822="","",Gap!E822)</f>
        <v>134.635884875412</v>
      </c>
      <c r="E773" s="37" t="n">
        <f aca="false">IF(Gap!F822="","",Gap!F822)</f>
        <v>319.736957219803</v>
      </c>
      <c r="F773" s="37" t="n">
        <f aca="false">IF(Gap!G822="","",Gap!G822)</f>
        <v>366.504716248897</v>
      </c>
      <c r="G773" s="37" t="n">
        <f aca="false">IF(Gap!H822="","",Gap!H822)</f>
        <v>502.084011668177</v>
      </c>
      <c r="H773" s="37" t="n">
        <f aca="false">IF(Gap!I822="","",Gap!I822)</f>
        <v>761.88165839757</v>
      </c>
      <c r="I773" s="37" t="n">
        <f aca="false">IF(Gap!J822="","",Gap!J822)</f>
        <v>743.376198450924</v>
      </c>
      <c r="J773" s="37" t="n">
        <f aca="false">IF(Gap!K822="","",Gap!K822)</f>
        <v>508.367165075182</v>
      </c>
      <c r="M773" s="21" t="s">
        <v>6059</v>
      </c>
    </row>
    <row r="774" customFormat="false" ht="17.15" hidden="false" customHeight="false" outlineLevel="0" collapsed="false">
      <c r="A774" s="0" t="s">
        <v>6060</v>
      </c>
      <c r="B774" s="5" t="s">
        <v>6061</v>
      </c>
      <c r="C774" s="0" t="s">
        <v>395</v>
      </c>
      <c r="D774" s="37" t="n">
        <f aca="false">IF(Gap!E824="","",Gap!E824)</f>
        <v>-178.281120124588</v>
      </c>
      <c r="E774" s="37" t="n">
        <f aca="false">IF(Gap!F824="","",Gap!F824)</f>
        <v>-435.455516446863</v>
      </c>
      <c r="F774" s="37" t="n">
        <f aca="false">IF(Gap!G824="","",Gap!G824)</f>
        <v>-249.500780834436</v>
      </c>
      <c r="G774" s="37" t="n">
        <f aca="false">IF(Gap!H824="","",Gap!H824)</f>
        <v>-227.932916081823</v>
      </c>
      <c r="H774" s="37" t="n">
        <f aca="false">IF(Gap!I824="","",Gap!I824)</f>
        <v>-144.454912019096</v>
      </c>
      <c r="I774" s="37" t="n">
        <f aca="false">IF(Gap!J824="","",Gap!J824)</f>
        <v>-388.223662382409</v>
      </c>
      <c r="J774" s="37" t="n">
        <f aca="false">IF(Gap!K824="","",Gap!K824)</f>
        <v>-824.320625258151</v>
      </c>
      <c r="M774" s="21" t="s">
        <v>6062</v>
      </c>
    </row>
    <row r="775" customFormat="false" ht="17.15" hidden="false" customHeight="false" outlineLevel="0" collapsed="false">
      <c r="A775" s="0" t="s">
        <v>6063</v>
      </c>
      <c r="B775" s="5" t="s">
        <v>6064</v>
      </c>
      <c r="C775" s="0" t="s">
        <v>395</v>
      </c>
      <c r="F775" s="37" t="n">
        <f aca="false">IF(Gap!G825="","",Gap!G825)</f>
        <v>-249.500780834436</v>
      </c>
      <c r="G775" s="37" t="n">
        <f aca="false">IF(Gap!H825="","",Gap!H825)</f>
        <v>-477.433696916259</v>
      </c>
      <c r="H775" s="37" t="n">
        <f aca="false">IF(Gap!I825="","",Gap!I825)</f>
        <v>-621.888608935355</v>
      </c>
      <c r="I775" s="37" t="n">
        <f aca="false">IF(Gap!J825="","",Gap!J825)</f>
        <v>-1010.11227131776</v>
      </c>
      <c r="J775" s="37" t="n">
        <f aca="false">IF(Gap!K825="","",Gap!K825)</f>
        <v>-1834.43289657592</v>
      </c>
      <c r="M775" s="21" t="s">
        <v>6065</v>
      </c>
    </row>
    <row r="776" customFormat="false" ht="17.15" hidden="false" customHeight="false" outlineLevel="0" collapsed="false">
      <c r="A776" s="0" t="s">
        <v>6066</v>
      </c>
      <c r="B776" s="5" t="s">
        <v>6067</v>
      </c>
      <c r="C776" s="0" t="s">
        <v>395</v>
      </c>
      <c r="F776" s="37" t="n">
        <f aca="false">IF(Gap!G826="","",Gap!G826)</f>
        <v>-780.518321834436</v>
      </c>
      <c r="G776" s="37" t="n">
        <f aca="false">IF(Gap!H826="","",Gap!H826)</f>
        <v>-1008.45123791626</v>
      </c>
      <c r="H776" s="37" t="n">
        <f aca="false">IF(Gap!I826="","",Gap!I826)</f>
        <v>-1152.90614993536</v>
      </c>
      <c r="I776" s="37" t="n">
        <f aca="false">IF(Gap!J826="","",Gap!J826)</f>
        <v>-1541.12981231776</v>
      </c>
      <c r="J776" s="37" t="n">
        <f aca="false">IF(Gap!K826="","",Gap!K826)</f>
        <v>-2365.45043757592</v>
      </c>
      <c r="M776" s="21" t="s">
        <v>6068</v>
      </c>
    </row>
    <row r="777" customFormat="false" ht="17.15" hidden="false" customHeight="false" outlineLevel="0" collapsed="false">
      <c r="A777" s="0" t="s">
        <v>6069</v>
      </c>
      <c r="B777" s="5" t="s">
        <v>6070</v>
      </c>
      <c r="C777" s="0" t="s">
        <v>395</v>
      </c>
      <c r="F777" s="37" t="n">
        <f aca="false">IF(Gap!G827="","",Gap!G827)</f>
        <v>-2099.92832183444</v>
      </c>
      <c r="G777" s="37" t="n">
        <f aca="false">IF(Gap!H827="","",Gap!H827)</f>
        <v>-2327.86123791626</v>
      </c>
      <c r="H777" s="37" t="n">
        <f aca="false">IF(Gap!I827="","",Gap!I827)</f>
        <v>-2472.31614993536</v>
      </c>
      <c r="I777" s="37" t="n">
        <f aca="false">IF(Gap!J827="","",Gap!J827)</f>
        <v>-2860.53981231776</v>
      </c>
      <c r="J777" s="37" t="n">
        <f aca="false">IF(Gap!K827="","",Gap!K827)</f>
        <v>-3684.86043757592</v>
      </c>
      <c r="M777" s="21" t="s">
        <v>6071</v>
      </c>
    </row>
    <row r="778" customFormat="false" ht="17.15" hidden="false" customHeight="false" outlineLevel="0" collapsed="false">
      <c r="A778" s="0" t="s">
        <v>6072</v>
      </c>
      <c r="B778" s="5" t="s">
        <v>6073</v>
      </c>
      <c r="C778" s="5" t="s">
        <v>5644</v>
      </c>
      <c r="D778" s="20" t="str">
        <f aca="false">IF(Gap!D830="","",Gap!D830)</f>
        <v>Anthropic 型（2026–2030 皆為正）</v>
      </c>
      <c r="M778" s="21" t="s">
        <v>6074</v>
      </c>
    </row>
    <row r="779" customFormat="false" ht="17.15" hidden="false" customHeight="false" outlineLevel="0" collapsed="false">
      <c r="A779" s="0" t="s">
        <v>6075</v>
      </c>
      <c r="B779" s="5" t="s">
        <v>6076</v>
      </c>
      <c r="C779" s="0" t="s">
        <v>395</v>
      </c>
      <c r="D779" s="37" t="n">
        <f aca="false">IF(Gap!E562="","",Gap!E562)</f>
        <v>31.876705950478</v>
      </c>
      <c r="E779" s="37" t="n">
        <f aca="false">IF(Gap!F562="","",Gap!F562)</f>
        <v>75.4130574214237</v>
      </c>
      <c r="F779" s="37" t="n">
        <f aca="false">IF(Gap!G562="","",Gap!G562)</f>
        <v>223.765649322046</v>
      </c>
      <c r="G779" s="37" t="n">
        <f aca="false">IF(Gap!H562="","",Gap!H562)</f>
        <v>321.396741650027</v>
      </c>
      <c r="H779" s="37" t="n">
        <f aca="false">IF(Gap!I562="","",Gap!I562)</f>
        <v>341.586675754921</v>
      </c>
      <c r="I779" s="37" t="n">
        <f aca="false">IF(Gap!J562="","",Gap!J562)</f>
        <v>242.384684144807</v>
      </c>
      <c r="J779" s="37" t="n">
        <f aca="false">IF(Gap!K562="","",Gap!K562)</f>
        <v>85.1009449165331</v>
      </c>
      <c r="M779" s="21" t="s">
        <v>6077</v>
      </c>
    </row>
    <row r="780" customFormat="false" ht="17.15" hidden="false" customHeight="false" outlineLevel="0" collapsed="false">
      <c r="A780" s="0" t="s">
        <v>6078</v>
      </c>
      <c r="B780" s="0" t="s">
        <v>6079</v>
      </c>
      <c r="C780" s="0" t="s">
        <v>395</v>
      </c>
      <c r="D780" s="37" t="n">
        <f aca="false">IF(Gap!G837="","",Gap!G837)</f>
        <v>-339.745144401291</v>
      </c>
      <c r="M780" s="21" t="s">
        <v>6080</v>
      </c>
    </row>
    <row r="781" customFormat="false" ht="17.15" hidden="false" customHeight="false" outlineLevel="0" collapsed="false">
      <c r="A781" s="0" t="s">
        <v>6081</v>
      </c>
      <c r="B781" s="0" t="s">
        <v>6082</v>
      </c>
      <c r="C781" s="0" t="s">
        <v>395</v>
      </c>
      <c r="D781" s="37" t="n">
        <f aca="false">IF(Gap!G840="","",Gap!G840)</f>
        <v>136.073598723322</v>
      </c>
      <c r="M781" s="21" t="s">
        <v>6083</v>
      </c>
    </row>
    <row r="782" customFormat="false" ht="17.15" hidden="false" customHeight="false" outlineLevel="0" collapsed="false">
      <c r="A782" s="0" t="s">
        <v>6084</v>
      </c>
      <c r="B782" s="0" t="s">
        <v>6085</v>
      </c>
      <c r="C782" s="0" t="s">
        <v>395</v>
      </c>
      <c r="D782" s="37" t="n">
        <f aca="false">IF(Gap!G843="","",Gap!G843)</f>
        <v>-65.1357081097553</v>
      </c>
      <c r="M782" s="21" t="s">
        <v>6086</v>
      </c>
    </row>
    <row r="783" customFormat="false" ht="17.15" hidden="false" customHeight="false" outlineLevel="0" collapsed="false">
      <c r="A783" s="0" t="s">
        <v>6087</v>
      </c>
      <c r="B783" s="0" t="s">
        <v>6088</v>
      </c>
      <c r="C783" s="0" t="s">
        <v>395</v>
      </c>
      <c r="D783" s="37" t="n">
        <f aca="false">IF(Gap!G846="","",Gap!G846)</f>
        <v>-318.138758832404</v>
      </c>
      <c r="M783" s="21" t="s">
        <v>6089</v>
      </c>
    </row>
    <row r="784" customFormat="false" ht="17.15" hidden="false" customHeight="false" outlineLevel="0" collapsed="false">
      <c r="A784" s="0" t="s">
        <v>6090</v>
      </c>
      <c r="B784" s="0" t="s">
        <v>6091</v>
      </c>
      <c r="C784" s="0" t="s">
        <v>395</v>
      </c>
      <c r="D784" s="37" t="n">
        <f aca="false">IF(Gap!G849="","",Gap!G849)</f>
        <v>61.1238299699405</v>
      </c>
      <c r="M784" s="21" t="s">
        <v>6092</v>
      </c>
    </row>
    <row r="785" customFormat="false" ht="17.15" hidden="false" customHeight="false" outlineLevel="0" collapsed="false">
      <c r="A785" s="0" t="s">
        <v>6093</v>
      </c>
      <c r="B785" s="0" t="s">
        <v>6094</v>
      </c>
      <c r="C785" s="0" t="s">
        <v>395</v>
      </c>
      <c r="D785" s="37" t="n">
        <f aca="false">IF(Gap!G852="","",Gap!G852)</f>
        <v>210.836061486337</v>
      </c>
      <c r="M785" s="21" t="s">
        <v>6095</v>
      </c>
    </row>
    <row r="786" customFormat="false" ht="17.15" hidden="false" customHeight="false" outlineLevel="0" collapsed="false">
      <c r="A786" s="0" t="s">
        <v>6096</v>
      </c>
      <c r="B786" s="0" t="s">
        <v>6097</v>
      </c>
      <c r="C786" s="0" t="s">
        <v>395</v>
      </c>
      <c r="D786" s="37" t="n">
        <f aca="false">IF(Gap!G855="","",Gap!G855)</f>
        <v>125.654152185614</v>
      </c>
      <c r="M786" s="21" t="s">
        <v>6098</v>
      </c>
    </row>
    <row r="787" customFormat="false" ht="17.15" hidden="false" customHeight="false" outlineLevel="0" collapsed="false">
      <c r="A787" s="0" t="s">
        <v>6099</v>
      </c>
      <c r="B787" s="0" t="s">
        <v>6100</v>
      </c>
      <c r="C787" s="0" t="s">
        <v>395</v>
      </c>
      <c r="D787" s="37" t="n">
        <f aca="false">IF(Gap!G858="","",Gap!G858)</f>
        <v>0.275384358041231</v>
      </c>
      <c r="M787" s="21" t="s">
        <v>6101</v>
      </c>
    </row>
    <row r="788" customFormat="false" ht="17.15" hidden="false" customHeight="false" outlineLevel="0" collapsed="false">
      <c r="A788" s="0" t="s">
        <v>6102</v>
      </c>
      <c r="B788" s="0" t="s">
        <v>6103</v>
      </c>
      <c r="C788" s="0" t="s">
        <v>395</v>
      </c>
      <c r="D788" s="37" t="n">
        <f aca="false">IF(Gap!G861="","",Gap!G861)</f>
        <v>45.0934360469793</v>
      </c>
      <c r="M788" s="21" t="s">
        <v>6104</v>
      </c>
    </row>
    <row r="789" customFormat="false" ht="17.15" hidden="false" customHeight="false" outlineLevel="0" collapsed="false">
      <c r="A789" s="0" t="s">
        <v>6105</v>
      </c>
      <c r="B789" s="0" t="s">
        <v>6106</v>
      </c>
      <c r="C789" s="0" t="s">
        <v>395</v>
      </c>
      <c r="D789" s="37" t="n">
        <f aca="false">IF(Gap!G864="","",Gap!G864)</f>
        <v>334.844812</v>
      </c>
      <c r="M789" s="21" t="s">
        <v>6107</v>
      </c>
    </row>
    <row r="790" customFormat="false" ht="17.15" hidden="false" customHeight="false" outlineLevel="0" collapsed="false">
      <c r="A790" s="0" t="s">
        <v>6108</v>
      </c>
      <c r="B790" s="0" t="s">
        <v>6109</v>
      </c>
      <c r="C790" s="0" t="s">
        <v>395</v>
      </c>
      <c r="D790" s="37" t="n">
        <f aca="false">IF(Gap!G867="","",Gap!G867)</f>
        <v>-157.51088</v>
      </c>
      <c r="M790" s="21" t="s">
        <v>6110</v>
      </c>
    </row>
    <row r="791" customFormat="false" ht="17.15" hidden="false" customHeight="false" outlineLevel="0" collapsed="false">
      <c r="A791" s="0" t="s">
        <v>6111</v>
      </c>
      <c r="B791" s="5" t="s">
        <v>6112</v>
      </c>
      <c r="C791" s="0" t="s">
        <v>395</v>
      </c>
      <c r="F791" s="37" t="n">
        <f aca="false">IF(Gap!G873="","",Gap!G873)</f>
        <v>-665.970625437267</v>
      </c>
      <c r="G791" s="37" t="n">
        <f aca="false">IF(Gap!H873="","",Gap!H873)</f>
        <v>-492.696141815787</v>
      </c>
      <c r="H791" s="37" t="n">
        <f aca="false">IF(Gap!I873="","",Gap!I873)</f>
        <v>-174.206456224047</v>
      </c>
      <c r="I791" s="37" t="n">
        <f aca="false">IF(Gap!J873="","",Gap!J873)</f>
        <v>6.53810548684612</v>
      </c>
      <c r="J791" s="37" t="n">
        <f aca="false">IF(Gap!K873="","",Gap!K873)</f>
        <v>85.116516619188</v>
      </c>
      <c r="M791" s="21" t="s">
        <v>6113</v>
      </c>
    </row>
    <row r="792" customFormat="false" ht="17.15" hidden="false" customHeight="false" outlineLevel="0" collapsed="false">
      <c r="A792" s="0" t="s">
        <v>6114</v>
      </c>
      <c r="B792" s="5" t="s">
        <v>6115</v>
      </c>
      <c r="C792" s="5" t="s">
        <v>5644</v>
      </c>
      <c r="D792" s="20" t="str">
        <f aca="false">IF(Gap!D876="","",Gap!D876)</f>
        <v>OpenAI 型</v>
      </c>
      <c r="M792" s="21" t="s">
        <v>6116</v>
      </c>
    </row>
    <row r="793" customFormat="false" ht="17.15" hidden="false" customHeight="false" outlineLevel="0" collapsed="false">
      <c r="A793" s="0" t="s">
        <v>6117</v>
      </c>
      <c r="B793" s="5" t="s">
        <v>6118</v>
      </c>
      <c r="C793" s="0" t="s">
        <v>395</v>
      </c>
      <c r="F793" s="37" t="n">
        <f aca="false">IF(Gap!G879="","",Gap!G879)</f>
        <v>-701.61363363154</v>
      </c>
      <c r="G793" s="37" t="n">
        <f aca="false">IF(Gap!H879="","",Gap!H879)</f>
        <v>-633.494583726115</v>
      </c>
      <c r="H793" s="37" t="n">
        <f aca="false">IF(Gap!I879="","",Gap!I879)</f>
        <v>-342.301452287568</v>
      </c>
      <c r="I793" s="37" t="n">
        <f aca="false">IF(Gap!J879="","",Gap!J879)</f>
        <v>-156.696773614973</v>
      </c>
      <c r="J793" s="37" t="n">
        <f aca="false">IF(Gap!K879="","",Gap!K879)</f>
        <v>-66.5990480663137</v>
      </c>
      <c r="M793" s="21" t="s">
        <v>6119</v>
      </c>
    </row>
    <row r="794" customFormat="false" ht="17.15" hidden="false" customHeight="false" outlineLevel="0" collapsed="false">
      <c r="A794" s="0" t="s">
        <v>6120</v>
      </c>
      <c r="B794" s="5" t="s">
        <v>6121</v>
      </c>
      <c r="C794" s="5" t="s">
        <v>5644</v>
      </c>
      <c r="D794" s="20" t="str">
        <f aca="false">IF(Gap!D882="","",Gap!D882)</f>
        <v>OpenAI 型</v>
      </c>
      <c r="M794" s="21" t="s">
        <v>6122</v>
      </c>
    </row>
    <row r="795" customFormat="false" ht="17.15" hidden="false" customHeight="false" outlineLevel="0" collapsed="false">
      <c r="A795" s="0" t="s">
        <v>6123</v>
      </c>
      <c r="B795" s="5" t="s">
        <v>6124</v>
      </c>
      <c r="C795" s="0" t="s">
        <v>395</v>
      </c>
      <c r="F795" s="37" t="n">
        <f aca="false">IF(Gap!G885="","",Gap!G885)</f>
        <v>-741.615863308674</v>
      </c>
      <c r="G795" s="37" t="n">
        <f aca="false">IF(Gap!H885="","",Gap!H885)</f>
        <v>-861.477679730378</v>
      </c>
      <c r="H795" s="37" t="n">
        <f aca="false">IF(Gap!I885="","",Gap!I885)</f>
        <v>-596.796027575738</v>
      </c>
      <c r="I795" s="37" t="n">
        <f aca="false">IF(Gap!J885="","",Gap!J885)</f>
        <v>-117.613955555258</v>
      </c>
      <c r="J795" s="37" t="n">
        <f aca="false">IF(Gap!K885="","",Gap!K885)</f>
        <v>53.1546248290441</v>
      </c>
      <c r="M795" s="21" t="s">
        <v>6125</v>
      </c>
    </row>
    <row r="796" customFormat="false" ht="17.15" hidden="false" customHeight="false" outlineLevel="0" collapsed="false">
      <c r="A796" s="0" t="s">
        <v>6126</v>
      </c>
      <c r="B796" s="5" t="s">
        <v>6127</v>
      </c>
      <c r="C796" s="5" t="s">
        <v>5644</v>
      </c>
      <c r="D796" s="20" t="str">
        <f aca="false">IF(Gap!D888="","",Gap!D888)</f>
        <v>OpenAI 型</v>
      </c>
      <c r="M796" s="21" t="s">
        <v>6128</v>
      </c>
    </row>
    <row r="797" customFormat="false" ht="17.15" hidden="false" customHeight="false" outlineLevel="0" collapsed="false">
      <c r="A797" s="0" t="s">
        <v>6129</v>
      </c>
      <c r="B797" s="5" t="s">
        <v>6130</v>
      </c>
      <c r="C797" s="0" t="s">
        <v>395</v>
      </c>
      <c r="F797" s="37" t="n">
        <f aca="false">IF(Gap!G891="","",Gap!G891)</f>
        <v>-720.26321186038</v>
      </c>
      <c r="G797" s="37" t="n">
        <f aca="false">IF(Gap!H891="","",Gap!H891)</f>
        <v>-690.684657961042</v>
      </c>
      <c r="H797" s="37" t="n">
        <f aca="false">IF(Gap!I891="","",Gap!I891)</f>
        <v>-599.366824512745</v>
      </c>
      <c r="I797" s="37" t="n">
        <f aca="false">IF(Gap!J891="","",Gap!J891)</f>
        <v>-619.987979553833</v>
      </c>
      <c r="J797" s="37" t="n">
        <f aca="false">IF(Gap!K891="","",Gap!K891)</f>
        <v>-743.845926458619</v>
      </c>
      <c r="M797" s="21" t="s">
        <v>6131</v>
      </c>
    </row>
    <row r="798" customFormat="false" ht="17.15" hidden="false" customHeight="false" outlineLevel="0" collapsed="false">
      <c r="A798" s="0" t="s">
        <v>6132</v>
      </c>
      <c r="B798" s="5" t="s">
        <v>6133</v>
      </c>
      <c r="C798" s="5" t="s">
        <v>5644</v>
      </c>
      <c r="D798" s="20" t="str">
        <f aca="false">IF(Gap!D894="","",Gap!D894)</f>
        <v>Anthropic 型（2029 起轉正）</v>
      </c>
      <c r="M798" s="21" t="s">
        <v>6134</v>
      </c>
    </row>
    <row r="799" customFormat="false" ht="17.15" hidden="false" customHeight="false" outlineLevel="0" collapsed="false">
      <c r="A799" s="0" t="s">
        <v>6135</v>
      </c>
      <c r="B799" s="5" t="s">
        <v>6136</v>
      </c>
      <c r="C799" s="0" t="s">
        <v>395</v>
      </c>
      <c r="F799" s="37" t="n">
        <f aca="false">IF(Gap!G897="","",Gap!G897)</f>
        <v>-763.995357183281</v>
      </c>
      <c r="G799" s="37" t="n">
        <f aca="false">IF(Gap!H897="","",Gap!H897)</f>
        <v>-969.174353253358</v>
      </c>
      <c r="H799" s="37" t="n">
        <f aca="false">IF(Gap!I897="","",Gap!I897)</f>
        <v>-1017.66706491987</v>
      </c>
      <c r="I799" s="37" t="n">
        <f aca="false">IF(Gap!J897="","",Gap!J897)</f>
        <v>-1168.74419986388</v>
      </c>
      <c r="J799" s="37" t="n">
        <f aca="false">IF(Gap!K897="","",Gap!K897)</f>
        <v>-1582.56889243863</v>
      </c>
      <c r="M799" s="21" t="s">
        <v>6137</v>
      </c>
    </row>
    <row r="800" customFormat="false" ht="17.15" hidden="false" customHeight="false" outlineLevel="0" collapsed="false">
      <c r="A800" s="0" t="s">
        <v>6138</v>
      </c>
      <c r="B800" s="5" t="s">
        <v>6139</v>
      </c>
      <c r="C800" s="5" t="s">
        <v>5644</v>
      </c>
      <c r="D800" s="20" t="str">
        <f aca="false">IF(Gap!D900="","",Gap!D900)</f>
        <v>Anthropic 型（2026–2030 皆為正）</v>
      </c>
      <c r="M800" s="21" t="s">
        <v>6140</v>
      </c>
    </row>
    <row r="801" customFormat="false" ht="17.15" hidden="false" customHeight="false" outlineLevel="0" collapsed="false">
      <c r="A801" s="0" t="s">
        <v>6141</v>
      </c>
      <c r="B801" s="0" t="s">
        <v>6142</v>
      </c>
      <c r="C801" s="0" t="s">
        <v>395</v>
      </c>
      <c r="D801" s="37" t="str">
        <f aca="false">IF(Gap!E59="","",Gap!E59)</f>
        <v/>
      </c>
      <c r="E801" s="37" t="n">
        <f aca="false">IF(Gap!F59="","",Gap!F59)</f>
        <v>159.5485</v>
      </c>
      <c r="F801" s="37" t="n">
        <f aca="false">IF(Gap!G59="","",Gap!G59)</f>
        <v>201.2655285</v>
      </c>
      <c r="G801" s="37" t="n">
        <f aca="false">IF(Gap!H59="","",Gap!H59)</f>
        <v>240.1505545</v>
      </c>
      <c r="H801" s="37" t="n">
        <f aca="false">IF(Gap!I59="","",Gap!I59)</f>
        <v>285.4210335</v>
      </c>
      <c r="I801" s="37" t="n">
        <f aca="false">IF(Gap!J59="","",Gap!J59)</f>
        <v>332.930927</v>
      </c>
      <c r="J801" s="37" t="n">
        <f aca="false">IF(Gap!K59="","",Gap!K59)</f>
        <v>374.26755</v>
      </c>
      <c r="M801" s="21" t="s">
        <v>6143</v>
      </c>
    </row>
    <row r="802" customFormat="false" ht="17.15" hidden="false" customHeight="false" outlineLevel="0" collapsed="false">
      <c r="A802" s="0" t="s">
        <v>6144</v>
      </c>
      <c r="B802" s="0" t="s">
        <v>6145</v>
      </c>
      <c r="C802" s="0" t="s">
        <v>395</v>
      </c>
      <c r="D802" s="37" t="n">
        <f aca="false">IF(Gap!E61="","",Gap!E61)</f>
        <v>16.2181002988008</v>
      </c>
      <c r="E802" s="37" t="n">
        <f aca="false">IF(Gap!F61="","",Gap!F61)</f>
        <v>75.6658982314004</v>
      </c>
      <c r="F802" s="37" t="n">
        <f aca="false">IF(Gap!G61="","",Gap!G61)</f>
        <v>64.8586345326258</v>
      </c>
      <c r="G802" s="37" t="n">
        <f aca="false">IF(Gap!H61="","",Gap!H61)</f>
        <v>165.448044239081</v>
      </c>
      <c r="H802" s="37" t="n">
        <f aca="false">IF(Gap!I61="","",Gap!I61)</f>
        <v>197.136120203667</v>
      </c>
      <c r="I802" s="37" t="n">
        <f aca="false">IF(Gap!J61="","",Gap!J61)</f>
        <v>223.599395261248</v>
      </c>
      <c r="J802" s="37" t="n">
        <f aca="false">IF(Gap!K61="","",Gap!K61)</f>
        <v>247.19234321455</v>
      </c>
      <c r="M802" s="21" t="s">
        <v>6146</v>
      </c>
    </row>
    <row r="803" customFormat="false" ht="17.15" hidden="false" customHeight="false" outlineLevel="0" collapsed="false">
      <c r="A803" s="0" t="s">
        <v>6147</v>
      </c>
      <c r="B803" s="0" t="s">
        <v>6148</v>
      </c>
      <c r="C803" s="0" t="s">
        <v>395</v>
      </c>
      <c r="D803" s="37" t="n">
        <f aca="false">IF(Gap!E51="","",Gap!E51)</f>
        <v>8.1771</v>
      </c>
      <c r="E803" s="37" t="n">
        <f aca="false">IF(Gap!F51="","",Gap!F51)</f>
        <v>13.537425</v>
      </c>
      <c r="F803" s="37" t="n">
        <f aca="false">IF(Gap!G51="","",Gap!G51)</f>
        <v>32.9653775</v>
      </c>
      <c r="G803" s="37" t="n">
        <f aca="false">IF(Gap!H51="","",Gap!H51)</f>
        <v>38.5532515</v>
      </c>
      <c r="H803" s="37" t="n">
        <f aca="false">IF(Gap!I51="","",Gap!I51)</f>
        <v>44.210476</v>
      </c>
      <c r="I803" s="37" t="n">
        <f aca="false">IF(Gap!J51="","",Gap!J51)</f>
        <v>49.7739695</v>
      </c>
      <c r="J803" s="37" t="n">
        <f aca="false">IF(Gap!K51="","",Gap!K51)</f>
        <v>54.9465545</v>
      </c>
      <c r="M803" s="21" t="s">
        <v>6149</v>
      </c>
    </row>
    <row r="804" customFormat="false" ht="17.15" hidden="false" customHeight="false" outlineLevel="0" collapsed="false">
      <c r="A804" s="0" t="s">
        <v>6150</v>
      </c>
      <c r="B804" s="0" t="s">
        <v>6151</v>
      </c>
      <c r="C804" s="0" t="s">
        <v>395</v>
      </c>
      <c r="D804" s="37" t="str">
        <f aca="false">IF(Gap!E67="","",Gap!E67)</f>
        <v/>
      </c>
      <c r="E804" s="37" t="n">
        <f aca="false">IF(Gap!F67="","",Gap!F67)</f>
        <v>-70.3451767685996</v>
      </c>
      <c r="F804" s="37" t="n">
        <f aca="false">IF(Gap!G67="","",Gap!G67)</f>
        <v>-103.441516467374</v>
      </c>
      <c r="G804" s="37" t="n">
        <f aca="false">IF(Gap!H67="","",Gap!H67)</f>
        <v>-36.1492587609188</v>
      </c>
      <c r="H804" s="37" t="n">
        <f aca="false">IF(Gap!I67="","",Gap!I67)</f>
        <v>-44.0744372963331</v>
      </c>
      <c r="I804" s="37" t="n">
        <f aca="false">IF(Gap!J67="","",Gap!J67)</f>
        <v>-59.5575622387518</v>
      </c>
      <c r="J804" s="37" t="n">
        <f aca="false">IF(Gap!K67="","",Gap!K67)</f>
        <v>-72.12865228545</v>
      </c>
      <c r="M804" s="21" t="s">
        <v>6152</v>
      </c>
    </row>
    <row r="805" customFormat="false" ht="17.15" hidden="false" customHeight="false" outlineLevel="0" collapsed="false">
      <c r="A805" s="0" t="s">
        <v>6153</v>
      </c>
      <c r="B805" s="0" t="s">
        <v>6154</v>
      </c>
      <c r="C805" s="0" t="s">
        <v>41</v>
      </c>
      <c r="D805" s="36" t="str">
        <f aca="false">IF(Gap!E66="","",Gap!E66)</f>
        <v/>
      </c>
      <c r="E805" s="36" t="n">
        <f aca="false">IF(Gap!F66="","",Gap!F66)</f>
        <v>1.78859367813146</v>
      </c>
      <c r="F805" s="36" t="n">
        <f aca="false">IF(Gap!G66="","",Gap!G66)</f>
        <v>2.05742459666114</v>
      </c>
      <c r="G805" s="36" t="n">
        <f aca="false">IF(Gap!H66="","",Gap!H66)</f>
        <v>1.17720112330636</v>
      </c>
      <c r="H805" s="36" t="n">
        <f aca="false">IF(Gap!I66="","",Gap!I66)</f>
        <v>1.1826188477054</v>
      </c>
      <c r="I805" s="36" t="n">
        <f aca="false">IF(Gap!J66="","",Gap!J66)</f>
        <v>1.21786161314862</v>
      </c>
      <c r="J805" s="36" t="n">
        <f aca="false">IF(Gap!K66="","",Gap!K66)</f>
        <v>1.23872680025991</v>
      </c>
      <c r="M805" s="21" t="s">
        <v>6155</v>
      </c>
    </row>
    <row r="806" customFormat="false" ht="17.15" hidden="false" customHeight="false" outlineLevel="0" collapsed="false">
      <c r="A806" s="0" t="s">
        <v>6156</v>
      </c>
      <c r="B806" s="0" t="s">
        <v>6157</v>
      </c>
      <c r="C806" s="0" t="s">
        <v>395</v>
      </c>
      <c r="D806" s="37" t="n">
        <f aca="false">IF(Gap!E64="","",Gap!E64)</f>
        <v>40.7635</v>
      </c>
      <c r="E806" s="37" t="n">
        <f aca="false">IF(Gap!F64="","",Gap!F64)</f>
        <v>45.609</v>
      </c>
      <c r="F806" s="37" t="n">
        <f aca="false">IF(Gap!G64="","",Gap!G64)</f>
        <v>38.7903935</v>
      </c>
      <c r="G806" s="37" t="n">
        <f aca="false">IF(Gap!H64="","",Gap!H64)</f>
        <v>29.965661</v>
      </c>
      <c r="H806" s="37" t="n">
        <f aca="false">IF(Gap!I64="","",Gap!I64)</f>
        <v>43.545736</v>
      </c>
      <c r="I806" s="37" t="n">
        <f aca="false">IF(Gap!J64="","",Gap!J64)</f>
        <v>57.4003135</v>
      </c>
      <c r="J806" s="37" t="n">
        <f aca="false">IF(Gap!K64="","",Gap!K64)</f>
        <v>60.2698265</v>
      </c>
      <c r="M806" s="21" t="s">
        <v>6158</v>
      </c>
    </row>
    <row r="807" customFormat="false" ht="17.15" hidden="false" customHeight="false" outlineLevel="0" collapsed="false">
      <c r="A807" s="0" t="s">
        <v>6159</v>
      </c>
      <c r="B807" s="0" t="s">
        <v>6160</v>
      </c>
      <c r="C807" s="0" t="s">
        <v>395</v>
      </c>
      <c r="D807" s="37" t="str">
        <f aca="false">IF(Gap!E55="","",Gap!E55)</f>
        <v/>
      </c>
      <c r="E807" s="37" t="str">
        <f aca="false">IF(Gap!F55="","",Gap!F55)</f>
        <v/>
      </c>
      <c r="F807" s="37" t="str">
        <f aca="false">IF(Gap!G55="","",Gap!G55)</f>
        <v/>
      </c>
      <c r="G807" s="37" t="n">
        <f aca="false">IF(Gap!H55="","",Gap!H55)</f>
        <v>180.19919</v>
      </c>
      <c r="H807" s="37" t="n">
        <f aca="false">IF(Gap!I55="","",Gap!I55)</f>
        <v>194.37524</v>
      </c>
      <c r="I807" s="37" t="n">
        <f aca="false">IF(Gap!J55="","",Gap!J55)</f>
        <v>182.710419</v>
      </c>
      <c r="J807" s="37" t="n">
        <f aca="false">IF(Gap!K55="","",Gap!K55)</f>
        <v>148.7723825</v>
      </c>
      <c r="M807" s="21" t="s">
        <v>6161</v>
      </c>
    </row>
    <row r="808" customFormat="false" ht="17.15" hidden="false" customHeight="false" outlineLevel="0" collapsed="false">
      <c r="A808" s="0" t="s">
        <v>6162</v>
      </c>
      <c r="B808" s="0" t="s">
        <v>6163</v>
      </c>
      <c r="C808" s="0" t="s">
        <v>395</v>
      </c>
      <c r="D808" s="37" t="n">
        <f aca="false">IF(Gap!E44="","",Gap!E44)</f>
        <v>16.2181002988008</v>
      </c>
      <c r="E808" s="37" t="n">
        <f aca="false">IF(Gap!F44="","",Gap!F44)</f>
        <v>75.6658982314004</v>
      </c>
      <c r="F808" s="37" t="n">
        <f aca="false">IF(Gap!G44="","",Gap!G44)</f>
        <v>64.8586345326258</v>
      </c>
      <c r="G808" s="37" t="n">
        <f aca="false">IF(Gap!H44="","",Gap!H44)</f>
        <v>165.448044239081</v>
      </c>
      <c r="H808" s="37" t="n">
        <f aca="false">IF(Gap!I44="","",Gap!I44)</f>
        <v>197.136120203667</v>
      </c>
      <c r="I808" s="37" t="n">
        <f aca="false">IF(Gap!J44="","",Gap!J44)</f>
        <v>223.599395261248</v>
      </c>
      <c r="J808" s="37" t="n">
        <f aca="false">IF(Gap!K44="","",Gap!K44)</f>
        <v>247.19234321455</v>
      </c>
      <c r="M808" s="21" t="s">
        <v>6164</v>
      </c>
    </row>
    <row r="809" customFormat="false" ht="17.15" hidden="false" customHeight="false" outlineLevel="0" collapsed="false">
      <c r="A809" s="0" t="s">
        <v>6165</v>
      </c>
      <c r="B809" s="0" t="s">
        <v>6166</v>
      </c>
      <c r="C809" s="0" t="s">
        <v>395</v>
      </c>
      <c r="D809" s="37" t="n">
        <f aca="false">IF(Gap!E62="","",Gap!E62)</f>
        <v>16.2181002988008</v>
      </c>
      <c r="E809" s="37" t="n">
        <f aca="false">IF(Gap!F62="","",Gap!F62)</f>
        <v>75.6658982314004</v>
      </c>
      <c r="F809" s="37" t="n">
        <f aca="false">IF(Gap!G62="","",Gap!G62)</f>
        <v>64.8586345326258</v>
      </c>
      <c r="G809" s="37" t="n">
        <f aca="false">IF(Gap!H62="","",Gap!H62)</f>
        <v>180.19919</v>
      </c>
      <c r="H809" s="37" t="n">
        <f aca="false">IF(Gap!I62="","",Gap!I62)</f>
        <v>194.37524</v>
      </c>
      <c r="I809" s="37" t="n">
        <f aca="false">IF(Gap!J62="","",Gap!J62)</f>
        <v>182.710419</v>
      </c>
      <c r="J809" s="37" t="n">
        <f aca="false">IF(Gap!K62="","",Gap!K62)</f>
        <v>148.7723825</v>
      </c>
      <c r="M809" s="21" t="s">
        <v>6167</v>
      </c>
    </row>
    <row r="810" customFormat="false" ht="17.15" hidden="false" customHeight="false" outlineLevel="0" collapsed="false">
      <c r="A810" s="0" t="s">
        <v>6168</v>
      </c>
      <c r="B810" s="0" t="s">
        <v>6169</v>
      </c>
      <c r="C810" s="0" t="s">
        <v>395</v>
      </c>
      <c r="D810" s="37" t="n">
        <f aca="false">IF(Gap!G77="","",Gap!G77)</f>
        <v>76.843</v>
      </c>
      <c r="M810" s="21" t="s">
        <v>6170</v>
      </c>
    </row>
    <row r="811" customFormat="false" ht="17.15" hidden="false" customHeight="false" outlineLevel="0" collapsed="false">
      <c r="A811" s="0" t="s">
        <v>6171</v>
      </c>
      <c r="B811" s="0" t="s">
        <v>6172</v>
      </c>
      <c r="C811" s="0" t="s">
        <v>395</v>
      </c>
      <c r="D811" s="37" t="n">
        <f aca="false">IF(Gap!G73+Gap!G74="","",Gap!G73+Gap!G74)</f>
        <v>329.1</v>
      </c>
      <c r="M811" s="21" t="s">
        <v>6173</v>
      </c>
    </row>
    <row r="812" customFormat="false" ht="17.15" hidden="false" customHeight="false" outlineLevel="0" collapsed="false">
      <c r="A812" s="0" t="s">
        <v>6174</v>
      </c>
      <c r="B812" s="0" t="s">
        <v>6175</v>
      </c>
      <c r="C812" s="5" t="s">
        <v>5644</v>
      </c>
      <c r="D812" s="20" t="str">
        <f aca="false">IF(Gap!D520="","",Gap!D520)</f>
        <v>Anthropic 型（2026–2030 皆為正）</v>
      </c>
      <c r="M812" s="21" t="s">
        <v>6176</v>
      </c>
    </row>
    <row r="813" customFormat="false" ht="17.15" hidden="false" customHeight="false" outlineLevel="0" collapsed="false">
      <c r="A813" s="0" t="s">
        <v>6177</v>
      </c>
      <c r="B813" s="0" t="s">
        <v>6178</v>
      </c>
      <c r="C813" s="0" t="s">
        <v>395</v>
      </c>
      <c r="D813" s="37" t="n">
        <f aca="false">IF(Gap!E104="","",Gap!E104)</f>
        <v>125.299</v>
      </c>
      <c r="E813" s="37" t="n">
        <f aca="false">IF(Gap!F104="","",Gap!F104)</f>
        <v>164.713</v>
      </c>
      <c r="F813" s="37" t="n">
        <f aca="false">IF(Gap!G104="","",Gap!G104)</f>
        <v>188.487287</v>
      </c>
      <c r="G813" s="37" t="n">
        <f aca="false">IF(Gap!H104="","",Gap!H104)</f>
        <v>243.320278</v>
      </c>
      <c r="H813" s="37" t="n">
        <f aca="false">IF(Gap!I104="","",Gap!I104)</f>
        <v>290.394071</v>
      </c>
      <c r="I813" s="37" t="n">
        <f aca="false">IF(Gap!J104="","",Gap!J104)</f>
        <v>339.049695</v>
      </c>
      <c r="J813" s="37" t="n">
        <f aca="false">IF(Gap!K104="","",Gap!K104)</f>
        <v>376.996472</v>
      </c>
      <c r="M813" s="21" t="s">
        <v>6179</v>
      </c>
    </row>
    <row r="814" customFormat="false" ht="17.15" hidden="false" customHeight="false" outlineLevel="0" collapsed="false">
      <c r="A814" s="0" t="s">
        <v>6180</v>
      </c>
      <c r="B814" s="0" t="s">
        <v>6181</v>
      </c>
      <c r="C814" s="0" t="s">
        <v>395</v>
      </c>
      <c r="D814" s="37" t="n">
        <f aca="false">IF(Gap!E106="","",Gap!E106)</f>
        <v>53.5376888462511</v>
      </c>
      <c r="E814" s="37" t="n">
        <f aca="false">IF(Gap!F106="","",Gap!F106)</f>
        <v>97.4988549215479</v>
      </c>
      <c r="F814" s="37" t="n">
        <f aca="false">IF(Gap!G106="","",Gap!G106)</f>
        <v>97.4531228728883</v>
      </c>
      <c r="G814" s="37" t="n">
        <f aca="false">IF(Gap!H106="","",Gap!H106)</f>
        <v>237.77947898275</v>
      </c>
      <c r="H814" s="37" t="n">
        <f aca="false">IF(Gap!I106="","",Gap!I106)</f>
        <v>282.740635557509</v>
      </c>
      <c r="I814" s="37" t="n">
        <f aca="false">IF(Gap!J106="","",Gap!J106)</f>
        <v>318.17120018236</v>
      </c>
      <c r="J814" s="37" t="n">
        <f aca="false">IF(Gap!K106="","",Gap!K106)</f>
        <v>350.648908691263</v>
      </c>
      <c r="M814" s="21" t="s">
        <v>6182</v>
      </c>
    </row>
    <row r="815" customFormat="false" ht="17.15" hidden="false" customHeight="false" outlineLevel="0" collapsed="false">
      <c r="A815" s="0" t="s">
        <v>6183</v>
      </c>
      <c r="B815" s="0" t="s">
        <v>6184</v>
      </c>
      <c r="C815" s="0" t="s">
        <v>395</v>
      </c>
      <c r="D815" s="37" t="n">
        <f aca="false">IF(Gap!E96="","",Gap!E96)</f>
        <v>0</v>
      </c>
      <c r="E815" s="37" t="n">
        <f aca="false">IF(Gap!F96="","",Gap!F96)</f>
        <v>13.71705</v>
      </c>
      <c r="F815" s="37" t="n">
        <f aca="false">IF(Gap!G96="","",Gap!G96)</f>
        <v>30</v>
      </c>
      <c r="G815" s="37" t="n">
        <f aca="false">IF(Gap!H96="","",Gap!H96)</f>
        <v>54.772619</v>
      </c>
      <c r="H815" s="37" t="n">
        <f aca="false">IF(Gap!I96="","",Gap!I96)</f>
        <v>68.896375</v>
      </c>
      <c r="I815" s="37" t="n">
        <f aca="false">IF(Gap!J96="","",Gap!J96)</f>
        <v>81.081606</v>
      </c>
      <c r="J815" s="37" t="n">
        <f aca="false">IF(Gap!K96="","",Gap!K96)</f>
        <v>87.526495</v>
      </c>
      <c r="M815" s="21" t="s">
        <v>6185</v>
      </c>
    </row>
    <row r="816" customFormat="false" ht="17.15" hidden="false" customHeight="false" outlineLevel="0" collapsed="false">
      <c r="A816" s="0" t="s">
        <v>6186</v>
      </c>
      <c r="B816" s="0" t="s">
        <v>6187</v>
      </c>
      <c r="C816" s="0" t="s">
        <v>395</v>
      </c>
      <c r="D816" s="37" t="n">
        <f aca="false">IF(Gap!E112="","",Gap!E112)</f>
        <v>-71.7613111537489</v>
      </c>
      <c r="E816" s="37" t="n">
        <f aca="false">IF(Gap!F112="","",Gap!F112)</f>
        <v>-53.4970950784521</v>
      </c>
      <c r="F816" s="37" t="n">
        <f aca="false">IF(Gap!G112="","",Gap!G112)</f>
        <v>-61.0341641271117</v>
      </c>
      <c r="G816" s="37" t="n">
        <f aca="false">IF(Gap!H112="","",Gap!H112)</f>
        <v>49.2318199827497</v>
      </c>
      <c r="H816" s="37" t="n">
        <f aca="false">IF(Gap!I112="","",Gap!I112)</f>
        <v>61.2429395575087</v>
      </c>
      <c r="I816" s="37" t="n">
        <f aca="false">IF(Gap!J112="","",Gap!J112)</f>
        <v>60.2031111823599</v>
      </c>
      <c r="J816" s="37" t="n">
        <f aca="false">IF(Gap!K112="","",Gap!K112)</f>
        <v>61.1789316912626</v>
      </c>
      <c r="M816" s="21" t="s">
        <v>6188</v>
      </c>
    </row>
    <row r="817" customFormat="false" ht="17.15" hidden="false" customHeight="false" outlineLevel="0" collapsed="false">
      <c r="A817" s="0" t="s">
        <v>6189</v>
      </c>
      <c r="B817" s="0" t="s">
        <v>6190</v>
      </c>
      <c r="C817" s="0" t="s">
        <v>41</v>
      </c>
      <c r="D817" s="36" t="n">
        <f aca="false">IF(Gap!E111="","",Gap!E111)</f>
        <v>2.34038866264534</v>
      </c>
      <c r="E817" s="36" t="n">
        <f aca="false">IF(Gap!F111="","",Gap!F111)</f>
        <v>1.48102018426401</v>
      </c>
      <c r="F817" s="36" t="n">
        <f aca="false">IF(Gap!G111="","",Gap!G111)</f>
        <v>1.47887539160561</v>
      </c>
      <c r="G817" s="36" t="n">
        <f aca="false">IF(Gap!H111="","",Gap!H111)</f>
        <v>0.831716059046506</v>
      </c>
      <c r="H817" s="36" t="n">
        <f aca="false">IF(Gap!I111="","",Gap!I111)</f>
        <v>0.825834773591068</v>
      </c>
      <c r="I817" s="36" t="n">
        <f aca="false">IF(Gap!J111="","",Gap!J111)</f>
        <v>0.849210549681492</v>
      </c>
      <c r="J817" s="36" t="n">
        <f aca="false">IF(Gap!K111="","",Gap!K111)</f>
        <v>0.860377987500254</v>
      </c>
      <c r="M817" s="21" t="s">
        <v>6191</v>
      </c>
    </row>
    <row r="818" customFormat="false" ht="17.15" hidden="false" customHeight="false" outlineLevel="0" collapsed="false">
      <c r="A818" s="0" t="s">
        <v>6192</v>
      </c>
      <c r="B818" s="0" t="s">
        <v>6193</v>
      </c>
      <c r="C818" s="0" t="s">
        <v>395</v>
      </c>
      <c r="D818" s="37" t="str">
        <f aca="false">IF(Gap!E109="","",Gap!E109)</f>
        <v/>
      </c>
      <c r="E818" s="37" t="n">
        <f aca="false">IF(Gap!F109="","",Gap!F109)</f>
        <v>55.758</v>
      </c>
      <c r="F818" s="37" t="n">
        <f aca="false">IF(Gap!G109="","",Gap!G109)</f>
        <v>11.25568</v>
      </c>
      <c r="G818" s="37" t="n">
        <f aca="false">IF(Gap!H109="","",Gap!H109)</f>
        <v>29.697802</v>
      </c>
      <c r="H818" s="37" t="n">
        <f aca="false">IF(Gap!I109="","",Gap!I109)</f>
        <v>13.345709</v>
      </c>
      <c r="I818" s="37" t="n">
        <f aca="false">IF(Gap!J109="","",Gap!J109)</f>
        <v>30.482343</v>
      </c>
      <c r="J818" s="37" t="n">
        <f aca="false">IF(Gap!K109="","",Gap!K109)</f>
        <v>30.678111</v>
      </c>
      <c r="M818" s="21" t="s">
        <v>6194</v>
      </c>
    </row>
    <row r="819" customFormat="false" ht="17.15" hidden="false" customHeight="false" outlineLevel="0" collapsed="false">
      <c r="A819" s="0" t="s">
        <v>6195</v>
      </c>
      <c r="B819" s="0" t="s">
        <v>6196</v>
      </c>
      <c r="C819" s="0" t="s">
        <v>395</v>
      </c>
      <c r="D819" s="37" t="str">
        <f aca="false">IF(Gap!E100="","",Gap!E100)</f>
        <v/>
      </c>
      <c r="E819" s="37" t="str">
        <f aca="false">IF(Gap!F100="","",Gap!F100)</f>
        <v/>
      </c>
      <c r="F819" s="37" t="str">
        <f aca="false">IF(Gap!G100="","",Gap!G100)</f>
        <v/>
      </c>
      <c r="G819" s="37" t="n">
        <f aca="false">IF(Gap!H100="","",Gap!H100)</f>
        <v>235.592521</v>
      </c>
      <c r="H819" s="37" t="n">
        <f aca="false">IF(Gap!I100="","",Gap!I100)</f>
        <v>248.502461</v>
      </c>
      <c r="I819" s="37" t="n">
        <f aca="false">IF(Gap!J100="","",Gap!J100)</f>
        <v>211.479266</v>
      </c>
      <c r="J819" s="37" t="n">
        <f aca="false">IF(Gap!K100="","",Gap!K100)</f>
        <v>184.143042</v>
      </c>
      <c r="M819" s="21" t="s">
        <v>6197</v>
      </c>
    </row>
    <row r="820" customFormat="false" ht="17.15" hidden="false" customHeight="false" outlineLevel="0" collapsed="false">
      <c r="A820" s="0" t="s">
        <v>6198</v>
      </c>
      <c r="B820" s="0" t="s">
        <v>6199</v>
      </c>
      <c r="C820" s="0" t="s">
        <v>395</v>
      </c>
      <c r="D820" s="37" t="n">
        <f aca="false">IF(Gap!E89="","",Gap!E89)</f>
        <v>53.5376888462511</v>
      </c>
      <c r="E820" s="37" t="n">
        <f aca="false">IF(Gap!F89="","",Gap!F89)</f>
        <v>97.4988549215479</v>
      </c>
      <c r="F820" s="37" t="n">
        <f aca="false">IF(Gap!G89="","",Gap!G89)</f>
        <v>97.4531228728883</v>
      </c>
      <c r="G820" s="37" t="n">
        <f aca="false">IF(Gap!H89="","",Gap!H89)</f>
        <v>237.77947898275</v>
      </c>
      <c r="H820" s="37" t="n">
        <f aca="false">IF(Gap!I89="","",Gap!I89)</f>
        <v>282.740635557509</v>
      </c>
      <c r="I820" s="37" t="n">
        <f aca="false">IF(Gap!J89="","",Gap!J89)</f>
        <v>318.17120018236</v>
      </c>
      <c r="J820" s="37" t="n">
        <f aca="false">IF(Gap!K89="","",Gap!K89)</f>
        <v>350.648908691263</v>
      </c>
      <c r="M820" s="21" t="s">
        <v>6200</v>
      </c>
    </row>
    <row r="821" customFormat="false" ht="17.15" hidden="false" customHeight="false" outlineLevel="0" collapsed="false">
      <c r="A821" s="0" t="s">
        <v>6201</v>
      </c>
      <c r="B821" s="0" t="s">
        <v>6202</v>
      </c>
      <c r="C821" s="0" t="s">
        <v>395</v>
      </c>
      <c r="D821" s="37" t="n">
        <f aca="false">IF(Gap!E107="","",Gap!E107)</f>
        <v>53.5376888462511</v>
      </c>
      <c r="E821" s="37" t="n">
        <f aca="false">IF(Gap!F107="","",Gap!F107)</f>
        <v>97.4988549215479</v>
      </c>
      <c r="F821" s="37" t="n">
        <f aca="false">IF(Gap!G107="","",Gap!G107)</f>
        <v>97.4531228728883</v>
      </c>
      <c r="G821" s="37" t="n">
        <f aca="false">IF(Gap!H107="","",Gap!H107)</f>
        <v>235.592521</v>
      </c>
      <c r="H821" s="37" t="n">
        <f aca="false">IF(Gap!I107="","",Gap!I107)</f>
        <v>248.502461</v>
      </c>
      <c r="I821" s="37" t="n">
        <f aca="false">IF(Gap!J107="","",Gap!J107)</f>
        <v>211.479266</v>
      </c>
      <c r="J821" s="37" t="n">
        <f aca="false">IF(Gap!K107="","",Gap!K107)</f>
        <v>184.143042</v>
      </c>
      <c r="M821" s="21" t="s">
        <v>6203</v>
      </c>
    </row>
    <row r="822" customFormat="false" ht="17.15" hidden="false" customHeight="false" outlineLevel="0" collapsed="false">
      <c r="A822" s="0" t="s">
        <v>6204</v>
      </c>
      <c r="B822" s="0" t="s">
        <v>6205</v>
      </c>
      <c r="C822" s="0" t="s">
        <v>395</v>
      </c>
      <c r="D822" s="37" t="n">
        <f aca="false">IF(Gap!G122="","",Gap!G122)</f>
        <v>120.53</v>
      </c>
      <c r="M822" s="21" t="s">
        <v>6206</v>
      </c>
    </row>
    <row r="823" customFormat="false" ht="17.15" hidden="false" customHeight="false" outlineLevel="0" collapsed="false">
      <c r="A823" s="0" t="s">
        <v>6207</v>
      </c>
      <c r="B823" s="0" t="s">
        <v>6208</v>
      </c>
      <c r="C823" s="0" t="s">
        <v>395</v>
      </c>
      <c r="D823" s="37" t="n">
        <f aca="false">IF(Gap!G118+Gap!G119="","",Gap!G118+Gap!G119)</f>
        <v>129.2</v>
      </c>
      <c r="M823" s="21" t="s">
        <v>6209</v>
      </c>
    </row>
    <row r="824" customFormat="false" ht="17.15" hidden="false" customHeight="false" outlineLevel="0" collapsed="false">
      <c r="A824" s="0" t="s">
        <v>6210</v>
      </c>
      <c r="B824" s="0" t="s">
        <v>6211</v>
      </c>
      <c r="C824" s="5" t="s">
        <v>5644</v>
      </c>
      <c r="D824" s="20" t="str">
        <f aca="false">IF(Gap!D521="","",Gap!D521)</f>
        <v>OpenAI 型</v>
      </c>
      <c r="M824" s="21" t="s">
        <v>6212</v>
      </c>
    </row>
    <row r="825" customFormat="false" ht="17.15" hidden="false" customHeight="false" outlineLevel="0" collapsed="false">
      <c r="A825" s="0" t="s">
        <v>6213</v>
      </c>
      <c r="B825" s="0" t="s">
        <v>6214</v>
      </c>
      <c r="C825" s="0" t="s">
        <v>395</v>
      </c>
      <c r="D825" s="37" t="n">
        <f aca="false">IF(Gap!E149="","",Gap!E149)</f>
        <v>115.877</v>
      </c>
      <c r="E825" s="37" t="n">
        <f aca="false">IF(Gap!F149="","",Gap!F149)</f>
        <v>139.514</v>
      </c>
      <c r="F825" s="37" t="n">
        <f aca="false">IF(Gap!G149="","",Gap!G149)</f>
        <v>184.680086</v>
      </c>
      <c r="G825" s="37" t="n">
        <f aca="false">IF(Gap!H149="","",Gap!H149)</f>
        <v>221.631094</v>
      </c>
      <c r="H825" s="37" t="n">
        <f aca="false">IF(Gap!I149="","",Gap!I149)</f>
        <v>269.221281</v>
      </c>
      <c r="I825" s="37" t="n">
        <f aca="false">IF(Gap!J149="","",Gap!J149)</f>
        <v>316.265754</v>
      </c>
      <c r="J825" s="37" t="n">
        <f aca="false">IF(Gap!K149="","",Gap!K149)</f>
        <v>359.767979</v>
      </c>
      <c r="M825" s="21" t="s">
        <v>6215</v>
      </c>
    </row>
    <row r="826" customFormat="false" ht="17.15" hidden="false" customHeight="false" outlineLevel="0" collapsed="false">
      <c r="A826" s="0" t="s">
        <v>6216</v>
      </c>
      <c r="B826" s="0" t="s">
        <v>6217</v>
      </c>
      <c r="C826" s="0" t="s">
        <v>395</v>
      </c>
      <c r="D826" s="37" t="n">
        <f aca="false">IF(Gap!E151="","",Gap!E151)</f>
        <v>8.96958779380194</v>
      </c>
      <c r="E826" s="37" t="n">
        <f aca="false">IF(Gap!F151="","",Gap!F151)</f>
        <v>57.0112085542884</v>
      </c>
      <c r="F826" s="37" t="n">
        <f aca="false">IF(Gap!G151="","",Gap!G151)</f>
        <v>58.5561991578057</v>
      </c>
      <c r="G826" s="37" t="n">
        <f aca="false">IF(Gap!H151="","",Gap!H151)</f>
        <v>176.658593549452</v>
      </c>
      <c r="H826" s="37" t="n">
        <f aca="false">IF(Gap!I151="","",Gap!I151)</f>
        <v>199.307041419773</v>
      </c>
      <c r="I826" s="37" t="n">
        <f aca="false">IF(Gap!J151="","",Gap!J151)</f>
        <v>220.608991613908</v>
      </c>
      <c r="J826" s="37" t="n">
        <f aca="false">IF(Gap!K151="","",Gap!K151)</f>
        <v>242.065176468527</v>
      </c>
      <c r="M826" s="21" t="s">
        <v>6218</v>
      </c>
    </row>
    <row r="827" customFormat="false" ht="17.15" hidden="false" customHeight="false" outlineLevel="0" collapsed="false">
      <c r="A827" s="0" t="s">
        <v>6219</v>
      </c>
      <c r="B827" s="0" t="s">
        <v>6220</v>
      </c>
      <c r="C827" s="0" t="s">
        <v>395</v>
      </c>
      <c r="D827" s="37" t="n">
        <f aca="false">IF(Gap!E141="","",Gap!E141)</f>
        <v>52.379895</v>
      </c>
      <c r="E827" s="37" t="n">
        <f aca="false">IF(Gap!F141="","",Gap!F141)</f>
        <v>58.751368</v>
      </c>
      <c r="F827" s="37" t="n">
        <f aca="false">IF(Gap!G141="","",Gap!G141)</f>
        <v>68.108332</v>
      </c>
      <c r="G827" s="37" t="n">
        <f aca="false">IF(Gap!H141="","",Gap!H141)</f>
        <v>75.834173</v>
      </c>
      <c r="H827" s="37" t="n">
        <f aca="false">IF(Gap!I141="","",Gap!I141)</f>
        <v>83.39212</v>
      </c>
      <c r="I827" s="37" t="n">
        <f aca="false">IF(Gap!J141="","",Gap!J141)</f>
        <v>90.532612</v>
      </c>
      <c r="J827" s="37" t="n">
        <f aca="false">IF(Gap!K141="","",Gap!K141)</f>
        <v>96.993847</v>
      </c>
      <c r="M827" s="21" t="s">
        <v>6221</v>
      </c>
    </row>
    <row r="828" customFormat="false" ht="17.15" hidden="false" customHeight="false" outlineLevel="0" collapsed="false">
      <c r="A828" s="0" t="s">
        <v>6222</v>
      </c>
      <c r="B828" s="0" t="s">
        <v>6223</v>
      </c>
      <c r="C828" s="0" t="s">
        <v>395</v>
      </c>
      <c r="D828" s="37" t="n">
        <f aca="false">IF(Gap!E157="","",Gap!E157)</f>
        <v>-54.5275172061981</v>
      </c>
      <c r="E828" s="37" t="n">
        <f aca="false">IF(Gap!F157="","",Gap!F157)</f>
        <v>-23.7514234457116</v>
      </c>
      <c r="F828" s="37" t="n">
        <f aca="false">IF(Gap!G157="","",Gap!G157)</f>
        <v>-58.0155548421943</v>
      </c>
      <c r="G828" s="37" t="n">
        <f aca="false">IF(Gap!H157="","",Gap!H157)</f>
        <v>30.8616725494521</v>
      </c>
      <c r="H828" s="37" t="n">
        <f aca="false">IF(Gap!I157="","",Gap!I157)</f>
        <v>13.4778804197726</v>
      </c>
      <c r="I828" s="37" t="n">
        <f aca="false">IF(Gap!J157="","",Gap!J157)</f>
        <v>-5.12415038609231</v>
      </c>
      <c r="J828" s="37" t="n">
        <f aca="false">IF(Gap!K157="","",Gap!K157)</f>
        <v>-20.7089555314732</v>
      </c>
      <c r="M828" s="21" t="s">
        <v>6224</v>
      </c>
    </row>
    <row r="829" customFormat="false" ht="17.15" hidden="false" customHeight="false" outlineLevel="0" collapsed="false">
      <c r="A829" s="0" t="s">
        <v>6225</v>
      </c>
      <c r="B829" s="0" t="s">
        <v>6226</v>
      </c>
      <c r="C829" s="0" t="s">
        <v>41</v>
      </c>
      <c r="D829" s="36" t="n">
        <f aca="false">IF(Gap!E156="","",Gap!E156)</f>
        <v>1.88880157946021</v>
      </c>
      <c r="E829" s="36" t="n">
        <f aca="false">IF(Gap!F156="","",Gap!F156)</f>
        <v>1.20517359022821</v>
      </c>
      <c r="F829" s="36" t="n">
        <f aca="false">IF(Gap!G156="","",Gap!G156)</f>
        <v>1.45802526020418</v>
      </c>
      <c r="G829" s="36" t="n">
        <f aca="false">IF(Gap!H156="","",Gap!H156)</f>
        <v>0.87777205275539</v>
      </c>
      <c r="H829" s="36" t="n">
        <f aca="false">IF(Gap!I156="","",Gap!I156)</f>
        <v>0.952324299965787</v>
      </c>
      <c r="I829" s="36" t="n">
        <f aca="false">IF(Gap!J156="","",Gap!J156)</f>
        <v>1.01646886924338</v>
      </c>
      <c r="J829" s="36" t="n">
        <f aca="false">IF(Gap!K156="","",Gap!K156)</f>
        <v>1.06107773012387</v>
      </c>
      <c r="M829" s="21" t="s">
        <v>6227</v>
      </c>
    </row>
    <row r="830" customFormat="false" ht="17.15" hidden="false" customHeight="false" outlineLevel="0" collapsed="false">
      <c r="A830" s="0" t="s">
        <v>6228</v>
      </c>
      <c r="B830" s="0" t="s">
        <v>6229</v>
      </c>
      <c r="C830" s="0" t="s">
        <v>395</v>
      </c>
      <c r="D830" s="37" t="n">
        <f aca="false">IF(Gap!E154="","",Gap!E154)</f>
        <v>0</v>
      </c>
      <c r="E830" s="37" t="n">
        <f aca="false">IF(Gap!F154="","",Gap!F154)</f>
        <v>0</v>
      </c>
      <c r="F830" s="37" t="n">
        <f aca="false">IF(Gap!G154="","",Gap!G154)</f>
        <v>0</v>
      </c>
      <c r="G830" s="37" t="n">
        <f aca="false">IF(Gap!H154="","",Gap!H154)</f>
        <v>0</v>
      </c>
      <c r="H830" s="37" t="n">
        <f aca="false">IF(Gap!I154="","",Gap!I154)</f>
        <v>0</v>
      </c>
      <c r="I830" s="37" t="n">
        <f aca="false">IF(Gap!J154="","",Gap!J154)</f>
        <v>0</v>
      </c>
      <c r="J830" s="37" t="n">
        <f aca="false">IF(Gap!K154="","",Gap!K154)</f>
        <v>0</v>
      </c>
      <c r="M830" s="21" t="s">
        <v>6230</v>
      </c>
    </row>
    <row r="831" customFormat="false" ht="17.15" hidden="false" customHeight="false" outlineLevel="0" collapsed="false">
      <c r="A831" s="0" t="s">
        <v>6231</v>
      </c>
      <c r="B831" s="0" t="s">
        <v>6232</v>
      </c>
      <c r="C831" s="0" t="s">
        <v>395</v>
      </c>
      <c r="D831" s="37" t="n">
        <f aca="false">IF(Gap!E145="","",Gap!E145)</f>
        <v>25.278105</v>
      </c>
      <c r="E831" s="37" t="n">
        <f aca="false">IF(Gap!F145="","",Gap!F145)</f>
        <v>69.568632</v>
      </c>
      <c r="F831" s="37" t="n">
        <f aca="false">IF(Gap!G145="","",Gap!G145)</f>
        <v>151.891668</v>
      </c>
      <c r="G831" s="37" t="n">
        <f aca="false">IF(Gap!H145="","",Gap!H145)</f>
        <v>177.245913</v>
      </c>
      <c r="H831" s="37" t="n">
        <f aca="false">IF(Gap!I145="","",Gap!I145)</f>
        <v>183.579448</v>
      </c>
      <c r="I831" s="37" t="n">
        <f aca="false">IF(Gap!J145="","",Gap!J145)</f>
        <v>187.873277</v>
      </c>
      <c r="J831" s="37" t="n">
        <f aca="false">IF(Gap!K145="","",Gap!K145)</f>
        <v>138.407038</v>
      </c>
      <c r="M831" s="21" t="s">
        <v>6233</v>
      </c>
    </row>
    <row r="832" customFormat="false" ht="17.15" hidden="false" customHeight="false" outlineLevel="0" collapsed="false">
      <c r="A832" s="0" t="s">
        <v>6234</v>
      </c>
      <c r="B832" s="0" t="s">
        <v>6235</v>
      </c>
      <c r="C832" s="0" t="s">
        <v>395</v>
      </c>
      <c r="D832" s="37" t="n">
        <f aca="false">IF(Gap!E134="","",Gap!E134)</f>
        <v>8.96958779380194</v>
      </c>
      <c r="E832" s="37" t="n">
        <f aca="false">IF(Gap!F134="","",Gap!F134)</f>
        <v>57.0112085542884</v>
      </c>
      <c r="F832" s="37" t="n">
        <f aca="false">IF(Gap!G134="","",Gap!G134)</f>
        <v>58.5561991578057</v>
      </c>
      <c r="G832" s="37" t="n">
        <f aca="false">IF(Gap!H134="","",Gap!H134)</f>
        <v>176.658593549452</v>
      </c>
      <c r="H832" s="37" t="n">
        <f aca="false">IF(Gap!I134="","",Gap!I134)</f>
        <v>199.307041419773</v>
      </c>
      <c r="I832" s="37" t="n">
        <f aca="false">IF(Gap!J134="","",Gap!J134)</f>
        <v>220.608991613908</v>
      </c>
      <c r="J832" s="37" t="n">
        <f aca="false">IF(Gap!K134="","",Gap!K134)</f>
        <v>242.065176468527</v>
      </c>
      <c r="M832" s="21" t="s">
        <v>6236</v>
      </c>
    </row>
    <row r="833" customFormat="false" ht="17.15" hidden="false" customHeight="false" outlineLevel="0" collapsed="false">
      <c r="A833" s="0" t="s">
        <v>6237</v>
      </c>
      <c r="B833" s="0" t="s">
        <v>6238</v>
      </c>
      <c r="C833" s="0" t="s">
        <v>395</v>
      </c>
      <c r="D833" s="37" t="n">
        <f aca="false">IF(Gap!E152="","",Gap!E152)</f>
        <v>8.96958779380194</v>
      </c>
      <c r="E833" s="37" t="n">
        <f aca="false">IF(Gap!F152="","",Gap!F152)</f>
        <v>57.0112085542884</v>
      </c>
      <c r="F833" s="37" t="n">
        <f aca="false">IF(Gap!G152="","",Gap!G152)</f>
        <v>58.5561991578057</v>
      </c>
      <c r="G833" s="37" t="n">
        <f aca="false">IF(Gap!H152="","",Gap!H152)</f>
        <v>177.245913</v>
      </c>
      <c r="H833" s="37" t="n">
        <f aca="false">IF(Gap!I152="","",Gap!I152)</f>
        <v>183.579448</v>
      </c>
      <c r="I833" s="37" t="n">
        <f aca="false">IF(Gap!J152="","",Gap!J152)</f>
        <v>187.873277</v>
      </c>
      <c r="J833" s="37" t="n">
        <f aca="false">IF(Gap!K152="","",Gap!K152)</f>
        <v>138.407038</v>
      </c>
      <c r="M833" s="21" t="s">
        <v>6239</v>
      </c>
    </row>
    <row r="834" customFormat="false" ht="17.15" hidden="false" customHeight="false" outlineLevel="0" collapsed="false">
      <c r="A834" s="0" t="s">
        <v>6240</v>
      </c>
      <c r="B834" s="0" t="s">
        <v>6241</v>
      </c>
      <c r="C834" s="0" t="s">
        <v>395</v>
      </c>
      <c r="D834" s="37" t="n">
        <f aca="false">IF(Gap!G167="","",Gap!G167)</f>
        <v>123.029</v>
      </c>
      <c r="M834" s="21" t="s">
        <v>6242</v>
      </c>
    </row>
    <row r="835" customFormat="false" ht="17.15" hidden="false" customHeight="false" outlineLevel="0" collapsed="false">
      <c r="A835" s="0" t="s">
        <v>6243</v>
      </c>
      <c r="B835" s="0" t="s">
        <v>6244</v>
      </c>
      <c r="C835" s="0" t="s">
        <v>395</v>
      </c>
      <c r="D835" s="37" t="n">
        <f aca="false">IF(Gap!G163+Gap!G164="","",Gap!G163+Gap!G164)</f>
        <v>164.922</v>
      </c>
      <c r="M835" s="21" t="s">
        <v>6245</v>
      </c>
    </row>
    <row r="836" customFormat="false" ht="17.15" hidden="false" customHeight="false" outlineLevel="0" collapsed="false">
      <c r="A836" s="0" t="s">
        <v>6246</v>
      </c>
      <c r="B836" s="0" t="s">
        <v>6247</v>
      </c>
      <c r="C836" s="5" t="s">
        <v>5644</v>
      </c>
      <c r="D836" s="20" t="str">
        <f aca="false">IF(Gap!D522="","",Gap!D522)</f>
        <v>Anthropic 型（2029 起轉正）</v>
      </c>
      <c r="M836" s="21" t="s">
        <v>6248</v>
      </c>
    </row>
    <row r="837" customFormat="false" ht="17.15" hidden="false" customHeight="false" outlineLevel="0" collapsed="false">
      <c r="A837" s="0" t="s">
        <v>6249</v>
      </c>
      <c r="B837" s="0" t="s">
        <v>6250</v>
      </c>
      <c r="C837" s="0" t="s">
        <v>395</v>
      </c>
      <c r="D837" s="37" t="n">
        <f aca="false">IF(Gap!E194="","",Gap!E194)</f>
        <v>91.328</v>
      </c>
      <c r="E837" s="37" t="n">
        <f aca="false">IF(Gap!F194="","",Gap!F194)</f>
        <v>115.8</v>
      </c>
      <c r="F837" s="37" t="n">
        <f aca="false">IF(Gap!G194="","",Gap!G194)</f>
        <v>136.50051</v>
      </c>
      <c r="G837" s="37" t="n">
        <f aca="false">IF(Gap!H194="","",Gap!H194)</f>
        <v>167.454237</v>
      </c>
      <c r="H837" s="37" t="n">
        <f aca="false">IF(Gap!I194="","",Gap!I194)</f>
        <v>198.405948</v>
      </c>
      <c r="I837" s="37" t="n">
        <f aca="false">IF(Gap!J194="","",Gap!J194)</f>
        <v>225.126641</v>
      </c>
      <c r="J837" s="37" t="n">
        <f aca="false">IF(Gap!K194="","",Gap!K194)</f>
        <v>246.375958</v>
      </c>
      <c r="M837" s="21" t="s">
        <v>6251</v>
      </c>
    </row>
    <row r="838" customFormat="false" ht="17.15" hidden="false" customHeight="false" outlineLevel="0" collapsed="false">
      <c r="A838" s="0" t="s">
        <v>6252</v>
      </c>
      <c r="B838" s="0" t="s">
        <v>6253</v>
      </c>
      <c r="C838" s="0" t="s">
        <v>395</v>
      </c>
      <c r="D838" s="37" t="n">
        <f aca="false">IF(Gap!E196="","",Gap!E196)</f>
        <v>13.3420047268386</v>
      </c>
      <c r="E838" s="37" t="n">
        <f aca="false">IF(Gap!F196="","",Gap!F196)</f>
        <v>49.2243840655931</v>
      </c>
      <c r="F838" s="37" t="n">
        <f aca="false">IF(Gap!G196="","",Gap!G196)</f>
        <v>42.7223783744302</v>
      </c>
      <c r="G838" s="37" t="n">
        <f aca="false">IF(Gap!H196="","",Gap!H196)</f>
        <v>57.4402840910154</v>
      </c>
      <c r="H838" s="37" t="n">
        <f aca="false">IF(Gap!I196="","",Gap!I196)</f>
        <v>144.610387667915</v>
      </c>
      <c r="I838" s="37" t="n">
        <f aca="false">IF(Gap!J196="","",Gap!J196)</f>
        <v>159.06467159961</v>
      </c>
      <c r="J838" s="37" t="n">
        <f aca="false">IF(Gap!K196="","",Gap!K196)</f>
        <v>174.971138759571</v>
      </c>
      <c r="M838" s="21" t="s">
        <v>6254</v>
      </c>
    </row>
    <row r="839" customFormat="false" ht="17.15" hidden="false" customHeight="false" outlineLevel="0" collapsed="false">
      <c r="A839" s="0" t="s">
        <v>6255</v>
      </c>
      <c r="B839" s="0" t="s">
        <v>6256</v>
      </c>
      <c r="C839" s="0" t="s">
        <v>395</v>
      </c>
      <c r="D839" s="37" t="n">
        <f aca="false">IF(Gap!E186="","",Gap!E186)</f>
        <v>0</v>
      </c>
      <c r="E839" s="37" t="n">
        <f aca="false">IF(Gap!F186="","",Gap!F186)</f>
        <v>0</v>
      </c>
      <c r="F839" s="37" t="n">
        <f aca="false">IF(Gap!G186="","",Gap!G186)</f>
        <v>21</v>
      </c>
      <c r="G839" s="37" t="n">
        <f aca="false">IF(Gap!H186="","",Gap!H186)</f>
        <v>12.673327</v>
      </c>
      <c r="H839" s="37" t="n">
        <f aca="false">IF(Gap!I186="","",Gap!I186)</f>
        <v>14.948975</v>
      </c>
      <c r="I839" s="37" t="n">
        <f aca="false">IF(Gap!J186="","",Gap!J186)</f>
        <v>16.91211</v>
      </c>
      <c r="J839" s="37" t="n">
        <f aca="false">IF(Gap!K186="","",Gap!K186)</f>
        <v>18.319678</v>
      </c>
      <c r="M839" s="21" t="s">
        <v>6257</v>
      </c>
    </row>
    <row r="840" customFormat="false" ht="17.15" hidden="false" customHeight="false" outlineLevel="0" collapsed="false">
      <c r="A840" s="0" t="s">
        <v>6258</v>
      </c>
      <c r="B840" s="0" t="s">
        <v>6259</v>
      </c>
      <c r="C840" s="0" t="s">
        <v>395</v>
      </c>
      <c r="D840" s="37" t="n">
        <f aca="false">IF(Gap!E202="","",Gap!E202)</f>
        <v>-77.9859952731614</v>
      </c>
      <c r="E840" s="37" t="n">
        <f aca="false">IF(Gap!F202="","",Gap!F202)</f>
        <v>-66.5756159344069</v>
      </c>
      <c r="F840" s="37" t="n">
        <f aca="false">IF(Gap!G202="","",Gap!G202)</f>
        <v>-72.7781316255698</v>
      </c>
      <c r="G840" s="37" t="n">
        <f aca="false">IF(Gap!H202="","",Gap!H202)</f>
        <v>-97.3406259089846</v>
      </c>
      <c r="H840" s="37" t="n">
        <f aca="false">IF(Gap!I202="","",Gap!I202)</f>
        <v>-38.8465853320851</v>
      </c>
      <c r="I840" s="37" t="n">
        <f aca="false">IF(Gap!J202="","",Gap!J202)</f>
        <v>-49.1498594003903</v>
      </c>
      <c r="J840" s="37" t="n">
        <f aca="false">IF(Gap!K202="","",Gap!K202)</f>
        <v>-53.0851412404292</v>
      </c>
      <c r="M840" s="21" t="s">
        <v>6260</v>
      </c>
    </row>
    <row r="841" customFormat="false" ht="17.15" hidden="false" customHeight="false" outlineLevel="0" collapsed="false">
      <c r="A841" s="0" t="s">
        <v>6261</v>
      </c>
      <c r="B841" s="0" t="s">
        <v>6262</v>
      </c>
      <c r="C841" s="0" t="s">
        <v>41</v>
      </c>
      <c r="D841" s="36" t="n">
        <f aca="false">IF(Gap!E201="","",Gap!E201)</f>
        <v>6.84514822695916</v>
      </c>
      <c r="E841" s="36" t="n">
        <f aca="false">IF(Gap!F201="","",Gap!F201)</f>
        <v>2.35249261515782</v>
      </c>
      <c r="F841" s="36" t="n">
        <f aca="false">IF(Gap!G201="","",Gap!G201)</f>
        <v>2.14211260599735</v>
      </c>
      <c r="G841" s="36" t="n">
        <f aca="false">IF(Gap!H201="","",Gap!H201)</f>
        <v>2.38832709361704</v>
      </c>
      <c r="H841" s="36" t="n">
        <f aca="false">IF(Gap!I201="","",Gap!I201)</f>
        <v>1.24346164764355</v>
      </c>
      <c r="I841" s="36" t="n">
        <f aca="false">IF(Gap!J201="","",Gap!J201)</f>
        <v>1.27929741045167</v>
      </c>
      <c r="J841" s="36" t="n">
        <f aca="false">IF(Gap!K201="","",Gap!K201)</f>
        <v>1.27463871347008</v>
      </c>
      <c r="M841" s="21" t="s">
        <v>6263</v>
      </c>
    </row>
    <row r="842" customFormat="false" ht="17.15" hidden="false" customHeight="false" outlineLevel="0" collapsed="false">
      <c r="A842" s="0" t="s">
        <v>6264</v>
      </c>
      <c r="B842" s="0" t="s">
        <v>6265</v>
      </c>
      <c r="C842" s="0" t="s">
        <v>395</v>
      </c>
      <c r="D842" s="37" t="str">
        <f aca="false">IF(Gap!E199="","",Gap!E199)</f>
        <v/>
      </c>
      <c r="E842" s="37" t="n">
        <f aca="false">IF(Gap!F199="","",Gap!F199)</f>
        <v>31.572</v>
      </c>
      <c r="F842" s="37" t="n">
        <f aca="false">IF(Gap!G199="","",Gap!G199)</f>
        <v>5.423243</v>
      </c>
      <c r="G842" s="37" t="n">
        <f aca="false">IF(Gap!H199="","",Gap!H199)</f>
        <v>6.605363</v>
      </c>
      <c r="H842" s="37" t="n">
        <f aca="false">IF(Gap!I199="","",Gap!I199)</f>
        <v>7.074236</v>
      </c>
      <c r="I842" s="37" t="n">
        <f aca="false">IF(Gap!J199="","",Gap!J199)</f>
        <v>7.27587</v>
      </c>
      <c r="J842" s="37" t="n">
        <f aca="false">IF(Gap!K199="","",Gap!K199)</f>
        <v>7.150075</v>
      </c>
      <c r="M842" s="21" t="s">
        <v>6266</v>
      </c>
    </row>
    <row r="843" customFormat="false" ht="17.15" hidden="false" customHeight="false" outlineLevel="0" collapsed="false">
      <c r="A843" s="0" t="s">
        <v>6267</v>
      </c>
      <c r="B843" s="0" t="s">
        <v>6268</v>
      </c>
      <c r="C843" s="0" t="s">
        <v>395</v>
      </c>
      <c r="D843" s="37" t="str">
        <f aca="false">IF(Gap!E190="","",Gap!E190)</f>
        <v/>
      </c>
      <c r="E843" s="37" t="str">
        <f aca="false">IF(Gap!F190="","",Gap!F190)</f>
        <v/>
      </c>
      <c r="F843" s="37" t="str">
        <f aca="false">IF(Gap!G190="","",Gap!G190)</f>
        <v/>
      </c>
      <c r="G843" s="37" t="n">
        <f aca="false">IF(Gap!H190="","",Gap!H190)</f>
        <v>193.032551</v>
      </c>
      <c r="H843" s="37" t="n">
        <f aca="false">IF(Gap!I190="","",Gap!I190)</f>
        <v>204.334288</v>
      </c>
      <c r="I843" s="37" t="n">
        <f aca="false">IF(Gap!J190="","",Gap!J190)</f>
        <v>177.887752</v>
      </c>
      <c r="J843" s="37" t="n">
        <f aca="false">IF(Gap!K190="","",Gap!K190)</f>
        <v>147.246055</v>
      </c>
      <c r="M843" s="21" t="s">
        <v>6269</v>
      </c>
    </row>
    <row r="844" customFormat="false" ht="17.15" hidden="false" customHeight="false" outlineLevel="0" collapsed="false">
      <c r="A844" s="0" t="s">
        <v>6270</v>
      </c>
      <c r="B844" s="0" t="s">
        <v>6271</v>
      </c>
      <c r="C844" s="0" t="s">
        <v>395</v>
      </c>
      <c r="D844" s="37" t="n">
        <f aca="false">IF(Gap!E179="","",Gap!E179)</f>
        <v>13.3420047268386</v>
      </c>
      <c r="E844" s="37" t="n">
        <f aca="false">IF(Gap!F179="","",Gap!F179)</f>
        <v>49.2243840655931</v>
      </c>
      <c r="F844" s="37" t="n">
        <f aca="false">IF(Gap!G179="","",Gap!G179)</f>
        <v>42.7223783744302</v>
      </c>
      <c r="G844" s="37" t="n">
        <f aca="false">IF(Gap!H179="","",Gap!H179)</f>
        <v>57.4402840910154</v>
      </c>
      <c r="H844" s="37" t="n">
        <f aca="false">IF(Gap!I179="","",Gap!I179)</f>
        <v>144.610387667915</v>
      </c>
      <c r="I844" s="37" t="n">
        <f aca="false">IF(Gap!J179="","",Gap!J179)</f>
        <v>159.06467159961</v>
      </c>
      <c r="J844" s="37" t="n">
        <f aca="false">IF(Gap!K179="","",Gap!K179)</f>
        <v>174.971138759571</v>
      </c>
      <c r="M844" s="21" t="s">
        <v>6272</v>
      </c>
    </row>
    <row r="845" customFormat="false" ht="17.15" hidden="false" customHeight="false" outlineLevel="0" collapsed="false">
      <c r="A845" s="0" t="s">
        <v>6273</v>
      </c>
      <c r="B845" s="0" t="s">
        <v>6274</v>
      </c>
      <c r="C845" s="0" t="s">
        <v>395</v>
      </c>
      <c r="D845" s="37" t="n">
        <f aca="false">IF(Gap!E197="","",Gap!E197)</f>
        <v>13.3420047268386</v>
      </c>
      <c r="E845" s="37" t="n">
        <f aca="false">IF(Gap!F197="","",Gap!F197)</f>
        <v>49.2243840655931</v>
      </c>
      <c r="F845" s="37" t="n">
        <f aca="false">IF(Gap!G197="","",Gap!G197)</f>
        <v>42.7223783744302</v>
      </c>
      <c r="G845" s="37" t="n">
        <f aca="false">IF(Gap!H197="","",Gap!H197)</f>
        <v>193.032551</v>
      </c>
      <c r="H845" s="37" t="n">
        <f aca="false">IF(Gap!I197="","",Gap!I197)</f>
        <v>204.334288</v>
      </c>
      <c r="I845" s="37" t="n">
        <f aca="false">IF(Gap!J197="","",Gap!J197)</f>
        <v>177.887752</v>
      </c>
      <c r="J845" s="37" t="n">
        <f aca="false">IF(Gap!K197="","",Gap!K197)</f>
        <v>147.246055</v>
      </c>
      <c r="M845" s="21" t="s">
        <v>6275</v>
      </c>
    </row>
    <row r="846" customFormat="false" ht="17.15" hidden="false" customHeight="false" outlineLevel="0" collapsed="false">
      <c r="A846" s="0" t="s">
        <v>6276</v>
      </c>
      <c r="B846" s="0" t="s">
        <v>6277</v>
      </c>
      <c r="C846" s="0" t="s">
        <v>395</v>
      </c>
      <c r="D846" s="37" t="n">
        <f aca="false">IF(Gap!G212="","",Gap!G212)</f>
        <v>81.592</v>
      </c>
      <c r="M846" s="21" t="s">
        <v>6278</v>
      </c>
    </row>
    <row r="847" customFormat="false" ht="17.15" hidden="false" customHeight="false" outlineLevel="0" collapsed="false">
      <c r="A847" s="0" t="s">
        <v>6279</v>
      </c>
      <c r="B847" s="0" t="s">
        <v>6280</v>
      </c>
      <c r="C847" s="0" t="s">
        <v>395</v>
      </c>
      <c r="D847" s="37" t="n">
        <f aca="false">IF(Gap!G208+Gap!G209="","",Gap!G208+Gap!G209)</f>
        <v>424.134</v>
      </c>
      <c r="M847" s="21" t="s">
        <v>6281</v>
      </c>
    </row>
    <row r="848" customFormat="false" ht="17.15" hidden="false" customHeight="false" outlineLevel="0" collapsed="false">
      <c r="A848" s="0" t="s">
        <v>6282</v>
      </c>
      <c r="B848" s="0" t="s">
        <v>6283</v>
      </c>
      <c r="C848" s="5" t="s">
        <v>5644</v>
      </c>
      <c r="D848" s="20" t="str">
        <f aca="false">IF(Gap!D523="","",Gap!D523)</f>
        <v>Anthropic 型（2026–2030 皆為正）</v>
      </c>
      <c r="M848" s="21" t="s">
        <v>6284</v>
      </c>
    </row>
    <row r="849" customFormat="false" ht="17.15" hidden="false" customHeight="false" outlineLevel="0" collapsed="false">
      <c r="A849" s="0" t="s">
        <v>6285</v>
      </c>
      <c r="B849" s="0" t="s">
        <v>6286</v>
      </c>
      <c r="C849" s="0" t="s">
        <v>395</v>
      </c>
      <c r="D849" s="37" t="str">
        <f aca="false">IF(Gap!E239="","",Gap!E239)</f>
        <v/>
      </c>
      <c r="E849" s="37" t="str">
        <f aca="false">IF(Gap!F239="","",Gap!F239)</f>
        <v/>
      </c>
      <c r="F849" s="37" t="n">
        <f aca="false">IF(Gap!G239="","",Gap!G239)</f>
        <v>52.2595075833333</v>
      </c>
      <c r="G849" s="37" t="n">
        <f aca="false">IF(Gap!H239="","",Gap!H239)</f>
        <v>69.9359394166667</v>
      </c>
      <c r="H849" s="37" t="n">
        <f aca="false">IF(Gap!I239="","",Gap!I239)</f>
        <v>71.9910856666667</v>
      </c>
      <c r="I849" s="37" t="n">
        <f aca="false">IF(Gap!J239="","",Gap!J239)</f>
        <v>73.4538868333333</v>
      </c>
      <c r="J849" s="37" t="n">
        <f aca="false">IF(Gap!K239="","",Gap!K239)</f>
        <v>77.31538725</v>
      </c>
      <c r="M849" s="21" t="s">
        <v>6287</v>
      </c>
    </row>
    <row r="850" customFormat="false" ht="17.15" hidden="false" customHeight="false" outlineLevel="0" collapsed="false">
      <c r="A850" s="0" t="s">
        <v>6288</v>
      </c>
      <c r="B850" s="0" t="s">
        <v>6289</v>
      </c>
      <c r="C850" s="0" t="s">
        <v>395</v>
      </c>
      <c r="D850" s="37" t="n">
        <f aca="false">IF(Gap!E241="","",Gap!E241)</f>
        <v>14.4318778900984</v>
      </c>
      <c r="E850" s="37" t="n">
        <f aca="false">IF(Gap!F241="","",Gap!F241)</f>
        <v>41.1472864976342</v>
      </c>
      <c r="F850" s="37" t="n">
        <f aca="false">IF(Gap!G241="","",Gap!G241)</f>
        <v>69.6166539415409</v>
      </c>
      <c r="G850" s="37" t="n">
        <f aca="false">IF(Gap!H241="","",Gap!H241)</f>
        <v>74.4991673620309</v>
      </c>
      <c r="H850" s="37" t="n">
        <f aca="false">IF(Gap!I241="","",Gap!I241)</f>
        <v>77.6424182862854</v>
      </c>
      <c r="I850" s="37" t="n">
        <f aca="false">IF(Gap!J241="","",Gap!J241)</f>
        <v>79.3332703727264</v>
      </c>
      <c r="J850" s="37" t="n">
        <f aca="false">IF(Gap!K241="","",Gap!K241)</f>
        <v>85.0853698334817</v>
      </c>
      <c r="M850" s="21" t="s">
        <v>6290</v>
      </c>
    </row>
    <row r="851" customFormat="false" ht="17.15" hidden="false" customHeight="false" outlineLevel="0" collapsed="false">
      <c r="A851" s="0" t="s">
        <v>6291</v>
      </c>
      <c r="B851" s="0" t="s">
        <v>6292</v>
      </c>
      <c r="C851" s="0" t="s">
        <v>395</v>
      </c>
      <c r="D851" s="37" t="n">
        <f aca="false">IF(Gap!E231="","",Gap!E231)</f>
        <v>0</v>
      </c>
      <c r="E851" s="37" t="n">
        <f aca="false">IF(Gap!F231="","",Gap!F231)</f>
        <v>6.19645</v>
      </c>
      <c r="F851" s="37" t="n">
        <f aca="false">IF(Gap!G231="","",Gap!G231)</f>
        <v>11.5726875</v>
      </c>
      <c r="G851" s="37" t="n">
        <f aca="false">IF(Gap!H231="","",Gap!H231)</f>
        <v>5.16605866666667</v>
      </c>
      <c r="H851" s="37" t="n">
        <f aca="false">IF(Gap!I231="","",Gap!I231)</f>
        <v>5.50466575</v>
      </c>
      <c r="I851" s="37" t="n">
        <f aca="false">IF(Gap!J231="","",Gap!J231)</f>
        <v>5.8386845</v>
      </c>
      <c r="J851" s="37" t="n">
        <f aca="false">IF(Gap!K231="","",Gap!K231)</f>
        <v>6.15655591666667</v>
      </c>
      <c r="M851" s="21" t="s">
        <v>6293</v>
      </c>
    </row>
    <row r="852" customFormat="false" ht="17.15" hidden="false" customHeight="false" outlineLevel="0" collapsed="false">
      <c r="A852" s="0" t="s">
        <v>6294</v>
      </c>
      <c r="B852" s="0" t="s">
        <v>6295</v>
      </c>
      <c r="C852" s="0" t="s">
        <v>395</v>
      </c>
      <c r="D852" s="37" t="str">
        <f aca="false">IF(Gap!E247="","",Gap!E247)</f>
        <v/>
      </c>
      <c r="E852" s="37" t="str">
        <f aca="false">IF(Gap!F247="","",Gap!F247)</f>
        <v/>
      </c>
      <c r="F852" s="37" t="n">
        <f aca="false">IF(Gap!G247="","",Gap!G247)</f>
        <v>28.9298338582075</v>
      </c>
      <c r="G852" s="37" t="n">
        <f aca="false">IF(Gap!H247="","",Gap!H247)</f>
        <v>9.72928661203085</v>
      </c>
      <c r="H852" s="37" t="n">
        <f aca="false">IF(Gap!I247="","",Gap!I247)</f>
        <v>11.1559983696187</v>
      </c>
      <c r="I852" s="37" t="n">
        <f aca="false">IF(Gap!J247="","",Gap!J247)</f>
        <v>11.7180680393931</v>
      </c>
      <c r="J852" s="37" t="n">
        <f aca="false">IF(Gap!K247="","",Gap!K247)</f>
        <v>13.9265385001484</v>
      </c>
      <c r="M852" s="21" t="s">
        <v>6296</v>
      </c>
    </row>
    <row r="853" customFormat="false" ht="17.15" hidden="false" customHeight="false" outlineLevel="0" collapsed="false">
      <c r="A853" s="0" t="s">
        <v>6297</v>
      </c>
      <c r="B853" s="0" t="s">
        <v>6298</v>
      </c>
      <c r="C853" s="0" t="s">
        <v>41</v>
      </c>
      <c r="D853" s="36" t="str">
        <f aca="false">IF(Gap!E246="","",Gap!E246)</f>
        <v/>
      </c>
      <c r="E853" s="36" t="str">
        <f aca="false">IF(Gap!F246="","",Gap!F246)</f>
        <v/>
      </c>
      <c r="F853" s="36" t="n">
        <f aca="false">IF(Gap!G246="","",Gap!G246)</f>
        <v>0.643674485535296</v>
      </c>
      <c r="G853" s="36" t="n">
        <f aca="false">IF(Gap!H246="","",Gap!H246)</f>
        <v>0.877872854982849</v>
      </c>
      <c r="H853" s="36" t="n">
        <f aca="false">IF(Gap!I246="","",Gap!I246)</f>
        <v>0.865828146604032</v>
      </c>
      <c r="I853" s="36" t="n">
        <f aca="false">IF(Gap!J246="","",Gap!J246)</f>
        <v>0.86241870276544</v>
      </c>
      <c r="J853" s="36" t="n">
        <f aca="false">IF(Gap!K246="","",Gap!K246)</f>
        <v>0.847366894268716</v>
      </c>
      <c r="M853" s="21" t="s">
        <v>6299</v>
      </c>
    </row>
    <row r="854" customFormat="false" ht="17.15" hidden="false" customHeight="false" outlineLevel="0" collapsed="false">
      <c r="A854" s="0" t="s">
        <v>6300</v>
      </c>
      <c r="B854" s="0" t="s">
        <v>6301</v>
      </c>
      <c r="C854" s="0" t="s">
        <v>395</v>
      </c>
      <c r="D854" s="37" t="str">
        <f aca="false">IF(Gap!E244="","",Gap!E244)</f>
        <v/>
      </c>
      <c r="E854" s="37" t="str">
        <f aca="false">IF(Gap!F244="","",Gap!F244)</f>
        <v/>
      </c>
      <c r="F854" s="37" t="n">
        <f aca="false">IF(Gap!G244="","",Gap!G244)</f>
        <v>6.112269</v>
      </c>
      <c r="G854" s="37" t="n">
        <f aca="false">IF(Gap!H244="","",Gap!H244)</f>
        <v>6.36086033333333</v>
      </c>
      <c r="H854" s="37" t="n">
        <f aca="false">IF(Gap!I244="","",Gap!I244)</f>
        <v>6.325222</v>
      </c>
      <c r="I854" s="37" t="n">
        <f aca="false">IF(Gap!J244="","",Gap!J244)</f>
        <v>6.185583</v>
      </c>
      <c r="J854" s="37" t="n">
        <f aca="false">IF(Gap!K244="","",Gap!K244)</f>
        <v>6.109948</v>
      </c>
      <c r="M854" s="21" t="s">
        <v>6302</v>
      </c>
    </row>
    <row r="855" customFormat="false" ht="17.15" hidden="false" customHeight="false" outlineLevel="0" collapsed="false">
      <c r="A855" s="0" t="s">
        <v>6303</v>
      </c>
      <c r="B855" s="0" t="s">
        <v>6304</v>
      </c>
      <c r="C855" s="0" t="s">
        <v>395</v>
      </c>
      <c r="D855" s="37" t="str">
        <f aca="false">IF(Gap!E235="","",Gap!E235)</f>
        <v/>
      </c>
      <c r="E855" s="37" t="str">
        <f aca="false">IF(Gap!F235="","",Gap!F235)</f>
        <v/>
      </c>
      <c r="F855" s="37" t="str">
        <f aca="false">IF(Gap!G235="","",Gap!G235)</f>
        <v/>
      </c>
      <c r="G855" s="37" t="n">
        <f aca="false">IF(Gap!H235="","",Gap!H235)</f>
        <v>83.7741648333333</v>
      </c>
      <c r="H855" s="37" t="n">
        <f aca="false">IF(Gap!I235="","",Gap!I235)</f>
        <v>52.6642151666667</v>
      </c>
      <c r="I855" s="37" t="n">
        <f aca="false">IF(Gap!J235="","",Gap!J235)</f>
        <v>21.670438</v>
      </c>
      <c r="J855" s="37" t="n">
        <f aca="false">IF(Gap!K235="","",Gap!K235)</f>
        <v>16.0326066666667</v>
      </c>
      <c r="M855" s="21" t="s">
        <v>6305</v>
      </c>
    </row>
    <row r="856" customFormat="false" ht="17.15" hidden="false" customHeight="false" outlineLevel="0" collapsed="false">
      <c r="A856" s="0" t="s">
        <v>6306</v>
      </c>
      <c r="B856" s="0" t="s">
        <v>6307</v>
      </c>
      <c r="C856" s="0" t="s">
        <v>395</v>
      </c>
      <c r="D856" s="37" t="n">
        <f aca="false">IF(Gap!E224="","",Gap!E224)</f>
        <v>14.4318778900984</v>
      </c>
      <c r="E856" s="37" t="n">
        <f aca="false">IF(Gap!F224="","",Gap!F224)</f>
        <v>41.1472864976342</v>
      </c>
      <c r="F856" s="37" t="n">
        <f aca="false">IF(Gap!G224="","",Gap!G224)</f>
        <v>69.6166539415409</v>
      </c>
      <c r="G856" s="37" t="n">
        <f aca="false">IF(Gap!H224="","",Gap!H224)</f>
        <v>74.4991673620309</v>
      </c>
      <c r="H856" s="37" t="n">
        <f aca="false">IF(Gap!I224="","",Gap!I224)</f>
        <v>77.6424182862854</v>
      </c>
      <c r="I856" s="37" t="n">
        <f aca="false">IF(Gap!J224="","",Gap!J224)</f>
        <v>79.3332703727264</v>
      </c>
      <c r="J856" s="37" t="n">
        <f aca="false">IF(Gap!K224="","",Gap!K224)</f>
        <v>85.0853698334817</v>
      </c>
      <c r="M856" s="21" t="s">
        <v>6308</v>
      </c>
    </row>
    <row r="857" customFormat="false" ht="17.15" hidden="false" customHeight="false" outlineLevel="0" collapsed="false">
      <c r="A857" s="0" t="s">
        <v>6309</v>
      </c>
      <c r="B857" s="0" t="s">
        <v>6310</v>
      </c>
      <c r="C857" s="0" t="s">
        <v>395</v>
      </c>
      <c r="D857" s="37" t="n">
        <f aca="false">IF(Gap!E242="","",Gap!E242)</f>
        <v>14.4318778900984</v>
      </c>
      <c r="E857" s="37" t="n">
        <f aca="false">IF(Gap!F242="","",Gap!F242)</f>
        <v>41.1472864976342</v>
      </c>
      <c r="F857" s="37" t="n">
        <f aca="false">IF(Gap!G242="","",Gap!G242)</f>
        <v>69.6166539415409</v>
      </c>
      <c r="G857" s="37" t="n">
        <f aca="false">IF(Gap!H242="","",Gap!H242)</f>
        <v>83.7741648333333</v>
      </c>
      <c r="H857" s="37" t="n">
        <f aca="false">IF(Gap!I242="","",Gap!I242)</f>
        <v>52.6642151666667</v>
      </c>
      <c r="I857" s="37" t="n">
        <f aca="false">IF(Gap!J242="","",Gap!J242)</f>
        <v>21.670438</v>
      </c>
      <c r="J857" s="37" t="n">
        <f aca="false">IF(Gap!K242="","",Gap!K242)</f>
        <v>16.0326066666667</v>
      </c>
      <c r="M857" s="21" t="s">
        <v>6311</v>
      </c>
    </row>
    <row r="858" customFormat="false" ht="17.15" hidden="false" customHeight="false" outlineLevel="0" collapsed="false">
      <c r="A858" s="0" t="s">
        <v>6312</v>
      </c>
      <c r="B858" s="0" t="s">
        <v>6313</v>
      </c>
      <c r="C858" s="0" t="s">
        <v>395</v>
      </c>
      <c r="D858" s="37" t="n">
        <f aca="false">IF(Gap!G257="","",Gap!G257)</f>
        <v>37.077</v>
      </c>
      <c r="M858" s="21" t="s">
        <v>6314</v>
      </c>
    </row>
    <row r="859" customFormat="false" ht="17.15" hidden="false" customHeight="false" outlineLevel="0" collapsed="false">
      <c r="A859" s="0" t="s">
        <v>6315</v>
      </c>
      <c r="B859" s="0" t="s">
        <v>6316</v>
      </c>
      <c r="C859" s="0" t="s">
        <v>395</v>
      </c>
      <c r="D859" s="37" t="n">
        <f aca="false">IF(Gap!G253+Gap!G254="","",Gap!G253+Gap!G254)</f>
        <v>260</v>
      </c>
      <c r="M859" s="21" t="s">
        <v>6317</v>
      </c>
    </row>
    <row r="860" customFormat="false" ht="17.15" hidden="false" customHeight="false" outlineLevel="0" collapsed="false">
      <c r="A860" s="0" t="s">
        <v>6318</v>
      </c>
      <c r="B860" s="0" t="s">
        <v>6319</v>
      </c>
      <c r="C860" s="5" t="s">
        <v>5644</v>
      </c>
      <c r="D860" s="20" t="str">
        <f aca="false">IF(Gap!D524="","",Gap!D524)</f>
        <v>OpenAI 型</v>
      </c>
      <c r="M860" s="21" t="s">
        <v>6320</v>
      </c>
    </row>
    <row r="861" customFormat="false" ht="17.15" hidden="false" customHeight="false" outlineLevel="0" collapsed="false">
      <c r="A861" s="0" t="s">
        <v>6321</v>
      </c>
      <c r="B861" s="0" t="s">
        <v>6322</v>
      </c>
      <c r="C861" s="0" t="s">
        <v>395</v>
      </c>
      <c r="D861" s="37" t="n">
        <f aca="false">IF(Gap!E284="","",Gap!E284)</f>
        <v>2.749</v>
      </c>
      <c r="E861" s="37" t="n">
        <f aca="false">IF(Gap!F284="","",Gap!F284)</f>
        <v>3.058</v>
      </c>
      <c r="F861" s="37" t="n">
        <f aca="false">IF(Gap!G284="","",Gap!G284)</f>
        <v>6.90582</v>
      </c>
      <c r="G861" s="37" t="n">
        <f aca="false">IF(Gap!H284="","",Gap!H284)</f>
        <v>9.363183</v>
      </c>
      <c r="H861" s="37" t="n">
        <f aca="false">IF(Gap!I284="","",Gap!I284)</f>
        <v>15.172889</v>
      </c>
      <c r="I861" s="37" t="n">
        <f aca="false">IF(Gap!J284="","",Gap!J284)</f>
        <v>19.53623</v>
      </c>
      <c r="J861" s="37" t="n">
        <f aca="false">IF(Gap!K284="","",Gap!K284)</f>
        <v>20.930234</v>
      </c>
      <c r="M861" s="21" t="s">
        <v>6323</v>
      </c>
    </row>
    <row r="862" customFormat="false" ht="17.15" hidden="false" customHeight="false" outlineLevel="0" collapsed="false">
      <c r="A862" s="0" t="s">
        <v>6324</v>
      </c>
      <c r="B862" s="0" t="s">
        <v>6325</v>
      </c>
      <c r="C862" s="0" t="s">
        <v>395</v>
      </c>
      <c r="D862" s="37" t="n">
        <f aca="false">IF(Gap!E286="","",Gap!E286)</f>
        <v>17.41711206</v>
      </c>
      <c r="E862" s="37" t="n">
        <f aca="false">IF(Gap!F286="","",Gap!F286)</f>
        <v>28.81951562</v>
      </c>
      <c r="F862" s="37" t="n">
        <f aca="false">IF(Gap!G286="","",Gap!G286)</f>
        <v>47.9562925874739</v>
      </c>
      <c r="G862" s="37" t="n">
        <f aca="false">IF(Gap!H286="","",Gap!H286)</f>
        <v>69.0888933126286</v>
      </c>
      <c r="H862" s="37" t="n">
        <f aca="false">IF(Gap!I286="","",Gap!I286)</f>
        <v>42.5307689239494</v>
      </c>
      <c r="I862" s="37" t="n">
        <f aca="false">IF(Gap!J286="","",Gap!J286)</f>
        <v>47.1371201914951</v>
      </c>
      <c r="J862" s="37" t="n">
        <f aca="false">IF(Gap!K286="","",Gap!K286)</f>
        <v>51.7749260074151</v>
      </c>
      <c r="M862" s="21" t="s">
        <v>6326</v>
      </c>
    </row>
    <row r="863" customFormat="false" ht="17.15" hidden="false" customHeight="false" outlineLevel="0" collapsed="false">
      <c r="A863" s="0" t="s">
        <v>6327</v>
      </c>
      <c r="B863" s="0" t="s">
        <v>6328</v>
      </c>
      <c r="C863" s="0" t="s">
        <v>395</v>
      </c>
      <c r="D863" s="37" t="n">
        <f aca="false">IF(Gap!E276="","",Gap!E276)</f>
        <v>0</v>
      </c>
      <c r="E863" s="37" t="n">
        <f aca="false">IF(Gap!F276="","",Gap!F276)</f>
        <v>0</v>
      </c>
      <c r="F863" s="37" t="n">
        <f aca="false">IF(Gap!G276="","",Gap!G276)</f>
        <v>5.55</v>
      </c>
      <c r="G863" s="37" t="n">
        <f aca="false">IF(Gap!H276="","",Gap!H276)</f>
        <v>6.9714</v>
      </c>
      <c r="H863" s="37" t="n">
        <f aca="false">IF(Gap!I276="","",Gap!I276)</f>
        <v>7.51935</v>
      </c>
      <c r="I863" s="37" t="n">
        <f aca="false">IF(Gap!J276="","",Gap!J276)</f>
        <v>8.271285</v>
      </c>
      <c r="J863" s="37" t="n">
        <f aca="false">IF(Gap!K276="","",Gap!K276)</f>
        <v>9.0984135</v>
      </c>
      <c r="M863" s="21" t="s">
        <v>6329</v>
      </c>
    </row>
    <row r="864" customFormat="false" ht="17.15" hidden="false" customHeight="false" outlineLevel="0" collapsed="false">
      <c r="A864" s="0" t="s">
        <v>6330</v>
      </c>
      <c r="B864" s="0" t="s">
        <v>6331</v>
      </c>
      <c r="C864" s="0" t="s">
        <v>395</v>
      </c>
      <c r="D864" s="37" t="n">
        <f aca="false">IF(Gap!E292="","",Gap!E292)</f>
        <v>14.66811206</v>
      </c>
      <c r="E864" s="37" t="n">
        <f aca="false">IF(Gap!F292="","",Gap!F292)</f>
        <v>25.76151562</v>
      </c>
      <c r="F864" s="37" t="n">
        <f aca="false">IF(Gap!G292="","",Gap!G292)</f>
        <v>46.6004725874739</v>
      </c>
      <c r="G864" s="37" t="n">
        <f aca="false">IF(Gap!H292="","",Gap!H292)</f>
        <v>66.6971103126286</v>
      </c>
      <c r="H864" s="37" t="n">
        <f aca="false">IF(Gap!I292="","",Gap!I292)</f>
        <v>34.8772299239494</v>
      </c>
      <c r="I864" s="37" t="n">
        <f aca="false">IF(Gap!J292="","",Gap!J292)</f>
        <v>35.8721751914951</v>
      </c>
      <c r="J864" s="37" t="n">
        <f aca="false">IF(Gap!K292="","",Gap!K292)</f>
        <v>39.9431055074151</v>
      </c>
      <c r="M864" s="21" t="s">
        <v>6332</v>
      </c>
    </row>
    <row r="865" customFormat="false" ht="17.15" hidden="false" customHeight="false" outlineLevel="0" collapsed="false">
      <c r="A865" s="0" t="s">
        <v>6333</v>
      </c>
      <c r="B865" s="0" t="s">
        <v>6334</v>
      </c>
      <c r="C865" s="0" t="s">
        <v>41</v>
      </c>
      <c r="D865" s="36" t="n">
        <f aca="false">IF(Gap!E291="","",Gap!E291)</f>
        <v>0.157833284331524</v>
      </c>
      <c r="E865" s="36" t="n">
        <f aca="false">IF(Gap!F291="","",Gap!F291)</f>
        <v>0.10610865360547</v>
      </c>
      <c r="F865" s="36" t="n">
        <f aca="false">IF(Gap!G291="","",Gap!G291)</f>
        <v>0.12906556717063</v>
      </c>
      <c r="G865" s="36" t="n">
        <f aca="false">IF(Gap!H291="","",Gap!H291)</f>
        <v>0.123102115337825</v>
      </c>
      <c r="H865" s="36" t="n">
        <f aca="false">IF(Gap!I291="","",Gap!I291)</f>
        <v>0.303153905049757</v>
      </c>
      <c r="I865" s="36" t="n">
        <f aca="false">IF(Gap!J291="","",Gap!J291)</f>
        <v>0.352586036946588</v>
      </c>
      <c r="J865" s="36" t="n">
        <f aca="false">IF(Gap!K291="","",Gap!K291)</f>
        <v>0.343832524539753</v>
      </c>
      <c r="M865" s="21" t="s">
        <v>6335</v>
      </c>
    </row>
    <row r="866" customFormat="false" ht="17.15" hidden="false" customHeight="false" outlineLevel="0" collapsed="false">
      <c r="A866" s="0" t="s">
        <v>6336</v>
      </c>
      <c r="B866" s="0" t="s">
        <v>6337</v>
      </c>
      <c r="C866" s="0" t="s">
        <v>395</v>
      </c>
      <c r="D866" s="37" t="str">
        <f aca="false">IF(Gap!E289="","",Gap!E289)</f>
        <v/>
      </c>
      <c r="E866" s="37" t="str">
        <f aca="false">IF(Gap!F289="","",Gap!F289)</f>
        <v/>
      </c>
      <c r="F866" s="37" t="str">
        <f aca="false">IF(Gap!G289="","",Gap!G289)</f>
        <v/>
      </c>
      <c r="G866" s="37" t="str">
        <f aca="false">IF(Gap!H289="","",Gap!H289)</f>
        <v/>
      </c>
      <c r="H866" s="37" t="str">
        <f aca="false">IF(Gap!I289="","",Gap!I289)</f>
        <v/>
      </c>
      <c r="I866" s="37" t="str">
        <f aca="false">IF(Gap!J289="","",Gap!J289)</f>
        <v/>
      </c>
      <c r="J866" s="37" t="str">
        <f aca="false">IF(Gap!K289="","",Gap!K289)</f>
        <v/>
      </c>
      <c r="M866" s="21" t="s">
        <v>6338</v>
      </c>
    </row>
    <row r="867" customFormat="false" ht="17.15" hidden="false" customHeight="false" outlineLevel="0" collapsed="false">
      <c r="A867" s="0" t="s">
        <v>6339</v>
      </c>
      <c r="B867" s="0" t="s">
        <v>6340</v>
      </c>
      <c r="C867" s="0" t="s">
        <v>395</v>
      </c>
      <c r="D867" s="37" t="str">
        <f aca="false">IF(Gap!E280="","",Gap!E280)</f>
        <v/>
      </c>
      <c r="E867" s="37" t="str">
        <f aca="false">IF(Gap!F280="","",Gap!F280)</f>
        <v/>
      </c>
      <c r="F867" s="37" t="n">
        <f aca="false">IF(Gap!G280="","",Gap!G280)</f>
        <v>32.978</v>
      </c>
      <c r="G867" s="37" t="n">
        <f aca="false">IF(Gap!H280="","",Gap!H280)</f>
        <v>39.363041</v>
      </c>
      <c r="H867" s="37" t="n">
        <f aca="false">IF(Gap!I280="","",Gap!I280)</f>
        <v>32.512194</v>
      </c>
      <c r="I867" s="37" t="n">
        <f aca="false">IF(Gap!J280="","",Gap!J280)</f>
        <v>32.700126</v>
      </c>
      <c r="J867" s="37" t="n">
        <f aca="false">IF(Gap!K280="","",Gap!K280)</f>
        <v>37.022557</v>
      </c>
      <c r="M867" s="21" t="s">
        <v>6341</v>
      </c>
    </row>
    <row r="868" customFormat="false" ht="17.15" hidden="false" customHeight="false" outlineLevel="0" collapsed="false">
      <c r="A868" s="0" t="s">
        <v>6342</v>
      </c>
      <c r="B868" s="0" t="s">
        <v>6343</v>
      </c>
      <c r="C868" s="0" t="s">
        <v>395</v>
      </c>
      <c r="D868" s="37" t="n">
        <f aca="false">IF(Gap!E269="","",Gap!E269)</f>
        <v>17.41711206</v>
      </c>
      <c r="E868" s="37" t="n">
        <f aca="false">IF(Gap!F269="","",Gap!F269)</f>
        <v>28.81951562</v>
      </c>
      <c r="F868" s="37" t="n">
        <f aca="false">IF(Gap!G269="","",Gap!G269)</f>
        <v>47.9562925874739</v>
      </c>
      <c r="G868" s="37" t="n">
        <f aca="false">IF(Gap!H269="","",Gap!H269)</f>
        <v>69.0888933126286</v>
      </c>
      <c r="H868" s="37" t="n">
        <f aca="false">IF(Gap!I269="","",Gap!I269)</f>
        <v>42.5307689239494</v>
      </c>
      <c r="I868" s="37" t="n">
        <f aca="false">IF(Gap!J269="","",Gap!J269)</f>
        <v>47.1371201914951</v>
      </c>
      <c r="J868" s="37" t="n">
        <f aca="false">IF(Gap!K269="","",Gap!K269)</f>
        <v>51.7749260074151</v>
      </c>
      <c r="M868" s="21" t="s">
        <v>6344</v>
      </c>
    </row>
    <row r="869" customFormat="false" ht="17.15" hidden="false" customHeight="false" outlineLevel="0" collapsed="false">
      <c r="A869" s="0" t="s">
        <v>6345</v>
      </c>
      <c r="B869" s="0" t="s">
        <v>6346</v>
      </c>
      <c r="C869" s="0" t="s">
        <v>395</v>
      </c>
      <c r="D869" s="37" t="n">
        <f aca="false">IF(Gap!E287="","",Gap!E287)</f>
        <v>17.41711206</v>
      </c>
      <c r="E869" s="37" t="n">
        <f aca="false">IF(Gap!F287="","",Gap!F287)</f>
        <v>28.81951562</v>
      </c>
      <c r="F869" s="37" t="n">
        <f aca="false">IF(Gap!G287="","",Gap!G287)</f>
        <v>47.9562925874739</v>
      </c>
      <c r="G869" s="37" t="n">
        <f aca="false">IF(Gap!H287="","",Gap!H287)</f>
        <v>39.363041</v>
      </c>
      <c r="H869" s="37" t="n">
        <f aca="false">IF(Gap!I287="","",Gap!I287)</f>
        <v>32.512194</v>
      </c>
      <c r="I869" s="37" t="n">
        <f aca="false">IF(Gap!J287="","",Gap!J287)</f>
        <v>32.700126</v>
      </c>
      <c r="J869" s="37" t="n">
        <f aca="false">IF(Gap!K287="","",Gap!K287)</f>
        <v>37.022557</v>
      </c>
      <c r="M869" s="21" t="s">
        <v>6347</v>
      </c>
    </row>
    <row r="870" customFormat="false" ht="17.15" hidden="false" customHeight="false" outlineLevel="0" collapsed="false">
      <c r="A870" s="0" t="s">
        <v>6348</v>
      </c>
      <c r="B870" s="0" t="s">
        <v>6349</v>
      </c>
      <c r="C870" s="0" t="s">
        <v>395</v>
      </c>
      <c r="D870" s="37" t="n">
        <f aca="false">IF(Gap!G302="","",Gap!G302)</f>
        <v>3.127</v>
      </c>
      <c r="M870" s="21" t="s">
        <v>6350</v>
      </c>
    </row>
    <row r="871" customFormat="false" ht="17.15" hidden="false" customHeight="false" outlineLevel="0" collapsed="false">
      <c r="A871" s="0" t="s">
        <v>6351</v>
      </c>
      <c r="B871" s="0" t="s">
        <v>6352</v>
      </c>
      <c r="C871" s="0" t="s">
        <v>395</v>
      </c>
      <c r="D871" s="37" t="n">
        <f aca="false">IF(Gap!G298+Gap!G299="","",Gap!G298+Gap!G299)</f>
        <v>0</v>
      </c>
      <c r="M871" s="21" t="s">
        <v>6353</v>
      </c>
    </row>
    <row r="872" customFormat="false" ht="17.15" hidden="false" customHeight="false" outlineLevel="0" collapsed="false">
      <c r="A872" s="0" t="s">
        <v>6354</v>
      </c>
      <c r="B872" s="0" t="s">
        <v>6355</v>
      </c>
      <c r="C872" s="5" t="s">
        <v>5644</v>
      </c>
      <c r="D872" s="20" t="str">
        <f aca="false">IF(Gap!D525="","",Gap!D525)</f>
        <v>OpenAI 型</v>
      </c>
      <c r="M872" s="21" t="s">
        <v>6356</v>
      </c>
    </row>
    <row r="873" customFormat="false" ht="17.15" hidden="false" customHeight="false" outlineLevel="0" collapsed="false">
      <c r="A873" s="0" t="s">
        <v>6357</v>
      </c>
      <c r="B873" s="0" t="s">
        <v>6358</v>
      </c>
      <c r="C873" s="0" t="s">
        <v>395</v>
      </c>
      <c r="D873" s="37" t="str">
        <f aca="false">IF(Gap!E329="","",Gap!E329)</f>
        <v/>
      </c>
      <c r="E873" s="37" t="str">
        <f aca="false">IF(Gap!F329="","",Gap!F329)</f>
        <v/>
      </c>
      <c r="F873" s="37" t="n">
        <f aca="false">IF(Gap!G329="","",Gap!G329)</f>
        <v>11.180806</v>
      </c>
      <c r="G873" s="37" t="n">
        <f aca="false">IF(Gap!H329="","",Gap!H329)</f>
        <v>9.724413</v>
      </c>
      <c r="H873" s="37" t="n">
        <f aca="false">IF(Gap!I329="","",Gap!I329)</f>
        <v>10.91293</v>
      </c>
      <c r="I873" s="37" t="n">
        <f aca="false">IF(Gap!J329="","",Gap!J329)</f>
        <v>11.913019</v>
      </c>
      <c r="J873" s="37" t="n">
        <f aca="false">IF(Gap!K329="","",Gap!K329)</f>
        <v>12.152047</v>
      </c>
      <c r="M873" s="21" t="s">
        <v>6359</v>
      </c>
    </row>
    <row r="874" customFormat="false" ht="17.15" hidden="false" customHeight="false" outlineLevel="0" collapsed="false">
      <c r="A874" s="0" t="s">
        <v>6360</v>
      </c>
      <c r="B874" s="0" t="s">
        <v>6361</v>
      </c>
      <c r="C874" s="0" t="s">
        <v>395</v>
      </c>
      <c r="D874" s="37" t="n">
        <f aca="false">IF(Gap!E331="","",Gap!E331)</f>
        <v>4.62455</v>
      </c>
      <c r="E874" s="37" t="n">
        <f aca="false">IF(Gap!F331="","",Gap!F331)</f>
        <v>7.13434628694566</v>
      </c>
      <c r="F874" s="37" t="n">
        <f aca="false">IF(Gap!G331="","",Gap!G331)</f>
        <v>30.4137547390869</v>
      </c>
      <c r="G874" s="37" t="n">
        <f aca="false">IF(Gap!H331="","",Gap!H331)</f>
        <v>22.6919559009341</v>
      </c>
      <c r="H874" s="37" t="n">
        <f aca="false">IF(Gap!I331="","",Gap!I331)</f>
        <v>31.3908549934326</v>
      </c>
      <c r="I874" s="37" t="n">
        <f aca="false">IF(Gap!J331="","",Gap!J331)</f>
        <v>35.4615305385029</v>
      </c>
      <c r="J874" s="37" t="n">
        <f aca="false">IF(Gap!K331="","",Gap!K331)</f>
        <v>39.6504899244881</v>
      </c>
      <c r="M874" s="21" t="s">
        <v>6362</v>
      </c>
    </row>
    <row r="875" customFormat="false" ht="17.15" hidden="false" customHeight="false" outlineLevel="0" collapsed="false">
      <c r="A875" s="0" t="s">
        <v>6363</v>
      </c>
      <c r="B875" s="0" t="s">
        <v>6364</v>
      </c>
      <c r="C875" s="0" t="s">
        <v>395</v>
      </c>
      <c r="D875" s="37" t="n">
        <f aca="false">IF(Gap!E321="","",Gap!E321)</f>
        <v>0</v>
      </c>
      <c r="E875" s="37" t="n">
        <f aca="false">IF(Gap!F321="","",Gap!F321)</f>
        <v>0.6099</v>
      </c>
      <c r="F875" s="37" t="n">
        <f aca="false">IF(Gap!G321="","",Gap!G321)</f>
        <v>3.375</v>
      </c>
      <c r="G875" s="37" t="n">
        <f aca="false">IF(Gap!H321="","",Gap!H321)</f>
        <v>4.08645</v>
      </c>
      <c r="H875" s="37" t="n">
        <f aca="false">IF(Gap!I321="","",Gap!I321)</f>
        <v>5.7585</v>
      </c>
      <c r="I875" s="37" t="n">
        <f aca="false">IF(Gap!J321="","",Gap!J321)</f>
        <v>6.33435</v>
      </c>
      <c r="J875" s="37" t="n">
        <f aca="false">IF(Gap!K321="","",Gap!K321)</f>
        <v>6.967785</v>
      </c>
      <c r="M875" s="21" t="s">
        <v>6365</v>
      </c>
    </row>
    <row r="876" customFormat="false" ht="17.15" hidden="false" customHeight="false" outlineLevel="0" collapsed="false">
      <c r="A876" s="0" t="s">
        <v>6366</v>
      </c>
      <c r="B876" s="0" t="s">
        <v>6367</v>
      </c>
      <c r="C876" s="0" t="s">
        <v>395</v>
      </c>
      <c r="D876" s="37" t="str">
        <f aca="false">IF(Gap!E337="","",Gap!E337)</f>
        <v/>
      </c>
      <c r="E876" s="37" t="str">
        <f aca="false">IF(Gap!F337="","",Gap!F337)</f>
        <v/>
      </c>
      <c r="F876" s="37" t="n">
        <f aca="false">IF(Gap!G337="","",Gap!G337)</f>
        <v>22.6079487390869</v>
      </c>
      <c r="G876" s="37" t="n">
        <f aca="false">IF(Gap!H337="","",Gap!H337)</f>
        <v>17.0539929009341</v>
      </c>
      <c r="H876" s="37" t="n">
        <f aca="false">IF(Gap!I337="","",Gap!I337)</f>
        <v>26.2364249934326</v>
      </c>
      <c r="I876" s="37" t="n">
        <f aca="false">IF(Gap!J337="","",Gap!J337)</f>
        <v>29.8828615385029</v>
      </c>
      <c r="J876" s="37" t="n">
        <f aca="false">IF(Gap!K337="","",Gap!K337)</f>
        <v>34.4662279244881</v>
      </c>
      <c r="M876" s="21" t="s">
        <v>6368</v>
      </c>
    </row>
    <row r="877" customFormat="false" ht="17.15" hidden="false" customHeight="false" outlineLevel="0" collapsed="false">
      <c r="A877" s="0" t="s">
        <v>6369</v>
      </c>
      <c r="B877" s="0" t="s">
        <v>6370</v>
      </c>
      <c r="C877" s="0" t="s">
        <v>41</v>
      </c>
      <c r="D877" s="36" t="str">
        <f aca="false">IF(Gap!E336="","",Gap!E336)</f>
        <v/>
      </c>
      <c r="E877" s="36" t="str">
        <f aca="false">IF(Gap!F336="","",Gap!F336)</f>
        <v/>
      </c>
      <c r="F877" s="36" t="n">
        <f aca="false">IF(Gap!G336="","",Gap!G336)</f>
        <v>0.330903168416149</v>
      </c>
      <c r="G877" s="36" t="n">
        <f aca="false">IF(Gap!H336="","",Gap!H336)</f>
        <v>0.363143834475255</v>
      </c>
      <c r="H877" s="36" t="n">
        <f aca="false">IF(Gap!I336="","",Gap!I336)</f>
        <v>0.293758263149636</v>
      </c>
      <c r="I877" s="36" t="n">
        <f aca="false">IF(Gap!J336="","",Gap!J336)</f>
        <v>0.285028544596054</v>
      </c>
      <c r="J877" s="36" t="n">
        <f aca="false">IF(Gap!K336="","",Gap!K336)</f>
        <v>0.260671314408004</v>
      </c>
      <c r="M877" s="21" t="s">
        <v>6371</v>
      </c>
    </row>
    <row r="878" customFormat="false" ht="17.15" hidden="false" customHeight="false" outlineLevel="0" collapsed="false">
      <c r="A878" s="0" t="s">
        <v>6372</v>
      </c>
      <c r="B878" s="0" t="s">
        <v>6373</v>
      </c>
      <c r="C878" s="0" t="s">
        <v>395</v>
      </c>
      <c r="D878" s="37" t="str">
        <f aca="false">IF(Gap!E334="","",Gap!E334)</f>
        <v/>
      </c>
      <c r="E878" s="37" t="str">
        <f aca="false">IF(Gap!F334="","",Gap!F334)</f>
        <v/>
      </c>
      <c r="F878" s="37" t="str">
        <f aca="false">IF(Gap!G334="","",Gap!G334)</f>
        <v/>
      </c>
      <c r="G878" s="37" t="str">
        <f aca="false">IF(Gap!H334="","",Gap!H334)</f>
        <v/>
      </c>
      <c r="H878" s="37" t="str">
        <f aca="false">IF(Gap!I334="","",Gap!I334)</f>
        <v/>
      </c>
      <c r="I878" s="37" t="str">
        <f aca="false">IF(Gap!J334="","",Gap!J334)</f>
        <v/>
      </c>
      <c r="J878" s="37" t="str">
        <f aca="false">IF(Gap!K334="","",Gap!K334)</f>
        <v/>
      </c>
      <c r="M878" s="21" t="s">
        <v>6374</v>
      </c>
    </row>
    <row r="879" customFormat="false" ht="17.15" hidden="false" customHeight="false" outlineLevel="0" collapsed="false">
      <c r="A879" s="0" t="s">
        <v>6375</v>
      </c>
      <c r="B879" s="0" t="s">
        <v>6376</v>
      </c>
      <c r="C879" s="0" t="s">
        <v>395</v>
      </c>
      <c r="D879" s="37" t="str">
        <f aca="false">IF(Gap!E325="","",Gap!E325)</f>
        <v/>
      </c>
      <c r="E879" s="37" t="str">
        <f aca="false">IF(Gap!F325="","",Gap!F325)</f>
        <v/>
      </c>
      <c r="F879" s="37" t="n">
        <f aca="false">IF(Gap!G325="","",Gap!G325)</f>
        <v>26.04619</v>
      </c>
      <c r="G879" s="37" t="n">
        <f aca="false">IF(Gap!H325="","",Gap!H325)</f>
        <v>27.597437</v>
      </c>
      <c r="H879" s="37" t="n">
        <f aca="false">IF(Gap!I325="","",Gap!I325)</f>
        <v>29.148684</v>
      </c>
      <c r="I879" s="37" t="n">
        <f aca="false">IF(Gap!J325="","",Gap!J325)</f>
        <v>29.148684</v>
      </c>
      <c r="J879" s="37" t="n">
        <f aca="false">IF(Gap!K325="","",Gap!K325)</f>
        <v>37.692264</v>
      </c>
      <c r="M879" s="21" t="s">
        <v>6377</v>
      </c>
    </row>
    <row r="880" customFormat="false" ht="17.15" hidden="false" customHeight="false" outlineLevel="0" collapsed="false">
      <c r="A880" s="0" t="s">
        <v>6378</v>
      </c>
      <c r="B880" s="0" t="s">
        <v>6379</v>
      </c>
      <c r="C880" s="0" t="s">
        <v>395</v>
      </c>
      <c r="D880" s="37" t="n">
        <f aca="false">IF(Gap!E314="","",Gap!E314)</f>
        <v>4.62455</v>
      </c>
      <c r="E880" s="37" t="n">
        <f aca="false">IF(Gap!F314="","",Gap!F314)</f>
        <v>7.13434628694566</v>
      </c>
      <c r="F880" s="37" t="n">
        <f aca="false">IF(Gap!G314="","",Gap!G314)</f>
        <v>30.4137547390869</v>
      </c>
      <c r="G880" s="37" t="n">
        <f aca="false">IF(Gap!H314="","",Gap!H314)</f>
        <v>22.6919559009341</v>
      </c>
      <c r="H880" s="37" t="n">
        <f aca="false">IF(Gap!I314="","",Gap!I314)</f>
        <v>31.3908549934326</v>
      </c>
      <c r="I880" s="37" t="n">
        <f aca="false">IF(Gap!J314="","",Gap!J314)</f>
        <v>35.4615305385029</v>
      </c>
      <c r="J880" s="37" t="n">
        <f aca="false">IF(Gap!K314="","",Gap!K314)</f>
        <v>39.6504899244881</v>
      </c>
      <c r="M880" s="21" t="s">
        <v>6380</v>
      </c>
    </row>
    <row r="881" customFormat="false" ht="17.15" hidden="false" customHeight="false" outlineLevel="0" collapsed="false">
      <c r="A881" s="0" t="s">
        <v>6381</v>
      </c>
      <c r="B881" s="0" t="s">
        <v>6382</v>
      </c>
      <c r="C881" s="0" t="s">
        <v>395</v>
      </c>
      <c r="D881" s="37" t="n">
        <f aca="false">IF(Gap!E332="","",Gap!E332)</f>
        <v>4.62455</v>
      </c>
      <c r="E881" s="37" t="n">
        <f aca="false">IF(Gap!F332="","",Gap!F332)</f>
        <v>7.13434628694566</v>
      </c>
      <c r="F881" s="37" t="n">
        <f aca="false">IF(Gap!G332="","",Gap!G332)</f>
        <v>30.4137547390869</v>
      </c>
      <c r="G881" s="37" t="n">
        <f aca="false">IF(Gap!H332="","",Gap!H332)</f>
        <v>27.597437</v>
      </c>
      <c r="H881" s="37" t="n">
        <f aca="false">IF(Gap!I332="","",Gap!I332)</f>
        <v>29.148684</v>
      </c>
      <c r="I881" s="37" t="n">
        <f aca="false">IF(Gap!J332="","",Gap!J332)</f>
        <v>29.148684</v>
      </c>
      <c r="J881" s="37" t="n">
        <f aca="false">IF(Gap!K332="","",Gap!K332)</f>
        <v>37.692264</v>
      </c>
      <c r="M881" s="21" t="s">
        <v>6383</v>
      </c>
    </row>
    <row r="882" customFormat="false" ht="17.15" hidden="false" customHeight="false" outlineLevel="0" collapsed="false">
      <c r="A882" s="0" t="s">
        <v>6384</v>
      </c>
      <c r="B882" s="0" t="s">
        <v>6385</v>
      </c>
      <c r="C882" s="0" t="s">
        <v>395</v>
      </c>
      <c r="D882" s="37" t="n">
        <f aca="false">IF(Gap!G347="","",Gap!G347)</f>
        <v>3.6781</v>
      </c>
      <c r="M882" s="21" t="s">
        <v>6386</v>
      </c>
    </row>
    <row r="883" customFormat="false" ht="17.15" hidden="false" customHeight="false" outlineLevel="0" collapsed="false">
      <c r="A883" s="0" t="s">
        <v>6387</v>
      </c>
      <c r="B883" s="0" t="s">
        <v>6388</v>
      </c>
      <c r="C883" s="0" t="s">
        <v>395</v>
      </c>
      <c r="D883" s="37" t="n">
        <f aca="false">IF(Gap!G343+Gap!G344="","",Gap!G343+Gap!G344)</f>
        <v>12.054</v>
      </c>
      <c r="M883" s="21" t="s">
        <v>6389</v>
      </c>
    </row>
    <row r="884" customFormat="false" ht="17.15" hidden="false" customHeight="false" outlineLevel="0" collapsed="false">
      <c r="A884" s="0" t="s">
        <v>6390</v>
      </c>
      <c r="B884" s="0" t="s">
        <v>6391</v>
      </c>
      <c r="C884" s="5" t="s">
        <v>5644</v>
      </c>
      <c r="D884" s="20" t="str">
        <f aca="false">IF(Gap!D526="","",Gap!D526)</f>
        <v>OpenAI 型</v>
      </c>
      <c r="M884" s="21" t="s">
        <v>6392</v>
      </c>
    </row>
    <row r="885" customFormat="false" ht="17.15" hidden="false" customHeight="false" outlineLevel="0" collapsed="false">
      <c r="A885" s="0" t="s">
        <v>6393</v>
      </c>
      <c r="B885" s="0" t="s">
        <v>6394</v>
      </c>
      <c r="C885" s="0" t="s">
        <v>395</v>
      </c>
      <c r="D885" s="37" t="str">
        <f aca="false">IF(Gap!E373="","",Gap!E373)</f>
        <v/>
      </c>
      <c r="E885" s="37" t="str">
        <f aca="false">IF(Gap!F373="","",Gap!F373)</f>
        <v/>
      </c>
      <c r="F885" s="37" t="n">
        <f aca="false">IF(Gap!G373="","",Gap!G373)</f>
        <v>0.10217</v>
      </c>
      <c r="G885" s="37" t="n">
        <f aca="false">IF(Gap!H373="","",Gap!H373)</f>
        <v>0.043523</v>
      </c>
      <c r="H885" s="37" t="n">
        <f aca="false">IF(Gap!I373="","",Gap!I373)</f>
        <v>0.01167</v>
      </c>
      <c r="I885" s="37" t="n">
        <f aca="false">IF(Gap!J373="","",Gap!J373)</f>
        <v>0.054481</v>
      </c>
      <c r="J885" s="37" t="n">
        <f aca="false">IF(Gap!K373="","",Gap!K373)</f>
        <v>0.089807</v>
      </c>
      <c r="M885" s="21" t="s">
        <v>6395</v>
      </c>
    </row>
    <row r="886" customFormat="false" ht="17.15" hidden="false" customHeight="false" outlineLevel="0" collapsed="false">
      <c r="A886" s="0" t="s">
        <v>6396</v>
      </c>
      <c r="B886" s="0" t="s">
        <v>6397</v>
      </c>
      <c r="C886" s="0" t="s">
        <v>395</v>
      </c>
      <c r="D886" s="37" t="n">
        <f aca="false">IF(Gap!E375="","",Gap!E375)</f>
        <v>0.05748379</v>
      </c>
      <c r="E886" s="37" t="n">
        <f aca="false">IF(Gap!F375="","",Gap!F375)</f>
        <v>0.06998908</v>
      </c>
      <c r="F886" s="37" t="n">
        <f aca="false">IF(Gap!G375="","",Gap!G375)</f>
        <v>0.31570421781984</v>
      </c>
      <c r="G886" s="37" t="n">
        <f aca="false">IF(Gap!H375="","",Gap!H375)</f>
        <v>0.0756839285427982</v>
      </c>
      <c r="H886" s="37" t="n">
        <f aca="false">IF(Gap!I375="","",Gap!I375)</f>
        <v>0.052368</v>
      </c>
      <c r="I886" s="37" t="n">
        <f aca="false">IF(Gap!J375="","",Gap!J375)</f>
        <v>0.05638</v>
      </c>
      <c r="J886" s="37" t="n">
        <f aca="false">IF(Gap!K375="","",Gap!K375)</f>
        <v>0.11197</v>
      </c>
      <c r="M886" s="21" t="s">
        <v>6398</v>
      </c>
    </row>
    <row r="887" customFormat="false" ht="17.15" hidden="false" customHeight="false" outlineLevel="0" collapsed="false">
      <c r="A887" s="0" t="s">
        <v>6399</v>
      </c>
      <c r="B887" s="0" t="s">
        <v>6400</v>
      </c>
      <c r="C887" s="0" t="s">
        <v>395</v>
      </c>
      <c r="D887" s="37" t="n">
        <f aca="false">IF(Gap!E366="","",Gap!E366)</f>
        <v>0</v>
      </c>
      <c r="E887" s="37" t="n">
        <f aca="false">IF(Gap!F366="","",Gap!F366)</f>
        <v>0</v>
      </c>
      <c r="F887" s="37" t="n">
        <f aca="false">IF(Gap!G366="","",Gap!G366)</f>
        <v>0</v>
      </c>
      <c r="G887" s="37" t="n">
        <f aca="false">IF(Gap!H366="","",Gap!H366)</f>
        <v>0</v>
      </c>
      <c r="H887" s="37" t="n">
        <f aca="false">IF(Gap!I366="","",Gap!I366)</f>
        <v>0</v>
      </c>
      <c r="I887" s="37" t="n">
        <f aca="false">IF(Gap!J366="","",Gap!J366)</f>
        <v>0</v>
      </c>
      <c r="J887" s="37" t="n">
        <f aca="false">IF(Gap!K366="","",Gap!K366)</f>
        <v>0</v>
      </c>
      <c r="M887" s="21" t="s">
        <v>6401</v>
      </c>
    </row>
    <row r="888" customFormat="false" ht="17.15" hidden="false" customHeight="false" outlineLevel="0" collapsed="false">
      <c r="A888" s="0" t="s">
        <v>6402</v>
      </c>
      <c r="B888" s="0" t="s">
        <v>6403</v>
      </c>
      <c r="C888" s="0" t="s">
        <v>395</v>
      </c>
      <c r="D888" s="37" t="str">
        <f aca="false">IF(Gap!E381="","",Gap!E381)</f>
        <v/>
      </c>
      <c r="E888" s="37" t="str">
        <f aca="false">IF(Gap!F381="","",Gap!F381)</f>
        <v/>
      </c>
      <c r="F888" s="37" t="n">
        <f aca="false">IF(Gap!G381="","",Gap!G381)</f>
        <v>0.21353421781984</v>
      </c>
      <c r="G888" s="37" t="n">
        <f aca="false">IF(Gap!H381="","",Gap!H381)</f>
        <v>0.0321609285427982</v>
      </c>
      <c r="H888" s="37" t="n">
        <f aca="false">IF(Gap!I381="","",Gap!I381)</f>
        <v>0.040698</v>
      </c>
      <c r="I888" s="37" t="n">
        <f aca="false">IF(Gap!J381="","",Gap!J381)</f>
        <v>0.001899</v>
      </c>
      <c r="J888" s="37" t="n">
        <f aca="false">IF(Gap!K381="","",Gap!K381)</f>
        <v>0.022163</v>
      </c>
      <c r="M888" s="21" t="s">
        <v>6404</v>
      </c>
    </row>
    <row r="889" customFormat="false" ht="17.15" hidden="false" customHeight="false" outlineLevel="0" collapsed="false">
      <c r="A889" s="0" t="s">
        <v>6405</v>
      </c>
      <c r="B889" s="0" t="s">
        <v>6406</v>
      </c>
      <c r="C889" s="0" t="s">
        <v>41</v>
      </c>
      <c r="D889" s="36" t="str">
        <f aca="false">IF(Gap!E380="","",Gap!E380)</f>
        <v/>
      </c>
      <c r="E889" s="36" t="str">
        <f aca="false">IF(Gap!F380="","",Gap!F380)</f>
        <v/>
      </c>
      <c r="F889" s="36" t="n">
        <f aca="false">IF(Gap!G380="","",Gap!G380)</f>
        <v>0.323625704799118</v>
      </c>
      <c r="G889" s="36" t="n">
        <f aca="false">IF(Gap!H380="","",Gap!H380)</f>
        <v>0.575062643258382</v>
      </c>
      <c r="H889" s="36" t="n">
        <f aca="false">IF(Gap!I380="","",Gap!I380)</f>
        <v>0.222846012832264</v>
      </c>
      <c r="I889" s="36" t="n">
        <f aca="false">IF(Gap!J380="","",Gap!J380)</f>
        <v>0.966317843206811</v>
      </c>
      <c r="J889" s="36" t="n">
        <f aca="false">IF(Gap!K380="","",Gap!K380)</f>
        <v>0.802063052603376</v>
      </c>
      <c r="M889" s="21" t="s">
        <v>6407</v>
      </c>
    </row>
    <row r="890" customFormat="false" ht="17.15" hidden="false" customHeight="false" outlineLevel="0" collapsed="false">
      <c r="A890" s="0" t="s">
        <v>6408</v>
      </c>
      <c r="B890" s="0" t="s">
        <v>6409</v>
      </c>
      <c r="C890" s="0" t="s">
        <v>395</v>
      </c>
      <c r="D890" s="37" t="str">
        <f aca="false">IF(Gap!E378="","",Gap!E378)</f>
        <v/>
      </c>
      <c r="E890" s="37" t="str">
        <f aca="false">IF(Gap!F378="","",Gap!F378)</f>
        <v/>
      </c>
      <c r="F890" s="37" t="n">
        <f aca="false">IF(Gap!G378="","",Gap!G378)</f>
        <v>0</v>
      </c>
      <c r="G890" s="37" t="n">
        <f aca="false">IF(Gap!H378="","",Gap!H378)</f>
        <v>0</v>
      </c>
      <c r="H890" s="37" t="n">
        <f aca="false">IF(Gap!I378="","",Gap!I378)</f>
        <v>0</v>
      </c>
      <c r="I890" s="37" t="n">
        <f aca="false">IF(Gap!J378="","",Gap!J378)</f>
        <v>0</v>
      </c>
      <c r="J890" s="37" t="n">
        <f aca="false">IF(Gap!K378="","",Gap!K378)</f>
        <v>0</v>
      </c>
      <c r="M890" s="21" t="s">
        <v>6410</v>
      </c>
    </row>
    <row r="891" customFormat="false" ht="17.15" hidden="false" customHeight="false" outlineLevel="0" collapsed="false">
      <c r="A891" s="0" t="s">
        <v>6411</v>
      </c>
      <c r="B891" s="0" t="s">
        <v>6412</v>
      </c>
      <c r="C891" s="0" t="s">
        <v>395</v>
      </c>
      <c r="D891" s="37" t="str">
        <f aca="false">IF(Gap!E370="","",Gap!E370)</f>
        <v/>
      </c>
      <c r="E891" s="37" t="str">
        <f aca="false">IF(Gap!F370="","",Gap!F370)</f>
        <v/>
      </c>
      <c r="F891" s="37" t="n">
        <f aca="false">IF(Gap!G370="","",Gap!G370)</f>
        <v>0.473244</v>
      </c>
      <c r="G891" s="37" t="n">
        <f aca="false">IF(Gap!H370="","",Gap!H370)</f>
        <v>0.427141</v>
      </c>
      <c r="H891" s="37" t="n">
        <f aca="false">IF(Gap!I370="","",Gap!I370)</f>
        <v>0.052368</v>
      </c>
      <c r="I891" s="37" t="n">
        <f aca="false">IF(Gap!J370="","",Gap!J370)</f>
        <v>0.05638</v>
      </c>
      <c r="J891" s="37" t="n">
        <f aca="false">IF(Gap!K370="","",Gap!K370)</f>
        <v>0.11197</v>
      </c>
      <c r="M891" s="21" t="s">
        <v>6413</v>
      </c>
    </row>
    <row r="892" customFormat="false" ht="17.15" hidden="false" customHeight="false" outlineLevel="0" collapsed="false">
      <c r="A892" s="0" t="s">
        <v>6414</v>
      </c>
      <c r="B892" s="0" t="s">
        <v>6415</v>
      </c>
      <c r="C892" s="0" t="s">
        <v>395</v>
      </c>
      <c r="D892" s="37" t="n">
        <f aca="false">IF(Gap!E359="","",Gap!E359)</f>
        <v>0.05748379</v>
      </c>
      <c r="E892" s="37" t="n">
        <f aca="false">IF(Gap!F359="","",Gap!F359)</f>
        <v>0.06998908</v>
      </c>
      <c r="F892" s="37" t="n">
        <f aca="false">IF(Gap!G359="","",Gap!G359)</f>
        <v>0.31570421781984</v>
      </c>
      <c r="G892" s="37" t="n">
        <f aca="false">IF(Gap!H359="","",Gap!H359)</f>
        <v>0.0756839285427982</v>
      </c>
      <c r="H892" s="37" t="n">
        <f aca="false">IF(Gap!I359="","",Gap!I359)</f>
        <v>0</v>
      </c>
      <c r="I892" s="37" t="n">
        <f aca="false">IF(Gap!J359="","",Gap!J359)</f>
        <v>0</v>
      </c>
      <c r="J892" s="37" t="n">
        <f aca="false">IF(Gap!K359="","",Gap!K359)</f>
        <v>0</v>
      </c>
      <c r="M892" s="21" t="s">
        <v>6416</v>
      </c>
    </row>
    <row r="893" customFormat="false" ht="17.15" hidden="false" customHeight="false" outlineLevel="0" collapsed="false">
      <c r="A893" s="0" t="s">
        <v>6417</v>
      </c>
      <c r="B893" s="0" t="s">
        <v>6418</v>
      </c>
      <c r="C893" s="0" t="s">
        <v>395</v>
      </c>
      <c r="D893" s="37" t="n">
        <f aca="false">IF(Gap!E376="","",Gap!E376)</f>
        <v>0.05748379</v>
      </c>
      <c r="E893" s="37" t="n">
        <f aca="false">IF(Gap!F376="","",Gap!F376)</f>
        <v>0.06998908</v>
      </c>
      <c r="F893" s="37" t="n">
        <f aca="false">IF(Gap!G376="","",Gap!G376)</f>
        <v>0.31570421781984</v>
      </c>
      <c r="G893" s="37" t="n">
        <f aca="false">IF(Gap!H376="","",Gap!H376)</f>
        <v>0.0756839285427982</v>
      </c>
      <c r="H893" s="37" t="n">
        <f aca="false">IF(Gap!I376="","",Gap!I376)</f>
        <v>0.052368</v>
      </c>
      <c r="I893" s="37" t="n">
        <f aca="false">IF(Gap!J376="","",Gap!J376)</f>
        <v>0.05638</v>
      </c>
      <c r="J893" s="37" t="n">
        <f aca="false">IF(Gap!K376="","",Gap!K376)</f>
        <v>0.11197</v>
      </c>
      <c r="M893" s="21" t="s">
        <v>6419</v>
      </c>
    </row>
    <row r="894" customFormat="false" ht="17.15" hidden="false" customHeight="false" outlineLevel="0" collapsed="false">
      <c r="A894" s="0" t="s">
        <v>6420</v>
      </c>
      <c r="B894" s="0" t="s">
        <v>6421</v>
      </c>
      <c r="C894" s="0" t="s">
        <v>395</v>
      </c>
      <c r="D894" s="37" t="n">
        <f aca="false">IF(Gap!G382="","",Gap!G382)</f>
        <v>0.114441</v>
      </c>
      <c r="M894" s="21" t="s">
        <v>6422</v>
      </c>
    </row>
    <row r="895" customFormat="false" ht="17.15" hidden="false" customHeight="false" outlineLevel="0" collapsed="false">
      <c r="A895" s="0" t="s">
        <v>6423</v>
      </c>
      <c r="B895" s="0" t="s">
        <v>6424</v>
      </c>
      <c r="C895" s="5" t="s">
        <v>5644</v>
      </c>
      <c r="D895" s="20" t="str">
        <f aca="false">IF(Gap!D527="","",Gap!D527)</f>
        <v>OpenAI 型</v>
      </c>
      <c r="M895" s="21" t="s">
        <v>6425</v>
      </c>
    </row>
    <row r="896" customFormat="false" ht="17.15" hidden="false" customHeight="false" outlineLevel="0" collapsed="false">
      <c r="A896" s="0" t="s">
        <v>6426</v>
      </c>
      <c r="B896" s="0" t="s">
        <v>6427</v>
      </c>
      <c r="C896" s="0" t="s">
        <v>395</v>
      </c>
      <c r="D896" s="37" t="str">
        <f aca="false">IF(Gap!E407="","",Gap!E407)</f>
        <v/>
      </c>
      <c r="E896" s="37" t="n">
        <f aca="false">IF(Gap!F407="","",Gap!F407)</f>
        <v>6.8</v>
      </c>
      <c r="F896" s="37" t="n">
        <f aca="false">IF(Gap!G407="","",Gap!G407)</f>
        <v>24.056468</v>
      </c>
      <c r="G896" s="37" t="n">
        <f aca="false">IF(Gap!H407="","",Gap!H407)</f>
        <v>68.835673</v>
      </c>
      <c r="H896" s="37" t="n">
        <f aca="false">IF(Gap!I407="","",Gap!I407)</f>
        <v>99.959296</v>
      </c>
      <c r="I896" s="37" t="n">
        <f aca="false">IF(Gap!J407="","",Gap!J407)</f>
        <v>120.470028</v>
      </c>
      <c r="J896" s="37" t="n">
        <f aca="false">IF(Gap!K407="","",Gap!K407)</f>
        <v>129.653278</v>
      </c>
      <c r="M896" s="21" t="s">
        <v>6428</v>
      </c>
    </row>
    <row r="897" customFormat="false" ht="17.15" hidden="false" customHeight="false" outlineLevel="0" collapsed="false">
      <c r="A897" s="0" t="s">
        <v>6429</v>
      </c>
      <c r="B897" s="0" t="s">
        <v>6430</v>
      </c>
      <c r="C897" s="0" t="s">
        <v>395</v>
      </c>
      <c r="D897" s="37" t="n">
        <f aca="false">IF(Gap!E409="","",Gap!E409)</f>
        <v>9.060317</v>
      </c>
      <c r="E897" s="37" t="n">
        <f aca="false">IF(Gap!F409="","",Gap!F409)</f>
        <v>12.766292</v>
      </c>
      <c r="F897" s="37" t="n">
        <f aca="false">IF(Gap!G409="","",Gap!G409)</f>
        <v>51.494723795232</v>
      </c>
      <c r="G897" s="37" t="n">
        <f aca="false">IF(Gap!H409="","",Gap!H409)</f>
        <v>22.4291277596439</v>
      </c>
      <c r="H897" s="37" t="n">
        <f aca="false">IF(Gap!I409="","",Gap!I409)</f>
        <v>144.12072</v>
      </c>
      <c r="I897" s="37" t="n">
        <f aca="false">IF(Gap!J409="","",Gap!J409)</f>
        <v>111.172527</v>
      </c>
      <c r="J897" s="37" t="n">
        <f aca="false">IF(Gap!K409="","",Gap!K409)</f>
        <v>90.160889</v>
      </c>
      <c r="M897" s="21" t="s">
        <v>6431</v>
      </c>
    </row>
    <row r="898" customFormat="false" ht="17.15" hidden="false" customHeight="false" outlineLevel="0" collapsed="false">
      <c r="A898" s="0" t="s">
        <v>6432</v>
      </c>
      <c r="B898" s="0" t="s">
        <v>6433</v>
      </c>
      <c r="C898" s="0" t="s">
        <v>395</v>
      </c>
      <c r="D898" s="37" t="n">
        <f aca="false">IF(Gap!E400="","",Gap!E400)</f>
        <v>0</v>
      </c>
      <c r="E898" s="37" t="n">
        <f aca="false">IF(Gap!F400="","",Gap!F400)</f>
        <v>0</v>
      </c>
      <c r="F898" s="37" t="n">
        <f aca="false">IF(Gap!G400="","",Gap!G400)</f>
        <v>11.510881</v>
      </c>
      <c r="G898" s="37" t="n">
        <f aca="false">IF(Gap!H400="","",Gap!H400)</f>
        <v>14.509095</v>
      </c>
      <c r="H898" s="37" t="n">
        <f aca="false">IF(Gap!I400="","",Gap!I400)</f>
        <v>16.71983</v>
      </c>
      <c r="I898" s="37" t="n">
        <f aca="false">IF(Gap!J400="","",Gap!J400)</f>
        <v>18.386119</v>
      </c>
      <c r="J898" s="37" t="n">
        <f aca="false">IF(Gap!K400="","",Gap!K400)</f>
        <v>19.017069</v>
      </c>
      <c r="M898" s="21" t="s">
        <v>6434</v>
      </c>
    </row>
    <row r="899" customFormat="false" ht="17.15" hidden="false" customHeight="false" outlineLevel="0" collapsed="false">
      <c r="A899" s="0" t="s">
        <v>6435</v>
      </c>
      <c r="B899" s="0" t="s">
        <v>6436</v>
      </c>
      <c r="C899" s="0" t="s">
        <v>395</v>
      </c>
      <c r="D899" s="37" t="str">
        <f aca="false">IF(Gap!E415="","",Gap!E415)</f>
        <v/>
      </c>
      <c r="E899" s="37" t="n">
        <f aca="false">IF(Gap!F415="","",Gap!F415)</f>
        <v>5.966292</v>
      </c>
      <c r="F899" s="37" t="n">
        <f aca="false">IF(Gap!G415="","",Gap!G415)</f>
        <v>38.949136795232</v>
      </c>
      <c r="G899" s="37" t="n">
        <f aca="false">IF(Gap!H415="","",Gap!H415)</f>
        <v>-31.8974502403561</v>
      </c>
      <c r="H899" s="37" t="n">
        <f aca="false">IF(Gap!I415="","",Gap!I415)</f>
        <v>60.881254</v>
      </c>
      <c r="I899" s="37" t="n">
        <f aca="false">IF(Gap!J415="","",Gap!J415)</f>
        <v>9.08861800000001</v>
      </c>
      <c r="J899" s="37" t="n">
        <f aca="false">IF(Gap!K415="","",Gap!K415)</f>
        <v>-20.47532</v>
      </c>
      <c r="M899" s="21" t="s">
        <v>6437</v>
      </c>
    </row>
    <row r="900" customFormat="false" ht="17.15" hidden="false" customHeight="false" outlineLevel="0" collapsed="false">
      <c r="A900" s="0" t="s">
        <v>6438</v>
      </c>
      <c r="B900" s="0" t="s">
        <v>6439</v>
      </c>
      <c r="C900" s="0" t="s">
        <v>41</v>
      </c>
      <c r="D900" s="36" t="str">
        <f aca="false">IF(Gap!E414="","",Gap!E414)</f>
        <v/>
      </c>
      <c r="E900" s="36" t="n">
        <f aca="false">IF(Gap!F414="","",Gap!F414)</f>
        <v>0.532652707614709</v>
      </c>
      <c r="F900" s="36" t="n">
        <f aca="false">IF(Gap!G414="","",Gap!G414)</f>
        <v>0.381814730263814</v>
      </c>
      <c r="G900" s="36" t="n">
        <f aca="false">IF(Gap!H414="","",Gap!H414)</f>
        <v>1.86353505548743</v>
      </c>
      <c r="H900" s="36" t="n">
        <f aca="false">IF(Gap!I414="","",Gap!I414)</f>
        <v>0.621480690037431</v>
      </c>
      <c r="I900" s="36" t="n">
        <f aca="false">IF(Gap!J414="","",Gap!J414)</f>
        <v>0.929849390367973</v>
      </c>
      <c r="J900" s="36" t="n">
        <f aca="false">IF(Gap!K414="","",Gap!K414)</f>
        <v>1.18754078547613</v>
      </c>
      <c r="M900" s="21" t="s">
        <v>6440</v>
      </c>
    </row>
    <row r="901" customFormat="false" ht="17.15" hidden="false" customHeight="false" outlineLevel="0" collapsed="false">
      <c r="A901" s="0" t="s">
        <v>6441</v>
      </c>
      <c r="B901" s="0" t="s">
        <v>6442</v>
      </c>
      <c r="C901" s="0" t="s">
        <v>395</v>
      </c>
      <c r="D901" s="37" t="str">
        <f aca="false">IF(Gap!E412="","",Gap!E412)</f>
        <v/>
      </c>
      <c r="E901" s="37" t="str">
        <f aca="false">IF(Gap!F412="","",Gap!F412)</f>
        <v/>
      </c>
      <c r="F901" s="37" t="str">
        <f aca="false">IF(Gap!G412="","",Gap!G412)</f>
        <v/>
      </c>
      <c r="G901" s="37" t="str">
        <f aca="false">IF(Gap!H412="","",Gap!H412)</f>
        <v/>
      </c>
      <c r="H901" s="37" t="str">
        <f aca="false">IF(Gap!I412="","",Gap!I412)</f>
        <v/>
      </c>
      <c r="I901" s="37" t="str">
        <f aca="false">IF(Gap!J412="","",Gap!J412)</f>
        <v/>
      </c>
      <c r="J901" s="37" t="str">
        <f aca="false">IF(Gap!K412="","",Gap!K412)</f>
        <v/>
      </c>
      <c r="M901" s="21" t="s">
        <v>6443</v>
      </c>
    </row>
    <row r="902" customFormat="false" ht="17.15" hidden="false" customHeight="false" outlineLevel="0" collapsed="false">
      <c r="A902" s="0" t="s">
        <v>6444</v>
      </c>
      <c r="B902" s="0" t="s">
        <v>6445</v>
      </c>
      <c r="C902" s="0" t="s">
        <v>395</v>
      </c>
      <c r="D902" s="37" t="str">
        <f aca="false">IF(Gap!E404="","",Gap!E404)</f>
        <v/>
      </c>
      <c r="E902" s="37" t="str">
        <f aca="false">IF(Gap!F404="","",Gap!F404)</f>
        <v/>
      </c>
      <c r="F902" s="37" t="n">
        <f aca="false">IF(Gap!G404="","",Gap!G404)</f>
        <v>74.058119</v>
      </c>
      <c r="G902" s="37" t="n">
        <f aca="false">IF(Gap!H404="","",Gap!H404)</f>
        <v>136.252477</v>
      </c>
      <c r="H902" s="37" t="n">
        <f aca="false">IF(Gap!I404="","",Gap!I404)</f>
        <v>144.12072</v>
      </c>
      <c r="I902" s="37" t="n">
        <f aca="false">IF(Gap!J404="","",Gap!J404)</f>
        <v>111.172527</v>
      </c>
      <c r="J902" s="37" t="n">
        <f aca="false">IF(Gap!K404="","",Gap!K404)</f>
        <v>90.160889</v>
      </c>
      <c r="M902" s="21" t="s">
        <v>6446</v>
      </c>
    </row>
    <row r="903" customFormat="false" ht="17.15" hidden="false" customHeight="false" outlineLevel="0" collapsed="false">
      <c r="A903" s="0" t="s">
        <v>6447</v>
      </c>
      <c r="B903" s="0" t="s">
        <v>6448</v>
      </c>
      <c r="C903" s="0" t="s">
        <v>395</v>
      </c>
      <c r="D903" s="37" t="n">
        <f aca="false">IF(Gap!E393="","",Gap!E393)</f>
        <v>9.060317</v>
      </c>
      <c r="E903" s="37" t="n">
        <f aca="false">IF(Gap!F393="","",Gap!F393)</f>
        <v>12.766292</v>
      </c>
      <c r="F903" s="37" t="n">
        <f aca="false">IF(Gap!G393="","",Gap!G393)</f>
        <v>51.494723795232</v>
      </c>
      <c r="G903" s="37" t="n">
        <f aca="false">IF(Gap!H393="","",Gap!H393)</f>
        <v>22.4291277596439</v>
      </c>
      <c r="H903" s="37" t="n">
        <f aca="false">IF(Gap!I393="","",Gap!I393)</f>
        <v>0</v>
      </c>
      <c r="I903" s="37" t="n">
        <f aca="false">IF(Gap!J393="","",Gap!J393)</f>
        <v>0</v>
      </c>
      <c r="J903" s="37" t="n">
        <f aca="false">IF(Gap!K393="","",Gap!K393)</f>
        <v>0</v>
      </c>
      <c r="M903" s="21" t="s">
        <v>6449</v>
      </c>
    </row>
    <row r="904" customFormat="false" ht="17.15" hidden="false" customHeight="false" outlineLevel="0" collapsed="false">
      <c r="A904" s="0" t="s">
        <v>6450</v>
      </c>
      <c r="B904" s="0" t="s">
        <v>6451</v>
      </c>
      <c r="C904" s="0" t="s">
        <v>395</v>
      </c>
      <c r="D904" s="37" t="n">
        <f aca="false">IF(Gap!E410="","",Gap!E410)</f>
        <v>9.060317</v>
      </c>
      <c r="E904" s="37" t="n">
        <f aca="false">IF(Gap!F410="","",Gap!F410)</f>
        <v>12.766292</v>
      </c>
      <c r="F904" s="37" t="n">
        <f aca="false">IF(Gap!G410="","",Gap!G410)</f>
        <v>51.494723795232</v>
      </c>
      <c r="G904" s="37" t="n">
        <f aca="false">IF(Gap!H410="","",Gap!H410)</f>
        <v>22.4291277596439</v>
      </c>
      <c r="H904" s="37" t="n">
        <f aca="false">IF(Gap!I410="","",Gap!I410)</f>
        <v>144.12072</v>
      </c>
      <c r="I904" s="37" t="n">
        <f aca="false">IF(Gap!J410="","",Gap!J410)</f>
        <v>111.172527</v>
      </c>
      <c r="J904" s="37" t="n">
        <f aca="false">IF(Gap!K410="","",Gap!K410)</f>
        <v>90.160889</v>
      </c>
      <c r="M904" s="21" t="s">
        <v>6452</v>
      </c>
    </row>
    <row r="905" customFormat="false" ht="17.15" hidden="false" customHeight="false" outlineLevel="0" collapsed="false">
      <c r="A905" s="0" t="s">
        <v>6453</v>
      </c>
      <c r="B905" s="0" t="s">
        <v>6454</v>
      </c>
      <c r="C905" s="0" t="s">
        <v>395</v>
      </c>
      <c r="D905" s="37" t="n">
        <f aca="false">IF(Gap!G425="","",Gap!G425)</f>
        <v>24.747</v>
      </c>
      <c r="M905" s="21" t="s">
        <v>6455</v>
      </c>
    </row>
    <row r="906" customFormat="false" ht="17.15" hidden="false" customHeight="false" outlineLevel="0" collapsed="false">
      <c r="A906" s="0" t="s">
        <v>6456</v>
      </c>
      <c r="B906" s="0" t="s">
        <v>6457</v>
      </c>
      <c r="C906" s="0" t="s">
        <v>395</v>
      </c>
      <c r="D906" s="37" t="n">
        <f aca="false">IF(Gap!G421+Gap!G422="","",Gap!G421+Gap!G422)</f>
        <v>0</v>
      </c>
      <c r="M906" s="21" t="s">
        <v>6458</v>
      </c>
    </row>
    <row r="907" customFormat="false" ht="17.15" hidden="false" customHeight="false" outlineLevel="0" collapsed="false">
      <c r="A907" s="0" t="s">
        <v>6459</v>
      </c>
      <c r="B907" s="0" t="s">
        <v>6460</v>
      </c>
      <c r="C907" s="5" t="s">
        <v>5644</v>
      </c>
      <c r="D907" s="20" t="str">
        <f aca="false">IF(Gap!D528="","",Gap!D528)</f>
        <v>Anthropic 型（2030 起轉正）</v>
      </c>
      <c r="M907" s="21" t="s">
        <v>6461</v>
      </c>
    </row>
    <row r="908" customFormat="false" ht="17.15" hidden="false" customHeight="false" outlineLevel="0" collapsed="false">
      <c r="A908" s="0" t="s">
        <v>6462</v>
      </c>
      <c r="B908" s="0" t="s">
        <v>6463</v>
      </c>
      <c r="C908" s="0" t="s">
        <v>395</v>
      </c>
      <c r="D908" s="37" t="str">
        <f aca="false">IF(Gap!E452="","",Gap!E452)</f>
        <v/>
      </c>
      <c r="E908" s="37" t="str">
        <f aca="false">IF(Gap!F452="","",Gap!F452)</f>
        <v/>
      </c>
      <c r="F908" s="37" t="n">
        <f aca="false">IF(Gap!G452="","",Gap!G452)</f>
        <v>-19.41593</v>
      </c>
      <c r="G908" s="37" t="n">
        <f aca="false">IF(Gap!H452="","",Gap!H452)</f>
        <v>-86.01732</v>
      </c>
      <c r="H908" s="37" t="n">
        <f aca="false">IF(Gap!I452="","",Gap!I452)</f>
        <v>-89.878131</v>
      </c>
      <c r="I908" s="37" t="n">
        <f aca="false">IF(Gap!J452="","",Gap!J452)</f>
        <v>-77.624622</v>
      </c>
      <c r="J908" s="37" t="n">
        <f aca="false">IF(Gap!K452="","",Gap!K452)</f>
        <v>-61.908809</v>
      </c>
      <c r="M908" s="21" t="s">
        <v>6464</v>
      </c>
    </row>
    <row r="909" customFormat="false" ht="17.15" hidden="false" customHeight="false" outlineLevel="0" collapsed="false">
      <c r="A909" s="0" t="s">
        <v>6465</v>
      </c>
      <c r="B909" s="0" t="s">
        <v>6466</v>
      </c>
      <c r="C909" s="0" t="s">
        <v>395</v>
      </c>
      <c r="D909" s="37" t="n">
        <f aca="false">IF(Gap!E454="","",Gap!E454)</f>
        <v>0</v>
      </c>
      <c r="E909" s="37" t="n">
        <f aca="false">IF(Gap!F454="","",Gap!F454)</f>
        <v>0</v>
      </c>
      <c r="F909" s="37" t="n">
        <f aca="false">IF(Gap!G454="","",Gap!G454)</f>
        <v>0</v>
      </c>
      <c r="G909" s="37" t="n">
        <f aca="false">IF(Gap!H454="","",Gap!H454)</f>
        <v>0</v>
      </c>
      <c r="H909" s="37" t="n">
        <f aca="false">IF(Gap!I454="","",Gap!I454)</f>
        <v>0</v>
      </c>
      <c r="I909" s="37" t="n">
        <f aca="false">IF(Gap!J454="","",Gap!J454)</f>
        <v>0</v>
      </c>
      <c r="J909" s="37" t="n">
        <f aca="false">IF(Gap!K454="","",Gap!K454)</f>
        <v>0</v>
      </c>
      <c r="M909" s="21" t="s">
        <v>6467</v>
      </c>
    </row>
    <row r="910" customFormat="false" ht="17.15" hidden="false" customHeight="false" outlineLevel="0" collapsed="false">
      <c r="A910" s="0" t="s">
        <v>6468</v>
      </c>
      <c r="B910" s="0" t="s">
        <v>6469</v>
      </c>
      <c r="C910" s="0" t="s">
        <v>395</v>
      </c>
      <c r="D910" s="37" t="n">
        <f aca="false">IF(Gap!E445="","",Gap!E445)</f>
        <v>0</v>
      </c>
      <c r="E910" s="37" t="n">
        <f aca="false">IF(Gap!F445="","",Gap!F445)</f>
        <v>0</v>
      </c>
      <c r="F910" s="37" t="n">
        <f aca="false">IF(Gap!G445="","",Gap!G445)</f>
        <v>0</v>
      </c>
      <c r="G910" s="37" t="n">
        <f aca="false">IF(Gap!H445="","",Gap!H445)</f>
        <v>0</v>
      </c>
      <c r="H910" s="37" t="n">
        <f aca="false">IF(Gap!I445="","",Gap!I445)</f>
        <v>0</v>
      </c>
      <c r="I910" s="37" t="n">
        <f aca="false">IF(Gap!J445="","",Gap!J445)</f>
        <v>0</v>
      </c>
      <c r="J910" s="37" t="n">
        <f aca="false">IF(Gap!K445="","",Gap!K445)</f>
        <v>0</v>
      </c>
      <c r="M910" s="21" t="s">
        <v>6470</v>
      </c>
    </row>
    <row r="911" customFormat="false" ht="17.15" hidden="false" customHeight="false" outlineLevel="0" collapsed="false">
      <c r="A911" s="0" t="s">
        <v>6471</v>
      </c>
      <c r="B911" s="0" t="s">
        <v>6472</v>
      </c>
      <c r="C911" s="0" t="s">
        <v>395</v>
      </c>
      <c r="D911" s="37" t="str">
        <f aca="false">IF(Gap!E460="","",Gap!E460)</f>
        <v/>
      </c>
      <c r="E911" s="37" t="str">
        <f aca="false">IF(Gap!F460="","",Gap!F460)</f>
        <v/>
      </c>
      <c r="F911" s="37" t="n">
        <f aca="false">IF(Gap!G460="","",Gap!G460)</f>
        <v>19.41593</v>
      </c>
      <c r="G911" s="37" t="n">
        <f aca="false">IF(Gap!H460="","",Gap!H460)</f>
        <v>86.01732</v>
      </c>
      <c r="H911" s="37" t="n">
        <f aca="false">IF(Gap!I460="","",Gap!I460)</f>
        <v>89.878131</v>
      </c>
      <c r="I911" s="37" t="n">
        <f aca="false">IF(Gap!J460="","",Gap!J460)</f>
        <v>77.624622</v>
      </c>
      <c r="J911" s="37" t="n">
        <f aca="false">IF(Gap!K460="","",Gap!K460)</f>
        <v>61.908809</v>
      </c>
      <c r="M911" s="21" t="s">
        <v>6473</v>
      </c>
    </row>
    <row r="912" customFormat="false" ht="17.15" hidden="false" customHeight="false" outlineLevel="0" collapsed="false">
      <c r="A912" s="0" t="s">
        <v>6474</v>
      </c>
      <c r="B912" s="0" t="s">
        <v>6475</v>
      </c>
      <c r="C912" s="0" t="s">
        <v>41</v>
      </c>
      <c r="D912" s="36" t="str">
        <f aca="false">IF(Gap!E459="","",Gap!E459)</f>
        <v/>
      </c>
      <c r="E912" s="36" t="str">
        <f aca="false">IF(Gap!F459="","",Gap!F459)</f>
        <v/>
      </c>
      <c r="F912" s="36" t="str">
        <f aca="false">IF(Gap!G459="","",Gap!G459)</f>
        <v/>
      </c>
      <c r="G912" s="36" t="str">
        <f aca="false">IF(Gap!H459="","",Gap!H459)</f>
        <v/>
      </c>
      <c r="H912" s="36" t="str">
        <f aca="false">IF(Gap!I459="","",Gap!I459)</f>
        <v/>
      </c>
      <c r="I912" s="36" t="str">
        <f aca="false">IF(Gap!J459="","",Gap!J459)</f>
        <v/>
      </c>
      <c r="J912" s="36" t="str">
        <f aca="false">IF(Gap!K459="","",Gap!K459)</f>
        <v/>
      </c>
      <c r="M912" s="21" t="s">
        <v>6476</v>
      </c>
    </row>
    <row r="913" customFormat="false" ht="17.15" hidden="false" customHeight="false" outlineLevel="0" collapsed="false">
      <c r="A913" s="0" t="s">
        <v>6477</v>
      </c>
      <c r="B913" s="0" t="s">
        <v>6478</v>
      </c>
      <c r="C913" s="0" t="s">
        <v>395</v>
      </c>
      <c r="D913" s="37" t="str">
        <f aca="false">IF(Gap!E457="","",Gap!E457)</f>
        <v/>
      </c>
      <c r="E913" s="37" t="str">
        <f aca="false">IF(Gap!F457="","",Gap!F457)</f>
        <v/>
      </c>
      <c r="F913" s="37" t="str">
        <f aca="false">IF(Gap!G457="","",Gap!G457)</f>
        <v/>
      </c>
      <c r="G913" s="37" t="str">
        <f aca="false">IF(Gap!H457="","",Gap!H457)</f>
        <v/>
      </c>
      <c r="H913" s="37" t="str">
        <f aca="false">IF(Gap!I457="","",Gap!I457)</f>
        <v/>
      </c>
      <c r="I913" s="37" t="str">
        <f aca="false">IF(Gap!J457="","",Gap!J457)</f>
        <v/>
      </c>
      <c r="J913" s="37" t="str">
        <f aca="false">IF(Gap!K457="","",Gap!K457)</f>
        <v/>
      </c>
      <c r="M913" s="21" t="s">
        <v>6479</v>
      </c>
    </row>
    <row r="914" customFormat="false" ht="17.15" hidden="false" customHeight="false" outlineLevel="0" collapsed="false">
      <c r="A914" s="0" t="s">
        <v>6480</v>
      </c>
      <c r="B914" s="0" t="s">
        <v>6481</v>
      </c>
      <c r="C914" s="0" t="s">
        <v>395</v>
      </c>
      <c r="D914" s="37" t="str">
        <f aca="false">IF(Gap!E449="","",Gap!E449)</f>
        <v/>
      </c>
      <c r="E914" s="37" t="str">
        <f aca="false">IF(Gap!F449="","",Gap!F449)</f>
        <v/>
      </c>
      <c r="F914" s="37" t="n">
        <f aca="false">IF(Gap!G449="","",Gap!G449)</f>
        <v>20</v>
      </c>
      <c r="G914" s="37" t="n">
        <f aca="false">IF(Gap!H449="","",Gap!H449)</f>
        <v>30</v>
      </c>
      <c r="H914" s="37" t="n">
        <f aca="false">IF(Gap!I449="","",Gap!I449)</f>
        <v>45</v>
      </c>
      <c r="I914" s="37" t="n">
        <f aca="false">IF(Gap!J449="","",Gap!J449)</f>
        <v>60</v>
      </c>
      <c r="J914" s="37" t="n">
        <f aca="false">IF(Gap!K449="","",Gap!K449)</f>
        <v>70</v>
      </c>
      <c r="M914" s="21" t="s">
        <v>6482</v>
      </c>
    </row>
    <row r="915" customFormat="false" ht="17.15" hidden="false" customHeight="false" outlineLevel="0" collapsed="false">
      <c r="A915" s="0" t="s">
        <v>6483</v>
      </c>
      <c r="B915" s="0" t="s">
        <v>6484</v>
      </c>
      <c r="C915" s="0" t="s">
        <v>395</v>
      </c>
      <c r="D915" s="37" t="n">
        <f aca="false">IF(Gap!E438="","",Gap!E438)</f>
        <v>0</v>
      </c>
      <c r="E915" s="37" t="n">
        <f aca="false">IF(Gap!F438="","",Gap!F438)</f>
        <v>0</v>
      </c>
      <c r="F915" s="37" t="n">
        <f aca="false">IF(Gap!G438="","",Gap!G438)</f>
        <v>0</v>
      </c>
      <c r="G915" s="37" t="n">
        <f aca="false">IF(Gap!H438="","",Gap!H438)</f>
        <v>0</v>
      </c>
      <c r="H915" s="37" t="n">
        <f aca="false">IF(Gap!I438="","",Gap!I438)</f>
        <v>0</v>
      </c>
      <c r="I915" s="37" t="n">
        <f aca="false">IF(Gap!J438="","",Gap!J438)</f>
        <v>0</v>
      </c>
      <c r="J915" s="37" t="n">
        <f aca="false">IF(Gap!K438="","",Gap!K438)</f>
        <v>0</v>
      </c>
      <c r="M915" s="21" t="s">
        <v>6485</v>
      </c>
    </row>
    <row r="916" customFormat="false" ht="17.15" hidden="false" customHeight="false" outlineLevel="0" collapsed="false">
      <c r="A916" s="0" t="s">
        <v>6486</v>
      </c>
      <c r="B916" s="0" t="s">
        <v>6487</v>
      </c>
      <c r="C916" s="0" t="s">
        <v>395</v>
      </c>
      <c r="D916" s="37" t="n">
        <f aca="false">IF(Gap!E455="","",Gap!E455)</f>
        <v>0</v>
      </c>
      <c r="E916" s="37" t="n">
        <f aca="false">IF(Gap!F455="","",Gap!F455)</f>
        <v>0</v>
      </c>
      <c r="F916" s="37" t="n">
        <f aca="false">IF(Gap!G455="","",Gap!G455)</f>
        <v>0</v>
      </c>
      <c r="G916" s="37" t="n">
        <f aca="false">IF(Gap!H455="","",Gap!H455)</f>
        <v>0</v>
      </c>
      <c r="H916" s="37" t="n">
        <f aca="false">IF(Gap!I455="","",Gap!I455)</f>
        <v>0</v>
      </c>
      <c r="I916" s="37" t="n">
        <f aca="false">IF(Gap!J455="","",Gap!J455)</f>
        <v>0</v>
      </c>
      <c r="J916" s="37" t="n">
        <f aca="false">IF(Gap!K455="","",Gap!K455)</f>
        <v>0</v>
      </c>
      <c r="M916" s="21" t="s">
        <v>6488</v>
      </c>
    </row>
    <row r="917" customFormat="false" ht="17.15" hidden="false" customHeight="false" outlineLevel="0" collapsed="false">
      <c r="A917" s="0" t="s">
        <v>6489</v>
      </c>
      <c r="B917" s="0" t="s">
        <v>6490</v>
      </c>
      <c r="C917" s="0" t="s">
        <v>395</v>
      </c>
      <c r="D917" s="37" t="n">
        <f aca="false">IF(Gap!G470="","",Gap!G470)</f>
        <v>40</v>
      </c>
      <c r="M917" s="21" t="s">
        <v>6491</v>
      </c>
    </row>
    <row r="918" customFormat="false" ht="17.15" hidden="false" customHeight="false" outlineLevel="0" collapsed="false">
      <c r="A918" s="0" t="s">
        <v>6492</v>
      </c>
      <c r="B918" s="0" t="s">
        <v>6493</v>
      </c>
      <c r="C918" s="0" t="s">
        <v>395</v>
      </c>
      <c r="D918" s="37" t="n">
        <f aca="false">IF(Gap!G466+Gap!G467="","",Gap!G466+Gap!G467)</f>
        <v>0</v>
      </c>
      <c r="M918" s="21" t="s">
        <v>6494</v>
      </c>
    </row>
    <row r="919" customFormat="false" ht="17.15" hidden="false" customHeight="false" outlineLevel="0" collapsed="false">
      <c r="A919" s="0" t="s">
        <v>6495</v>
      </c>
      <c r="B919" s="0" t="s">
        <v>6496</v>
      </c>
      <c r="C919" s="5" t="s">
        <v>5644</v>
      </c>
      <c r="D919" s="20" t="str">
        <f aca="false">IF(Gap!D529="","",Gap!D529)</f>
        <v>OpenAI 型</v>
      </c>
      <c r="M919" s="21" t="s">
        <v>6497</v>
      </c>
    </row>
    <row r="920" customFormat="false" ht="17.15" hidden="false" customHeight="false" outlineLevel="0" collapsed="false">
      <c r="A920" s="0" t="s">
        <v>6498</v>
      </c>
      <c r="B920" s="0" t="s">
        <v>6499</v>
      </c>
      <c r="C920" s="0" t="s">
        <v>395</v>
      </c>
      <c r="D920" s="37" t="str">
        <f aca="false">IF(Gap!E496="","",Gap!E496)</f>
        <v/>
      </c>
      <c r="E920" s="37" t="str">
        <f aca="false">IF(Gap!F496="","",Gap!F496)</f>
        <v/>
      </c>
      <c r="F920" s="37" t="n">
        <f aca="false">IF(Gap!G496="","",Gap!G496)</f>
        <v>14.065522</v>
      </c>
      <c r="G920" s="37" t="n">
        <f aca="false">IF(Gap!H496="","",Gap!H496)</f>
        <v>-1.858273</v>
      </c>
      <c r="H920" s="37" t="n">
        <f aca="false">IF(Gap!I496="","",Gap!I496)</f>
        <v>1.674789</v>
      </c>
      <c r="I920" s="37" t="n">
        <f aca="false">IF(Gap!J496="","",Gap!J496)</f>
        <v>47.554557</v>
      </c>
      <c r="J920" s="37" t="n">
        <f aca="false">IF(Gap!K496="","",Gap!K496)</f>
        <v>96.074285</v>
      </c>
      <c r="M920" s="21" t="s">
        <v>6500</v>
      </c>
    </row>
    <row r="921" customFormat="false" ht="17.15" hidden="false" customHeight="false" outlineLevel="0" collapsed="false">
      <c r="A921" s="0" t="s">
        <v>6501</v>
      </c>
      <c r="B921" s="0" t="s">
        <v>6502</v>
      </c>
      <c r="C921" s="0" t="s">
        <v>395</v>
      </c>
      <c r="D921" s="37" t="n">
        <f aca="false">IF(Gap!E498="","",Gap!E498)</f>
        <v>0</v>
      </c>
      <c r="E921" s="37" t="n">
        <f aca="false">IF(Gap!F498="","",Gap!F498)</f>
        <v>0</v>
      </c>
      <c r="F921" s="37" t="n">
        <f aca="false">IF(Gap!G498="","",Gap!G498)</f>
        <v>0</v>
      </c>
      <c r="G921" s="37" t="n">
        <f aca="false">IF(Gap!H498="","",Gap!H498)</f>
        <v>0</v>
      </c>
      <c r="H921" s="37" t="n">
        <f aca="false">IF(Gap!I498="","",Gap!I498)</f>
        <v>0</v>
      </c>
      <c r="I921" s="37" t="n">
        <f aca="false">IF(Gap!J498="","",Gap!J498)</f>
        <v>0</v>
      </c>
      <c r="J921" s="37" t="n">
        <f aca="false">IF(Gap!K498="","",Gap!K498)</f>
        <v>0</v>
      </c>
      <c r="M921" s="21" t="s">
        <v>6503</v>
      </c>
    </row>
    <row r="922" customFormat="false" ht="17.15" hidden="false" customHeight="false" outlineLevel="0" collapsed="false">
      <c r="A922" s="0" t="s">
        <v>6504</v>
      </c>
      <c r="B922" s="0" t="s">
        <v>6505</v>
      </c>
      <c r="C922" s="0" t="s">
        <v>395</v>
      </c>
      <c r="D922" s="37" t="n">
        <f aca="false">IF(Gap!E489="","",Gap!E489)</f>
        <v>0</v>
      </c>
      <c r="E922" s="37" t="n">
        <f aca="false">IF(Gap!F489="","",Gap!F489)</f>
        <v>0</v>
      </c>
      <c r="F922" s="37" t="n">
        <f aca="false">IF(Gap!G489="","",Gap!G489)</f>
        <v>0</v>
      </c>
      <c r="G922" s="37" t="n">
        <f aca="false">IF(Gap!H489="","",Gap!H489)</f>
        <v>0</v>
      </c>
      <c r="H922" s="37" t="n">
        <f aca="false">IF(Gap!I489="","",Gap!I489)</f>
        <v>0</v>
      </c>
      <c r="I922" s="37" t="n">
        <f aca="false">IF(Gap!J489="","",Gap!J489)</f>
        <v>0</v>
      </c>
      <c r="J922" s="37" t="n">
        <f aca="false">IF(Gap!K489="","",Gap!K489)</f>
        <v>0</v>
      </c>
      <c r="M922" s="21" t="s">
        <v>6506</v>
      </c>
    </row>
    <row r="923" customFormat="false" ht="17.15" hidden="false" customHeight="false" outlineLevel="0" collapsed="false">
      <c r="A923" s="0" t="s">
        <v>6507</v>
      </c>
      <c r="B923" s="0" t="s">
        <v>6508</v>
      </c>
      <c r="C923" s="0" t="s">
        <v>395</v>
      </c>
      <c r="D923" s="37" t="str">
        <f aca="false">IF(Gap!E504="","",Gap!E504)</f>
        <v/>
      </c>
      <c r="E923" s="37" t="str">
        <f aca="false">IF(Gap!F504="","",Gap!F504)</f>
        <v/>
      </c>
      <c r="F923" s="37" t="n">
        <f aca="false">IF(Gap!G504="","",Gap!G504)</f>
        <v>-14.065522</v>
      </c>
      <c r="G923" s="37" t="n">
        <f aca="false">IF(Gap!H504="","",Gap!H504)</f>
        <v>1.858273</v>
      </c>
      <c r="H923" s="37" t="n">
        <f aca="false">IF(Gap!I504="","",Gap!I504)</f>
        <v>-1.674789</v>
      </c>
      <c r="I923" s="37" t="n">
        <f aca="false">IF(Gap!J504="","",Gap!J504)</f>
        <v>-47.554557</v>
      </c>
      <c r="J923" s="37" t="n">
        <f aca="false">IF(Gap!K504="","",Gap!K504)</f>
        <v>-96.074285</v>
      </c>
      <c r="M923" s="21" t="s">
        <v>6509</v>
      </c>
    </row>
    <row r="924" customFormat="false" ht="17.15" hidden="false" customHeight="false" outlineLevel="0" collapsed="false">
      <c r="A924" s="0" t="s">
        <v>6510</v>
      </c>
      <c r="B924" s="0" t="s">
        <v>6511</v>
      </c>
      <c r="C924" s="0" t="s">
        <v>41</v>
      </c>
      <c r="D924" s="36" t="str">
        <f aca="false">IF(Gap!E503="","",Gap!E503)</f>
        <v/>
      </c>
      <c r="E924" s="36" t="str">
        <f aca="false">IF(Gap!F503="","",Gap!F503)</f>
        <v/>
      </c>
      <c r="F924" s="36" t="str">
        <f aca="false">IF(Gap!G503="","",Gap!G503)</f>
        <v/>
      </c>
      <c r="G924" s="36" t="str">
        <f aca="false">IF(Gap!H503="","",Gap!H503)</f>
        <v/>
      </c>
      <c r="H924" s="36" t="str">
        <f aca="false">IF(Gap!I503="","",Gap!I503)</f>
        <v/>
      </c>
      <c r="I924" s="36" t="str">
        <f aca="false">IF(Gap!J503="","",Gap!J503)</f>
        <v/>
      </c>
      <c r="J924" s="36" t="str">
        <f aca="false">IF(Gap!K503="","",Gap!K503)</f>
        <v/>
      </c>
      <c r="M924" s="21" t="s">
        <v>6512</v>
      </c>
    </row>
    <row r="925" customFormat="false" ht="17.15" hidden="false" customHeight="false" outlineLevel="0" collapsed="false">
      <c r="A925" s="0" t="s">
        <v>6513</v>
      </c>
      <c r="B925" s="0" t="s">
        <v>6514</v>
      </c>
      <c r="C925" s="0" t="s">
        <v>395</v>
      </c>
      <c r="D925" s="37" t="str">
        <f aca="false">IF(Gap!E501="","",Gap!E501)</f>
        <v/>
      </c>
      <c r="E925" s="37" t="str">
        <f aca="false">IF(Gap!F501="","",Gap!F501)</f>
        <v/>
      </c>
      <c r="F925" s="37" t="str">
        <f aca="false">IF(Gap!G501="","",Gap!G501)</f>
        <v/>
      </c>
      <c r="G925" s="37" t="str">
        <f aca="false">IF(Gap!H501="","",Gap!H501)</f>
        <v/>
      </c>
      <c r="H925" s="37" t="str">
        <f aca="false">IF(Gap!I501="","",Gap!I501)</f>
        <v/>
      </c>
      <c r="I925" s="37" t="str">
        <f aca="false">IF(Gap!J501="","",Gap!J501)</f>
        <v/>
      </c>
      <c r="J925" s="37" t="str">
        <f aca="false">IF(Gap!K501="","",Gap!K501)</f>
        <v/>
      </c>
      <c r="M925" s="21" t="s">
        <v>6515</v>
      </c>
    </row>
    <row r="926" customFormat="false" ht="17.15" hidden="false" customHeight="false" outlineLevel="0" collapsed="false">
      <c r="A926" s="0" t="s">
        <v>6516</v>
      </c>
      <c r="B926" s="0" t="s">
        <v>6517</v>
      </c>
      <c r="C926" s="0" t="s">
        <v>395</v>
      </c>
      <c r="D926" s="37" t="str">
        <f aca="false">IF(Gap!E493="","",Gap!E493)</f>
        <v/>
      </c>
      <c r="E926" s="37" t="str">
        <f aca="false">IF(Gap!F493="","",Gap!F493)</f>
        <v/>
      </c>
      <c r="F926" s="37" t="n">
        <f aca="false">IF(Gap!G493="","",Gap!G493)</f>
        <v>16.666667</v>
      </c>
      <c r="G926" s="37" t="n">
        <f aca="false">IF(Gap!H493="","",Gap!H493)</f>
        <v>16.666667</v>
      </c>
      <c r="H926" s="37" t="n">
        <f aca="false">IF(Gap!I493="","",Gap!I493)</f>
        <v>16.666667</v>
      </c>
      <c r="I926" s="37" t="n">
        <f aca="false">IF(Gap!J493="","",Gap!J493)</f>
        <v>0</v>
      </c>
      <c r="J926" s="37" t="n">
        <f aca="false">IF(Gap!K493="","",Gap!K493)</f>
        <v>0</v>
      </c>
      <c r="M926" s="21" t="s">
        <v>6518</v>
      </c>
    </row>
    <row r="927" customFormat="false" ht="17.15" hidden="false" customHeight="false" outlineLevel="0" collapsed="false">
      <c r="A927" s="0" t="s">
        <v>6519</v>
      </c>
      <c r="B927" s="0" t="s">
        <v>6520</v>
      </c>
      <c r="C927" s="0" t="s">
        <v>395</v>
      </c>
      <c r="D927" s="37" t="n">
        <f aca="false">IF(Gap!E482="","",Gap!E482)</f>
        <v>0</v>
      </c>
      <c r="E927" s="37" t="n">
        <f aca="false">IF(Gap!F482="","",Gap!F482)</f>
        <v>0</v>
      </c>
      <c r="F927" s="37" t="n">
        <f aca="false">IF(Gap!G482="","",Gap!G482)</f>
        <v>0</v>
      </c>
      <c r="G927" s="37" t="n">
        <f aca="false">IF(Gap!H482="","",Gap!H482)</f>
        <v>0</v>
      </c>
      <c r="H927" s="37" t="n">
        <f aca="false">IF(Gap!I482="","",Gap!I482)</f>
        <v>0</v>
      </c>
      <c r="I927" s="37" t="n">
        <f aca="false">IF(Gap!J482="","",Gap!J482)</f>
        <v>0</v>
      </c>
      <c r="J927" s="37" t="n">
        <f aca="false">IF(Gap!K482="","",Gap!K482)</f>
        <v>0</v>
      </c>
      <c r="M927" s="21" t="s">
        <v>6521</v>
      </c>
    </row>
    <row r="928" customFormat="false" ht="17.15" hidden="false" customHeight="false" outlineLevel="0" collapsed="false">
      <c r="A928" s="0" t="s">
        <v>6522</v>
      </c>
      <c r="B928" s="0" t="s">
        <v>6523</v>
      </c>
      <c r="C928" s="0" t="s">
        <v>395</v>
      </c>
      <c r="D928" s="37" t="n">
        <f aca="false">IF(Gap!E499="","",Gap!E499)</f>
        <v>0</v>
      </c>
      <c r="E928" s="37" t="n">
        <f aca="false">IF(Gap!F499="","",Gap!F499)</f>
        <v>0</v>
      </c>
      <c r="F928" s="37" t="n">
        <f aca="false">IF(Gap!G499="","",Gap!G499)</f>
        <v>0</v>
      </c>
      <c r="G928" s="37" t="n">
        <f aca="false">IF(Gap!H499="","",Gap!H499)</f>
        <v>0</v>
      </c>
      <c r="H928" s="37" t="n">
        <f aca="false">IF(Gap!I499="","",Gap!I499)</f>
        <v>0</v>
      </c>
      <c r="I928" s="37" t="n">
        <f aca="false">IF(Gap!J499="","",Gap!J499)</f>
        <v>0</v>
      </c>
      <c r="J928" s="37" t="n">
        <f aca="false">IF(Gap!K499="","",Gap!K499)</f>
        <v>0</v>
      </c>
      <c r="M928" s="21" t="s">
        <v>6524</v>
      </c>
    </row>
    <row r="929" customFormat="false" ht="17.15" hidden="false" customHeight="false" outlineLevel="0" collapsed="false">
      <c r="A929" s="0" t="s">
        <v>6525</v>
      </c>
      <c r="B929" s="0" t="s">
        <v>6526</v>
      </c>
      <c r="C929" s="0" t="s">
        <v>395</v>
      </c>
      <c r="D929" s="37" t="n">
        <f aca="false">IF(Gap!G514="","",Gap!G514)</f>
        <v>20.28</v>
      </c>
      <c r="M929" s="21" t="s">
        <v>6527</v>
      </c>
    </row>
    <row r="930" customFormat="false" ht="17.15" hidden="false" customHeight="false" outlineLevel="0" collapsed="false">
      <c r="A930" s="0" t="s">
        <v>6528</v>
      </c>
      <c r="B930" s="0" t="s">
        <v>6529</v>
      </c>
      <c r="C930" s="0" t="s">
        <v>395</v>
      </c>
      <c r="D930" s="37" t="n">
        <f aca="false">IF(Gap!G510+Gap!G511="","",Gap!G510+Gap!G511)</f>
        <v>0</v>
      </c>
      <c r="M930" s="21" t="s">
        <v>6530</v>
      </c>
    </row>
    <row r="931" customFormat="false" ht="17.15" hidden="false" customHeight="false" outlineLevel="0" collapsed="false">
      <c r="A931" s="0" t="s">
        <v>6531</v>
      </c>
      <c r="B931" s="0" t="s">
        <v>6532</v>
      </c>
      <c r="C931" s="5" t="s">
        <v>5644</v>
      </c>
      <c r="D931" s="20" t="str">
        <f aca="false">IF(Gap!D530="","",Gap!D530)</f>
        <v>Anthropic 型（2028 起轉正）</v>
      </c>
      <c r="M931" s="21" t="s">
        <v>6533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6534</v>
      </c>
    </row>
    <row r="3" customFormat="false" ht="15" hidden="false" customHeight="false" outlineLevel="0" collapsed="false">
      <c r="A3" s="7" t="s">
        <v>2091</v>
      </c>
      <c r="B3" s="6" t="s">
        <v>20</v>
      </c>
      <c r="C3" s="6" t="s">
        <v>6535</v>
      </c>
      <c r="D3" s="6" t="s">
        <v>6536</v>
      </c>
      <c r="E3" s="6" t="s">
        <v>1691</v>
      </c>
      <c r="F3" s="6" t="s">
        <v>6537</v>
      </c>
      <c r="G3" s="6" t="s">
        <v>6538</v>
      </c>
      <c r="H3" s="6" t="s">
        <v>25</v>
      </c>
    </row>
    <row r="4" customFormat="false" ht="17.15" hidden="false" customHeight="false" outlineLevel="0" collapsed="false">
      <c r="A4" s="0" t="s">
        <v>6539</v>
      </c>
      <c r="B4" s="0" t="s">
        <v>6540</v>
      </c>
      <c r="C4" s="0" t="n">
        <f aca="false">SUMPRODUCT(ISERROR(In!A1:AT384)*1)</f>
        <v>0</v>
      </c>
      <c r="F4" s="0" t="str">
        <f aca="false">IF(C4=0,"OK","ERROR")</f>
        <v>OK</v>
      </c>
      <c r="G4" s="5" t="s">
        <v>6541</v>
      </c>
    </row>
    <row r="5" customFormat="false" ht="17.15" hidden="false" customHeight="false" outlineLevel="0" collapsed="false">
      <c r="A5" s="0" t="s">
        <v>6542</v>
      </c>
      <c r="B5" s="0" t="s">
        <v>6543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6541</v>
      </c>
    </row>
    <row r="6" customFormat="false" ht="17.15" hidden="false" customHeight="false" outlineLevel="0" collapsed="false">
      <c r="A6" s="0" t="s">
        <v>6544</v>
      </c>
      <c r="B6" s="0" t="s">
        <v>6545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6541</v>
      </c>
    </row>
    <row r="7" customFormat="false" ht="17.15" hidden="false" customHeight="false" outlineLevel="0" collapsed="false">
      <c r="A7" s="0" t="s">
        <v>6546</v>
      </c>
      <c r="B7" s="0" t="s">
        <v>6547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6541</v>
      </c>
    </row>
    <row r="8" customFormat="false" ht="17.15" hidden="false" customHeight="false" outlineLevel="0" collapsed="false">
      <c r="A8" s="0" t="s">
        <v>6548</v>
      </c>
      <c r="B8" s="0" t="s">
        <v>6549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6541</v>
      </c>
    </row>
    <row r="9" customFormat="false" ht="17.15" hidden="false" customHeight="false" outlineLevel="0" collapsed="false">
      <c r="A9" s="0" t="s">
        <v>6550</v>
      </c>
      <c r="B9" s="0" t="s">
        <v>6551</v>
      </c>
      <c r="C9" s="0" t="n">
        <f aca="false">SUMPRODUCT(ISERROR(Pipeline!A1:AT251)*1)</f>
        <v>0</v>
      </c>
      <c r="F9" s="0" t="str">
        <f aca="false">IF(C9=0,"OK","ERROR")</f>
        <v>OK</v>
      </c>
      <c r="G9" s="5" t="s">
        <v>6541</v>
      </c>
    </row>
    <row r="10" customFormat="false" ht="17.15" hidden="false" customHeight="false" outlineLevel="0" collapsed="false">
      <c r="A10" s="0" t="s">
        <v>6552</v>
      </c>
      <c r="B10" s="0" t="s">
        <v>6553</v>
      </c>
      <c r="C10" s="0" t="n">
        <f aca="false">SUMPRODUCT(ISERROR(Deploy!A1:AT112)*1)</f>
        <v>0</v>
      </c>
      <c r="F10" s="0" t="str">
        <f aca="false">IF(C10=0,"OK","ERROR")</f>
        <v>OK</v>
      </c>
      <c r="G10" s="5" t="s">
        <v>6541</v>
      </c>
    </row>
    <row r="11" customFormat="false" ht="17.15" hidden="false" customHeight="false" outlineLevel="0" collapsed="false">
      <c r="A11" s="0" t="s">
        <v>6554</v>
      </c>
      <c r="B11" s="0" t="s">
        <v>6555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6541</v>
      </c>
    </row>
    <row r="12" customFormat="false" ht="17.15" hidden="false" customHeight="false" outlineLevel="0" collapsed="false">
      <c r="A12" s="0" t="s">
        <v>6556</v>
      </c>
      <c r="B12" s="0" t="s">
        <v>6557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6541</v>
      </c>
    </row>
    <row r="13" customFormat="false" ht="17.15" hidden="false" customHeight="false" outlineLevel="0" collapsed="false">
      <c r="A13" s="0" t="s">
        <v>6558</v>
      </c>
      <c r="B13" s="0" t="s">
        <v>6559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6541</v>
      </c>
    </row>
    <row r="14" customFormat="false" ht="17.15" hidden="false" customHeight="false" outlineLevel="0" collapsed="false">
      <c r="A14" s="0" t="s">
        <v>6560</v>
      </c>
      <c r="B14" s="0" t="s">
        <v>6561</v>
      </c>
      <c r="C14" s="0" t="n">
        <f aca="false">SUMPRODUCT(ISERROR(Interface!A1:AT934)*1)</f>
        <v>0</v>
      </c>
      <c r="F14" s="0" t="str">
        <f aca="false">IF(C14=0,"OK","ERROR")</f>
        <v>OK</v>
      </c>
      <c r="G14" s="5" t="s">
        <v>6541</v>
      </c>
    </row>
    <row r="15" customFormat="false" ht="17.15" hidden="false" customHeight="false" outlineLevel="0" collapsed="false">
      <c r="A15" s="0" t="s">
        <v>6562</v>
      </c>
      <c r="B15" s="0" t="s">
        <v>6563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6541</v>
      </c>
    </row>
    <row r="16" customFormat="false" ht="17.15" hidden="false" customHeight="false" outlineLevel="0" collapsed="false">
      <c r="A16" s="0" t="s">
        <v>6564</v>
      </c>
      <c r="B16" s="0" t="s">
        <v>6565</v>
      </c>
      <c r="C16" s="0" t="n">
        <f aca="false">SUMPRODUCT(ISERROR(Funding!A1:AT91)*1)</f>
        <v>0</v>
      </c>
      <c r="F16" s="0" t="str">
        <f aca="false">IF(C16=0,"OK","ERROR")</f>
        <v>OK</v>
      </c>
      <c r="G16" s="5" t="s">
        <v>6541</v>
      </c>
    </row>
    <row r="17" customFormat="false" ht="17.15" hidden="false" customHeight="false" outlineLevel="0" collapsed="false">
      <c r="A17" s="0" t="s">
        <v>6566</v>
      </c>
      <c r="B17" s="0" t="s">
        <v>6567</v>
      </c>
      <c r="C17" s="0" t="n">
        <f aca="false">SUMPRODUCT(ISERROR(FundRaw!A1:AT283)*1)</f>
        <v>0</v>
      </c>
      <c r="F17" s="0" t="str">
        <f aca="false">IF(C17=0,"OK","ERROR")</f>
        <v>OK</v>
      </c>
      <c r="G17" s="5" t="s">
        <v>6541</v>
      </c>
    </row>
    <row r="18" customFormat="false" ht="17.15" hidden="false" customHeight="false" outlineLevel="0" collapsed="false">
      <c r="A18" s="0" t="s">
        <v>6568</v>
      </c>
      <c r="B18" s="0" t="s">
        <v>6569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6541</v>
      </c>
    </row>
    <row r="19" customFormat="false" ht="17.15" hidden="false" customHeight="false" outlineLevel="0" collapsed="false">
      <c r="A19" s="0" t="s">
        <v>6570</v>
      </c>
      <c r="B19" s="0" t="s">
        <v>6571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6541</v>
      </c>
    </row>
    <row r="20" customFormat="false" ht="17.15" hidden="false" customHeight="false" outlineLevel="0" collapsed="false">
      <c r="A20" s="0" t="s">
        <v>6572</v>
      </c>
      <c r="B20" s="0" t="s">
        <v>6573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6541</v>
      </c>
    </row>
    <row r="21" customFormat="false" ht="17.15" hidden="false" customHeight="false" outlineLevel="0" collapsed="false">
      <c r="A21" s="0" t="s">
        <v>6574</v>
      </c>
      <c r="B21" s="0" t="s">
        <v>6575</v>
      </c>
      <c r="C21" s="0" t="n">
        <f aca="false">SUMPRODUCT(ISERROR(Gap!A1:AT903)*1)</f>
        <v>0</v>
      </c>
      <c r="F21" s="0" t="str">
        <f aca="false">IF(C21=0,"OK","ERROR")</f>
        <v>OK</v>
      </c>
      <c r="G21" s="5" t="s">
        <v>6541</v>
      </c>
    </row>
    <row r="22" customFormat="false" ht="17.15" hidden="false" customHeight="false" outlineLevel="0" collapsed="false">
      <c r="A22" s="0" t="s">
        <v>6576</v>
      </c>
      <c r="B22" s="0" t="s">
        <v>6577</v>
      </c>
      <c r="C22" s="0" t="n">
        <f aca="false">SUMPRODUCT(ABS(Matrix!L5:L19-Matrix!M5:M19))</f>
        <v>0</v>
      </c>
      <c r="F22" s="0" t="str">
        <f aca="false">IF(C22&lt;0.000000001,"OK","ERROR")</f>
        <v>OK</v>
      </c>
      <c r="G22" s="5" t="s">
        <v>6578</v>
      </c>
    </row>
    <row r="23" customFormat="false" ht="17.15" hidden="false" customHeight="false" outlineLevel="0" collapsed="false">
      <c r="A23" s="0" t="s">
        <v>6579</v>
      </c>
      <c r="B23" s="0" t="s">
        <v>6580</v>
      </c>
      <c r="C23" s="0" t="n">
        <f aca="false">SUM(Matrix!C20:K20)</f>
        <v>25.3371433333333</v>
      </c>
      <c r="D23" s="25" t="n">
        <f aca="false">Players!F307</f>
        <v>25.3371433333333</v>
      </c>
      <c r="E23" s="21" t="n">
        <f aca="false">C23-D23</f>
        <v>0</v>
      </c>
      <c r="F23" s="0" t="str">
        <f aca="false">IF(ABS(E23)&lt;0.000000001,"OK","ERROR")</f>
        <v>OK</v>
      </c>
      <c r="G23" s="5" t="s">
        <v>6578</v>
      </c>
    </row>
    <row r="24" customFormat="false" ht="17.15" hidden="false" customHeight="false" outlineLevel="0" collapsed="false">
      <c r="A24" s="0" t="s">
        <v>6581</v>
      </c>
      <c r="B24" s="0" t="s">
        <v>6582</v>
      </c>
      <c r="C24" s="0" t="n">
        <f aca="false">SUMPRODUCT(ABS(Matrix!L26:L40-Matrix!M26:M40))</f>
        <v>0</v>
      </c>
      <c r="F24" s="0" t="str">
        <f aca="false">IF(C24&lt;0.000000001,"OK","ERROR")</f>
        <v>OK</v>
      </c>
      <c r="G24" s="5" t="s">
        <v>6578</v>
      </c>
    </row>
    <row r="25" customFormat="false" ht="17.15" hidden="false" customHeight="false" outlineLevel="0" collapsed="false">
      <c r="A25" s="0" t="s">
        <v>6583</v>
      </c>
      <c r="B25" s="0" t="s">
        <v>6584</v>
      </c>
      <c r="C25" s="0" t="n">
        <f aca="false">SUM(Matrix!C41:K41)</f>
        <v>37.8525147943925</v>
      </c>
      <c r="D25" s="25" t="n">
        <f aca="false">Players!G307</f>
        <v>37.8525147943925</v>
      </c>
      <c r="E25" s="21" t="n">
        <f aca="false">C25-D25</f>
        <v>0</v>
      </c>
      <c r="F25" s="0" t="str">
        <f aca="false">IF(ABS(E25)&lt;0.000000001,"OK","ERROR")</f>
        <v>OK</v>
      </c>
      <c r="G25" s="5" t="s">
        <v>6578</v>
      </c>
    </row>
    <row r="26" customFormat="false" ht="17.15" hidden="false" customHeight="false" outlineLevel="0" collapsed="false">
      <c r="A26" s="0" t="s">
        <v>6585</v>
      </c>
      <c r="B26" s="0" t="s">
        <v>6586</v>
      </c>
      <c r="C26" s="0" t="n">
        <f aca="false">SUMPRODUCT(ABS(Matrix!L47:L61-Matrix!M47:M61))</f>
        <v>0</v>
      </c>
      <c r="F26" s="0" t="str">
        <f aca="false">IF(C26&lt;0.000000001,"OK","ERROR")</f>
        <v>OK</v>
      </c>
      <c r="G26" s="5" t="s">
        <v>6578</v>
      </c>
    </row>
    <row r="27" customFormat="false" ht="17.15" hidden="false" customHeight="false" outlineLevel="0" collapsed="false">
      <c r="A27" s="0" t="s">
        <v>6587</v>
      </c>
      <c r="B27" s="0" t="s">
        <v>6588</v>
      </c>
      <c r="C27" s="0" t="n">
        <f aca="false">SUM(Matrix!C62:K62)</f>
        <v>50.4556599188997</v>
      </c>
      <c r="D27" s="25" t="n">
        <f aca="false">Players!H307</f>
        <v>50.4556599188997</v>
      </c>
      <c r="E27" s="21" t="n">
        <f aca="false">C27-D27</f>
        <v>0</v>
      </c>
      <c r="F27" s="0" t="str">
        <f aca="false">IF(ABS(E27)&lt;0.000000001,"OK","ERROR")</f>
        <v>OK</v>
      </c>
      <c r="G27" s="5" t="s">
        <v>6578</v>
      </c>
    </row>
    <row r="28" customFormat="false" ht="17.15" hidden="false" customHeight="false" outlineLevel="0" collapsed="false">
      <c r="A28" s="0" t="s">
        <v>6589</v>
      </c>
      <c r="B28" s="0" t="s">
        <v>6590</v>
      </c>
      <c r="C28" s="25" t="n">
        <f aca="false">Pipeline!D241</f>
        <v>0.630578355681972</v>
      </c>
      <c r="D28" s="25" t="n">
        <f aca="false">Players!D307</f>
        <v>0.630578355681972</v>
      </c>
      <c r="E28" s="21" t="n">
        <f aca="false">C28-D28</f>
        <v>0</v>
      </c>
      <c r="F28" s="0" t="str">
        <f aca="false">IF(ABS(E28)&lt;=0.01,"OK","ERROR")</f>
        <v>OK</v>
      </c>
      <c r="G28" s="5" t="s">
        <v>6578</v>
      </c>
    </row>
    <row r="29" customFormat="false" ht="17.15" hidden="false" customHeight="false" outlineLevel="0" collapsed="false">
      <c r="A29" s="0" t="s">
        <v>6591</v>
      </c>
      <c r="B29" s="0" t="s">
        <v>6592</v>
      </c>
      <c r="C29" s="25" t="n">
        <f aca="false">Pipeline!E241</f>
        <v>6.20938570515285</v>
      </c>
      <c r="D29" s="25" t="n">
        <f aca="false">Players!E307</f>
        <v>6.20938570515285</v>
      </c>
      <c r="E29" s="21" t="n">
        <f aca="false">C29-D29</f>
        <v>0</v>
      </c>
      <c r="F29" s="0" t="str">
        <f aca="false">IF(ABS(E29)&lt;=0.01,"OK","ERROR")</f>
        <v>OK</v>
      </c>
      <c r="G29" s="5" t="s">
        <v>6578</v>
      </c>
    </row>
    <row r="30" customFormat="false" ht="17.15" hidden="false" customHeight="false" outlineLevel="0" collapsed="false">
      <c r="A30" s="0" t="s">
        <v>6593</v>
      </c>
      <c r="B30" s="0" t="s">
        <v>6594</v>
      </c>
      <c r="C30" s="25" t="n">
        <f aca="false">Pipeline!F241</f>
        <v>25.3371433333333</v>
      </c>
      <c r="D30" s="25" t="n">
        <f aca="false">Players!F307</f>
        <v>25.3371433333333</v>
      </c>
      <c r="E30" s="21" t="n">
        <f aca="false">C30-D30</f>
        <v>0</v>
      </c>
      <c r="F30" s="0" t="str">
        <f aca="false">IF(ABS(E30)&lt;=0.01,"OK","ERROR")</f>
        <v>OK</v>
      </c>
      <c r="G30" s="5" t="s">
        <v>6578</v>
      </c>
    </row>
    <row r="31" customFormat="false" ht="17.15" hidden="false" customHeight="false" outlineLevel="0" collapsed="false">
      <c r="A31" s="0" t="s">
        <v>6595</v>
      </c>
      <c r="B31" s="0" t="s">
        <v>6596</v>
      </c>
      <c r="C31" s="25" t="n">
        <f aca="false">Pipeline!G241</f>
        <v>37.8525147943925</v>
      </c>
      <c r="D31" s="25" t="n">
        <f aca="false">Players!G307</f>
        <v>37.8525147943925</v>
      </c>
      <c r="E31" s="21" t="n">
        <f aca="false">C31-D31</f>
        <v>0</v>
      </c>
      <c r="F31" s="0" t="str">
        <f aca="false">IF(ABS(E31)&lt;=0.01,"OK","ERROR")</f>
        <v>OK</v>
      </c>
      <c r="G31" s="5" t="s">
        <v>6578</v>
      </c>
    </row>
    <row r="32" customFormat="false" ht="17.15" hidden="false" customHeight="false" outlineLevel="0" collapsed="false">
      <c r="A32" s="0" t="s">
        <v>6597</v>
      </c>
      <c r="B32" s="0" t="s">
        <v>6598</v>
      </c>
      <c r="C32" s="25" t="n">
        <f aca="false">Pipeline!H241</f>
        <v>50.4556599188997</v>
      </c>
      <c r="D32" s="25" t="n">
        <f aca="false">Players!H307</f>
        <v>50.4556599188997</v>
      </c>
      <c r="E32" s="21" t="n">
        <f aca="false">C32-D32</f>
        <v>0</v>
      </c>
      <c r="F32" s="0" t="str">
        <f aca="false">IF(ABS(E32)&lt;=0.01,"OK","ERROR")</f>
        <v>OK</v>
      </c>
      <c r="G32" s="5" t="s">
        <v>6578</v>
      </c>
    </row>
    <row r="33" customFormat="false" ht="17.15" hidden="false" customHeight="false" outlineLevel="0" collapsed="false">
      <c r="A33" s="0" t="s">
        <v>6599</v>
      </c>
      <c r="B33" s="0" t="s">
        <v>6600</v>
      </c>
      <c r="C33" s="25" t="n">
        <f aca="false">Pipeline!I241</f>
        <v>69.6717073131421</v>
      </c>
      <c r="D33" s="25" t="n">
        <f aca="false">Players!I307</f>
        <v>69.6717073131421</v>
      </c>
      <c r="E33" s="21" t="n">
        <f aca="false">C33-D33</f>
        <v>0</v>
      </c>
      <c r="F33" s="0" t="str">
        <f aca="false">IF(ABS(E33)&lt;=0.01,"OK","ERROR")</f>
        <v>OK</v>
      </c>
      <c r="G33" s="5" t="s">
        <v>6578</v>
      </c>
    </row>
    <row r="34" customFormat="false" ht="17.15" hidden="false" customHeight="false" outlineLevel="0" collapsed="false">
      <c r="A34" s="0" t="s">
        <v>6601</v>
      </c>
      <c r="B34" s="0" t="s">
        <v>6602</v>
      </c>
      <c r="C34" s="25" t="n">
        <f aca="false">Pipeline!J241</f>
        <v>76.1447286441395</v>
      </c>
      <c r="D34" s="25" t="n">
        <f aca="false">Players!J307</f>
        <v>76.1447286441395</v>
      </c>
      <c r="E34" s="21" t="n">
        <f aca="false">C34-D34</f>
        <v>0</v>
      </c>
      <c r="F34" s="0" t="str">
        <f aca="false">IF(ABS(E34)&lt;=0.01,"OK","ERROR")</f>
        <v>OK</v>
      </c>
      <c r="G34" s="5" t="s">
        <v>6578</v>
      </c>
    </row>
    <row r="35" customFormat="false" ht="17.15" hidden="false" customHeight="false" outlineLevel="0" collapsed="false">
      <c r="A35" s="0" t="s">
        <v>6603</v>
      </c>
      <c r="B35" s="0" t="s">
        <v>6604</v>
      </c>
      <c r="C35" s="25" t="n">
        <f aca="false">Pipeline!K241</f>
        <v>83.1637836661874</v>
      </c>
      <c r="D35" s="25" t="n">
        <f aca="false">Players!K307</f>
        <v>83.1637836661874</v>
      </c>
      <c r="E35" s="21" t="n">
        <f aca="false">C35-D35</f>
        <v>0</v>
      </c>
      <c r="F35" s="0" t="str">
        <f aca="false">IF(ABS(E35)&lt;=0.01,"OK","ERROR")</f>
        <v>OK</v>
      </c>
      <c r="G35" s="5" t="s">
        <v>6578</v>
      </c>
    </row>
    <row r="36" customFormat="false" ht="17.15" hidden="false" customHeight="false" outlineLevel="0" collapsed="false">
      <c r="A36" s="0" t="s">
        <v>6605</v>
      </c>
      <c r="B36" s="0" t="s">
        <v>6606</v>
      </c>
      <c r="C36" s="25" t="n">
        <f aca="false">Pipeline!L241</f>
        <v>86.7366298200336</v>
      </c>
      <c r="D36" s="25" t="n">
        <f aca="false">Players!L307</f>
        <v>86.7366298200336</v>
      </c>
      <c r="E36" s="21" t="n">
        <f aca="false">C36-D36</f>
        <v>0</v>
      </c>
      <c r="F36" s="0" t="str">
        <f aca="false">IF(ABS(E36)&lt;=0.01,"OK","ERROR")</f>
        <v>OK</v>
      </c>
      <c r="G36" s="5" t="s">
        <v>6578</v>
      </c>
    </row>
    <row r="37" customFormat="false" ht="17.15" hidden="false" customHeight="false" outlineLevel="0" collapsed="false">
      <c r="A37" s="0" t="s">
        <v>6607</v>
      </c>
      <c r="B37" s="0" t="s">
        <v>6608</v>
      </c>
      <c r="C37" s="25" t="n">
        <f aca="false">Pipeline!M241</f>
        <v>91.6718605892643</v>
      </c>
      <c r="D37" s="25" t="n">
        <f aca="false">Players!M307</f>
        <v>91.6718605892643</v>
      </c>
      <c r="E37" s="21" t="n">
        <f aca="false">C37-D37</f>
        <v>0</v>
      </c>
      <c r="F37" s="0" t="str">
        <f aca="false">IF(ABS(E37)&lt;=0.01,"OK","ERROR")</f>
        <v>OK</v>
      </c>
      <c r="G37" s="5" t="s">
        <v>6578</v>
      </c>
    </row>
    <row r="38" customFormat="false" ht="17.15" hidden="false" customHeight="false" outlineLevel="0" collapsed="false">
      <c r="A38" s="0" t="s">
        <v>6609</v>
      </c>
      <c r="B38" s="0" t="s">
        <v>6610</v>
      </c>
      <c r="C38" s="25" t="n">
        <f aca="false">Pipeline!E242</f>
        <v>6.20938570515285</v>
      </c>
      <c r="D38" s="25" t="n">
        <f aca="false">Pipeline!E241</f>
        <v>6.20938570515285</v>
      </c>
      <c r="F38" s="0" t="str">
        <f aca="false">IF(AND(Pipeline!E241&gt;=Pipeline!E242-0.000000001,Pipeline!E242&gt;=Pipeline!E243-0.000000001),"OK","ERROR")</f>
        <v>OK</v>
      </c>
      <c r="G38" s="5" t="s">
        <v>6611</v>
      </c>
    </row>
    <row r="39" customFormat="false" ht="17.15" hidden="false" customHeight="false" outlineLevel="0" collapsed="false">
      <c r="A39" s="0" t="s">
        <v>6612</v>
      </c>
      <c r="B39" s="0" t="s">
        <v>6613</v>
      </c>
      <c r="C39" s="25" t="n">
        <f aca="false">Pipeline!F242</f>
        <v>25.3371433333333</v>
      </c>
      <c r="D39" s="25" t="n">
        <f aca="false">Pipeline!F241</f>
        <v>25.3371433333333</v>
      </c>
      <c r="F39" s="0" t="str">
        <f aca="false">IF(AND(Pipeline!F241&gt;=Pipeline!F242-0.000000001,Pipeline!F242&gt;=Pipeline!F243-0.000000001),"OK","ERROR")</f>
        <v>OK</v>
      </c>
      <c r="G39" s="5" t="s">
        <v>6611</v>
      </c>
    </row>
    <row r="40" customFormat="false" ht="17.15" hidden="false" customHeight="false" outlineLevel="0" collapsed="false">
      <c r="A40" s="0" t="s">
        <v>6614</v>
      </c>
      <c r="B40" s="0" t="s">
        <v>6615</v>
      </c>
      <c r="C40" s="25" t="n">
        <f aca="false">Pipeline!G242</f>
        <v>37.043435095226</v>
      </c>
      <c r="D40" s="25" t="n">
        <f aca="false">Pipeline!G241</f>
        <v>37.8525147943925</v>
      </c>
      <c r="F40" s="0" t="str">
        <f aca="false">IF(AND(Pipeline!G241&gt;=Pipeline!G242-0.000000001,Pipeline!G242&gt;=Pipeline!G243-0.000000001),"OK","ERROR")</f>
        <v>OK</v>
      </c>
      <c r="G40" s="5" t="s">
        <v>6611</v>
      </c>
    </row>
    <row r="41" customFormat="false" ht="17.15" hidden="false" customHeight="false" outlineLevel="0" collapsed="false">
      <c r="A41" s="0" t="s">
        <v>6616</v>
      </c>
      <c r="B41" s="0" t="s">
        <v>6617</v>
      </c>
      <c r="C41" s="25" t="n">
        <f aca="false">Pipeline!H242</f>
        <v>47.9518803554443</v>
      </c>
      <c r="D41" s="25" t="n">
        <f aca="false">Pipeline!H241</f>
        <v>50.4556599188997</v>
      </c>
      <c r="F41" s="0" t="str">
        <f aca="false">IF(AND(Pipeline!H241&gt;=Pipeline!H242-0.000000001,Pipeline!H242&gt;=Pipeline!H243-0.000000001),"OK","ERROR")</f>
        <v>OK</v>
      </c>
      <c r="G41" s="5" t="s">
        <v>6611</v>
      </c>
    </row>
    <row r="42" customFormat="false" ht="17.15" hidden="false" customHeight="false" outlineLevel="0" collapsed="false">
      <c r="A42" s="0" t="s">
        <v>6618</v>
      </c>
      <c r="B42" s="0" t="s">
        <v>6619</v>
      </c>
      <c r="C42" s="25" t="n">
        <f aca="false">Pipeline!I242</f>
        <v>65.7784156858163</v>
      </c>
      <c r="D42" s="25" t="n">
        <f aca="false">Pipeline!I241</f>
        <v>69.6717073131421</v>
      </c>
      <c r="F42" s="0" t="str">
        <f aca="false">IF(AND(Pipeline!I241&gt;=Pipeline!I242-0.000000001,Pipeline!I242&gt;=Pipeline!I243-0.000000001),"OK","ERROR")</f>
        <v>OK</v>
      </c>
      <c r="G42" s="5" t="s">
        <v>6611</v>
      </c>
    </row>
    <row r="43" customFormat="false" ht="17.15" hidden="false" customHeight="false" outlineLevel="0" collapsed="false">
      <c r="A43" s="0" t="s">
        <v>6620</v>
      </c>
      <c r="B43" s="0" t="s">
        <v>6621</v>
      </c>
      <c r="C43" s="25" t="n">
        <f aca="false">Pipeline!J242</f>
        <v>74.627124911215</v>
      </c>
      <c r="D43" s="25" t="n">
        <f aca="false">Pipeline!J241</f>
        <v>76.1447286441395</v>
      </c>
      <c r="F43" s="0" t="str">
        <f aca="false">IF(AND(Pipeline!J241&gt;=Pipeline!J242-0.000000001,Pipeline!J242&gt;=Pipeline!J243-0.000000001),"OK","ERROR")</f>
        <v>OK</v>
      </c>
      <c r="G43" s="5" t="s">
        <v>6611</v>
      </c>
    </row>
    <row r="44" customFormat="false" ht="17.15" hidden="false" customHeight="false" outlineLevel="0" collapsed="false">
      <c r="A44" s="0" t="s">
        <v>6622</v>
      </c>
      <c r="B44" s="0" t="s">
        <v>6623</v>
      </c>
      <c r="C44" s="25" t="n">
        <f aca="false">Pipeline!K242</f>
        <v>81.499174037329</v>
      </c>
      <c r="D44" s="25" t="n">
        <f aca="false">Pipeline!K241</f>
        <v>83.1637836661874</v>
      </c>
      <c r="F44" s="0" t="str">
        <f aca="false">IF(AND(Pipeline!K241&gt;=Pipeline!K242-0.000000001,Pipeline!K242&gt;=Pipeline!K243-0.000000001),"OK","ERROR")</f>
        <v>OK</v>
      </c>
      <c r="G44" s="5" t="s">
        <v>6611</v>
      </c>
    </row>
    <row r="45" customFormat="false" ht="17.15" hidden="false" customHeight="false" outlineLevel="0" collapsed="false">
      <c r="A45" s="0" t="s">
        <v>6624</v>
      </c>
      <c r="B45" s="0" t="s">
        <v>6625</v>
      </c>
      <c r="C45" s="25" t="n">
        <f aca="false">Pipeline!L242</f>
        <v>85.8630567431105</v>
      </c>
      <c r="D45" s="25" t="n">
        <f aca="false">Pipeline!L241</f>
        <v>86.7366298200336</v>
      </c>
      <c r="F45" s="0" t="str">
        <f aca="false">IF(AND(Pipeline!L241&gt;=Pipeline!L242-0.000000001,Pipeline!L242&gt;=Pipeline!L243-0.000000001),"OK","ERROR")</f>
        <v>OK</v>
      </c>
      <c r="G45" s="5" t="s">
        <v>6611</v>
      </c>
    </row>
    <row r="46" customFormat="false" ht="17.15" hidden="false" customHeight="false" outlineLevel="0" collapsed="false">
      <c r="A46" s="0" t="s">
        <v>6626</v>
      </c>
      <c r="B46" s="0" t="s">
        <v>6627</v>
      </c>
      <c r="C46" s="25" t="n">
        <f aca="false">Pipeline!M242</f>
        <v>90.3591452046489</v>
      </c>
      <c r="D46" s="25" t="n">
        <f aca="false">Pipeline!M241</f>
        <v>91.6718605892643</v>
      </c>
      <c r="F46" s="0" t="str">
        <f aca="false">IF(AND(Pipeline!M241&gt;=Pipeline!M242-0.000000001,Pipeline!M242&gt;=Pipeline!M243-0.000000001),"OK","ERROR")</f>
        <v>OK</v>
      </c>
      <c r="G46" s="5" t="s">
        <v>6611</v>
      </c>
    </row>
    <row r="47" customFormat="false" ht="17.15" hidden="false" customHeight="false" outlineLevel="0" collapsed="false">
      <c r="A47" s="0" t="s">
        <v>6628</v>
      </c>
      <c r="B47" s="5" t="s">
        <v>6629</v>
      </c>
      <c r="C47" s="0" t="n">
        <f aca="false">Pipeline!M241-Pipeline!M243</f>
        <v>1.31271538461539</v>
      </c>
      <c r="D47" s="0" t="n">
        <f aca="false">SUMPRODUCT(ABS(Pipeline!E188:M188),1-Pipeline!E229:M229)+SUMPRODUCT(Pipeline!L5:L134,Pipeline!Q5:Q134)</f>
        <v>36.6091153846154</v>
      </c>
      <c r="F47" s="0" t="str">
        <f aca="false">IF(C47&lt;=D47+0.000000001,"OK","ERROR")</f>
        <v>OK</v>
      </c>
      <c r="G47" s="5" t="s">
        <v>6611</v>
      </c>
    </row>
    <row r="48" customFormat="false" ht="17.15" hidden="false" customHeight="false" outlineLevel="0" collapsed="false">
      <c r="A48" s="0" t="s">
        <v>6630</v>
      </c>
      <c r="B48" s="0" t="s">
        <v>6631</v>
      </c>
      <c r="C48" s="23" t="n">
        <f aca="false">Players!D10</f>
        <v>1</v>
      </c>
      <c r="D48" s="0" t="n">
        <v>1</v>
      </c>
      <c r="F48" s="0" t="str">
        <f aca="false">IF(ABS(C48-1)&lt;0.000000001,"OK","ERROR")</f>
        <v>OK</v>
      </c>
      <c r="G48" s="5" t="s">
        <v>6611</v>
      </c>
    </row>
    <row r="49" customFormat="false" ht="17.15" hidden="false" customHeight="false" outlineLevel="0" collapsed="false">
      <c r="A49" s="0" t="s">
        <v>6632</v>
      </c>
      <c r="B49" s="0" t="s">
        <v>6633</v>
      </c>
      <c r="C49" s="23" t="n">
        <f aca="false">Players!E10</f>
        <v>1</v>
      </c>
      <c r="D49" s="0" t="n">
        <v>1</v>
      </c>
      <c r="F49" s="0" t="str">
        <f aca="false">IF(ABS(C49-1)&lt;0.000000001,"OK","ERROR")</f>
        <v>OK</v>
      </c>
      <c r="G49" s="5" t="s">
        <v>6611</v>
      </c>
    </row>
    <row r="50" customFormat="false" ht="17.15" hidden="false" customHeight="false" outlineLevel="0" collapsed="false">
      <c r="A50" s="0" t="s">
        <v>6634</v>
      </c>
      <c r="B50" s="0" t="s">
        <v>6635</v>
      </c>
      <c r="C50" s="23" t="n">
        <f aca="false">Players!F10</f>
        <v>1</v>
      </c>
      <c r="D50" s="0" t="n">
        <v>1</v>
      </c>
      <c r="F50" s="0" t="str">
        <f aca="false">IF(ABS(C50-1)&lt;0.000000001,"OK","ERROR")</f>
        <v>OK</v>
      </c>
      <c r="G50" s="5" t="s">
        <v>6611</v>
      </c>
    </row>
    <row r="51" customFormat="false" ht="17.15" hidden="false" customHeight="false" outlineLevel="0" collapsed="false">
      <c r="A51" s="0" t="s">
        <v>6636</v>
      </c>
      <c r="B51" s="0" t="s">
        <v>6637</v>
      </c>
      <c r="C51" s="23" t="n">
        <f aca="false">Players!G10</f>
        <v>1</v>
      </c>
      <c r="D51" s="0" t="n">
        <v>1</v>
      </c>
      <c r="F51" s="0" t="str">
        <f aca="false">IF(ABS(C51-1)&lt;0.000000001,"OK","ERROR")</f>
        <v>OK</v>
      </c>
      <c r="G51" s="5" t="s">
        <v>6611</v>
      </c>
    </row>
    <row r="52" customFormat="false" ht="17.15" hidden="false" customHeight="false" outlineLevel="0" collapsed="false">
      <c r="A52" s="0" t="s">
        <v>6638</v>
      </c>
      <c r="B52" s="0" t="s">
        <v>6639</v>
      </c>
      <c r="C52" s="23" t="n">
        <f aca="false">Players!H10</f>
        <v>1</v>
      </c>
      <c r="D52" s="0" t="n">
        <v>1</v>
      </c>
      <c r="F52" s="0" t="str">
        <f aca="false">IF(ABS(C52-1)&lt;0.000000001,"OK","ERROR")</f>
        <v>OK</v>
      </c>
      <c r="G52" s="5" t="s">
        <v>6611</v>
      </c>
    </row>
    <row r="53" customFormat="false" ht="17.15" hidden="false" customHeight="false" outlineLevel="0" collapsed="false">
      <c r="A53" s="0" t="s">
        <v>6640</v>
      </c>
      <c r="B53" s="0" t="s">
        <v>6641</v>
      </c>
      <c r="C53" s="23" t="n">
        <f aca="false">Players!I10</f>
        <v>1</v>
      </c>
      <c r="D53" s="0" t="n">
        <v>1</v>
      </c>
      <c r="F53" s="0" t="str">
        <f aca="false">IF(ABS(C53-1)&lt;0.000000001,"OK","ERROR")</f>
        <v>OK</v>
      </c>
      <c r="G53" s="5" t="s">
        <v>6611</v>
      </c>
    </row>
    <row r="54" customFormat="false" ht="17.15" hidden="false" customHeight="false" outlineLevel="0" collapsed="false">
      <c r="A54" s="0" t="s">
        <v>6642</v>
      </c>
      <c r="B54" s="0" t="s">
        <v>6643</v>
      </c>
      <c r="C54" s="23" t="n">
        <f aca="false">Players!J10</f>
        <v>1</v>
      </c>
      <c r="D54" s="0" t="n">
        <v>1</v>
      </c>
      <c r="F54" s="0" t="str">
        <f aca="false">IF(ABS(C54-1)&lt;0.000000001,"OK","ERROR")</f>
        <v>OK</v>
      </c>
      <c r="G54" s="5" t="s">
        <v>6611</v>
      </c>
    </row>
    <row r="55" customFormat="false" ht="17.15" hidden="false" customHeight="false" outlineLevel="0" collapsed="false">
      <c r="A55" s="0" t="s">
        <v>6644</v>
      </c>
      <c r="B55" s="0" t="s">
        <v>6645</v>
      </c>
      <c r="C55" s="23" t="n">
        <f aca="false">Players!K10</f>
        <v>1</v>
      </c>
      <c r="D55" s="0" t="n">
        <v>1</v>
      </c>
      <c r="F55" s="0" t="str">
        <f aca="false">IF(ABS(C55-1)&lt;0.000000001,"OK","ERROR")</f>
        <v>OK</v>
      </c>
      <c r="G55" s="5" t="s">
        <v>6611</v>
      </c>
    </row>
    <row r="56" customFormat="false" ht="17.15" hidden="false" customHeight="false" outlineLevel="0" collapsed="false">
      <c r="A56" s="0" t="s">
        <v>6646</v>
      </c>
      <c r="B56" s="0" t="s">
        <v>6647</v>
      </c>
      <c r="C56" s="23" t="n">
        <f aca="false">Players!L10</f>
        <v>1</v>
      </c>
      <c r="D56" s="0" t="n">
        <v>1</v>
      </c>
      <c r="F56" s="0" t="str">
        <f aca="false">IF(ABS(C56-1)&lt;0.000000001,"OK","ERROR")</f>
        <v>OK</v>
      </c>
      <c r="G56" s="5" t="s">
        <v>6611</v>
      </c>
    </row>
    <row r="57" customFormat="false" ht="17.15" hidden="false" customHeight="false" outlineLevel="0" collapsed="false">
      <c r="A57" s="0" t="s">
        <v>6648</v>
      </c>
      <c r="B57" s="0" t="s">
        <v>6649</v>
      </c>
      <c r="C57" s="23" t="n">
        <f aca="false">Players!M10</f>
        <v>1</v>
      </c>
      <c r="D57" s="0" t="n">
        <v>1</v>
      </c>
      <c r="F57" s="0" t="str">
        <f aca="false">IF(ABS(C57-1)&lt;0.000000001,"OK","ERROR")</f>
        <v>OK</v>
      </c>
      <c r="G57" s="5" t="s">
        <v>6611</v>
      </c>
    </row>
    <row r="58" customFormat="false" ht="17.15" hidden="false" customHeight="false" outlineLevel="0" collapsed="false">
      <c r="A58" s="0" t="s">
        <v>6650</v>
      </c>
      <c r="B58" s="0" t="s">
        <v>6651</v>
      </c>
      <c r="C58" s="25" t="n">
        <f aca="false">Pipeline!E191</f>
        <v>1.61980834349181</v>
      </c>
      <c r="D58" s="25" t="n">
        <f aca="false">Players!E313</f>
        <v>1.61980834349181</v>
      </c>
      <c r="E58" s="21" t="n">
        <f aca="false">C58-D58</f>
        <v>0</v>
      </c>
      <c r="F58" s="0" t="str">
        <f aca="false">IF(ABS(E58)&lt;0.000000001,"OK","ERROR")</f>
        <v>OK</v>
      </c>
      <c r="G58" s="5" t="s">
        <v>6578</v>
      </c>
    </row>
    <row r="59" customFormat="false" ht="17.15" hidden="false" customHeight="false" outlineLevel="0" collapsed="false">
      <c r="A59" s="0" t="s">
        <v>6652</v>
      </c>
      <c r="B59" s="0" t="s">
        <v>6653</v>
      </c>
      <c r="C59" s="25" t="n">
        <f aca="false">Pipeline!F191</f>
        <v>9.04912429484715</v>
      </c>
      <c r="D59" s="25" t="n">
        <f aca="false">Players!F313</f>
        <v>9.04912429484715</v>
      </c>
      <c r="E59" s="21" t="n">
        <f aca="false">C59-D59</f>
        <v>0</v>
      </c>
      <c r="F59" s="0" t="str">
        <f aca="false">IF(ABS(E59)&lt;0.000000001,"OK","ERROR")</f>
        <v>OK</v>
      </c>
      <c r="G59" s="5" t="s">
        <v>6578</v>
      </c>
    </row>
    <row r="60" customFormat="false" ht="17.15" hidden="false" customHeight="false" outlineLevel="0" collapsed="false">
      <c r="A60" s="0" t="s">
        <v>6654</v>
      </c>
      <c r="B60" s="0" t="s">
        <v>6655</v>
      </c>
      <c r="C60" s="25" t="n">
        <f aca="false">Pipeline!G191</f>
        <v>12.5153714610592</v>
      </c>
      <c r="D60" s="25" t="n">
        <f aca="false">Players!G313</f>
        <v>12.5153714610592</v>
      </c>
      <c r="E60" s="21" t="n">
        <f aca="false">C60-D60</f>
        <v>0</v>
      </c>
      <c r="F60" s="0" t="str">
        <f aca="false">IF(ABS(E60)&lt;0.000000001,"OK","ERROR")</f>
        <v>OK</v>
      </c>
      <c r="G60" s="5" t="s">
        <v>6578</v>
      </c>
    </row>
    <row r="61" customFormat="false" ht="17.15" hidden="false" customHeight="false" outlineLevel="0" collapsed="false">
      <c r="A61" s="0" t="s">
        <v>6656</v>
      </c>
      <c r="B61" s="0" t="s">
        <v>6657</v>
      </c>
      <c r="C61" s="25" t="n">
        <f aca="false">Pipeline!H191</f>
        <v>12.6031451245072</v>
      </c>
      <c r="D61" s="25" t="n">
        <f aca="false">Players!H313</f>
        <v>12.6031451245072</v>
      </c>
      <c r="E61" s="21" t="n">
        <f aca="false">C61-D61</f>
        <v>0</v>
      </c>
      <c r="F61" s="0" t="str">
        <f aca="false">IF(ABS(E61)&lt;0.000000001,"OK","ERROR")</f>
        <v>OK</v>
      </c>
      <c r="G61" s="5" t="s">
        <v>6578</v>
      </c>
    </row>
    <row r="62" customFormat="false" ht="17.15" hidden="false" customHeight="false" outlineLevel="0" collapsed="false">
      <c r="A62" s="0" t="s">
        <v>6658</v>
      </c>
      <c r="B62" s="0" t="s">
        <v>6659</v>
      </c>
      <c r="C62" s="25" t="n">
        <f aca="false">Pipeline!I191</f>
        <v>19.2160473942424</v>
      </c>
      <c r="D62" s="25" t="n">
        <f aca="false">Players!I313</f>
        <v>19.2160473942424</v>
      </c>
      <c r="E62" s="21" t="n">
        <f aca="false">C62-D62</f>
        <v>0</v>
      </c>
      <c r="F62" s="0" t="str">
        <f aca="false">IF(ABS(E62)&lt;0.000000001,"OK","ERROR")</f>
        <v>OK</v>
      </c>
      <c r="G62" s="5" t="s">
        <v>6578</v>
      </c>
    </row>
    <row r="63" customFormat="false" ht="17.15" hidden="false" customHeight="false" outlineLevel="0" collapsed="false">
      <c r="A63" s="0" t="s">
        <v>6660</v>
      </c>
      <c r="B63" s="0" t="s">
        <v>6661</v>
      </c>
      <c r="C63" s="25" t="n">
        <f aca="false">Pipeline!J191</f>
        <v>6.47302133099745</v>
      </c>
      <c r="D63" s="25" t="n">
        <f aca="false">Players!J313</f>
        <v>6.47302133099745</v>
      </c>
      <c r="E63" s="21" t="n">
        <f aca="false">C63-D63</f>
        <v>0</v>
      </c>
      <c r="F63" s="0" t="str">
        <f aca="false">IF(ABS(E63)&lt;0.000000001,"OK","ERROR")</f>
        <v>OK</v>
      </c>
      <c r="G63" s="5" t="s">
        <v>6578</v>
      </c>
    </row>
    <row r="64" customFormat="false" ht="17.15" hidden="false" customHeight="false" outlineLevel="0" collapsed="false">
      <c r="A64" s="0" t="s">
        <v>6662</v>
      </c>
      <c r="B64" s="0" t="s">
        <v>6663</v>
      </c>
      <c r="C64" s="25" t="n">
        <f aca="false">Pipeline!K191</f>
        <v>7.0190550220479</v>
      </c>
      <c r="D64" s="25" t="n">
        <f aca="false">Players!K313</f>
        <v>7.0190550220479</v>
      </c>
      <c r="E64" s="21" t="n">
        <f aca="false">C64-D64</f>
        <v>0</v>
      </c>
      <c r="F64" s="0" t="str">
        <f aca="false">IF(ABS(E64)&lt;0.000000001,"OK","ERROR")</f>
        <v>OK</v>
      </c>
      <c r="G64" s="5" t="s">
        <v>6578</v>
      </c>
    </row>
    <row r="65" customFormat="false" ht="17.15" hidden="false" customHeight="false" outlineLevel="0" collapsed="false">
      <c r="A65" s="0" t="s">
        <v>6664</v>
      </c>
      <c r="B65" s="0" t="s">
        <v>6665</v>
      </c>
      <c r="C65" s="25" t="n">
        <f aca="false">Pipeline!L191</f>
        <v>3.57284615384616</v>
      </c>
      <c r="D65" s="25" t="n">
        <f aca="false">Players!L313</f>
        <v>3.57284615384616</v>
      </c>
      <c r="E65" s="21" t="n">
        <f aca="false">C65-D65</f>
        <v>0</v>
      </c>
      <c r="F65" s="0" t="str">
        <f aca="false">IF(ABS(E65)&lt;0.000000001,"OK","ERROR")</f>
        <v>OK</v>
      </c>
      <c r="G65" s="5" t="s">
        <v>6578</v>
      </c>
    </row>
    <row r="66" customFormat="false" ht="17.15" hidden="false" customHeight="false" outlineLevel="0" collapsed="false">
      <c r="A66" s="0" t="s">
        <v>6666</v>
      </c>
      <c r="B66" s="0" t="s">
        <v>6667</v>
      </c>
      <c r="C66" s="25" t="n">
        <f aca="false">Pipeline!M191</f>
        <v>4.93523076923077</v>
      </c>
      <c r="D66" s="25" t="n">
        <f aca="false">Players!M313</f>
        <v>4.93523076923077</v>
      </c>
      <c r="E66" s="21" t="n">
        <f aca="false">C66-D66</f>
        <v>0</v>
      </c>
      <c r="F66" s="0" t="str">
        <f aca="false">IF(ABS(E66)&lt;0.000000001,"OK","ERROR")</f>
        <v>OK</v>
      </c>
      <c r="G66" s="5" t="s">
        <v>6578</v>
      </c>
    </row>
    <row r="67" customFormat="false" ht="17.15" hidden="false" customHeight="false" outlineLevel="0" collapsed="false">
      <c r="A67" s="0" t="s">
        <v>6668</v>
      </c>
      <c r="B67" s="0" t="s">
        <v>6669</v>
      </c>
      <c r="C67" s="0" t="n">
        <f aca="false">lag_bldg</f>
        <v>18</v>
      </c>
      <c r="D67" s="0" t="s">
        <v>6670</v>
      </c>
      <c r="F67" s="0" t="str">
        <f aca="false">IF(AND(C67&gt;=0,C67&lt;=24),"OK","ERROR")</f>
        <v>OK</v>
      </c>
      <c r="G67" s="5" t="s">
        <v>6611</v>
      </c>
    </row>
    <row r="68" customFormat="false" ht="17.15" hidden="false" customHeight="false" outlineLevel="0" collapsed="false">
      <c r="A68" s="0" t="s">
        <v>6671</v>
      </c>
      <c r="B68" s="0" t="s">
        <v>6672</v>
      </c>
      <c r="C68" s="0" t="n">
        <f aca="false">lag_bldg_lo</f>
        <v>12</v>
      </c>
      <c r="D68" s="0" t="s">
        <v>6670</v>
      </c>
      <c r="F68" s="0" t="str">
        <f aca="false">IF(AND(C68&gt;=0,C68&lt;=24),"OK","ERROR")</f>
        <v>OK</v>
      </c>
      <c r="G68" s="5" t="s">
        <v>6611</v>
      </c>
    </row>
    <row r="69" customFormat="false" ht="17.15" hidden="false" customHeight="false" outlineLevel="0" collapsed="false">
      <c r="A69" s="0" t="s">
        <v>6673</v>
      </c>
      <c r="B69" s="0" t="s">
        <v>6674</v>
      </c>
      <c r="C69" s="0" t="n">
        <f aca="false">lag_bldg_hi</f>
        <v>24</v>
      </c>
      <c r="D69" s="0" t="s">
        <v>6670</v>
      </c>
      <c r="F69" s="0" t="str">
        <f aca="false">IF(AND(C69&gt;=0,C69&lt;=24),"OK","ERROR")</f>
        <v>OK</v>
      </c>
      <c r="G69" s="5" t="s">
        <v>6611</v>
      </c>
    </row>
    <row r="70" customFormat="false" ht="17.15" hidden="false" customHeight="false" outlineLevel="0" collapsed="false">
      <c r="A70" s="0" t="s">
        <v>6675</v>
      </c>
      <c r="B70" s="0" t="s">
        <v>6676</v>
      </c>
      <c r="C70" s="0" t="n">
        <f aca="false">dly_d1_m</f>
        <v>6</v>
      </c>
      <c r="D70" s="0" t="s">
        <v>6677</v>
      </c>
      <c r="F70" s="0" t="str">
        <f aca="false">IF(AND(C70&gt;=0,C70&lt;=36),"OK","ERROR")</f>
        <v>OK</v>
      </c>
      <c r="G70" s="5" t="s">
        <v>6611</v>
      </c>
    </row>
    <row r="71" customFormat="false" ht="17.15" hidden="false" customHeight="false" outlineLevel="0" collapsed="false">
      <c r="A71" s="0" t="s">
        <v>6678</v>
      </c>
      <c r="B71" s="0" t="s">
        <v>6679</v>
      </c>
      <c r="C71" s="0" t="n">
        <f aca="false">dly_d1_m_lo</f>
        <v>3</v>
      </c>
      <c r="D71" s="0" t="s">
        <v>6677</v>
      </c>
      <c r="F71" s="0" t="str">
        <f aca="false">IF(AND(C71&gt;=0,C71&lt;=36),"OK","ERROR")</f>
        <v>OK</v>
      </c>
      <c r="G71" s="5" t="s">
        <v>6611</v>
      </c>
    </row>
    <row r="72" customFormat="false" ht="17.15" hidden="false" customHeight="false" outlineLevel="0" collapsed="false">
      <c r="A72" s="0" t="s">
        <v>6680</v>
      </c>
      <c r="B72" s="0" t="s">
        <v>6681</v>
      </c>
      <c r="C72" s="0" t="n">
        <f aca="false">dly_d1_m_hi</f>
        <v>12</v>
      </c>
      <c r="D72" s="0" t="s">
        <v>6677</v>
      </c>
      <c r="F72" s="0" t="str">
        <f aca="false">IF(AND(C72&gt;=0,C72&lt;=36),"OK","ERROR")</f>
        <v>OK</v>
      </c>
      <c r="G72" s="5" t="s">
        <v>6611</v>
      </c>
    </row>
    <row r="73" customFormat="false" ht="17.15" hidden="false" customHeight="false" outlineLevel="0" collapsed="false">
      <c r="A73" s="0" t="s">
        <v>6682</v>
      </c>
      <c r="B73" s="0" t="s">
        <v>6683</v>
      </c>
      <c r="C73" s="24" t="n">
        <f aca="false">dly_d1_s</f>
        <v>0.35</v>
      </c>
      <c r="D73" s="21" t="s">
        <v>6684</v>
      </c>
      <c r="F73" s="0" t="str">
        <f aca="false">IF(AND(C73&gt;=0,C73&lt;=1),"OK","ERROR")</f>
        <v>OK</v>
      </c>
      <c r="G73" s="5" t="s">
        <v>6611</v>
      </c>
    </row>
    <row r="74" customFormat="false" ht="17.15" hidden="false" customHeight="false" outlineLevel="0" collapsed="false">
      <c r="A74" s="0" t="s">
        <v>6685</v>
      </c>
      <c r="B74" s="0" t="s">
        <v>6686</v>
      </c>
      <c r="C74" s="24" t="n">
        <f aca="false">dly_d1_s_lo</f>
        <v>0.25</v>
      </c>
      <c r="D74" s="21" t="s">
        <v>6684</v>
      </c>
      <c r="F74" s="0" t="str">
        <f aca="false">IF(AND(C74&gt;=0,C74&lt;=1),"OK","ERROR")</f>
        <v>OK</v>
      </c>
      <c r="G74" s="5" t="s">
        <v>6611</v>
      </c>
    </row>
    <row r="75" customFormat="false" ht="17.15" hidden="false" customHeight="false" outlineLevel="0" collapsed="false">
      <c r="A75" s="0" t="s">
        <v>6687</v>
      </c>
      <c r="B75" s="0" t="s">
        <v>6688</v>
      </c>
      <c r="C75" s="24" t="n">
        <f aca="false">dly_d1_s_hi</f>
        <v>0.45</v>
      </c>
      <c r="D75" s="21" t="s">
        <v>6684</v>
      </c>
      <c r="F75" s="0" t="str">
        <f aca="false">IF(AND(C75&gt;=0,C75&lt;=1),"OK","ERROR")</f>
        <v>OK</v>
      </c>
      <c r="G75" s="5" t="s">
        <v>6611</v>
      </c>
    </row>
    <row r="76" customFormat="false" ht="17.15" hidden="false" customHeight="false" outlineLevel="0" collapsed="false">
      <c r="A76" s="0" t="s">
        <v>6689</v>
      </c>
      <c r="B76" s="0" t="s">
        <v>6690</v>
      </c>
      <c r="C76" s="0" t="n">
        <f aca="false">dly_d2_m</f>
        <v>12</v>
      </c>
      <c r="D76" s="0" t="s">
        <v>6677</v>
      </c>
      <c r="F76" s="0" t="str">
        <f aca="false">IF(AND(C76&gt;=0,C76&lt;=36),"OK","ERROR")</f>
        <v>OK</v>
      </c>
      <c r="G76" s="5" t="s">
        <v>6611</v>
      </c>
    </row>
    <row r="77" customFormat="false" ht="17.15" hidden="false" customHeight="false" outlineLevel="0" collapsed="false">
      <c r="A77" s="0" t="s">
        <v>6691</v>
      </c>
      <c r="B77" s="0" t="s">
        <v>6692</v>
      </c>
      <c r="C77" s="0" t="n">
        <f aca="false">dly_d2_m_lo</f>
        <v>12</v>
      </c>
      <c r="D77" s="0" t="s">
        <v>6677</v>
      </c>
      <c r="F77" s="0" t="str">
        <f aca="false">IF(AND(C77&gt;=0,C77&lt;=36),"OK","ERROR")</f>
        <v>OK</v>
      </c>
      <c r="G77" s="5" t="s">
        <v>6611</v>
      </c>
    </row>
    <row r="78" customFormat="false" ht="17.15" hidden="false" customHeight="false" outlineLevel="0" collapsed="false">
      <c r="A78" s="0" t="s">
        <v>6693</v>
      </c>
      <c r="B78" s="0" t="s">
        <v>6694</v>
      </c>
      <c r="C78" s="0" t="n">
        <f aca="false">dly_d2_m_hi</f>
        <v>12</v>
      </c>
      <c r="D78" s="0" t="s">
        <v>6677</v>
      </c>
      <c r="F78" s="0" t="str">
        <f aca="false">IF(AND(C78&gt;=0,C78&lt;=36),"OK","ERROR")</f>
        <v>OK</v>
      </c>
      <c r="G78" s="5" t="s">
        <v>6611</v>
      </c>
    </row>
    <row r="79" customFormat="false" ht="17.15" hidden="false" customHeight="false" outlineLevel="0" collapsed="false">
      <c r="A79" s="0" t="s">
        <v>6695</v>
      </c>
      <c r="B79" s="0" t="s">
        <v>6696</v>
      </c>
      <c r="C79" s="24" t="n">
        <f aca="false">dly_d2_bind</f>
        <v>0.4</v>
      </c>
      <c r="D79" s="21" t="s">
        <v>6684</v>
      </c>
      <c r="F79" s="0" t="str">
        <f aca="false">IF(AND(C79&gt;=0,C79&lt;=1),"OK","ERROR")</f>
        <v>OK</v>
      </c>
      <c r="G79" s="5" t="s">
        <v>6611</v>
      </c>
    </row>
    <row r="80" customFormat="false" ht="17.15" hidden="false" customHeight="false" outlineLevel="0" collapsed="false">
      <c r="A80" s="0" t="s">
        <v>6697</v>
      </c>
      <c r="B80" s="0" t="s">
        <v>6698</v>
      </c>
      <c r="C80" s="24" t="n">
        <f aca="false">dly_d2_bind_lo</f>
        <v>0.3</v>
      </c>
      <c r="D80" s="21" t="s">
        <v>6684</v>
      </c>
      <c r="F80" s="0" t="str">
        <f aca="false">IF(AND(C80&gt;=0,C80&lt;=1),"OK","ERROR")</f>
        <v>OK</v>
      </c>
      <c r="G80" s="5" t="s">
        <v>6611</v>
      </c>
    </row>
    <row r="81" customFormat="false" ht="17.15" hidden="false" customHeight="false" outlineLevel="0" collapsed="false">
      <c r="A81" s="0" t="s">
        <v>6699</v>
      </c>
      <c r="B81" s="0" t="s">
        <v>6700</v>
      </c>
      <c r="C81" s="24" t="n">
        <f aca="false">dly_d2_bind_hi</f>
        <v>0.5</v>
      </c>
      <c r="D81" s="21" t="s">
        <v>6684</v>
      </c>
      <c r="F81" s="0" t="str">
        <f aca="false">IF(AND(C81&gt;=0,C81&lt;=1),"OK","ERROR")</f>
        <v>OK</v>
      </c>
      <c r="G81" s="5" t="s">
        <v>6611</v>
      </c>
    </row>
    <row r="82" customFormat="false" ht="17.15" hidden="false" customHeight="false" outlineLevel="0" collapsed="false">
      <c r="A82" s="0" t="s">
        <v>6701</v>
      </c>
      <c r="B82" s="0" t="s">
        <v>6702</v>
      </c>
      <c r="C82" s="24" t="n">
        <f aca="false">tolband</f>
        <v>0.15</v>
      </c>
      <c r="D82" s="21" t="s">
        <v>6684</v>
      </c>
      <c r="F82" s="0" t="str">
        <f aca="false">IF(AND(C82&gt;=0,C82&lt;=1),"OK","ERROR")</f>
        <v>OK</v>
      </c>
      <c r="G82" s="5" t="s">
        <v>6611</v>
      </c>
    </row>
    <row r="83" customFormat="false" ht="17.15" hidden="false" customHeight="false" outlineLevel="0" collapsed="false">
      <c r="A83" s="0" t="s">
        <v>6703</v>
      </c>
      <c r="B83" s="0" t="s">
        <v>6704</v>
      </c>
      <c r="C83" s="24" t="n">
        <f aca="false">tolband_lo</f>
        <v>0.1</v>
      </c>
      <c r="D83" s="21" t="s">
        <v>6684</v>
      </c>
      <c r="F83" s="0" t="str">
        <f aca="false">IF(AND(C83&gt;=0,C83&lt;=1),"OK","ERROR")</f>
        <v>OK</v>
      </c>
      <c r="G83" s="5" t="s">
        <v>6611</v>
      </c>
    </row>
    <row r="84" customFormat="false" ht="17.15" hidden="false" customHeight="false" outlineLevel="0" collapsed="false">
      <c r="A84" s="0" t="s">
        <v>6705</v>
      </c>
      <c r="B84" s="0" t="s">
        <v>6706</v>
      </c>
      <c r="C84" s="24" t="n">
        <f aca="false">tolband_hi</f>
        <v>0.2</v>
      </c>
      <c r="D84" s="21" t="s">
        <v>6684</v>
      </c>
      <c r="F84" s="0" t="str">
        <f aca="false">IF(AND(C84&gt;=0,C84&lt;=1),"OK","ERROR")</f>
        <v>OK</v>
      </c>
      <c r="G84" s="5" t="s">
        <v>6611</v>
      </c>
    </row>
    <row r="85" customFormat="false" ht="17.15" hidden="false" customHeight="false" outlineLevel="0" collapsed="false">
      <c r="A85" s="0" t="s">
        <v>6707</v>
      </c>
      <c r="B85" s="0" t="s">
        <v>6708</v>
      </c>
      <c r="C85" s="0" t="n">
        <f aca="false">k_chip2it</f>
        <v>1.85</v>
      </c>
      <c r="D85" s="0" t="s">
        <v>6709</v>
      </c>
      <c r="F85" s="0" t="str">
        <f aca="false">IF(AND(C85&gt;=1,C85&lt;=3),"OK","ERROR")</f>
        <v>OK</v>
      </c>
      <c r="G85" s="5" t="s">
        <v>6611</v>
      </c>
    </row>
    <row r="86" customFormat="false" ht="17.15" hidden="false" customHeight="false" outlineLevel="0" collapsed="false">
      <c r="A86" s="0" t="s">
        <v>6710</v>
      </c>
      <c r="B86" s="0" t="s">
        <v>6711</v>
      </c>
      <c r="C86" s="0" t="n">
        <f aca="false">k_chip2it_lo</f>
        <v>1.65</v>
      </c>
      <c r="D86" s="0" t="s">
        <v>6709</v>
      </c>
      <c r="F86" s="0" t="str">
        <f aca="false">IF(AND(C86&gt;=1,C86&lt;=3),"OK","ERROR")</f>
        <v>OK</v>
      </c>
      <c r="G86" s="5" t="s">
        <v>6611</v>
      </c>
    </row>
    <row r="87" customFormat="false" ht="17.15" hidden="false" customHeight="false" outlineLevel="0" collapsed="false">
      <c r="A87" s="0" t="s">
        <v>6712</v>
      </c>
      <c r="B87" s="0" t="s">
        <v>6713</v>
      </c>
      <c r="C87" s="0" t="n">
        <f aca="false">k_chip2it_hi</f>
        <v>2.08</v>
      </c>
      <c r="D87" s="0" t="s">
        <v>6709</v>
      </c>
      <c r="F87" s="0" t="str">
        <f aca="false">IF(AND(C87&gt;=1,C87&lt;=3),"OK","ERROR")</f>
        <v>OK</v>
      </c>
      <c r="G87" s="5" t="s">
        <v>6611</v>
      </c>
    </row>
    <row r="88" customFormat="false" ht="17.15" hidden="false" customHeight="false" outlineLevel="0" collapsed="false">
      <c r="A88" s="0" t="s">
        <v>6714</v>
      </c>
      <c r="B88" s="0" t="s">
        <v>6715</v>
      </c>
      <c r="C88" s="24" t="n">
        <f aca="false">g_lt</f>
        <v>0.1</v>
      </c>
      <c r="D88" s="21" t="s">
        <v>6716</v>
      </c>
      <c r="F88" s="0" t="str">
        <f aca="false">IF(AND(C88&gt;=-0.2,C88&lt;=0.5),"OK","ERROR")</f>
        <v>OK</v>
      </c>
      <c r="G88" s="5" t="s">
        <v>6611</v>
      </c>
    </row>
    <row r="89" customFormat="false" ht="17.15" hidden="false" customHeight="false" outlineLevel="0" collapsed="false">
      <c r="A89" s="0" t="s">
        <v>6717</v>
      </c>
      <c r="B89" s="0" t="s">
        <v>6718</v>
      </c>
      <c r="C89" s="24" t="n">
        <f aca="false">g_lt_lo</f>
        <v>0.05</v>
      </c>
      <c r="D89" s="21" t="s">
        <v>6716</v>
      </c>
      <c r="F89" s="0" t="str">
        <f aca="false">IF(AND(C89&gt;=-0.2,C89&lt;=0.5),"OK","ERROR")</f>
        <v>OK</v>
      </c>
      <c r="G89" s="5" t="s">
        <v>6611</v>
      </c>
    </row>
    <row r="90" customFormat="false" ht="17.15" hidden="false" customHeight="false" outlineLevel="0" collapsed="false">
      <c r="A90" s="0" t="s">
        <v>6719</v>
      </c>
      <c r="B90" s="0" t="s">
        <v>6720</v>
      </c>
      <c r="C90" s="24" t="n">
        <f aca="false">g_lt_hi</f>
        <v>0.15</v>
      </c>
      <c r="D90" s="21" t="s">
        <v>6716</v>
      </c>
      <c r="F90" s="0" t="str">
        <f aca="false">IF(AND(C90&gt;=-0.2,C90&lt;=0.5),"OK","ERROR")</f>
        <v>OK</v>
      </c>
      <c r="G90" s="5" t="s">
        <v>6611</v>
      </c>
    </row>
    <row r="91" customFormat="false" ht="17.15" hidden="false" customHeight="false" outlineLevel="0" collapsed="false">
      <c r="A91" s="0" t="s">
        <v>6721</v>
      </c>
      <c r="B91" s="5" t="s">
        <v>6722</v>
      </c>
      <c r="C91" s="0" t="n">
        <f aca="false">COUNTIF(Pipeline!E138:M152,"&lt;-1E-9")</f>
        <v>0</v>
      </c>
      <c r="F91" s="0" t="str">
        <f aca="false">IF(C91=0,"OK","WARN")</f>
        <v>OK</v>
      </c>
      <c r="G91" s="5" t="s">
        <v>6611</v>
      </c>
    </row>
    <row r="92" customFormat="false" ht="17.15" hidden="false" customHeight="false" outlineLevel="0" collapsed="false">
      <c r="A92" s="0" t="s">
        <v>6723</v>
      </c>
      <c r="B92" s="0" t="s">
        <v>6724</v>
      </c>
      <c r="C92" s="0" t="n">
        <v>0</v>
      </c>
      <c r="F92" s="0" t="str">
        <f aca="false">IF(C92=1,"OK","WARN")</f>
        <v>WARN</v>
      </c>
      <c r="G92" s="5" t="s">
        <v>6725</v>
      </c>
      <c r="H92" s="0" t="s">
        <v>6726</v>
      </c>
    </row>
    <row r="93" customFormat="false" ht="17.15" hidden="false" customHeight="false" outlineLevel="0" collapsed="false">
      <c r="A93" s="0" t="s">
        <v>6727</v>
      </c>
      <c r="B93" s="0" t="s">
        <v>6728</v>
      </c>
      <c r="C93" s="0" t="n">
        <f aca="false">COUNTIF(Matrix!K5:K19,"&lt;-1E-9")</f>
        <v>0</v>
      </c>
      <c r="F93" s="0" t="str">
        <f aca="false">IF(C93=0,"OK","ERROR")</f>
        <v>OK</v>
      </c>
      <c r="G93" s="5" t="s">
        <v>6611</v>
      </c>
    </row>
    <row r="94" customFormat="false" ht="17.15" hidden="false" customHeight="false" outlineLevel="0" collapsed="false">
      <c r="A94" s="0" t="s">
        <v>6729</v>
      </c>
      <c r="B94" s="0" t="s">
        <v>6730</v>
      </c>
      <c r="C94" s="0" t="n">
        <f aca="false">COUNTIF(Matrix!K26:K40,"&lt;-1E-9")</f>
        <v>0</v>
      </c>
      <c r="F94" s="0" t="str">
        <f aca="false">IF(C94=0,"OK","ERROR")</f>
        <v>OK</v>
      </c>
      <c r="G94" s="5" t="s">
        <v>6611</v>
      </c>
    </row>
    <row r="95" customFormat="false" ht="17.15" hidden="false" customHeight="false" outlineLevel="0" collapsed="false">
      <c r="A95" s="0" t="s">
        <v>6731</v>
      </c>
      <c r="B95" s="0" t="s">
        <v>6732</v>
      </c>
      <c r="C95" s="0" t="n">
        <f aca="false">COUNTIF(Matrix!K47:K61,"&lt;-1E-9")</f>
        <v>0</v>
      </c>
      <c r="F95" s="0" t="str">
        <f aca="false">IF(C95=0,"OK","ERROR")</f>
        <v>OK</v>
      </c>
      <c r="G95" s="5" t="s">
        <v>6611</v>
      </c>
    </row>
    <row r="96" customFormat="false" ht="17.15" hidden="false" customHeight="false" outlineLevel="0" collapsed="false">
      <c r="A96" s="0" t="s">
        <v>6733</v>
      </c>
      <c r="B96" s="0" t="s">
        <v>6734</v>
      </c>
      <c r="C96" s="0" t="n">
        <f aca="false">rng25_neo/1000</f>
        <v>0.5</v>
      </c>
      <c r="D96" s="25" t="n">
        <f aca="false">Players!F239</f>
        <v>0.5</v>
      </c>
      <c r="E96" s="21" t="n">
        <f aca="false">C96-D96</f>
        <v>0</v>
      </c>
      <c r="F96" s="0" t="str">
        <f aca="false">IF(ABS(E96)&lt;0.000001,"OK","ERROR")</f>
        <v>OK</v>
      </c>
      <c r="G96" s="5" t="s">
        <v>6578</v>
      </c>
    </row>
    <row r="97" customFormat="false" ht="17.15" hidden="false" customHeight="false" outlineLevel="0" collapsed="false">
      <c r="A97" s="0" t="s">
        <v>6735</v>
      </c>
      <c r="B97" s="0" t="s">
        <v>6736</v>
      </c>
      <c r="C97" s="0" t="n">
        <f aca="false">rng25_cn/1000/Players!F$13</f>
        <v>8.33333333333333</v>
      </c>
      <c r="D97" s="25" t="n">
        <f aca="false">Players!F277</f>
        <v>8.33333333333333</v>
      </c>
      <c r="E97" s="21" t="n">
        <f aca="false">C97-D97</f>
        <v>0</v>
      </c>
      <c r="F97" s="0" t="str">
        <f aca="false">IF(ABS(E97)&lt;0.000001,"OK","ERROR")</f>
        <v>OK</v>
      </c>
      <c r="G97" s="5" t="s">
        <v>6578</v>
      </c>
    </row>
    <row r="98" customFormat="false" ht="17.15" hidden="false" customHeight="false" outlineLevel="0" collapsed="false">
      <c r="A98" s="0" t="s">
        <v>6737</v>
      </c>
      <c r="B98" s="0" t="s">
        <v>6738</v>
      </c>
      <c r="C98" s="0" t="n">
        <f aca="false">rng26_cn/1000/Players!G$13</f>
        <v>11.6666666666667</v>
      </c>
      <c r="D98" s="25" t="n">
        <f aca="false">Players!G277</f>
        <v>11.6666666666667</v>
      </c>
      <c r="E98" s="21" t="n">
        <f aca="false">C98-D98</f>
        <v>0</v>
      </c>
      <c r="F98" s="0" t="str">
        <f aca="false">IF(ABS(E98)&lt;0.000001,"OK","ERROR")</f>
        <v>OK</v>
      </c>
      <c r="G98" s="5" t="s">
        <v>6578</v>
      </c>
    </row>
    <row r="99" customFormat="false" ht="17.15" hidden="false" customHeight="false" outlineLevel="0" collapsed="false">
      <c r="A99" s="0" t="s">
        <v>6739</v>
      </c>
      <c r="B99" s="0" t="s">
        <v>6740</v>
      </c>
      <c r="C99" s="0" t="n">
        <f aca="false">ovr25_googl/1000</f>
        <v>4.3</v>
      </c>
      <c r="D99" s="25" t="n">
        <f aca="false">Players!F49</f>
        <v>4.3</v>
      </c>
      <c r="E99" s="21" t="n">
        <f aca="false">C99-D99</f>
        <v>0</v>
      </c>
      <c r="F99" s="0" t="str">
        <f aca="false">IF(ABS(E99)&lt;0.000001,"OK","ERROR")</f>
        <v>OK</v>
      </c>
      <c r="G99" s="5" t="s">
        <v>6578</v>
      </c>
    </row>
    <row r="100" customFormat="false" ht="17.15" hidden="false" customHeight="false" outlineLevel="0" collapsed="false">
      <c r="A100" s="0" t="s">
        <v>6741</v>
      </c>
      <c r="B100" s="0" t="s">
        <v>6742</v>
      </c>
      <c r="C100" s="0" t="n">
        <f aca="false">ovr25_amzn/1000</f>
        <v>2.2</v>
      </c>
      <c r="D100" s="25" t="n">
        <f aca="false">Players!F68</f>
        <v>2.2</v>
      </c>
      <c r="E100" s="21" t="n">
        <f aca="false">C100-D100</f>
        <v>0</v>
      </c>
      <c r="F100" s="0" t="str">
        <f aca="false">IF(ABS(E100)&lt;0.000001,"OK","ERROR")</f>
        <v>OK</v>
      </c>
      <c r="G100" s="5" t="s">
        <v>6578</v>
      </c>
    </row>
    <row r="101" customFormat="false" ht="17.15" hidden="false" customHeight="false" outlineLevel="0" collapsed="false">
      <c r="A101" s="0" t="s">
        <v>6743</v>
      </c>
      <c r="B101" s="0" t="s">
        <v>6744</v>
      </c>
      <c r="C101" s="25" t="n">
        <f aca="false">Players!E307</f>
        <v>6.20938570515285</v>
      </c>
      <c r="D101" s="0" t="str">
        <f aca="false">TEXT(Players!E308,"0.0")&amp;"–"&amp;TEXT(Players!E309,"0.0")</f>
        <v>5.6–7.0</v>
      </c>
      <c r="F101" s="0" t="str">
        <f aca="false">IF(AND(Players!E308&lt;=C101+0.000000001,C101&lt;=Players!E309+0.000000001),"OK","ERROR")</f>
        <v>OK</v>
      </c>
      <c r="G101" s="5" t="s">
        <v>6611</v>
      </c>
    </row>
    <row r="102" customFormat="false" ht="17.15" hidden="false" customHeight="false" outlineLevel="0" collapsed="false">
      <c r="A102" s="0" t="s">
        <v>6745</v>
      </c>
      <c r="B102" s="0" t="s">
        <v>6746</v>
      </c>
      <c r="C102" s="25" t="n">
        <f aca="false">Players!F307</f>
        <v>25.3371433333333</v>
      </c>
      <c r="D102" s="0" t="str">
        <f aca="false">TEXT(Players!F308,"0.0")&amp;"–"&amp;TEXT(Players!F309,"0.0")</f>
        <v>19.1–30.3</v>
      </c>
      <c r="F102" s="0" t="str">
        <f aca="false">IF(AND(Players!F308&lt;=C102+0.000000001,C102&lt;=Players!F309+0.000000001),"OK","ERROR")</f>
        <v>OK</v>
      </c>
      <c r="G102" s="5" t="s">
        <v>6611</v>
      </c>
    </row>
    <row r="103" customFormat="false" ht="17.15" hidden="false" customHeight="false" outlineLevel="0" collapsed="false">
      <c r="A103" s="0" t="s">
        <v>6747</v>
      </c>
      <c r="B103" s="0" t="s">
        <v>6748</v>
      </c>
      <c r="C103" s="25" t="n">
        <f aca="false">Players!G307</f>
        <v>37.8525147943925</v>
      </c>
      <c r="D103" s="0" t="str">
        <f aca="false">TEXT(Players!G308,"0.0")&amp;"–"&amp;TEXT(Players!G309,"0.0")</f>
        <v>34.6–41.2</v>
      </c>
      <c r="F103" s="0" t="str">
        <f aca="false">IF(AND(Players!G308&lt;=C103+0.000000001,C103&lt;=Players!G309+0.000000001),"OK","ERROR")</f>
        <v>OK</v>
      </c>
      <c r="G103" s="5" t="s">
        <v>6611</v>
      </c>
    </row>
    <row r="104" customFormat="false" ht="17.15" hidden="false" customHeight="false" outlineLevel="0" collapsed="false">
      <c r="A104" s="0" t="s">
        <v>6749</v>
      </c>
      <c r="B104" s="0" t="s">
        <v>6750</v>
      </c>
      <c r="C104" s="25" t="n">
        <f aca="false">Players!H307</f>
        <v>50.4556599188997</v>
      </c>
      <c r="D104" s="0" t="str">
        <f aca="false">TEXT(Players!H308,"0.0")&amp;"–"&amp;TEXT(Players!H309,"0.0")</f>
        <v>50.5–50.5</v>
      </c>
      <c r="F104" s="0" t="str">
        <f aca="false">IF(AND(Players!H308&lt;=C104+0.000000001,C104&lt;=Players!H309+0.000000001),"OK","ERROR")</f>
        <v>OK</v>
      </c>
      <c r="G104" s="5" t="s">
        <v>6611</v>
      </c>
    </row>
    <row r="105" customFormat="false" ht="17.15" hidden="false" customHeight="false" outlineLevel="0" collapsed="false">
      <c r="A105" s="0" t="s">
        <v>6751</v>
      </c>
      <c r="B105" s="0" t="s">
        <v>6752</v>
      </c>
      <c r="C105" s="25" t="n">
        <f aca="false">Players!I307</f>
        <v>69.6717073131421</v>
      </c>
      <c r="D105" s="0" t="str">
        <f aca="false">TEXT(Players!I308,"0.0")&amp;"–"&amp;TEXT(Players!I309,"0.0")</f>
        <v>69.7–69.7</v>
      </c>
      <c r="F105" s="0" t="str">
        <f aca="false">IF(AND(Players!I308&lt;=C105+0.000000001,C105&lt;=Players!I309+0.000000001),"OK","ERROR")</f>
        <v>OK</v>
      </c>
      <c r="G105" s="5" t="s">
        <v>6611</v>
      </c>
    </row>
    <row r="106" customFormat="false" ht="17.15" hidden="false" customHeight="false" outlineLevel="0" collapsed="false">
      <c r="A106" s="0" t="s">
        <v>6753</v>
      </c>
      <c r="B106" s="0" t="s">
        <v>6754</v>
      </c>
      <c r="C106" s="25" t="n">
        <f aca="false">Players!J307</f>
        <v>76.1447286441395</v>
      </c>
      <c r="D106" s="0" t="str">
        <f aca="false">TEXT(Players!J308,"0.0")&amp;"–"&amp;TEXT(Players!J309,"0.0")</f>
        <v>76.1–76.1</v>
      </c>
      <c r="F106" s="0" t="str">
        <f aca="false">IF(AND(Players!J308&lt;=C106+0.000000001,C106&lt;=Players!J309+0.000000001),"OK","ERROR")</f>
        <v>OK</v>
      </c>
      <c r="G106" s="5" t="s">
        <v>6611</v>
      </c>
    </row>
    <row r="107" customFormat="false" ht="17.15" hidden="false" customHeight="false" outlineLevel="0" collapsed="false">
      <c r="A107" s="0" t="s">
        <v>6755</v>
      </c>
      <c r="B107" s="0" t="s">
        <v>6756</v>
      </c>
      <c r="C107" s="25" t="n">
        <f aca="false">Players!K307</f>
        <v>83.1637836661874</v>
      </c>
      <c r="D107" s="0" t="str">
        <f aca="false">TEXT(Players!K308,"0.0")&amp;"–"&amp;TEXT(Players!K309,"0.0")</f>
        <v>83.2–83.2</v>
      </c>
      <c r="F107" s="0" t="str">
        <f aca="false">IF(AND(Players!K308&lt;=C107+0.000000001,C107&lt;=Players!K309+0.000000001),"OK","ERROR")</f>
        <v>OK</v>
      </c>
      <c r="G107" s="5" t="s">
        <v>6611</v>
      </c>
    </row>
    <row r="108" customFormat="false" ht="17.15" hidden="false" customHeight="false" outlineLevel="0" collapsed="false">
      <c r="A108" s="0" t="s">
        <v>6757</v>
      </c>
      <c r="B108" s="0" t="s">
        <v>6758</v>
      </c>
      <c r="C108" s="25" t="n">
        <f aca="false">Players!L307</f>
        <v>86.7366298200336</v>
      </c>
      <c r="D108" s="0" t="str">
        <f aca="false">TEXT(Players!L308,"0.0")&amp;"–"&amp;TEXT(Players!L309,"0.0")</f>
        <v>86.7–86.7</v>
      </c>
      <c r="F108" s="0" t="str">
        <f aca="false">IF(AND(Players!L308&lt;=C108+0.000000001,C108&lt;=Players!L309+0.000000001),"OK","ERROR")</f>
        <v>OK</v>
      </c>
      <c r="G108" s="5" t="s">
        <v>6611</v>
      </c>
    </row>
    <row r="109" customFormat="false" ht="17.15" hidden="false" customHeight="false" outlineLevel="0" collapsed="false">
      <c r="A109" s="0" t="s">
        <v>6759</v>
      </c>
      <c r="B109" s="0" t="s">
        <v>6760</v>
      </c>
      <c r="C109" s="25" t="n">
        <f aca="false">Players!M307</f>
        <v>91.6718605892643</v>
      </c>
      <c r="D109" s="0" t="str">
        <f aca="false">TEXT(Players!M308,"0.0")&amp;"–"&amp;TEXT(Players!M309,"0.0")</f>
        <v>91.7–91.7</v>
      </c>
      <c r="F109" s="0" t="str">
        <f aca="false">IF(AND(Players!M308&lt;=C109+0.000000001,C109&lt;=Players!M309+0.000000001),"OK","ERROR")</f>
        <v>OK</v>
      </c>
      <c r="G109" s="5" t="s">
        <v>6611</v>
      </c>
    </row>
    <row r="110" customFormat="false" ht="17.15" hidden="false" customHeight="false" outlineLevel="0" collapsed="false">
      <c r="A110" s="0" t="s">
        <v>6761</v>
      </c>
      <c r="B110" s="0" t="s">
        <v>6762</v>
      </c>
      <c r="C110" s="0" t="n">
        <v>0</v>
      </c>
      <c r="F110" s="0" t="str">
        <f aca="false">IF(C110=0,"OK","ERROR")</f>
        <v>OK</v>
      </c>
      <c r="G110" s="5" t="s">
        <v>6763</v>
      </c>
      <c r="H110" s="5" t="s">
        <v>6764</v>
      </c>
    </row>
    <row r="111" customFormat="false" ht="17.15" hidden="false" customHeight="false" outlineLevel="0" collapsed="false">
      <c r="A111" s="0" t="s">
        <v>6765</v>
      </c>
      <c r="B111" s="0" t="s">
        <v>6766</v>
      </c>
      <c r="C111" s="0" t="n">
        <v>967</v>
      </c>
      <c r="F111" s="0" t="str">
        <f aca="false">IF(C111&gt;0,"OK","WARN")</f>
        <v>OK</v>
      </c>
      <c r="G111" s="5" t="s">
        <v>6763</v>
      </c>
    </row>
    <row r="112" customFormat="false" ht="17.15" hidden="false" customHeight="false" outlineLevel="0" collapsed="false">
      <c r="A112" s="0" t="s">
        <v>6767</v>
      </c>
      <c r="B112" s="5" t="s">
        <v>6768</v>
      </c>
      <c r="C112" s="0" t="n">
        <f aca="false">COUNTIF(Interface!D7:L7,"&lt;0.5")</f>
        <v>3</v>
      </c>
      <c r="F112" s="0" t="str">
        <f aca="false">IF(C112=0,"OK","WARN")</f>
        <v>WARN</v>
      </c>
      <c r="G112" s="5" t="s">
        <v>6769</v>
      </c>
      <c r="H112" s="0" t="s">
        <v>6770</v>
      </c>
    </row>
    <row r="113" customFormat="false" ht="17.15" hidden="false" customHeight="false" outlineLevel="0" collapsed="false">
      <c r="A113" s="0" t="s">
        <v>6771</v>
      </c>
      <c r="B113" s="0" t="s">
        <v>6772</v>
      </c>
      <c r="C113" s="25" t="n">
        <f aca="false">Deploy!E13</f>
        <v>6.20938570515285</v>
      </c>
      <c r="D113" s="25" t="n">
        <f aca="false">Deploy!E62</f>
        <v>6.20938570515285</v>
      </c>
      <c r="E113" s="21" t="n">
        <f aca="false">C113-D113</f>
        <v>0</v>
      </c>
      <c r="F113" s="0" t="str">
        <f aca="false">IF(ABS(E113)&lt;0.000000001,"OK","ERROR")</f>
        <v>OK</v>
      </c>
      <c r="G113" s="5" t="s">
        <v>6578</v>
      </c>
    </row>
    <row r="114" customFormat="false" ht="17.15" hidden="false" customHeight="false" outlineLevel="0" collapsed="false">
      <c r="A114" s="0" t="s">
        <v>6773</v>
      </c>
      <c r="B114" s="0" t="s">
        <v>6774</v>
      </c>
      <c r="C114" s="25" t="n">
        <f aca="false">Deploy!F13</f>
        <v>25.3371433333333</v>
      </c>
      <c r="D114" s="25" t="n">
        <f aca="false">Deploy!F62</f>
        <v>25.3371433333333</v>
      </c>
      <c r="E114" s="21" t="n">
        <f aca="false">C114-D114</f>
        <v>0</v>
      </c>
      <c r="F114" s="0" t="str">
        <f aca="false">IF(ABS(E114)&lt;0.000000001,"OK","ERROR")</f>
        <v>OK</v>
      </c>
      <c r="G114" s="5" t="s">
        <v>6578</v>
      </c>
    </row>
    <row r="115" customFormat="false" ht="17.15" hidden="false" customHeight="false" outlineLevel="0" collapsed="false">
      <c r="A115" s="0" t="s">
        <v>6775</v>
      </c>
      <c r="B115" s="0" t="s">
        <v>6776</v>
      </c>
      <c r="C115" s="25" t="n">
        <f aca="false">Deploy!G13</f>
        <v>37.8525147943925</v>
      </c>
      <c r="D115" s="25" t="n">
        <f aca="false">Deploy!G62</f>
        <v>37.8525147943925</v>
      </c>
      <c r="E115" s="21" t="n">
        <f aca="false">C115-D115</f>
        <v>0</v>
      </c>
      <c r="F115" s="0" t="str">
        <f aca="false">IF(ABS(E115)&lt;0.000000001,"OK","ERROR")</f>
        <v>OK</v>
      </c>
      <c r="G115" s="5" t="s">
        <v>6578</v>
      </c>
    </row>
    <row r="116" customFormat="false" ht="17.15" hidden="false" customHeight="false" outlineLevel="0" collapsed="false">
      <c r="A116" s="0" t="s">
        <v>6777</v>
      </c>
      <c r="B116" s="5" t="s">
        <v>6778</v>
      </c>
      <c r="C116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6" s="0" t="str">
        <f aca="false">IF(C116=0,"OK","ERROR")</f>
        <v>OK</v>
      </c>
      <c r="G116" s="5" t="s">
        <v>6611</v>
      </c>
    </row>
    <row r="117" customFormat="false" ht="17.15" hidden="false" customHeight="false" outlineLevel="0" collapsed="false">
      <c r="A117" s="0" t="s">
        <v>6779</v>
      </c>
      <c r="B117" s="0" t="s">
        <v>6780</v>
      </c>
      <c r="C117" s="0" t="n">
        <f aca="false">SUMPRODUCT(Pipeline!L5:L134,Pipeline!Q5:Q134,(Pipeline!K5:K134&gt;asof)*1,((Pipeline!J5:J134&gt;0)+(Pipeline!J5:J134&lt;=0)*dly_d1_s)*(Pipeline!O5:O134-Pipeline!M5:M134)*12)</f>
        <v>72.90885</v>
      </c>
      <c r="D117" s="0" t="n">
        <f aca="false">SUMPRODUCT(ISTEXT(Pipeline!J5:J134)*1)</f>
        <v>0</v>
      </c>
      <c r="F117" s="0" t="str">
        <f aca="false">IF(AND(C117&gt;0,D117=0),"OK","ERROR")</f>
        <v>OK</v>
      </c>
      <c r="G117" s="5" t="s">
        <v>6611</v>
      </c>
      <c r="H117" s="0" t="s">
        <v>6781</v>
      </c>
    </row>
    <row r="118" customFormat="false" ht="17.15" hidden="false" customHeight="false" outlineLevel="0" collapsed="false">
      <c r="A118" s="0" t="s">
        <v>6782</v>
      </c>
      <c r="B118" s="0" t="s">
        <v>6783</v>
      </c>
      <c r="C118" s="25" t="n">
        <f aca="false">Deploy!H63</f>
        <v>47.9518803554443</v>
      </c>
      <c r="D118" s="25" t="n">
        <f aca="false">Deploy!H62</f>
        <v>50.4556599188997</v>
      </c>
      <c r="F118" s="0" t="str">
        <f aca="false">IF(C118&lt;D118-0.000001,"OK","ERROR")</f>
        <v>OK</v>
      </c>
      <c r="G118" s="5" t="s">
        <v>6611</v>
      </c>
    </row>
    <row r="119" customFormat="false" ht="17.15" hidden="false" customHeight="false" outlineLevel="0" collapsed="false">
      <c r="A119" s="0" t="s">
        <v>6784</v>
      </c>
      <c r="B119" s="0" t="s">
        <v>6785</v>
      </c>
      <c r="C119" s="25" t="n">
        <f aca="false">Deploy!J63</f>
        <v>74.627124911215</v>
      </c>
      <c r="D119" s="25" t="n">
        <f aca="false">Deploy!J62</f>
        <v>76.1447286441395</v>
      </c>
      <c r="F119" s="0" t="str">
        <f aca="false">IF(C119&lt;D119-0.000001,"OK","ERROR")</f>
        <v>OK</v>
      </c>
      <c r="G119" s="5" t="s">
        <v>6611</v>
      </c>
    </row>
    <row r="120" customFormat="false" ht="17.15" hidden="false" customHeight="false" outlineLevel="0" collapsed="false">
      <c r="A120" s="0" t="s">
        <v>6786</v>
      </c>
      <c r="B120" s="0" t="s">
        <v>6787</v>
      </c>
      <c r="C120" s="30" t="n">
        <f aca="false">Facility!D15</f>
        <v>12.67</v>
      </c>
      <c r="D120" s="30" t="n">
        <f aca="false">Facility!D4</f>
        <v>12.67</v>
      </c>
      <c r="E120" s="21" t="n">
        <f aca="false">C120-D120</f>
        <v>0</v>
      </c>
      <c r="F120" s="0" t="str">
        <f aca="false">IF(ABS(E120)&lt;0.000000001,"OK","ERROR")</f>
        <v>OK</v>
      </c>
      <c r="G120" s="5" t="s">
        <v>6578</v>
      </c>
    </row>
    <row r="121" customFormat="false" ht="17.15" hidden="false" customHeight="false" outlineLevel="0" collapsed="false">
      <c r="A121" s="0" t="s">
        <v>6788</v>
      </c>
      <c r="B121" s="0" t="s">
        <v>6789</v>
      </c>
      <c r="C121" s="30" t="n">
        <f aca="false">Facility!E15</f>
        <v>12.67</v>
      </c>
      <c r="D121" s="30" t="n">
        <f aca="false">Facility!E4</f>
        <v>12.67</v>
      </c>
      <c r="E121" s="21" t="n">
        <f aca="false">C121-D121</f>
        <v>0</v>
      </c>
      <c r="F121" s="0" t="str">
        <f aca="false">IF(ABS(E121)&lt;0.000000001,"OK","ERROR")</f>
        <v>OK</v>
      </c>
      <c r="G121" s="5" t="s">
        <v>6578</v>
      </c>
    </row>
    <row r="122" customFormat="false" ht="17.15" hidden="false" customHeight="false" outlineLevel="0" collapsed="false">
      <c r="A122" s="0" t="s">
        <v>6790</v>
      </c>
      <c r="B122" s="0" t="s">
        <v>6791</v>
      </c>
      <c r="C122" s="30" t="n">
        <f aca="false">Facility!F15</f>
        <v>12.67</v>
      </c>
      <c r="D122" s="30" t="n">
        <f aca="false">Facility!F4</f>
        <v>12.67</v>
      </c>
      <c r="E122" s="21" t="n">
        <f aca="false">C122-D122</f>
        <v>0</v>
      </c>
      <c r="F122" s="0" t="str">
        <f aca="false">IF(ABS(E122)&lt;0.000000001,"OK","ERROR")</f>
        <v>OK</v>
      </c>
      <c r="G122" s="5" t="s">
        <v>6578</v>
      </c>
    </row>
    <row r="123" customFormat="false" ht="17.15" hidden="false" customHeight="false" outlineLevel="0" collapsed="false">
      <c r="A123" s="0" t="s">
        <v>6792</v>
      </c>
      <c r="B123" s="0" t="s">
        <v>6793</v>
      </c>
      <c r="C123" s="30" t="n">
        <f aca="false">Facility!G15</f>
        <v>12.67</v>
      </c>
      <c r="D123" s="30" t="n">
        <f aca="false">Facility!G4</f>
        <v>12.67</v>
      </c>
      <c r="E123" s="21" t="n">
        <f aca="false">C123-D123</f>
        <v>0</v>
      </c>
      <c r="F123" s="0" t="str">
        <f aca="false">IF(ABS(E123)&lt;0.000000001,"OK","ERROR")</f>
        <v>OK</v>
      </c>
      <c r="G123" s="5" t="s">
        <v>6578</v>
      </c>
    </row>
    <row r="124" customFormat="false" ht="17.15" hidden="false" customHeight="false" outlineLevel="0" collapsed="false">
      <c r="A124" s="0" t="s">
        <v>6794</v>
      </c>
      <c r="B124" s="0" t="s">
        <v>6795</v>
      </c>
      <c r="C124" s="30" t="n">
        <f aca="false">Facility!H15</f>
        <v>12.67</v>
      </c>
      <c r="D124" s="30" t="n">
        <f aca="false">Facility!H4</f>
        <v>12.67</v>
      </c>
      <c r="E124" s="21" t="n">
        <f aca="false">C124-D124</f>
        <v>0</v>
      </c>
      <c r="F124" s="0" t="str">
        <f aca="false">IF(ABS(E124)&lt;0.000000001,"OK","ERROR")</f>
        <v>OK</v>
      </c>
      <c r="G124" s="5" t="s">
        <v>6578</v>
      </c>
    </row>
    <row r="125" customFormat="false" ht="17.15" hidden="false" customHeight="false" outlineLevel="0" collapsed="false">
      <c r="A125" s="0" t="s">
        <v>6796</v>
      </c>
      <c r="B125" s="0" t="s">
        <v>6797</v>
      </c>
      <c r="C125" s="30" t="n">
        <f aca="false">Facility!I15</f>
        <v>12.67</v>
      </c>
      <c r="D125" s="30" t="n">
        <f aca="false">Facility!I4</f>
        <v>12.67</v>
      </c>
      <c r="E125" s="21" t="n">
        <f aca="false">C125-D125</f>
        <v>0</v>
      </c>
      <c r="F125" s="0" t="str">
        <f aca="false">IF(ABS(E125)&lt;0.000000001,"OK","ERROR")</f>
        <v>OK</v>
      </c>
      <c r="G125" s="5" t="s">
        <v>6578</v>
      </c>
    </row>
    <row r="126" customFormat="false" ht="17.15" hidden="false" customHeight="false" outlineLevel="0" collapsed="false">
      <c r="A126" s="0" t="s">
        <v>6798</v>
      </c>
      <c r="B126" s="0" t="s">
        <v>6799</v>
      </c>
      <c r="C126" s="30" t="n">
        <f aca="false">Facility!J15</f>
        <v>12.67</v>
      </c>
      <c r="D126" s="30" t="n">
        <f aca="false">Facility!J4</f>
        <v>12.67</v>
      </c>
      <c r="E126" s="21" t="n">
        <f aca="false">C126-D126</f>
        <v>0</v>
      </c>
      <c r="F126" s="0" t="str">
        <f aca="false">IF(ABS(E126)&lt;0.000000001,"OK","ERROR")</f>
        <v>OK</v>
      </c>
      <c r="G126" s="5" t="s">
        <v>6578</v>
      </c>
    </row>
    <row r="127" customFormat="false" ht="17.15" hidden="false" customHeight="false" outlineLevel="0" collapsed="false">
      <c r="A127" s="0" t="s">
        <v>6800</v>
      </c>
      <c r="B127" s="0" t="s">
        <v>6801</v>
      </c>
      <c r="C127" s="30" t="n">
        <f aca="false">Facility!K15</f>
        <v>12.67</v>
      </c>
      <c r="D127" s="30" t="n">
        <f aca="false">Facility!K4</f>
        <v>12.67</v>
      </c>
      <c r="E127" s="21" t="n">
        <f aca="false">C127-D127</f>
        <v>0</v>
      </c>
      <c r="F127" s="0" t="str">
        <f aca="false">IF(ABS(E127)&lt;0.000000001,"OK","ERROR")</f>
        <v>OK</v>
      </c>
      <c r="G127" s="5" t="s">
        <v>6578</v>
      </c>
    </row>
    <row r="128" customFormat="false" ht="17.15" hidden="false" customHeight="false" outlineLevel="0" collapsed="false">
      <c r="A128" s="0" t="s">
        <v>6802</v>
      </c>
      <c r="B128" s="0" t="s">
        <v>6803</v>
      </c>
      <c r="C128" s="30" t="n">
        <f aca="false">Facility!L15</f>
        <v>12.67</v>
      </c>
      <c r="D128" s="30" t="n">
        <f aca="false">Facility!L4</f>
        <v>12.67</v>
      </c>
      <c r="E128" s="21" t="n">
        <f aca="false">C128-D128</f>
        <v>0</v>
      </c>
      <c r="F128" s="0" t="str">
        <f aca="false">IF(ABS(E128)&lt;0.000000001,"OK","ERROR")</f>
        <v>OK</v>
      </c>
      <c r="G128" s="5" t="s">
        <v>6578</v>
      </c>
    </row>
    <row r="129" customFormat="false" ht="17.15" hidden="false" customHeight="false" outlineLevel="0" collapsed="false">
      <c r="A129" s="0" t="s">
        <v>6804</v>
      </c>
      <c r="B129" s="0" t="s">
        <v>6805</v>
      </c>
      <c r="C129" s="30" t="n">
        <f aca="false">Facility!M15</f>
        <v>12.67</v>
      </c>
      <c r="D129" s="30" t="n">
        <f aca="false">Facility!M4</f>
        <v>12.67</v>
      </c>
      <c r="E129" s="21" t="n">
        <f aca="false">C129-D129</f>
        <v>0</v>
      </c>
      <c r="F129" s="0" t="str">
        <f aca="false">IF(ABS(E129)&lt;0.000000001,"OK","ERROR")</f>
        <v>OK</v>
      </c>
      <c r="G129" s="5" t="s">
        <v>6578</v>
      </c>
    </row>
    <row r="130" customFormat="false" ht="17.15" hidden="false" customHeight="false" outlineLevel="0" collapsed="false">
      <c r="A130" s="0" t="s">
        <v>6806</v>
      </c>
      <c r="B130" s="0" t="s">
        <v>6807</v>
      </c>
      <c r="C130" s="30" t="n">
        <f aca="false">Facility!G14</f>
        <v>0.0200000000000014</v>
      </c>
      <c r="F130" s="0" t="str">
        <f aca="false">IF(ABS(C130)&lt;=0.5,"OK","WARN")</f>
        <v>OK</v>
      </c>
      <c r="G130" s="5" t="s">
        <v>6611</v>
      </c>
    </row>
    <row r="131" customFormat="false" ht="17.15" hidden="false" customHeight="false" outlineLevel="0" collapsed="false">
      <c r="A131" s="0" t="s">
        <v>6808</v>
      </c>
      <c r="B131" s="0" t="s">
        <v>6809</v>
      </c>
      <c r="C131" s="24" t="n">
        <f aca="false">SegIn!C12</f>
        <v>1</v>
      </c>
      <c r="D131" s="0" t="n">
        <v>1</v>
      </c>
      <c r="F131" s="0" t="str">
        <f aca="false">IF(ABS(C131-1)&lt;0.001,"OK","ERROR")</f>
        <v>OK</v>
      </c>
      <c r="G131" s="5" t="s">
        <v>6578</v>
      </c>
    </row>
    <row r="132" customFormat="false" ht="17.15" hidden="false" customHeight="false" outlineLevel="0" collapsed="false">
      <c r="A132" s="0" t="s">
        <v>6810</v>
      </c>
      <c r="B132" s="0" t="s">
        <v>6811</v>
      </c>
      <c r="C132" s="33" t="n">
        <f aca="false">Spend!D16</f>
        <v>0</v>
      </c>
      <c r="D132" s="21" t="n">
        <f aca="false">Spend!D4*Spend!D5</f>
        <v>0</v>
      </c>
      <c r="E132" s="21" t="n">
        <f aca="false">C132-D132</f>
        <v>0</v>
      </c>
      <c r="F132" s="0" t="str">
        <f aca="false">IF(ABS(E132)&lt;0.000001,"OK","ERROR")</f>
        <v>OK</v>
      </c>
      <c r="G132" s="5" t="s">
        <v>6578</v>
      </c>
    </row>
    <row r="133" customFormat="false" ht="17.15" hidden="false" customHeight="false" outlineLevel="0" collapsed="false">
      <c r="A133" s="0" t="s">
        <v>6812</v>
      </c>
      <c r="B133" s="0" t="s">
        <v>6813</v>
      </c>
      <c r="C133" s="33" t="n">
        <f aca="false">Spend!E16</f>
        <v>43.663252190161</v>
      </c>
      <c r="D133" s="21" t="n">
        <f aca="false">Spend!E4*Spend!E5</f>
        <v>43.663252190161</v>
      </c>
      <c r="E133" s="21" t="n">
        <f aca="false">C133-D133</f>
        <v>0</v>
      </c>
      <c r="F133" s="0" t="str">
        <f aca="false">IF(ABS(E133)&lt;0.000001,"OK","ERROR")</f>
        <v>OK</v>
      </c>
      <c r="G133" s="5" t="s">
        <v>6578</v>
      </c>
    </row>
    <row r="134" customFormat="false" ht="17.15" hidden="false" customHeight="false" outlineLevel="0" collapsed="false">
      <c r="A134" s="0" t="s">
        <v>6814</v>
      </c>
      <c r="B134" s="0" t="s">
        <v>6815</v>
      </c>
      <c r="C134" s="33" t="n">
        <f aca="false">Spend!F16</f>
        <v>233.578450255195</v>
      </c>
      <c r="D134" s="21" t="n">
        <f aca="false">Spend!F4*Spend!F5</f>
        <v>233.578450255195</v>
      </c>
      <c r="E134" s="21" t="n">
        <f aca="false">C134-D134</f>
        <v>0</v>
      </c>
      <c r="F134" s="0" t="str">
        <f aca="false">IF(ABS(E134)&lt;0.000001,"OK","ERROR")</f>
        <v>OK</v>
      </c>
      <c r="G134" s="5" t="s">
        <v>6578</v>
      </c>
    </row>
    <row r="135" customFormat="false" ht="17.15" hidden="false" customHeight="false" outlineLevel="0" collapsed="false">
      <c r="A135" s="0" t="s">
        <v>6816</v>
      </c>
      <c r="B135" s="0" t="s">
        <v>6817</v>
      </c>
      <c r="C135" s="33" t="n">
        <f aca="false">Spend!G16</f>
        <v>393.649521615031</v>
      </c>
      <c r="D135" s="21" t="n">
        <f aca="false">Spend!G4*Spend!G5</f>
        <v>393.649521615031</v>
      </c>
      <c r="E135" s="21" t="n">
        <f aca="false">C135-D135</f>
        <v>0</v>
      </c>
      <c r="F135" s="0" t="str">
        <f aca="false">IF(ABS(E135)&lt;0.000001,"OK","ERROR")</f>
        <v>OK</v>
      </c>
      <c r="G135" s="5" t="s">
        <v>6578</v>
      </c>
    </row>
    <row r="136" customFormat="false" ht="17.15" hidden="false" customHeight="false" outlineLevel="0" collapsed="false">
      <c r="A136" s="0" t="s">
        <v>6818</v>
      </c>
      <c r="B136" s="0" t="s">
        <v>6819</v>
      </c>
      <c r="C136" s="33" t="n">
        <f aca="false">Spend!H16</f>
        <v>832.617453978906</v>
      </c>
      <c r="D136" s="21" t="n">
        <f aca="false">Spend!H4*Spend!H5</f>
        <v>832.617453978906</v>
      </c>
      <c r="E136" s="21" t="n">
        <f aca="false">C136-D136</f>
        <v>0</v>
      </c>
      <c r="F136" s="0" t="str">
        <f aca="false">IF(ABS(E136)&lt;0.000001,"OK","ERROR")</f>
        <v>OK</v>
      </c>
      <c r="G136" s="5" t="s">
        <v>6578</v>
      </c>
    </row>
    <row r="137" customFormat="false" ht="17.15" hidden="false" customHeight="false" outlineLevel="0" collapsed="false">
      <c r="A137" s="0" t="s">
        <v>6820</v>
      </c>
      <c r="B137" s="0" t="s">
        <v>6821</v>
      </c>
      <c r="C137" s="33" t="n">
        <f aca="false">Spend!I16</f>
        <v>995.577562853289</v>
      </c>
      <c r="D137" s="21" t="n">
        <f aca="false">Spend!I4*Spend!I5</f>
        <v>995.577562853289</v>
      </c>
      <c r="E137" s="21" t="n">
        <f aca="false">C137-D137</f>
        <v>0</v>
      </c>
      <c r="F137" s="0" t="str">
        <f aca="false">IF(ABS(E137)&lt;0.000001,"OK","ERROR")</f>
        <v>OK</v>
      </c>
      <c r="G137" s="5" t="s">
        <v>6578</v>
      </c>
    </row>
    <row r="138" customFormat="false" ht="17.15" hidden="false" customHeight="false" outlineLevel="0" collapsed="false">
      <c r="A138" s="0" t="s">
        <v>6822</v>
      </c>
      <c r="B138" s="0" t="s">
        <v>6823</v>
      </c>
      <c r="C138" s="33" t="n">
        <f aca="false">Spend!J16</f>
        <v>1021.80155343636</v>
      </c>
      <c r="D138" s="21" t="n">
        <f aca="false">Spend!J4*Spend!J5</f>
        <v>1021.80155343636</v>
      </c>
      <c r="E138" s="21" t="n">
        <f aca="false">C138-D138</f>
        <v>0</v>
      </c>
      <c r="F138" s="0" t="str">
        <f aca="false">IF(ABS(E138)&lt;0.000001,"OK","ERROR")</f>
        <v>OK</v>
      </c>
      <c r="G138" s="5" t="s">
        <v>6578</v>
      </c>
    </row>
    <row r="139" customFormat="false" ht="17.15" hidden="false" customHeight="false" outlineLevel="0" collapsed="false">
      <c r="A139" s="0" t="s">
        <v>6824</v>
      </c>
      <c r="B139" s="0" t="s">
        <v>6825</v>
      </c>
      <c r="C139" s="33" t="n">
        <f aca="false">Spend!K16</f>
        <v>1036.87756605193</v>
      </c>
      <c r="D139" s="21" t="n">
        <f aca="false">Spend!K4*Spend!K5</f>
        <v>1036.87756605193</v>
      </c>
      <c r="E139" s="21" t="n">
        <f aca="false">C139-D139</f>
        <v>0</v>
      </c>
      <c r="F139" s="0" t="str">
        <f aca="false">IF(ABS(E139)&lt;0.000001,"OK","ERROR")</f>
        <v>OK</v>
      </c>
      <c r="G139" s="5" t="s">
        <v>6578</v>
      </c>
    </row>
    <row r="140" customFormat="false" ht="17.15" hidden="false" customHeight="false" outlineLevel="0" collapsed="false">
      <c r="A140" s="0" t="s">
        <v>6826</v>
      </c>
      <c r="B140" s="0" t="s">
        <v>6827</v>
      </c>
      <c r="C140" s="33" t="n">
        <f aca="false">Spend!L16</f>
        <v>910.285719813996</v>
      </c>
      <c r="D140" s="21" t="n">
        <f aca="false">Spend!L4*Spend!L5</f>
        <v>910.285719813996</v>
      </c>
      <c r="E140" s="21" t="n">
        <f aca="false">C140-D140</f>
        <v>0</v>
      </c>
      <c r="F140" s="0" t="str">
        <f aca="false">IF(ABS(E140)&lt;0.000001,"OK","ERROR")</f>
        <v>OK</v>
      </c>
      <c r="G140" s="5" t="s">
        <v>6578</v>
      </c>
    </row>
    <row r="141" customFormat="false" ht="17.15" hidden="false" customHeight="false" outlineLevel="0" collapsed="false">
      <c r="A141" s="0" t="s">
        <v>6828</v>
      </c>
      <c r="B141" s="0" t="s">
        <v>6829</v>
      </c>
      <c r="C141" s="33" t="n">
        <f aca="false">Spend!M16</f>
        <v>624.666988937058</v>
      </c>
      <c r="D141" s="21" t="n">
        <f aca="false">Spend!M4*Spend!M5</f>
        <v>624.666988937058</v>
      </c>
      <c r="E141" s="21" t="n">
        <f aca="false">C141-D141</f>
        <v>0</v>
      </c>
      <c r="F141" s="0" t="str">
        <f aca="false">IF(ABS(E141)&lt;0.000001,"OK","ERROR")</f>
        <v>OK</v>
      </c>
      <c r="G141" s="5" t="s">
        <v>6578</v>
      </c>
    </row>
    <row r="142" customFormat="false" ht="17.15" hidden="false" customHeight="false" outlineLevel="0" collapsed="false">
      <c r="A142" s="0" t="s">
        <v>6830</v>
      </c>
      <c r="B142" s="0" t="s">
        <v>6831</v>
      </c>
      <c r="C142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2" s="0" t="str">
        <f aca="false">IF(C142=0,"OK","ERROR")</f>
        <v>OK</v>
      </c>
      <c r="G142" s="5" t="s">
        <v>6578</v>
      </c>
    </row>
    <row r="143" customFormat="false" ht="17.15" hidden="false" customHeight="false" outlineLevel="0" collapsed="false">
      <c r="A143" s="0" t="s">
        <v>6832</v>
      </c>
      <c r="B143" s="0" t="s">
        <v>6833</v>
      </c>
      <c r="C143" s="0" t="n">
        <v>0</v>
      </c>
      <c r="F143" s="0" t="str">
        <f aca="false">IF(C143=0,"OK","ERROR")</f>
        <v>OK</v>
      </c>
      <c r="G143" s="5" t="s">
        <v>6763</v>
      </c>
    </row>
    <row r="144" customFormat="false" ht="17.15" hidden="false" customHeight="false" outlineLevel="0" collapsed="false">
      <c r="A144" s="0" t="s">
        <v>6834</v>
      </c>
      <c r="B144" s="0" t="s">
        <v>6835</v>
      </c>
      <c r="C144" s="0" t="n">
        <f aca="false">N(Funding!U30)</f>
        <v>36</v>
      </c>
      <c r="D144" s="0" t="n">
        <f aca="false">N(Funding!L30)</f>
        <v>35</v>
      </c>
      <c r="F144" s="0" t="str">
        <f aca="false">IF(AND(C144=36,D144=35),"OK","ERROR")</f>
        <v>OK</v>
      </c>
      <c r="G144" s="5" t="s">
        <v>6836</v>
      </c>
    </row>
    <row r="145" customFormat="false" ht="17.15" hidden="false" customHeight="false" outlineLevel="0" collapsed="false">
      <c r="A145" s="0" t="s">
        <v>6837</v>
      </c>
      <c r="B145" s="0" t="s">
        <v>6838</v>
      </c>
      <c r="C145" s="33" t="n">
        <f aca="false">Funding!AL9</f>
        <v>64.564</v>
      </c>
      <c r="D145" s="0" t="n">
        <v>64.564</v>
      </c>
      <c r="F145" s="0" t="str">
        <f aca="false">IF(C145&gt;=D145-0.000001,"OK","ERROR")</f>
        <v>OK</v>
      </c>
      <c r="G145" s="5" t="s">
        <v>6839</v>
      </c>
    </row>
    <row r="146" customFormat="false" ht="17.15" hidden="false" customHeight="false" outlineLevel="0" collapsed="false">
      <c r="A146" s="0" t="s">
        <v>6840</v>
      </c>
      <c r="B146" s="0" t="s">
        <v>6841</v>
      </c>
      <c r="C146" s="33" t="n">
        <f aca="false">Funding!AL15</f>
        <v>57.3</v>
      </c>
      <c r="D146" s="0" t="n">
        <v>57.3</v>
      </c>
      <c r="F146" s="0" t="str">
        <f aca="false">IF(C146&gt;=D146-0.000001,"OK","ERROR")</f>
        <v>OK</v>
      </c>
      <c r="G146" s="5" t="s">
        <v>6839</v>
      </c>
    </row>
    <row r="147" customFormat="false" ht="17.15" hidden="false" customHeight="false" outlineLevel="0" collapsed="false">
      <c r="A147" s="0" t="s">
        <v>6842</v>
      </c>
      <c r="B147" s="5" t="s">
        <v>6843</v>
      </c>
      <c r="C147" s="0" t="n">
        <v>17</v>
      </c>
      <c r="F147" s="0" t="str">
        <f aca="false">IF(C147=17,"OK","ERROR")</f>
        <v>OK</v>
      </c>
      <c r="G147" s="5" t="s">
        <v>6541</v>
      </c>
    </row>
    <row r="148" customFormat="false" ht="17.15" hidden="false" customHeight="false" outlineLevel="0" collapsed="false">
      <c r="A148" s="0" t="s">
        <v>6844</v>
      </c>
      <c r="B148" s="0" t="s">
        <v>6845</v>
      </c>
      <c r="C148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8" s="0" t="str">
        <f aca="false">IF(C148=0,"OK","WARN")</f>
        <v>OK</v>
      </c>
      <c r="G148" s="5" t="s">
        <v>6611</v>
      </c>
    </row>
    <row r="149" customFormat="false" ht="17.15" hidden="false" customHeight="false" outlineLevel="0" collapsed="false">
      <c r="A149" s="0" t="s">
        <v>6846</v>
      </c>
      <c r="B149" s="0" t="s">
        <v>6847</v>
      </c>
      <c r="C149" s="30" t="n">
        <f aca="false">Gap!D30</f>
        <v>38.629833744513</v>
      </c>
      <c r="D149" s="30" t="n">
        <f aca="false">Gap!D10</f>
        <v>38.629833744513</v>
      </c>
      <c r="E149" s="21" t="n">
        <f aca="false">C149-D149</f>
        <v>0</v>
      </c>
      <c r="F149" s="0" t="str">
        <f aca="false">IF(ABS(E149)&lt;0.000001,"OK","ERROR")</f>
        <v>OK</v>
      </c>
      <c r="G149" s="5" t="s">
        <v>6848</v>
      </c>
    </row>
    <row r="150" customFormat="false" ht="17.15" hidden="false" customHeight="false" outlineLevel="0" collapsed="false">
      <c r="A150" s="0" t="s">
        <v>6849</v>
      </c>
      <c r="B150" s="0" t="s">
        <v>6850</v>
      </c>
      <c r="C150" s="30" t="n">
        <f aca="false">Gap!E30</f>
        <v>38.629833744513</v>
      </c>
      <c r="D150" s="30" t="n">
        <f aca="false">Gap!E10</f>
        <v>38.629833744513</v>
      </c>
      <c r="E150" s="21" t="n">
        <f aca="false">C150-D150</f>
        <v>0</v>
      </c>
      <c r="F150" s="0" t="str">
        <f aca="false">IF(ABS(E150)&lt;0.000001,"OK","ERROR")</f>
        <v>OK</v>
      </c>
      <c r="G150" s="5" t="s">
        <v>6848</v>
      </c>
    </row>
    <row r="151" customFormat="false" ht="17.15" hidden="false" customHeight="false" outlineLevel="0" collapsed="false">
      <c r="A151" s="0" t="s">
        <v>6851</v>
      </c>
      <c r="B151" s="0" t="s">
        <v>6852</v>
      </c>
      <c r="C151" s="30" t="n">
        <f aca="false">Gap!F30</f>
        <v>37.4862910698083</v>
      </c>
      <c r="D151" s="30" t="n">
        <f aca="false">Gap!F10</f>
        <v>37.4862910698083</v>
      </c>
      <c r="E151" s="21" t="n">
        <f aca="false">C151-D151</f>
        <v>0</v>
      </c>
      <c r="F151" s="0" t="str">
        <f aca="false">IF(ABS(E151)&lt;0.000001,"OK","ERROR")</f>
        <v>OK</v>
      </c>
      <c r="G151" s="5" t="s">
        <v>6848</v>
      </c>
    </row>
    <row r="152" customFormat="false" ht="17.15" hidden="false" customHeight="false" outlineLevel="0" collapsed="false">
      <c r="A152" s="0" t="s">
        <v>6853</v>
      </c>
      <c r="B152" s="0" t="s">
        <v>6854</v>
      </c>
      <c r="C152" s="30" t="n">
        <f aca="false">Gap!G30</f>
        <v>43.1273029840416</v>
      </c>
      <c r="D152" s="30" t="n">
        <f aca="false">Gap!G10</f>
        <v>43.1273029840416</v>
      </c>
      <c r="E152" s="21" t="n">
        <f aca="false">C152-D152</f>
        <v>0</v>
      </c>
      <c r="F152" s="0" t="str">
        <f aca="false">IF(ABS(E152)&lt;0.000001,"OK","ERROR")</f>
        <v>OK</v>
      </c>
      <c r="G152" s="5" t="s">
        <v>6848</v>
      </c>
    </row>
    <row r="153" customFormat="false" ht="17.15" hidden="false" customHeight="false" outlineLevel="0" collapsed="false">
      <c r="A153" s="0" t="s">
        <v>6855</v>
      </c>
      <c r="B153" s="0" t="s">
        <v>6856</v>
      </c>
      <c r="C153" s="30" t="n">
        <f aca="false">Gap!H30</f>
        <v>46.2751762378003</v>
      </c>
      <c r="D153" s="30" t="n">
        <f aca="false">Gap!H10</f>
        <v>46.2751762378003</v>
      </c>
      <c r="E153" s="21" t="n">
        <f aca="false">C153-D153</f>
        <v>0</v>
      </c>
      <c r="F153" s="0" t="str">
        <f aca="false">IF(ABS(E153)&lt;0.000001,"OK","ERROR")</f>
        <v>OK</v>
      </c>
      <c r="G153" s="5" t="s">
        <v>6848</v>
      </c>
    </row>
    <row r="154" customFormat="false" ht="17.15" hidden="false" customHeight="false" outlineLevel="0" collapsed="false">
      <c r="A154" s="0" t="s">
        <v>6857</v>
      </c>
      <c r="B154" s="0" t="s">
        <v>6858</v>
      </c>
      <c r="C154" s="30" t="n">
        <f aca="false">Gap!I30</f>
        <v>48.5209846706899</v>
      </c>
      <c r="D154" s="30" t="n">
        <f aca="false">Gap!I10</f>
        <v>48.5209846706899</v>
      </c>
      <c r="E154" s="21" t="n">
        <f aca="false">C154-D154</f>
        <v>0</v>
      </c>
      <c r="F154" s="0" t="str">
        <f aca="false">IF(ABS(E154)&lt;0.000001,"OK","ERROR")</f>
        <v>OK</v>
      </c>
      <c r="G154" s="5" t="s">
        <v>6848</v>
      </c>
    </row>
    <row r="155" customFormat="false" ht="17.15" hidden="false" customHeight="false" outlineLevel="0" collapsed="false">
      <c r="A155" s="0" t="s">
        <v>6859</v>
      </c>
      <c r="B155" s="0" t="s">
        <v>6860</v>
      </c>
      <c r="C155" s="30" t="n">
        <f aca="false">Gap!J30</f>
        <v>48.4688133677891</v>
      </c>
      <c r="D155" s="30" t="n">
        <f aca="false">Gap!J10</f>
        <v>48.4688133677891</v>
      </c>
      <c r="E155" s="21" t="n">
        <f aca="false">C155-D155</f>
        <v>0</v>
      </c>
      <c r="F155" s="0" t="str">
        <f aca="false">IF(ABS(E155)&lt;0.000001,"OK","ERROR")</f>
        <v>OK</v>
      </c>
      <c r="G155" s="5" t="s">
        <v>6848</v>
      </c>
    </row>
    <row r="156" customFormat="false" ht="17.15" hidden="false" customHeight="false" outlineLevel="0" collapsed="false">
      <c r="A156" s="0" t="s">
        <v>6861</v>
      </c>
      <c r="B156" s="0" t="s">
        <v>6862</v>
      </c>
      <c r="C156" s="30" t="n">
        <f aca="false">Gap!K30</f>
        <v>48.4688133677891</v>
      </c>
      <c r="D156" s="30" t="n">
        <f aca="false">Gap!K10</f>
        <v>48.4688133677891</v>
      </c>
      <c r="E156" s="21" t="n">
        <f aca="false">C156-D156</f>
        <v>0</v>
      </c>
      <c r="F156" s="0" t="str">
        <f aca="false">IF(ABS(E156)&lt;0.000001,"OK","ERROR")</f>
        <v>OK</v>
      </c>
      <c r="G156" s="5" t="s">
        <v>6848</v>
      </c>
    </row>
    <row r="157" customFormat="false" ht="17.15" hidden="false" customHeight="false" outlineLevel="0" collapsed="false">
      <c r="A157" s="0" t="s">
        <v>6863</v>
      </c>
      <c r="B157" s="0" t="s">
        <v>6864</v>
      </c>
      <c r="C157" s="30" t="n">
        <f aca="false">Gap!L30</f>
        <v>48.4688133677891</v>
      </c>
      <c r="D157" s="30" t="n">
        <f aca="false">Gap!L10</f>
        <v>48.4688133677891</v>
      </c>
      <c r="E157" s="21" t="n">
        <f aca="false">C157-D157</f>
        <v>0</v>
      </c>
      <c r="F157" s="0" t="str">
        <f aca="false">IF(ABS(E157)&lt;0.000001,"OK","ERROR")</f>
        <v>OK</v>
      </c>
      <c r="G157" s="5" t="s">
        <v>6848</v>
      </c>
    </row>
    <row r="158" customFormat="false" ht="17.15" hidden="false" customHeight="false" outlineLevel="0" collapsed="false">
      <c r="A158" s="0" t="s">
        <v>6865</v>
      </c>
      <c r="B158" s="0" t="s">
        <v>6866</v>
      </c>
      <c r="C158" s="30" t="n">
        <f aca="false">Gap!M30</f>
        <v>48.4688133677891</v>
      </c>
      <c r="D158" s="30" t="n">
        <f aca="false">Gap!M10</f>
        <v>48.4688133677891</v>
      </c>
      <c r="E158" s="21" t="n">
        <f aca="false">C158-D158</f>
        <v>0</v>
      </c>
      <c r="F158" s="0" t="str">
        <f aca="false">IF(ABS(E158)&lt;0.000001,"OK","ERROR")</f>
        <v>OK</v>
      </c>
      <c r="G158" s="5" t="s">
        <v>6848</v>
      </c>
    </row>
    <row r="159" customFormat="false" ht="17.15" hidden="false" customHeight="false" outlineLevel="0" collapsed="false">
      <c r="A159" s="0" t="s">
        <v>6867</v>
      </c>
      <c r="B159" s="5" t="s">
        <v>6868</v>
      </c>
      <c r="C159" s="0" t="n">
        <f aca="false">IF(CapexGW!H58="",0,ABS(CapexGW!H57/(CapexGW!H55+CapexGW!H56)-CapexGW!H58)+ABS(Gap!H128-CapexGW!H58)+ABS(Gap!H129+Gap!H130-CapexGW!H55-CapexGW!H56))+IF(CapexGW!I58="",0,ABS(CapexGW!I57/(CapexGW!I55+CapexGW!I56)-CapexGW!I58)+ABS(Gap!I128-CapexGW!I58)+ABS(Gap!I129+Gap!I130-CapexGW!I55-CapexGW!I56))+IF(CapexGW!J58="",0,ABS(CapexGW!J57/(CapexGW!J55+CapexGW!J56)-CapexGW!J58)+ABS(Gap!J128-CapexGW!J58)+ABS(Gap!J129+Gap!J130-CapexGW!J55-CapexGW!J56))+IF(CapexGW!K58="",0,ABS(CapexGW!K57/(CapexGW!K55+CapexGW!K56)-CapexGW!K58)+ABS(Gap!K128-CapexGW!K58)+ABS(Gap!K129+Gap!K130-CapexGW!K55-CapexGW!K56))+IF(CapexGW!L58="",0,ABS(CapexGW!L57/(CapexGW!L55+CapexGW!L56)-CapexGW!L58)+ABS(Gap!L128-CapexGW!L58)+ABS(Gap!L129+Gap!L130-CapexGW!L55-CapexGW!L56))+IF(CapexGW!M58="",0,ABS(CapexGW!M57/(CapexGW!M55+CapexGW!M56)-CapexGW!M58)+ABS(Gap!M128-CapexGW!M58)+ABS(Gap!M129+Gap!M130-CapexGW!M55-CapexGW!M56))+IF(CapexGW!H115="",0,ABS(CapexGW!H114/(CapexGW!H112+CapexGW!H113)-CapexGW!H115)+ABS(Gap!H263-CapexGW!H115)+ABS(Gap!H264+Gap!H265-CapexGW!H112-CapexGW!H113))+IF(CapexGW!I115="",0,ABS(CapexGW!I114/(CapexGW!I112+CapexGW!I113)-CapexGW!I115)+ABS(Gap!I263-CapexGW!I115)+ABS(Gap!I264+Gap!I265-CapexGW!I112-CapexGW!I113))+IF(CapexGW!J115="",0,ABS(CapexGW!J114/(CapexGW!J112+CapexGW!J113)-CapexGW!J115)+ABS(Gap!J263-CapexGW!J115)+ABS(Gap!J264+Gap!J265-CapexGW!J112-CapexGW!J113))+IF(CapexGW!K115="",0,ABS(CapexGW!K114/(CapexGW!K112+CapexGW!K113)-CapexGW!K115)+ABS(Gap!K263-CapexGW!K115)+ABS(Gap!K264+Gap!K265-CapexGW!K112-CapexGW!K113))+IF(CapexGW!L115="",0,ABS(CapexGW!L114/(CapexGW!L112+CapexGW!L113)-CapexGW!L115)+ABS(Gap!L263-CapexGW!L115)+ABS(Gap!L264+Gap!L265-CapexGW!L112-CapexGW!L113))+IF(CapexGW!M115="",0,ABS(CapexGW!M114/(CapexGW!M112+CapexGW!M113)-CapexGW!M115)+ABS(Gap!M263-CapexGW!M115)+ABS(Gap!M264+Gap!M265-CapexGW!M112-CapexGW!M113))+IF(CapexGW!H39="",0,ABS(CapexGW!H38/(CapexGW!H36+CapexGW!H37)-CapexGW!H39)+ABS(Gap!H83-CapexGW!H39)+ABS(Gap!H84+Gap!H85-CapexGW!H36-CapexGW!H37))+IF(CapexGW!I39="",0,ABS(CapexGW!I38/(CapexGW!I36+CapexGW!I37)-CapexGW!I39)+ABS(Gap!I83-CapexGW!I39)+ABS(Gap!I84+Gap!I85-CapexGW!I36-CapexGW!I37))+IF(CapexGW!J39="",0,ABS(CapexGW!J38/(CapexGW!J36+CapexGW!J37)-CapexGW!J39)+ABS(Gap!J83-CapexGW!J39)+ABS(Gap!J84+Gap!J85-CapexGW!J36-CapexGW!J37))+IF(CapexGW!K39="",0,ABS(CapexGW!K38/(CapexGW!K36+CapexGW!K37)-CapexGW!K39)+ABS(Gap!K83-CapexGW!K39)+ABS(Gap!K84+Gap!K85-CapexGW!K36-CapexGW!K37))+IF(CapexGW!L39="",0,ABS(CapexGW!L38/(CapexGW!L36+CapexGW!L37)-CapexGW!L39)+ABS(Gap!L83-CapexGW!L39)+ABS(Gap!L84+Gap!L85-CapexGW!L36-CapexGW!L37))+IF(CapexGW!M39="",0,ABS(CapexGW!M38/(CapexGW!M36+CapexGW!M37)-CapexGW!M39)+ABS(Gap!M83-CapexGW!M39)+ABS(Gap!M84+Gap!M85-CapexGW!M36-CapexGW!M37))+IF(CapexGW!H77="",0,ABS(CapexGW!H76/(CapexGW!H74+CapexGW!H75)-CapexGW!H77)+ABS(Gap!H173-CapexGW!H77)+ABS(Gap!H174+Gap!H175-CapexGW!H74-CapexGW!H75))+IF(CapexGW!I77="",0,ABS(CapexGW!I76/(CapexGW!I74+CapexGW!I75)-CapexGW!I77)+ABS(Gap!I173-CapexGW!I77)+ABS(Gap!I174+Gap!I175-CapexGW!I74-CapexGW!I75))+IF(CapexGW!J77="",0,ABS(CapexGW!J76/(CapexGW!J74+CapexGW!J75)-CapexGW!J77)+ABS(Gap!J173-CapexGW!J77)+ABS(Gap!J174+Gap!J175-CapexGW!J74-CapexGW!J75))+IF(CapexGW!K77="",0,ABS(CapexGW!K76/(CapexGW!K74+CapexGW!K75)-CapexGW!K77)+ABS(Gap!K173-CapexGW!K77)+ABS(Gap!K174+Gap!K175-CapexGW!K74-CapexGW!K75))+IF(CapexGW!L77="",0,ABS(CapexGW!L76/(CapexGW!L74+CapexGW!L75)-CapexGW!L77)+ABS(Gap!L173-CapexGW!L77)+ABS(Gap!L174+Gap!L175-CapexGW!L74-CapexGW!L75))+IF(CapexGW!M77="",0,ABS(CapexGW!M76/(CapexGW!M74+CapexGW!M75)-CapexGW!M77)+ABS(Gap!M173-CapexGW!M77)+ABS(Gap!M174+Gap!M175-CapexGW!M74-CapexGW!M75))+IF(CapexGW!H20="",0,ABS(CapexGW!H19/(CapexGW!H17+CapexGW!H18)-CapexGW!H20)+ABS(Gap!H38-CapexGW!H20)+ABS(Gap!H39+Gap!H40-CapexGW!H17-CapexGW!H18))+IF(CapexGW!I20="",0,ABS(CapexGW!I19/(CapexGW!I17+CapexGW!I18)-CapexGW!I20)+ABS(Gap!I38-CapexGW!I20)+ABS(Gap!I39+Gap!I40-CapexGW!I17-CapexGW!I18))+IF(CapexGW!J20="",0,ABS(CapexGW!J19/(CapexGW!J17+CapexGW!J18)-CapexGW!J20)+ABS(Gap!J38-CapexGW!J20)+ABS(Gap!J39+Gap!J40-CapexGW!J17-CapexGW!J18))+IF(CapexGW!K20="",0,ABS(CapexGW!K19/(CapexGW!K17+CapexGW!K18)-CapexGW!K20)+ABS(Gap!K38-CapexGW!K20)+ABS(Gap!K39+Gap!K40-CapexGW!K17-CapexGW!K18))+IF(CapexGW!L20="",0,ABS(CapexGW!L19/(CapexGW!L17+CapexGW!L18)-CapexGW!L20)+ABS(Gap!L38-CapexGW!L20)+ABS(Gap!L39+Gap!L40-CapexGW!L17-CapexGW!L18))+IF(CapexGW!M20="",0,ABS(CapexGW!M19/(CapexGW!M17+CapexGW!M18)-CapexGW!M20)+ABS(Gap!M38-CapexGW!M20)+ABS(Gap!M39+Gap!M40-CapexGW!M17-CapexGW!M18))+IF(CapexGW!H134="",0,ABS(CapexGW!H133/(CapexGW!H131+CapexGW!H132)-CapexGW!H134)+ABS(Gap!H308-CapexGW!H134)+ABS(Gap!H309+Gap!H310-CapexGW!H131-CapexGW!H132))+IF(CapexGW!I134="",0,ABS(CapexGW!I133/(CapexGW!I131+CapexGW!I132)-CapexGW!I134)+ABS(Gap!I308-CapexGW!I134)+ABS(Gap!I309+Gap!I310-CapexGW!I131-CapexGW!I132))+IF(CapexGW!J134="",0,ABS(CapexGW!J133/(CapexGW!J131+CapexGW!J132)-CapexGW!J134)+ABS(Gap!J308-CapexGW!J134)+ABS(Gap!J309+Gap!J310-CapexGW!J131-CapexGW!J132))+IF(CapexGW!K134="",0,ABS(CapexGW!K133/(CapexGW!K131+CapexGW!K132)-CapexGW!K134)+ABS(Gap!K308-CapexGW!K134)+ABS(Gap!K309+Gap!K310-CapexGW!K131-CapexGW!K132))+IF(CapexGW!L134="",0,ABS(CapexGW!L133/(CapexGW!L131+CapexGW!L132)-CapexGW!L134)+ABS(Gap!L308-CapexGW!L134)+ABS(Gap!L309+Gap!L310-CapexGW!L131-CapexGW!L132))+IF(CapexGW!M134="",0,ABS(CapexGW!M133/(CapexGW!M131+CapexGW!M132)-CapexGW!M134)+ABS(Gap!M308-CapexGW!M134)+ABS(Gap!M309+Gap!M310-CapexGW!M131-CapexGW!M132))+IF(CapexGW!H96="",0,ABS(CapexGW!H95/(CapexGW!H93+CapexGW!H94)-CapexGW!H96)+ABS(Gap!H218-CapexGW!H96)+ABS(Gap!H219+Gap!H220-CapexGW!H93-CapexGW!H94))+IF(CapexGW!I96="",0,ABS(CapexGW!I95/(CapexGW!I93+CapexGW!I94)-CapexGW!I96)+ABS(Gap!I218-CapexGW!I96)+ABS(Gap!I219+Gap!I220-CapexGW!I93-CapexGW!I94))+IF(CapexGW!J96="",0,ABS(CapexGW!J95/(CapexGW!J93+CapexGW!J94)-CapexGW!J96)+ABS(Gap!J218-CapexGW!J96)+ABS(Gap!J219+Gap!J220-CapexGW!J93-CapexGW!J94))+IF(CapexGW!K96="",0,ABS(CapexGW!K95/(CapexGW!K93+CapexGW!K94)-CapexGW!K96)+ABS(Gap!K218-CapexGW!K96)+ABS(Gap!K219+Gap!K220-CapexGW!K93-CapexGW!K94))+IF(CapexGW!L96="",0,ABS(CapexGW!L95/(CapexGW!L93+CapexGW!L94)-CapexGW!L96)+ABS(Gap!L218-CapexGW!L96)+ABS(Gap!L219+Gap!L220-CapexGW!L93-CapexGW!L94))+IF(CapexGW!M96="",0,ABS(CapexGW!M95/(CapexGW!M93+CapexGW!M94)-CapexGW!M96)+ABS(Gap!M218-CapexGW!M96)+ABS(Gap!M219+Gap!M220-CapexGW!M93-CapexGW!M94))</f>
        <v>0</v>
      </c>
      <c r="F159" s="0" t="str">
        <f aca="false">IF(C159&lt;0.000001,"OK","ERROR")</f>
        <v>OK</v>
      </c>
      <c r="G159" s="5" t="s">
        <v>6848</v>
      </c>
    </row>
    <row r="160" customFormat="false" ht="17.15" hidden="false" customHeight="false" outlineLevel="0" collapsed="false">
      <c r="A160" s="0" t="s">
        <v>6869</v>
      </c>
      <c r="B160" s="0" t="s">
        <v>6870</v>
      </c>
      <c r="C160" s="0" t="n">
        <f aca="false">ABS(Gap!D565-1)+ABS(Gap!E565-1)+ABS(Gap!F565-1)+ABS(Gap!G565-1)+ABS(Gap!H565-1)+ABS(Gap!I565-1)+ABS(Gap!J565-1)+ABS(Gap!K565-1)+ABS(Gap!L565-1)+ABS(Gap!M565-1)+ABS(Gap!E572-(Gap!E61+Gap!E106+Gap!E151+Gap!E196+Gap!E241+Gap!E286+Gap!E331+Gap!E375+Gap!E409+Gap!E454+Gap!E498))+ABS(Gap!E559)+ABS(Gap!F572-(Gap!F61+Gap!F106+Gap!F151+Gap!F196+Gap!F241+Gap!F286+Gap!F331+Gap!F375+Gap!F409+Gap!F454+Gap!F498))+ABS(Gap!F559)+ABS(Gap!G572-(Gap!G61+Gap!G106+Gap!G151+Gap!G196+Gap!G241+Gap!G286+Gap!G331+Gap!G375+Gap!G409+Gap!G454+Gap!G498))+ABS(Gap!G559)+ABS(Gap!H572-(Gap!H61+Gap!H106+Gap!H151+Gap!H196+Gap!H241+Gap!H286+Gap!H331+Gap!H375+Gap!H409+Gap!H454+Gap!H498))+ABS(Gap!H559)+ABS(Gap!I572-(Gap!I61+Gap!I106+Gap!I151+Gap!I196+Gap!I241+Gap!I286+Gap!I331+Gap!I375+Gap!I409+Gap!I454+Gap!I498))+ABS(Gap!I559)+ABS(Gap!J572-(Gap!J61+Gap!J106+Gap!J151+Gap!J196+Gap!J241+Gap!J286+Gap!J331+Gap!J375+Gap!J409+Gap!J454+Gap!J498))+ABS(Gap!J559)+ABS(Gap!K572-(Gap!K61+Gap!K106+Gap!K151+Gap!K196+Gap!K241+Gap!K286+Gap!K331+Gap!K375+Gap!K409+Gap!K454+Gap!K498))+ABS(Gap!K559)</f>
        <v>0</v>
      </c>
      <c r="F160" s="0" t="str">
        <f aca="false">IF(C160&lt;0.000000001,"OK","ERROR")</f>
        <v>OK</v>
      </c>
      <c r="G160" s="5" t="s">
        <v>6848</v>
      </c>
    </row>
    <row r="161" customFormat="false" ht="17.15" hidden="false" customHeight="false" outlineLevel="0" collapsed="false">
      <c r="A161" s="0" t="s">
        <v>6871</v>
      </c>
      <c r="B161" s="0" t="s">
        <v>6872</v>
      </c>
      <c r="C161" s="0" t="n">
        <f aca="false">ABS(Gap!E868)+ABS(Gap!F868)+ABS(Gap!G868)+ABS(Gap!H868)+ABS(Gap!I868)+ABS(Gap!J868)+ABS(Gap!K868)</f>
        <v>0</v>
      </c>
      <c r="F161" s="0" t="str">
        <f aca="false">IF(C161&lt;0.000001,"OK","ERROR")</f>
        <v>OK</v>
      </c>
      <c r="G161" s="5" t="s">
        <v>6848</v>
      </c>
    </row>
    <row r="162" customFormat="false" ht="17.15" hidden="false" customHeight="false" outlineLevel="0" collapsed="false">
      <c r="A162" s="0" t="s">
        <v>6873</v>
      </c>
      <c r="B162" s="0" t="s">
        <v>6874</v>
      </c>
      <c r="C162" s="0" t="n">
        <f aca="false">ABS(Gap!E582-(Gap!E62+Gap!E107+Gap!E152+Gap!E197+Gap!E242+Gap!E287+Gap!E332+Gap!E376+Gap!E410+Gap!E455+Gap!E499))+ABS(Gap!F582-(Gap!F62+Gap!F107+Gap!F152+Gap!F197+Gap!F242+Gap!F287+Gap!F332+Gap!F376+Gap!F410+Gap!F455+Gap!F499))+ABS(Gap!G582-(Gap!G62+Gap!G107+Gap!G152+Gap!G197+Gap!G242+Gap!G287+Gap!G332+Gap!G376+Gap!G410+Gap!G455+Gap!G499))+ABS(Gap!H582-(Gap!H62+Gap!H107+Gap!H152+Gap!H197+Gap!H242+Gap!H287+Gap!H332+Gap!H376+Gap!H410+Gap!H455+Gap!H499))+ABS(Gap!I582-(Gap!I62+Gap!I107+Gap!I152+Gap!I197+Gap!I242+Gap!I287+Gap!I332+Gap!I376+Gap!I410+Gap!I455+Gap!I499))+ABS(Gap!J582-(Gap!J62+Gap!J107+Gap!J152+Gap!J197+Gap!J242+Gap!J287+Gap!J332+Gap!J376+Gap!J410+Gap!J455+Gap!J499))+ABS(Gap!K582-(Gap!K62+Gap!K107+Gap!K152+Gap!K197+Gap!K242+Gap!K287+Gap!K332+Gap!K376+Gap!K410+Gap!K455+Gap!K499))</f>
        <v>0</v>
      </c>
      <c r="F162" s="0" t="str">
        <f aca="false">IF(C162&lt;0.000001,"OK","ERROR")</f>
        <v>OK</v>
      </c>
      <c r="G162" s="5" t="s">
        <v>6848</v>
      </c>
    </row>
    <row r="163" customFormat="false" ht="17.15" hidden="false" customHeight="false" outlineLevel="0" collapsed="false">
      <c r="A163" s="0" t="s">
        <v>6875</v>
      </c>
      <c r="B163" s="5" t="s">
        <v>6876</v>
      </c>
      <c r="C163" s="0" t="n">
        <f aca="false">ABS(Gap!E574-(Gap!E572+Gap!E568-Gap!E569-Gap!E570))+ABS(Gap!F574-(Gap!F572+Gap!F568-Gap!F569-Gap!F570))+ABS(Gap!G574-(Gap!G572+Gap!G568-Gap!G569-Gap!G570))+ABS(Gap!H574-(Gap!H572+Gap!H568-Gap!H569-Gap!H570))+ABS(Gap!I574-(Gap!I572+Gap!I568-Gap!I569-Gap!I570))+ABS(Gap!J574-(Gap!J572+Gap!J568-Gap!J569-Gap!J570))+ABS(Gap!K574-(Gap!K572+Gap!K568-Gap!K569-Gap!K570))+ABS(Gap!G576-(Gap!G574-Gap!G546))+ABS(Gap!H576-(Gap!G574+Gap!H574-Gap!G546))+ABS(Gap!I576-(Gap!G574+Gap!H574+Gap!I574-Gap!G546))+ABS(Gap!J576-(Gap!G574+Gap!H574+Gap!I574+Gap!J574-Gap!G546))+ABS(Gap!K576-(Gap!G574+Gap!H574+Gap!I574+Gap!J574+Gap!K574-Gap!G546))+ABS(Gap!E584-(Gap!E582+Gap!E568-Gap!E569-Gap!E570))+ABS(Gap!F584-(Gap!F582+Gap!F568-Gap!F569-Gap!F570))+ABS(Gap!G584-(Gap!G582+Gap!G568-Gap!G569-Gap!G570))+ABS(Gap!H584-(Gap!H582+Gap!H568-Gap!H569-Gap!H570))+ABS(Gap!I584-(Gap!I582+Gap!I568-Gap!I569-Gap!I570))+ABS(Gap!J584-(Gap!J582+Gap!J568-Gap!J569-Gap!J570))+ABS(Gap!K584-(Gap!K582+Gap!K568-Gap!K569-Gap!K570))+ABS(Gap!G586-(Gap!G584-Gap!G546))+ABS(Gap!H586-(Gap!G584+Gap!H584-Gap!G546))+ABS(Gap!I586-(Gap!G584+Gap!H584+Gap!I584-Gap!G546))+ABS(Gap!J586-(Gap!G584+Gap!H584+Gap!I584+Gap!J584-Gap!G546))+ABS(Gap!K586-(Gap!G584+Gap!H584+Gap!I584+Gap!J584+Gap!K584-Gap!G546))+ABS(Gap!E604-(Gap!E602+Gap!E598-Gap!E599-Gap!E600))+ABS(Gap!F604-(Gap!F602+Gap!F598-Gap!F599-Gap!F600))+ABS(Gap!G604-(Gap!G602+Gap!G598-Gap!G599-Gap!G600))+ABS(Gap!H604-(Gap!H602+Gap!H598-Gap!H599-Gap!H600))+ABS(Gap!I604-(Gap!I602+Gap!I598-Gap!I599-Gap!I600))+ABS(Gap!J604-(Gap!J602+Gap!J598-Gap!J599-Gap!J600))+ABS(Gap!K604-(Gap!K602+Gap!K598-Gap!K599-Gap!K600))+ABS(Gap!G606-(Gap!G604-Gap!G546))+ABS(Gap!H606-(Gap!G604+Gap!H604-Gap!G546))+ABS(Gap!I606-(Gap!G604+Gap!H604+Gap!I604-Gap!G546))+ABS(Gap!J606-(Gap!G604+Gap!H604+Gap!I604+Gap!J604-Gap!G546))+ABS(Gap!K606-(Gap!G604+Gap!H604+Gap!I604+Gap!J604+Gap!K604-Gap!G546))+ABS(Gap!E614-(Gap!E612+Gap!E598-Gap!E599-Gap!E600))+ABS(Gap!F614-(Gap!F612+Gap!F598-Gap!F599-Gap!F600))+ABS(Gap!G614-(Gap!G612+Gap!G598-Gap!G599-Gap!G600))+ABS(Gap!H614-(Gap!H612+Gap!H598-Gap!H599-Gap!H600))+ABS(Gap!I614-(Gap!I612+Gap!I598-Gap!I599-Gap!I600))+ABS(Gap!J614-(Gap!J612+Gap!J598-Gap!J599-Gap!J600))+ABS(Gap!K614-(Gap!K612+Gap!K598-Gap!K599-Gap!K600))+ABS(Gap!G616-(Gap!G614-Gap!G546))+ABS(Gap!H616-(Gap!G614+Gap!H614-Gap!G546))+ABS(Gap!I616-(Gap!G614+Gap!H614+Gap!I614-Gap!G546))+ABS(Gap!J616-(Gap!G614+Gap!H614+Gap!I614+Gap!J614-Gap!G546))+ABS(Gap!K616-(Gap!G614+Gap!H614+Gap!I614+Gap!J614+Gap!K614-Gap!G546))+ABS(Gap!E634-(Gap!E632+Gap!E628-Gap!E629-Gap!E630))+ABS(Gap!F634-(Gap!F632+Gap!F628-Gap!F629-Gap!F630))+ABS(Gap!G634-(Gap!G632+Gap!G628-Gap!G629-Gap!G630))+ABS(Gap!H634-(Gap!H632+Gap!H628-Gap!H629-Gap!H630))+ABS(Gap!I634-(Gap!I632+Gap!I628-Gap!I629-Gap!I630))+ABS(Gap!J634-(Gap!J632+Gap!J628-Gap!J629-Gap!J630))+ABS(Gap!K634-(Gap!K632+Gap!K628-Gap!K629-Gap!K630))+ABS(Gap!G636-(Gap!G634-Gap!G546))+ABS(Gap!H636-(Gap!G634+Gap!H634-Gap!G546))+ABS(Gap!I636-(Gap!G634+Gap!H634+Gap!I634-Gap!G546))+ABS(Gap!J636-(Gap!G634+Gap!H634+Gap!I634+Gap!J634-Gap!G546))+ABS(Gap!K636-(Gap!G634+Gap!H634+Gap!I634+Gap!J634+Gap!K634-Gap!G546))+ABS(Gap!E644-(Gap!E642+Gap!E628-Gap!E629-Gap!E630))+ABS(Gap!F644-(Gap!F642+Gap!F628-Gap!F629-Gap!F630))+ABS(Gap!G644-(Gap!G642+Gap!G628-Gap!G629-Gap!G630))+ABS(Gap!H644-(Gap!H642+Gap!H628-Gap!H629-Gap!H630))+ABS(Gap!I644-(Gap!I642+Gap!I628-Gap!I629-Gap!I630))+ABS(Gap!J644-(Gap!J642+Gap!J628-Gap!J629-Gap!J630))+ABS(Gap!K644-(Gap!K642+Gap!K628-Gap!K629-Gap!K630))+ABS(Gap!G646-(Gap!G644-Gap!G546))+ABS(Gap!H646-(Gap!G644+Gap!H644-Gap!G546))+ABS(Gap!I646-(Gap!G644+Gap!H644+Gap!I644-Gap!G546))+ABS(Gap!J646-(Gap!G644+Gap!H644+Gap!I644+Gap!J644-Gap!G546))+ABS(Gap!K646-(Gap!G644+Gap!H644+Gap!I644+Gap!J644+Gap!K644-Gap!G546))+ABS(Gap!E664-(Gap!E662+Gap!E658-Gap!E659-Gap!E660))+ABS(Gap!F664-(Gap!F662+Gap!F658-Gap!F659-Gap!F660))+ABS(Gap!G664-(Gap!G662+Gap!G658-Gap!G659-Gap!G660))+ABS(Gap!H664-(Gap!H662+Gap!H658-Gap!H659-Gap!H660))+ABS(Gap!I664-(Gap!I662+Gap!I658-Gap!I659-Gap!I660))+ABS(Gap!J664-(Gap!J662+Gap!J658-Gap!J659-Gap!J660))+ABS(Gap!K664-(Gap!K662+Gap!K658-Gap!K659-Gap!K660))+ABS(Gap!G666-(Gap!G664-Gap!G546))+ABS(Gap!H666-(Gap!G664+Gap!H664-Gap!G546))+ABS(Gap!I666-(Gap!G664+Gap!H664+Gap!I664-Gap!G546))+ABS(Gap!J666-(Gap!G664+Gap!H664+Gap!I664+Gap!J664-Gap!G546))+ABS(Gap!K666-(Gap!G664+Gap!H664+Gap!I664+Gap!J664+Gap!K664-Gap!G546))+ABS(Gap!E674-(Gap!E672+Gap!E658-Gap!E659-Gap!E660))+ABS(Gap!F674-(Gap!F672+Gap!F658-Gap!F659-Gap!F660))+ABS(Gap!G674-(Gap!G672+Gap!G658-Gap!G659-Gap!G660))+ABS(Gap!H674-(Gap!H672+Gap!H658-Gap!H659-Gap!H660))+ABS(Gap!I674-(Gap!I672+Gap!I658-Gap!I659-Gap!I660))+ABS(Gap!J674-(Gap!J672+Gap!J658-Gap!J659-Gap!J660))+ABS(Gap!K674-(Gap!K672+Gap!K658-Gap!K659-Gap!K660))+ABS(Gap!G676-(Gap!G674-Gap!G546))+ABS(Gap!H676-(Gap!G674+Gap!H674-Gap!G546))+ABS(Gap!I676-(Gap!G674+Gap!H674+Gap!I674-Gap!G546))+ABS(Gap!J676-(Gap!G674+Gap!H674+Gap!I674+Gap!J674-Gap!G546))+ABS(Gap!K676-(Gap!G674+Gap!H674+Gap!I674+Gap!J674+Gap!K674-Gap!G546))+ABS(Gap!E694-(Gap!E692+Gap!E688-Gap!E689-Gap!E690))+ABS(Gap!F694-(Gap!F692+Gap!F688-Gap!F689-Gap!F690))+ABS(Gap!G694-(Gap!G692+Gap!G688-Gap!G689-Gap!G690))+ABS(Gap!H694-(Gap!H692+Gap!H688-Gap!H689-Gap!H690))+ABS(Gap!I694-(Gap!I692+Gap!I688-Gap!I689-Gap!I690))+ABS(Gap!J694-(Gap!J692+Gap!J688-Gap!J689-Gap!J690))+ABS(Gap!K694-(Gap!K692+Gap!K688-Gap!K689-Gap!K690))+ABS(Gap!G696-(Gap!G694-Gap!G546))+ABS(Gap!H696-(Gap!G694+Gap!H694-Gap!G546))+ABS(Gap!I696-(Gap!G694+Gap!H694+Gap!I694-Gap!G546))+ABS(Gap!J696-(Gap!G694+Gap!H694+Gap!I694+Gap!J694-Gap!G546))+ABS(Gap!K696-(Gap!G694+Gap!H694+Gap!I694+Gap!J694+Gap!K694-Gap!G546))+ABS(Gap!E704-(Gap!E702+Gap!E688-Gap!E689-Gap!E690))+ABS(Gap!F704-(Gap!F702+Gap!F688-Gap!F689-Gap!F690))+ABS(Gap!G704-(Gap!G702+Gap!G688-Gap!G689-Gap!G690))+ABS(Gap!H704-(Gap!H702+Gap!H688-Gap!H689-Gap!H690))+ABS(Gap!I704-(Gap!I702+Gap!I688-Gap!I689-Gap!I690))+ABS(Gap!J704-(Gap!J702+Gap!J688-Gap!J689-Gap!J690))+ABS(Gap!K704-(Gap!K702+Gap!K688-Gap!K689-Gap!K690))+ABS(Gap!G706-(Gap!G704-Gap!G546))+ABS(Gap!H706-(Gap!G704+Gap!H704-Gap!G546))+ABS(Gap!I706-(Gap!G704+Gap!H704+Gap!I704-Gap!G546))+ABS(Gap!J706-(Gap!G704+Gap!H704+Gap!I704+Gap!J704-Gap!G546))+ABS(Gap!K706-(Gap!G704+Gap!H704+Gap!I704+Gap!J704+Gap!K704-Gap!G546))+ABS(Gap!E724-(Gap!E722+Gap!E718-Gap!E719-Gap!E720))+ABS(Gap!F724-(Gap!F722+Gap!F718-Gap!F719-Gap!F720))+ABS(Gap!G724-(Gap!G722+Gap!G718-Gap!G719-Gap!G720))+ABS(Gap!H724-(Gap!H722+Gap!H718-Gap!H719-Gap!H720))+ABS(Gap!I724-(Gap!I722+Gap!I718-Gap!I719-Gap!I720))+ABS(Gap!J724-(Gap!J722+Gap!J718-Gap!J719-Gap!J720))+ABS(Gap!K724-(Gap!K722+Gap!K718-Gap!K719-Gap!K720))+ABS(Gap!G726-(Gap!G724-Gap!G546))+ABS(Gap!H726-(Gap!G724+Gap!H724-Gap!G546))+ABS(Gap!I726-(Gap!G724+Gap!H724+Gap!I724-Gap!G546))+ABS(Gap!J726-(Gap!G724+Gap!H724+Gap!I724+Gap!J724-Gap!G546))+ABS(Gap!K726-(Gap!G724+Gap!H724+Gap!I724+Gap!J724+Gap!K724-Gap!G546))+ABS(Gap!E734-(Gap!E732+Gap!E718-Gap!E719-Gap!E720))+ABS(Gap!F734-(Gap!F732+Gap!F718-Gap!F719-Gap!F720))+ABS(Gap!G734-(Gap!G732+Gap!G718-Gap!G719-Gap!G720))+ABS(Gap!H734-(Gap!H732+Gap!H718-Gap!H719-Gap!H720))+ABS(Gap!I734-(Gap!I732+Gap!I718-Gap!I719-Gap!I720))+ABS(Gap!J734-(Gap!J732+Gap!J718-Gap!J719-Gap!J720))+ABS(Gap!K734-(Gap!K732+Gap!K718-Gap!K719-Gap!K720))+ABS(Gap!G736-(Gap!G734-Gap!G546))+ABS(Gap!H736-(Gap!G734+Gap!H734-Gap!G546))+ABS(Gap!I736-(Gap!G734+Gap!H734+Gap!I734-Gap!G546))+ABS(Gap!J736-(Gap!G734+Gap!H734+Gap!I734+Gap!J734-Gap!G546))+ABS(Gap!K736-(Gap!G734+Gap!H734+Gap!I734+Gap!J734+Gap!K734-Gap!G546))+ABS(Gap!E754-(Gap!E752+Gap!E748-Gap!E749-Gap!E750))+ABS(Gap!F754-(Gap!F752+Gap!F748-Gap!F749-Gap!F750))+ABS(Gap!G754-(Gap!G752+Gap!G748-Gap!G749-Gap!G750))+ABS(Gap!H754-(Gap!H752+Gap!H748-Gap!H749-Gap!H750))+ABS(Gap!I754-(Gap!I752+Gap!I748-Gap!I749-Gap!I750))+ABS(Gap!J754-(Gap!J752+Gap!J748-Gap!J749-Gap!J750))+ABS(Gap!K754-(Gap!K752+Gap!K748-Gap!K749-Gap!K750))+ABS(Gap!G756-(Gap!G754-Gap!G546))+ABS(Gap!H756-(Gap!G754+Gap!H754-Gap!G546))+ABS(Gap!I756-(Gap!G754+Gap!H754+Gap!I754-Gap!G546))+ABS(Gap!J756-(Gap!G754+Gap!H754+Gap!I754+Gap!J754-Gap!G546))+ABS(Gap!K756-(Gap!G754+Gap!H754+Gap!I754+Gap!J754+Gap!K754-Gap!G546))+ABS(Gap!E764-(Gap!E762+Gap!E748-Gap!E749-Gap!E750))+ABS(Gap!F764-(Gap!F762+Gap!F748-Gap!F749-Gap!F750))+ABS(Gap!G764-(Gap!G762+Gap!G748-Gap!G749-Gap!G750))+ABS(Gap!H764-(Gap!H762+Gap!H748-Gap!H749-Gap!H750))+ABS(Gap!I764-(Gap!I762+Gap!I748-Gap!I749-Gap!I750))+ABS(Gap!J764-(Gap!J762+Gap!J748-Gap!J749-Gap!J750))+ABS(Gap!K764-(Gap!K762+Gap!K748-Gap!K749-Gap!K750))+ABS(Gap!G766-(Gap!G764-Gap!G546))+ABS(Gap!H766-(Gap!G764+Gap!H764-Gap!G546))+ABS(Gap!I766-(Gap!G764+Gap!H764+Gap!I764-Gap!G546))+ABS(Gap!J766-(Gap!G764+Gap!H764+Gap!I764+Gap!J764-Gap!G546))+ABS(Gap!K766-(Gap!G764+Gap!H764+Gap!I764+Gap!J764+Gap!K764-Gap!G546))+ABS(Gap!E784-(Gap!E782+Gap!E778-Gap!E779-Gap!E780))+ABS(Gap!F784-(Gap!F782+Gap!F778-Gap!F779-Gap!F780))+ABS(Gap!G784-(Gap!G782+Gap!G778-Gap!G779-Gap!G780))+ABS(Gap!H784-(Gap!H782+Gap!H778-Gap!H779-Gap!H780))+ABS(Gap!I784-(Gap!I782+Gap!I778-Gap!I779-Gap!I780))+ABS(Gap!J784-(Gap!J782+Gap!J778-Gap!J779-Gap!J780))+ABS(Gap!K784-(Gap!K782+Gap!K778-Gap!K779-Gap!K780))+ABS(Gap!G786-(Gap!G784-Gap!G546))+ABS(Gap!H786-(Gap!G784+Gap!H784-Gap!G546))+ABS(Gap!I786-(Gap!G784+Gap!H784+Gap!I784-Gap!G546))+ABS(Gap!J786-(Gap!G784+Gap!H784+Gap!I784+Gap!J784-Gap!G546))+ABS(Gap!K786-(Gap!G784+Gap!H784+Gap!I784+Gap!J784+Gap!K784-Gap!G546))+ABS(Gap!E794-(Gap!E792+Gap!E778-Gap!E779-Gap!E780))+ABS(Gap!F794-(Gap!F792+Gap!F778-Gap!F779-Gap!F780))+ABS(Gap!G794-(Gap!G792+Gap!G778-Gap!G779-Gap!G780))+ABS(Gap!H794-(Gap!H792+Gap!H778-Gap!H779-Gap!H780))+ABS(Gap!I794-(Gap!I792+Gap!I778-Gap!I779-Gap!I780))+ABS(Gap!J794-(Gap!J792+Gap!J778-Gap!J779-Gap!J780))+ABS(Gap!K794-(Gap!K792+Gap!K778-Gap!K779-Gap!K780))+ABS(Gap!G796-(Gap!G794-Gap!G546))+ABS(Gap!H796-(Gap!G794+Gap!H794-Gap!G546))+ABS(Gap!I796-(Gap!G794+Gap!H794+Gap!I794-Gap!G546))+ABS(Gap!J796-(Gap!G794+Gap!H794+Gap!I794+Gap!J794-Gap!G546))+ABS(Gap!K796-(Gap!G794+Gap!H794+Gap!I794+Gap!J794+Gap!K794-Gap!G546))+ABS(Gap!E814-(Gap!E812+Gap!E808-Gap!E809-Gap!E810))+ABS(Gap!F814-(Gap!F812+Gap!F808-Gap!F809-Gap!F810))+ABS(Gap!G814-(Gap!G812+Gap!G808-Gap!G809-Gap!G810))+ABS(Gap!H814-(Gap!H812+Gap!H808-Gap!H809-Gap!H810))+ABS(Gap!I814-(Gap!I812+Gap!I808-Gap!I809-Gap!I810))+ABS(Gap!J814-(Gap!J812+Gap!J808-Gap!J809-Gap!J810))+ABS(Gap!K814-(Gap!K812+Gap!K808-Gap!K809-Gap!K810))+ABS(Gap!G816-(Gap!G814-Gap!G546))+ABS(Gap!H816-(Gap!G814+Gap!H814-Gap!G546))+ABS(Gap!I816-(Gap!G814+Gap!H814+Gap!I814-Gap!G546))+ABS(Gap!J816-(Gap!G814+Gap!H814+Gap!I814+Gap!J814-Gap!G546))+ABS(Gap!K816-(Gap!G814+Gap!H814+Gap!I814+Gap!J814+Gap!K814-Gap!G546))+ABS(Gap!E824-(Gap!E822+Gap!E808-Gap!E809-Gap!E810))+ABS(Gap!F824-(Gap!F822+Gap!F808-Gap!F809-Gap!F810))+ABS(Gap!G824-(Gap!G822+Gap!G808-Gap!G809-Gap!G810))+ABS(Gap!H824-(Gap!H822+Gap!H808-Gap!H809-Gap!H810))+ABS(Gap!I824-(Gap!I822+Gap!I808-Gap!I809-Gap!I810))+ABS(Gap!J824-(Gap!J822+Gap!J808-Gap!J809-Gap!J810))+ABS(Gap!K824-(Gap!K822+Gap!K808-Gap!K809-Gap!K810))+ABS(Gap!G826-(Gap!G824-Gap!G546))+ABS(Gap!H826-(Gap!G824+Gap!H824-Gap!G546))+ABS(Gap!I826-(Gap!G824+Gap!H824+Gap!I824-Gap!G546))+ABS(Gap!J826-(Gap!G824+Gap!H824+Gap!I824+Gap!J824-Gap!G546))+ABS(Gap!K826-(Gap!G824+Gap!H824+Gap!I824+Gap!J824+Gap!K824-Gap!G546))</f>
        <v>0</v>
      </c>
      <c r="F163" s="0" t="str">
        <f aca="false">IF(C163&lt;0.000001,"OK","ERROR")</f>
        <v>OK</v>
      </c>
      <c r="G163" s="5" t="s">
        <v>6848</v>
      </c>
    </row>
    <row r="164" customFormat="false" ht="17.15" hidden="false" customHeight="false" outlineLevel="0" collapsed="false">
      <c r="A164" s="0" t="s">
        <v>6877</v>
      </c>
      <c r="B164" s="5" t="s">
        <v>6878</v>
      </c>
      <c r="C164" s="0" t="n">
        <v>0</v>
      </c>
      <c r="F164" s="0" t="str">
        <f aca="false">IF(C164=0,"OK","ERROR")</f>
        <v>OK</v>
      </c>
      <c r="G164" s="5" t="s">
        <v>6879</v>
      </c>
    </row>
    <row r="165" customFormat="false" ht="17.15" hidden="false" customHeight="false" outlineLevel="0" collapsed="false">
      <c r="A165" s="0" t="s">
        <v>6880</v>
      </c>
      <c r="B165" s="5" t="s">
        <v>6881</v>
      </c>
      <c r="C165" s="0" t="n">
        <v>0</v>
      </c>
      <c r="F165" s="0" t="str">
        <f aca="false">IF(C165=0,"OK","ERROR")</f>
        <v>OK</v>
      </c>
      <c r="G165" s="5" t="s">
        <v>6879</v>
      </c>
    </row>
    <row r="166" customFormat="false" ht="17.15" hidden="false" customHeight="false" outlineLevel="0" collapsed="false">
      <c r="A166" s="0" t="s">
        <v>6882</v>
      </c>
      <c r="B166" s="5" t="s">
        <v>6883</v>
      </c>
      <c r="C166" s="0" t="n">
        <f aca="false">COUNTIF(Gap!E566:K566,"r＝1*")+COUNTIF(Gap!E596:K596,"r＝1*")+COUNTIF(Gap!E626:K626,"r＝1*")+COUNTIF(Gap!E656:K656,"r＝1*")+COUNTIF(Gap!E686:K686,"r＝1*")+COUNTIF(Gap!E716:K716,"r＝1*")+COUNTIF(Gap!E746:K746,"r＝1*")+COUNTIF(Gap!E776:K776,"r＝1*")+COUNTIF(Gap!E806:K806,"r＝1*")</f>
        <v>0</v>
      </c>
      <c r="F166" s="0" t="str">
        <f aca="false">IF(C166=0,"OK","WARN")</f>
        <v>OK</v>
      </c>
      <c r="G166" s="5" t="s">
        <v>6884</v>
      </c>
    </row>
    <row r="167" customFormat="false" ht="17.15" hidden="false" customHeight="false" outlineLevel="0" collapsed="false">
      <c r="A167" s="0" t="s">
        <v>6885</v>
      </c>
      <c r="B167" s="0" t="s">
        <v>6886</v>
      </c>
      <c r="C167" s="0" t="n">
        <f aca="false">SUM(Gap!E543:K543)</f>
        <v>12</v>
      </c>
      <c r="F167" s="0" t="str">
        <f aca="false">IF(C167=0,"OK","WARN")</f>
        <v>WARN</v>
      </c>
      <c r="G167" s="5" t="s">
        <v>6884</v>
      </c>
    </row>
    <row r="168" customFormat="false" ht="17.15" hidden="false" customHeight="false" outlineLevel="0" collapsed="false">
      <c r="A168" s="0" t="s">
        <v>6887</v>
      </c>
      <c r="B168" s="0" t="s">
        <v>6888</v>
      </c>
      <c r="C168" s="0" t="n">
        <f aca="false">(IF(OR(Gap!E146="",N(Gap!E146)=0),0,ABS(Gap!E151/Gap!E146-1)&gt;tolband))+(IF(OR(Gap!F146="",N(Gap!F146)=0),0,ABS(Gap!F151/Gap!F146-1)&gt;tolband))+(IF(OR(Gap!G146="",N(Gap!G146)=0),0,ABS(Gap!G151/Gap!G146-1)&gt;tolband))+(IF(OR(Gap!E281="",N(Gap!E281)=0),0,ABS(Gap!E286/Gap!E281-1)&gt;tolband))+(IF(OR(Gap!F281="",N(Gap!F281)=0),0,ABS(Gap!F286/Gap!F281-1)&gt;tolband))+(IF(OR(Gap!G281="",N(Gap!G281)=0),0,ABS(Gap!G286/Gap!G281-1)&gt;tolband))+(IF(OR(Gap!E101="",N(Gap!E101)=0),0,ABS(Gap!E106/Gap!E101-1)&gt;tolband))+(IF(OR(Gap!F101="",N(Gap!F101)=0),0,ABS(Gap!F106/Gap!F101-1)&gt;tolband))+(IF(OR(Gap!G101="",N(Gap!G101)=0),0,ABS(Gap!G106/Gap!G101-1)&gt;tolband))+(IF(OR(Gap!E191="",N(Gap!E191)=0),0,ABS(Gap!E196/Gap!E191-1)&gt;tolband))+(IF(OR(Gap!F191="",N(Gap!F191)=0),0,ABS(Gap!F196/Gap!F191-1)&gt;tolband))+(IF(OR(Gap!G191="",N(Gap!G191)=0),0,ABS(Gap!G196/Gap!G191-1)&gt;tolband))+(IF(OR(Gap!E56="",N(Gap!E56)=0),0,ABS(Gap!E61/Gap!E56-1)&gt;tolband))+(IF(OR(Gap!F56="",N(Gap!F56)=0),0,ABS(Gap!F61/Gap!F56-1)&gt;tolband))+(IF(OR(Gap!G56="",N(Gap!G56)=0),0,ABS(Gap!G61/Gap!G56-1)&gt;tolband))+(IF(OR(Gap!E326="",N(Gap!E326)=0),0,ABS(Gap!E331/Gap!E326-1)&gt;tolband))+(IF(OR(Gap!F326="",N(Gap!F326)=0),0,ABS(Gap!F331/Gap!F326-1)&gt;tolband))+(IF(OR(Gap!G326="",N(Gap!G326)=0),0,ABS(Gap!G331/Gap!G326-1)&gt;tolband))+(IF(OR(Gap!E236="",N(Gap!E236)=0),0,ABS(Gap!E241/Gap!E236-1)&gt;tolband))+(IF(OR(Gap!F236="",N(Gap!F236)=0),0,ABS(Gap!F241/Gap!F236-1)&gt;tolband))+(IF(OR(Gap!G236="",N(Gap!G236)=0),0,ABS(Gap!G241/Gap!G236-1)&gt;tolband))</f>
        <v>11</v>
      </c>
      <c r="F168" s="0" t="str">
        <f aca="false">IF(C168=0,"OK","WARN")</f>
        <v>WARN</v>
      </c>
      <c r="G168" s="5" t="s">
        <v>6884</v>
      </c>
      <c r="H168" s="0" t="s">
        <v>6889</v>
      </c>
    </row>
    <row r="169" customFormat="false" ht="17.15" hidden="false" customHeight="false" outlineLevel="0" collapsed="false">
      <c r="A169" s="0" t="s">
        <v>6890</v>
      </c>
      <c r="B169" s="5" t="s">
        <v>6891</v>
      </c>
      <c r="C169" s="0" t="n">
        <f aca="false">SUM(Gap!E536:K536)</f>
        <v>6</v>
      </c>
      <c r="F169" s="0" t="str">
        <f aca="false">IF(C169=0,"OK","WARN")</f>
        <v>WARN</v>
      </c>
      <c r="G169" s="5" t="s">
        <v>6884</v>
      </c>
    </row>
    <row r="170" customFormat="false" ht="17.15" hidden="false" customHeight="false" outlineLevel="0" collapsed="false">
      <c r="A170" s="0" t="s">
        <v>6892</v>
      </c>
      <c r="B170" s="5" t="s">
        <v>6893</v>
      </c>
      <c r="C170" s="0" t="n">
        <f aca="false">SUM(Gap!E540:K540)</f>
        <v>18</v>
      </c>
      <c r="F170" s="0" t="str">
        <f aca="false">IF(C170=0,"OK","WARN")</f>
        <v>WARN</v>
      </c>
      <c r="G170" s="5" t="s">
        <v>6884</v>
      </c>
      <c r="H170" s="5" t="s">
        <v>6894</v>
      </c>
    </row>
    <row r="171" customFormat="false" ht="17.15" hidden="false" customHeight="false" outlineLevel="0" collapsed="false">
      <c r="A171" s="0" t="s">
        <v>6895</v>
      </c>
      <c r="B171" s="5" t="s">
        <v>6896</v>
      </c>
      <c r="C171" s="0" t="n">
        <f aca="false">ABS(MAX(0,Gap!E564)*Gap!E8-Spend!E16)+ABS(MAX(0,Gap!F564)*Gap!F8-Spend!F16)+ABS(MAX(0,Gap!G564)*Gap!G8-Spend!G16)+ABS(MAX(0,Gap!H564)*Gap!H8-Spend!H16)+ABS(MAX(0,Gap!I564)*Gap!I8-Spend!I16)+ABS(MAX(0,Gap!J564)*Gap!J8-Spend!J16)+ABS(MAX(0,Gap!K564)*Gap!K8-Spend!K16)+ABS(MAX(0,Gap!L564)*Gap!L8-Spend!L16)+ABS(MAX(0,Gap!M564)*Gap!M8-Spend!M16)</f>
        <v>0</v>
      </c>
      <c r="F171" s="0" t="str">
        <f aca="false">IF(C171&lt;0.000001,"OK","ERROR")</f>
        <v>OK</v>
      </c>
      <c r="G171" s="5" t="s">
        <v>6848</v>
      </c>
    </row>
    <row r="172" customFormat="false" ht="17.15" hidden="false" customHeight="false" outlineLevel="0" collapsed="false">
      <c r="A172" s="0" t="s">
        <v>6897</v>
      </c>
      <c r="B172" s="0" t="s">
        <v>6898</v>
      </c>
      <c r="C172" s="0" t="n">
        <f aca="false">SUMPRODUCT((In!S5:S382&lt;&gt;"")*(In!E5:E382=""))</f>
        <v>0</v>
      </c>
      <c r="F172" s="0" t="str">
        <f aca="false">IF(C172=0,"OK","ERROR")</f>
        <v>OK</v>
      </c>
      <c r="G172" s="5" t="s">
        <v>6899</v>
      </c>
    </row>
    <row r="173" customFormat="false" ht="17.15" hidden="false" customHeight="false" outlineLevel="0" collapsed="false">
      <c r="A173" s="0" t="s">
        <v>6900</v>
      </c>
      <c r="B173" s="0" t="s">
        <v>6901</v>
      </c>
      <c r="C173" s="0" t="n">
        <f aca="false">SUMPRODUCT((In!S5:S382&lt;&gt;"")*(In!F5:F382=""))</f>
        <v>0</v>
      </c>
      <c r="F173" s="0" t="str">
        <f aca="false">IF(C173=0,"OK","ERROR")</f>
        <v>OK</v>
      </c>
      <c r="G173" s="5" t="s">
        <v>6899</v>
      </c>
    </row>
    <row r="174" customFormat="false" ht="17.15" hidden="false" customHeight="false" outlineLevel="0" collapsed="false">
      <c r="A174" s="0" t="s">
        <v>6902</v>
      </c>
      <c r="B174" s="5" t="s">
        <v>6903</v>
      </c>
      <c r="C174" s="0" t="n">
        <f aca="false">SUMPRODUCT((In!S5:S382=1)*((ISNUMBER(SEARCH("Assumed",In!E5:E382))+ISNUMBER(SEARCH("Analogy",In!E5:E382)))&gt;0)*(((In!H5:H382="")+(In!J5:J382=""))&gt;0))</f>
        <v>0</v>
      </c>
      <c r="F174" s="0" t="str">
        <f aca="false">IF(C174=0,"OK","ERROR")</f>
        <v>OK</v>
      </c>
      <c r="G174" s="5" t="s">
        <v>6899</v>
      </c>
    </row>
    <row r="175" customFormat="false" ht="17.15" hidden="false" customHeight="false" outlineLevel="0" collapsed="false">
      <c r="A175" s="0" t="s">
        <v>6904</v>
      </c>
      <c r="B175" s="5" t="s">
        <v>6905</v>
      </c>
      <c r="C175" s="0" t="n">
        <f aca="false">SUMPRODUCT((In!S5:S382&gt;1)*((ISNUMBER(SEARCH("Assumed",In!E5:E382))+ISNUMBER(SEARCH("Analogy",In!E5:E382)))&gt;0))</f>
        <v>80</v>
      </c>
      <c r="F175" s="0" t="str">
        <f aca="false">IF(C175=0,"OK","WARN")</f>
        <v>WARN</v>
      </c>
      <c r="G175" s="5" t="s">
        <v>6899</v>
      </c>
    </row>
    <row r="176" customFormat="false" ht="17.15" hidden="false" customHeight="false" outlineLevel="0" collapsed="false">
      <c r="A176" s="0" t="s">
        <v>6906</v>
      </c>
      <c r="B176" s="0" t="s">
        <v>6907</v>
      </c>
      <c r="C176" s="0" t="n">
        <v>0</v>
      </c>
      <c r="F176" s="0" t="str">
        <f aca="false">IF(C176=0,"OK","ERROR")</f>
        <v>OK</v>
      </c>
      <c r="G176" s="5" t="s">
        <v>6899</v>
      </c>
    </row>
    <row r="177" customFormat="false" ht="17.15" hidden="false" customHeight="false" outlineLevel="0" collapsed="false">
      <c r="A177" s="0" t="s">
        <v>6908</v>
      </c>
      <c r="B177" s="5" t="s">
        <v>6909</v>
      </c>
      <c r="C177" s="0" t="n">
        <f aca="false">COUNTIF(In!E5:E382,"待證據")</f>
        <v>24</v>
      </c>
      <c r="F177" s="0" t="str">
        <f aca="false">IF(C177=0,"OK","WARN")</f>
        <v>WARN</v>
      </c>
      <c r="G177" s="5" t="s">
        <v>6899</v>
      </c>
      <c r="H177" s="0" t="s">
        <v>6910</v>
      </c>
    </row>
    <row r="178" customFormat="false" ht="15" hidden="false" customHeight="false" outlineLevel="0" collapsed="false">
      <c r="A178" s="0" t="s">
        <v>6911</v>
      </c>
      <c r="B178" s="5" t="s">
        <v>6912</v>
      </c>
      <c r="C178" s="0" t="n">
        <f aca="false">COUNTIF(In!G5:G382,"*【佔位】*")</f>
        <v>0</v>
      </c>
      <c r="F178" s="0" t="str">
        <f aca="false">IF(C178=0,"OK","WARN")</f>
        <v>OK</v>
      </c>
      <c r="G178" s="5" t="s">
        <v>6899</v>
      </c>
    </row>
    <row r="180" customFormat="false" ht="15" hidden="false" customHeight="false" outlineLevel="0" collapsed="false">
      <c r="A180" s="8" t="s">
        <v>6913</v>
      </c>
      <c r="C180" s="45" t="n">
        <f aca="false">COUNTIF(F4:F178,"ERROR")</f>
        <v>0</v>
      </c>
    </row>
    <row r="181" customFormat="false" ht="15" hidden="false" customHeight="false" outlineLevel="0" collapsed="false">
      <c r="A181" s="8" t="s">
        <v>6914</v>
      </c>
      <c r="C181" s="45" t="n">
        <f aca="false">COUNTIF(F4:F178,"WARN")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6915</v>
      </c>
    </row>
    <row r="3" customFormat="false" ht="17.15" hidden="false" customHeight="false" outlineLevel="0" collapsed="false">
      <c r="A3" s="6" t="s">
        <v>6916</v>
      </c>
      <c r="B3" s="6" t="s">
        <v>1724</v>
      </c>
      <c r="C3" s="6" t="s">
        <v>20</v>
      </c>
      <c r="D3" s="6" t="s">
        <v>6917</v>
      </c>
      <c r="E3" s="6" t="s">
        <v>6918</v>
      </c>
      <c r="F3" s="6" t="s">
        <v>6919</v>
      </c>
      <c r="G3" s="6" t="s">
        <v>6920</v>
      </c>
    </row>
    <row r="4" customFormat="false" ht="32.8" hidden="false" customHeight="false" outlineLevel="0" collapsed="false">
      <c r="A4" s="3" t="s">
        <v>6921</v>
      </c>
      <c r="B4" s="2" t="s">
        <v>6922</v>
      </c>
      <c r="C4" s="2" t="s">
        <v>6923</v>
      </c>
      <c r="D4" s="2" t="s">
        <v>6924</v>
      </c>
      <c r="E4" s="3" t="s">
        <v>6925</v>
      </c>
      <c r="F4" s="3" t="s">
        <v>6926</v>
      </c>
      <c r="G4" s="2" t="s">
        <v>6927</v>
      </c>
    </row>
    <row r="5" customFormat="false" ht="32.8" hidden="false" customHeight="false" outlineLevel="0" collapsed="false">
      <c r="A5" s="3" t="s">
        <v>6928</v>
      </c>
      <c r="B5" s="2" t="s">
        <v>6922</v>
      </c>
      <c r="C5" s="2" t="s">
        <v>6929</v>
      </c>
      <c r="D5" s="2" t="s">
        <v>6930</v>
      </c>
      <c r="E5" s="3" t="s">
        <v>6925</v>
      </c>
      <c r="F5" s="2" t="s">
        <v>6931</v>
      </c>
      <c r="G5" s="2" t="s">
        <v>6927</v>
      </c>
    </row>
    <row r="6" customFormat="false" ht="64.15" hidden="false" customHeight="false" outlineLevel="0" collapsed="false">
      <c r="A6" s="46" t="s">
        <v>6932</v>
      </c>
      <c r="B6" s="47" t="s">
        <v>6922</v>
      </c>
      <c r="C6" s="47" t="s">
        <v>6933</v>
      </c>
      <c r="D6" s="47" t="s">
        <v>6934</v>
      </c>
      <c r="E6" s="46" t="s">
        <v>6925</v>
      </c>
      <c r="F6" s="46" t="s">
        <v>6935</v>
      </c>
      <c r="G6" s="47" t="s">
        <v>6936</v>
      </c>
    </row>
    <row r="7" customFormat="false" ht="32.8" hidden="false" customHeight="false" outlineLevel="0" collapsed="false">
      <c r="A7" s="46" t="s">
        <v>6937</v>
      </c>
      <c r="B7" s="47" t="s">
        <v>6922</v>
      </c>
      <c r="C7" s="47" t="s">
        <v>6938</v>
      </c>
      <c r="D7" s="46" t="s">
        <v>6939</v>
      </c>
      <c r="E7" s="46" t="s">
        <v>6925</v>
      </c>
      <c r="F7" s="47" t="s">
        <v>6940</v>
      </c>
      <c r="G7" s="47" t="s">
        <v>6936</v>
      </c>
    </row>
    <row r="8" customFormat="false" ht="32.8" hidden="false" customHeight="false" outlineLevel="0" collapsed="false">
      <c r="A8" s="3" t="s">
        <v>6941</v>
      </c>
      <c r="B8" s="2" t="s">
        <v>6922</v>
      </c>
      <c r="C8" s="3" t="s">
        <v>6942</v>
      </c>
      <c r="D8" s="2" t="s">
        <v>6943</v>
      </c>
      <c r="E8" s="3" t="s">
        <v>6925</v>
      </c>
      <c r="F8" s="2" t="s">
        <v>6944</v>
      </c>
      <c r="G8" s="2" t="s">
        <v>6927</v>
      </c>
    </row>
    <row r="9" customFormat="false" ht="48.5" hidden="false" customHeight="false" outlineLevel="0" collapsed="false">
      <c r="A9" s="3" t="s">
        <v>6945</v>
      </c>
      <c r="B9" s="2" t="s">
        <v>6922</v>
      </c>
      <c r="C9" s="2" t="s">
        <v>6946</v>
      </c>
      <c r="D9" s="2" t="s">
        <v>6947</v>
      </c>
      <c r="E9" s="3" t="s">
        <v>6925</v>
      </c>
      <c r="F9" s="3" t="s">
        <v>6948</v>
      </c>
      <c r="G9" s="2" t="s">
        <v>6927</v>
      </c>
    </row>
    <row r="10" customFormat="false" ht="64.15" hidden="false" customHeight="false" outlineLevel="0" collapsed="false">
      <c r="A10" s="46" t="s">
        <v>6949</v>
      </c>
      <c r="B10" s="47" t="s">
        <v>6922</v>
      </c>
      <c r="C10" s="47" t="s">
        <v>6950</v>
      </c>
      <c r="D10" s="46" t="s">
        <v>6951</v>
      </c>
      <c r="E10" s="46" t="s">
        <v>6925</v>
      </c>
      <c r="F10" s="47" t="s">
        <v>6952</v>
      </c>
      <c r="G10" s="47" t="s">
        <v>6936</v>
      </c>
    </row>
    <row r="11" customFormat="false" ht="48.5" hidden="false" customHeight="false" outlineLevel="0" collapsed="false">
      <c r="A11" s="46" t="s">
        <v>6953</v>
      </c>
      <c r="B11" s="47" t="s">
        <v>6922</v>
      </c>
      <c r="C11" s="46" t="s">
        <v>6954</v>
      </c>
      <c r="D11" s="46" t="s">
        <v>6955</v>
      </c>
      <c r="E11" s="46" t="s">
        <v>6925</v>
      </c>
      <c r="F11" s="47" t="s">
        <v>6956</v>
      </c>
      <c r="G11" s="47" t="s">
        <v>6936</v>
      </c>
    </row>
    <row r="12" customFormat="false" ht="32.8" hidden="false" customHeight="false" outlineLevel="0" collapsed="false">
      <c r="A12" s="3" t="s">
        <v>6957</v>
      </c>
      <c r="B12" s="2" t="s">
        <v>6922</v>
      </c>
      <c r="C12" s="3" t="s">
        <v>6958</v>
      </c>
      <c r="D12" s="2" t="s">
        <v>6959</v>
      </c>
      <c r="E12" s="3" t="s">
        <v>6925</v>
      </c>
      <c r="F12" s="2" t="s">
        <v>6960</v>
      </c>
      <c r="G12" s="2" t="s">
        <v>6927</v>
      </c>
    </row>
    <row r="13" customFormat="false" ht="17.15" hidden="false" customHeight="false" outlineLevel="0" collapsed="false">
      <c r="A13" s="3" t="s">
        <v>6961</v>
      </c>
      <c r="B13" s="2" t="s">
        <v>6922</v>
      </c>
      <c r="C13" s="2" t="s">
        <v>6962</v>
      </c>
      <c r="D13" s="2" t="s">
        <v>6963</v>
      </c>
      <c r="E13" s="3" t="s">
        <v>6925</v>
      </c>
      <c r="F13" s="2" t="s">
        <v>6964</v>
      </c>
      <c r="G13" s="2" t="s">
        <v>6927</v>
      </c>
    </row>
    <row r="14" customFormat="false" ht="48.5" hidden="false" customHeight="false" outlineLevel="0" collapsed="false">
      <c r="A14" s="46" t="s">
        <v>6965</v>
      </c>
      <c r="B14" s="47" t="s">
        <v>6922</v>
      </c>
      <c r="C14" s="47" t="s">
        <v>6966</v>
      </c>
      <c r="D14" s="46" t="s">
        <v>6967</v>
      </c>
      <c r="E14" s="46" t="s">
        <v>6925</v>
      </c>
      <c r="F14" s="46" t="s">
        <v>6968</v>
      </c>
      <c r="G14" s="47" t="s">
        <v>6936</v>
      </c>
    </row>
    <row r="15" customFormat="false" ht="32.8" hidden="false" customHeight="false" outlineLevel="0" collapsed="false">
      <c r="A15" s="3" t="s">
        <v>6969</v>
      </c>
      <c r="B15" s="2" t="s">
        <v>6922</v>
      </c>
      <c r="C15" s="2" t="s">
        <v>6970</v>
      </c>
      <c r="D15" s="2" t="s">
        <v>6971</v>
      </c>
      <c r="E15" s="3" t="s">
        <v>6925</v>
      </c>
      <c r="F15" s="3" t="s">
        <v>6972</v>
      </c>
      <c r="G15" s="2" t="s">
        <v>6927</v>
      </c>
    </row>
    <row r="16" customFormat="false" ht="64.15" hidden="false" customHeight="false" outlineLevel="0" collapsed="false">
      <c r="A16" s="46" t="s">
        <v>6973</v>
      </c>
      <c r="B16" s="47" t="s">
        <v>6922</v>
      </c>
      <c r="C16" s="46" t="s">
        <v>6974</v>
      </c>
      <c r="D16" s="46" t="s">
        <v>6975</v>
      </c>
      <c r="E16" s="46" t="s">
        <v>6925</v>
      </c>
      <c r="F16" s="46" t="s">
        <v>6976</v>
      </c>
      <c r="G16" s="47" t="s">
        <v>6936</v>
      </c>
    </row>
    <row r="17" customFormat="false" ht="30.55" hidden="false" customHeight="false" outlineLevel="0" collapsed="false">
      <c r="A17" s="46" t="s">
        <v>6977</v>
      </c>
      <c r="B17" s="47" t="s">
        <v>6922</v>
      </c>
      <c r="C17" s="46" t="s">
        <v>6978</v>
      </c>
      <c r="D17" s="47" t="s">
        <v>6979</v>
      </c>
      <c r="E17" s="46" t="s">
        <v>6925</v>
      </c>
      <c r="F17" s="46" t="s">
        <v>6972</v>
      </c>
      <c r="G17" s="47" t="s">
        <v>6936</v>
      </c>
    </row>
    <row r="18" customFormat="false" ht="32.8" hidden="false" customHeight="false" outlineLevel="0" collapsed="false">
      <c r="A18" s="3" t="s">
        <v>6980</v>
      </c>
      <c r="B18" s="2" t="s">
        <v>6922</v>
      </c>
      <c r="C18" s="2" t="s">
        <v>6981</v>
      </c>
      <c r="D18" s="3" t="s">
        <v>6982</v>
      </c>
      <c r="E18" s="3" t="s">
        <v>6925</v>
      </c>
      <c r="F18" s="2" t="s">
        <v>6922</v>
      </c>
      <c r="G18" s="2" t="s">
        <v>6927</v>
      </c>
    </row>
    <row r="19" customFormat="false" ht="95.5" hidden="false" customHeight="false" outlineLevel="0" collapsed="false">
      <c r="A19" s="46" t="s">
        <v>6983</v>
      </c>
      <c r="B19" s="47" t="s">
        <v>6922</v>
      </c>
      <c r="C19" s="47" t="s">
        <v>6984</v>
      </c>
      <c r="D19" s="47" t="s">
        <v>6985</v>
      </c>
      <c r="E19" s="46" t="s">
        <v>6925</v>
      </c>
      <c r="F19" s="46" t="s">
        <v>6986</v>
      </c>
      <c r="G19" s="47" t="s">
        <v>6936</v>
      </c>
    </row>
    <row r="20" customFormat="false" ht="48.5" hidden="false" customHeight="false" outlineLevel="0" collapsed="false">
      <c r="A20" s="46" t="s">
        <v>6987</v>
      </c>
      <c r="B20" s="47" t="s">
        <v>6922</v>
      </c>
      <c r="C20" s="47" t="s">
        <v>6988</v>
      </c>
      <c r="D20" s="46" t="s">
        <v>6989</v>
      </c>
      <c r="E20" s="46" t="s">
        <v>6925</v>
      </c>
      <c r="F20" s="46" t="s">
        <v>6990</v>
      </c>
      <c r="G20" s="47" t="s">
        <v>6936</v>
      </c>
    </row>
    <row r="21" customFormat="false" ht="48.5" hidden="false" customHeight="false" outlineLevel="0" collapsed="false">
      <c r="A21" s="46" t="s">
        <v>6991</v>
      </c>
      <c r="B21" s="47" t="s">
        <v>6992</v>
      </c>
      <c r="C21" s="47" t="s">
        <v>6993</v>
      </c>
      <c r="D21" s="47" t="s">
        <v>6994</v>
      </c>
      <c r="E21" s="46" t="s">
        <v>6925</v>
      </c>
      <c r="F21" s="47" t="s">
        <v>6995</v>
      </c>
      <c r="G21" s="47" t="s">
        <v>6936</v>
      </c>
    </row>
    <row r="22" customFormat="false" ht="48.5" hidden="false" customHeight="false" outlineLevel="0" collapsed="false">
      <c r="A22" s="46" t="s">
        <v>6996</v>
      </c>
      <c r="B22" s="47" t="s">
        <v>6922</v>
      </c>
      <c r="C22" s="47" t="s">
        <v>6997</v>
      </c>
      <c r="D22" s="46" t="s">
        <v>6998</v>
      </c>
      <c r="E22" s="46" t="s">
        <v>6925</v>
      </c>
      <c r="F22" s="47" t="s">
        <v>6999</v>
      </c>
      <c r="G22" s="47" t="s">
        <v>6936</v>
      </c>
    </row>
    <row r="23" customFormat="false" ht="48.5" hidden="false" customHeight="false" outlineLevel="0" collapsed="false">
      <c r="A23" s="3" t="s">
        <v>7000</v>
      </c>
      <c r="B23" s="2" t="s">
        <v>6922</v>
      </c>
      <c r="C23" s="2" t="s">
        <v>7001</v>
      </c>
      <c r="D23" s="2" t="s">
        <v>7002</v>
      </c>
      <c r="E23" s="3" t="s">
        <v>6925</v>
      </c>
      <c r="F23" s="2" t="s">
        <v>7003</v>
      </c>
      <c r="G23" s="2" t="s">
        <v>6927</v>
      </c>
    </row>
    <row r="24" customFormat="false" ht="48.5" hidden="false" customHeight="false" outlineLevel="0" collapsed="false">
      <c r="A24" s="3" t="s">
        <v>7004</v>
      </c>
      <c r="B24" s="2" t="s">
        <v>7005</v>
      </c>
      <c r="C24" s="3" t="s">
        <v>7006</v>
      </c>
      <c r="D24" s="3" t="s">
        <v>7007</v>
      </c>
      <c r="E24" s="3" t="s">
        <v>6925</v>
      </c>
      <c r="F24" s="2" t="s">
        <v>7008</v>
      </c>
      <c r="G24" s="2" t="s">
        <v>6927</v>
      </c>
    </row>
    <row r="25" customFormat="false" ht="48.5" hidden="false" customHeight="false" outlineLevel="0" collapsed="false">
      <c r="A25" s="3" t="s">
        <v>7009</v>
      </c>
      <c r="B25" s="2" t="s">
        <v>6922</v>
      </c>
      <c r="C25" s="2" t="s">
        <v>7010</v>
      </c>
      <c r="D25" s="3" t="s">
        <v>7011</v>
      </c>
      <c r="E25" s="3" t="s">
        <v>6925</v>
      </c>
      <c r="F25" s="3" t="s">
        <v>7012</v>
      </c>
      <c r="G25" s="2" t="s">
        <v>6927</v>
      </c>
    </row>
    <row r="26" customFormat="false" ht="79.85" hidden="false" customHeight="false" outlineLevel="0" collapsed="false">
      <c r="A26" s="46" t="s">
        <v>7013</v>
      </c>
      <c r="B26" s="47" t="s">
        <v>6922</v>
      </c>
      <c r="C26" s="47" t="s">
        <v>7014</v>
      </c>
      <c r="D26" s="47" t="s">
        <v>7015</v>
      </c>
      <c r="E26" s="46" t="s">
        <v>6925</v>
      </c>
      <c r="F26" s="46" t="s">
        <v>7016</v>
      </c>
      <c r="G26" s="47" t="s">
        <v>6936</v>
      </c>
    </row>
    <row r="27" customFormat="false" ht="79.85" hidden="false" customHeight="false" outlineLevel="0" collapsed="false">
      <c r="A27" s="3" t="s">
        <v>7017</v>
      </c>
      <c r="B27" s="2" t="s">
        <v>6922</v>
      </c>
      <c r="C27" s="3" t="s">
        <v>7018</v>
      </c>
      <c r="D27" s="2" t="s">
        <v>7019</v>
      </c>
      <c r="E27" s="3" t="s">
        <v>6925</v>
      </c>
      <c r="F27" s="3" t="s">
        <v>7020</v>
      </c>
      <c r="G27" s="2" t="s">
        <v>6927</v>
      </c>
    </row>
    <row r="28" customFormat="false" ht="32.8" hidden="false" customHeight="false" outlineLevel="0" collapsed="false">
      <c r="A28" s="46" t="s">
        <v>7021</v>
      </c>
      <c r="B28" s="47" t="s">
        <v>6922</v>
      </c>
      <c r="C28" s="46" t="s">
        <v>7022</v>
      </c>
      <c r="D28" s="46" t="s">
        <v>7023</v>
      </c>
      <c r="E28" s="46" t="s">
        <v>6925</v>
      </c>
      <c r="F28" s="46" t="s">
        <v>7024</v>
      </c>
      <c r="G28" s="47" t="s">
        <v>6936</v>
      </c>
    </row>
    <row r="29" customFormat="false" ht="64.15" hidden="false" customHeight="false" outlineLevel="0" collapsed="false">
      <c r="A29" s="46" t="s">
        <v>7025</v>
      </c>
      <c r="B29" s="47" t="s">
        <v>6922</v>
      </c>
      <c r="C29" s="46" t="s">
        <v>7026</v>
      </c>
      <c r="D29" s="47" t="s">
        <v>7027</v>
      </c>
      <c r="E29" s="46" t="s">
        <v>6925</v>
      </c>
      <c r="F29" s="46" t="s">
        <v>7028</v>
      </c>
      <c r="G29" s="47" t="s">
        <v>6936</v>
      </c>
    </row>
    <row r="30" customFormat="false" ht="32.8" hidden="false" customHeight="false" outlineLevel="0" collapsed="false">
      <c r="A30" s="46" t="s">
        <v>7029</v>
      </c>
      <c r="B30" s="47" t="s">
        <v>6922</v>
      </c>
      <c r="C30" s="46" t="s">
        <v>7030</v>
      </c>
      <c r="D30" s="46" t="s">
        <v>7031</v>
      </c>
      <c r="E30" s="46" t="s">
        <v>6925</v>
      </c>
      <c r="F30" s="47" t="s">
        <v>7032</v>
      </c>
      <c r="G30" s="47" t="s">
        <v>6936</v>
      </c>
    </row>
    <row r="31" customFormat="false" ht="48.5" hidden="false" customHeight="false" outlineLevel="0" collapsed="false">
      <c r="A31" s="46" t="s">
        <v>7033</v>
      </c>
      <c r="B31" s="47" t="s">
        <v>6992</v>
      </c>
      <c r="C31" s="47" t="s">
        <v>7034</v>
      </c>
      <c r="D31" s="47" t="s">
        <v>7035</v>
      </c>
      <c r="E31" s="46" t="s">
        <v>6925</v>
      </c>
      <c r="F31" s="46" t="s">
        <v>7036</v>
      </c>
      <c r="G31" s="47" t="s">
        <v>6936</v>
      </c>
    </row>
    <row r="32" customFormat="false" ht="32.8" hidden="false" customHeight="false" outlineLevel="0" collapsed="false">
      <c r="A32" s="46" t="s">
        <v>7037</v>
      </c>
      <c r="B32" s="47" t="s">
        <v>7038</v>
      </c>
      <c r="C32" s="46" t="s">
        <v>7039</v>
      </c>
      <c r="D32" s="47" t="s">
        <v>7040</v>
      </c>
      <c r="E32" s="46" t="s">
        <v>7041</v>
      </c>
      <c r="F32" s="47" t="s">
        <v>7042</v>
      </c>
      <c r="G32" s="47" t="s">
        <v>6936</v>
      </c>
    </row>
    <row r="33" customFormat="false" ht="64.15" hidden="false" customHeight="false" outlineLevel="0" collapsed="false">
      <c r="A33" s="46" t="s">
        <v>7043</v>
      </c>
      <c r="B33" s="47" t="s">
        <v>7038</v>
      </c>
      <c r="C33" s="46" t="s">
        <v>7044</v>
      </c>
      <c r="D33" s="47" t="s">
        <v>7045</v>
      </c>
      <c r="E33" s="46" t="s">
        <v>7041</v>
      </c>
      <c r="F33" s="47" t="s">
        <v>7046</v>
      </c>
      <c r="G33" s="47" t="s">
        <v>6936</v>
      </c>
    </row>
    <row r="34" customFormat="false" ht="48.5" hidden="false" customHeight="false" outlineLevel="0" collapsed="false">
      <c r="A34" s="46" t="s">
        <v>7047</v>
      </c>
      <c r="B34" s="47" t="s">
        <v>7038</v>
      </c>
      <c r="C34" s="46" t="s">
        <v>7048</v>
      </c>
      <c r="D34" s="46" t="s">
        <v>7049</v>
      </c>
      <c r="E34" s="46" t="s">
        <v>7041</v>
      </c>
      <c r="F34" s="47" t="s">
        <v>7050</v>
      </c>
      <c r="G34" s="47" t="s">
        <v>6936</v>
      </c>
    </row>
    <row r="35" customFormat="false" ht="95.5" hidden="false" customHeight="false" outlineLevel="0" collapsed="false">
      <c r="A35" s="46" t="s">
        <v>7051</v>
      </c>
      <c r="B35" s="47" t="s">
        <v>7038</v>
      </c>
      <c r="C35" s="46" t="s">
        <v>7052</v>
      </c>
      <c r="D35" s="46" t="s">
        <v>7053</v>
      </c>
      <c r="E35" s="46" t="s">
        <v>7041</v>
      </c>
      <c r="F35" s="47" t="s">
        <v>7054</v>
      </c>
      <c r="G35" s="47" t="s">
        <v>6936</v>
      </c>
    </row>
    <row r="36" customFormat="false" ht="32.8" hidden="false" customHeight="false" outlineLevel="0" collapsed="false">
      <c r="A36" s="46" t="s">
        <v>7055</v>
      </c>
      <c r="B36" s="47" t="s">
        <v>7038</v>
      </c>
      <c r="C36" s="46" t="s">
        <v>7056</v>
      </c>
      <c r="D36" s="47" t="s">
        <v>7057</v>
      </c>
      <c r="E36" s="46" t="s">
        <v>7041</v>
      </c>
      <c r="F36" s="47" t="s">
        <v>7058</v>
      </c>
      <c r="G36" s="47" t="s">
        <v>6936</v>
      </c>
    </row>
    <row r="37" customFormat="false" ht="64.15" hidden="false" customHeight="false" outlineLevel="0" collapsed="false">
      <c r="A37" s="46" t="s">
        <v>7059</v>
      </c>
      <c r="B37" s="47" t="s">
        <v>7038</v>
      </c>
      <c r="C37" s="46" t="s">
        <v>7060</v>
      </c>
      <c r="D37" s="46" t="s">
        <v>7061</v>
      </c>
      <c r="E37" s="46" t="s">
        <v>7041</v>
      </c>
      <c r="F37" s="47" t="s">
        <v>7062</v>
      </c>
      <c r="G37" s="47" t="s">
        <v>6936</v>
      </c>
    </row>
    <row r="38" customFormat="false" ht="48.5" hidden="false" customHeight="false" outlineLevel="0" collapsed="false">
      <c r="A38" s="46" t="s">
        <v>7063</v>
      </c>
      <c r="B38" s="47" t="s">
        <v>6922</v>
      </c>
      <c r="C38" s="46" t="s">
        <v>7064</v>
      </c>
      <c r="D38" s="46" t="s">
        <v>7065</v>
      </c>
      <c r="E38" s="46" t="s">
        <v>7041</v>
      </c>
      <c r="F38" s="47" t="s">
        <v>7066</v>
      </c>
      <c r="G38" s="47" t="s">
        <v>6936</v>
      </c>
    </row>
    <row r="39" customFormat="false" ht="48.5" hidden="false" customHeight="false" outlineLevel="0" collapsed="false">
      <c r="A39" s="46" t="s">
        <v>7067</v>
      </c>
      <c r="B39" s="47" t="s">
        <v>6922</v>
      </c>
      <c r="C39" s="47" t="s">
        <v>7068</v>
      </c>
      <c r="D39" s="46" t="s">
        <v>7069</v>
      </c>
      <c r="E39" s="46" t="s">
        <v>7041</v>
      </c>
      <c r="F39" s="47" t="s">
        <v>7070</v>
      </c>
      <c r="G39" s="47" t="s">
        <v>6936</v>
      </c>
    </row>
    <row r="40" customFormat="false" ht="64.15" hidden="false" customHeight="false" outlineLevel="0" collapsed="false">
      <c r="A40" s="46" t="s">
        <v>7071</v>
      </c>
      <c r="B40" s="47" t="s">
        <v>6922</v>
      </c>
      <c r="C40" s="47" t="s">
        <v>7072</v>
      </c>
      <c r="D40" s="46" t="s">
        <v>7073</v>
      </c>
      <c r="E40" s="46" t="s">
        <v>7041</v>
      </c>
      <c r="F40" s="46" t="s">
        <v>7074</v>
      </c>
      <c r="G40" s="47" t="s">
        <v>6936</v>
      </c>
    </row>
    <row r="41" customFormat="false" ht="48.5" hidden="false" customHeight="false" outlineLevel="0" collapsed="false">
      <c r="A41" s="46" t="s">
        <v>7075</v>
      </c>
      <c r="B41" s="47" t="s">
        <v>6922</v>
      </c>
      <c r="C41" s="47" t="s">
        <v>7076</v>
      </c>
      <c r="D41" s="47" t="s">
        <v>7077</v>
      </c>
      <c r="E41" s="46" t="s">
        <v>7041</v>
      </c>
      <c r="F41" s="46" t="s">
        <v>7074</v>
      </c>
      <c r="G41" s="47" t="s">
        <v>6936</v>
      </c>
    </row>
    <row r="42" customFormat="false" ht="48.5" hidden="false" customHeight="false" outlineLevel="0" collapsed="false">
      <c r="A42" s="46" t="s">
        <v>7078</v>
      </c>
      <c r="B42" s="47" t="s">
        <v>6922</v>
      </c>
      <c r="C42" s="47" t="s">
        <v>7079</v>
      </c>
      <c r="D42" s="47" t="s">
        <v>7080</v>
      </c>
      <c r="E42" s="46" t="s">
        <v>7041</v>
      </c>
      <c r="F42" s="46" t="s">
        <v>7081</v>
      </c>
      <c r="G42" s="47" t="s">
        <v>6936</v>
      </c>
    </row>
    <row r="43" customFormat="false" ht="79.85" hidden="false" customHeight="false" outlineLevel="0" collapsed="false">
      <c r="A43" s="3" t="s">
        <v>7082</v>
      </c>
      <c r="B43" s="2" t="s">
        <v>7038</v>
      </c>
      <c r="C43" s="2" t="s">
        <v>7083</v>
      </c>
      <c r="D43" s="2" t="s">
        <v>7084</v>
      </c>
      <c r="E43" s="3" t="s">
        <v>7041</v>
      </c>
      <c r="F43" s="3" t="s">
        <v>7085</v>
      </c>
      <c r="G43" s="2" t="s">
        <v>7086</v>
      </c>
    </row>
    <row r="44" customFormat="false" ht="48.5" hidden="false" customHeight="false" outlineLevel="0" collapsed="false">
      <c r="A44" s="46" t="s">
        <v>7087</v>
      </c>
      <c r="B44" s="47" t="s">
        <v>7038</v>
      </c>
      <c r="C44" s="46" t="s">
        <v>7088</v>
      </c>
      <c r="D44" s="46" t="s">
        <v>7089</v>
      </c>
      <c r="E44" s="46" t="s">
        <v>7041</v>
      </c>
      <c r="F44" s="46" t="s">
        <v>7090</v>
      </c>
      <c r="G44" s="47" t="s">
        <v>6936</v>
      </c>
    </row>
    <row r="45" customFormat="false" ht="64.15" hidden="false" customHeight="false" outlineLevel="0" collapsed="false">
      <c r="A45" s="46" t="s">
        <v>7091</v>
      </c>
      <c r="B45" s="47" t="s">
        <v>6922</v>
      </c>
      <c r="C45" s="46" t="s">
        <v>7092</v>
      </c>
      <c r="D45" s="47" t="s">
        <v>7093</v>
      </c>
      <c r="E45" s="46" t="s">
        <v>7041</v>
      </c>
      <c r="F45" s="47" t="s">
        <v>7094</v>
      </c>
      <c r="G45" s="47" t="s">
        <v>6936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7095</v>
      </c>
    </row>
    <row r="2" customFormat="false" ht="17.15" hidden="false" customHeight="false" outlineLevel="0" collapsed="false">
      <c r="A2" s="5" t="s">
        <v>7096</v>
      </c>
    </row>
    <row r="3" customFormat="false" ht="17.15" hidden="false" customHeight="false" outlineLevel="0" collapsed="false">
      <c r="A3" s="7" t="s">
        <v>2091</v>
      </c>
      <c r="B3" s="6" t="s">
        <v>7097</v>
      </c>
      <c r="C3" s="6" t="s">
        <v>7098</v>
      </c>
      <c r="D3" s="6" t="s">
        <v>2090</v>
      </c>
      <c r="E3" s="6" t="s">
        <v>21</v>
      </c>
      <c r="F3" s="7" t="s">
        <v>7099</v>
      </c>
      <c r="G3" s="6" t="s">
        <v>7100</v>
      </c>
      <c r="H3" s="7" t="s">
        <v>7101</v>
      </c>
      <c r="I3" s="7" t="s">
        <v>7102</v>
      </c>
      <c r="J3" s="6" t="s">
        <v>7103</v>
      </c>
      <c r="K3" s="6" t="s">
        <v>3313</v>
      </c>
      <c r="L3" s="6" t="s">
        <v>3311</v>
      </c>
    </row>
    <row r="4" customFormat="false" ht="17.15" hidden="false" customHeight="false" outlineLevel="0" collapsed="false">
      <c r="A4" s="12" t="s">
        <v>7104</v>
      </c>
      <c r="B4" s="12" t="s">
        <v>2076</v>
      </c>
      <c r="C4" s="12" t="s">
        <v>7105</v>
      </c>
      <c r="D4" s="12" t="s">
        <v>7106</v>
      </c>
      <c r="E4" s="12" t="s">
        <v>7107</v>
      </c>
      <c r="F4" s="12" t="s">
        <v>4121</v>
      </c>
      <c r="G4" s="12" t="s">
        <v>3371</v>
      </c>
      <c r="H4" s="13" t="s">
        <v>3347</v>
      </c>
      <c r="I4" s="12"/>
      <c r="J4" s="12"/>
      <c r="K4" s="12" t="s">
        <v>40</v>
      </c>
      <c r="L4" s="12" t="s">
        <v>7108</v>
      </c>
    </row>
    <row r="5" customFormat="false" ht="17.15" hidden="false" customHeight="false" outlineLevel="0" collapsed="false">
      <c r="A5" s="0" t="s">
        <v>7109</v>
      </c>
      <c r="B5" s="0" t="s">
        <v>2076</v>
      </c>
      <c r="C5" s="0" t="s">
        <v>7110</v>
      </c>
      <c r="D5" s="0" t="s">
        <v>7111</v>
      </c>
      <c r="E5" s="0" t="s">
        <v>7107</v>
      </c>
      <c r="F5" s="0" t="s">
        <v>7112</v>
      </c>
      <c r="G5" s="0" t="s">
        <v>3371</v>
      </c>
      <c r="H5" s="5" t="s">
        <v>2097</v>
      </c>
      <c r="K5" s="0" t="s">
        <v>40</v>
      </c>
      <c r="L5" s="0" t="s">
        <v>7113</v>
      </c>
    </row>
    <row r="6" customFormat="false" ht="17.15" hidden="false" customHeight="false" outlineLevel="0" collapsed="false">
      <c r="A6" s="0" t="s">
        <v>7114</v>
      </c>
      <c r="B6" s="0" t="s">
        <v>2076</v>
      </c>
      <c r="C6" s="0" t="s">
        <v>7115</v>
      </c>
      <c r="D6" s="0" t="s">
        <v>7111</v>
      </c>
      <c r="E6" s="0" t="s">
        <v>7107</v>
      </c>
      <c r="F6" s="0" t="s">
        <v>7116</v>
      </c>
      <c r="G6" s="0" t="s">
        <v>3371</v>
      </c>
      <c r="H6" s="5" t="s">
        <v>2097</v>
      </c>
      <c r="K6" s="0" t="s">
        <v>40</v>
      </c>
      <c r="L6" s="0" t="s">
        <v>7117</v>
      </c>
    </row>
    <row r="7" customFormat="false" ht="17.15" hidden="false" customHeight="false" outlineLevel="0" collapsed="false">
      <c r="A7" s="0" t="s">
        <v>7118</v>
      </c>
      <c r="B7" s="0" t="s">
        <v>2076</v>
      </c>
      <c r="C7" s="0" t="s">
        <v>7119</v>
      </c>
      <c r="D7" s="0" t="s">
        <v>7111</v>
      </c>
      <c r="E7" s="0" t="s">
        <v>7107</v>
      </c>
      <c r="F7" s="0" t="s">
        <v>7120</v>
      </c>
      <c r="G7" s="0" t="s">
        <v>3371</v>
      </c>
      <c r="H7" s="5" t="s">
        <v>2097</v>
      </c>
      <c r="K7" s="0" t="s">
        <v>40</v>
      </c>
      <c r="L7" s="0" t="s">
        <v>7121</v>
      </c>
    </row>
    <row r="8" customFormat="false" ht="17.15" hidden="false" customHeight="false" outlineLevel="0" collapsed="false">
      <c r="A8" s="0" t="s">
        <v>7122</v>
      </c>
      <c r="B8" s="0" t="s">
        <v>2076</v>
      </c>
      <c r="C8" s="0" t="s">
        <v>7123</v>
      </c>
      <c r="D8" s="0" t="s">
        <v>7124</v>
      </c>
      <c r="E8" s="0" t="s">
        <v>7107</v>
      </c>
      <c r="F8" s="0" t="s">
        <v>7125</v>
      </c>
      <c r="G8" s="0" t="s">
        <v>3371</v>
      </c>
      <c r="H8" s="5" t="s">
        <v>2097</v>
      </c>
      <c r="K8" s="0" t="s">
        <v>40</v>
      </c>
      <c r="L8" s="0" t="s">
        <v>7126</v>
      </c>
    </row>
    <row r="9" customFormat="false" ht="17.15" hidden="false" customHeight="false" outlineLevel="0" collapsed="false">
      <c r="A9" s="0" t="s">
        <v>7127</v>
      </c>
      <c r="B9" s="0" t="s">
        <v>2076</v>
      </c>
      <c r="C9" s="0" t="s">
        <v>7128</v>
      </c>
      <c r="D9" s="0" t="s">
        <v>7129</v>
      </c>
      <c r="E9" s="0" t="s">
        <v>7107</v>
      </c>
      <c r="F9" s="0" t="s">
        <v>3841</v>
      </c>
      <c r="G9" s="0" t="s">
        <v>3371</v>
      </c>
      <c r="H9" s="5" t="s">
        <v>2097</v>
      </c>
      <c r="I9" s="0" t="s">
        <v>7130</v>
      </c>
      <c r="J9" s="0" t="s">
        <v>214</v>
      </c>
      <c r="K9" s="5" t="s">
        <v>3313</v>
      </c>
      <c r="L9" s="0" t="s">
        <v>7131</v>
      </c>
    </row>
    <row r="10" customFormat="false" ht="17.15" hidden="false" customHeight="false" outlineLevel="0" collapsed="false">
      <c r="A10" s="0" t="s">
        <v>7132</v>
      </c>
      <c r="B10" s="0" t="s">
        <v>2076</v>
      </c>
      <c r="C10" s="0" t="s">
        <v>7133</v>
      </c>
      <c r="D10" s="0" t="s">
        <v>7134</v>
      </c>
      <c r="E10" s="0" t="s">
        <v>7107</v>
      </c>
      <c r="F10" s="0" t="s">
        <v>3841</v>
      </c>
      <c r="G10" s="0" t="s">
        <v>3371</v>
      </c>
      <c r="H10" s="5" t="s">
        <v>2097</v>
      </c>
      <c r="J10" s="0" t="s">
        <v>214</v>
      </c>
      <c r="K10" s="5" t="s">
        <v>3313</v>
      </c>
      <c r="L10" s="0" t="s">
        <v>7131</v>
      </c>
    </row>
    <row r="11" customFormat="false" ht="17.15" hidden="false" customHeight="false" outlineLevel="0" collapsed="false">
      <c r="A11" s="0" t="s">
        <v>7135</v>
      </c>
      <c r="B11" s="0" t="s">
        <v>2076</v>
      </c>
      <c r="C11" s="0" t="s">
        <v>7136</v>
      </c>
      <c r="D11" s="0" t="s">
        <v>7137</v>
      </c>
      <c r="E11" s="0" t="s">
        <v>7107</v>
      </c>
      <c r="F11" s="0" t="s">
        <v>7138</v>
      </c>
      <c r="G11" s="0" t="s">
        <v>3371</v>
      </c>
      <c r="H11" s="5" t="s">
        <v>3320</v>
      </c>
      <c r="K11" s="0" t="s">
        <v>40</v>
      </c>
      <c r="L11" s="0" t="s">
        <v>7139</v>
      </c>
    </row>
    <row r="12" customFormat="false" ht="17.15" hidden="false" customHeight="false" outlineLevel="0" collapsed="false">
      <c r="A12" s="0" t="s">
        <v>7140</v>
      </c>
      <c r="B12" s="0" t="s">
        <v>2076</v>
      </c>
      <c r="C12" s="0" t="s">
        <v>7141</v>
      </c>
      <c r="D12" s="0" t="s">
        <v>7142</v>
      </c>
      <c r="E12" s="0" t="s">
        <v>7107</v>
      </c>
      <c r="F12" s="0" t="s">
        <v>7143</v>
      </c>
      <c r="G12" s="0" t="s">
        <v>7144</v>
      </c>
      <c r="H12" s="5" t="s">
        <v>2097</v>
      </c>
      <c r="J12" s="0" t="s">
        <v>329</v>
      </c>
      <c r="K12" s="5" t="s">
        <v>3313</v>
      </c>
      <c r="L12" s="0" t="s">
        <v>7145</v>
      </c>
    </row>
    <row r="13" customFormat="false" ht="17.15" hidden="false" customHeight="false" outlineLevel="0" collapsed="false">
      <c r="A13" s="0" t="s">
        <v>7146</v>
      </c>
      <c r="B13" s="0" t="s">
        <v>2076</v>
      </c>
      <c r="C13" s="0" t="s">
        <v>7147</v>
      </c>
      <c r="D13" s="0" t="s">
        <v>7148</v>
      </c>
      <c r="E13" s="0" t="s">
        <v>7107</v>
      </c>
      <c r="F13" s="0" t="s">
        <v>7149</v>
      </c>
      <c r="G13" s="0" t="s">
        <v>7144</v>
      </c>
      <c r="H13" s="5" t="s">
        <v>2097</v>
      </c>
      <c r="J13" s="0" t="s">
        <v>329</v>
      </c>
      <c r="K13" s="5" t="s">
        <v>3313</v>
      </c>
      <c r="L13" s="0" t="s">
        <v>7145</v>
      </c>
    </row>
    <row r="14" customFormat="false" ht="17.15" hidden="false" customHeight="false" outlineLevel="0" collapsed="false">
      <c r="A14" s="0" t="s">
        <v>7150</v>
      </c>
      <c r="B14" s="0" t="s">
        <v>2076</v>
      </c>
      <c r="C14" s="0" t="s">
        <v>7151</v>
      </c>
      <c r="D14" s="0" t="s">
        <v>7152</v>
      </c>
      <c r="E14" s="0" t="s">
        <v>7107</v>
      </c>
      <c r="F14" s="0" t="s">
        <v>3939</v>
      </c>
      <c r="G14" s="0" t="s">
        <v>7144</v>
      </c>
      <c r="H14" s="5" t="s">
        <v>2097</v>
      </c>
      <c r="K14" s="0" t="s">
        <v>40</v>
      </c>
      <c r="L14" s="0" t="s">
        <v>7145</v>
      </c>
    </row>
    <row r="15" customFormat="false" ht="17.15" hidden="false" customHeight="false" outlineLevel="0" collapsed="false">
      <c r="A15" s="0" t="s">
        <v>7153</v>
      </c>
      <c r="B15" s="0" t="s">
        <v>2076</v>
      </c>
      <c r="C15" s="0" t="s">
        <v>7154</v>
      </c>
      <c r="D15" s="0" t="s">
        <v>7155</v>
      </c>
      <c r="E15" s="0" t="s">
        <v>116</v>
      </c>
      <c r="F15" s="0" t="s">
        <v>124</v>
      </c>
      <c r="G15" s="0" t="s">
        <v>3327</v>
      </c>
      <c r="H15" s="5" t="s">
        <v>3320</v>
      </c>
      <c r="J15" s="0" t="s">
        <v>114</v>
      </c>
      <c r="K15" s="5" t="s">
        <v>7156</v>
      </c>
      <c r="L15" s="0" t="s">
        <v>7157</v>
      </c>
    </row>
    <row r="16" customFormat="false" ht="17.15" hidden="false" customHeight="false" outlineLevel="0" collapsed="false">
      <c r="A16" s="0" t="s">
        <v>7158</v>
      </c>
      <c r="B16" s="0" t="s">
        <v>2076</v>
      </c>
      <c r="C16" s="0" t="s">
        <v>7159</v>
      </c>
      <c r="D16" s="0" t="s">
        <v>7160</v>
      </c>
      <c r="E16" s="0" t="s">
        <v>116</v>
      </c>
      <c r="F16" s="0" t="s">
        <v>124</v>
      </c>
      <c r="G16" s="0" t="s">
        <v>3327</v>
      </c>
      <c r="H16" s="5" t="s">
        <v>3320</v>
      </c>
      <c r="K16" s="0" t="s">
        <v>40</v>
      </c>
      <c r="L16" s="0" t="s">
        <v>7157</v>
      </c>
    </row>
    <row r="17" customFormat="false" ht="17.15" hidden="false" customHeight="false" outlineLevel="0" collapsed="false">
      <c r="A17" s="0" t="s">
        <v>7161</v>
      </c>
      <c r="B17" s="0" t="s">
        <v>2076</v>
      </c>
      <c r="C17" s="0" t="s">
        <v>7162</v>
      </c>
      <c r="D17" s="0" t="s">
        <v>7163</v>
      </c>
      <c r="E17" s="0" t="s">
        <v>116</v>
      </c>
      <c r="F17" s="0" t="s">
        <v>7164</v>
      </c>
      <c r="G17" s="0" t="s">
        <v>7144</v>
      </c>
      <c r="H17" s="5" t="s">
        <v>2097</v>
      </c>
      <c r="J17" s="0" t="s">
        <v>782</v>
      </c>
      <c r="K17" s="5" t="s">
        <v>3313</v>
      </c>
      <c r="L17" s="0" t="s">
        <v>7165</v>
      </c>
    </row>
    <row r="18" customFormat="false" ht="17.15" hidden="false" customHeight="false" outlineLevel="0" collapsed="false">
      <c r="A18" s="0" t="s">
        <v>7166</v>
      </c>
      <c r="B18" s="0" t="s">
        <v>2076</v>
      </c>
      <c r="C18" s="0" t="s">
        <v>7167</v>
      </c>
      <c r="D18" s="0" t="s">
        <v>7168</v>
      </c>
      <c r="E18" s="0" t="s">
        <v>116</v>
      </c>
      <c r="F18" s="0" t="s">
        <v>7169</v>
      </c>
      <c r="G18" s="0" t="s">
        <v>7144</v>
      </c>
      <c r="H18" s="5" t="s">
        <v>2117</v>
      </c>
      <c r="I18" s="0" t="s">
        <v>7170</v>
      </c>
      <c r="J18" s="0" t="s">
        <v>785</v>
      </c>
      <c r="K18" s="5" t="s">
        <v>3313</v>
      </c>
      <c r="L18" s="0" t="s">
        <v>7171</v>
      </c>
    </row>
    <row r="19" customFormat="false" ht="17.15" hidden="false" customHeight="false" outlineLevel="0" collapsed="false">
      <c r="A19" s="0" t="s">
        <v>7172</v>
      </c>
      <c r="B19" s="0" t="s">
        <v>2076</v>
      </c>
      <c r="C19" s="0" t="s">
        <v>7173</v>
      </c>
      <c r="D19" s="0" t="s">
        <v>7174</v>
      </c>
      <c r="E19" s="0" t="s">
        <v>116</v>
      </c>
      <c r="F19" s="0" t="s">
        <v>7169</v>
      </c>
      <c r="G19" s="0" t="s">
        <v>7144</v>
      </c>
      <c r="H19" s="5" t="s">
        <v>2097</v>
      </c>
      <c r="J19" s="0" t="s">
        <v>788</v>
      </c>
      <c r="K19" s="5" t="s">
        <v>3313</v>
      </c>
      <c r="L19" s="0" t="s">
        <v>7171</v>
      </c>
    </row>
    <row r="20" customFormat="false" ht="17.15" hidden="false" customHeight="false" outlineLevel="0" collapsed="false">
      <c r="A20" s="0" t="s">
        <v>7175</v>
      </c>
      <c r="B20" s="0" t="s">
        <v>2076</v>
      </c>
      <c r="C20" s="0" t="s">
        <v>7176</v>
      </c>
      <c r="D20" s="0" t="s">
        <v>7177</v>
      </c>
      <c r="E20" s="0" t="s">
        <v>7107</v>
      </c>
      <c r="F20" s="0" t="s">
        <v>7178</v>
      </c>
      <c r="G20" s="0" t="s">
        <v>3371</v>
      </c>
      <c r="H20" s="5" t="s">
        <v>2097</v>
      </c>
      <c r="I20" s="0" t="s">
        <v>7179</v>
      </c>
      <c r="J20" s="0" t="s">
        <v>791</v>
      </c>
      <c r="K20" s="5" t="s">
        <v>3313</v>
      </c>
      <c r="L20" s="0" t="s">
        <v>7180</v>
      </c>
    </row>
    <row r="21" customFormat="false" ht="17.15" hidden="false" customHeight="false" outlineLevel="0" collapsed="false">
      <c r="A21" s="0" t="s">
        <v>7181</v>
      </c>
      <c r="B21" s="0" t="s">
        <v>2076</v>
      </c>
      <c r="C21" s="0" t="s">
        <v>7182</v>
      </c>
      <c r="D21" s="0" t="s">
        <v>7183</v>
      </c>
      <c r="E21" s="0" t="s">
        <v>7107</v>
      </c>
      <c r="F21" s="0" t="s">
        <v>3837</v>
      </c>
      <c r="G21" s="0" t="s">
        <v>3371</v>
      </c>
      <c r="H21" s="5" t="s">
        <v>2117</v>
      </c>
      <c r="I21" s="0" t="s">
        <v>7184</v>
      </c>
      <c r="J21" s="0" t="s">
        <v>205</v>
      </c>
      <c r="K21" s="5" t="s">
        <v>3313</v>
      </c>
      <c r="L21" s="0" t="s">
        <v>7185</v>
      </c>
    </row>
    <row r="22" customFormat="false" ht="17.15" hidden="false" customHeight="false" outlineLevel="0" collapsed="false">
      <c r="A22" s="0" t="s">
        <v>7186</v>
      </c>
      <c r="B22" s="0" t="s">
        <v>2076</v>
      </c>
      <c r="C22" s="0" t="s">
        <v>7187</v>
      </c>
      <c r="D22" s="0" t="s">
        <v>7188</v>
      </c>
      <c r="E22" s="0" t="s">
        <v>7107</v>
      </c>
      <c r="F22" s="0" t="s">
        <v>3392</v>
      </c>
      <c r="G22" s="0" t="s">
        <v>3317</v>
      </c>
      <c r="H22" s="5" t="s">
        <v>3320</v>
      </c>
      <c r="K22" s="0" t="s">
        <v>40</v>
      </c>
      <c r="L22" s="0" t="s">
        <v>7189</v>
      </c>
    </row>
    <row r="23" customFormat="false" ht="17.15" hidden="false" customHeight="false" outlineLevel="0" collapsed="false">
      <c r="A23" s="0" t="s">
        <v>7190</v>
      </c>
      <c r="B23" s="0" t="s">
        <v>2076</v>
      </c>
      <c r="C23" s="0" t="s">
        <v>7191</v>
      </c>
      <c r="D23" s="0" t="s">
        <v>7192</v>
      </c>
      <c r="F23" s="0" t="s">
        <v>7125</v>
      </c>
      <c r="G23" s="0" t="s">
        <v>3371</v>
      </c>
      <c r="H23" s="5" t="s">
        <v>2117</v>
      </c>
      <c r="I23" s="5" t="s">
        <v>7193</v>
      </c>
      <c r="K23" s="0" t="s">
        <v>40</v>
      </c>
      <c r="L23" s="0" t="s">
        <v>7194</v>
      </c>
    </row>
    <row r="24" customFormat="false" ht="17.15" hidden="false" customHeight="false" outlineLevel="0" collapsed="false">
      <c r="A24" s="0" t="s">
        <v>7195</v>
      </c>
      <c r="B24" s="0" t="s">
        <v>2076</v>
      </c>
      <c r="C24" s="0" t="s">
        <v>7196</v>
      </c>
      <c r="F24" s="0" t="s">
        <v>6925</v>
      </c>
      <c r="G24" s="0" t="s">
        <v>7197</v>
      </c>
      <c r="H24" s="5" t="s">
        <v>3320</v>
      </c>
      <c r="K24" s="0" t="s">
        <v>40</v>
      </c>
      <c r="L24" s="0" t="s">
        <v>7198</v>
      </c>
    </row>
    <row r="25" customFormat="false" ht="17.15" hidden="false" customHeight="false" outlineLevel="0" collapsed="false">
      <c r="A25" s="0" t="s">
        <v>7199</v>
      </c>
      <c r="B25" s="0" t="s">
        <v>7200</v>
      </c>
      <c r="C25" s="0" t="s">
        <v>7201</v>
      </c>
      <c r="D25" s="0" t="s">
        <v>7202</v>
      </c>
      <c r="E25" s="0" t="s">
        <v>7107</v>
      </c>
      <c r="F25" s="0" t="s">
        <v>7143</v>
      </c>
      <c r="G25" s="0" t="s">
        <v>7144</v>
      </c>
      <c r="H25" s="5" t="s">
        <v>2097</v>
      </c>
      <c r="J25" s="0" t="s">
        <v>332</v>
      </c>
      <c r="K25" s="5" t="s">
        <v>3313</v>
      </c>
      <c r="L25" s="0" t="s">
        <v>7145</v>
      </c>
    </row>
    <row r="26" customFormat="false" ht="17.15" hidden="false" customHeight="false" outlineLevel="0" collapsed="false">
      <c r="A26" s="0" t="s">
        <v>7203</v>
      </c>
      <c r="B26" s="0" t="s">
        <v>7200</v>
      </c>
      <c r="C26" s="0" t="s">
        <v>7204</v>
      </c>
      <c r="D26" s="0" t="s">
        <v>7205</v>
      </c>
      <c r="E26" s="0" t="s">
        <v>7107</v>
      </c>
      <c r="F26" s="0" t="s">
        <v>7149</v>
      </c>
      <c r="G26" s="0" t="s">
        <v>7144</v>
      </c>
      <c r="H26" s="5" t="s">
        <v>2097</v>
      </c>
      <c r="J26" s="0" t="s">
        <v>332</v>
      </c>
      <c r="K26" s="5" t="s">
        <v>3313</v>
      </c>
      <c r="L26" s="0" t="s">
        <v>7145</v>
      </c>
    </row>
    <row r="27" customFormat="false" ht="17.15" hidden="false" customHeight="false" outlineLevel="0" collapsed="false">
      <c r="A27" s="0" t="s">
        <v>7206</v>
      </c>
      <c r="B27" s="0" t="s">
        <v>7200</v>
      </c>
      <c r="C27" s="0" t="s">
        <v>7207</v>
      </c>
      <c r="D27" s="0" t="s">
        <v>7208</v>
      </c>
      <c r="E27" s="0" t="s">
        <v>116</v>
      </c>
      <c r="F27" s="0" t="s">
        <v>3703</v>
      </c>
      <c r="G27" s="0" t="s">
        <v>3327</v>
      </c>
      <c r="H27" s="5" t="s">
        <v>2097</v>
      </c>
      <c r="K27" s="0" t="s">
        <v>40</v>
      </c>
      <c r="L27" s="0" t="s">
        <v>7209</v>
      </c>
    </row>
    <row r="28" customFormat="false" ht="17.15" hidden="false" customHeight="false" outlineLevel="0" collapsed="false">
      <c r="A28" s="0" t="s">
        <v>7210</v>
      </c>
      <c r="B28" s="0" t="s">
        <v>7200</v>
      </c>
      <c r="C28" s="0" t="s">
        <v>7211</v>
      </c>
      <c r="D28" s="0" t="s">
        <v>7212</v>
      </c>
      <c r="E28" s="0" t="s">
        <v>116</v>
      </c>
      <c r="F28" s="0" t="s">
        <v>124</v>
      </c>
      <c r="G28" s="0" t="s">
        <v>3327</v>
      </c>
      <c r="H28" s="5" t="s">
        <v>3320</v>
      </c>
      <c r="K28" s="0" t="s">
        <v>40</v>
      </c>
      <c r="L28" s="0" t="s">
        <v>7209</v>
      </c>
    </row>
    <row r="29" customFormat="false" ht="17.15" hidden="false" customHeight="false" outlineLevel="0" collapsed="false">
      <c r="A29" s="12" t="s">
        <v>7213</v>
      </c>
      <c r="B29" s="12" t="s">
        <v>7200</v>
      </c>
      <c r="C29" s="12" t="s">
        <v>7214</v>
      </c>
      <c r="D29" s="12" t="s">
        <v>7215</v>
      </c>
      <c r="E29" s="12" t="s">
        <v>7216</v>
      </c>
      <c r="F29" s="12" t="s">
        <v>28</v>
      </c>
      <c r="G29" s="12" t="s">
        <v>3327</v>
      </c>
      <c r="H29" s="13" t="s">
        <v>3347</v>
      </c>
      <c r="I29" s="12"/>
      <c r="J29" s="12"/>
      <c r="K29" s="12" t="s">
        <v>40</v>
      </c>
      <c r="L29" s="12" t="s">
        <v>7217</v>
      </c>
    </row>
    <row r="30" customFormat="false" ht="17.15" hidden="false" customHeight="false" outlineLevel="0" collapsed="false">
      <c r="A30" s="0" t="s">
        <v>7218</v>
      </c>
      <c r="B30" s="0" t="s">
        <v>7200</v>
      </c>
      <c r="C30" s="0" t="s">
        <v>7219</v>
      </c>
      <c r="D30" s="0" t="s">
        <v>7220</v>
      </c>
      <c r="E30" s="0" t="s">
        <v>116</v>
      </c>
      <c r="F30" s="0" t="s">
        <v>7221</v>
      </c>
      <c r="G30" s="0" t="s">
        <v>7144</v>
      </c>
      <c r="H30" s="5" t="s">
        <v>3320</v>
      </c>
      <c r="K30" s="0" t="s">
        <v>40</v>
      </c>
      <c r="L30" s="0" t="s">
        <v>7222</v>
      </c>
    </row>
    <row r="31" customFormat="false" ht="17.15" hidden="false" customHeight="false" outlineLevel="0" collapsed="false">
      <c r="A31" s="0" t="s">
        <v>7223</v>
      </c>
      <c r="B31" s="0" t="s">
        <v>7200</v>
      </c>
      <c r="C31" s="0" t="s">
        <v>7224</v>
      </c>
      <c r="D31" s="0" t="s">
        <v>7225</v>
      </c>
      <c r="E31" s="0" t="s">
        <v>7107</v>
      </c>
      <c r="F31" s="0" t="s">
        <v>7226</v>
      </c>
      <c r="G31" s="0" t="s">
        <v>3371</v>
      </c>
      <c r="H31" s="5" t="s">
        <v>2097</v>
      </c>
      <c r="I31" s="0" t="s">
        <v>7227</v>
      </c>
      <c r="J31" s="0" t="s">
        <v>7228</v>
      </c>
      <c r="K31" s="5" t="s">
        <v>3313</v>
      </c>
      <c r="L31" s="0" t="s">
        <v>7229</v>
      </c>
    </row>
    <row r="32" customFormat="false" ht="17.15" hidden="false" customHeight="false" outlineLevel="0" collapsed="false">
      <c r="A32" s="12" t="s">
        <v>7230</v>
      </c>
      <c r="B32" s="12" t="s">
        <v>7200</v>
      </c>
      <c r="C32" s="12" t="s">
        <v>7231</v>
      </c>
      <c r="D32" s="12" t="s">
        <v>7232</v>
      </c>
      <c r="E32" s="12" t="s">
        <v>7107</v>
      </c>
      <c r="F32" s="12" t="s">
        <v>7233</v>
      </c>
      <c r="G32" s="12" t="s">
        <v>7234</v>
      </c>
      <c r="H32" s="13" t="s">
        <v>3347</v>
      </c>
      <c r="I32" s="13" t="s">
        <v>7235</v>
      </c>
      <c r="J32" s="12" t="s">
        <v>734</v>
      </c>
      <c r="K32" s="13" t="s">
        <v>7156</v>
      </c>
      <c r="L32" s="12" t="s">
        <v>7236</v>
      </c>
    </row>
    <row r="33" customFormat="false" ht="17.15" hidden="false" customHeight="false" outlineLevel="0" collapsed="false">
      <c r="A33" s="0" t="s">
        <v>7237</v>
      </c>
      <c r="B33" s="0" t="s">
        <v>7200</v>
      </c>
      <c r="C33" s="0" t="s">
        <v>7238</v>
      </c>
      <c r="D33" s="0" t="s">
        <v>7239</v>
      </c>
      <c r="E33" s="0" t="s">
        <v>7107</v>
      </c>
      <c r="F33" s="0" t="s">
        <v>3594</v>
      </c>
      <c r="G33" s="0" t="s">
        <v>3371</v>
      </c>
      <c r="H33" s="5" t="s">
        <v>3320</v>
      </c>
      <c r="J33" s="0" t="s">
        <v>886</v>
      </c>
      <c r="K33" s="5" t="s">
        <v>7240</v>
      </c>
      <c r="L33" s="0" t="s">
        <v>7241</v>
      </c>
    </row>
    <row r="34" customFormat="false" ht="17.15" hidden="false" customHeight="false" outlineLevel="0" collapsed="false">
      <c r="A34" s="0" t="s">
        <v>7242</v>
      </c>
      <c r="B34" s="0" t="s">
        <v>7200</v>
      </c>
      <c r="C34" s="0" t="s">
        <v>7243</v>
      </c>
      <c r="D34" s="0" t="s">
        <v>7244</v>
      </c>
      <c r="E34" s="0" t="s">
        <v>7107</v>
      </c>
      <c r="F34" s="0" t="s">
        <v>124</v>
      </c>
      <c r="G34" s="0" t="s">
        <v>3317</v>
      </c>
      <c r="H34" s="5" t="s">
        <v>3320</v>
      </c>
      <c r="K34" s="0" t="s">
        <v>40</v>
      </c>
      <c r="L34" s="0" t="s">
        <v>3432</v>
      </c>
    </row>
    <row r="35" customFormat="false" ht="17.15" hidden="false" customHeight="false" outlineLevel="0" collapsed="false">
      <c r="A35" s="12" t="s">
        <v>7245</v>
      </c>
      <c r="B35" s="12" t="s">
        <v>7200</v>
      </c>
      <c r="C35" s="12" t="s">
        <v>7246</v>
      </c>
      <c r="D35" s="12" t="s">
        <v>7247</v>
      </c>
      <c r="E35" s="12" t="s">
        <v>116</v>
      </c>
      <c r="F35" s="12" t="s">
        <v>7248</v>
      </c>
      <c r="G35" s="12" t="s">
        <v>3327</v>
      </c>
      <c r="H35" s="13" t="s">
        <v>7249</v>
      </c>
      <c r="I35" s="13" t="s">
        <v>7250</v>
      </c>
      <c r="J35" s="12" t="s">
        <v>754</v>
      </c>
      <c r="K35" s="13" t="s">
        <v>7156</v>
      </c>
      <c r="L35" s="12" t="s">
        <v>7251</v>
      </c>
    </row>
    <row r="36" customFormat="false" ht="17.15" hidden="false" customHeight="false" outlineLevel="0" collapsed="false">
      <c r="A36" s="0" t="s">
        <v>7252</v>
      </c>
      <c r="B36" s="0" t="s">
        <v>7200</v>
      </c>
      <c r="C36" s="0" t="s">
        <v>7253</v>
      </c>
      <c r="D36" s="0" t="s">
        <v>7254</v>
      </c>
      <c r="F36" s="0" t="s">
        <v>7255</v>
      </c>
      <c r="G36" s="0" t="s">
        <v>3371</v>
      </c>
      <c r="H36" s="5" t="s">
        <v>3320</v>
      </c>
      <c r="K36" s="0" t="s">
        <v>40</v>
      </c>
      <c r="L36" s="0" t="s">
        <v>3460</v>
      </c>
    </row>
    <row r="37" customFormat="false" ht="17.15" hidden="false" customHeight="false" outlineLevel="0" collapsed="false">
      <c r="A37" s="0" t="s">
        <v>7256</v>
      </c>
      <c r="B37" s="0" t="s">
        <v>7257</v>
      </c>
      <c r="C37" s="0" t="s">
        <v>7258</v>
      </c>
      <c r="D37" s="0" t="s">
        <v>7259</v>
      </c>
      <c r="E37" s="0" t="s">
        <v>7107</v>
      </c>
      <c r="F37" s="0" t="s">
        <v>7260</v>
      </c>
      <c r="G37" s="0" t="s">
        <v>3371</v>
      </c>
      <c r="H37" s="5" t="s">
        <v>2097</v>
      </c>
      <c r="K37" s="0" t="s">
        <v>40</v>
      </c>
      <c r="L37" s="0" t="s">
        <v>7261</v>
      </c>
    </row>
    <row r="38" customFormat="false" ht="17.15" hidden="false" customHeight="false" outlineLevel="0" collapsed="false">
      <c r="A38" s="12" t="s">
        <v>7262</v>
      </c>
      <c r="B38" s="12" t="s">
        <v>7257</v>
      </c>
      <c r="C38" s="12" t="s">
        <v>7263</v>
      </c>
      <c r="D38" s="12" t="s">
        <v>7264</v>
      </c>
      <c r="E38" s="12" t="s">
        <v>7107</v>
      </c>
      <c r="F38" s="12" t="s">
        <v>3703</v>
      </c>
      <c r="G38" s="12" t="s">
        <v>3371</v>
      </c>
      <c r="H38" s="13" t="s">
        <v>3347</v>
      </c>
      <c r="I38" s="12"/>
      <c r="J38" s="12"/>
      <c r="K38" s="12" t="s">
        <v>40</v>
      </c>
      <c r="L38" s="12" t="s">
        <v>7265</v>
      </c>
    </row>
    <row r="39" customFormat="false" ht="17.15" hidden="false" customHeight="false" outlineLevel="0" collapsed="false">
      <c r="A39" s="0" t="s">
        <v>7266</v>
      </c>
      <c r="B39" s="0" t="s">
        <v>7257</v>
      </c>
      <c r="C39" s="0" t="s">
        <v>7267</v>
      </c>
      <c r="D39" s="0" t="s">
        <v>7268</v>
      </c>
      <c r="E39" s="0" t="s">
        <v>7107</v>
      </c>
      <c r="F39" s="0" t="s">
        <v>7269</v>
      </c>
      <c r="G39" s="0" t="s">
        <v>3371</v>
      </c>
      <c r="H39" s="5" t="s">
        <v>2097</v>
      </c>
      <c r="I39" s="0" t="s">
        <v>7270</v>
      </c>
      <c r="K39" s="0" t="s">
        <v>40</v>
      </c>
      <c r="L39" s="0" t="s">
        <v>7271</v>
      </c>
    </row>
    <row r="40" customFormat="false" ht="17.15" hidden="false" customHeight="false" outlineLevel="0" collapsed="false">
      <c r="A40" s="0" t="s">
        <v>7272</v>
      </c>
      <c r="B40" s="0" t="s">
        <v>7257</v>
      </c>
      <c r="C40" s="0" t="s">
        <v>7273</v>
      </c>
      <c r="D40" s="0" t="s">
        <v>7274</v>
      </c>
      <c r="E40" s="0" t="s">
        <v>7107</v>
      </c>
      <c r="F40" s="0" t="s">
        <v>7143</v>
      </c>
      <c r="G40" s="0" t="s">
        <v>7144</v>
      </c>
      <c r="H40" s="5" t="s">
        <v>2097</v>
      </c>
      <c r="J40" s="0" t="s">
        <v>335</v>
      </c>
      <c r="K40" s="5" t="s">
        <v>3313</v>
      </c>
      <c r="L40" s="0" t="s">
        <v>7145</v>
      </c>
    </row>
    <row r="41" customFormat="false" ht="17.15" hidden="false" customHeight="false" outlineLevel="0" collapsed="false">
      <c r="A41" s="0" t="s">
        <v>7275</v>
      </c>
      <c r="B41" s="0" t="s">
        <v>7257</v>
      </c>
      <c r="C41" s="0" t="s">
        <v>7276</v>
      </c>
      <c r="D41" s="0" t="s">
        <v>7277</v>
      </c>
      <c r="E41" s="0" t="s">
        <v>7107</v>
      </c>
      <c r="F41" s="0" t="s">
        <v>7149</v>
      </c>
      <c r="G41" s="0" t="s">
        <v>7144</v>
      </c>
      <c r="H41" s="5" t="s">
        <v>2097</v>
      </c>
      <c r="J41" s="0" t="s">
        <v>335</v>
      </c>
      <c r="K41" s="5" t="s">
        <v>3313</v>
      </c>
      <c r="L41" s="0" t="s">
        <v>7145</v>
      </c>
    </row>
    <row r="42" customFormat="false" ht="17.15" hidden="false" customHeight="false" outlineLevel="0" collapsed="false">
      <c r="A42" s="0" t="s">
        <v>7278</v>
      </c>
      <c r="B42" s="0" t="s">
        <v>7257</v>
      </c>
      <c r="C42" s="0" t="s">
        <v>7279</v>
      </c>
      <c r="D42" s="0" t="s">
        <v>7280</v>
      </c>
      <c r="E42" s="0" t="s">
        <v>116</v>
      </c>
      <c r="F42" s="0" t="s">
        <v>124</v>
      </c>
      <c r="G42" s="0" t="s">
        <v>3327</v>
      </c>
      <c r="H42" s="5" t="s">
        <v>3320</v>
      </c>
      <c r="J42" s="0" t="s">
        <v>132</v>
      </c>
      <c r="K42" s="5" t="s">
        <v>7156</v>
      </c>
      <c r="L42" s="0" t="s">
        <v>7281</v>
      </c>
    </row>
    <row r="43" customFormat="false" ht="17.15" hidden="false" customHeight="false" outlineLevel="0" collapsed="false">
      <c r="A43" s="0" t="s">
        <v>7282</v>
      </c>
      <c r="B43" s="0" t="s">
        <v>7257</v>
      </c>
      <c r="C43" s="0" t="s">
        <v>7283</v>
      </c>
      <c r="D43" s="0" t="s">
        <v>7284</v>
      </c>
      <c r="E43" s="0" t="s">
        <v>116</v>
      </c>
      <c r="F43" s="0" t="s">
        <v>7285</v>
      </c>
      <c r="G43" s="0" t="s">
        <v>7144</v>
      </c>
      <c r="H43" s="5" t="s">
        <v>2097</v>
      </c>
      <c r="J43" s="0" t="s">
        <v>7286</v>
      </c>
      <c r="K43" s="5" t="s">
        <v>3313</v>
      </c>
      <c r="L43" s="0" t="s">
        <v>7287</v>
      </c>
    </row>
    <row r="44" customFormat="false" ht="17.15" hidden="false" customHeight="false" outlineLevel="0" collapsed="false">
      <c r="A44" s="0" t="s">
        <v>7288</v>
      </c>
      <c r="B44" s="0" t="s">
        <v>7257</v>
      </c>
      <c r="C44" s="0" t="s">
        <v>7289</v>
      </c>
      <c r="D44" s="0" t="s">
        <v>7290</v>
      </c>
      <c r="E44" s="0" t="s">
        <v>7107</v>
      </c>
      <c r="F44" s="0" t="s">
        <v>7291</v>
      </c>
      <c r="G44" s="0" t="s">
        <v>3371</v>
      </c>
      <c r="H44" s="5" t="s">
        <v>2097</v>
      </c>
      <c r="K44" s="0" t="s">
        <v>40</v>
      </c>
      <c r="L44" s="0" t="s">
        <v>7292</v>
      </c>
    </row>
    <row r="45" customFormat="false" ht="17.15" hidden="false" customHeight="false" outlineLevel="0" collapsed="false">
      <c r="A45" s="0" t="s">
        <v>7293</v>
      </c>
      <c r="B45" s="0" t="s">
        <v>7257</v>
      </c>
      <c r="C45" s="0" t="s">
        <v>7294</v>
      </c>
      <c r="D45" s="0" t="s">
        <v>7295</v>
      </c>
      <c r="E45" s="0" t="s">
        <v>116</v>
      </c>
      <c r="F45" s="0" t="s">
        <v>7296</v>
      </c>
      <c r="G45" s="0" t="s">
        <v>7144</v>
      </c>
      <c r="H45" s="5" t="s">
        <v>3320</v>
      </c>
      <c r="J45" s="0" t="s">
        <v>742</v>
      </c>
      <c r="K45" s="5" t="s">
        <v>7156</v>
      </c>
      <c r="L45" s="0" t="s">
        <v>7297</v>
      </c>
    </row>
    <row r="46" customFormat="false" ht="17.15" hidden="false" customHeight="false" outlineLevel="0" collapsed="false">
      <c r="A46" s="0" t="s">
        <v>7298</v>
      </c>
      <c r="B46" s="0" t="s">
        <v>7257</v>
      </c>
      <c r="C46" s="0" t="s">
        <v>7299</v>
      </c>
      <c r="D46" s="0" t="s">
        <v>7300</v>
      </c>
      <c r="E46" s="0" t="s">
        <v>116</v>
      </c>
      <c r="F46" s="0" t="s">
        <v>7301</v>
      </c>
      <c r="G46" s="0" t="s">
        <v>7144</v>
      </c>
      <c r="H46" s="5" t="s">
        <v>3320</v>
      </c>
      <c r="K46" s="0" t="s">
        <v>40</v>
      </c>
      <c r="L46" s="0" t="s">
        <v>7302</v>
      </c>
    </row>
    <row r="47" customFormat="false" ht="17.15" hidden="false" customHeight="false" outlineLevel="0" collapsed="false">
      <c r="A47" s="0" t="s">
        <v>7303</v>
      </c>
      <c r="B47" s="0" t="s">
        <v>7257</v>
      </c>
      <c r="C47" s="0" t="s">
        <v>7304</v>
      </c>
      <c r="D47" s="0" t="s">
        <v>7305</v>
      </c>
      <c r="E47" s="0" t="s">
        <v>7107</v>
      </c>
      <c r="F47" s="0" t="s">
        <v>7306</v>
      </c>
      <c r="G47" s="0" t="s">
        <v>3317</v>
      </c>
      <c r="H47" s="5" t="s">
        <v>2117</v>
      </c>
      <c r="I47" s="5" t="s">
        <v>7307</v>
      </c>
      <c r="J47" s="0" t="s">
        <v>202</v>
      </c>
      <c r="K47" s="5" t="s">
        <v>3313</v>
      </c>
      <c r="L47" s="0" t="s">
        <v>3531</v>
      </c>
    </row>
    <row r="48" customFormat="false" ht="17.15" hidden="false" customHeight="false" outlineLevel="0" collapsed="false">
      <c r="A48" s="0" t="s">
        <v>7308</v>
      </c>
      <c r="B48" s="0" t="s">
        <v>7257</v>
      </c>
      <c r="C48" s="0" t="s">
        <v>7309</v>
      </c>
      <c r="D48" s="0" t="s">
        <v>7310</v>
      </c>
      <c r="E48" s="0" t="s">
        <v>7107</v>
      </c>
      <c r="F48" s="0" t="s">
        <v>7311</v>
      </c>
      <c r="G48" s="0" t="s">
        <v>3371</v>
      </c>
      <c r="H48" s="5" t="s">
        <v>2097</v>
      </c>
      <c r="K48" s="0" t="s">
        <v>40</v>
      </c>
      <c r="L48" s="0" t="s">
        <v>7312</v>
      </c>
    </row>
    <row r="49" customFormat="false" ht="17.15" hidden="false" customHeight="false" outlineLevel="0" collapsed="false">
      <c r="A49" s="0" t="s">
        <v>7313</v>
      </c>
      <c r="B49" s="0" t="s">
        <v>7257</v>
      </c>
      <c r="C49" s="0" t="s">
        <v>7314</v>
      </c>
      <c r="D49" s="0" t="s">
        <v>7188</v>
      </c>
      <c r="E49" s="0" t="s">
        <v>7107</v>
      </c>
      <c r="F49" s="0" t="s">
        <v>7315</v>
      </c>
      <c r="G49" s="0" t="s">
        <v>3371</v>
      </c>
      <c r="H49" s="5" t="s">
        <v>3320</v>
      </c>
      <c r="K49" s="0" t="s">
        <v>40</v>
      </c>
      <c r="L49" s="0" t="s">
        <v>7316</v>
      </c>
    </row>
    <row r="50" customFormat="false" ht="17.15" hidden="false" customHeight="false" outlineLevel="0" collapsed="false">
      <c r="A50" s="0" t="s">
        <v>7317</v>
      </c>
      <c r="B50" s="0" t="s">
        <v>7257</v>
      </c>
      <c r="C50" s="0" t="s">
        <v>7318</v>
      </c>
      <c r="D50" s="0" t="s">
        <v>7319</v>
      </c>
      <c r="E50" s="0" t="s">
        <v>116</v>
      </c>
      <c r="F50" s="0" t="s">
        <v>29</v>
      </c>
      <c r="G50" s="0" t="s">
        <v>3371</v>
      </c>
      <c r="H50" s="5" t="s">
        <v>3320</v>
      </c>
      <c r="J50" s="0" t="s">
        <v>883</v>
      </c>
      <c r="K50" s="5" t="s">
        <v>7240</v>
      </c>
      <c r="L50" s="0" t="s">
        <v>7281</v>
      </c>
    </row>
    <row r="51" customFormat="false" ht="17.15" hidden="false" customHeight="false" outlineLevel="0" collapsed="false">
      <c r="A51" s="0" t="s">
        <v>7320</v>
      </c>
      <c r="B51" s="0" t="s">
        <v>7257</v>
      </c>
      <c r="C51" s="0" t="s">
        <v>7321</v>
      </c>
      <c r="D51" s="0" t="s">
        <v>7322</v>
      </c>
      <c r="E51" s="0" t="s">
        <v>7107</v>
      </c>
      <c r="F51" s="0" t="s">
        <v>7323</v>
      </c>
      <c r="G51" s="0" t="s">
        <v>3371</v>
      </c>
      <c r="H51" s="5" t="s">
        <v>3320</v>
      </c>
      <c r="K51" s="0" t="s">
        <v>40</v>
      </c>
      <c r="L51" s="0" t="s">
        <v>7324</v>
      </c>
    </row>
    <row r="52" customFormat="false" ht="17.15" hidden="false" customHeight="false" outlineLevel="0" collapsed="false">
      <c r="A52" s="0" t="s">
        <v>7325</v>
      </c>
      <c r="B52" s="0" t="s">
        <v>7257</v>
      </c>
      <c r="C52" s="0" t="s">
        <v>7326</v>
      </c>
      <c r="D52" s="0" t="s">
        <v>7327</v>
      </c>
      <c r="F52" s="0" t="s">
        <v>7269</v>
      </c>
      <c r="G52" s="0" t="s">
        <v>3371</v>
      </c>
      <c r="H52" s="5" t="s">
        <v>2097</v>
      </c>
      <c r="K52" s="0" t="s">
        <v>40</v>
      </c>
      <c r="L52" s="0" t="s">
        <v>3543</v>
      </c>
    </row>
    <row r="53" customFormat="false" ht="17.15" hidden="false" customHeight="false" outlineLevel="0" collapsed="false">
      <c r="A53" s="0" t="s">
        <v>7328</v>
      </c>
      <c r="B53" s="0" t="s">
        <v>1429</v>
      </c>
      <c r="C53" s="0" t="s">
        <v>7329</v>
      </c>
      <c r="D53" s="0" t="s">
        <v>7330</v>
      </c>
      <c r="E53" s="0" t="s">
        <v>7107</v>
      </c>
      <c r="F53" s="0" t="s">
        <v>7143</v>
      </c>
      <c r="G53" s="0" t="s">
        <v>7144</v>
      </c>
      <c r="H53" s="5" t="s">
        <v>2097</v>
      </c>
      <c r="J53" s="0" t="s">
        <v>338</v>
      </c>
      <c r="K53" s="5" t="s">
        <v>3313</v>
      </c>
      <c r="L53" s="0" t="s">
        <v>7145</v>
      </c>
    </row>
    <row r="54" customFormat="false" ht="17.15" hidden="false" customHeight="false" outlineLevel="0" collapsed="false">
      <c r="A54" s="0" t="s">
        <v>7331</v>
      </c>
      <c r="B54" s="0" t="s">
        <v>1429</v>
      </c>
      <c r="C54" s="0" t="s">
        <v>7332</v>
      </c>
      <c r="D54" s="0" t="s">
        <v>7333</v>
      </c>
      <c r="E54" s="0" t="s">
        <v>7107</v>
      </c>
      <c r="F54" s="0" t="s">
        <v>7149</v>
      </c>
      <c r="G54" s="0" t="s">
        <v>7144</v>
      </c>
      <c r="H54" s="5" t="s">
        <v>2097</v>
      </c>
      <c r="J54" s="0" t="s">
        <v>338</v>
      </c>
      <c r="K54" s="5" t="s">
        <v>3313</v>
      </c>
      <c r="L54" s="0" t="s">
        <v>7145</v>
      </c>
    </row>
    <row r="55" customFormat="false" ht="17.15" hidden="false" customHeight="false" outlineLevel="0" collapsed="false">
      <c r="A55" s="0" t="s">
        <v>7334</v>
      </c>
      <c r="B55" s="0" t="s">
        <v>1429</v>
      </c>
      <c r="C55" s="0" t="s">
        <v>7335</v>
      </c>
      <c r="D55" s="0" t="s">
        <v>7336</v>
      </c>
      <c r="E55" s="0" t="s">
        <v>7107</v>
      </c>
      <c r="F55" s="0" t="s">
        <v>3939</v>
      </c>
      <c r="G55" s="0" t="s">
        <v>7144</v>
      </c>
      <c r="H55" s="5" t="s">
        <v>2097</v>
      </c>
      <c r="K55" s="0" t="s">
        <v>40</v>
      </c>
      <c r="L55" s="0" t="s">
        <v>7145</v>
      </c>
    </row>
    <row r="56" customFormat="false" ht="17.15" hidden="false" customHeight="false" outlineLevel="0" collapsed="false">
      <c r="A56" s="0" t="s">
        <v>7337</v>
      </c>
      <c r="B56" s="0" t="s">
        <v>1429</v>
      </c>
      <c r="C56" s="0" t="s">
        <v>7338</v>
      </c>
      <c r="D56" s="0" t="s">
        <v>7339</v>
      </c>
      <c r="E56" s="0" t="s">
        <v>7216</v>
      </c>
      <c r="F56" s="0" t="s">
        <v>27</v>
      </c>
      <c r="G56" s="0" t="s">
        <v>3327</v>
      </c>
      <c r="H56" s="5" t="s">
        <v>2097</v>
      </c>
      <c r="K56" s="0" t="s">
        <v>40</v>
      </c>
      <c r="L56" s="0" t="s">
        <v>7340</v>
      </c>
    </row>
    <row r="57" customFormat="false" ht="17.15" hidden="false" customHeight="false" outlineLevel="0" collapsed="false">
      <c r="A57" s="0" t="s">
        <v>7341</v>
      </c>
      <c r="B57" s="0" t="s">
        <v>1429</v>
      </c>
      <c r="C57" s="0" t="s">
        <v>7342</v>
      </c>
      <c r="D57" s="0" t="s">
        <v>7343</v>
      </c>
      <c r="E57" s="0" t="s">
        <v>116</v>
      </c>
      <c r="F57" s="0" t="s">
        <v>143</v>
      </c>
      <c r="G57" s="0" t="s">
        <v>7144</v>
      </c>
      <c r="H57" s="5" t="s">
        <v>2097</v>
      </c>
      <c r="J57" s="0" t="s">
        <v>7344</v>
      </c>
      <c r="K57" s="5" t="s">
        <v>3313</v>
      </c>
      <c r="L57" s="0" t="s">
        <v>7345</v>
      </c>
    </row>
    <row r="58" customFormat="false" ht="17.15" hidden="false" customHeight="false" outlineLevel="0" collapsed="false">
      <c r="A58" s="0" t="s">
        <v>7346</v>
      </c>
      <c r="B58" s="0" t="s">
        <v>1429</v>
      </c>
      <c r="C58" s="0" t="s">
        <v>7347</v>
      </c>
      <c r="D58" s="0" t="s">
        <v>7348</v>
      </c>
      <c r="E58" s="0" t="s">
        <v>7107</v>
      </c>
      <c r="F58" s="0" t="s">
        <v>7285</v>
      </c>
      <c r="G58" s="0" t="s">
        <v>3371</v>
      </c>
      <c r="H58" s="5" t="s">
        <v>3320</v>
      </c>
      <c r="I58" s="0" t="s">
        <v>7349</v>
      </c>
      <c r="K58" s="0" t="s">
        <v>40</v>
      </c>
      <c r="L58" s="0" t="s">
        <v>7350</v>
      </c>
    </row>
    <row r="59" customFormat="false" ht="17.15" hidden="false" customHeight="false" outlineLevel="0" collapsed="false">
      <c r="A59" s="0" t="s">
        <v>7351</v>
      </c>
      <c r="B59" s="0" t="s">
        <v>1429</v>
      </c>
      <c r="C59" s="0" t="s">
        <v>7352</v>
      </c>
      <c r="D59" s="0" t="s">
        <v>7353</v>
      </c>
      <c r="E59" s="0" t="s">
        <v>116</v>
      </c>
      <c r="F59" s="0" t="s">
        <v>7354</v>
      </c>
      <c r="G59" s="0" t="s">
        <v>7144</v>
      </c>
      <c r="H59" s="5" t="s">
        <v>2097</v>
      </c>
      <c r="J59" s="0" t="s">
        <v>812</v>
      </c>
      <c r="K59" s="5" t="s">
        <v>3313</v>
      </c>
      <c r="L59" s="0" t="s">
        <v>7355</v>
      </c>
    </row>
    <row r="60" customFormat="false" ht="17.15" hidden="false" customHeight="false" outlineLevel="0" collapsed="false">
      <c r="A60" s="0" t="s">
        <v>7356</v>
      </c>
      <c r="B60" s="0" t="s">
        <v>1429</v>
      </c>
      <c r="C60" s="0" t="s">
        <v>7357</v>
      </c>
      <c r="D60" s="0" t="s">
        <v>7358</v>
      </c>
      <c r="E60" s="0" t="s">
        <v>7107</v>
      </c>
      <c r="F60" s="0" t="s">
        <v>7359</v>
      </c>
      <c r="G60" s="0" t="s">
        <v>3371</v>
      </c>
      <c r="H60" s="5" t="s">
        <v>2117</v>
      </c>
      <c r="I60" s="0" t="s">
        <v>7360</v>
      </c>
      <c r="J60" s="0" t="s">
        <v>7361</v>
      </c>
      <c r="K60" s="5" t="s">
        <v>3313</v>
      </c>
      <c r="L60" s="0" t="s">
        <v>7362</v>
      </c>
    </row>
    <row r="61" customFormat="false" ht="17.15" hidden="false" customHeight="false" outlineLevel="0" collapsed="false">
      <c r="A61" s="0" t="s">
        <v>7363</v>
      </c>
      <c r="B61" s="0" t="s">
        <v>1429</v>
      </c>
      <c r="C61" s="0" t="s">
        <v>7364</v>
      </c>
      <c r="D61" s="0" t="s">
        <v>7365</v>
      </c>
      <c r="E61" s="0" t="s">
        <v>7107</v>
      </c>
      <c r="F61" s="0" t="s">
        <v>7366</v>
      </c>
      <c r="G61" s="0" t="s">
        <v>3371</v>
      </c>
      <c r="H61" s="5" t="s">
        <v>2097</v>
      </c>
      <c r="J61" s="0" t="s">
        <v>818</v>
      </c>
      <c r="K61" s="5" t="s">
        <v>3313</v>
      </c>
      <c r="L61" s="0" t="s">
        <v>7367</v>
      </c>
    </row>
    <row r="62" customFormat="false" ht="17.15" hidden="false" customHeight="false" outlineLevel="0" collapsed="false">
      <c r="A62" s="0" t="s">
        <v>7368</v>
      </c>
      <c r="B62" s="0" t="s">
        <v>1429</v>
      </c>
      <c r="C62" s="0" t="s">
        <v>7369</v>
      </c>
      <c r="D62" s="0" t="s">
        <v>7188</v>
      </c>
      <c r="E62" s="0" t="s">
        <v>7107</v>
      </c>
      <c r="F62" s="0" t="s">
        <v>7370</v>
      </c>
      <c r="G62" s="0" t="s">
        <v>3371</v>
      </c>
      <c r="H62" s="5" t="s">
        <v>3320</v>
      </c>
      <c r="K62" s="0" t="s">
        <v>40</v>
      </c>
      <c r="L62" s="0" t="s">
        <v>7371</v>
      </c>
    </row>
    <row r="63" customFormat="false" ht="17.15" hidden="false" customHeight="false" outlineLevel="0" collapsed="false">
      <c r="A63" s="0" t="s">
        <v>7372</v>
      </c>
      <c r="B63" s="0" t="s">
        <v>1429</v>
      </c>
      <c r="C63" s="0" t="s">
        <v>7373</v>
      </c>
      <c r="D63" s="0" t="s">
        <v>7188</v>
      </c>
      <c r="E63" s="0" t="s">
        <v>7107</v>
      </c>
      <c r="F63" s="0" t="s">
        <v>3516</v>
      </c>
      <c r="G63" s="0" t="s">
        <v>7374</v>
      </c>
      <c r="H63" s="5" t="s">
        <v>3320</v>
      </c>
      <c r="I63" s="0" t="s">
        <v>7375</v>
      </c>
      <c r="K63" s="0" t="s">
        <v>40</v>
      </c>
      <c r="L63" s="0" t="s">
        <v>7376</v>
      </c>
    </row>
    <row r="64" customFormat="false" ht="17.15" hidden="false" customHeight="false" outlineLevel="0" collapsed="false">
      <c r="A64" s="0" t="s">
        <v>7377</v>
      </c>
      <c r="B64" s="0" t="s">
        <v>1429</v>
      </c>
      <c r="C64" s="0" t="s">
        <v>7378</v>
      </c>
      <c r="D64" s="0" t="s">
        <v>7379</v>
      </c>
      <c r="E64" s="0" t="s">
        <v>7107</v>
      </c>
      <c r="F64" s="0" t="s">
        <v>3846</v>
      </c>
      <c r="G64" s="0" t="s">
        <v>3371</v>
      </c>
      <c r="H64" s="5" t="s">
        <v>3320</v>
      </c>
      <c r="K64" s="0" t="s">
        <v>40</v>
      </c>
      <c r="L64" s="0" t="s">
        <v>7380</v>
      </c>
    </row>
    <row r="65" customFormat="false" ht="17.15" hidden="false" customHeight="false" outlineLevel="0" collapsed="false">
      <c r="A65" s="0" t="s">
        <v>7381</v>
      </c>
      <c r="B65" s="0" t="s">
        <v>1429</v>
      </c>
      <c r="C65" s="0" t="s">
        <v>7382</v>
      </c>
      <c r="D65" s="0" t="s">
        <v>7383</v>
      </c>
      <c r="F65" s="0" t="s">
        <v>7384</v>
      </c>
      <c r="G65" s="0" t="s">
        <v>3371</v>
      </c>
      <c r="H65" s="5" t="s">
        <v>2097</v>
      </c>
      <c r="J65" s="0" t="s">
        <v>7385</v>
      </c>
      <c r="K65" s="5" t="s">
        <v>3313</v>
      </c>
      <c r="L65" s="0" t="s">
        <v>7386</v>
      </c>
    </row>
    <row r="66" customFormat="false" ht="17.15" hidden="false" customHeight="false" outlineLevel="0" collapsed="false">
      <c r="A66" s="0" t="s">
        <v>7387</v>
      </c>
      <c r="B66" s="0" t="s">
        <v>2085</v>
      </c>
      <c r="C66" s="0" t="s">
        <v>7388</v>
      </c>
      <c r="D66" s="0" t="s">
        <v>7389</v>
      </c>
      <c r="E66" s="0" t="s">
        <v>7107</v>
      </c>
      <c r="F66" s="0" t="s">
        <v>3648</v>
      </c>
      <c r="G66" s="0" t="s">
        <v>3371</v>
      </c>
      <c r="H66" s="5" t="s">
        <v>2097</v>
      </c>
      <c r="J66" s="0" t="s">
        <v>137</v>
      </c>
      <c r="K66" s="5" t="s">
        <v>3313</v>
      </c>
      <c r="L66" s="0" t="s">
        <v>7390</v>
      </c>
    </row>
    <row r="67" customFormat="false" ht="17.15" hidden="false" customHeight="false" outlineLevel="0" collapsed="false">
      <c r="A67" s="0" t="s">
        <v>7391</v>
      </c>
      <c r="B67" s="0" t="s">
        <v>2085</v>
      </c>
      <c r="C67" s="0" t="s">
        <v>7392</v>
      </c>
      <c r="D67" s="0" t="s">
        <v>7393</v>
      </c>
      <c r="E67" s="0" t="s">
        <v>7107</v>
      </c>
      <c r="F67" s="0" t="s">
        <v>143</v>
      </c>
      <c r="G67" s="0" t="s">
        <v>3371</v>
      </c>
      <c r="H67" s="5" t="s">
        <v>2097</v>
      </c>
      <c r="J67" s="0" t="s">
        <v>137</v>
      </c>
      <c r="K67" s="5" t="s">
        <v>3313</v>
      </c>
      <c r="L67" s="0" t="s">
        <v>3641</v>
      </c>
    </row>
    <row r="68" customFormat="false" ht="17.15" hidden="false" customHeight="false" outlineLevel="0" collapsed="false">
      <c r="A68" s="0" t="s">
        <v>7394</v>
      </c>
      <c r="B68" s="0" t="s">
        <v>2085</v>
      </c>
      <c r="C68" s="0" t="s">
        <v>7395</v>
      </c>
      <c r="D68" s="0" t="s">
        <v>7396</v>
      </c>
      <c r="E68" s="0" t="s">
        <v>116</v>
      </c>
      <c r="F68" s="0" t="s">
        <v>143</v>
      </c>
      <c r="G68" s="0" t="s">
        <v>3327</v>
      </c>
      <c r="H68" s="5" t="s">
        <v>3320</v>
      </c>
      <c r="K68" s="0" t="s">
        <v>40</v>
      </c>
      <c r="L68" s="0" t="s">
        <v>7397</v>
      </c>
    </row>
    <row r="69" customFormat="false" ht="17.15" hidden="false" customHeight="false" outlineLevel="0" collapsed="false">
      <c r="A69" s="0" t="s">
        <v>7398</v>
      </c>
      <c r="B69" s="0" t="s">
        <v>2085</v>
      </c>
      <c r="C69" s="0" t="s">
        <v>7399</v>
      </c>
      <c r="D69" s="0" t="s">
        <v>7400</v>
      </c>
      <c r="E69" s="0" t="s">
        <v>7107</v>
      </c>
      <c r="F69" s="0" t="s">
        <v>7143</v>
      </c>
      <c r="G69" s="0" t="s">
        <v>7144</v>
      </c>
      <c r="H69" s="5" t="s">
        <v>2097</v>
      </c>
      <c r="J69" s="0" t="s">
        <v>341</v>
      </c>
      <c r="K69" s="5" t="s">
        <v>3313</v>
      </c>
      <c r="L69" s="0" t="s">
        <v>7145</v>
      </c>
    </row>
    <row r="70" customFormat="false" ht="17.15" hidden="false" customHeight="false" outlineLevel="0" collapsed="false">
      <c r="A70" s="0" t="s">
        <v>7401</v>
      </c>
      <c r="B70" s="0" t="s">
        <v>2085</v>
      </c>
      <c r="C70" s="0" t="s">
        <v>7402</v>
      </c>
      <c r="D70" s="0" t="s">
        <v>7403</v>
      </c>
      <c r="E70" s="0" t="s">
        <v>7107</v>
      </c>
      <c r="F70" s="0" t="s">
        <v>7149</v>
      </c>
      <c r="G70" s="0" t="s">
        <v>7144</v>
      </c>
      <c r="H70" s="5" t="s">
        <v>2097</v>
      </c>
      <c r="J70" s="0" t="s">
        <v>341</v>
      </c>
      <c r="K70" s="5" t="s">
        <v>3313</v>
      </c>
      <c r="L70" s="0" t="s">
        <v>7145</v>
      </c>
    </row>
    <row r="71" customFormat="false" ht="17.15" hidden="false" customHeight="false" outlineLevel="0" collapsed="false">
      <c r="A71" s="0" t="s">
        <v>7404</v>
      </c>
      <c r="B71" s="0" t="s">
        <v>2085</v>
      </c>
      <c r="C71" s="0" t="s">
        <v>7405</v>
      </c>
      <c r="D71" s="0" t="s">
        <v>7406</v>
      </c>
      <c r="E71" s="0" t="s">
        <v>7107</v>
      </c>
      <c r="F71" s="0" t="s">
        <v>143</v>
      </c>
      <c r="G71" s="0" t="s">
        <v>3371</v>
      </c>
      <c r="H71" s="5" t="s">
        <v>2097</v>
      </c>
      <c r="J71" s="0" t="s">
        <v>7407</v>
      </c>
      <c r="K71" s="5" t="s">
        <v>3313</v>
      </c>
      <c r="L71" s="0" t="s">
        <v>3643</v>
      </c>
    </row>
    <row r="72" customFormat="false" ht="17.15" hidden="false" customHeight="false" outlineLevel="0" collapsed="false">
      <c r="A72" s="0" t="s">
        <v>7408</v>
      </c>
      <c r="B72" s="0" t="s">
        <v>2085</v>
      </c>
      <c r="C72" s="0" t="s">
        <v>7409</v>
      </c>
      <c r="D72" s="0" t="s">
        <v>7410</v>
      </c>
      <c r="E72" s="0" t="s">
        <v>7107</v>
      </c>
      <c r="F72" s="0" t="s">
        <v>3516</v>
      </c>
      <c r="G72" s="0" t="s">
        <v>3371</v>
      </c>
      <c r="H72" s="5" t="s">
        <v>3320</v>
      </c>
      <c r="I72" s="0" t="s">
        <v>7411</v>
      </c>
      <c r="K72" s="0" t="s">
        <v>40</v>
      </c>
      <c r="L72" s="0" t="s">
        <v>7412</v>
      </c>
    </row>
    <row r="73" customFormat="false" ht="17.15" hidden="false" customHeight="false" outlineLevel="0" collapsed="false">
      <c r="A73" s="0" t="s">
        <v>7413</v>
      </c>
      <c r="B73" s="0" t="s">
        <v>2085</v>
      </c>
      <c r="C73" s="0" t="s">
        <v>7414</v>
      </c>
      <c r="D73" s="0" t="s">
        <v>7415</v>
      </c>
      <c r="E73" s="0" t="s">
        <v>7107</v>
      </c>
      <c r="F73" s="0" t="s">
        <v>7416</v>
      </c>
      <c r="G73" s="0" t="s">
        <v>3371</v>
      </c>
      <c r="H73" s="5" t="s">
        <v>3320</v>
      </c>
      <c r="J73" s="0" t="s">
        <v>199</v>
      </c>
      <c r="K73" s="5" t="s">
        <v>7156</v>
      </c>
      <c r="L73" s="0" t="s">
        <v>7417</v>
      </c>
    </row>
    <row r="74" customFormat="false" ht="17.15" hidden="false" customHeight="false" outlineLevel="0" collapsed="false">
      <c r="A74" s="0" t="s">
        <v>7418</v>
      </c>
      <c r="B74" s="0" t="s">
        <v>2085</v>
      </c>
      <c r="C74" s="0" t="s">
        <v>7419</v>
      </c>
      <c r="D74" s="0" t="s">
        <v>7420</v>
      </c>
      <c r="E74" s="0" t="s">
        <v>7216</v>
      </c>
      <c r="F74" s="0" t="s">
        <v>7421</v>
      </c>
      <c r="G74" s="0" t="s">
        <v>7144</v>
      </c>
      <c r="H74" s="5" t="s">
        <v>2097</v>
      </c>
      <c r="I74" s="5" t="s">
        <v>7422</v>
      </c>
      <c r="J74" s="0" t="s">
        <v>7423</v>
      </c>
      <c r="K74" s="5" t="s">
        <v>3313</v>
      </c>
      <c r="L74" s="0" t="s">
        <v>7424</v>
      </c>
    </row>
    <row r="75" customFormat="false" ht="17.15" hidden="false" customHeight="false" outlineLevel="0" collapsed="false">
      <c r="A75" s="0" t="s">
        <v>7425</v>
      </c>
      <c r="B75" s="0" t="s">
        <v>2085</v>
      </c>
      <c r="C75" s="0" t="s">
        <v>7426</v>
      </c>
      <c r="D75" s="0" t="s">
        <v>7427</v>
      </c>
      <c r="E75" s="0" t="s">
        <v>7216</v>
      </c>
      <c r="F75" s="0" t="s">
        <v>7421</v>
      </c>
      <c r="G75" s="0" t="s">
        <v>7144</v>
      </c>
      <c r="H75" s="5" t="s">
        <v>2097</v>
      </c>
      <c r="J75" s="0" t="s">
        <v>830</v>
      </c>
      <c r="K75" s="5" t="s">
        <v>3313</v>
      </c>
      <c r="L75" s="0" t="s">
        <v>7424</v>
      </c>
    </row>
    <row r="76" customFormat="false" ht="17.15" hidden="false" customHeight="false" outlineLevel="0" collapsed="false">
      <c r="A76" s="0" t="s">
        <v>7428</v>
      </c>
      <c r="B76" s="0" t="s">
        <v>2085</v>
      </c>
      <c r="C76" s="0" t="s">
        <v>7429</v>
      </c>
      <c r="D76" s="0" t="s">
        <v>7430</v>
      </c>
      <c r="E76" s="0" t="s">
        <v>7216</v>
      </c>
      <c r="F76" s="0" t="s">
        <v>7421</v>
      </c>
      <c r="G76" s="0" t="s">
        <v>7144</v>
      </c>
      <c r="H76" s="5" t="s">
        <v>2097</v>
      </c>
      <c r="J76" s="0" t="s">
        <v>833</v>
      </c>
      <c r="K76" s="5" t="s">
        <v>3313</v>
      </c>
      <c r="L76" s="0" t="s">
        <v>7424</v>
      </c>
    </row>
    <row r="77" customFormat="false" ht="17.15" hidden="false" customHeight="false" outlineLevel="0" collapsed="false">
      <c r="A77" s="0" t="s">
        <v>7431</v>
      </c>
      <c r="B77" s="0" t="s">
        <v>2085</v>
      </c>
      <c r="C77" s="0" t="s">
        <v>7432</v>
      </c>
      <c r="D77" s="0" t="s">
        <v>7433</v>
      </c>
      <c r="E77" s="0" t="s">
        <v>7216</v>
      </c>
      <c r="F77" s="0" t="s">
        <v>7421</v>
      </c>
      <c r="G77" s="0" t="s">
        <v>7144</v>
      </c>
      <c r="H77" s="5" t="s">
        <v>2097</v>
      </c>
      <c r="J77" s="0" t="s">
        <v>836</v>
      </c>
      <c r="K77" s="5" t="s">
        <v>3313</v>
      </c>
      <c r="L77" s="0" t="s">
        <v>7424</v>
      </c>
    </row>
    <row r="78" customFormat="false" ht="17.15" hidden="false" customHeight="false" outlineLevel="0" collapsed="false">
      <c r="A78" s="0" t="s">
        <v>7434</v>
      </c>
      <c r="B78" s="0" t="s">
        <v>2085</v>
      </c>
      <c r="C78" s="0" t="s">
        <v>7435</v>
      </c>
      <c r="D78" s="0" t="s">
        <v>7436</v>
      </c>
      <c r="F78" s="0" t="s">
        <v>7437</v>
      </c>
      <c r="G78" s="0" t="s">
        <v>3371</v>
      </c>
      <c r="H78" s="5" t="s">
        <v>2097</v>
      </c>
      <c r="K78" s="0" t="s">
        <v>40</v>
      </c>
      <c r="L78" s="0" t="s">
        <v>3643</v>
      </c>
    </row>
    <row r="79" customFormat="false" ht="17.15" hidden="false" customHeight="false" outlineLevel="0" collapsed="false">
      <c r="A79" s="0" t="s">
        <v>7438</v>
      </c>
      <c r="B79" s="0" t="s">
        <v>1467</v>
      </c>
      <c r="C79" s="0" t="s">
        <v>7439</v>
      </c>
      <c r="D79" s="0" t="s">
        <v>7440</v>
      </c>
      <c r="E79" s="0" t="s">
        <v>7107</v>
      </c>
      <c r="F79" s="0" t="s">
        <v>7441</v>
      </c>
      <c r="G79" s="0" t="s">
        <v>3317</v>
      </c>
      <c r="H79" s="5" t="s">
        <v>2097</v>
      </c>
      <c r="J79" s="0" t="s">
        <v>359</v>
      </c>
      <c r="K79" s="5" t="s">
        <v>3313</v>
      </c>
      <c r="L79" s="0" t="s">
        <v>7442</v>
      </c>
    </row>
    <row r="80" customFormat="false" ht="17.15" hidden="false" customHeight="false" outlineLevel="0" collapsed="false">
      <c r="A80" s="0" t="s">
        <v>7443</v>
      </c>
      <c r="B80" s="0" t="s">
        <v>1467</v>
      </c>
      <c r="C80" s="0" t="s">
        <v>7439</v>
      </c>
      <c r="D80" s="0" t="s">
        <v>7444</v>
      </c>
      <c r="E80" s="0" t="s">
        <v>7107</v>
      </c>
      <c r="F80" s="0" t="s">
        <v>7445</v>
      </c>
      <c r="G80" s="0" t="s">
        <v>3317</v>
      </c>
      <c r="H80" s="5" t="s">
        <v>2097</v>
      </c>
      <c r="K80" s="0" t="s">
        <v>40</v>
      </c>
      <c r="L80" s="0" t="s">
        <v>7446</v>
      </c>
    </row>
    <row r="81" customFormat="false" ht="17.15" hidden="false" customHeight="false" outlineLevel="0" collapsed="false">
      <c r="A81" s="0" t="s">
        <v>7447</v>
      </c>
      <c r="B81" s="0" t="s">
        <v>1467</v>
      </c>
      <c r="C81" s="0" t="s">
        <v>7439</v>
      </c>
      <c r="D81" s="0" t="s">
        <v>7448</v>
      </c>
      <c r="E81" s="0" t="s">
        <v>7107</v>
      </c>
      <c r="F81" s="0" t="s">
        <v>3703</v>
      </c>
      <c r="G81" s="0" t="s">
        <v>3317</v>
      </c>
      <c r="H81" s="5" t="s">
        <v>2097</v>
      </c>
      <c r="I81" s="0" t="s">
        <v>7449</v>
      </c>
      <c r="K81" s="0" t="s">
        <v>40</v>
      </c>
      <c r="L81" s="0" t="s">
        <v>7442</v>
      </c>
    </row>
    <row r="82" customFormat="false" ht="17.15" hidden="false" customHeight="false" outlineLevel="0" collapsed="false">
      <c r="A82" s="0" t="s">
        <v>7450</v>
      </c>
      <c r="B82" s="0" t="s">
        <v>1467</v>
      </c>
      <c r="C82" s="0" t="s">
        <v>7439</v>
      </c>
      <c r="D82" s="0" t="s">
        <v>7451</v>
      </c>
      <c r="E82" s="0" t="s">
        <v>7107</v>
      </c>
      <c r="F82" s="0" t="s">
        <v>3769</v>
      </c>
      <c r="G82" s="0" t="s">
        <v>3371</v>
      </c>
      <c r="H82" s="5" t="s">
        <v>3320</v>
      </c>
      <c r="K82" s="0" t="s">
        <v>40</v>
      </c>
      <c r="L82" s="0" t="s">
        <v>7452</v>
      </c>
    </row>
    <row r="83" customFormat="false" ht="17.15" hidden="false" customHeight="false" outlineLevel="0" collapsed="false">
      <c r="A83" s="0" t="s">
        <v>7453</v>
      </c>
      <c r="B83" s="0" t="s">
        <v>1467</v>
      </c>
      <c r="C83" s="0" t="s">
        <v>7439</v>
      </c>
      <c r="D83" s="0" t="s">
        <v>7454</v>
      </c>
      <c r="E83" s="0" t="s">
        <v>7107</v>
      </c>
      <c r="F83" s="0" t="s">
        <v>124</v>
      </c>
      <c r="G83" s="0" t="s">
        <v>3371</v>
      </c>
      <c r="H83" s="5" t="s">
        <v>2097</v>
      </c>
      <c r="J83" s="0" t="s">
        <v>144</v>
      </c>
      <c r="K83" s="5" t="s">
        <v>3313</v>
      </c>
      <c r="L83" s="0" t="s">
        <v>7455</v>
      </c>
    </row>
    <row r="84" customFormat="false" ht="17.15" hidden="false" customHeight="false" outlineLevel="0" collapsed="false">
      <c r="A84" s="0" t="s">
        <v>7456</v>
      </c>
      <c r="B84" s="0" t="s">
        <v>1467</v>
      </c>
      <c r="C84" s="0" t="s">
        <v>7457</v>
      </c>
      <c r="D84" s="0" t="s">
        <v>7458</v>
      </c>
      <c r="E84" s="0" t="s">
        <v>7107</v>
      </c>
      <c r="F84" s="0" t="s">
        <v>7459</v>
      </c>
      <c r="G84" s="0" t="s">
        <v>3371</v>
      </c>
      <c r="H84" s="5" t="s">
        <v>2097</v>
      </c>
      <c r="J84" s="0" t="s">
        <v>359</v>
      </c>
      <c r="K84" s="5" t="s">
        <v>3313</v>
      </c>
      <c r="L84" s="0" t="s">
        <v>3724</v>
      </c>
    </row>
    <row r="85" customFormat="false" ht="17.15" hidden="false" customHeight="false" outlineLevel="0" collapsed="false">
      <c r="A85" s="12" t="s">
        <v>7460</v>
      </c>
      <c r="B85" s="12" t="s">
        <v>1467</v>
      </c>
      <c r="C85" s="12" t="s">
        <v>7461</v>
      </c>
      <c r="D85" s="12" t="s">
        <v>7462</v>
      </c>
      <c r="E85" s="12" t="s">
        <v>7107</v>
      </c>
      <c r="F85" s="12" t="s">
        <v>3703</v>
      </c>
      <c r="G85" s="12" t="s">
        <v>3317</v>
      </c>
      <c r="H85" s="13" t="s">
        <v>3347</v>
      </c>
      <c r="I85" s="12" t="s">
        <v>7463</v>
      </c>
      <c r="J85" s="12"/>
      <c r="K85" s="12" t="s">
        <v>40</v>
      </c>
      <c r="L85" s="12" t="s">
        <v>7442</v>
      </c>
    </row>
    <row r="86" customFormat="false" ht="17.15" hidden="false" customHeight="false" outlineLevel="0" collapsed="false">
      <c r="A86" s="0" t="s">
        <v>7464</v>
      </c>
      <c r="B86" s="0" t="s">
        <v>1467</v>
      </c>
      <c r="C86" s="0" t="s">
        <v>7461</v>
      </c>
      <c r="D86" s="0" t="s">
        <v>7465</v>
      </c>
      <c r="E86" s="0" t="s">
        <v>7107</v>
      </c>
      <c r="F86" s="0" t="s">
        <v>124</v>
      </c>
      <c r="G86" s="0" t="s">
        <v>3371</v>
      </c>
      <c r="H86" s="5" t="s">
        <v>2097</v>
      </c>
      <c r="K86" s="0" t="s">
        <v>40</v>
      </c>
      <c r="L86" s="0" t="s">
        <v>7455</v>
      </c>
    </row>
    <row r="87" customFormat="false" ht="17.15" hidden="false" customHeight="false" outlineLevel="0" collapsed="false">
      <c r="A87" s="0" t="s">
        <v>7466</v>
      </c>
      <c r="B87" s="0" t="s">
        <v>1467</v>
      </c>
      <c r="C87" s="0" t="s">
        <v>7461</v>
      </c>
      <c r="D87" s="0" t="s">
        <v>7467</v>
      </c>
      <c r="E87" s="0" t="s">
        <v>7107</v>
      </c>
      <c r="F87" s="0" t="s">
        <v>7459</v>
      </c>
      <c r="G87" s="0" t="s">
        <v>3371</v>
      </c>
      <c r="H87" s="5" t="s">
        <v>2097</v>
      </c>
      <c r="J87" s="0" t="s">
        <v>191</v>
      </c>
      <c r="K87" s="5" t="s">
        <v>3313</v>
      </c>
      <c r="L87" s="0" t="s">
        <v>7468</v>
      </c>
    </row>
    <row r="88" customFormat="false" ht="17.15" hidden="false" customHeight="false" outlineLevel="0" collapsed="false">
      <c r="A88" s="0" t="s">
        <v>7469</v>
      </c>
      <c r="B88" s="0" t="s">
        <v>1467</v>
      </c>
      <c r="C88" s="0" t="s">
        <v>7470</v>
      </c>
      <c r="D88" s="0" t="s">
        <v>7471</v>
      </c>
      <c r="E88" s="0" t="s">
        <v>7107</v>
      </c>
      <c r="F88" s="0" t="s">
        <v>3594</v>
      </c>
      <c r="G88" s="0" t="s">
        <v>3371</v>
      </c>
      <c r="H88" s="5" t="s">
        <v>3320</v>
      </c>
      <c r="J88" s="0" t="s">
        <v>359</v>
      </c>
      <c r="K88" s="5" t="s">
        <v>7156</v>
      </c>
      <c r="L88" s="0" t="s">
        <v>7452</v>
      </c>
    </row>
    <row r="89" customFormat="false" ht="17.15" hidden="false" customHeight="false" outlineLevel="0" collapsed="false">
      <c r="A89" s="0" t="s">
        <v>7472</v>
      </c>
      <c r="B89" s="0" t="s">
        <v>1467</v>
      </c>
      <c r="C89" s="0" t="s">
        <v>7473</v>
      </c>
      <c r="D89" s="0" t="s">
        <v>7474</v>
      </c>
      <c r="E89" s="0" t="s">
        <v>116</v>
      </c>
      <c r="F89" s="0" t="s">
        <v>7475</v>
      </c>
      <c r="G89" s="0" t="s">
        <v>3371</v>
      </c>
      <c r="H89" s="5" t="s">
        <v>2097</v>
      </c>
      <c r="J89" s="0" t="s">
        <v>839</v>
      </c>
      <c r="K89" s="5" t="s">
        <v>3313</v>
      </c>
      <c r="L89" s="0" t="s">
        <v>7476</v>
      </c>
    </row>
    <row r="90" customFormat="false" ht="17.15" hidden="false" customHeight="false" outlineLevel="0" collapsed="false">
      <c r="A90" s="0" t="s">
        <v>7477</v>
      </c>
      <c r="B90" s="0" t="s">
        <v>1467</v>
      </c>
      <c r="C90" s="0" t="s">
        <v>7478</v>
      </c>
      <c r="D90" s="0" t="s">
        <v>7479</v>
      </c>
      <c r="E90" s="0" t="s">
        <v>116</v>
      </c>
      <c r="F90" s="0" t="s">
        <v>7475</v>
      </c>
      <c r="G90" s="0" t="s">
        <v>3371</v>
      </c>
      <c r="H90" s="5" t="s">
        <v>2097</v>
      </c>
      <c r="J90" s="0" t="s">
        <v>839</v>
      </c>
      <c r="K90" s="5" t="s">
        <v>3313</v>
      </c>
      <c r="L90" s="0" t="s">
        <v>7476</v>
      </c>
    </row>
    <row r="91" customFormat="false" ht="17.15" hidden="false" customHeight="false" outlineLevel="0" collapsed="false">
      <c r="A91" s="0" t="s">
        <v>7480</v>
      </c>
      <c r="B91" s="0" t="s">
        <v>1467</v>
      </c>
      <c r="C91" s="0" t="s">
        <v>7481</v>
      </c>
      <c r="D91" s="0" t="s">
        <v>7482</v>
      </c>
      <c r="E91" s="0" t="s">
        <v>116</v>
      </c>
      <c r="F91" s="0" t="s">
        <v>3856</v>
      </c>
      <c r="G91" s="0" t="s">
        <v>3371</v>
      </c>
      <c r="H91" s="5" t="s">
        <v>3320</v>
      </c>
      <c r="K91" s="0" t="s">
        <v>40</v>
      </c>
      <c r="L91" s="0" t="s">
        <v>7483</v>
      </c>
    </row>
    <row r="92" customFormat="false" ht="17.15" hidden="false" customHeight="false" outlineLevel="0" collapsed="false">
      <c r="A92" s="0" t="s">
        <v>7484</v>
      </c>
      <c r="B92" s="0" t="s">
        <v>1467</v>
      </c>
      <c r="C92" s="0" t="s">
        <v>7485</v>
      </c>
      <c r="D92" s="0" t="s">
        <v>7486</v>
      </c>
      <c r="E92" s="0" t="s">
        <v>116</v>
      </c>
      <c r="F92" s="0" t="s">
        <v>7487</v>
      </c>
      <c r="G92" s="0" t="s">
        <v>3371</v>
      </c>
      <c r="H92" s="5" t="s">
        <v>3320</v>
      </c>
      <c r="K92" s="0" t="s">
        <v>40</v>
      </c>
      <c r="L92" s="0" t="s">
        <v>7488</v>
      </c>
    </row>
    <row r="93" customFormat="false" ht="17.15" hidden="false" customHeight="false" outlineLevel="0" collapsed="false">
      <c r="A93" s="0" t="s">
        <v>7489</v>
      </c>
      <c r="B93" s="0" t="s">
        <v>1467</v>
      </c>
      <c r="C93" s="0" t="s">
        <v>7490</v>
      </c>
      <c r="D93" s="0" t="s">
        <v>117</v>
      </c>
      <c r="E93" s="0" t="s">
        <v>7107</v>
      </c>
      <c r="F93" s="0" t="s">
        <v>7459</v>
      </c>
      <c r="G93" s="0" t="s">
        <v>3371</v>
      </c>
      <c r="H93" s="5" t="s">
        <v>3320</v>
      </c>
      <c r="K93" s="0" t="s">
        <v>40</v>
      </c>
      <c r="L93" s="0" t="s">
        <v>7446</v>
      </c>
    </row>
    <row r="94" customFormat="false" ht="17.15" hidden="false" customHeight="false" outlineLevel="0" collapsed="false">
      <c r="A94" s="0" t="s">
        <v>7491</v>
      </c>
      <c r="B94" s="0" t="s">
        <v>1467</v>
      </c>
      <c r="C94" s="0" t="s">
        <v>7492</v>
      </c>
      <c r="D94" s="0" t="s">
        <v>7493</v>
      </c>
      <c r="E94" s="0" t="s">
        <v>7107</v>
      </c>
      <c r="F94" s="0" t="s">
        <v>7459</v>
      </c>
      <c r="G94" s="0" t="s">
        <v>3371</v>
      </c>
      <c r="H94" s="5" t="s">
        <v>3320</v>
      </c>
      <c r="J94" s="0" t="s">
        <v>880</v>
      </c>
      <c r="K94" s="5" t="s">
        <v>7240</v>
      </c>
      <c r="L94" s="0" t="s">
        <v>7446</v>
      </c>
    </row>
    <row r="95" customFormat="false" ht="17.15" hidden="false" customHeight="false" outlineLevel="0" collapsed="false">
      <c r="A95" s="0" t="s">
        <v>7494</v>
      </c>
      <c r="B95" s="0" t="s">
        <v>1467</v>
      </c>
      <c r="C95" s="0" t="s">
        <v>7495</v>
      </c>
      <c r="D95" s="0" t="s">
        <v>7496</v>
      </c>
      <c r="E95" s="0" t="s">
        <v>7107</v>
      </c>
      <c r="F95" s="0" t="s">
        <v>7459</v>
      </c>
      <c r="G95" s="0" t="s">
        <v>3371</v>
      </c>
      <c r="H95" s="5" t="s">
        <v>3320</v>
      </c>
      <c r="K95" s="0" t="s">
        <v>40</v>
      </c>
      <c r="L95" s="0" t="s">
        <v>7446</v>
      </c>
    </row>
    <row r="96" customFormat="false" ht="17.15" hidden="false" customHeight="false" outlineLevel="0" collapsed="false">
      <c r="A96" s="0" t="s">
        <v>7497</v>
      </c>
      <c r="B96" s="0" t="s">
        <v>1467</v>
      </c>
      <c r="C96" s="0" t="s">
        <v>7498</v>
      </c>
      <c r="D96" s="0" t="s">
        <v>7499</v>
      </c>
      <c r="F96" s="0" t="s">
        <v>7459</v>
      </c>
      <c r="G96" s="0" t="s">
        <v>3371</v>
      </c>
      <c r="H96" s="5" t="s">
        <v>2097</v>
      </c>
      <c r="K96" s="0" t="s">
        <v>40</v>
      </c>
      <c r="L96" s="0" t="s">
        <v>3724</v>
      </c>
    </row>
    <row r="97" customFormat="false" ht="17.15" hidden="false" customHeight="false" outlineLevel="0" collapsed="false">
      <c r="A97" s="0" t="s">
        <v>7500</v>
      </c>
      <c r="B97" s="0" t="s">
        <v>1486</v>
      </c>
      <c r="C97" s="0" t="s">
        <v>7501</v>
      </c>
      <c r="D97" s="0" t="s">
        <v>7502</v>
      </c>
      <c r="E97" s="0" t="s">
        <v>116</v>
      </c>
      <c r="F97" s="0" t="s">
        <v>3703</v>
      </c>
      <c r="G97" s="0" t="s">
        <v>3371</v>
      </c>
      <c r="H97" s="5" t="s">
        <v>2097</v>
      </c>
      <c r="J97" s="0" t="s">
        <v>363</v>
      </c>
      <c r="K97" s="5" t="s">
        <v>3313</v>
      </c>
      <c r="L97" s="0" t="s">
        <v>7503</v>
      </c>
    </row>
    <row r="98" customFormat="false" ht="17.15" hidden="false" customHeight="false" outlineLevel="0" collapsed="false">
      <c r="A98" s="0" t="s">
        <v>7504</v>
      </c>
      <c r="B98" s="0" t="s">
        <v>1486</v>
      </c>
      <c r="C98" s="0" t="s">
        <v>7501</v>
      </c>
      <c r="D98" s="0" t="s">
        <v>117</v>
      </c>
      <c r="E98" s="0" t="s">
        <v>7107</v>
      </c>
      <c r="F98" s="0" t="s">
        <v>7445</v>
      </c>
      <c r="G98" s="0" t="s">
        <v>7197</v>
      </c>
      <c r="H98" s="5" t="s">
        <v>3320</v>
      </c>
      <c r="K98" s="0" t="s">
        <v>40</v>
      </c>
    </row>
    <row r="99" customFormat="false" ht="17.15" hidden="false" customHeight="false" outlineLevel="0" collapsed="false">
      <c r="A99" s="0" t="s">
        <v>7505</v>
      </c>
      <c r="B99" s="0" t="s">
        <v>1486</v>
      </c>
      <c r="C99" s="0" t="s">
        <v>7506</v>
      </c>
      <c r="D99" s="0" t="s">
        <v>7507</v>
      </c>
      <c r="E99" s="0" t="s">
        <v>7107</v>
      </c>
      <c r="F99" s="0" t="s">
        <v>7508</v>
      </c>
      <c r="G99" s="0" t="s">
        <v>3371</v>
      </c>
      <c r="H99" s="5" t="s">
        <v>3320</v>
      </c>
      <c r="J99" s="0" t="s">
        <v>363</v>
      </c>
      <c r="K99" s="5" t="s">
        <v>7156</v>
      </c>
      <c r="L99" s="0" t="s">
        <v>7509</v>
      </c>
    </row>
    <row r="100" customFormat="false" ht="17.15" hidden="false" customHeight="false" outlineLevel="0" collapsed="false">
      <c r="A100" s="0" t="s">
        <v>7510</v>
      </c>
      <c r="B100" s="0" t="s">
        <v>1486</v>
      </c>
      <c r="C100" s="0" t="s">
        <v>7511</v>
      </c>
      <c r="D100" s="0" t="s">
        <v>7512</v>
      </c>
      <c r="E100" s="0" t="s">
        <v>7107</v>
      </c>
      <c r="F100" s="0" t="s">
        <v>7513</v>
      </c>
      <c r="G100" s="0" t="s">
        <v>3371</v>
      </c>
      <c r="H100" s="5" t="s">
        <v>3320</v>
      </c>
      <c r="J100" s="0" t="s">
        <v>195</v>
      </c>
      <c r="K100" s="5" t="s">
        <v>7156</v>
      </c>
      <c r="L100" s="0" t="s">
        <v>7514</v>
      </c>
    </row>
    <row r="101" customFormat="false" ht="17.15" hidden="false" customHeight="false" outlineLevel="0" collapsed="false">
      <c r="A101" s="0" t="s">
        <v>7515</v>
      </c>
      <c r="B101" s="0" t="s">
        <v>1486</v>
      </c>
      <c r="C101" s="0" t="s">
        <v>7516</v>
      </c>
      <c r="D101" s="0" t="s">
        <v>7517</v>
      </c>
      <c r="E101" s="0" t="s">
        <v>7107</v>
      </c>
      <c r="F101" s="0" t="s">
        <v>7513</v>
      </c>
      <c r="G101" s="0" t="s">
        <v>3371</v>
      </c>
      <c r="H101" s="5" t="s">
        <v>3320</v>
      </c>
      <c r="J101" s="0" t="s">
        <v>870</v>
      </c>
      <c r="K101" s="5" t="s">
        <v>7156</v>
      </c>
      <c r="L101" s="0" t="s">
        <v>7518</v>
      </c>
    </row>
    <row r="102" customFormat="false" ht="17.15" hidden="false" customHeight="false" outlineLevel="0" collapsed="false">
      <c r="A102" s="0" t="s">
        <v>7519</v>
      </c>
      <c r="B102" s="0" t="s">
        <v>1486</v>
      </c>
      <c r="C102" s="0" t="s">
        <v>7520</v>
      </c>
      <c r="D102" s="0" t="s">
        <v>7521</v>
      </c>
      <c r="E102" s="0" t="s">
        <v>7107</v>
      </c>
      <c r="F102" s="0" t="s">
        <v>7513</v>
      </c>
      <c r="G102" s="0" t="s">
        <v>3371</v>
      </c>
      <c r="H102" s="5" t="s">
        <v>3320</v>
      </c>
      <c r="J102" s="0" t="s">
        <v>874</v>
      </c>
      <c r="K102" s="5" t="s">
        <v>7240</v>
      </c>
      <c r="L102" s="0" t="s">
        <v>7518</v>
      </c>
    </row>
    <row r="103" customFormat="false" ht="17.15" hidden="false" customHeight="false" outlineLevel="0" collapsed="false">
      <c r="A103" s="0" t="s">
        <v>7522</v>
      </c>
      <c r="B103" s="0" t="s">
        <v>1486</v>
      </c>
      <c r="C103" s="0" t="s">
        <v>7523</v>
      </c>
      <c r="D103" s="0" t="s">
        <v>7521</v>
      </c>
      <c r="E103" s="0" t="s">
        <v>7107</v>
      </c>
      <c r="F103" s="0" t="s">
        <v>7513</v>
      </c>
      <c r="G103" s="0" t="s">
        <v>3371</v>
      </c>
      <c r="H103" s="5" t="s">
        <v>3320</v>
      </c>
      <c r="J103" s="0" t="s">
        <v>877</v>
      </c>
      <c r="K103" s="5" t="s">
        <v>7156</v>
      </c>
      <c r="L103" s="0" t="s">
        <v>7518</v>
      </c>
    </row>
    <row r="104" customFormat="false" ht="17.15" hidden="false" customHeight="false" outlineLevel="0" collapsed="false">
      <c r="A104" s="0" t="s">
        <v>7524</v>
      </c>
      <c r="B104" s="0" t="s">
        <v>1486</v>
      </c>
      <c r="C104" s="0" t="s">
        <v>7525</v>
      </c>
      <c r="D104" s="0" t="s">
        <v>7526</v>
      </c>
      <c r="E104" s="0" t="s">
        <v>116</v>
      </c>
      <c r="F104" s="0" t="s">
        <v>124</v>
      </c>
      <c r="G104" s="0" t="s">
        <v>3327</v>
      </c>
      <c r="H104" s="5" t="s">
        <v>3320</v>
      </c>
      <c r="K104" s="0" t="s">
        <v>40</v>
      </c>
      <c r="L104" s="0" t="s">
        <v>7157</v>
      </c>
    </row>
    <row r="105" customFormat="false" ht="17.15" hidden="false" customHeight="false" outlineLevel="0" collapsed="false">
      <c r="A105" s="0" t="s">
        <v>7527</v>
      </c>
      <c r="B105" s="0" t="s">
        <v>1486</v>
      </c>
      <c r="C105" s="0" t="s">
        <v>7528</v>
      </c>
      <c r="D105" s="0" t="s">
        <v>7529</v>
      </c>
      <c r="F105" s="0" t="s">
        <v>7508</v>
      </c>
      <c r="G105" s="0" t="s">
        <v>3371</v>
      </c>
      <c r="H105" s="5" t="s">
        <v>3320</v>
      </c>
      <c r="K105" s="0" t="s">
        <v>40</v>
      </c>
      <c r="L105" s="0" t="s">
        <v>7509</v>
      </c>
    </row>
    <row r="106" customFormat="false" ht="17.15" hidden="false" customHeight="false" outlineLevel="0" collapsed="false">
      <c r="A106" s="0" t="s">
        <v>7530</v>
      </c>
      <c r="B106" s="5" t="s">
        <v>7531</v>
      </c>
      <c r="C106" s="5" t="s">
        <v>7532</v>
      </c>
      <c r="D106" s="0" t="s">
        <v>7533</v>
      </c>
      <c r="E106" s="0" t="s">
        <v>116</v>
      </c>
      <c r="F106" s="0" t="s">
        <v>7534</v>
      </c>
      <c r="G106" s="0" t="s">
        <v>3371</v>
      </c>
      <c r="H106" s="5" t="s">
        <v>2097</v>
      </c>
      <c r="J106" s="0" t="s">
        <v>7535</v>
      </c>
      <c r="K106" s="5" t="s">
        <v>3313</v>
      </c>
      <c r="L106" s="0" t="s">
        <v>7536</v>
      </c>
    </row>
    <row r="107" customFormat="false" ht="17.15" hidden="false" customHeight="false" outlineLevel="0" collapsed="false">
      <c r="A107" s="0" t="s">
        <v>7537</v>
      </c>
      <c r="B107" s="5" t="s">
        <v>7531</v>
      </c>
      <c r="C107" s="5" t="s">
        <v>7538</v>
      </c>
      <c r="D107" s="0" t="s">
        <v>7539</v>
      </c>
      <c r="E107" s="0" t="s">
        <v>116</v>
      </c>
      <c r="F107" s="0" t="s">
        <v>7534</v>
      </c>
      <c r="G107" s="0" t="s">
        <v>3371</v>
      </c>
      <c r="H107" s="5" t="s">
        <v>2097</v>
      </c>
      <c r="J107" s="0" t="s">
        <v>846</v>
      </c>
      <c r="K107" s="5" t="s">
        <v>3313</v>
      </c>
      <c r="L107" s="0" t="s">
        <v>7536</v>
      </c>
    </row>
    <row r="108" customFormat="false" ht="17.15" hidden="false" customHeight="false" outlineLevel="0" collapsed="false">
      <c r="A108" s="0" t="s">
        <v>7540</v>
      </c>
      <c r="B108" s="5" t="s">
        <v>7531</v>
      </c>
      <c r="C108" s="5" t="s">
        <v>7541</v>
      </c>
      <c r="D108" s="0" t="s">
        <v>7542</v>
      </c>
      <c r="E108" s="0" t="s">
        <v>116</v>
      </c>
      <c r="F108" s="0" t="s">
        <v>143</v>
      </c>
      <c r="G108" s="0" t="s">
        <v>3371</v>
      </c>
      <c r="H108" s="5" t="s">
        <v>3320</v>
      </c>
      <c r="K108" s="0" t="s">
        <v>40</v>
      </c>
      <c r="L108" s="0" t="s">
        <v>7483</v>
      </c>
    </row>
    <row r="109" customFormat="false" ht="17.15" hidden="false" customHeight="false" outlineLevel="0" collapsed="false">
      <c r="A109" s="0" t="s">
        <v>7543</v>
      </c>
      <c r="B109" s="5" t="s">
        <v>7531</v>
      </c>
      <c r="C109" s="5" t="s">
        <v>7544</v>
      </c>
      <c r="D109" s="0" t="s">
        <v>7545</v>
      </c>
      <c r="E109" s="0" t="s">
        <v>116</v>
      </c>
      <c r="F109" s="0" t="s">
        <v>7546</v>
      </c>
      <c r="G109" s="0" t="s">
        <v>3371</v>
      </c>
      <c r="H109" s="5" t="s">
        <v>3320</v>
      </c>
      <c r="K109" s="0" t="s">
        <v>40</v>
      </c>
      <c r="L109" s="0" t="s">
        <v>7547</v>
      </c>
    </row>
    <row r="110" customFormat="false" ht="17.15" hidden="false" customHeight="false" outlineLevel="0" collapsed="false">
      <c r="A110" s="0" t="s">
        <v>7548</v>
      </c>
      <c r="B110" s="5" t="s">
        <v>7531</v>
      </c>
      <c r="C110" s="5" t="s">
        <v>7549</v>
      </c>
      <c r="D110" s="0" t="s">
        <v>7550</v>
      </c>
      <c r="E110" s="0" t="s">
        <v>7107</v>
      </c>
      <c r="F110" s="0" t="s">
        <v>7551</v>
      </c>
      <c r="G110" s="0" t="s">
        <v>3371</v>
      </c>
      <c r="H110" s="5" t="s">
        <v>3320</v>
      </c>
      <c r="K110" s="0" t="s">
        <v>40</v>
      </c>
      <c r="L110" s="0" t="s">
        <v>7552</v>
      </c>
    </row>
    <row r="111" customFormat="false" ht="17.15" hidden="false" customHeight="false" outlineLevel="0" collapsed="false">
      <c r="A111" s="0" t="s">
        <v>7553</v>
      </c>
      <c r="B111" s="5" t="s">
        <v>7531</v>
      </c>
      <c r="C111" s="5" t="s">
        <v>7554</v>
      </c>
      <c r="D111" s="0" t="s">
        <v>7555</v>
      </c>
      <c r="E111" s="0" t="s">
        <v>7107</v>
      </c>
      <c r="F111" s="0" t="s">
        <v>3590</v>
      </c>
      <c r="G111" s="0" t="s">
        <v>3371</v>
      </c>
      <c r="H111" s="5" t="s">
        <v>3320</v>
      </c>
      <c r="K111" s="0" t="s">
        <v>40</v>
      </c>
      <c r="L111" s="0" t="s">
        <v>7556</v>
      </c>
    </row>
    <row r="112" customFormat="false" ht="17.15" hidden="false" customHeight="false" outlineLevel="0" collapsed="false">
      <c r="A112" s="0" t="s">
        <v>7557</v>
      </c>
      <c r="B112" s="5" t="s">
        <v>7531</v>
      </c>
      <c r="C112" s="5" t="s">
        <v>7558</v>
      </c>
      <c r="D112" s="0" t="s">
        <v>7559</v>
      </c>
      <c r="E112" s="0" t="s">
        <v>7107</v>
      </c>
      <c r="F112" s="0" t="s">
        <v>7560</v>
      </c>
      <c r="G112" s="0" t="s">
        <v>3371</v>
      </c>
      <c r="H112" s="5" t="s">
        <v>3320</v>
      </c>
      <c r="K112" s="0" t="s">
        <v>40</v>
      </c>
      <c r="L112" s="0" t="s">
        <v>7561</v>
      </c>
    </row>
    <row r="113" customFormat="false" ht="17.15" hidden="false" customHeight="false" outlineLevel="0" collapsed="false">
      <c r="A113" s="0" t="s">
        <v>7562</v>
      </c>
      <c r="B113" s="5" t="s">
        <v>7531</v>
      </c>
      <c r="C113" s="5" t="s">
        <v>7563</v>
      </c>
      <c r="D113" s="0" t="s">
        <v>7564</v>
      </c>
      <c r="E113" s="0" t="s">
        <v>7107</v>
      </c>
      <c r="F113" s="0" t="s">
        <v>143</v>
      </c>
      <c r="G113" s="0" t="s">
        <v>3371</v>
      </c>
      <c r="H113" s="5" t="s">
        <v>3320</v>
      </c>
      <c r="K113" s="0" t="s">
        <v>40</v>
      </c>
      <c r="L113" s="0" t="s">
        <v>7565</v>
      </c>
    </row>
    <row r="114" customFormat="false" ht="17.15" hidden="false" customHeight="false" outlineLevel="0" collapsed="false">
      <c r="A114" s="0" t="s">
        <v>7566</v>
      </c>
      <c r="B114" s="5" t="s">
        <v>7531</v>
      </c>
      <c r="C114" s="5" t="s">
        <v>7567</v>
      </c>
      <c r="D114" s="0" t="s">
        <v>7568</v>
      </c>
      <c r="E114" s="0" t="s">
        <v>7107</v>
      </c>
      <c r="F114" s="0" t="s">
        <v>7285</v>
      </c>
      <c r="G114" s="0" t="s">
        <v>3371</v>
      </c>
      <c r="H114" s="5" t="s">
        <v>3320</v>
      </c>
      <c r="K114" s="0" t="s">
        <v>40</v>
      </c>
      <c r="L114" s="0" t="s">
        <v>7569</v>
      </c>
    </row>
    <row r="115" customFormat="false" ht="17.15" hidden="false" customHeight="false" outlineLevel="0" collapsed="false">
      <c r="A115" s="0" t="s">
        <v>7570</v>
      </c>
      <c r="B115" s="5" t="s">
        <v>7531</v>
      </c>
      <c r="C115" s="5" t="s">
        <v>7571</v>
      </c>
      <c r="D115" s="0" t="s">
        <v>7572</v>
      </c>
      <c r="E115" s="0" t="s">
        <v>116</v>
      </c>
      <c r="F115" s="0" t="s">
        <v>7573</v>
      </c>
      <c r="G115" s="0" t="s">
        <v>3327</v>
      </c>
      <c r="H115" s="5" t="s">
        <v>3320</v>
      </c>
      <c r="K115" s="0" t="s">
        <v>40</v>
      </c>
      <c r="L115" s="0" t="s">
        <v>7157</v>
      </c>
    </row>
    <row r="116" customFormat="false" ht="17.15" hidden="false" customHeight="false" outlineLevel="0" collapsed="false">
      <c r="A116" s="0" t="s">
        <v>7574</v>
      </c>
      <c r="B116" s="5" t="s">
        <v>7531</v>
      </c>
      <c r="C116" s="5" t="s">
        <v>7575</v>
      </c>
      <c r="D116" s="0" t="s">
        <v>7576</v>
      </c>
      <c r="E116" s="0" t="s">
        <v>116</v>
      </c>
      <c r="F116" s="0" t="s">
        <v>3547</v>
      </c>
      <c r="G116" s="0" t="s">
        <v>3371</v>
      </c>
      <c r="H116" s="5" t="s">
        <v>2097</v>
      </c>
      <c r="J116" s="0" t="s">
        <v>7577</v>
      </c>
      <c r="K116" s="5" t="s">
        <v>3313</v>
      </c>
      <c r="L116" s="0" t="s">
        <v>7578</v>
      </c>
    </row>
    <row r="117" customFormat="false" ht="17.15" hidden="false" customHeight="false" outlineLevel="0" collapsed="false">
      <c r="A117" s="0" t="s">
        <v>7579</v>
      </c>
      <c r="B117" s="5" t="s">
        <v>7531</v>
      </c>
      <c r="C117" s="5" t="s">
        <v>7580</v>
      </c>
      <c r="D117" s="0" t="s">
        <v>7581</v>
      </c>
      <c r="E117" s="0" t="s">
        <v>7107</v>
      </c>
      <c r="F117" s="0" t="s">
        <v>7560</v>
      </c>
      <c r="G117" s="0" t="s">
        <v>3371</v>
      </c>
      <c r="H117" s="5" t="s">
        <v>3320</v>
      </c>
      <c r="K117" s="0" t="s">
        <v>40</v>
      </c>
      <c r="L117" s="0" t="s">
        <v>7582</v>
      </c>
    </row>
    <row r="118" customFormat="false" ht="17.15" hidden="false" customHeight="false" outlineLevel="0" collapsed="false">
      <c r="A118" s="0" t="s">
        <v>7583</v>
      </c>
      <c r="B118" s="5" t="s">
        <v>7531</v>
      </c>
      <c r="C118" s="5" t="s">
        <v>7584</v>
      </c>
      <c r="D118" s="0" t="s">
        <v>7585</v>
      </c>
      <c r="E118" s="0" t="s">
        <v>7107</v>
      </c>
      <c r="F118" s="0" t="s">
        <v>7149</v>
      </c>
      <c r="G118" s="0" t="s">
        <v>7144</v>
      </c>
      <c r="H118" s="5" t="s">
        <v>2117</v>
      </c>
      <c r="I118" s="5" t="s">
        <v>7586</v>
      </c>
      <c r="J118" s="0" t="s">
        <v>7587</v>
      </c>
      <c r="K118" s="5" t="s">
        <v>3313</v>
      </c>
      <c r="L118" s="0" t="s">
        <v>7145</v>
      </c>
    </row>
    <row r="119" customFormat="false" ht="17.15" hidden="false" customHeight="false" outlineLevel="0" collapsed="false">
      <c r="A119" s="0" t="s">
        <v>7588</v>
      </c>
      <c r="B119" s="5" t="s">
        <v>7589</v>
      </c>
      <c r="C119" s="5" t="s">
        <v>7590</v>
      </c>
      <c r="D119" s="0" t="s">
        <v>7591</v>
      </c>
      <c r="F119" s="0" t="s">
        <v>7149</v>
      </c>
      <c r="G119" s="0" t="s">
        <v>7144</v>
      </c>
      <c r="H119" s="5" t="s">
        <v>2097</v>
      </c>
      <c r="K119" s="0" t="s">
        <v>40</v>
      </c>
      <c r="L119" s="0" t="s">
        <v>7592</v>
      </c>
    </row>
    <row r="120" customFormat="false" ht="17.15" hidden="false" customHeight="false" outlineLevel="0" collapsed="false">
      <c r="A120" s="0" t="s">
        <v>7593</v>
      </c>
      <c r="B120" s="5" t="s">
        <v>7589</v>
      </c>
      <c r="C120" s="5" t="s">
        <v>7594</v>
      </c>
      <c r="D120" s="0" t="s">
        <v>7595</v>
      </c>
      <c r="E120" s="0" t="s">
        <v>7107</v>
      </c>
      <c r="F120" s="0" t="s">
        <v>7285</v>
      </c>
      <c r="G120" s="0" t="s">
        <v>7144</v>
      </c>
      <c r="H120" s="5" t="s">
        <v>3320</v>
      </c>
      <c r="K120" s="0" t="s">
        <v>40</v>
      </c>
      <c r="L120" s="0" t="s">
        <v>7596</v>
      </c>
    </row>
    <row r="121" customFormat="false" ht="17.15" hidden="false" customHeight="false" outlineLevel="0" collapsed="false">
      <c r="A121" s="0" t="s">
        <v>7597</v>
      </c>
      <c r="B121" s="0" t="s">
        <v>1682</v>
      </c>
      <c r="C121" s="0" t="s">
        <v>7598</v>
      </c>
      <c r="D121" s="0" t="s">
        <v>7599</v>
      </c>
      <c r="E121" s="0" t="s">
        <v>7107</v>
      </c>
      <c r="F121" s="0" t="s">
        <v>3703</v>
      </c>
      <c r="G121" s="0" t="s">
        <v>7600</v>
      </c>
      <c r="H121" s="5" t="s">
        <v>2097</v>
      </c>
      <c r="J121" s="0" t="s">
        <v>473</v>
      </c>
      <c r="K121" s="5" t="s">
        <v>3313</v>
      </c>
      <c r="L121" s="0" t="s">
        <v>7601</v>
      </c>
    </row>
    <row r="122" customFormat="false" ht="17.15" hidden="false" customHeight="false" outlineLevel="0" collapsed="false">
      <c r="A122" s="0" t="s">
        <v>7602</v>
      </c>
      <c r="B122" s="0" t="s">
        <v>1682</v>
      </c>
      <c r="C122" s="0" t="s">
        <v>7603</v>
      </c>
      <c r="D122" s="0" t="s">
        <v>7604</v>
      </c>
      <c r="E122" s="0" t="s">
        <v>7107</v>
      </c>
      <c r="F122" s="0" t="s">
        <v>7605</v>
      </c>
      <c r="G122" s="0" t="s">
        <v>7606</v>
      </c>
      <c r="H122" s="5" t="s">
        <v>2117</v>
      </c>
      <c r="I122" s="5" t="s">
        <v>7607</v>
      </c>
      <c r="J122" s="0" t="s">
        <v>188</v>
      </c>
      <c r="K122" s="5" t="s">
        <v>3313</v>
      </c>
      <c r="L122" s="0" t="s">
        <v>7608</v>
      </c>
    </row>
    <row r="123" customFormat="false" ht="17.15" hidden="false" customHeight="false" outlineLevel="0" collapsed="false">
      <c r="A123" s="0" t="s">
        <v>7609</v>
      </c>
      <c r="B123" s="0" t="s">
        <v>1682</v>
      </c>
      <c r="C123" s="0" t="s">
        <v>7610</v>
      </c>
      <c r="D123" s="0" t="s">
        <v>7611</v>
      </c>
      <c r="E123" s="0" t="s">
        <v>7107</v>
      </c>
      <c r="F123" s="0" t="s">
        <v>7370</v>
      </c>
      <c r="G123" s="0" t="s">
        <v>7612</v>
      </c>
      <c r="H123" s="5" t="s">
        <v>2097</v>
      </c>
      <c r="I123" s="0" t="s">
        <v>7613</v>
      </c>
      <c r="J123" s="0" t="s">
        <v>473</v>
      </c>
      <c r="K123" s="5" t="s">
        <v>3313</v>
      </c>
      <c r="L123" s="0" t="s">
        <v>7614</v>
      </c>
    </row>
    <row r="124" customFormat="false" ht="17.15" hidden="false" customHeight="false" outlineLevel="0" collapsed="false">
      <c r="A124" s="0" t="s">
        <v>7615</v>
      </c>
      <c r="B124" s="0" t="s">
        <v>1682</v>
      </c>
      <c r="C124" s="0" t="s">
        <v>7616</v>
      </c>
      <c r="D124" s="0" t="s">
        <v>7617</v>
      </c>
      <c r="E124" s="0" t="s">
        <v>7618</v>
      </c>
      <c r="F124" s="0" t="s">
        <v>7619</v>
      </c>
      <c r="G124" s="0" t="s">
        <v>7620</v>
      </c>
      <c r="H124" s="5" t="s">
        <v>3320</v>
      </c>
      <c r="K124" s="0" t="s">
        <v>40</v>
      </c>
      <c r="L124" s="0" t="s">
        <v>7621</v>
      </c>
    </row>
    <row r="125" customFormat="false" ht="17.15" hidden="false" customHeight="false" outlineLevel="0" collapsed="false">
      <c r="A125" s="0" t="s">
        <v>7622</v>
      </c>
      <c r="B125" s="0" t="s">
        <v>1682</v>
      </c>
      <c r="C125" s="0" t="s">
        <v>7623</v>
      </c>
      <c r="D125" s="5" t="s">
        <v>7624</v>
      </c>
      <c r="E125" s="0" t="s">
        <v>7107</v>
      </c>
      <c r="F125" s="0" t="s">
        <v>2139</v>
      </c>
      <c r="G125" s="0" t="s">
        <v>7625</v>
      </c>
      <c r="H125" s="5" t="s">
        <v>2097</v>
      </c>
      <c r="J125" s="0" t="s">
        <v>473</v>
      </c>
      <c r="K125" s="5" t="s">
        <v>3313</v>
      </c>
      <c r="L125" s="0" t="s">
        <v>7626</v>
      </c>
    </row>
    <row r="126" customFormat="false" ht="17.15" hidden="false" customHeight="false" outlineLevel="0" collapsed="false">
      <c r="A126" s="0" t="s">
        <v>7627</v>
      </c>
      <c r="B126" s="0" t="s">
        <v>7628</v>
      </c>
      <c r="C126" s="0" t="s">
        <v>7629</v>
      </c>
      <c r="D126" s="0" t="s">
        <v>7630</v>
      </c>
      <c r="E126" s="0" t="s">
        <v>7107</v>
      </c>
      <c r="F126" s="0" t="s">
        <v>143</v>
      </c>
      <c r="G126" s="0" t="s">
        <v>7631</v>
      </c>
      <c r="H126" s="5" t="s">
        <v>2097</v>
      </c>
      <c r="K126" s="0" t="s">
        <v>40</v>
      </c>
      <c r="L126" s="0" t="s">
        <v>7632</v>
      </c>
    </row>
    <row r="127" customFormat="false" ht="17.15" hidden="false" customHeight="false" outlineLevel="0" collapsed="false">
      <c r="A127" s="0" t="s">
        <v>7633</v>
      </c>
      <c r="B127" s="0" t="s">
        <v>7628</v>
      </c>
      <c r="C127" s="0" t="s">
        <v>7634</v>
      </c>
      <c r="D127" s="0" t="s">
        <v>7635</v>
      </c>
      <c r="E127" s="0" t="s">
        <v>7107</v>
      </c>
      <c r="F127" s="0" t="s">
        <v>3516</v>
      </c>
      <c r="G127" s="0" t="s">
        <v>7636</v>
      </c>
      <c r="H127" s="5" t="s">
        <v>3320</v>
      </c>
      <c r="I127" s="0" t="s">
        <v>7637</v>
      </c>
      <c r="K127" s="0" t="s">
        <v>40</v>
      </c>
      <c r="L127" s="0" t="s">
        <v>7638</v>
      </c>
    </row>
    <row r="128" customFormat="false" ht="17.15" hidden="false" customHeight="false" outlineLevel="0" collapsed="false">
      <c r="A128" s="0" t="s">
        <v>7639</v>
      </c>
      <c r="B128" s="0" t="s">
        <v>7628</v>
      </c>
      <c r="C128" s="0" t="s">
        <v>7640</v>
      </c>
      <c r="D128" s="0" t="s">
        <v>7641</v>
      </c>
      <c r="E128" s="0" t="s">
        <v>7107</v>
      </c>
      <c r="F128" s="0" t="s">
        <v>7642</v>
      </c>
      <c r="G128" s="0" t="s">
        <v>7643</v>
      </c>
      <c r="H128" s="5" t="s">
        <v>3320</v>
      </c>
      <c r="K128" s="0" t="s">
        <v>40</v>
      </c>
      <c r="L128" s="0" t="s">
        <v>7644</v>
      </c>
    </row>
    <row r="129" customFormat="false" ht="17.15" hidden="false" customHeight="false" outlineLevel="0" collapsed="false">
      <c r="A129" s="0" t="s">
        <v>7645</v>
      </c>
      <c r="B129" s="0" t="s">
        <v>7628</v>
      </c>
      <c r="C129" s="0" t="s">
        <v>7646</v>
      </c>
      <c r="D129" s="0" t="s">
        <v>7433</v>
      </c>
      <c r="E129" s="0" t="s">
        <v>116</v>
      </c>
      <c r="F129" s="0" t="s">
        <v>3523</v>
      </c>
      <c r="G129" s="0" t="s">
        <v>7647</v>
      </c>
      <c r="H129" s="5" t="s">
        <v>3320</v>
      </c>
      <c r="J129" s="0" t="s">
        <v>7648</v>
      </c>
      <c r="K129" s="5" t="s">
        <v>7156</v>
      </c>
      <c r="L129" s="0" t="s">
        <v>7649</v>
      </c>
    </row>
    <row r="130" customFormat="false" ht="17.15" hidden="false" customHeight="false" outlineLevel="0" collapsed="false">
      <c r="A130" s="0" t="s">
        <v>7650</v>
      </c>
      <c r="B130" s="0" t="s">
        <v>7628</v>
      </c>
      <c r="C130" s="0" t="s">
        <v>7651</v>
      </c>
      <c r="D130" s="0" t="s">
        <v>7652</v>
      </c>
      <c r="E130" s="0" t="s">
        <v>116</v>
      </c>
      <c r="F130" s="0" t="s">
        <v>7653</v>
      </c>
      <c r="G130" s="0" t="s">
        <v>7654</v>
      </c>
      <c r="H130" s="5" t="s">
        <v>3320</v>
      </c>
      <c r="K130" s="0" t="s">
        <v>40</v>
      </c>
      <c r="L130" s="0" t="s">
        <v>7649</v>
      </c>
    </row>
    <row r="131" customFormat="false" ht="17.15" hidden="false" customHeight="false" outlineLevel="0" collapsed="false">
      <c r="A131" s="0" t="s">
        <v>7655</v>
      </c>
      <c r="B131" s="0" t="s">
        <v>7628</v>
      </c>
      <c r="C131" s="0" t="s">
        <v>7656</v>
      </c>
      <c r="D131" s="0" t="s">
        <v>7657</v>
      </c>
      <c r="E131" s="0" t="s">
        <v>116</v>
      </c>
      <c r="F131" s="0" t="s">
        <v>7658</v>
      </c>
      <c r="G131" s="0" t="s">
        <v>7659</v>
      </c>
      <c r="H131" s="5" t="s">
        <v>3320</v>
      </c>
      <c r="K131" s="0" t="s">
        <v>40</v>
      </c>
      <c r="L131" s="0" t="s">
        <v>7649</v>
      </c>
    </row>
    <row r="132" customFormat="false" ht="17.15" hidden="false" customHeight="false" outlineLevel="0" collapsed="false">
      <c r="A132" s="0" t="s">
        <v>7660</v>
      </c>
      <c r="B132" s="0" t="s">
        <v>7628</v>
      </c>
      <c r="C132" s="0" t="s">
        <v>7661</v>
      </c>
      <c r="D132" s="0" t="s">
        <v>7662</v>
      </c>
      <c r="E132" s="0" t="s">
        <v>116</v>
      </c>
      <c r="F132" s="0" t="s">
        <v>7663</v>
      </c>
      <c r="G132" s="0" t="s">
        <v>7659</v>
      </c>
      <c r="H132" s="5" t="s">
        <v>3320</v>
      </c>
      <c r="K132" s="0" t="s">
        <v>40</v>
      </c>
      <c r="L132" s="0" t="s">
        <v>7649</v>
      </c>
    </row>
    <row r="133" customFormat="false" ht="17.15" hidden="false" customHeight="false" outlineLevel="0" collapsed="false">
      <c r="A133" s="0" t="s">
        <v>7664</v>
      </c>
      <c r="B133" s="0" t="s">
        <v>7665</v>
      </c>
      <c r="C133" s="0" t="s">
        <v>7666</v>
      </c>
      <c r="D133" s="0" t="s">
        <v>7667</v>
      </c>
      <c r="E133" s="0" t="s">
        <v>116</v>
      </c>
      <c r="F133" s="0" t="s">
        <v>7668</v>
      </c>
      <c r="G133" s="0" t="s">
        <v>7659</v>
      </c>
      <c r="H133" s="5" t="s">
        <v>3320</v>
      </c>
      <c r="J133" s="0" t="s">
        <v>7669</v>
      </c>
      <c r="K133" s="5" t="s">
        <v>7156</v>
      </c>
      <c r="L133" s="0" t="s">
        <v>7649</v>
      </c>
    </row>
    <row r="134" customFormat="false" ht="17.15" hidden="false" customHeight="false" outlineLevel="0" collapsed="false">
      <c r="A134" s="0" t="s">
        <v>7670</v>
      </c>
      <c r="B134" s="0" t="s">
        <v>7665</v>
      </c>
      <c r="C134" s="0" t="s">
        <v>7671</v>
      </c>
      <c r="D134" s="0" t="s">
        <v>7672</v>
      </c>
      <c r="E134" s="0" t="s">
        <v>116</v>
      </c>
      <c r="F134" s="0" t="s">
        <v>7269</v>
      </c>
      <c r="G134" s="0" t="s">
        <v>7659</v>
      </c>
      <c r="H134" s="5" t="s">
        <v>3320</v>
      </c>
      <c r="J134" s="0" t="s">
        <v>7673</v>
      </c>
      <c r="K134" s="5" t="s">
        <v>7156</v>
      </c>
      <c r="L134" s="0" t="s">
        <v>7649</v>
      </c>
    </row>
    <row r="135" customFormat="false" ht="17.15" hidden="false" customHeight="false" outlineLevel="0" collapsed="false">
      <c r="A135" s="0" t="s">
        <v>7674</v>
      </c>
      <c r="B135" s="0" t="s">
        <v>7675</v>
      </c>
      <c r="C135" s="0" t="s">
        <v>7676</v>
      </c>
      <c r="D135" s="0" t="s">
        <v>7677</v>
      </c>
      <c r="E135" s="0" t="s">
        <v>116</v>
      </c>
      <c r="F135" s="0" t="s">
        <v>7678</v>
      </c>
      <c r="G135" s="0" t="s">
        <v>7679</v>
      </c>
      <c r="H135" s="5" t="s">
        <v>2117</v>
      </c>
      <c r="I135" s="5" t="s">
        <v>7680</v>
      </c>
      <c r="J135" s="0" t="s">
        <v>7681</v>
      </c>
      <c r="K135" s="5" t="s">
        <v>3313</v>
      </c>
      <c r="L135" s="0" t="s">
        <v>7682</v>
      </c>
    </row>
    <row r="136" customFormat="false" ht="17.15" hidden="false" customHeight="false" outlineLevel="0" collapsed="false">
      <c r="A136" s="0" t="s">
        <v>7683</v>
      </c>
      <c r="B136" s="0" t="s">
        <v>7684</v>
      </c>
      <c r="C136" s="0" t="s">
        <v>7685</v>
      </c>
      <c r="D136" s="0" t="s">
        <v>7686</v>
      </c>
      <c r="E136" s="0" t="s">
        <v>7107</v>
      </c>
      <c r="F136" s="0" t="s">
        <v>3392</v>
      </c>
      <c r="G136" s="0" t="s">
        <v>7687</v>
      </c>
      <c r="H136" s="5" t="s">
        <v>3320</v>
      </c>
      <c r="K136" s="0" t="s">
        <v>40</v>
      </c>
      <c r="L136" s="0" t="s">
        <v>7688</v>
      </c>
    </row>
    <row r="137" customFormat="false" ht="17.15" hidden="false" customHeight="false" outlineLevel="0" collapsed="false">
      <c r="A137" s="0" t="s">
        <v>7689</v>
      </c>
      <c r="B137" s="0" t="s">
        <v>7684</v>
      </c>
      <c r="C137" s="0" t="s">
        <v>7690</v>
      </c>
      <c r="D137" s="0" t="s">
        <v>7691</v>
      </c>
      <c r="E137" s="0" t="s">
        <v>116</v>
      </c>
      <c r="F137" s="0" t="s">
        <v>7164</v>
      </c>
      <c r="G137" s="0" t="s">
        <v>7659</v>
      </c>
      <c r="H137" s="5" t="s">
        <v>3320</v>
      </c>
      <c r="K137" s="0" t="s">
        <v>40</v>
      </c>
      <c r="L137" s="0" t="s">
        <v>7649</v>
      </c>
    </row>
    <row r="138" customFormat="false" ht="17.15" hidden="false" customHeight="false" outlineLevel="0" collapsed="false">
      <c r="A138" s="0" t="s">
        <v>7692</v>
      </c>
      <c r="B138" s="0" t="s">
        <v>7684</v>
      </c>
      <c r="C138" s="0" t="s">
        <v>7693</v>
      </c>
      <c r="D138" s="0" t="s">
        <v>7694</v>
      </c>
      <c r="E138" s="0" t="s">
        <v>116</v>
      </c>
      <c r="F138" s="0" t="s">
        <v>7695</v>
      </c>
      <c r="G138" s="0" t="s">
        <v>7654</v>
      </c>
      <c r="H138" s="5" t="s">
        <v>3320</v>
      </c>
      <c r="K138" s="0" t="s">
        <v>40</v>
      </c>
      <c r="L138" s="0" t="s">
        <v>7649</v>
      </c>
    </row>
    <row r="139" customFormat="false" ht="17.15" hidden="false" customHeight="false" outlineLevel="0" collapsed="false">
      <c r="A139" s="0" t="s">
        <v>7696</v>
      </c>
      <c r="B139" s="0" t="s">
        <v>7697</v>
      </c>
      <c r="C139" s="0" t="s">
        <v>7698</v>
      </c>
      <c r="D139" s="0" t="s">
        <v>7188</v>
      </c>
      <c r="E139" s="0" t="s">
        <v>7107</v>
      </c>
      <c r="F139" s="0" t="s">
        <v>7699</v>
      </c>
      <c r="G139" s="0" t="s">
        <v>7700</v>
      </c>
      <c r="H139" s="5" t="s">
        <v>3320</v>
      </c>
      <c r="I139" s="0" t="s">
        <v>7701</v>
      </c>
      <c r="K139" s="0" t="s">
        <v>40</v>
      </c>
      <c r="L139" s="0" t="s">
        <v>7638</v>
      </c>
    </row>
    <row r="140" customFormat="false" ht="17.15" hidden="false" customHeight="false" outlineLevel="0" collapsed="false">
      <c r="A140" s="0" t="s">
        <v>7702</v>
      </c>
      <c r="B140" s="0" t="s">
        <v>7703</v>
      </c>
      <c r="C140" s="0" t="s">
        <v>7704</v>
      </c>
      <c r="D140" s="0" t="s">
        <v>7188</v>
      </c>
      <c r="E140" s="0" t="s">
        <v>7107</v>
      </c>
      <c r="F140" s="0" t="s">
        <v>7315</v>
      </c>
      <c r="G140" s="0" t="s">
        <v>7705</v>
      </c>
      <c r="H140" s="5" t="s">
        <v>3320</v>
      </c>
      <c r="K140" s="0" t="s">
        <v>40</v>
      </c>
      <c r="L140" s="0" t="s">
        <v>7316</v>
      </c>
    </row>
    <row r="141" customFormat="false" ht="17.15" hidden="false" customHeight="false" outlineLevel="0" collapsed="false">
      <c r="A141" s="0" t="s">
        <v>7706</v>
      </c>
      <c r="B141" s="0" t="s">
        <v>7703</v>
      </c>
      <c r="C141" s="0" t="s">
        <v>7707</v>
      </c>
      <c r="D141" s="0" t="s">
        <v>7708</v>
      </c>
      <c r="E141" s="0" t="s">
        <v>7107</v>
      </c>
      <c r="F141" s="0" t="s">
        <v>7709</v>
      </c>
      <c r="G141" s="0" t="s">
        <v>7710</v>
      </c>
      <c r="H141" s="5" t="s">
        <v>2097</v>
      </c>
      <c r="K141" s="0" t="s">
        <v>40</v>
      </c>
      <c r="L141" s="0" t="s">
        <v>7711</v>
      </c>
    </row>
    <row r="142" customFormat="false" ht="17.15" hidden="false" customHeight="false" outlineLevel="0" collapsed="false">
      <c r="A142" s="0" t="s">
        <v>7712</v>
      </c>
      <c r="B142" s="0" t="s">
        <v>7713</v>
      </c>
      <c r="C142" s="0" t="s">
        <v>7714</v>
      </c>
      <c r="D142" s="0" t="s">
        <v>7715</v>
      </c>
      <c r="E142" s="0" t="s">
        <v>7107</v>
      </c>
      <c r="F142" s="0" t="s">
        <v>7709</v>
      </c>
      <c r="G142" s="0" t="s">
        <v>7716</v>
      </c>
      <c r="H142" s="5" t="s">
        <v>2097</v>
      </c>
      <c r="K142" s="0" t="s">
        <v>40</v>
      </c>
      <c r="L142" s="0" t="s">
        <v>7711</v>
      </c>
    </row>
    <row r="143" customFormat="false" ht="17.15" hidden="false" customHeight="false" outlineLevel="0" collapsed="false">
      <c r="A143" s="0" t="s">
        <v>7717</v>
      </c>
      <c r="B143" s="0" t="s">
        <v>7718</v>
      </c>
      <c r="C143" s="0" t="s">
        <v>7719</v>
      </c>
      <c r="D143" s="0" t="s">
        <v>7720</v>
      </c>
      <c r="E143" s="0" t="s">
        <v>7107</v>
      </c>
      <c r="F143" s="0" t="s">
        <v>3808</v>
      </c>
      <c r="G143" s="0" t="s">
        <v>7721</v>
      </c>
      <c r="H143" s="5" t="s">
        <v>2097</v>
      </c>
      <c r="K143" s="0" t="s">
        <v>40</v>
      </c>
      <c r="L143" s="0" t="s">
        <v>7722</v>
      </c>
    </row>
    <row r="144" customFormat="false" ht="17.15" hidden="false" customHeight="false" outlineLevel="0" collapsed="false">
      <c r="A144" s="0" t="s">
        <v>7723</v>
      </c>
      <c r="B144" s="0" t="s">
        <v>7724</v>
      </c>
      <c r="C144" s="0" t="s">
        <v>7725</v>
      </c>
      <c r="D144" s="0" t="s">
        <v>7604</v>
      </c>
      <c r="E144" s="0" t="s">
        <v>7107</v>
      </c>
      <c r="F144" s="0" t="s">
        <v>7726</v>
      </c>
      <c r="G144" s="0" t="s">
        <v>7727</v>
      </c>
      <c r="H144" s="5" t="s">
        <v>3320</v>
      </c>
      <c r="K144" s="0" t="s">
        <v>40</v>
      </c>
      <c r="L144" s="0" t="s">
        <v>7728</v>
      </c>
    </row>
    <row r="145" customFormat="false" ht="17.15" hidden="false" customHeight="false" outlineLevel="0" collapsed="false">
      <c r="A145" s="0" t="s">
        <v>7729</v>
      </c>
      <c r="B145" s="0" t="s">
        <v>7730</v>
      </c>
      <c r="C145" s="0" t="s">
        <v>7731</v>
      </c>
      <c r="D145" s="0" t="s">
        <v>7732</v>
      </c>
      <c r="E145" s="0" t="s">
        <v>7733</v>
      </c>
      <c r="F145" s="0" t="s">
        <v>7421</v>
      </c>
      <c r="G145" s="0" t="s">
        <v>7734</v>
      </c>
      <c r="H145" s="5" t="s">
        <v>3320</v>
      </c>
      <c r="J145" s="0" t="s">
        <v>895</v>
      </c>
      <c r="K145" s="5" t="s">
        <v>7240</v>
      </c>
      <c r="L145" s="0" t="s">
        <v>7735</v>
      </c>
    </row>
    <row r="146" customFormat="false" ht="17.15" hidden="false" customHeight="false" outlineLevel="0" collapsed="false">
      <c r="A146" s="0" t="s">
        <v>7736</v>
      </c>
      <c r="B146" s="0" t="s">
        <v>7737</v>
      </c>
      <c r="C146" s="0" t="s">
        <v>7738</v>
      </c>
      <c r="D146" s="0" t="s">
        <v>7739</v>
      </c>
      <c r="E146" s="0" t="s">
        <v>7107</v>
      </c>
      <c r="F146" s="0" t="s">
        <v>7740</v>
      </c>
      <c r="G146" s="0" t="s">
        <v>7741</v>
      </c>
      <c r="H146" s="5" t="s">
        <v>3320</v>
      </c>
      <c r="I146" s="0" t="s">
        <v>7742</v>
      </c>
      <c r="J146" s="0" t="s">
        <v>898</v>
      </c>
      <c r="K146" s="5" t="s">
        <v>7156</v>
      </c>
      <c r="L146" s="0" t="s">
        <v>7743</v>
      </c>
    </row>
    <row r="147" customFormat="false" ht="17.15" hidden="false" customHeight="false" outlineLevel="0" collapsed="false">
      <c r="A147" s="0" t="s">
        <v>7744</v>
      </c>
      <c r="B147" s="0" t="s">
        <v>1682</v>
      </c>
      <c r="C147" s="0" t="s">
        <v>7745</v>
      </c>
      <c r="D147" s="0" t="s">
        <v>7635</v>
      </c>
      <c r="E147" s="0" t="s">
        <v>7107</v>
      </c>
      <c r="F147" s="0" t="s">
        <v>7746</v>
      </c>
      <c r="G147" s="0" t="s">
        <v>7747</v>
      </c>
      <c r="H147" s="5" t="s">
        <v>3320</v>
      </c>
      <c r="K147" s="0" t="s">
        <v>40</v>
      </c>
      <c r="L147" s="0" t="s">
        <v>7748</v>
      </c>
    </row>
    <row r="148" customFormat="false" ht="17.15" hidden="false" customHeight="false" outlineLevel="0" collapsed="false">
      <c r="A148" s="0" t="s">
        <v>7749</v>
      </c>
      <c r="B148" s="0" t="s">
        <v>7750</v>
      </c>
      <c r="C148" s="0" t="s">
        <v>7751</v>
      </c>
      <c r="D148" s="0" t="s">
        <v>7752</v>
      </c>
      <c r="E148" s="0" t="s">
        <v>7107</v>
      </c>
      <c r="F148" s="0" t="s">
        <v>7226</v>
      </c>
      <c r="G148" s="0" t="s">
        <v>7753</v>
      </c>
      <c r="H148" s="5" t="s">
        <v>2097</v>
      </c>
      <c r="K148" s="0" t="s">
        <v>40</v>
      </c>
      <c r="L148" s="0" t="s">
        <v>7229</v>
      </c>
    </row>
    <row r="149" customFormat="false" ht="17.15" hidden="false" customHeight="false" outlineLevel="0" collapsed="false">
      <c r="A149" s="12" t="s">
        <v>7754</v>
      </c>
      <c r="B149" s="12" t="s">
        <v>7755</v>
      </c>
      <c r="C149" s="12" t="s">
        <v>7756</v>
      </c>
      <c r="D149" s="12" t="s">
        <v>7757</v>
      </c>
      <c r="E149" s="12" t="s">
        <v>7107</v>
      </c>
      <c r="F149" s="12" t="s">
        <v>7233</v>
      </c>
      <c r="G149" s="12" t="s">
        <v>7234</v>
      </c>
      <c r="H149" s="13" t="s">
        <v>3347</v>
      </c>
      <c r="I149" s="13" t="s">
        <v>7758</v>
      </c>
      <c r="J149" s="12"/>
      <c r="K149" s="12" t="s">
        <v>40</v>
      </c>
      <c r="L149" s="12" t="s">
        <v>7236</v>
      </c>
    </row>
    <row r="150" customFormat="false" ht="17.15" hidden="false" customHeight="false" outlineLevel="0" collapsed="false">
      <c r="A150" s="0" t="s">
        <v>7759</v>
      </c>
      <c r="B150" s="0" t="s">
        <v>7760</v>
      </c>
      <c r="C150" s="0" t="s">
        <v>7761</v>
      </c>
      <c r="D150" s="0" t="s">
        <v>7762</v>
      </c>
      <c r="E150" s="0" t="s">
        <v>116</v>
      </c>
      <c r="F150" s="0" t="s">
        <v>7763</v>
      </c>
      <c r="G150" s="0" t="s">
        <v>7659</v>
      </c>
      <c r="H150" s="5" t="s">
        <v>3320</v>
      </c>
      <c r="K150" s="0" t="s">
        <v>40</v>
      </c>
      <c r="L150" s="0" t="s">
        <v>7764</v>
      </c>
    </row>
    <row r="151" customFormat="false" ht="17.15" hidden="false" customHeight="false" outlineLevel="0" collapsed="false">
      <c r="A151" s="0" t="s">
        <v>7765</v>
      </c>
      <c r="B151" s="0" t="s">
        <v>7760</v>
      </c>
      <c r="C151" s="0" t="s">
        <v>7766</v>
      </c>
      <c r="D151" s="0" t="s">
        <v>7715</v>
      </c>
      <c r="E151" s="0" t="s">
        <v>7107</v>
      </c>
      <c r="F151" s="0" t="s">
        <v>7306</v>
      </c>
      <c r="G151" s="0" t="s">
        <v>7767</v>
      </c>
      <c r="H151" s="5" t="s">
        <v>3320</v>
      </c>
      <c r="K151" s="0" t="s">
        <v>40</v>
      </c>
      <c r="L151" s="0" t="s">
        <v>7768</v>
      </c>
    </row>
    <row r="152" customFormat="false" ht="17.15" hidden="false" customHeight="false" outlineLevel="0" collapsed="false">
      <c r="A152" s="0" t="s">
        <v>7769</v>
      </c>
      <c r="B152" s="0" t="s">
        <v>7770</v>
      </c>
      <c r="C152" s="0" t="s">
        <v>7771</v>
      </c>
      <c r="D152" s="0" t="s">
        <v>7772</v>
      </c>
      <c r="E152" s="0" t="s">
        <v>7107</v>
      </c>
      <c r="F152" s="0" t="s">
        <v>3837</v>
      </c>
      <c r="G152" s="0" t="s">
        <v>7773</v>
      </c>
      <c r="H152" s="5" t="s">
        <v>2097</v>
      </c>
      <c r="I152" s="0" t="s">
        <v>7774</v>
      </c>
      <c r="J152" s="0" t="s">
        <v>205</v>
      </c>
      <c r="K152" s="5" t="s">
        <v>3313</v>
      </c>
      <c r="L152" s="0" t="s">
        <v>3839</v>
      </c>
    </row>
    <row r="153" customFormat="false" ht="17.15" hidden="false" customHeight="false" outlineLevel="0" collapsed="false">
      <c r="A153" s="12" t="s">
        <v>7775</v>
      </c>
      <c r="B153" s="12" t="s">
        <v>7776</v>
      </c>
      <c r="C153" s="12" t="s">
        <v>7777</v>
      </c>
      <c r="D153" s="12" t="s">
        <v>7778</v>
      </c>
      <c r="E153" s="12" t="s">
        <v>7107</v>
      </c>
      <c r="F153" s="12" t="s">
        <v>7779</v>
      </c>
      <c r="G153" s="12" t="s">
        <v>7780</v>
      </c>
      <c r="H153" s="13" t="s">
        <v>3347</v>
      </c>
      <c r="I153" s="12" t="s">
        <v>7781</v>
      </c>
      <c r="J153" s="12" t="s">
        <v>754</v>
      </c>
      <c r="K153" s="13" t="s">
        <v>7156</v>
      </c>
      <c r="L153" s="12" t="s">
        <v>7782</v>
      </c>
    </row>
    <row r="154" customFormat="false" ht="17.15" hidden="false" customHeight="false" outlineLevel="0" collapsed="false">
      <c r="A154" s="0" t="s">
        <v>7783</v>
      </c>
      <c r="B154" s="0" t="s">
        <v>7784</v>
      </c>
      <c r="C154" s="0" t="s">
        <v>7785</v>
      </c>
      <c r="D154" s="0" t="s">
        <v>7786</v>
      </c>
      <c r="E154" s="0" t="s">
        <v>7107</v>
      </c>
      <c r="F154" s="0" t="s">
        <v>7787</v>
      </c>
      <c r="G154" s="0" t="s">
        <v>146</v>
      </c>
      <c r="H154" s="5" t="s">
        <v>3320</v>
      </c>
      <c r="J154" s="0" t="s">
        <v>907</v>
      </c>
      <c r="K154" s="5" t="s">
        <v>7240</v>
      </c>
      <c r="L154" s="0" t="s">
        <v>7788</v>
      </c>
    </row>
    <row r="155" customFormat="false" ht="17.15" hidden="false" customHeight="false" outlineLevel="0" collapsed="false">
      <c r="A155" s="0" t="s">
        <v>7789</v>
      </c>
      <c r="B155" s="0" t="s">
        <v>7790</v>
      </c>
      <c r="C155" s="0" t="s">
        <v>7791</v>
      </c>
      <c r="D155" s="0" t="s">
        <v>7792</v>
      </c>
      <c r="E155" s="0" t="s">
        <v>116</v>
      </c>
      <c r="F155" s="0" t="s">
        <v>7793</v>
      </c>
      <c r="G155" s="0" t="s">
        <v>7794</v>
      </c>
      <c r="H155" s="5" t="s">
        <v>2117</v>
      </c>
      <c r="I155" s="5" t="s">
        <v>7795</v>
      </c>
      <c r="J155" s="0" t="s">
        <v>7577</v>
      </c>
      <c r="K155" s="5" t="s">
        <v>3313</v>
      </c>
      <c r="L155" s="0" t="s">
        <v>7578</v>
      </c>
    </row>
    <row r="156" customFormat="false" ht="17.15" hidden="false" customHeight="false" outlineLevel="0" collapsed="false">
      <c r="A156" s="0" t="s">
        <v>7796</v>
      </c>
      <c r="B156" s="0" t="s">
        <v>7797</v>
      </c>
      <c r="C156" s="0" t="s">
        <v>7798</v>
      </c>
      <c r="D156" s="0" t="s">
        <v>7799</v>
      </c>
      <c r="E156" s="0" t="s">
        <v>7107</v>
      </c>
      <c r="F156" s="0" t="s">
        <v>7459</v>
      </c>
      <c r="G156" s="0" t="s">
        <v>7747</v>
      </c>
      <c r="H156" s="5" t="s">
        <v>3320</v>
      </c>
      <c r="I156" s="0" t="s">
        <v>7800</v>
      </c>
      <c r="K156" s="0" t="s">
        <v>40</v>
      </c>
      <c r="L156" s="0" t="s">
        <v>7801</v>
      </c>
    </row>
    <row r="157" customFormat="false" ht="17.15" hidden="false" customHeight="false" outlineLevel="0" collapsed="false">
      <c r="A157" s="0" t="s">
        <v>7802</v>
      </c>
      <c r="B157" s="0" t="s">
        <v>7803</v>
      </c>
      <c r="C157" s="0" t="s">
        <v>7804</v>
      </c>
      <c r="D157" s="0" t="s">
        <v>7805</v>
      </c>
      <c r="E157" s="0" t="s">
        <v>7107</v>
      </c>
      <c r="F157" s="0" t="s">
        <v>7534</v>
      </c>
      <c r="G157" s="0" t="s">
        <v>7806</v>
      </c>
      <c r="H157" s="5" t="s">
        <v>3320</v>
      </c>
      <c r="K157" s="0" t="s">
        <v>40</v>
      </c>
      <c r="L157" s="0" t="s">
        <v>7807</v>
      </c>
    </row>
    <row r="158" customFormat="false" ht="17.15" hidden="false" customHeight="false" outlineLevel="0" collapsed="false">
      <c r="A158" s="0" t="s">
        <v>7808</v>
      </c>
      <c r="B158" s="0" t="s">
        <v>7809</v>
      </c>
      <c r="C158" s="0" t="s">
        <v>7810</v>
      </c>
      <c r="D158" s="0" t="s">
        <v>7811</v>
      </c>
      <c r="E158" s="0" t="s">
        <v>7107</v>
      </c>
      <c r="F158" s="0" t="s">
        <v>7560</v>
      </c>
      <c r="G158" s="0" t="s">
        <v>7812</v>
      </c>
      <c r="H158" s="5" t="s">
        <v>3320</v>
      </c>
      <c r="K158" s="0" t="s">
        <v>40</v>
      </c>
      <c r="L158" s="0" t="s">
        <v>7813</v>
      </c>
    </row>
    <row r="159" customFormat="false" ht="17.15" hidden="false" customHeight="false" outlineLevel="0" collapsed="false">
      <c r="A159" s="0" t="s">
        <v>7814</v>
      </c>
      <c r="B159" s="0" t="s">
        <v>7815</v>
      </c>
      <c r="C159" s="0" t="s">
        <v>7816</v>
      </c>
      <c r="D159" s="0" t="s">
        <v>7817</v>
      </c>
      <c r="E159" s="0" t="s">
        <v>7107</v>
      </c>
      <c r="F159" s="0" t="s">
        <v>7793</v>
      </c>
      <c r="G159" s="0" t="s">
        <v>146</v>
      </c>
      <c r="H159" s="5" t="s">
        <v>3320</v>
      </c>
      <c r="K159" s="0" t="s">
        <v>40</v>
      </c>
      <c r="L159" s="0" t="s">
        <v>7818</v>
      </c>
    </row>
    <row r="160" customFormat="false" ht="17.15" hidden="false" customHeight="false" outlineLevel="0" collapsed="false">
      <c r="A160" s="0" t="s">
        <v>7819</v>
      </c>
      <c r="B160" s="0" t="s">
        <v>7820</v>
      </c>
      <c r="C160" s="0" t="s">
        <v>7821</v>
      </c>
      <c r="D160" s="0" t="s">
        <v>7239</v>
      </c>
      <c r="E160" s="0" t="s">
        <v>7107</v>
      </c>
      <c r="F160" s="0" t="s">
        <v>7178</v>
      </c>
      <c r="G160" s="0" t="s">
        <v>7822</v>
      </c>
      <c r="H160" s="5" t="s">
        <v>3320</v>
      </c>
      <c r="J160" s="0" t="s">
        <v>904</v>
      </c>
      <c r="K160" s="5" t="s">
        <v>7240</v>
      </c>
      <c r="L160" s="0" t="s">
        <v>7823</v>
      </c>
    </row>
    <row r="161" customFormat="false" ht="17.15" hidden="false" customHeight="false" outlineLevel="0" collapsed="false">
      <c r="A161" s="0" t="s">
        <v>7824</v>
      </c>
      <c r="B161" s="0" t="s">
        <v>7825</v>
      </c>
      <c r="C161" s="0" t="s">
        <v>7826</v>
      </c>
      <c r="D161" s="0" t="s">
        <v>7708</v>
      </c>
      <c r="E161" s="0" t="s">
        <v>7107</v>
      </c>
      <c r="F161" s="0" t="s">
        <v>7255</v>
      </c>
      <c r="G161" s="0" t="s">
        <v>7827</v>
      </c>
      <c r="H161" s="5" t="s">
        <v>3320</v>
      </c>
      <c r="K161" s="0" t="s">
        <v>40</v>
      </c>
      <c r="L161" s="0" t="s">
        <v>7828</v>
      </c>
    </row>
    <row r="162" customFormat="false" ht="17.15" hidden="false" customHeight="false" outlineLevel="0" collapsed="false">
      <c r="A162" s="0" t="s">
        <v>7829</v>
      </c>
      <c r="B162" s="0" t="s">
        <v>7830</v>
      </c>
      <c r="C162" s="0" t="s">
        <v>7831</v>
      </c>
      <c r="D162" s="0" t="s">
        <v>7188</v>
      </c>
      <c r="E162" s="0" t="s">
        <v>7107</v>
      </c>
      <c r="F162" s="0" t="s">
        <v>7832</v>
      </c>
      <c r="G162" s="0" t="s">
        <v>7833</v>
      </c>
      <c r="H162" s="5" t="s">
        <v>3320</v>
      </c>
      <c r="K162" s="0" t="s">
        <v>40</v>
      </c>
      <c r="L162" s="0" t="s">
        <v>7834</v>
      </c>
    </row>
    <row r="163" customFormat="false" ht="17.15" hidden="false" customHeight="false" outlineLevel="0" collapsed="false">
      <c r="A163" s="0" t="s">
        <v>7835</v>
      </c>
      <c r="B163" s="0" t="s">
        <v>1683</v>
      </c>
      <c r="C163" s="0" t="s">
        <v>7836</v>
      </c>
      <c r="D163" s="0" t="s">
        <v>7837</v>
      </c>
      <c r="E163" s="0" t="s">
        <v>7107</v>
      </c>
      <c r="F163" s="0" t="s">
        <v>7838</v>
      </c>
      <c r="G163" s="0" t="s">
        <v>7839</v>
      </c>
      <c r="H163" s="5" t="s">
        <v>2097</v>
      </c>
      <c r="K163" s="0" t="s">
        <v>40</v>
      </c>
      <c r="L163" s="0" t="s">
        <v>7840</v>
      </c>
    </row>
    <row r="164" customFormat="false" ht="17.15" hidden="false" customHeight="false" outlineLevel="0" collapsed="false">
      <c r="A164" s="0" t="s">
        <v>7841</v>
      </c>
      <c r="B164" s="0" t="s">
        <v>1683</v>
      </c>
      <c r="C164" s="0" t="s">
        <v>7842</v>
      </c>
      <c r="D164" s="0" t="s">
        <v>7715</v>
      </c>
      <c r="E164" s="0" t="s">
        <v>7107</v>
      </c>
      <c r="F164" s="0" t="s">
        <v>7843</v>
      </c>
      <c r="G164" s="0" t="s">
        <v>7844</v>
      </c>
      <c r="H164" s="5" t="s">
        <v>2097</v>
      </c>
      <c r="J164" s="0" t="s">
        <v>476</v>
      </c>
      <c r="K164" s="5" t="s">
        <v>3313</v>
      </c>
      <c r="L164" s="0" t="s">
        <v>7845</v>
      </c>
    </row>
    <row r="165" customFormat="false" ht="17.15" hidden="false" customHeight="false" outlineLevel="0" collapsed="false">
      <c r="A165" s="0" t="s">
        <v>7846</v>
      </c>
      <c r="B165" s="0" t="s">
        <v>7847</v>
      </c>
      <c r="C165" s="0" t="s">
        <v>7848</v>
      </c>
      <c r="D165" s="0" t="s">
        <v>7849</v>
      </c>
      <c r="E165" s="0" t="s">
        <v>7850</v>
      </c>
      <c r="F165" s="0" t="s">
        <v>124</v>
      </c>
      <c r="G165" s="0" t="s">
        <v>7851</v>
      </c>
      <c r="H165" s="5" t="s">
        <v>2097</v>
      </c>
      <c r="J165" s="0" t="s">
        <v>7852</v>
      </c>
      <c r="K165" s="5" t="s">
        <v>3313</v>
      </c>
      <c r="L165" s="0" t="s">
        <v>7853</v>
      </c>
    </row>
    <row r="166" customFormat="false" ht="17.15" hidden="false" customHeight="false" outlineLevel="0" collapsed="false">
      <c r="A166" s="0" t="s">
        <v>7854</v>
      </c>
      <c r="B166" s="0" t="s">
        <v>7847</v>
      </c>
      <c r="C166" s="0" t="s">
        <v>7855</v>
      </c>
      <c r="D166" s="0" t="s">
        <v>7856</v>
      </c>
      <c r="E166" s="0" t="s">
        <v>116</v>
      </c>
      <c r="F166" s="0" t="s">
        <v>7857</v>
      </c>
      <c r="G166" s="0" t="s">
        <v>7659</v>
      </c>
      <c r="H166" s="5" t="s">
        <v>2117</v>
      </c>
      <c r="I166" s="0" t="s">
        <v>7858</v>
      </c>
      <c r="J166" s="0" t="s">
        <v>7859</v>
      </c>
      <c r="K166" s="5" t="s">
        <v>3313</v>
      </c>
      <c r="L166" s="0" t="s">
        <v>7860</v>
      </c>
    </row>
    <row r="167" customFormat="false" ht="17.15" hidden="false" customHeight="false" outlineLevel="0" collapsed="false">
      <c r="A167" s="0" t="s">
        <v>7861</v>
      </c>
      <c r="B167" s="0" t="s">
        <v>7847</v>
      </c>
      <c r="C167" s="0" t="s">
        <v>7862</v>
      </c>
      <c r="D167" s="0" t="s">
        <v>7493</v>
      </c>
      <c r="E167" s="0" t="s">
        <v>7107</v>
      </c>
      <c r="F167" s="0" t="s">
        <v>3594</v>
      </c>
      <c r="G167" s="0" t="s">
        <v>7863</v>
      </c>
      <c r="H167" s="5" t="s">
        <v>2097</v>
      </c>
      <c r="K167" s="0" t="s">
        <v>40</v>
      </c>
      <c r="L167" s="0" t="s">
        <v>7782</v>
      </c>
    </row>
    <row r="168" customFormat="false" ht="17.15" hidden="false" customHeight="false" outlineLevel="0" collapsed="false">
      <c r="A168" s="0" t="s">
        <v>7864</v>
      </c>
      <c r="B168" s="0" t="s">
        <v>7865</v>
      </c>
      <c r="C168" s="0" t="s">
        <v>7866</v>
      </c>
      <c r="D168" s="0" t="s">
        <v>7188</v>
      </c>
      <c r="E168" s="0" t="s">
        <v>7107</v>
      </c>
      <c r="F168" s="0" t="s">
        <v>7867</v>
      </c>
      <c r="G168" s="0" t="s">
        <v>7868</v>
      </c>
      <c r="H168" s="5" t="s">
        <v>2097</v>
      </c>
      <c r="J168" s="0" t="s">
        <v>754</v>
      </c>
      <c r="K168" s="5" t="s">
        <v>3313</v>
      </c>
      <c r="L168" s="0" t="s">
        <v>7869</v>
      </c>
    </row>
    <row r="169" customFormat="false" ht="17.15" hidden="false" customHeight="false" outlineLevel="0" collapsed="false">
      <c r="A169" s="0" t="s">
        <v>7870</v>
      </c>
      <c r="B169" s="5" t="s">
        <v>7871</v>
      </c>
      <c r="C169" s="5" t="s">
        <v>7872</v>
      </c>
      <c r="D169" s="0" t="s">
        <v>7873</v>
      </c>
      <c r="E169" s="0" t="s">
        <v>7107</v>
      </c>
      <c r="F169" s="0" t="s">
        <v>124</v>
      </c>
      <c r="G169" s="0" t="s">
        <v>7874</v>
      </c>
      <c r="H169" s="5" t="s">
        <v>3320</v>
      </c>
      <c r="K169" s="0" t="s">
        <v>40</v>
      </c>
      <c r="L169" s="0" t="s">
        <v>7875</v>
      </c>
    </row>
    <row r="170" customFormat="false" ht="17.15" hidden="false" customHeight="false" outlineLevel="0" collapsed="false">
      <c r="A170" s="0" t="s">
        <v>7876</v>
      </c>
      <c r="B170" s="5" t="s">
        <v>7871</v>
      </c>
      <c r="C170" s="5" t="s">
        <v>7877</v>
      </c>
      <c r="D170" s="0" t="s">
        <v>7878</v>
      </c>
      <c r="E170" s="0" t="s">
        <v>7107</v>
      </c>
      <c r="F170" s="0" t="s">
        <v>3703</v>
      </c>
      <c r="G170" s="0" t="s">
        <v>7879</v>
      </c>
      <c r="H170" s="5" t="s">
        <v>2097</v>
      </c>
      <c r="J170" s="0" t="s">
        <v>7880</v>
      </c>
      <c r="K170" s="5" t="s">
        <v>3313</v>
      </c>
      <c r="L170" s="0" t="s">
        <v>7881</v>
      </c>
    </row>
    <row r="171" customFormat="false" ht="17.15" hidden="false" customHeight="false" outlineLevel="0" collapsed="false">
      <c r="A171" s="0" t="s">
        <v>7882</v>
      </c>
      <c r="B171" s="5" t="s">
        <v>7883</v>
      </c>
      <c r="C171" s="5" t="s">
        <v>7884</v>
      </c>
      <c r="D171" s="0" t="s">
        <v>7885</v>
      </c>
      <c r="E171" s="0" t="s">
        <v>7107</v>
      </c>
      <c r="F171" s="0" t="s">
        <v>7886</v>
      </c>
      <c r="G171" s="0" t="s">
        <v>7887</v>
      </c>
      <c r="H171" s="5" t="s">
        <v>3320</v>
      </c>
      <c r="K171" s="0" t="s">
        <v>40</v>
      </c>
      <c r="L171" s="0" t="s">
        <v>7888</v>
      </c>
    </row>
    <row r="172" customFormat="false" ht="17.15" hidden="false" customHeight="false" outlineLevel="0" collapsed="false">
      <c r="A172" s="0" t="s">
        <v>7889</v>
      </c>
      <c r="B172" s="5" t="s">
        <v>7890</v>
      </c>
      <c r="C172" s="5" t="s">
        <v>7891</v>
      </c>
      <c r="D172" s="0" t="s">
        <v>7892</v>
      </c>
      <c r="E172" s="0" t="s">
        <v>7107</v>
      </c>
      <c r="F172" s="0" t="s">
        <v>124</v>
      </c>
      <c r="G172" s="0" t="s">
        <v>7893</v>
      </c>
      <c r="H172" s="5" t="s">
        <v>3320</v>
      </c>
      <c r="K172" s="0" t="s">
        <v>40</v>
      </c>
      <c r="L172" s="0" t="s">
        <v>7894</v>
      </c>
    </row>
    <row r="173" customFormat="false" ht="17.15" hidden="false" customHeight="false" outlineLevel="0" collapsed="false">
      <c r="A173" s="0" t="s">
        <v>7895</v>
      </c>
      <c r="B173" s="5" t="s">
        <v>7896</v>
      </c>
      <c r="C173" s="5" t="s">
        <v>7897</v>
      </c>
      <c r="D173" s="0" t="s">
        <v>7898</v>
      </c>
      <c r="E173" s="0" t="s">
        <v>7107</v>
      </c>
      <c r="F173" s="0" t="s">
        <v>124</v>
      </c>
      <c r="G173" s="0" t="s">
        <v>7899</v>
      </c>
      <c r="H173" s="5" t="s">
        <v>3320</v>
      </c>
      <c r="K173" s="0" t="s">
        <v>40</v>
      </c>
      <c r="L173" s="0" t="s">
        <v>7900</v>
      </c>
    </row>
    <row r="174" customFormat="false" ht="17.15" hidden="false" customHeight="false" outlineLevel="0" collapsed="false">
      <c r="A174" s="0" t="s">
        <v>7901</v>
      </c>
      <c r="B174" s="5" t="s">
        <v>7902</v>
      </c>
      <c r="C174" s="5" t="s">
        <v>7903</v>
      </c>
      <c r="D174" s="0" t="s">
        <v>7904</v>
      </c>
      <c r="E174" s="0" t="s">
        <v>7107</v>
      </c>
      <c r="F174" s="0" t="s">
        <v>7178</v>
      </c>
      <c r="G174" s="0" t="s">
        <v>7905</v>
      </c>
      <c r="H174" s="5" t="s">
        <v>3320</v>
      </c>
      <c r="K174" s="0" t="s">
        <v>40</v>
      </c>
      <c r="L174" s="0" t="s">
        <v>7906</v>
      </c>
    </row>
    <row r="175" customFormat="false" ht="17.15" hidden="false" customHeight="false" outlineLevel="0" collapsed="false">
      <c r="A175" s="0" t="s">
        <v>7907</v>
      </c>
      <c r="B175" s="5" t="s">
        <v>7908</v>
      </c>
      <c r="C175" s="5" t="s">
        <v>7909</v>
      </c>
      <c r="D175" s="0" t="s">
        <v>7910</v>
      </c>
      <c r="E175" s="0" t="s">
        <v>7911</v>
      </c>
      <c r="F175" s="0" t="s">
        <v>7912</v>
      </c>
      <c r="G175" s="0" t="s">
        <v>7913</v>
      </c>
      <c r="H175" s="5" t="s">
        <v>3320</v>
      </c>
      <c r="K175" s="0" t="s">
        <v>40</v>
      </c>
      <c r="L175" s="0" t="s">
        <v>7914</v>
      </c>
    </row>
    <row r="176" customFormat="false" ht="17.15" hidden="false" customHeight="false" outlineLevel="0" collapsed="false">
      <c r="A176" s="0" t="s">
        <v>7915</v>
      </c>
      <c r="B176" s="5" t="s">
        <v>7916</v>
      </c>
      <c r="C176" s="5" t="s">
        <v>7917</v>
      </c>
      <c r="D176" s="0" t="s">
        <v>7918</v>
      </c>
      <c r="E176" s="0" t="s">
        <v>7911</v>
      </c>
      <c r="F176" s="0" t="s">
        <v>7919</v>
      </c>
      <c r="G176" s="0" t="s">
        <v>7747</v>
      </c>
      <c r="H176" s="5" t="s">
        <v>3320</v>
      </c>
      <c r="J176" s="0" t="s">
        <v>184</v>
      </c>
      <c r="K176" s="5" t="s">
        <v>7156</v>
      </c>
      <c r="L176" s="0" t="s">
        <v>7920</v>
      </c>
    </row>
    <row r="177" customFormat="false" ht="17.15" hidden="false" customHeight="false" outlineLevel="0" collapsed="false">
      <c r="A177" s="0" t="s">
        <v>7921</v>
      </c>
      <c r="B177" s="0" t="s">
        <v>7922</v>
      </c>
      <c r="C177" s="0" t="s">
        <v>7923</v>
      </c>
      <c r="D177" s="0" t="s">
        <v>7599</v>
      </c>
      <c r="E177" s="0" t="s">
        <v>7107</v>
      </c>
      <c r="F177" s="0" t="s">
        <v>7924</v>
      </c>
      <c r="G177" s="0" t="s">
        <v>7925</v>
      </c>
      <c r="H177" s="5" t="s">
        <v>2097</v>
      </c>
      <c r="J177" s="0" t="s">
        <v>7926</v>
      </c>
      <c r="K177" s="5" t="s">
        <v>3313</v>
      </c>
      <c r="L177" s="0" t="s">
        <v>7927</v>
      </c>
    </row>
    <row r="178" customFormat="false" ht="17.15" hidden="false" customHeight="false" outlineLevel="0" collapsed="false">
      <c r="A178" s="0" t="s">
        <v>7928</v>
      </c>
      <c r="B178" s="0" t="s">
        <v>7929</v>
      </c>
      <c r="C178" s="0" t="s">
        <v>7930</v>
      </c>
      <c r="D178" s="0" t="s">
        <v>7715</v>
      </c>
      <c r="E178" s="0" t="s">
        <v>7107</v>
      </c>
      <c r="F178" s="0" t="s">
        <v>7931</v>
      </c>
      <c r="G178" s="0" t="s">
        <v>146</v>
      </c>
      <c r="H178" s="5" t="s">
        <v>3320</v>
      </c>
      <c r="K178" s="0" t="s">
        <v>40</v>
      </c>
      <c r="L178" s="0" t="s">
        <v>7932</v>
      </c>
    </row>
    <row r="179" customFormat="false" ht="17.15" hidden="false" customHeight="false" outlineLevel="0" collapsed="false">
      <c r="A179" s="0" t="s">
        <v>7933</v>
      </c>
      <c r="B179" s="5" t="s">
        <v>7934</v>
      </c>
      <c r="C179" s="5" t="s">
        <v>7935</v>
      </c>
      <c r="D179" s="0" t="s">
        <v>7936</v>
      </c>
      <c r="E179" s="0" t="s">
        <v>7107</v>
      </c>
      <c r="F179" s="0" t="s">
        <v>7269</v>
      </c>
      <c r="G179" s="0" t="s">
        <v>7937</v>
      </c>
      <c r="H179" s="5" t="s">
        <v>3320</v>
      </c>
      <c r="K179" s="0" t="s">
        <v>40</v>
      </c>
      <c r="L179" s="0" t="s">
        <v>7938</v>
      </c>
    </row>
    <row r="180" customFormat="false" ht="17.15" hidden="false" customHeight="false" outlineLevel="0" collapsed="false">
      <c r="A180" s="0" t="s">
        <v>7939</v>
      </c>
      <c r="B180" s="0" t="s">
        <v>7940</v>
      </c>
      <c r="C180" s="0" t="s">
        <v>7941</v>
      </c>
      <c r="D180" s="0" t="s">
        <v>7849</v>
      </c>
      <c r="E180" s="0" t="s">
        <v>7107</v>
      </c>
      <c r="F180" s="0" t="s">
        <v>7178</v>
      </c>
      <c r="G180" s="0" t="s">
        <v>146</v>
      </c>
      <c r="H180" s="5" t="s">
        <v>3320</v>
      </c>
      <c r="J180" s="0" t="s">
        <v>901</v>
      </c>
      <c r="K180" s="5" t="s">
        <v>7156</v>
      </c>
      <c r="L180" s="0" t="s">
        <v>7942</v>
      </c>
    </row>
    <row r="181" customFormat="false" ht="17.15" hidden="false" customHeight="false" outlineLevel="0" collapsed="false">
      <c r="A181" s="0" t="s">
        <v>7943</v>
      </c>
      <c r="B181" s="0" t="s">
        <v>7944</v>
      </c>
      <c r="C181" s="0" t="s">
        <v>7945</v>
      </c>
      <c r="D181" s="0" t="s">
        <v>7772</v>
      </c>
      <c r="E181" s="0" t="s">
        <v>7107</v>
      </c>
      <c r="F181" s="0" t="s">
        <v>3523</v>
      </c>
      <c r="G181" s="0" t="s">
        <v>146</v>
      </c>
      <c r="H181" s="5" t="s">
        <v>3320</v>
      </c>
      <c r="K181" s="0" t="s">
        <v>40</v>
      </c>
      <c r="L181" s="0" t="s">
        <v>7946</v>
      </c>
    </row>
    <row r="182" customFormat="false" ht="17.15" hidden="false" customHeight="false" outlineLevel="0" collapsed="false">
      <c r="A182" s="0" t="s">
        <v>7947</v>
      </c>
      <c r="B182" s="5" t="s">
        <v>7948</v>
      </c>
      <c r="C182" s="5" t="s">
        <v>7949</v>
      </c>
      <c r="D182" s="0" t="s">
        <v>7950</v>
      </c>
      <c r="E182" s="0" t="s">
        <v>7951</v>
      </c>
      <c r="F182" s="0" t="s">
        <v>3703</v>
      </c>
      <c r="G182" s="0" t="s">
        <v>7952</v>
      </c>
      <c r="H182" s="5" t="s">
        <v>2097</v>
      </c>
      <c r="J182" s="0" t="s">
        <v>480</v>
      </c>
      <c r="K182" s="5" t="s">
        <v>3313</v>
      </c>
      <c r="L182" s="0" t="s">
        <v>7953</v>
      </c>
    </row>
    <row r="183" customFormat="false" ht="17.15" hidden="false" customHeight="false" outlineLevel="0" collapsed="false">
      <c r="A183" s="0" t="s">
        <v>7954</v>
      </c>
      <c r="B183" s="5" t="s">
        <v>7948</v>
      </c>
      <c r="C183" s="5" t="s">
        <v>7955</v>
      </c>
      <c r="D183" s="0" t="s">
        <v>7956</v>
      </c>
      <c r="E183" s="0" t="s">
        <v>7911</v>
      </c>
      <c r="F183" s="0" t="s">
        <v>3703</v>
      </c>
      <c r="G183" s="0" t="s">
        <v>7659</v>
      </c>
      <c r="H183" s="5" t="s">
        <v>2097</v>
      </c>
      <c r="I183" s="0" t="s">
        <v>7957</v>
      </c>
      <c r="K183" s="0" t="s">
        <v>40</v>
      </c>
      <c r="L183" s="0" t="s">
        <v>7614</v>
      </c>
    </row>
    <row r="184" customFormat="false" ht="17.15" hidden="false" customHeight="false" outlineLevel="0" collapsed="false">
      <c r="A184" s="0" t="s">
        <v>7958</v>
      </c>
      <c r="B184" s="5" t="s">
        <v>7959</v>
      </c>
      <c r="C184" s="5" t="s">
        <v>7960</v>
      </c>
      <c r="D184" s="0" t="s">
        <v>7961</v>
      </c>
      <c r="E184" s="0" t="s">
        <v>7962</v>
      </c>
      <c r="F184" s="0" t="s">
        <v>28</v>
      </c>
      <c r="G184" s="0" t="s">
        <v>7963</v>
      </c>
      <c r="H184" s="5" t="s">
        <v>2097</v>
      </c>
      <c r="K184" s="0" t="s">
        <v>40</v>
      </c>
      <c r="L184" s="0" t="s">
        <v>7964</v>
      </c>
    </row>
    <row r="185" customFormat="false" ht="17.15" hidden="false" customHeight="false" outlineLevel="0" collapsed="false">
      <c r="A185" s="0" t="s">
        <v>7965</v>
      </c>
      <c r="B185" s="5" t="s">
        <v>7966</v>
      </c>
      <c r="C185" s="5" t="s">
        <v>7967</v>
      </c>
      <c r="D185" s="0" t="s">
        <v>7968</v>
      </c>
      <c r="E185" s="0" t="s">
        <v>7962</v>
      </c>
      <c r="F185" s="0" t="s">
        <v>26</v>
      </c>
      <c r="G185" s="0" t="s">
        <v>7969</v>
      </c>
      <c r="H185" s="5" t="s">
        <v>3320</v>
      </c>
      <c r="K185" s="0" t="s">
        <v>40</v>
      </c>
      <c r="L185" s="0" t="s">
        <v>7970</v>
      </c>
    </row>
    <row r="186" customFormat="false" ht="17.15" hidden="false" customHeight="false" outlineLevel="0" collapsed="false">
      <c r="A186" s="0" t="s">
        <v>7971</v>
      </c>
      <c r="B186" s="5" t="s">
        <v>7972</v>
      </c>
      <c r="C186" s="5" t="s">
        <v>7973</v>
      </c>
      <c r="D186" s="5" t="s">
        <v>7974</v>
      </c>
      <c r="E186" s="0" t="s">
        <v>7107</v>
      </c>
      <c r="F186" s="0" t="s">
        <v>7975</v>
      </c>
      <c r="G186" s="0" t="s">
        <v>7976</v>
      </c>
      <c r="H186" s="5" t="s">
        <v>2097</v>
      </c>
      <c r="J186" s="0" t="s">
        <v>483</v>
      </c>
      <c r="K186" s="5" t="s">
        <v>3313</v>
      </c>
      <c r="L186" s="0" t="s">
        <v>7977</v>
      </c>
    </row>
    <row r="187" customFormat="false" ht="17.15" hidden="false" customHeight="false" outlineLevel="0" collapsed="false">
      <c r="A187" s="0" t="s">
        <v>7978</v>
      </c>
      <c r="B187" s="5" t="s">
        <v>7979</v>
      </c>
      <c r="C187" s="5" t="s">
        <v>7980</v>
      </c>
      <c r="D187" s="0" t="s">
        <v>7981</v>
      </c>
      <c r="E187" s="0" t="s">
        <v>7982</v>
      </c>
      <c r="F187" s="0" t="s">
        <v>7255</v>
      </c>
      <c r="G187" s="0" t="s">
        <v>7983</v>
      </c>
      <c r="H187" s="5" t="s">
        <v>3320</v>
      </c>
      <c r="K187" s="0" t="s">
        <v>40</v>
      </c>
      <c r="L187" s="0" t="s">
        <v>7984</v>
      </c>
    </row>
    <row r="188" customFormat="false" ht="17.15" hidden="false" customHeight="false" outlineLevel="0" collapsed="false">
      <c r="A188" s="0" t="s">
        <v>7985</v>
      </c>
      <c r="B188" s="5" t="s">
        <v>7986</v>
      </c>
      <c r="C188" s="5" t="s">
        <v>7987</v>
      </c>
      <c r="D188" s="0" t="s">
        <v>7988</v>
      </c>
      <c r="E188" s="0" t="s">
        <v>7989</v>
      </c>
      <c r="F188" s="0" t="s">
        <v>7990</v>
      </c>
      <c r="G188" s="0" t="s">
        <v>7991</v>
      </c>
      <c r="H188" s="5" t="s">
        <v>3320</v>
      </c>
      <c r="K188" s="0" t="s">
        <v>40</v>
      </c>
      <c r="L188" s="0" t="s">
        <v>7992</v>
      </c>
    </row>
    <row r="189" customFormat="false" ht="17.15" hidden="false" customHeight="false" outlineLevel="0" collapsed="false">
      <c r="A189" s="0" t="s">
        <v>7993</v>
      </c>
      <c r="B189" s="5" t="s">
        <v>7994</v>
      </c>
      <c r="C189" s="5" t="s">
        <v>7995</v>
      </c>
      <c r="D189" s="0" t="s">
        <v>7996</v>
      </c>
      <c r="E189" s="0" t="s">
        <v>7107</v>
      </c>
      <c r="F189" s="0" t="s">
        <v>29</v>
      </c>
      <c r="G189" s="0" t="s">
        <v>7997</v>
      </c>
      <c r="H189" s="5" t="s">
        <v>2097</v>
      </c>
      <c r="K189" s="0" t="s">
        <v>40</v>
      </c>
      <c r="L189" s="0" t="s">
        <v>7998</v>
      </c>
    </row>
    <row r="190" customFormat="false" ht="17.15" hidden="false" customHeight="false" outlineLevel="0" collapsed="false">
      <c r="A190" s="0" t="s">
        <v>7999</v>
      </c>
      <c r="B190" s="5" t="s">
        <v>8000</v>
      </c>
      <c r="C190" s="5" t="s">
        <v>8001</v>
      </c>
      <c r="D190" s="0" t="s">
        <v>8002</v>
      </c>
      <c r="E190" s="0" t="s">
        <v>7107</v>
      </c>
      <c r="F190" s="0" t="s">
        <v>8003</v>
      </c>
      <c r="G190" s="0" t="s">
        <v>8004</v>
      </c>
      <c r="H190" s="5" t="s">
        <v>3320</v>
      </c>
      <c r="K190" s="0" t="s">
        <v>40</v>
      </c>
      <c r="L190" s="0" t="s">
        <v>8005</v>
      </c>
    </row>
    <row r="191" customFormat="false" ht="17.15" hidden="false" customHeight="false" outlineLevel="0" collapsed="false">
      <c r="A191" s="0" t="s">
        <v>8006</v>
      </c>
      <c r="B191" s="5" t="s">
        <v>8007</v>
      </c>
      <c r="C191" s="5" t="s">
        <v>8008</v>
      </c>
      <c r="D191" s="0" t="s">
        <v>8009</v>
      </c>
      <c r="E191" s="0" t="s">
        <v>7107</v>
      </c>
      <c r="F191" s="0" t="s">
        <v>8010</v>
      </c>
      <c r="G191" s="0" t="s">
        <v>8011</v>
      </c>
      <c r="H191" s="5" t="s">
        <v>2097</v>
      </c>
      <c r="K191" s="0" t="s">
        <v>40</v>
      </c>
      <c r="L191" s="0" t="s">
        <v>8012</v>
      </c>
    </row>
    <row r="192" customFormat="false" ht="17.15" hidden="false" customHeight="false" outlineLevel="0" collapsed="false">
      <c r="A192" s="0" t="s">
        <v>8013</v>
      </c>
      <c r="B192" s="5" t="s">
        <v>8014</v>
      </c>
      <c r="C192" s="5" t="s">
        <v>8015</v>
      </c>
      <c r="D192" s="0" t="s">
        <v>8016</v>
      </c>
      <c r="E192" s="0" t="s">
        <v>7107</v>
      </c>
      <c r="F192" s="0" t="s">
        <v>8017</v>
      </c>
      <c r="G192" s="0" t="s">
        <v>8018</v>
      </c>
      <c r="H192" s="5" t="s">
        <v>3320</v>
      </c>
      <c r="K192" s="0" t="s">
        <v>40</v>
      </c>
      <c r="L192" s="0" t="s">
        <v>8019</v>
      </c>
    </row>
    <row r="193" customFormat="false" ht="17.15" hidden="false" customHeight="false" outlineLevel="0" collapsed="false">
      <c r="A193" s="0" t="s">
        <v>8020</v>
      </c>
      <c r="B193" s="5" t="s">
        <v>8021</v>
      </c>
      <c r="C193" s="5" t="s">
        <v>8022</v>
      </c>
      <c r="D193" s="0" t="s">
        <v>8023</v>
      </c>
      <c r="F193" s="0" t="s">
        <v>8024</v>
      </c>
      <c r="G193" s="0" t="s">
        <v>8025</v>
      </c>
      <c r="H193" s="5" t="s">
        <v>2097</v>
      </c>
      <c r="J193" s="0" t="s">
        <v>101</v>
      </c>
      <c r="K193" s="5" t="s">
        <v>3313</v>
      </c>
      <c r="L193" s="0" t="s">
        <v>8026</v>
      </c>
    </row>
    <row r="194" customFormat="false" ht="17.15" hidden="false" customHeight="false" outlineLevel="0" collapsed="false">
      <c r="A194" s="0" t="s">
        <v>8027</v>
      </c>
      <c r="B194" s="5" t="s">
        <v>8028</v>
      </c>
      <c r="C194" s="5" t="s">
        <v>8029</v>
      </c>
      <c r="D194" s="0" t="s">
        <v>8030</v>
      </c>
      <c r="F194" s="0" t="s">
        <v>8024</v>
      </c>
      <c r="G194" s="0" t="s">
        <v>8031</v>
      </c>
      <c r="H194" s="5" t="s">
        <v>2097</v>
      </c>
      <c r="J194" s="0" t="s">
        <v>101</v>
      </c>
      <c r="K194" s="5" t="s">
        <v>3313</v>
      </c>
      <c r="L194" s="0" t="s">
        <v>8026</v>
      </c>
    </row>
    <row r="195" customFormat="false" ht="17.15" hidden="false" customHeight="false" outlineLevel="0" collapsed="false">
      <c r="A195" s="0" t="s">
        <v>8032</v>
      </c>
      <c r="B195" s="5" t="s">
        <v>8033</v>
      </c>
      <c r="C195" s="5" t="s">
        <v>8034</v>
      </c>
      <c r="D195" s="0" t="s">
        <v>8035</v>
      </c>
      <c r="F195" s="0" t="s">
        <v>8036</v>
      </c>
      <c r="G195" s="0" t="s">
        <v>8037</v>
      </c>
      <c r="H195" s="5" t="s">
        <v>3320</v>
      </c>
      <c r="K195" s="0" t="s">
        <v>40</v>
      </c>
      <c r="L195" s="0" t="s">
        <v>8038</v>
      </c>
    </row>
    <row r="196" customFormat="false" ht="17.15" hidden="false" customHeight="false" outlineLevel="0" collapsed="false">
      <c r="A196" s="0" t="s">
        <v>8039</v>
      </c>
      <c r="B196" s="5" t="s">
        <v>8040</v>
      </c>
      <c r="C196" s="5" t="s">
        <v>8041</v>
      </c>
      <c r="D196" s="0" t="s">
        <v>8042</v>
      </c>
      <c r="F196" s="0" t="s">
        <v>8043</v>
      </c>
      <c r="G196" s="0" t="s">
        <v>8044</v>
      </c>
      <c r="H196" s="5" t="s">
        <v>2097</v>
      </c>
      <c r="I196" s="0" t="s">
        <v>8045</v>
      </c>
      <c r="J196" s="0" t="s">
        <v>101</v>
      </c>
      <c r="K196" s="5" t="s">
        <v>3313</v>
      </c>
      <c r="L196" s="0" t="s">
        <v>8046</v>
      </c>
    </row>
    <row r="197" customFormat="false" ht="17.15" hidden="false" customHeight="false" outlineLevel="0" collapsed="false">
      <c r="A197" s="0" t="s">
        <v>8047</v>
      </c>
      <c r="B197" s="5" t="s">
        <v>8048</v>
      </c>
      <c r="C197" s="5" t="s">
        <v>8049</v>
      </c>
      <c r="D197" s="0" t="s">
        <v>8050</v>
      </c>
      <c r="F197" s="0" t="s">
        <v>8051</v>
      </c>
      <c r="G197" s="0" t="s">
        <v>8052</v>
      </c>
      <c r="H197" s="5" t="s">
        <v>2097</v>
      </c>
      <c r="K197" s="0" t="s">
        <v>40</v>
      </c>
      <c r="L197" s="0" t="s">
        <v>8053</v>
      </c>
    </row>
    <row r="198" customFormat="false" ht="17.15" hidden="false" customHeight="false" outlineLevel="0" collapsed="false">
      <c r="A198" s="0" t="s">
        <v>8054</v>
      </c>
      <c r="B198" s="5" t="s">
        <v>8055</v>
      </c>
      <c r="C198" s="5" t="s">
        <v>8056</v>
      </c>
      <c r="D198" s="0" t="s">
        <v>8057</v>
      </c>
      <c r="F198" s="0" t="s">
        <v>8058</v>
      </c>
      <c r="G198" s="0" t="s">
        <v>8059</v>
      </c>
      <c r="H198" s="5" t="s">
        <v>2117</v>
      </c>
      <c r="I198" s="5" t="s">
        <v>8060</v>
      </c>
      <c r="J198" s="0" t="s">
        <v>101</v>
      </c>
      <c r="K198" s="5" t="s">
        <v>3313</v>
      </c>
      <c r="L198" s="0" t="s">
        <v>8061</v>
      </c>
    </row>
    <row r="199" customFormat="false" ht="17.15" hidden="false" customHeight="false" outlineLevel="0" collapsed="false">
      <c r="A199" s="0" t="s">
        <v>8062</v>
      </c>
      <c r="B199" s="5" t="s">
        <v>8063</v>
      </c>
      <c r="C199" s="5" t="s">
        <v>8064</v>
      </c>
      <c r="D199" s="0" t="s">
        <v>8035</v>
      </c>
      <c r="F199" s="0" t="s">
        <v>3434</v>
      </c>
      <c r="G199" s="0" t="s">
        <v>8065</v>
      </c>
      <c r="H199" s="5" t="s">
        <v>2097</v>
      </c>
      <c r="J199" s="0" t="s">
        <v>101</v>
      </c>
      <c r="K199" s="5" t="s">
        <v>3313</v>
      </c>
      <c r="L199" s="0" t="s">
        <v>8066</v>
      </c>
    </row>
    <row r="200" customFormat="false" ht="17.15" hidden="false" customHeight="false" outlineLevel="0" collapsed="false">
      <c r="A200" s="0" t="s">
        <v>8067</v>
      </c>
      <c r="B200" s="5" t="s">
        <v>8068</v>
      </c>
      <c r="C200" s="5" t="s">
        <v>8069</v>
      </c>
      <c r="D200" s="0" t="s">
        <v>8070</v>
      </c>
      <c r="F200" s="0" t="s">
        <v>8071</v>
      </c>
      <c r="G200" s="0" t="s">
        <v>8072</v>
      </c>
      <c r="H200" s="5" t="s">
        <v>3320</v>
      </c>
      <c r="K200" s="0" t="s">
        <v>40</v>
      </c>
      <c r="L200" s="0" t="s">
        <v>8073</v>
      </c>
    </row>
    <row r="201" customFormat="false" ht="17.15" hidden="false" customHeight="false" outlineLevel="0" collapsed="false">
      <c r="A201" s="0" t="s">
        <v>8074</v>
      </c>
      <c r="B201" s="5" t="s">
        <v>8075</v>
      </c>
      <c r="C201" s="5" t="s">
        <v>8076</v>
      </c>
      <c r="D201" s="0" t="s">
        <v>8077</v>
      </c>
      <c r="F201" s="0" t="s">
        <v>8078</v>
      </c>
      <c r="G201" s="0" t="s">
        <v>8079</v>
      </c>
      <c r="H201" s="5" t="s">
        <v>3320</v>
      </c>
      <c r="I201" s="0" t="s">
        <v>8080</v>
      </c>
      <c r="K201" s="0" t="s">
        <v>40</v>
      </c>
      <c r="L201" s="0" t="s">
        <v>8081</v>
      </c>
    </row>
    <row r="202" customFormat="false" ht="17.15" hidden="false" customHeight="false" outlineLevel="0" collapsed="false">
      <c r="A202" s="0" t="s">
        <v>8082</v>
      </c>
      <c r="B202" s="5" t="s">
        <v>8083</v>
      </c>
      <c r="C202" s="5" t="s">
        <v>8084</v>
      </c>
      <c r="D202" s="0" t="s">
        <v>8085</v>
      </c>
      <c r="F202" s="0" t="s">
        <v>8086</v>
      </c>
      <c r="G202" s="0" t="s">
        <v>8087</v>
      </c>
      <c r="H202" s="5" t="s">
        <v>2097</v>
      </c>
      <c r="J202" s="0" t="s">
        <v>101</v>
      </c>
      <c r="K202" s="5" t="s">
        <v>3313</v>
      </c>
      <c r="L202" s="0" t="s">
        <v>8088</v>
      </c>
    </row>
    <row r="203" customFormat="false" ht="17.15" hidden="false" customHeight="false" outlineLevel="0" collapsed="false">
      <c r="A203" s="0" t="s">
        <v>8089</v>
      </c>
      <c r="B203" s="5" t="s">
        <v>8083</v>
      </c>
      <c r="C203" s="5" t="s">
        <v>8090</v>
      </c>
      <c r="D203" s="0" t="s">
        <v>8091</v>
      </c>
      <c r="F203" s="0" t="s">
        <v>8092</v>
      </c>
      <c r="G203" s="0" t="s">
        <v>8093</v>
      </c>
      <c r="H203" s="5" t="s">
        <v>2117</v>
      </c>
      <c r="I203" s="5" t="s">
        <v>8094</v>
      </c>
      <c r="K203" s="0" t="s">
        <v>40</v>
      </c>
      <c r="L203" s="0" t="s">
        <v>8095</v>
      </c>
    </row>
    <row r="204" customFormat="false" ht="17.15" hidden="false" customHeight="false" outlineLevel="0" collapsed="false">
      <c r="A204" s="0" t="s">
        <v>8096</v>
      </c>
      <c r="B204" s="5" t="s">
        <v>8083</v>
      </c>
      <c r="C204" s="5" t="s">
        <v>8097</v>
      </c>
      <c r="D204" s="0" t="s">
        <v>8098</v>
      </c>
      <c r="F204" s="0" t="s">
        <v>8086</v>
      </c>
      <c r="G204" s="0" t="s">
        <v>8087</v>
      </c>
      <c r="H204" s="5" t="s">
        <v>2097</v>
      </c>
      <c r="K204" s="0" t="s">
        <v>40</v>
      </c>
      <c r="L204" s="0" t="s">
        <v>8088</v>
      </c>
    </row>
    <row r="205" customFormat="false" ht="17.15" hidden="false" customHeight="false" outlineLevel="0" collapsed="false">
      <c r="A205" s="0" t="s">
        <v>8099</v>
      </c>
      <c r="B205" s="5" t="s">
        <v>8100</v>
      </c>
      <c r="C205" s="5" t="s">
        <v>8101</v>
      </c>
      <c r="D205" s="0" t="s">
        <v>8102</v>
      </c>
      <c r="F205" s="0" t="s">
        <v>8024</v>
      </c>
      <c r="G205" s="0" t="s">
        <v>8103</v>
      </c>
      <c r="H205" s="5" t="s">
        <v>2097</v>
      </c>
      <c r="J205" s="0" t="s">
        <v>8104</v>
      </c>
      <c r="K205" s="5" t="s">
        <v>3313</v>
      </c>
      <c r="L205" s="0" t="s">
        <v>8012</v>
      </c>
    </row>
    <row r="206" customFormat="false" ht="17.15" hidden="false" customHeight="false" outlineLevel="0" collapsed="false">
      <c r="A206" s="0" t="s">
        <v>8105</v>
      </c>
      <c r="B206" s="5" t="s">
        <v>8075</v>
      </c>
      <c r="C206" s="5" t="s">
        <v>8106</v>
      </c>
      <c r="F206" s="0" t="s">
        <v>8010</v>
      </c>
      <c r="G206" s="0" t="s">
        <v>8107</v>
      </c>
      <c r="H206" s="5" t="s">
        <v>2097</v>
      </c>
      <c r="J206" s="0" t="s">
        <v>94</v>
      </c>
      <c r="K206" s="5" t="s">
        <v>3313</v>
      </c>
      <c r="L206" s="0" t="s">
        <v>8012</v>
      </c>
    </row>
    <row r="207" customFormat="false" ht="17.15" hidden="false" customHeight="false" outlineLevel="0" collapsed="false">
      <c r="A207" s="0" t="s">
        <v>8108</v>
      </c>
      <c r="B207" s="5" t="s">
        <v>8109</v>
      </c>
      <c r="C207" s="5" t="s">
        <v>8110</v>
      </c>
      <c r="D207" s="0" t="s">
        <v>8111</v>
      </c>
      <c r="F207" s="0" t="s">
        <v>3678</v>
      </c>
      <c r="G207" s="0" t="s">
        <v>8112</v>
      </c>
      <c r="H207" s="5" t="s">
        <v>2097</v>
      </c>
      <c r="J207" s="0" t="s">
        <v>98</v>
      </c>
      <c r="K207" s="5" t="s">
        <v>3313</v>
      </c>
      <c r="L207" s="0" t="s">
        <v>8113</v>
      </c>
    </row>
    <row r="208" customFormat="false" ht="17.15" hidden="false" customHeight="false" outlineLevel="0" collapsed="false">
      <c r="A208" s="0" t="s">
        <v>8114</v>
      </c>
      <c r="B208" s="5" t="s">
        <v>8115</v>
      </c>
      <c r="C208" s="5" t="s">
        <v>8116</v>
      </c>
      <c r="D208" s="0" t="s">
        <v>8117</v>
      </c>
      <c r="F208" s="0" t="s">
        <v>8118</v>
      </c>
      <c r="G208" s="0" t="s">
        <v>8119</v>
      </c>
      <c r="H208" s="5" t="s">
        <v>2097</v>
      </c>
      <c r="K208" s="0" t="s">
        <v>40</v>
      </c>
      <c r="L208" s="0" t="s">
        <v>8120</v>
      </c>
    </row>
    <row r="209" customFormat="false" ht="17.15" hidden="false" customHeight="false" outlineLevel="0" collapsed="false">
      <c r="A209" s="12" t="s">
        <v>8121</v>
      </c>
      <c r="B209" s="13" t="s">
        <v>8122</v>
      </c>
      <c r="C209" s="13" t="s">
        <v>8123</v>
      </c>
      <c r="D209" s="12" t="s">
        <v>8124</v>
      </c>
      <c r="E209" s="12"/>
      <c r="F209" s="13" t="s">
        <v>8125</v>
      </c>
      <c r="G209" s="12" t="s">
        <v>8126</v>
      </c>
      <c r="H209" s="13" t="s">
        <v>3347</v>
      </c>
      <c r="I209" s="12" t="s">
        <v>8127</v>
      </c>
      <c r="J209" s="12" t="s">
        <v>98</v>
      </c>
      <c r="K209" s="13" t="s">
        <v>7156</v>
      </c>
      <c r="L209" s="12" t="s">
        <v>8128</v>
      </c>
    </row>
    <row r="210" customFormat="false" ht="17.15" hidden="false" customHeight="false" outlineLevel="0" collapsed="false">
      <c r="A210" s="0" t="s">
        <v>8129</v>
      </c>
      <c r="B210" s="5" t="s">
        <v>8130</v>
      </c>
      <c r="C210" s="5" t="s">
        <v>8131</v>
      </c>
      <c r="D210" s="0" t="s">
        <v>8132</v>
      </c>
      <c r="F210" s="0" t="s">
        <v>8133</v>
      </c>
      <c r="G210" s="0" t="s">
        <v>8134</v>
      </c>
      <c r="H210" s="5" t="s">
        <v>2097</v>
      </c>
      <c r="I210" s="0" t="s">
        <v>8135</v>
      </c>
      <c r="J210" s="0" t="s">
        <v>98</v>
      </c>
      <c r="K210" s="5" t="s">
        <v>3313</v>
      </c>
      <c r="L210" s="0" t="s">
        <v>8120</v>
      </c>
    </row>
    <row r="211" customFormat="false" ht="17.15" hidden="false" customHeight="false" outlineLevel="0" collapsed="false">
      <c r="A211" s="0" t="s">
        <v>8136</v>
      </c>
      <c r="B211" s="5" t="s">
        <v>8137</v>
      </c>
      <c r="C211" s="5" t="s">
        <v>8138</v>
      </c>
      <c r="F211" s="0" t="s">
        <v>3951</v>
      </c>
      <c r="G211" s="0" t="s">
        <v>8139</v>
      </c>
      <c r="H211" s="5" t="s">
        <v>2097</v>
      </c>
      <c r="K211" s="0" t="s">
        <v>40</v>
      </c>
      <c r="L211" s="0" t="s">
        <v>8140</v>
      </c>
    </row>
    <row r="212" customFormat="false" ht="17.15" hidden="false" customHeight="false" outlineLevel="0" collapsed="false">
      <c r="A212" s="0" t="s">
        <v>8141</v>
      </c>
      <c r="B212" s="0" t="s">
        <v>8142</v>
      </c>
      <c r="C212" s="5" t="s">
        <v>8143</v>
      </c>
      <c r="D212" s="0" t="s">
        <v>8144</v>
      </c>
      <c r="F212" s="0" t="s">
        <v>7740</v>
      </c>
      <c r="G212" s="0" t="s">
        <v>8145</v>
      </c>
      <c r="H212" s="5" t="s">
        <v>2097</v>
      </c>
      <c r="I212" s="0" t="s">
        <v>8146</v>
      </c>
      <c r="K212" s="0" t="s">
        <v>40</v>
      </c>
      <c r="L212" s="0" t="s">
        <v>7743</v>
      </c>
    </row>
    <row r="213" customFormat="false" ht="17.15" hidden="false" customHeight="false" outlineLevel="0" collapsed="false">
      <c r="A213" s="0" t="s">
        <v>8147</v>
      </c>
      <c r="B213" s="0" t="s">
        <v>2076</v>
      </c>
      <c r="C213" s="5" t="s">
        <v>8148</v>
      </c>
      <c r="F213" s="0" t="s">
        <v>8149</v>
      </c>
      <c r="G213" s="0" t="s">
        <v>8150</v>
      </c>
      <c r="H213" s="5" t="s">
        <v>2097</v>
      </c>
      <c r="K213" s="0" t="s">
        <v>40</v>
      </c>
      <c r="L213" s="0" t="s">
        <v>8151</v>
      </c>
    </row>
    <row r="214" customFormat="false" ht="17.15" hidden="false" customHeight="false" outlineLevel="0" collapsed="false">
      <c r="A214" s="0" t="s">
        <v>8152</v>
      </c>
      <c r="B214" s="0" t="s">
        <v>8153</v>
      </c>
      <c r="C214" s="5" t="s">
        <v>8154</v>
      </c>
      <c r="D214" s="0" t="s">
        <v>8155</v>
      </c>
      <c r="F214" s="0" t="s">
        <v>8156</v>
      </c>
      <c r="G214" s="0" t="s">
        <v>8157</v>
      </c>
      <c r="H214" s="5" t="s">
        <v>2097</v>
      </c>
      <c r="I214" s="0" t="s">
        <v>8158</v>
      </c>
      <c r="K214" s="0" t="s">
        <v>40</v>
      </c>
      <c r="L214" s="0" t="s">
        <v>8159</v>
      </c>
    </row>
    <row r="215" customFormat="false" ht="17.15" hidden="false" customHeight="false" outlineLevel="0" collapsed="false">
      <c r="A215" s="0" t="s">
        <v>8160</v>
      </c>
      <c r="B215" s="0" t="s">
        <v>8161</v>
      </c>
      <c r="C215" s="5" t="s">
        <v>8162</v>
      </c>
      <c r="D215" s="0" t="s">
        <v>8163</v>
      </c>
      <c r="F215" s="0" t="s">
        <v>7740</v>
      </c>
      <c r="G215" s="0" t="s">
        <v>8164</v>
      </c>
      <c r="H215" s="5" t="s">
        <v>2097</v>
      </c>
      <c r="J215" s="0" t="s">
        <v>163</v>
      </c>
      <c r="K215" s="5" t="s">
        <v>3313</v>
      </c>
      <c r="L215" s="0" t="s">
        <v>8165</v>
      </c>
    </row>
    <row r="216" customFormat="false" ht="17.15" hidden="false" customHeight="false" outlineLevel="0" collapsed="false">
      <c r="A216" s="0" t="s">
        <v>8166</v>
      </c>
      <c r="B216" s="5" t="s">
        <v>8167</v>
      </c>
      <c r="C216" s="5" t="s">
        <v>8168</v>
      </c>
      <c r="F216" s="0" t="s">
        <v>7513</v>
      </c>
      <c r="G216" s="0" t="s">
        <v>8169</v>
      </c>
      <c r="H216" s="5" t="s">
        <v>2097</v>
      </c>
      <c r="J216" s="0" t="s">
        <v>101</v>
      </c>
      <c r="K216" s="5" t="s">
        <v>3313</v>
      </c>
      <c r="L216" s="0" t="s">
        <v>8170</v>
      </c>
    </row>
    <row r="217" customFormat="false" ht="17.15" hidden="false" customHeight="false" outlineLevel="0" collapsed="false">
      <c r="A217" s="0" t="s">
        <v>8171</v>
      </c>
      <c r="B217" s="0" t="s">
        <v>8172</v>
      </c>
      <c r="C217" s="0" t="s">
        <v>8173</v>
      </c>
      <c r="D217" s="0" t="s">
        <v>8174</v>
      </c>
      <c r="E217" s="5" t="s">
        <v>81</v>
      </c>
      <c r="F217" s="0" t="s">
        <v>8175</v>
      </c>
      <c r="G217" s="0" t="s">
        <v>3371</v>
      </c>
      <c r="H217" s="0" t="s">
        <v>8176</v>
      </c>
      <c r="I217" s="0" t="s">
        <v>8177</v>
      </c>
      <c r="K217" s="0" t="s">
        <v>40</v>
      </c>
      <c r="L217" s="0" t="s">
        <v>8178</v>
      </c>
    </row>
    <row r="218" customFormat="false" ht="17.15" hidden="false" customHeight="false" outlineLevel="0" collapsed="false">
      <c r="A218" s="0" t="s">
        <v>8179</v>
      </c>
      <c r="B218" s="0" t="s">
        <v>8180</v>
      </c>
      <c r="C218" s="0" t="s">
        <v>8181</v>
      </c>
      <c r="D218" s="0" t="s">
        <v>8182</v>
      </c>
      <c r="E218" s="5" t="s">
        <v>81</v>
      </c>
      <c r="F218" s="0" t="s">
        <v>8183</v>
      </c>
      <c r="G218" s="0" t="s">
        <v>3327</v>
      </c>
      <c r="H218" s="0" t="s">
        <v>8176</v>
      </c>
      <c r="I218" s="0" t="s">
        <v>8184</v>
      </c>
      <c r="K218" s="0" t="s">
        <v>40</v>
      </c>
      <c r="L218" s="0" t="s">
        <v>8185</v>
      </c>
    </row>
    <row r="219" customFormat="false" ht="17.15" hidden="false" customHeight="false" outlineLevel="0" collapsed="false">
      <c r="A219" s="0" t="s">
        <v>8186</v>
      </c>
      <c r="B219" s="0" t="s">
        <v>8187</v>
      </c>
      <c r="C219" s="0" t="s">
        <v>8188</v>
      </c>
      <c r="D219" s="0" t="s">
        <v>7739</v>
      </c>
      <c r="E219" s="5" t="s">
        <v>81</v>
      </c>
      <c r="F219" s="0" t="s">
        <v>2098</v>
      </c>
      <c r="G219" s="0" t="s">
        <v>3371</v>
      </c>
      <c r="H219" s="0" t="s">
        <v>8176</v>
      </c>
      <c r="I219" s="0" t="s">
        <v>8189</v>
      </c>
      <c r="J219" s="0" t="s">
        <v>898</v>
      </c>
      <c r="K219" s="5" t="s">
        <v>3313</v>
      </c>
      <c r="L219" s="0" t="s">
        <v>8190</v>
      </c>
    </row>
    <row r="220" customFormat="false" ht="17.15" hidden="false" customHeight="false" outlineLevel="0" collapsed="false">
      <c r="A220" s="0" t="s">
        <v>8191</v>
      </c>
      <c r="B220" s="0" t="s">
        <v>2076</v>
      </c>
      <c r="C220" s="0" t="s">
        <v>8192</v>
      </c>
      <c r="D220" s="0" t="s">
        <v>7691</v>
      </c>
      <c r="E220" s="0" t="s">
        <v>116</v>
      </c>
      <c r="F220" s="0" t="s">
        <v>8193</v>
      </c>
      <c r="G220" s="0" t="s">
        <v>3317</v>
      </c>
      <c r="H220" s="0" t="s">
        <v>8176</v>
      </c>
      <c r="I220" s="0" t="s">
        <v>8194</v>
      </c>
      <c r="J220" s="0" t="s">
        <v>8195</v>
      </c>
      <c r="K220" s="5" t="s">
        <v>3313</v>
      </c>
      <c r="L220" s="0" t="s">
        <v>7165</v>
      </c>
    </row>
    <row r="221" customFormat="false" ht="17.15" hidden="false" customHeight="false" outlineLevel="0" collapsed="false">
      <c r="A221" s="0" t="s">
        <v>8196</v>
      </c>
      <c r="B221" s="0" t="s">
        <v>2076</v>
      </c>
      <c r="C221" s="0" t="s">
        <v>8197</v>
      </c>
      <c r="D221" s="0" t="s">
        <v>8198</v>
      </c>
      <c r="E221" s="0" t="s">
        <v>116</v>
      </c>
      <c r="F221" s="0" t="s">
        <v>8193</v>
      </c>
      <c r="G221" s="0" t="s">
        <v>3317</v>
      </c>
      <c r="H221" s="0" t="s">
        <v>8176</v>
      </c>
      <c r="I221" s="0" t="s">
        <v>8199</v>
      </c>
      <c r="K221" s="0" t="s">
        <v>40</v>
      </c>
      <c r="L221" s="0" t="s">
        <v>7165</v>
      </c>
    </row>
    <row r="222" customFormat="false" ht="17.15" hidden="false" customHeight="false" outlineLevel="0" collapsed="false">
      <c r="A222" s="0" t="s">
        <v>8200</v>
      </c>
      <c r="B222" s="0" t="s">
        <v>2076</v>
      </c>
      <c r="C222" s="0" t="s">
        <v>8201</v>
      </c>
      <c r="D222" s="0" t="s">
        <v>117</v>
      </c>
      <c r="E222" s="5" t="s">
        <v>81</v>
      </c>
      <c r="F222" s="0" t="s">
        <v>8193</v>
      </c>
      <c r="G222" s="0" t="s">
        <v>3317</v>
      </c>
      <c r="H222" s="0" t="s">
        <v>8202</v>
      </c>
      <c r="I222" s="0" t="s">
        <v>8203</v>
      </c>
      <c r="K222" s="0" t="s">
        <v>40</v>
      </c>
      <c r="L222" s="0" t="s">
        <v>7165</v>
      </c>
    </row>
    <row r="223" customFormat="false" ht="17.15" hidden="false" customHeight="false" outlineLevel="0" collapsed="false">
      <c r="A223" s="0" t="s">
        <v>8204</v>
      </c>
      <c r="B223" s="0" t="s">
        <v>8205</v>
      </c>
      <c r="C223" s="0" t="s">
        <v>8206</v>
      </c>
      <c r="D223" s="0" t="s">
        <v>7493</v>
      </c>
      <c r="E223" s="5" t="s">
        <v>81</v>
      </c>
      <c r="F223" s="0" t="s">
        <v>8207</v>
      </c>
      <c r="G223" s="0" t="s">
        <v>3371</v>
      </c>
      <c r="H223" s="0" t="s">
        <v>8208</v>
      </c>
      <c r="I223" s="5" t="s">
        <v>8209</v>
      </c>
      <c r="K223" s="0" t="s">
        <v>40</v>
      </c>
      <c r="L223" s="0" t="s">
        <v>8210</v>
      </c>
    </row>
    <row r="224" customFormat="false" ht="17.15" hidden="false" customHeight="false" outlineLevel="0" collapsed="false">
      <c r="A224" s="0" t="s">
        <v>8211</v>
      </c>
      <c r="B224" s="0" t="s">
        <v>8205</v>
      </c>
      <c r="C224" s="0" t="s">
        <v>8212</v>
      </c>
      <c r="D224" s="0" t="s">
        <v>117</v>
      </c>
      <c r="E224" s="5" t="s">
        <v>81</v>
      </c>
      <c r="F224" s="0" t="s">
        <v>8213</v>
      </c>
      <c r="G224" s="0" t="s">
        <v>3317</v>
      </c>
      <c r="H224" s="0" t="s">
        <v>8208</v>
      </c>
      <c r="I224" s="5" t="s">
        <v>8214</v>
      </c>
      <c r="K224" s="0" t="s">
        <v>40</v>
      </c>
      <c r="L224" s="0" t="s">
        <v>8215</v>
      </c>
    </row>
    <row r="225" customFormat="false" ht="17.15" hidden="false" customHeight="false" outlineLevel="0" collapsed="false">
      <c r="A225" s="0" t="s">
        <v>8216</v>
      </c>
      <c r="B225" s="0" t="s">
        <v>8205</v>
      </c>
      <c r="C225" s="0" t="s">
        <v>8217</v>
      </c>
      <c r="D225" s="0" t="s">
        <v>8218</v>
      </c>
      <c r="E225" s="5" t="s">
        <v>81</v>
      </c>
      <c r="F225" s="0" t="s">
        <v>7475</v>
      </c>
      <c r="G225" s="0" t="s">
        <v>3317</v>
      </c>
      <c r="H225" s="0" t="s">
        <v>8219</v>
      </c>
      <c r="I225" s="5" t="s">
        <v>8220</v>
      </c>
      <c r="K225" s="0" t="s">
        <v>40</v>
      </c>
      <c r="L225" s="0" t="s">
        <v>8221</v>
      </c>
    </row>
    <row r="226" customFormat="false" ht="17.15" hidden="false" customHeight="false" outlineLevel="0" collapsed="false">
      <c r="A226" s="0" t="s">
        <v>8222</v>
      </c>
      <c r="B226" s="0" t="s">
        <v>2076</v>
      </c>
      <c r="C226" s="0" t="s">
        <v>8223</v>
      </c>
      <c r="D226" s="0" t="s">
        <v>117</v>
      </c>
      <c r="E226" s="5" t="s">
        <v>81</v>
      </c>
      <c r="F226" s="0" t="s">
        <v>3866</v>
      </c>
      <c r="G226" s="0" t="s">
        <v>3371</v>
      </c>
      <c r="H226" s="0" t="s">
        <v>8224</v>
      </c>
      <c r="I226" s="5" t="s">
        <v>8225</v>
      </c>
      <c r="K226" s="0" t="s">
        <v>40</v>
      </c>
      <c r="L226" s="0" t="s">
        <v>8226</v>
      </c>
    </row>
    <row r="227" customFormat="false" ht="17.15" hidden="false" customHeight="false" outlineLevel="0" collapsed="false">
      <c r="A227" s="0" t="s">
        <v>8227</v>
      </c>
      <c r="B227" s="0" t="s">
        <v>2076</v>
      </c>
      <c r="C227" s="0" t="s">
        <v>8228</v>
      </c>
      <c r="D227" s="0" t="s">
        <v>7694</v>
      </c>
      <c r="E227" s="0" t="s">
        <v>116</v>
      </c>
      <c r="F227" s="0" t="s">
        <v>8229</v>
      </c>
      <c r="G227" s="0" t="s">
        <v>3317</v>
      </c>
      <c r="H227" s="0" t="s">
        <v>8202</v>
      </c>
      <c r="I227" s="0" t="s">
        <v>8230</v>
      </c>
      <c r="J227" s="0" t="s">
        <v>8231</v>
      </c>
      <c r="K227" s="5" t="s">
        <v>3313</v>
      </c>
      <c r="L227" s="0" t="s">
        <v>7171</v>
      </c>
    </row>
    <row r="228" customFormat="false" ht="17.15" hidden="false" customHeight="false" outlineLevel="0" collapsed="false">
      <c r="A228" s="0" t="s">
        <v>8232</v>
      </c>
      <c r="B228" s="0" t="s">
        <v>2076</v>
      </c>
      <c r="C228" s="0" t="s">
        <v>8233</v>
      </c>
      <c r="D228" s="0" t="s">
        <v>8234</v>
      </c>
      <c r="E228" s="5" t="s">
        <v>81</v>
      </c>
      <c r="F228" s="0" t="s">
        <v>8235</v>
      </c>
      <c r="G228" s="0" t="s">
        <v>3371</v>
      </c>
      <c r="H228" s="0" t="s">
        <v>8208</v>
      </c>
      <c r="I228" s="0" t="s">
        <v>8236</v>
      </c>
      <c r="K228" s="0" t="s">
        <v>40</v>
      </c>
      <c r="L228" s="0" t="s">
        <v>8237</v>
      </c>
    </row>
    <row r="229" customFormat="false" ht="17.15" hidden="false" customHeight="false" outlineLevel="0" collapsed="false">
      <c r="A229" s="0" t="s">
        <v>8238</v>
      </c>
      <c r="B229" s="0" t="s">
        <v>2076</v>
      </c>
      <c r="C229" s="0" t="s">
        <v>8239</v>
      </c>
      <c r="D229" s="0" t="s">
        <v>117</v>
      </c>
      <c r="E229" s="5" t="s">
        <v>81</v>
      </c>
      <c r="F229" s="0" t="s">
        <v>8240</v>
      </c>
      <c r="G229" s="0" t="s">
        <v>3371</v>
      </c>
      <c r="H229" s="0" t="s">
        <v>8241</v>
      </c>
      <c r="I229" s="5" t="s">
        <v>8242</v>
      </c>
      <c r="K229" s="0" t="s">
        <v>40</v>
      </c>
      <c r="L229" s="0" t="s">
        <v>8243</v>
      </c>
    </row>
    <row r="230" customFormat="false" ht="17.15" hidden="false" customHeight="false" outlineLevel="0" collapsed="false">
      <c r="A230" s="0" t="s">
        <v>8244</v>
      </c>
      <c r="B230" s="0" t="s">
        <v>2076</v>
      </c>
      <c r="C230" s="0" t="s">
        <v>8245</v>
      </c>
      <c r="D230" s="0" t="s">
        <v>117</v>
      </c>
      <c r="E230" s="5" t="s">
        <v>81</v>
      </c>
      <c r="F230" s="0" t="s">
        <v>7306</v>
      </c>
      <c r="G230" s="0" t="s">
        <v>3317</v>
      </c>
      <c r="H230" s="0" t="s">
        <v>8176</v>
      </c>
      <c r="I230" s="5" t="s">
        <v>8246</v>
      </c>
      <c r="K230" s="0" t="s">
        <v>40</v>
      </c>
      <c r="L230" s="0" t="s">
        <v>8247</v>
      </c>
    </row>
    <row r="231" customFormat="false" ht="17.15" hidden="false" customHeight="false" outlineLevel="0" collapsed="false">
      <c r="A231" s="0" t="s">
        <v>8248</v>
      </c>
      <c r="B231" s="0" t="s">
        <v>2076</v>
      </c>
      <c r="C231" s="0" t="s">
        <v>8249</v>
      </c>
      <c r="D231" s="0" t="s">
        <v>8250</v>
      </c>
      <c r="E231" s="0" t="s">
        <v>116</v>
      </c>
      <c r="F231" s="0" t="s">
        <v>8229</v>
      </c>
      <c r="G231" s="0" t="s">
        <v>3317</v>
      </c>
      <c r="H231" s="0" t="s">
        <v>8176</v>
      </c>
      <c r="I231" s="0" t="s">
        <v>8251</v>
      </c>
      <c r="K231" s="0" t="s">
        <v>40</v>
      </c>
      <c r="L231" s="0" t="s">
        <v>7171</v>
      </c>
    </row>
    <row r="232" customFormat="false" ht="17.15" hidden="false" customHeight="false" outlineLevel="0" collapsed="false">
      <c r="A232" s="0" t="s">
        <v>8252</v>
      </c>
      <c r="B232" s="0" t="s">
        <v>2076</v>
      </c>
      <c r="C232" s="0" t="s">
        <v>8253</v>
      </c>
      <c r="D232" s="0" t="s">
        <v>7420</v>
      </c>
      <c r="E232" s="5" t="s">
        <v>81</v>
      </c>
      <c r="F232" s="0" t="s">
        <v>7291</v>
      </c>
      <c r="G232" s="0" t="s">
        <v>3371</v>
      </c>
      <c r="H232" s="0" t="s">
        <v>8176</v>
      </c>
      <c r="I232" s="5" t="s">
        <v>8254</v>
      </c>
      <c r="K232" s="0" t="s">
        <v>40</v>
      </c>
      <c r="L232" s="0" t="s">
        <v>8255</v>
      </c>
    </row>
    <row r="233" customFormat="false" ht="17.15" hidden="false" customHeight="false" outlineLevel="0" collapsed="false">
      <c r="A233" s="0" t="s">
        <v>8256</v>
      </c>
      <c r="B233" s="0" t="s">
        <v>2076</v>
      </c>
      <c r="C233" s="0" t="s">
        <v>8257</v>
      </c>
      <c r="D233" s="0" t="s">
        <v>8258</v>
      </c>
      <c r="E233" s="5" t="s">
        <v>81</v>
      </c>
      <c r="F233" s="0" t="s">
        <v>8259</v>
      </c>
      <c r="G233" s="0" t="s">
        <v>3317</v>
      </c>
      <c r="H233" s="0" t="s">
        <v>8208</v>
      </c>
      <c r="I233" s="0" t="s">
        <v>8260</v>
      </c>
      <c r="K233" s="0" t="s">
        <v>40</v>
      </c>
      <c r="L233" s="0" t="s">
        <v>8261</v>
      </c>
    </row>
    <row r="234" customFormat="false" ht="17.15" hidden="false" customHeight="false" outlineLevel="0" collapsed="false">
      <c r="A234" s="0" t="s">
        <v>8262</v>
      </c>
      <c r="B234" s="0" t="s">
        <v>8263</v>
      </c>
      <c r="C234" s="0" t="s">
        <v>8264</v>
      </c>
      <c r="D234" s="0" t="s">
        <v>7521</v>
      </c>
      <c r="E234" s="5" t="s">
        <v>81</v>
      </c>
      <c r="F234" s="0" t="s">
        <v>8265</v>
      </c>
      <c r="G234" s="0" t="s">
        <v>3371</v>
      </c>
      <c r="H234" s="0" t="s">
        <v>8208</v>
      </c>
      <c r="I234" s="0" t="s">
        <v>8266</v>
      </c>
      <c r="K234" s="0" t="s">
        <v>40</v>
      </c>
      <c r="L234" s="0" t="s">
        <v>8267</v>
      </c>
    </row>
    <row r="235" customFormat="false" ht="17.15" hidden="false" customHeight="false" outlineLevel="0" collapsed="false">
      <c r="A235" s="0" t="s">
        <v>8268</v>
      </c>
      <c r="B235" s="0" t="s">
        <v>8263</v>
      </c>
      <c r="C235" s="0" t="s">
        <v>8269</v>
      </c>
      <c r="D235" s="0" t="s">
        <v>7739</v>
      </c>
      <c r="E235" s="0" t="s">
        <v>116</v>
      </c>
      <c r="F235" s="0" t="s">
        <v>8270</v>
      </c>
      <c r="G235" s="0" t="s">
        <v>3371</v>
      </c>
      <c r="H235" s="0" t="s">
        <v>8176</v>
      </c>
      <c r="I235" s="0" t="s">
        <v>8271</v>
      </c>
      <c r="K235" s="0" t="s">
        <v>40</v>
      </c>
      <c r="L235" s="0" t="s">
        <v>8272</v>
      </c>
    </row>
    <row r="236" customFormat="false" ht="17.15" hidden="false" customHeight="false" outlineLevel="0" collapsed="false">
      <c r="A236" s="0" t="s">
        <v>8273</v>
      </c>
      <c r="B236" s="0" t="s">
        <v>8263</v>
      </c>
      <c r="C236" s="0" t="s">
        <v>8274</v>
      </c>
      <c r="D236" s="0" t="s">
        <v>117</v>
      </c>
      <c r="E236" s="5" t="s">
        <v>81</v>
      </c>
      <c r="F236" s="0" t="s">
        <v>8265</v>
      </c>
      <c r="G236" s="0" t="s">
        <v>3371</v>
      </c>
      <c r="H236" s="0" t="s">
        <v>8241</v>
      </c>
      <c r="I236" s="5" t="s">
        <v>8275</v>
      </c>
      <c r="K236" s="0" t="s">
        <v>40</v>
      </c>
      <c r="L236" s="0" t="s">
        <v>8267</v>
      </c>
    </row>
    <row r="237" customFormat="false" ht="17.15" hidden="false" customHeight="false" outlineLevel="0" collapsed="false">
      <c r="A237" s="0" t="s">
        <v>8276</v>
      </c>
      <c r="B237" s="0" t="s">
        <v>8263</v>
      </c>
      <c r="C237" s="0" t="s">
        <v>8277</v>
      </c>
      <c r="D237" s="0" t="s">
        <v>7630</v>
      </c>
      <c r="E237" s="5" t="s">
        <v>81</v>
      </c>
      <c r="F237" s="0" t="s">
        <v>7437</v>
      </c>
      <c r="G237" s="0" t="s">
        <v>3317</v>
      </c>
      <c r="H237" s="0" t="s">
        <v>8219</v>
      </c>
      <c r="I237" s="5" t="s">
        <v>8220</v>
      </c>
      <c r="K237" s="0" t="s">
        <v>40</v>
      </c>
      <c r="L237" s="0" t="s">
        <v>8278</v>
      </c>
    </row>
    <row r="238" customFormat="false" ht="17.15" hidden="false" customHeight="false" outlineLevel="0" collapsed="false">
      <c r="A238" s="0" t="s">
        <v>8279</v>
      </c>
      <c r="B238" s="0" t="s">
        <v>8263</v>
      </c>
      <c r="C238" s="0" t="s">
        <v>8280</v>
      </c>
      <c r="D238" s="0" t="s">
        <v>8281</v>
      </c>
      <c r="E238" s="0" t="s">
        <v>116</v>
      </c>
      <c r="F238" s="0" t="s">
        <v>7285</v>
      </c>
      <c r="G238" s="0" t="s">
        <v>3317</v>
      </c>
      <c r="H238" s="0" t="s">
        <v>8202</v>
      </c>
      <c r="I238" s="0" t="s">
        <v>8282</v>
      </c>
      <c r="K238" s="0" t="s">
        <v>40</v>
      </c>
      <c r="L238" s="0" t="s">
        <v>8283</v>
      </c>
    </row>
    <row r="239" customFormat="false" ht="17.15" hidden="false" customHeight="false" outlineLevel="0" collapsed="false">
      <c r="A239" s="0" t="s">
        <v>8284</v>
      </c>
      <c r="B239" s="0" t="s">
        <v>3958</v>
      </c>
      <c r="C239" s="0" t="s">
        <v>8285</v>
      </c>
      <c r="D239" s="0" t="s">
        <v>8286</v>
      </c>
      <c r="E239" s="5" t="s">
        <v>81</v>
      </c>
      <c r="F239" s="0" t="s">
        <v>3814</v>
      </c>
      <c r="G239" s="0" t="s">
        <v>3371</v>
      </c>
      <c r="H239" s="0" t="s">
        <v>8176</v>
      </c>
      <c r="I239" s="0" t="s">
        <v>8287</v>
      </c>
      <c r="J239" s="0" t="s">
        <v>8288</v>
      </c>
      <c r="K239" s="5" t="s">
        <v>3313</v>
      </c>
      <c r="L239" s="0" t="s">
        <v>8289</v>
      </c>
    </row>
    <row r="240" customFormat="false" ht="17.15" hidden="false" customHeight="false" outlineLevel="0" collapsed="false">
      <c r="A240" s="0" t="s">
        <v>8290</v>
      </c>
      <c r="B240" s="0" t="s">
        <v>3958</v>
      </c>
      <c r="C240" s="0" t="s">
        <v>8291</v>
      </c>
      <c r="D240" s="0" t="s">
        <v>8292</v>
      </c>
      <c r="E240" s="0" t="s">
        <v>116</v>
      </c>
      <c r="F240" s="0" t="s">
        <v>3814</v>
      </c>
      <c r="G240" s="0" t="s">
        <v>3371</v>
      </c>
      <c r="H240" s="0" t="s">
        <v>8176</v>
      </c>
      <c r="I240" s="0" t="s">
        <v>8293</v>
      </c>
      <c r="K240" s="0" t="s">
        <v>40</v>
      </c>
      <c r="L240" s="0" t="s">
        <v>8294</v>
      </c>
    </row>
    <row r="241" customFormat="false" ht="17.15" hidden="false" customHeight="false" outlineLevel="0" collapsed="false">
      <c r="A241" s="0" t="s">
        <v>8295</v>
      </c>
      <c r="B241" s="0" t="s">
        <v>3958</v>
      </c>
      <c r="C241" s="0" t="s">
        <v>8296</v>
      </c>
      <c r="D241" s="0" t="s">
        <v>8292</v>
      </c>
      <c r="E241" s="0" t="s">
        <v>116</v>
      </c>
      <c r="F241" s="0" t="s">
        <v>3814</v>
      </c>
      <c r="G241" s="0" t="s">
        <v>3371</v>
      </c>
      <c r="H241" s="0" t="s">
        <v>8176</v>
      </c>
      <c r="I241" s="5" t="s">
        <v>8297</v>
      </c>
      <c r="K241" s="0" t="s">
        <v>40</v>
      </c>
      <c r="L241" s="0" t="s">
        <v>8294</v>
      </c>
    </row>
    <row r="242" customFormat="false" ht="17.15" hidden="false" customHeight="false" outlineLevel="0" collapsed="false">
      <c r="A242" s="0" t="s">
        <v>8298</v>
      </c>
      <c r="B242" s="0" t="s">
        <v>2232</v>
      </c>
      <c r="C242" s="0" t="s">
        <v>8299</v>
      </c>
      <c r="D242" s="0" t="s">
        <v>8300</v>
      </c>
      <c r="E242" s="5" t="s">
        <v>81</v>
      </c>
      <c r="F242" s="0" t="s">
        <v>143</v>
      </c>
      <c r="G242" s="0" t="s">
        <v>3371</v>
      </c>
      <c r="H242" s="0" t="s">
        <v>8176</v>
      </c>
      <c r="I242" s="0" t="s">
        <v>8301</v>
      </c>
      <c r="K242" s="0" t="s">
        <v>40</v>
      </c>
      <c r="L242" s="0" t="s">
        <v>8302</v>
      </c>
    </row>
    <row r="243" customFormat="false" ht="17.15" hidden="false" customHeight="false" outlineLevel="0" collapsed="false">
      <c r="A243" s="0" t="s">
        <v>8303</v>
      </c>
      <c r="B243" s="0" t="s">
        <v>2232</v>
      </c>
      <c r="C243" s="0" t="s">
        <v>8304</v>
      </c>
      <c r="D243" s="0" t="s">
        <v>8305</v>
      </c>
      <c r="E243" s="0" t="s">
        <v>116</v>
      </c>
      <c r="F243" s="0" t="s">
        <v>7169</v>
      </c>
      <c r="G243" s="0" t="s">
        <v>3317</v>
      </c>
      <c r="H243" s="0" t="s">
        <v>8208</v>
      </c>
      <c r="I243" s="0" t="s">
        <v>8306</v>
      </c>
      <c r="K243" s="0" t="s">
        <v>40</v>
      </c>
      <c r="L243" s="0" t="s">
        <v>7222</v>
      </c>
    </row>
    <row r="244" customFormat="false" ht="17.15" hidden="false" customHeight="false" outlineLevel="0" collapsed="false">
      <c r="A244" s="0" t="s">
        <v>8307</v>
      </c>
      <c r="B244" s="0" t="s">
        <v>2232</v>
      </c>
      <c r="C244" s="0" t="s">
        <v>8308</v>
      </c>
      <c r="D244" s="0" t="s">
        <v>117</v>
      </c>
      <c r="E244" s="5" t="s">
        <v>81</v>
      </c>
      <c r="F244" s="0" t="s">
        <v>143</v>
      </c>
      <c r="G244" s="0" t="s">
        <v>3371</v>
      </c>
      <c r="H244" s="0" t="s">
        <v>8208</v>
      </c>
      <c r="I244" s="0" t="s">
        <v>8309</v>
      </c>
      <c r="K244" s="0" t="s">
        <v>40</v>
      </c>
      <c r="L244" s="0" t="s">
        <v>8302</v>
      </c>
    </row>
    <row r="245" customFormat="false" ht="17.15" hidden="false" customHeight="false" outlineLevel="0" collapsed="false">
      <c r="A245" s="0" t="s">
        <v>8310</v>
      </c>
      <c r="B245" s="0" t="s">
        <v>2232</v>
      </c>
      <c r="C245" s="0" t="s">
        <v>8311</v>
      </c>
      <c r="D245" s="0" t="s">
        <v>117</v>
      </c>
      <c r="E245" s="5" t="s">
        <v>81</v>
      </c>
      <c r="F245" s="0" t="s">
        <v>8312</v>
      </c>
      <c r="G245" s="0" t="s">
        <v>3371</v>
      </c>
      <c r="H245" s="0" t="s">
        <v>8241</v>
      </c>
      <c r="I245" s="0" t="s">
        <v>8313</v>
      </c>
      <c r="K245" s="0" t="s">
        <v>40</v>
      </c>
      <c r="L245" s="0" t="s">
        <v>8314</v>
      </c>
    </row>
    <row r="246" customFormat="false" ht="17.15" hidden="false" customHeight="false" outlineLevel="0" collapsed="false">
      <c r="A246" s="0" t="s">
        <v>8315</v>
      </c>
      <c r="B246" s="0" t="s">
        <v>8316</v>
      </c>
      <c r="C246" s="0" t="s">
        <v>8317</v>
      </c>
      <c r="D246" s="0" t="s">
        <v>7427</v>
      </c>
      <c r="E246" s="5" t="s">
        <v>81</v>
      </c>
      <c r="F246" s="0" t="s">
        <v>7291</v>
      </c>
      <c r="G246" s="0" t="s">
        <v>3371</v>
      </c>
      <c r="H246" s="0" t="s">
        <v>8176</v>
      </c>
      <c r="I246" s="0" t="s">
        <v>8318</v>
      </c>
      <c r="K246" s="0" t="s">
        <v>40</v>
      </c>
      <c r="L246" s="0" t="s">
        <v>8319</v>
      </c>
    </row>
    <row r="247" customFormat="false" ht="17.15" hidden="false" customHeight="false" outlineLevel="0" collapsed="false">
      <c r="A247" s="0" t="s">
        <v>8320</v>
      </c>
      <c r="B247" s="0" t="s">
        <v>8316</v>
      </c>
      <c r="C247" s="0" t="s">
        <v>8321</v>
      </c>
      <c r="D247" s="0" t="s">
        <v>7762</v>
      </c>
      <c r="E247" s="0" t="s">
        <v>116</v>
      </c>
      <c r="F247" s="0" t="s">
        <v>7285</v>
      </c>
      <c r="G247" s="0" t="s">
        <v>3317</v>
      </c>
      <c r="H247" s="0" t="s">
        <v>8208</v>
      </c>
      <c r="I247" s="0" t="s">
        <v>8322</v>
      </c>
      <c r="K247" s="0" t="s">
        <v>40</v>
      </c>
      <c r="L247" s="0" t="s">
        <v>8323</v>
      </c>
    </row>
    <row r="248" customFormat="false" ht="17.15" hidden="false" customHeight="false" outlineLevel="0" collapsed="false">
      <c r="A248" s="0" t="s">
        <v>8324</v>
      </c>
      <c r="B248" s="0" t="s">
        <v>8316</v>
      </c>
      <c r="C248" s="0" t="s">
        <v>8325</v>
      </c>
      <c r="D248" s="0" t="s">
        <v>8326</v>
      </c>
      <c r="E248" s="5" t="s">
        <v>81</v>
      </c>
      <c r="F248" s="0" t="s">
        <v>8086</v>
      </c>
      <c r="G248" s="0" t="s">
        <v>3317</v>
      </c>
      <c r="H248" s="0" t="s">
        <v>8219</v>
      </c>
      <c r="I248" s="5" t="s">
        <v>8220</v>
      </c>
      <c r="K248" s="0" t="s">
        <v>40</v>
      </c>
      <c r="L248" s="0" t="s">
        <v>8327</v>
      </c>
    </row>
    <row r="249" customFormat="false" ht="17.15" hidden="false" customHeight="false" outlineLevel="0" collapsed="false">
      <c r="A249" s="0" t="s">
        <v>8328</v>
      </c>
      <c r="B249" s="0" t="s">
        <v>2084</v>
      </c>
      <c r="C249" s="0" t="s">
        <v>8329</v>
      </c>
      <c r="D249" s="0" t="s">
        <v>8330</v>
      </c>
      <c r="E249" s="0" t="s">
        <v>116</v>
      </c>
      <c r="F249" s="0" t="s">
        <v>8175</v>
      </c>
      <c r="G249" s="0" t="s">
        <v>3317</v>
      </c>
      <c r="H249" s="0" t="s">
        <v>8176</v>
      </c>
      <c r="I249" s="0" t="s">
        <v>8331</v>
      </c>
      <c r="K249" s="0" t="s">
        <v>40</v>
      </c>
      <c r="L249" s="0" t="s">
        <v>7297</v>
      </c>
    </row>
    <row r="250" customFormat="false" ht="17.15" hidden="false" customHeight="false" outlineLevel="0" collapsed="false">
      <c r="A250" s="0" t="s">
        <v>8332</v>
      </c>
      <c r="B250" s="0" t="s">
        <v>2084</v>
      </c>
      <c r="C250" s="0" t="s">
        <v>8333</v>
      </c>
      <c r="D250" s="0" t="s">
        <v>8334</v>
      </c>
      <c r="E250" s="0" t="s">
        <v>116</v>
      </c>
      <c r="F250" s="0" t="s">
        <v>8175</v>
      </c>
      <c r="G250" s="0" t="s">
        <v>3317</v>
      </c>
      <c r="H250" s="0" t="s">
        <v>8202</v>
      </c>
      <c r="I250" s="0" t="s">
        <v>8335</v>
      </c>
      <c r="K250" s="0" t="s">
        <v>40</v>
      </c>
      <c r="L250" s="0" t="s">
        <v>7297</v>
      </c>
    </row>
    <row r="251" customFormat="false" ht="17.15" hidden="false" customHeight="false" outlineLevel="0" collapsed="false">
      <c r="A251" s="0" t="s">
        <v>8336</v>
      </c>
      <c r="B251" s="0" t="s">
        <v>2084</v>
      </c>
      <c r="C251" s="0" t="s">
        <v>8337</v>
      </c>
      <c r="D251" s="0" t="s">
        <v>8338</v>
      </c>
      <c r="E251" s="0" t="s">
        <v>116</v>
      </c>
      <c r="F251" s="0" t="s">
        <v>8175</v>
      </c>
      <c r="G251" s="0" t="s">
        <v>3317</v>
      </c>
      <c r="H251" s="0" t="s">
        <v>8176</v>
      </c>
      <c r="I251" s="0" t="s">
        <v>8339</v>
      </c>
      <c r="J251" s="0" t="s">
        <v>932</v>
      </c>
      <c r="K251" s="5" t="s">
        <v>3313</v>
      </c>
      <c r="L251" s="0" t="s">
        <v>7297</v>
      </c>
    </row>
    <row r="252" customFormat="false" ht="17.15" hidden="false" customHeight="false" outlineLevel="0" collapsed="false">
      <c r="A252" s="0" t="s">
        <v>8340</v>
      </c>
      <c r="B252" s="0" t="s">
        <v>2084</v>
      </c>
      <c r="C252" s="0" t="s">
        <v>8341</v>
      </c>
      <c r="D252" s="0" t="s">
        <v>117</v>
      </c>
      <c r="E252" s="5" t="s">
        <v>81</v>
      </c>
      <c r="F252" s="0" t="s">
        <v>7832</v>
      </c>
      <c r="G252" s="0" t="s">
        <v>3371</v>
      </c>
      <c r="H252" s="0" t="s">
        <v>8176</v>
      </c>
      <c r="I252" s="5" t="s">
        <v>8342</v>
      </c>
      <c r="K252" s="0" t="s">
        <v>40</v>
      </c>
      <c r="L252" s="0" t="s">
        <v>8343</v>
      </c>
    </row>
    <row r="253" customFormat="false" ht="17.15" hidden="false" customHeight="false" outlineLevel="0" collapsed="false">
      <c r="A253" s="0" t="s">
        <v>8344</v>
      </c>
      <c r="B253" s="0" t="s">
        <v>8345</v>
      </c>
      <c r="C253" s="0" t="s">
        <v>8346</v>
      </c>
      <c r="D253" s="0" t="s">
        <v>8334</v>
      </c>
      <c r="E253" s="0" t="s">
        <v>116</v>
      </c>
      <c r="G253" s="0" t="s">
        <v>3317</v>
      </c>
      <c r="H253" s="0" t="s">
        <v>8208</v>
      </c>
      <c r="I253" s="0" t="s">
        <v>8347</v>
      </c>
      <c r="K253" s="0" t="s">
        <v>40</v>
      </c>
      <c r="L253" s="0" t="s">
        <v>7302</v>
      </c>
    </row>
    <row r="254" customFormat="false" ht="17.15" hidden="false" customHeight="false" outlineLevel="0" collapsed="false">
      <c r="A254" s="0" t="s">
        <v>8348</v>
      </c>
      <c r="B254" s="0" t="s">
        <v>8345</v>
      </c>
      <c r="C254" s="0" t="s">
        <v>8349</v>
      </c>
      <c r="D254" s="0" t="s">
        <v>117</v>
      </c>
      <c r="E254" s="5" t="s">
        <v>81</v>
      </c>
      <c r="F254" s="0" t="s">
        <v>7551</v>
      </c>
      <c r="G254" s="0" t="s">
        <v>3371</v>
      </c>
      <c r="H254" s="0" t="s">
        <v>8219</v>
      </c>
      <c r="I254" s="5" t="s">
        <v>8220</v>
      </c>
      <c r="K254" s="0" t="s">
        <v>40</v>
      </c>
      <c r="L254" s="0" t="s">
        <v>8350</v>
      </c>
    </row>
    <row r="255" customFormat="false" ht="17.15" hidden="false" customHeight="false" outlineLevel="0" collapsed="false">
      <c r="A255" s="0" t="s">
        <v>8351</v>
      </c>
      <c r="B255" s="0" t="s">
        <v>8345</v>
      </c>
      <c r="C255" s="0" t="s">
        <v>8352</v>
      </c>
      <c r="D255" s="0" t="s">
        <v>8353</v>
      </c>
      <c r="E255" s="0" t="s">
        <v>116</v>
      </c>
      <c r="G255" s="0" t="s">
        <v>3317</v>
      </c>
      <c r="H255" s="0" t="s">
        <v>8208</v>
      </c>
      <c r="I255" s="0" t="s">
        <v>8354</v>
      </c>
      <c r="K255" s="0" t="s">
        <v>40</v>
      </c>
      <c r="L255" s="0" t="s">
        <v>7302</v>
      </c>
    </row>
    <row r="256" customFormat="false" ht="17.15" hidden="false" customHeight="false" outlineLevel="0" collapsed="false">
      <c r="A256" s="0" t="s">
        <v>8355</v>
      </c>
      <c r="B256" s="0" t="s">
        <v>8345</v>
      </c>
      <c r="C256" s="0" t="s">
        <v>8356</v>
      </c>
      <c r="D256" s="0" t="s">
        <v>8182</v>
      </c>
      <c r="E256" s="5" t="s">
        <v>81</v>
      </c>
      <c r="F256" s="0" t="s">
        <v>8357</v>
      </c>
      <c r="G256" s="0" t="s">
        <v>3371</v>
      </c>
      <c r="H256" s="0" t="s">
        <v>8202</v>
      </c>
      <c r="I256" s="5" t="s">
        <v>8358</v>
      </c>
      <c r="K256" s="0" t="s">
        <v>40</v>
      </c>
      <c r="L256" s="0" t="s">
        <v>8359</v>
      </c>
    </row>
    <row r="257" customFormat="false" ht="17.15" hidden="false" customHeight="false" outlineLevel="0" collapsed="false">
      <c r="A257" s="0" t="s">
        <v>8360</v>
      </c>
      <c r="B257" s="0" t="s">
        <v>8361</v>
      </c>
      <c r="C257" s="0" t="s">
        <v>8362</v>
      </c>
      <c r="D257" s="0" t="s">
        <v>7493</v>
      </c>
      <c r="E257" s="5" t="s">
        <v>81</v>
      </c>
      <c r="F257" s="0" t="s">
        <v>3769</v>
      </c>
      <c r="G257" s="0" t="s">
        <v>3317</v>
      </c>
      <c r="H257" s="0" t="s">
        <v>8219</v>
      </c>
      <c r="I257" s="5" t="s">
        <v>8220</v>
      </c>
      <c r="J257" s="0" t="s">
        <v>883</v>
      </c>
      <c r="K257" s="5" t="s">
        <v>7240</v>
      </c>
      <c r="L257" s="0" t="s">
        <v>8363</v>
      </c>
    </row>
    <row r="258" customFormat="false" ht="17.15" hidden="false" customHeight="false" outlineLevel="0" collapsed="false">
      <c r="A258" s="0" t="s">
        <v>8364</v>
      </c>
      <c r="B258" s="0" t="s">
        <v>8361</v>
      </c>
      <c r="C258" s="0" t="s">
        <v>8365</v>
      </c>
      <c r="D258" s="0" t="s">
        <v>117</v>
      </c>
      <c r="E258" s="5" t="s">
        <v>81</v>
      </c>
      <c r="F258" s="0" t="s">
        <v>8043</v>
      </c>
      <c r="G258" s="0" t="s">
        <v>3371</v>
      </c>
      <c r="H258" s="0" t="s">
        <v>8219</v>
      </c>
      <c r="I258" s="5" t="s">
        <v>8220</v>
      </c>
      <c r="K258" s="0" t="s">
        <v>40</v>
      </c>
      <c r="L258" s="0" t="s">
        <v>8366</v>
      </c>
    </row>
    <row r="259" customFormat="false" ht="17.15" hidden="false" customHeight="false" outlineLevel="0" collapsed="false">
      <c r="A259" s="0" t="s">
        <v>8367</v>
      </c>
      <c r="B259" s="0" t="s">
        <v>8361</v>
      </c>
      <c r="C259" s="0" t="s">
        <v>8368</v>
      </c>
      <c r="D259" s="0" t="s">
        <v>117</v>
      </c>
      <c r="E259" s="5" t="s">
        <v>81</v>
      </c>
      <c r="F259" s="0" t="s">
        <v>8043</v>
      </c>
      <c r="G259" s="0" t="s">
        <v>3371</v>
      </c>
      <c r="H259" s="0" t="s">
        <v>8219</v>
      </c>
      <c r="I259" s="5" t="s">
        <v>8220</v>
      </c>
      <c r="K259" s="0" t="s">
        <v>40</v>
      </c>
      <c r="L259" s="0" t="s">
        <v>8366</v>
      </c>
    </row>
    <row r="260" customFormat="false" ht="17.15" hidden="false" customHeight="false" outlineLevel="0" collapsed="false">
      <c r="A260" s="0" t="s">
        <v>8369</v>
      </c>
      <c r="B260" s="0" t="s">
        <v>1429</v>
      </c>
      <c r="C260" s="0" t="s">
        <v>8370</v>
      </c>
      <c r="D260" s="0" t="s">
        <v>8182</v>
      </c>
      <c r="E260" s="5" t="s">
        <v>81</v>
      </c>
      <c r="F260" s="0" t="s">
        <v>8371</v>
      </c>
      <c r="G260" s="0" t="s">
        <v>3371</v>
      </c>
      <c r="H260" s="0" t="s">
        <v>8224</v>
      </c>
      <c r="I260" s="5" t="s">
        <v>8372</v>
      </c>
      <c r="K260" s="0" t="s">
        <v>40</v>
      </c>
      <c r="L260" s="0" t="s">
        <v>8373</v>
      </c>
    </row>
    <row r="261" customFormat="false" ht="17.15" hidden="false" customHeight="false" outlineLevel="0" collapsed="false">
      <c r="A261" s="0" t="s">
        <v>8374</v>
      </c>
      <c r="B261" s="0" t="s">
        <v>1429</v>
      </c>
      <c r="C261" s="0" t="s">
        <v>8375</v>
      </c>
      <c r="D261" s="0" t="s">
        <v>8376</v>
      </c>
      <c r="E261" s="0" t="s">
        <v>116</v>
      </c>
      <c r="F261" s="0" t="s">
        <v>8357</v>
      </c>
      <c r="G261" s="0" t="s">
        <v>3317</v>
      </c>
      <c r="H261" s="0" t="s">
        <v>8176</v>
      </c>
      <c r="I261" s="0" t="s">
        <v>8377</v>
      </c>
      <c r="K261" s="0" t="s">
        <v>40</v>
      </c>
      <c r="L261" s="0" t="s">
        <v>8378</v>
      </c>
    </row>
    <row r="262" customFormat="false" ht="17.15" hidden="false" customHeight="false" outlineLevel="0" collapsed="false">
      <c r="A262" s="0" t="s">
        <v>8379</v>
      </c>
      <c r="B262" s="0" t="s">
        <v>1429</v>
      </c>
      <c r="C262" s="0" t="s">
        <v>8380</v>
      </c>
      <c r="D262" s="0" t="s">
        <v>8381</v>
      </c>
      <c r="E262" s="0" t="s">
        <v>116</v>
      </c>
      <c r="F262" s="0" t="s">
        <v>8382</v>
      </c>
      <c r="G262" s="0" t="s">
        <v>3317</v>
      </c>
      <c r="H262" s="0" t="s">
        <v>8208</v>
      </c>
      <c r="I262" s="0" t="s">
        <v>8383</v>
      </c>
      <c r="K262" s="0" t="s">
        <v>40</v>
      </c>
      <c r="L262" s="0" t="s">
        <v>8384</v>
      </c>
    </row>
    <row r="263" customFormat="false" ht="17.15" hidden="false" customHeight="false" outlineLevel="0" collapsed="false">
      <c r="A263" s="0" t="s">
        <v>8385</v>
      </c>
      <c r="B263" s="0" t="s">
        <v>8386</v>
      </c>
      <c r="C263" s="0" t="s">
        <v>8387</v>
      </c>
      <c r="D263" s="0" t="s">
        <v>8174</v>
      </c>
      <c r="E263" s="5" t="s">
        <v>81</v>
      </c>
      <c r="F263" s="0" t="s">
        <v>7359</v>
      </c>
      <c r="G263" s="0" t="s">
        <v>3371</v>
      </c>
      <c r="H263" s="0" t="s">
        <v>8224</v>
      </c>
      <c r="I263" s="0" t="s">
        <v>8388</v>
      </c>
      <c r="J263" s="0" t="s">
        <v>953</v>
      </c>
      <c r="K263" s="5" t="s">
        <v>7240</v>
      </c>
      <c r="L263" s="0" t="s">
        <v>8389</v>
      </c>
    </row>
    <row r="264" customFormat="false" ht="17.15" hidden="false" customHeight="false" outlineLevel="0" collapsed="false">
      <c r="A264" s="0" t="s">
        <v>8390</v>
      </c>
      <c r="B264" s="0" t="s">
        <v>8386</v>
      </c>
      <c r="C264" s="0" t="s">
        <v>8391</v>
      </c>
      <c r="D264" s="0" t="s">
        <v>7420</v>
      </c>
      <c r="E264" s="5" t="s">
        <v>81</v>
      </c>
      <c r="F264" s="0" t="s">
        <v>7359</v>
      </c>
      <c r="G264" s="0" t="s">
        <v>3371</v>
      </c>
      <c r="H264" s="0" t="s">
        <v>8176</v>
      </c>
      <c r="I264" s="0" t="s">
        <v>8392</v>
      </c>
      <c r="K264" s="0" t="s">
        <v>40</v>
      </c>
      <c r="L264" s="0" t="s">
        <v>8389</v>
      </c>
    </row>
    <row r="265" customFormat="false" ht="17.15" hidden="false" customHeight="false" outlineLevel="0" collapsed="false">
      <c r="A265" s="0" t="s">
        <v>8393</v>
      </c>
      <c r="B265" s="0" t="s">
        <v>8386</v>
      </c>
      <c r="C265" s="0" t="s">
        <v>8394</v>
      </c>
      <c r="D265" s="0" t="s">
        <v>8395</v>
      </c>
      <c r="E265" s="5" t="s">
        <v>81</v>
      </c>
      <c r="F265" s="0" t="s">
        <v>7359</v>
      </c>
      <c r="G265" s="0" t="s">
        <v>3327</v>
      </c>
      <c r="H265" s="0" t="s">
        <v>8224</v>
      </c>
      <c r="I265" s="5" t="s">
        <v>8396</v>
      </c>
      <c r="J265" s="0" t="s">
        <v>953</v>
      </c>
      <c r="K265" s="5" t="s">
        <v>7240</v>
      </c>
      <c r="L265" s="0" t="s">
        <v>8389</v>
      </c>
    </row>
    <row r="266" customFormat="false" ht="17.15" hidden="false" customHeight="false" outlineLevel="0" collapsed="false">
      <c r="A266" s="0" t="s">
        <v>8397</v>
      </c>
      <c r="B266" s="0" t="s">
        <v>8398</v>
      </c>
      <c r="C266" s="0" t="s">
        <v>8399</v>
      </c>
      <c r="D266" s="0" t="s">
        <v>8182</v>
      </c>
      <c r="E266" s="5" t="s">
        <v>81</v>
      </c>
      <c r="F266" s="0" t="s">
        <v>7366</v>
      </c>
      <c r="G266" s="0" t="s">
        <v>3371</v>
      </c>
      <c r="H266" s="0" t="s">
        <v>8176</v>
      </c>
      <c r="I266" s="0" t="s">
        <v>8400</v>
      </c>
      <c r="K266" s="0" t="s">
        <v>40</v>
      </c>
      <c r="L266" s="0" t="s">
        <v>8401</v>
      </c>
    </row>
    <row r="267" customFormat="false" ht="17.15" hidden="false" customHeight="false" outlineLevel="0" collapsed="false">
      <c r="A267" s="0" t="s">
        <v>8402</v>
      </c>
      <c r="B267" s="0" t="s">
        <v>3958</v>
      </c>
      <c r="C267" s="0" t="s">
        <v>8403</v>
      </c>
      <c r="D267" s="0" t="s">
        <v>8182</v>
      </c>
      <c r="E267" s="5" t="s">
        <v>81</v>
      </c>
      <c r="F267" s="0" t="s">
        <v>7546</v>
      </c>
      <c r="G267" s="0" t="s">
        <v>3371</v>
      </c>
      <c r="H267" s="0" t="s">
        <v>8224</v>
      </c>
      <c r="I267" s="0" t="s">
        <v>8404</v>
      </c>
      <c r="K267" s="0" t="s">
        <v>40</v>
      </c>
      <c r="L267" s="0" t="s">
        <v>8405</v>
      </c>
    </row>
    <row r="268" customFormat="false" ht="17.15" hidden="false" customHeight="false" outlineLevel="0" collapsed="false">
      <c r="A268" s="0" t="s">
        <v>8406</v>
      </c>
      <c r="B268" s="0" t="s">
        <v>3958</v>
      </c>
      <c r="C268" s="0" t="s">
        <v>8407</v>
      </c>
      <c r="D268" s="0" t="s">
        <v>117</v>
      </c>
      <c r="E268" s="5" t="s">
        <v>81</v>
      </c>
      <c r="F268" s="0" t="s">
        <v>8408</v>
      </c>
      <c r="G268" s="0" t="s">
        <v>3317</v>
      </c>
      <c r="H268" s="0" t="s">
        <v>8224</v>
      </c>
      <c r="I268" s="5" t="s">
        <v>8409</v>
      </c>
      <c r="K268" s="0" t="s">
        <v>40</v>
      </c>
      <c r="L268" s="0" t="s">
        <v>8410</v>
      </c>
    </row>
    <row r="269" customFormat="false" ht="17.15" hidden="false" customHeight="false" outlineLevel="0" collapsed="false">
      <c r="A269" s="0" t="s">
        <v>8411</v>
      </c>
      <c r="B269" s="0" t="s">
        <v>3958</v>
      </c>
      <c r="C269" s="0" t="s">
        <v>8412</v>
      </c>
      <c r="D269" s="0" t="s">
        <v>117</v>
      </c>
      <c r="E269" s="5" t="s">
        <v>81</v>
      </c>
      <c r="F269" s="0" t="s">
        <v>8408</v>
      </c>
      <c r="G269" s="0" t="s">
        <v>3317</v>
      </c>
      <c r="H269" s="0" t="s">
        <v>8241</v>
      </c>
      <c r="I269" s="5" t="s">
        <v>8413</v>
      </c>
      <c r="K269" s="0" t="s">
        <v>40</v>
      </c>
      <c r="L269" s="0" t="s">
        <v>8414</v>
      </c>
    </row>
    <row r="270" customFormat="false" ht="17.15" hidden="false" customHeight="false" outlineLevel="0" collapsed="false">
      <c r="A270" s="0" t="s">
        <v>8415</v>
      </c>
      <c r="B270" s="0" t="s">
        <v>3958</v>
      </c>
      <c r="C270" s="0" t="s">
        <v>8416</v>
      </c>
      <c r="D270" s="0" t="s">
        <v>117</v>
      </c>
      <c r="E270" s="5" t="s">
        <v>81</v>
      </c>
      <c r="F270" s="0" t="s">
        <v>8133</v>
      </c>
      <c r="G270" s="0" t="s">
        <v>3371</v>
      </c>
      <c r="H270" s="0" t="s">
        <v>8176</v>
      </c>
      <c r="I270" s="0" t="s">
        <v>8417</v>
      </c>
      <c r="K270" s="0" t="s">
        <v>40</v>
      </c>
      <c r="L270" s="0" t="s">
        <v>8418</v>
      </c>
    </row>
    <row r="271" customFormat="false" ht="17.15" hidden="false" customHeight="false" outlineLevel="0" collapsed="false">
      <c r="A271" s="0" t="s">
        <v>8419</v>
      </c>
      <c r="B271" s="0" t="s">
        <v>8420</v>
      </c>
      <c r="C271" s="0" t="s">
        <v>8421</v>
      </c>
      <c r="D271" s="0" t="s">
        <v>7433</v>
      </c>
      <c r="E271" s="5" t="s">
        <v>81</v>
      </c>
      <c r="F271" s="0" t="s">
        <v>8422</v>
      </c>
      <c r="G271" s="0" t="s">
        <v>3371</v>
      </c>
      <c r="H271" s="0" t="s">
        <v>8176</v>
      </c>
      <c r="I271" s="0" t="s">
        <v>8423</v>
      </c>
      <c r="K271" s="0" t="s">
        <v>40</v>
      </c>
      <c r="L271" s="0" t="s">
        <v>8424</v>
      </c>
    </row>
    <row r="272" customFormat="false" ht="17.15" hidden="false" customHeight="false" outlineLevel="0" collapsed="false">
      <c r="A272" s="0" t="s">
        <v>8425</v>
      </c>
      <c r="B272" s="0" t="s">
        <v>8426</v>
      </c>
      <c r="C272" s="0" t="s">
        <v>8427</v>
      </c>
      <c r="D272" s="0" t="s">
        <v>117</v>
      </c>
      <c r="E272" s="5" t="s">
        <v>81</v>
      </c>
      <c r="F272" s="0" t="s">
        <v>8428</v>
      </c>
      <c r="G272" s="0" t="s">
        <v>3371</v>
      </c>
      <c r="H272" s="0" t="s">
        <v>8219</v>
      </c>
      <c r="I272" s="5" t="s">
        <v>8429</v>
      </c>
      <c r="K272" s="0" t="s">
        <v>40</v>
      </c>
      <c r="L272" s="0" t="s">
        <v>8430</v>
      </c>
    </row>
    <row r="273" customFormat="false" ht="17.15" hidden="false" customHeight="false" outlineLevel="0" collapsed="false">
      <c r="A273" s="0" t="s">
        <v>8431</v>
      </c>
      <c r="B273" s="0" t="s">
        <v>8432</v>
      </c>
      <c r="C273" s="0" t="s">
        <v>8433</v>
      </c>
      <c r="D273" s="0" t="s">
        <v>7177</v>
      </c>
      <c r="E273" s="5" t="s">
        <v>81</v>
      </c>
      <c r="F273" s="0" t="s">
        <v>8434</v>
      </c>
      <c r="G273" s="0" t="s">
        <v>3317</v>
      </c>
      <c r="H273" s="0" t="s">
        <v>8219</v>
      </c>
      <c r="I273" s="5" t="s">
        <v>8435</v>
      </c>
      <c r="K273" s="0" t="s">
        <v>40</v>
      </c>
      <c r="L273" s="0" t="s">
        <v>8436</v>
      </c>
    </row>
    <row r="274" customFormat="false" ht="17.15" hidden="false" customHeight="false" outlineLevel="0" collapsed="false">
      <c r="A274" s="0" t="s">
        <v>8437</v>
      </c>
      <c r="B274" s="0" t="s">
        <v>8438</v>
      </c>
      <c r="C274" s="0" t="s">
        <v>8439</v>
      </c>
      <c r="D274" s="0" t="s">
        <v>8440</v>
      </c>
      <c r="E274" s="5" t="s">
        <v>81</v>
      </c>
      <c r="F274" s="0" t="s">
        <v>8441</v>
      </c>
      <c r="G274" s="0" t="s">
        <v>3317</v>
      </c>
      <c r="H274" s="0" t="s">
        <v>8176</v>
      </c>
      <c r="I274" s="0" t="s">
        <v>8442</v>
      </c>
      <c r="K274" s="0" t="s">
        <v>40</v>
      </c>
      <c r="L274" s="0" t="s">
        <v>8443</v>
      </c>
    </row>
    <row r="275" customFormat="false" ht="17.15" hidden="false" customHeight="false" outlineLevel="0" collapsed="false">
      <c r="A275" s="0" t="s">
        <v>8444</v>
      </c>
      <c r="B275" s="0" t="s">
        <v>8445</v>
      </c>
      <c r="C275" s="0" t="s">
        <v>8446</v>
      </c>
      <c r="D275" s="0" t="s">
        <v>117</v>
      </c>
      <c r="E275" s="5" t="s">
        <v>81</v>
      </c>
      <c r="F275" s="0" t="s">
        <v>8447</v>
      </c>
      <c r="G275" s="0" t="s">
        <v>3371</v>
      </c>
      <c r="H275" s="0" t="s">
        <v>8241</v>
      </c>
      <c r="I275" s="0" t="s">
        <v>8448</v>
      </c>
      <c r="K275" s="0" t="s">
        <v>40</v>
      </c>
      <c r="L275" s="0" t="s">
        <v>8449</v>
      </c>
    </row>
    <row r="276" customFormat="false" ht="17.15" hidden="false" customHeight="false" outlineLevel="0" collapsed="false">
      <c r="A276" s="0" t="s">
        <v>8450</v>
      </c>
      <c r="B276" s="0" t="s">
        <v>8451</v>
      </c>
      <c r="C276" s="0" t="s">
        <v>8452</v>
      </c>
      <c r="D276" s="0" t="s">
        <v>8453</v>
      </c>
      <c r="E276" s="5" t="s">
        <v>81</v>
      </c>
      <c r="F276" s="0" t="s">
        <v>6925</v>
      </c>
      <c r="G276" s="0" t="s">
        <v>3317</v>
      </c>
      <c r="H276" s="0" t="s">
        <v>8176</v>
      </c>
      <c r="I276" s="0" t="s">
        <v>8454</v>
      </c>
      <c r="K276" s="0" t="s">
        <v>40</v>
      </c>
      <c r="L276" s="0" t="s">
        <v>8455</v>
      </c>
    </row>
    <row r="277" customFormat="false" ht="17.15" hidden="false" customHeight="false" outlineLevel="0" collapsed="false">
      <c r="A277" s="0" t="s">
        <v>8456</v>
      </c>
      <c r="B277" s="0" t="s">
        <v>8457</v>
      </c>
      <c r="C277" s="0" t="s">
        <v>8458</v>
      </c>
      <c r="D277" s="0" t="s">
        <v>7662</v>
      </c>
      <c r="E277" s="0" t="s">
        <v>116</v>
      </c>
      <c r="G277" s="0" t="s">
        <v>3371</v>
      </c>
      <c r="H277" s="0" t="s">
        <v>8459</v>
      </c>
      <c r="K277" s="0" t="s">
        <v>40</v>
      </c>
      <c r="L277" s="0" t="s">
        <v>8460</v>
      </c>
    </row>
    <row r="278" customFormat="false" ht="17.15" hidden="false" customHeight="false" outlineLevel="0" collapsed="false">
      <c r="A278" s="0" t="s">
        <v>8461</v>
      </c>
      <c r="B278" s="0" t="s">
        <v>8462</v>
      </c>
      <c r="C278" s="0" t="s">
        <v>8463</v>
      </c>
      <c r="D278" s="0" t="s">
        <v>117</v>
      </c>
      <c r="E278" s="5" t="s">
        <v>81</v>
      </c>
      <c r="G278" s="0" t="s">
        <v>3371</v>
      </c>
      <c r="H278" s="0" t="s">
        <v>8208</v>
      </c>
      <c r="I278" s="5" t="s">
        <v>8464</v>
      </c>
      <c r="K278" s="0" t="s">
        <v>40</v>
      </c>
      <c r="L278" s="0" t="s">
        <v>8465</v>
      </c>
    </row>
    <row r="279" customFormat="false" ht="17.15" hidden="false" customHeight="false" outlineLevel="0" collapsed="false">
      <c r="A279" s="0" t="s">
        <v>8466</v>
      </c>
      <c r="B279" s="0" t="s">
        <v>8462</v>
      </c>
      <c r="C279" s="0" t="s">
        <v>8467</v>
      </c>
      <c r="D279" s="0" t="s">
        <v>7430</v>
      </c>
      <c r="E279" s="5" t="s">
        <v>81</v>
      </c>
      <c r="G279" s="0" t="s">
        <v>3371</v>
      </c>
      <c r="H279" s="0" t="s">
        <v>8202</v>
      </c>
      <c r="I279" s="0" t="s">
        <v>8468</v>
      </c>
      <c r="K279" s="0" t="s">
        <v>40</v>
      </c>
      <c r="L279" s="0" t="s">
        <v>8469</v>
      </c>
    </row>
    <row r="280" customFormat="false" ht="17.15" hidden="false" customHeight="false" outlineLevel="0" collapsed="false">
      <c r="A280" s="0" t="s">
        <v>8470</v>
      </c>
      <c r="B280" s="0" t="s">
        <v>8471</v>
      </c>
      <c r="C280" s="0" t="s">
        <v>8472</v>
      </c>
      <c r="D280" s="0" t="s">
        <v>8473</v>
      </c>
      <c r="E280" s="5" t="s">
        <v>81</v>
      </c>
      <c r="F280" s="0" t="s">
        <v>7534</v>
      </c>
      <c r="G280" s="0" t="s">
        <v>3317</v>
      </c>
      <c r="H280" s="0" t="s">
        <v>8219</v>
      </c>
      <c r="I280" s="5" t="s">
        <v>8220</v>
      </c>
      <c r="K280" s="0" t="s">
        <v>40</v>
      </c>
      <c r="L280" s="0" t="s">
        <v>8474</v>
      </c>
    </row>
    <row r="281" customFormat="false" ht="17.15" hidden="false" customHeight="false" outlineLevel="0" collapsed="false">
      <c r="A281" s="0" t="s">
        <v>8475</v>
      </c>
      <c r="B281" s="0" t="s">
        <v>8476</v>
      </c>
      <c r="C281" s="0" t="s">
        <v>8477</v>
      </c>
      <c r="D281" s="0" t="s">
        <v>7817</v>
      </c>
      <c r="E281" s="0" t="s">
        <v>116</v>
      </c>
      <c r="F281" s="0" t="s">
        <v>7475</v>
      </c>
      <c r="G281" s="0" t="s">
        <v>3371</v>
      </c>
      <c r="H281" s="0" t="s">
        <v>8219</v>
      </c>
      <c r="I281" s="5" t="s">
        <v>8478</v>
      </c>
      <c r="K281" s="0" t="s">
        <v>40</v>
      </c>
      <c r="L281" s="0" t="s">
        <v>8479</v>
      </c>
    </row>
    <row r="282" customFormat="false" ht="17.15" hidden="false" customHeight="false" outlineLevel="0" collapsed="false">
      <c r="A282" s="0" t="s">
        <v>8480</v>
      </c>
      <c r="B282" s="0" t="s">
        <v>8476</v>
      </c>
      <c r="C282" s="0" t="s">
        <v>8481</v>
      </c>
      <c r="D282" s="0" t="s">
        <v>8482</v>
      </c>
      <c r="E282" s="0" t="s">
        <v>116</v>
      </c>
      <c r="F282" s="0" t="s">
        <v>7255</v>
      </c>
      <c r="G282" s="0" t="s">
        <v>3317</v>
      </c>
      <c r="H282" s="0" t="s">
        <v>8176</v>
      </c>
      <c r="I282" s="0" t="s">
        <v>8483</v>
      </c>
      <c r="K282" s="0" t="s">
        <v>40</v>
      </c>
      <c r="L282" s="0" t="s">
        <v>8484</v>
      </c>
    </row>
    <row r="283" customFormat="false" ht="17.15" hidden="false" customHeight="false" outlineLevel="0" collapsed="false">
      <c r="A283" s="0" t="s">
        <v>8485</v>
      </c>
      <c r="B283" s="0" t="s">
        <v>8476</v>
      </c>
      <c r="C283" s="0" t="s">
        <v>8486</v>
      </c>
      <c r="D283" s="0" t="s">
        <v>7817</v>
      </c>
      <c r="E283" s="0" t="s">
        <v>116</v>
      </c>
      <c r="F283" s="0" t="s">
        <v>8487</v>
      </c>
      <c r="G283" s="0" t="s">
        <v>3371</v>
      </c>
      <c r="H283" s="0" t="s">
        <v>8219</v>
      </c>
      <c r="I283" s="5" t="s">
        <v>8220</v>
      </c>
      <c r="K283" s="0" t="s">
        <v>40</v>
      </c>
      <c r="L283" s="0" t="s">
        <v>8488</v>
      </c>
    </row>
    <row r="284" customFormat="false" ht="17.15" hidden="false" customHeight="false" outlineLevel="0" collapsed="false">
      <c r="A284" s="0" t="s">
        <v>8489</v>
      </c>
      <c r="B284" s="0" t="s">
        <v>8476</v>
      </c>
      <c r="C284" s="0" t="s">
        <v>8490</v>
      </c>
      <c r="D284" s="0" t="s">
        <v>8491</v>
      </c>
      <c r="E284" s="5" t="s">
        <v>172</v>
      </c>
      <c r="F284" s="0" t="s">
        <v>7475</v>
      </c>
      <c r="G284" s="0" t="s">
        <v>3371</v>
      </c>
      <c r="H284" s="0" t="s">
        <v>8219</v>
      </c>
      <c r="I284" s="5" t="s">
        <v>8478</v>
      </c>
      <c r="K284" s="0" t="s">
        <v>40</v>
      </c>
      <c r="L284" s="0" t="s">
        <v>8479</v>
      </c>
    </row>
    <row r="285" customFormat="false" ht="17.15" hidden="false" customHeight="false" outlineLevel="0" collapsed="false">
      <c r="A285" s="0" t="s">
        <v>8492</v>
      </c>
      <c r="B285" s="0" t="s">
        <v>8493</v>
      </c>
      <c r="C285" s="0" t="s">
        <v>8494</v>
      </c>
      <c r="D285" s="0" t="s">
        <v>8300</v>
      </c>
      <c r="E285" s="0" t="s">
        <v>116</v>
      </c>
      <c r="F285" s="0" t="s">
        <v>8408</v>
      </c>
      <c r="G285" s="0" t="s">
        <v>3371</v>
      </c>
      <c r="H285" s="0" t="s">
        <v>8208</v>
      </c>
      <c r="I285" s="0" t="s">
        <v>8495</v>
      </c>
      <c r="K285" s="0" t="s">
        <v>40</v>
      </c>
      <c r="L285" s="0" t="s">
        <v>8496</v>
      </c>
    </row>
    <row r="286" customFormat="false" ht="17.15" hidden="false" customHeight="false" outlineLevel="0" collapsed="false">
      <c r="A286" s="0" t="s">
        <v>8497</v>
      </c>
      <c r="B286" s="0" t="s">
        <v>8493</v>
      </c>
      <c r="C286" s="0" t="s">
        <v>8498</v>
      </c>
      <c r="D286" s="0" t="s">
        <v>8499</v>
      </c>
      <c r="E286" s="0" t="s">
        <v>116</v>
      </c>
      <c r="F286" s="0" t="s">
        <v>8500</v>
      </c>
      <c r="G286" s="0" t="s">
        <v>3371</v>
      </c>
      <c r="H286" s="0" t="s">
        <v>8224</v>
      </c>
      <c r="I286" s="5" t="s">
        <v>8501</v>
      </c>
      <c r="K286" s="0" t="s">
        <v>40</v>
      </c>
      <c r="L286" s="0" t="s">
        <v>8502</v>
      </c>
    </row>
    <row r="287" customFormat="false" ht="17.15" hidden="false" customHeight="false" outlineLevel="0" collapsed="false">
      <c r="A287" s="0" t="s">
        <v>8503</v>
      </c>
      <c r="B287" s="0" t="s">
        <v>8493</v>
      </c>
      <c r="C287" s="0" t="s">
        <v>8504</v>
      </c>
      <c r="D287" s="0" t="s">
        <v>8505</v>
      </c>
      <c r="E287" s="0" t="s">
        <v>116</v>
      </c>
      <c r="F287" s="0" t="s">
        <v>8024</v>
      </c>
      <c r="G287" s="0" t="s">
        <v>3371</v>
      </c>
      <c r="H287" s="0" t="s">
        <v>8176</v>
      </c>
      <c r="I287" s="0" t="s">
        <v>8506</v>
      </c>
      <c r="K287" s="0" t="s">
        <v>40</v>
      </c>
      <c r="L287" s="0" t="s">
        <v>8507</v>
      </c>
    </row>
    <row r="288" customFormat="false" ht="17.15" hidden="false" customHeight="false" outlineLevel="0" collapsed="false">
      <c r="A288" s="0" t="s">
        <v>8508</v>
      </c>
      <c r="B288" s="0" t="s">
        <v>8493</v>
      </c>
      <c r="C288" s="0" t="s">
        <v>8509</v>
      </c>
      <c r="D288" s="0" t="s">
        <v>8505</v>
      </c>
      <c r="E288" s="0" t="s">
        <v>116</v>
      </c>
      <c r="F288" s="0" t="s">
        <v>8408</v>
      </c>
      <c r="G288" s="0" t="s">
        <v>3371</v>
      </c>
      <c r="H288" s="0" t="s">
        <v>8208</v>
      </c>
      <c r="I288" s="0" t="s">
        <v>8510</v>
      </c>
      <c r="K288" s="0" t="s">
        <v>40</v>
      </c>
      <c r="L288" s="0" t="s">
        <v>8496</v>
      </c>
    </row>
    <row r="289" customFormat="false" ht="17.15" hidden="false" customHeight="false" outlineLevel="0" collapsed="false">
      <c r="A289" s="0" t="s">
        <v>8511</v>
      </c>
      <c r="B289" s="0" t="s">
        <v>8493</v>
      </c>
      <c r="C289" s="0" t="s">
        <v>8512</v>
      </c>
      <c r="D289" s="0" t="s">
        <v>8513</v>
      </c>
      <c r="E289" s="0" t="s">
        <v>116</v>
      </c>
      <c r="F289" s="0" t="s">
        <v>7551</v>
      </c>
      <c r="G289" s="0" t="s">
        <v>3371</v>
      </c>
      <c r="H289" s="0" t="s">
        <v>8219</v>
      </c>
      <c r="I289" s="5" t="s">
        <v>8220</v>
      </c>
      <c r="K289" s="0" t="s">
        <v>40</v>
      </c>
      <c r="L289" s="0" t="s">
        <v>8514</v>
      </c>
    </row>
    <row r="290" customFormat="false" ht="17.15" hidden="false" customHeight="false" outlineLevel="0" collapsed="false">
      <c r="A290" s="0" t="s">
        <v>8515</v>
      </c>
      <c r="B290" s="0" t="s">
        <v>8516</v>
      </c>
      <c r="C290" s="0" t="s">
        <v>8517</v>
      </c>
      <c r="D290" s="0" t="s">
        <v>8482</v>
      </c>
      <c r="E290" s="5" t="s">
        <v>81</v>
      </c>
      <c r="F290" s="0" t="s">
        <v>7366</v>
      </c>
      <c r="G290" s="0" t="s">
        <v>3317</v>
      </c>
      <c r="H290" s="0" t="s">
        <v>8219</v>
      </c>
      <c r="I290" s="5" t="s">
        <v>8220</v>
      </c>
      <c r="K290" s="0" t="s">
        <v>40</v>
      </c>
      <c r="L290" s="0" t="s">
        <v>8518</v>
      </c>
    </row>
    <row r="291" customFormat="false" ht="17.15" hidden="false" customHeight="false" outlineLevel="0" collapsed="false">
      <c r="A291" s="0" t="s">
        <v>8519</v>
      </c>
      <c r="B291" s="0" t="s">
        <v>8516</v>
      </c>
      <c r="C291" s="0" t="s">
        <v>8520</v>
      </c>
      <c r="D291" s="0" t="s">
        <v>8521</v>
      </c>
      <c r="E291" s="5" t="s">
        <v>81</v>
      </c>
      <c r="F291" s="0" t="s">
        <v>8522</v>
      </c>
      <c r="G291" s="0" t="s">
        <v>3317</v>
      </c>
      <c r="H291" s="0" t="s">
        <v>8176</v>
      </c>
      <c r="I291" s="0" t="s">
        <v>8523</v>
      </c>
      <c r="K291" s="0" t="s">
        <v>40</v>
      </c>
      <c r="L291" s="0" t="s">
        <v>8524</v>
      </c>
    </row>
    <row r="292" customFormat="false" ht="17.15" hidden="false" customHeight="false" outlineLevel="0" collapsed="false">
      <c r="A292" s="0" t="s">
        <v>8525</v>
      </c>
      <c r="B292" s="0" t="s">
        <v>1467</v>
      </c>
      <c r="C292" s="0" t="s">
        <v>8526</v>
      </c>
      <c r="D292" s="0" t="s">
        <v>8527</v>
      </c>
      <c r="E292" s="5" t="s">
        <v>81</v>
      </c>
      <c r="F292" s="0" t="s">
        <v>8528</v>
      </c>
      <c r="G292" s="0" t="s">
        <v>3371</v>
      </c>
      <c r="H292" s="0" t="s">
        <v>8176</v>
      </c>
      <c r="I292" s="0" t="s">
        <v>8529</v>
      </c>
      <c r="K292" s="0" t="s">
        <v>40</v>
      </c>
      <c r="L292" s="0" t="s">
        <v>8530</v>
      </c>
    </row>
    <row r="293" customFormat="false" ht="17.15" hidden="false" customHeight="false" outlineLevel="0" collapsed="false">
      <c r="A293" s="0" t="s">
        <v>8531</v>
      </c>
      <c r="B293" s="0" t="s">
        <v>1467</v>
      </c>
      <c r="C293" s="0" t="s">
        <v>8532</v>
      </c>
      <c r="D293" s="0" t="s">
        <v>7581</v>
      </c>
      <c r="E293" s="5" t="s">
        <v>81</v>
      </c>
      <c r="F293" s="0" t="s">
        <v>8533</v>
      </c>
      <c r="G293" s="0" t="s">
        <v>3371</v>
      </c>
      <c r="H293" s="0" t="s">
        <v>8219</v>
      </c>
      <c r="I293" s="5" t="s">
        <v>8478</v>
      </c>
      <c r="K293" s="0" t="s">
        <v>40</v>
      </c>
      <c r="L293" s="0" t="s">
        <v>8534</v>
      </c>
    </row>
    <row r="294" customFormat="false" ht="17.15" hidden="false" customHeight="false" outlineLevel="0" collapsed="false">
      <c r="A294" s="0" t="s">
        <v>8535</v>
      </c>
      <c r="B294" s="0" t="s">
        <v>1467</v>
      </c>
      <c r="C294" s="0" t="s">
        <v>8536</v>
      </c>
      <c r="D294" s="0" t="s">
        <v>8499</v>
      </c>
      <c r="E294" s="5" t="s">
        <v>81</v>
      </c>
      <c r="F294" s="0" t="s">
        <v>8537</v>
      </c>
      <c r="G294" s="0" t="s">
        <v>3371</v>
      </c>
      <c r="H294" s="0" t="s">
        <v>8176</v>
      </c>
      <c r="I294" s="5" t="s">
        <v>8538</v>
      </c>
      <c r="J294" s="0" t="s">
        <v>880</v>
      </c>
      <c r="K294" s="5" t="s">
        <v>7240</v>
      </c>
      <c r="L294" s="0" t="s">
        <v>8539</v>
      </c>
    </row>
    <row r="295" customFormat="false" ht="17.15" hidden="false" customHeight="false" outlineLevel="0" collapsed="false">
      <c r="A295" s="0" t="s">
        <v>8540</v>
      </c>
      <c r="B295" s="0" t="s">
        <v>1467</v>
      </c>
      <c r="C295" s="0" t="s">
        <v>8541</v>
      </c>
      <c r="D295" s="0" t="s">
        <v>7493</v>
      </c>
      <c r="E295" s="5" t="s">
        <v>81</v>
      </c>
      <c r="F295" s="0" t="s">
        <v>8537</v>
      </c>
      <c r="G295" s="0" t="s">
        <v>3371</v>
      </c>
      <c r="H295" s="0" t="s">
        <v>8176</v>
      </c>
      <c r="I295" s="0" t="s">
        <v>8542</v>
      </c>
      <c r="K295" s="0" t="s">
        <v>40</v>
      </c>
      <c r="L295" s="0" t="s">
        <v>8539</v>
      </c>
    </row>
    <row r="296" customFormat="false" ht="17.15" hidden="false" customHeight="false" outlineLevel="0" collapsed="false">
      <c r="A296" s="0" t="s">
        <v>8543</v>
      </c>
      <c r="B296" s="0" t="s">
        <v>1486</v>
      </c>
      <c r="C296" s="0" t="s">
        <v>8544</v>
      </c>
      <c r="D296" s="0" t="s">
        <v>7517</v>
      </c>
      <c r="E296" s="5" t="s">
        <v>81</v>
      </c>
      <c r="F296" s="0" t="s">
        <v>3769</v>
      </c>
      <c r="G296" s="0" t="s">
        <v>3371</v>
      </c>
      <c r="H296" s="0" t="s">
        <v>8176</v>
      </c>
      <c r="I296" s="0" t="s">
        <v>8545</v>
      </c>
      <c r="J296" s="0" t="s">
        <v>870</v>
      </c>
      <c r="K296" s="5" t="s">
        <v>3313</v>
      </c>
      <c r="L296" s="0" t="s">
        <v>8546</v>
      </c>
    </row>
    <row r="297" customFormat="false" ht="17.15" hidden="false" customHeight="false" outlineLevel="0" collapsed="false">
      <c r="A297" s="0" t="s">
        <v>8547</v>
      </c>
      <c r="B297" s="0" t="s">
        <v>1486</v>
      </c>
      <c r="C297" s="0" t="s">
        <v>8548</v>
      </c>
      <c r="D297" s="0" t="s">
        <v>7521</v>
      </c>
      <c r="E297" s="5" t="s">
        <v>81</v>
      </c>
      <c r="G297" s="0" t="s">
        <v>3371</v>
      </c>
      <c r="H297" s="0" t="s">
        <v>8176</v>
      </c>
      <c r="I297" s="0" t="s">
        <v>8549</v>
      </c>
      <c r="J297" s="0" t="s">
        <v>874</v>
      </c>
      <c r="K297" s="5" t="s">
        <v>7240</v>
      </c>
      <c r="L297" s="0" t="s">
        <v>8550</v>
      </c>
    </row>
    <row r="298" customFormat="false" ht="17.15" hidden="false" customHeight="false" outlineLevel="0" collapsed="false">
      <c r="A298" s="0" t="s">
        <v>8551</v>
      </c>
      <c r="B298" s="0" t="s">
        <v>1486</v>
      </c>
      <c r="C298" s="0" t="s">
        <v>8552</v>
      </c>
      <c r="D298" s="0" t="s">
        <v>7739</v>
      </c>
      <c r="E298" s="5" t="s">
        <v>81</v>
      </c>
      <c r="G298" s="0" t="s">
        <v>3371</v>
      </c>
      <c r="H298" s="0" t="s">
        <v>8176</v>
      </c>
      <c r="I298" s="0" t="s">
        <v>8553</v>
      </c>
      <c r="K298" s="0" t="s">
        <v>40</v>
      </c>
      <c r="L298" s="0" t="s">
        <v>8554</v>
      </c>
    </row>
    <row r="299" customFormat="false" ht="17.15" hidden="false" customHeight="false" outlineLevel="0" collapsed="false">
      <c r="A299" s="0" t="s">
        <v>8555</v>
      </c>
      <c r="B299" s="0" t="s">
        <v>8556</v>
      </c>
      <c r="C299" s="0" t="s">
        <v>8557</v>
      </c>
      <c r="D299" s="0" t="s">
        <v>7493</v>
      </c>
      <c r="E299" s="5" t="s">
        <v>81</v>
      </c>
      <c r="F299" s="0" t="s">
        <v>8382</v>
      </c>
      <c r="G299" s="0" t="s">
        <v>3371</v>
      </c>
      <c r="H299" s="0" t="s">
        <v>8176</v>
      </c>
      <c r="I299" s="0" t="s">
        <v>8558</v>
      </c>
      <c r="K299" s="0" t="s">
        <v>40</v>
      </c>
      <c r="L299" s="0" t="s">
        <v>8559</v>
      </c>
    </row>
    <row r="300" customFormat="false" ht="17.15" hidden="false" customHeight="false" outlineLevel="0" collapsed="false">
      <c r="A300" s="0" t="s">
        <v>8560</v>
      </c>
      <c r="B300" s="0" t="s">
        <v>8561</v>
      </c>
      <c r="C300" s="0" t="s">
        <v>8562</v>
      </c>
      <c r="D300" s="0" t="s">
        <v>7568</v>
      </c>
      <c r="E300" s="0" t="s">
        <v>116</v>
      </c>
      <c r="F300" s="0" t="s">
        <v>8563</v>
      </c>
      <c r="G300" s="0" t="s">
        <v>3317</v>
      </c>
      <c r="H300" s="0" t="s">
        <v>8176</v>
      </c>
      <c r="I300" s="0" t="s">
        <v>8564</v>
      </c>
      <c r="K300" s="0" t="s">
        <v>40</v>
      </c>
      <c r="L300" s="0" t="s">
        <v>8565</v>
      </c>
    </row>
    <row r="301" customFormat="false" ht="17.15" hidden="false" customHeight="false" outlineLevel="0" collapsed="false">
      <c r="A301" s="0" t="s">
        <v>8566</v>
      </c>
      <c r="B301" s="0" t="s">
        <v>8567</v>
      </c>
      <c r="C301" s="0" t="s">
        <v>8568</v>
      </c>
      <c r="D301" s="0" t="s">
        <v>117</v>
      </c>
      <c r="E301" s="5" t="s">
        <v>81</v>
      </c>
      <c r="F301" s="0" t="s">
        <v>7323</v>
      </c>
      <c r="G301" s="0" t="s">
        <v>3317</v>
      </c>
      <c r="H301" s="0" t="s">
        <v>8241</v>
      </c>
      <c r="I301" s="0" t="s">
        <v>8569</v>
      </c>
      <c r="K301" s="0" t="s">
        <v>40</v>
      </c>
      <c r="L301" s="0" t="s">
        <v>8570</v>
      </c>
    </row>
    <row r="302" customFormat="false" ht="17.15" hidden="false" customHeight="false" outlineLevel="0" collapsed="false">
      <c r="A302" s="0" t="s">
        <v>8571</v>
      </c>
      <c r="B302" s="0" t="s">
        <v>3983</v>
      </c>
      <c r="C302" s="0" t="s">
        <v>8572</v>
      </c>
      <c r="D302" s="0" t="s">
        <v>7568</v>
      </c>
      <c r="E302" s="0" t="s">
        <v>116</v>
      </c>
      <c r="F302" s="0" t="s">
        <v>8071</v>
      </c>
      <c r="G302" s="0" t="s">
        <v>3371</v>
      </c>
      <c r="H302" s="0" t="s">
        <v>8219</v>
      </c>
      <c r="I302" s="5" t="s">
        <v>8220</v>
      </c>
      <c r="K302" s="0" t="s">
        <v>40</v>
      </c>
      <c r="L302" s="0" t="s">
        <v>8573</v>
      </c>
    </row>
    <row r="303" customFormat="false" ht="17.15" hidden="false" customHeight="false" outlineLevel="0" collapsed="false">
      <c r="A303" s="0" t="s">
        <v>8574</v>
      </c>
      <c r="B303" s="0" t="s">
        <v>3983</v>
      </c>
      <c r="C303" s="0" t="s">
        <v>8575</v>
      </c>
      <c r="D303" s="0" t="s">
        <v>7568</v>
      </c>
      <c r="E303" s="0" t="s">
        <v>116</v>
      </c>
      <c r="F303" s="0" t="s">
        <v>7534</v>
      </c>
      <c r="G303" s="0" t="s">
        <v>3371</v>
      </c>
      <c r="H303" s="0" t="s">
        <v>8219</v>
      </c>
      <c r="I303" s="5" t="s">
        <v>8220</v>
      </c>
      <c r="K303" s="0" t="s">
        <v>40</v>
      </c>
      <c r="L303" s="0" t="s">
        <v>8576</v>
      </c>
    </row>
    <row r="304" customFormat="false" ht="17.15" hidden="false" customHeight="false" outlineLevel="0" collapsed="false">
      <c r="A304" s="0" t="s">
        <v>8577</v>
      </c>
      <c r="B304" s="0" t="s">
        <v>3983</v>
      </c>
      <c r="C304" s="0" t="s">
        <v>8578</v>
      </c>
      <c r="D304" s="0" t="s">
        <v>7568</v>
      </c>
      <c r="E304" s="0" t="s">
        <v>116</v>
      </c>
      <c r="F304" s="0" t="s">
        <v>7534</v>
      </c>
      <c r="G304" s="0" t="s">
        <v>3371</v>
      </c>
      <c r="H304" s="0" t="s">
        <v>8219</v>
      </c>
      <c r="I304" s="5" t="s">
        <v>8220</v>
      </c>
      <c r="K304" s="0" t="s">
        <v>40</v>
      </c>
      <c r="L304" s="0" t="s">
        <v>8576</v>
      </c>
    </row>
    <row r="305" customFormat="false" ht="17.15" hidden="false" customHeight="false" outlineLevel="0" collapsed="false">
      <c r="A305" s="0" t="s">
        <v>8579</v>
      </c>
      <c r="B305" s="0" t="s">
        <v>3983</v>
      </c>
      <c r="C305" s="0" t="s">
        <v>8580</v>
      </c>
      <c r="D305" s="0" t="s">
        <v>7568</v>
      </c>
      <c r="E305" s="0" t="s">
        <v>116</v>
      </c>
      <c r="F305" s="0" t="s">
        <v>7534</v>
      </c>
      <c r="G305" s="0" t="s">
        <v>3371</v>
      </c>
      <c r="H305" s="0" t="s">
        <v>8219</v>
      </c>
      <c r="I305" s="5" t="s">
        <v>8220</v>
      </c>
      <c r="K305" s="0" t="s">
        <v>40</v>
      </c>
      <c r="L305" s="0" t="s">
        <v>8576</v>
      </c>
    </row>
    <row r="306" customFormat="false" ht="17.15" hidden="false" customHeight="false" outlineLevel="0" collapsed="false">
      <c r="A306" s="0" t="s">
        <v>8581</v>
      </c>
      <c r="B306" s="0" t="s">
        <v>3983</v>
      </c>
      <c r="C306" s="0" t="s">
        <v>8582</v>
      </c>
      <c r="D306" s="0" t="s">
        <v>7732</v>
      </c>
      <c r="E306" s="5" t="s">
        <v>81</v>
      </c>
      <c r="F306" s="0" t="s">
        <v>7678</v>
      </c>
      <c r="G306" s="0" t="s">
        <v>3371</v>
      </c>
      <c r="H306" s="0" t="s">
        <v>8208</v>
      </c>
      <c r="I306" s="0" t="s">
        <v>8583</v>
      </c>
      <c r="K306" s="0" t="s">
        <v>40</v>
      </c>
      <c r="L306" s="0" t="s">
        <v>8584</v>
      </c>
    </row>
    <row r="307" customFormat="false" ht="17.15" hidden="false" customHeight="false" outlineLevel="0" collapsed="false">
      <c r="A307" s="0" t="s">
        <v>8585</v>
      </c>
      <c r="B307" s="0" t="s">
        <v>3978</v>
      </c>
      <c r="C307" s="0" t="s">
        <v>8586</v>
      </c>
      <c r="D307" s="0" t="s">
        <v>8587</v>
      </c>
      <c r="E307" s="5" t="s">
        <v>81</v>
      </c>
      <c r="F307" s="0" t="s">
        <v>3392</v>
      </c>
      <c r="G307" s="0" t="s">
        <v>3371</v>
      </c>
      <c r="H307" s="0" t="s">
        <v>8219</v>
      </c>
      <c r="I307" s="5" t="s">
        <v>8478</v>
      </c>
      <c r="K307" s="0" t="s">
        <v>40</v>
      </c>
      <c r="L307" s="0" t="s">
        <v>8588</v>
      </c>
    </row>
    <row r="308" customFormat="false" ht="17.15" hidden="false" customHeight="false" outlineLevel="0" collapsed="false">
      <c r="A308" s="0" t="s">
        <v>8589</v>
      </c>
      <c r="B308" s="0" t="s">
        <v>3978</v>
      </c>
      <c r="C308" s="0" t="s">
        <v>8590</v>
      </c>
      <c r="D308" s="0" t="s">
        <v>8499</v>
      </c>
      <c r="E308" s="5" t="s">
        <v>81</v>
      </c>
      <c r="F308" s="0" t="s">
        <v>3392</v>
      </c>
      <c r="G308" s="0" t="s">
        <v>3371</v>
      </c>
      <c r="H308" s="0" t="s">
        <v>8219</v>
      </c>
      <c r="I308" s="5" t="s">
        <v>8478</v>
      </c>
      <c r="K308" s="0" t="s">
        <v>40</v>
      </c>
      <c r="L308" s="0" t="s">
        <v>8588</v>
      </c>
    </row>
    <row r="309" customFormat="false" ht="17.15" hidden="false" customHeight="false" outlineLevel="0" collapsed="false">
      <c r="A309" s="0" t="s">
        <v>8591</v>
      </c>
      <c r="B309" s="0" t="s">
        <v>3970</v>
      </c>
      <c r="C309" s="0" t="s">
        <v>8592</v>
      </c>
      <c r="D309" s="0" t="s">
        <v>7568</v>
      </c>
      <c r="E309" s="5" t="s">
        <v>81</v>
      </c>
      <c r="F309" s="0" t="s">
        <v>8593</v>
      </c>
      <c r="G309" s="0" t="s">
        <v>3371</v>
      </c>
      <c r="H309" s="0" t="s">
        <v>8176</v>
      </c>
      <c r="I309" s="0" t="s">
        <v>8594</v>
      </c>
      <c r="K309" s="0" t="s">
        <v>40</v>
      </c>
      <c r="L309" s="0" t="s">
        <v>8595</v>
      </c>
    </row>
    <row r="310" customFormat="false" ht="17.15" hidden="false" customHeight="false" outlineLevel="0" collapsed="false">
      <c r="A310" s="0" t="s">
        <v>8596</v>
      </c>
      <c r="B310" s="0" t="s">
        <v>3970</v>
      </c>
      <c r="C310" s="0" t="s">
        <v>8597</v>
      </c>
      <c r="D310" s="0" t="s">
        <v>8598</v>
      </c>
      <c r="E310" s="5" t="s">
        <v>81</v>
      </c>
      <c r="F310" s="0" t="s">
        <v>8599</v>
      </c>
      <c r="G310" s="0" t="s">
        <v>3371</v>
      </c>
      <c r="H310" s="0" t="s">
        <v>8202</v>
      </c>
      <c r="I310" s="0" t="s">
        <v>8600</v>
      </c>
      <c r="K310" s="0" t="s">
        <v>40</v>
      </c>
      <c r="L310" s="0" t="s">
        <v>8601</v>
      </c>
    </row>
    <row r="311" customFormat="false" ht="17.15" hidden="false" customHeight="false" outlineLevel="0" collapsed="false">
      <c r="A311" s="0" t="s">
        <v>8602</v>
      </c>
      <c r="B311" s="0" t="s">
        <v>8603</v>
      </c>
      <c r="C311" s="0" t="s">
        <v>8604</v>
      </c>
      <c r="D311" s="0" t="s">
        <v>8605</v>
      </c>
      <c r="E311" s="5" t="s">
        <v>81</v>
      </c>
      <c r="F311" s="0" t="s">
        <v>7560</v>
      </c>
      <c r="G311" s="0" t="s">
        <v>3317</v>
      </c>
      <c r="H311" s="0" t="s">
        <v>8219</v>
      </c>
      <c r="I311" s="5" t="s">
        <v>8220</v>
      </c>
      <c r="K311" s="0" t="s">
        <v>40</v>
      </c>
      <c r="L311" s="0" t="s">
        <v>8606</v>
      </c>
    </row>
    <row r="312" customFormat="false" ht="17.15" hidden="false" customHeight="false" outlineLevel="0" collapsed="false">
      <c r="A312" s="0" t="s">
        <v>8607</v>
      </c>
      <c r="B312" s="0" t="s">
        <v>8603</v>
      </c>
      <c r="C312" s="0" t="s">
        <v>8608</v>
      </c>
      <c r="D312" s="0" t="s">
        <v>8609</v>
      </c>
      <c r="E312" s="5" t="s">
        <v>81</v>
      </c>
      <c r="F312" s="0" t="s">
        <v>7560</v>
      </c>
      <c r="G312" s="0" t="s">
        <v>3317</v>
      </c>
      <c r="H312" s="0" t="s">
        <v>8219</v>
      </c>
      <c r="I312" s="5" t="s">
        <v>8220</v>
      </c>
      <c r="K312" s="0" t="s">
        <v>40</v>
      </c>
      <c r="L312" s="0" t="s">
        <v>8606</v>
      </c>
    </row>
    <row r="313" customFormat="false" ht="17.15" hidden="false" customHeight="false" outlineLevel="0" collapsed="false">
      <c r="A313" s="0" t="s">
        <v>8610</v>
      </c>
      <c r="B313" s="0" t="s">
        <v>3970</v>
      </c>
      <c r="C313" s="0" t="s">
        <v>8611</v>
      </c>
      <c r="D313" s="0" t="s">
        <v>7177</v>
      </c>
      <c r="E313" s="5" t="s">
        <v>81</v>
      </c>
      <c r="F313" s="0" t="s">
        <v>7573</v>
      </c>
      <c r="G313" s="0" t="s">
        <v>3371</v>
      </c>
      <c r="H313" s="0" t="s">
        <v>8176</v>
      </c>
      <c r="I313" s="0" t="s">
        <v>8612</v>
      </c>
      <c r="K313" s="0" t="s">
        <v>40</v>
      </c>
      <c r="L313" s="0" t="s">
        <v>8613</v>
      </c>
    </row>
    <row r="314" customFormat="false" ht="17.15" hidden="false" customHeight="false" outlineLevel="0" collapsed="false">
      <c r="A314" s="0" t="s">
        <v>8614</v>
      </c>
      <c r="B314" s="0" t="s">
        <v>3970</v>
      </c>
      <c r="C314" s="0" t="s">
        <v>8615</v>
      </c>
      <c r="D314" s="0" t="s">
        <v>7521</v>
      </c>
      <c r="E314" s="5" t="s">
        <v>81</v>
      </c>
      <c r="F314" s="0" t="s">
        <v>7573</v>
      </c>
      <c r="G314" s="0" t="s">
        <v>3371</v>
      </c>
      <c r="H314" s="0" t="s">
        <v>8224</v>
      </c>
      <c r="I314" s="0" t="s">
        <v>8616</v>
      </c>
      <c r="K314" s="0" t="s">
        <v>40</v>
      </c>
      <c r="L314" s="0" t="s">
        <v>8613</v>
      </c>
    </row>
    <row r="315" customFormat="false" ht="17.15" hidden="false" customHeight="false" outlineLevel="0" collapsed="false">
      <c r="A315" s="0" t="s">
        <v>8617</v>
      </c>
      <c r="B315" s="0" t="s">
        <v>8618</v>
      </c>
      <c r="C315" s="0" t="s">
        <v>8619</v>
      </c>
      <c r="D315" s="0" t="s">
        <v>7521</v>
      </c>
      <c r="E315" s="5" t="s">
        <v>81</v>
      </c>
      <c r="F315" s="0" t="s">
        <v>8620</v>
      </c>
      <c r="G315" s="0" t="s">
        <v>3371</v>
      </c>
      <c r="H315" s="0" t="s">
        <v>8176</v>
      </c>
      <c r="I315" s="0" t="s">
        <v>8621</v>
      </c>
      <c r="K315" s="0" t="s">
        <v>40</v>
      </c>
      <c r="L315" s="0" t="s">
        <v>8622</v>
      </c>
    </row>
    <row r="316" customFormat="false" ht="17.15" hidden="false" customHeight="false" outlineLevel="0" collapsed="false">
      <c r="A316" s="0" t="s">
        <v>8623</v>
      </c>
      <c r="B316" s="0" t="s">
        <v>8618</v>
      </c>
      <c r="C316" s="0" t="s">
        <v>8624</v>
      </c>
      <c r="D316" s="0" t="s">
        <v>8625</v>
      </c>
      <c r="E316" s="5" t="s">
        <v>81</v>
      </c>
      <c r="F316" s="0" t="s">
        <v>8620</v>
      </c>
      <c r="G316" s="0" t="s">
        <v>3371</v>
      </c>
      <c r="H316" s="0" t="s">
        <v>8176</v>
      </c>
      <c r="I316" s="5" t="s">
        <v>8626</v>
      </c>
      <c r="K316" s="0" t="s">
        <v>40</v>
      </c>
      <c r="L316" s="0" t="s">
        <v>8627</v>
      </c>
    </row>
    <row r="317" customFormat="false" ht="17.15" hidden="false" customHeight="false" outlineLevel="0" collapsed="false">
      <c r="A317" s="0" t="s">
        <v>8628</v>
      </c>
      <c r="B317" s="0" t="s">
        <v>8618</v>
      </c>
      <c r="C317" s="0" t="s">
        <v>8629</v>
      </c>
      <c r="D317" s="0" t="s">
        <v>7739</v>
      </c>
      <c r="E317" s="5" t="s">
        <v>81</v>
      </c>
      <c r="F317" s="0" t="s">
        <v>8630</v>
      </c>
      <c r="G317" s="0" t="s">
        <v>3371</v>
      </c>
      <c r="H317" s="0" t="s">
        <v>8176</v>
      </c>
      <c r="I317" s="0" t="s">
        <v>8631</v>
      </c>
      <c r="K317" s="0" t="s">
        <v>40</v>
      </c>
      <c r="L317" s="0" t="s">
        <v>8632</v>
      </c>
    </row>
    <row r="318" customFormat="false" ht="17.15" hidden="false" customHeight="false" outlineLevel="0" collapsed="false">
      <c r="A318" s="0" t="s">
        <v>8633</v>
      </c>
      <c r="B318" s="0" t="s">
        <v>8618</v>
      </c>
      <c r="C318" s="0" t="s">
        <v>8634</v>
      </c>
      <c r="D318" s="0" t="s">
        <v>117</v>
      </c>
      <c r="E318" s="5" t="s">
        <v>81</v>
      </c>
      <c r="F318" s="0" t="s">
        <v>8259</v>
      </c>
      <c r="G318" s="0" t="s">
        <v>3371</v>
      </c>
      <c r="H318" s="0" t="s">
        <v>8176</v>
      </c>
      <c r="I318" s="5" t="s">
        <v>8635</v>
      </c>
      <c r="K318" s="0" t="s">
        <v>40</v>
      </c>
      <c r="L318" s="0" t="s">
        <v>8636</v>
      </c>
    </row>
    <row r="319" customFormat="false" ht="17.15" hidden="false" customHeight="false" outlineLevel="0" collapsed="false">
      <c r="A319" s="0" t="s">
        <v>8637</v>
      </c>
      <c r="B319" s="0" t="s">
        <v>8638</v>
      </c>
      <c r="C319" s="0" t="s">
        <v>8639</v>
      </c>
      <c r="D319" s="0" t="s">
        <v>8640</v>
      </c>
      <c r="E319" s="5" t="s">
        <v>81</v>
      </c>
      <c r="F319" s="0" t="s">
        <v>8641</v>
      </c>
      <c r="G319" s="0" t="s">
        <v>3371</v>
      </c>
      <c r="H319" s="0" t="s">
        <v>8208</v>
      </c>
      <c r="I319" s="0" t="s">
        <v>8642</v>
      </c>
      <c r="K319" s="0" t="s">
        <v>40</v>
      </c>
      <c r="L319" s="0" t="s">
        <v>8643</v>
      </c>
    </row>
    <row r="320" customFormat="false" ht="17.15" hidden="false" customHeight="false" outlineLevel="0" collapsed="false">
      <c r="A320" s="0" t="s">
        <v>8644</v>
      </c>
      <c r="B320" s="0" t="s">
        <v>3970</v>
      </c>
      <c r="C320" s="0" t="s">
        <v>8645</v>
      </c>
      <c r="D320" s="0" t="s">
        <v>8646</v>
      </c>
      <c r="E320" s="5" t="s">
        <v>81</v>
      </c>
      <c r="F320" s="0" t="s">
        <v>8647</v>
      </c>
      <c r="G320" s="0" t="s">
        <v>3371</v>
      </c>
      <c r="H320" s="0" t="s">
        <v>8176</v>
      </c>
      <c r="I320" s="0" t="s">
        <v>8648</v>
      </c>
      <c r="K320" s="0" t="s">
        <v>40</v>
      </c>
      <c r="L320" s="0" t="s">
        <v>8649</v>
      </c>
    </row>
    <row r="321" customFormat="false" ht="17.15" hidden="false" customHeight="false" outlineLevel="0" collapsed="false">
      <c r="A321" s="0" t="s">
        <v>8650</v>
      </c>
      <c r="B321" s="0" t="s">
        <v>3970</v>
      </c>
      <c r="C321" s="0" t="s">
        <v>8651</v>
      </c>
      <c r="D321" s="0" t="s">
        <v>117</v>
      </c>
      <c r="E321" s="5" t="s">
        <v>81</v>
      </c>
      <c r="F321" s="0" t="s">
        <v>8652</v>
      </c>
      <c r="G321" s="0" t="s">
        <v>3371</v>
      </c>
      <c r="H321" s="0" t="s">
        <v>8176</v>
      </c>
      <c r="I321" s="0" t="s">
        <v>8653</v>
      </c>
      <c r="K321" s="0" t="s">
        <v>40</v>
      </c>
      <c r="L321" s="0" t="s">
        <v>8654</v>
      </c>
    </row>
    <row r="322" customFormat="false" ht="17.15" hidden="false" customHeight="false" outlineLevel="0" collapsed="false">
      <c r="A322" s="0" t="s">
        <v>8655</v>
      </c>
      <c r="B322" s="5" t="s">
        <v>8656</v>
      </c>
      <c r="C322" s="5" t="s">
        <v>8657</v>
      </c>
      <c r="D322" s="0" t="s">
        <v>8658</v>
      </c>
      <c r="E322" s="5" t="s">
        <v>81</v>
      </c>
      <c r="F322" s="0" t="s">
        <v>8652</v>
      </c>
      <c r="G322" s="0" t="s">
        <v>3371</v>
      </c>
      <c r="H322" s="0" t="s">
        <v>8224</v>
      </c>
      <c r="I322" s="5" t="s">
        <v>8659</v>
      </c>
      <c r="K322" s="0" t="s">
        <v>40</v>
      </c>
      <c r="L322" s="0" t="s">
        <v>8660</v>
      </c>
    </row>
    <row r="323" customFormat="false" ht="17.15" hidden="false" customHeight="false" outlineLevel="0" collapsed="false">
      <c r="A323" s="0" t="s">
        <v>8661</v>
      </c>
      <c r="B323" s="0" t="s">
        <v>8662</v>
      </c>
      <c r="C323" s="0" t="s">
        <v>8663</v>
      </c>
      <c r="D323" s="0" t="s">
        <v>8664</v>
      </c>
      <c r="E323" s="5" t="s">
        <v>81</v>
      </c>
      <c r="F323" s="0" t="s">
        <v>8652</v>
      </c>
      <c r="G323" s="0" t="s">
        <v>3327</v>
      </c>
      <c r="H323" s="0" t="s">
        <v>8176</v>
      </c>
      <c r="I323" s="5" t="s">
        <v>8665</v>
      </c>
      <c r="K323" s="0" t="s">
        <v>40</v>
      </c>
      <c r="L323" s="0" t="s">
        <v>8666</v>
      </c>
    </row>
    <row r="324" customFormat="false" ht="17.15" hidden="false" customHeight="false" outlineLevel="0" collapsed="false">
      <c r="A324" s="0" t="s">
        <v>8667</v>
      </c>
      <c r="B324" s="0" t="s">
        <v>8668</v>
      </c>
      <c r="C324" s="0" t="s">
        <v>8669</v>
      </c>
      <c r="D324" s="0" t="s">
        <v>8670</v>
      </c>
      <c r="E324" s="0" t="s">
        <v>116</v>
      </c>
      <c r="F324" s="0" t="s">
        <v>7793</v>
      </c>
      <c r="G324" s="0" t="s">
        <v>3371</v>
      </c>
      <c r="H324" s="0" t="s">
        <v>8219</v>
      </c>
      <c r="I324" s="5" t="s">
        <v>8220</v>
      </c>
      <c r="K324" s="0" t="s">
        <v>40</v>
      </c>
      <c r="L324" s="0" t="s">
        <v>8671</v>
      </c>
    </row>
    <row r="325" customFormat="false" ht="17.15" hidden="false" customHeight="false" outlineLevel="0" collapsed="false">
      <c r="A325" s="0" t="s">
        <v>8672</v>
      </c>
      <c r="B325" s="0" t="s">
        <v>8668</v>
      </c>
      <c r="C325" s="0" t="s">
        <v>8673</v>
      </c>
      <c r="D325" s="0" t="s">
        <v>8674</v>
      </c>
      <c r="E325" s="0" t="s">
        <v>116</v>
      </c>
      <c r="F325" s="0" t="s">
        <v>8647</v>
      </c>
      <c r="G325" s="0" t="s">
        <v>3317</v>
      </c>
      <c r="H325" s="0" t="s">
        <v>8176</v>
      </c>
      <c r="I325" s="0" t="s">
        <v>8675</v>
      </c>
      <c r="K325" s="0" t="s">
        <v>40</v>
      </c>
      <c r="L325" s="0" t="s">
        <v>8676</v>
      </c>
    </row>
    <row r="326" customFormat="false" ht="17.15" hidden="false" customHeight="false" outlineLevel="0" collapsed="false">
      <c r="A326" s="0" t="s">
        <v>8677</v>
      </c>
      <c r="B326" s="0" t="s">
        <v>8668</v>
      </c>
      <c r="C326" s="0" t="s">
        <v>8678</v>
      </c>
      <c r="D326" s="0" t="s">
        <v>8679</v>
      </c>
      <c r="E326" s="0" t="s">
        <v>116</v>
      </c>
      <c r="F326" s="0" t="s">
        <v>7793</v>
      </c>
      <c r="G326" s="0" t="s">
        <v>3371</v>
      </c>
      <c r="H326" s="0" t="s">
        <v>8219</v>
      </c>
      <c r="I326" s="5" t="s">
        <v>8220</v>
      </c>
      <c r="K326" s="0" t="s">
        <v>40</v>
      </c>
      <c r="L326" s="0" t="s">
        <v>8680</v>
      </c>
    </row>
    <row r="327" customFormat="false" ht="17.15" hidden="false" customHeight="false" outlineLevel="0" collapsed="false">
      <c r="A327" s="0" t="s">
        <v>8681</v>
      </c>
      <c r="B327" s="0" t="s">
        <v>8668</v>
      </c>
      <c r="C327" s="0" t="s">
        <v>8682</v>
      </c>
      <c r="D327" s="0" t="s">
        <v>8683</v>
      </c>
      <c r="E327" s="0" t="s">
        <v>116</v>
      </c>
      <c r="F327" s="0" t="s">
        <v>7793</v>
      </c>
      <c r="G327" s="0" t="s">
        <v>3371</v>
      </c>
      <c r="H327" s="0" t="s">
        <v>8219</v>
      </c>
      <c r="I327" s="5" t="s">
        <v>8220</v>
      </c>
      <c r="K327" s="0" t="s">
        <v>40</v>
      </c>
      <c r="L327" s="0" t="s">
        <v>8680</v>
      </c>
    </row>
    <row r="328" customFormat="false" ht="17.15" hidden="false" customHeight="false" outlineLevel="0" collapsed="false">
      <c r="A328" s="0" t="s">
        <v>8684</v>
      </c>
      <c r="B328" s="0" t="s">
        <v>8668</v>
      </c>
      <c r="C328" s="0" t="s">
        <v>8685</v>
      </c>
      <c r="D328" s="0" t="s">
        <v>8683</v>
      </c>
      <c r="E328" s="0" t="s">
        <v>116</v>
      </c>
      <c r="F328" s="0" t="s">
        <v>7793</v>
      </c>
      <c r="G328" s="0" t="s">
        <v>3371</v>
      </c>
      <c r="H328" s="0" t="s">
        <v>8219</v>
      </c>
      <c r="I328" s="5" t="s">
        <v>8220</v>
      </c>
      <c r="K328" s="0" t="s">
        <v>40</v>
      </c>
      <c r="L328" s="0" t="s">
        <v>8680</v>
      </c>
    </row>
    <row r="329" customFormat="false" ht="17.15" hidden="false" customHeight="false" outlineLevel="0" collapsed="false">
      <c r="A329" s="0" t="s">
        <v>8686</v>
      </c>
      <c r="B329" s="0" t="s">
        <v>8668</v>
      </c>
      <c r="C329" s="0" t="s">
        <v>8687</v>
      </c>
      <c r="D329" s="0" t="s">
        <v>8688</v>
      </c>
      <c r="E329" s="0" t="s">
        <v>116</v>
      </c>
      <c r="F329" s="0" t="s">
        <v>7793</v>
      </c>
      <c r="G329" s="0" t="s">
        <v>3371</v>
      </c>
      <c r="H329" s="0" t="s">
        <v>8219</v>
      </c>
      <c r="I329" s="5" t="s">
        <v>8220</v>
      </c>
      <c r="K329" s="0" t="s">
        <v>40</v>
      </c>
      <c r="L329" s="0" t="s">
        <v>8671</v>
      </c>
    </row>
    <row r="330" customFormat="false" ht="17.15" hidden="false" customHeight="false" outlineLevel="0" collapsed="false">
      <c r="A330" s="0" t="s">
        <v>8689</v>
      </c>
      <c r="B330" s="0" t="s">
        <v>8690</v>
      </c>
      <c r="C330" s="0" t="s">
        <v>8691</v>
      </c>
      <c r="D330" s="0" t="s">
        <v>7786</v>
      </c>
      <c r="E330" s="0" t="s">
        <v>116</v>
      </c>
      <c r="F330" s="0" t="s">
        <v>7787</v>
      </c>
      <c r="G330" s="0" t="s">
        <v>3371</v>
      </c>
      <c r="H330" s="0" t="s">
        <v>8241</v>
      </c>
      <c r="I330" s="0" t="s">
        <v>8692</v>
      </c>
      <c r="K330" s="0" t="s">
        <v>40</v>
      </c>
      <c r="L330" s="0" t="s">
        <v>8693</v>
      </c>
    </row>
    <row r="331" customFormat="false" ht="17.15" hidden="false" customHeight="false" outlineLevel="0" collapsed="false">
      <c r="A331" s="0" t="s">
        <v>8694</v>
      </c>
      <c r="B331" s="0" t="s">
        <v>8690</v>
      </c>
      <c r="C331" s="0" t="s">
        <v>8695</v>
      </c>
      <c r="D331" s="0" t="s">
        <v>8182</v>
      </c>
      <c r="E331" s="0" t="s">
        <v>116</v>
      </c>
      <c r="F331" s="0" t="s">
        <v>7787</v>
      </c>
      <c r="G331" s="0" t="s">
        <v>3371</v>
      </c>
      <c r="H331" s="0" t="s">
        <v>8176</v>
      </c>
      <c r="I331" s="0" t="s">
        <v>8696</v>
      </c>
      <c r="K331" s="0" t="s">
        <v>40</v>
      </c>
      <c r="L331" s="0" t="s">
        <v>8693</v>
      </c>
    </row>
    <row r="332" customFormat="false" ht="17.15" hidden="false" customHeight="false" outlineLevel="0" collapsed="false">
      <c r="A332" s="0" t="s">
        <v>8697</v>
      </c>
      <c r="B332" s="0" t="s">
        <v>8698</v>
      </c>
      <c r="C332" s="0" t="s">
        <v>8699</v>
      </c>
      <c r="D332" s="0" t="s">
        <v>7792</v>
      </c>
      <c r="E332" s="0" t="s">
        <v>116</v>
      </c>
      <c r="F332" s="0" t="s">
        <v>7475</v>
      </c>
      <c r="G332" s="0" t="s">
        <v>3317</v>
      </c>
      <c r="H332" s="0" t="s">
        <v>8219</v>
      </c>
      <c r="I332" s="5" t="s">
        <v>8220</v>
      </c>
      <c r="K332" s="0" t="s">
        <v>40</v>
      </c>
      <c r="L332" s="0" t="s">
        <v>8700</v>
      </c>
    </row>
    <row r="333" customFormat="false" ht="17.15" hidden="false" customHeight="false" outlineLevel="0" collapsed="false">
      <c r="A333" s="0" t="s">
        <v>8701</v>
      </c>
      <c r="B333" s="0" t="s">
        <v>8702</v>
      </c>
      <c r="C333" s="0" t="s">
        <v>8703</v>
      </c>
      <c r="D333" s="0" t="s">
        <v>8704</v>
      </c>
      <c r="E333" s="0" t="s">
        <v>116</v>
      </c>
      <c r="F333" s="0" t="s">
        <v>3434</v>
      </c>
      <c r="G333" s="0" t="s">
        <v>3371</v>
      </c>
      <c r="H333" s="0" t="s">
        <v>8219</v>
      </c>
      <c r="I333" s="5" t="s">
        <v>8220</v>
      </c>
      <c r="K333" s="0" t="s">
        <v>40</v>
      </c>
      <c r="L333" s="0" t="s">
        <v>8705</v>
      </c>
    </row>
    <row r="334" customFormat="false" ht="17.15" hidden="false" customHeight="false" outlineLevel="0" collapsed="false">
      <c r="A334" s="0" t="s">
        <v>8706</v>
      </c>
      <c r="B334" s="0" t="s">
        <v>8702</v>
      </c>
      <c r="C334" s="0" t="s">
        <v>8707</v>
      </c>
      <c r="D334" s="0" t="s">
        <v>8708</v>
      </c>
      <c r="E334" s="0" t="s">
        <v>116</v>
      </c>
      <c r="F334" s="0" t="s">
        <v>3434</v>
      </c>
      <c r="G334" s="0" t="s">
        <v>3371</v>
      </c>
      <c r="H334" s="0" t="s">
        <v>8219</v>
      </c>
      <c r="I334" s="5" t="s">
        <v>8220</v>
      </c>
      <c r="K334" s="0" t="s">
        <v>40</v>
      </c>
      <c r="L334" s="0" t="s">
        <v>8705</v>
      </c>
    </row>
    <row r="335" customFormat="false" ht="17.15" hidden="false" customHeight="false" outlineLevel="0" collapsed="false">
      <c r="A335" s="0" t="s">
        <v>8709</v>
      </c>
      <c r="B335" s="0" t="s">
        <v>8702</v>
      </c>
      <c r="C335" s="0" t="s">
        <v>8710</v>
      </c>
      <c r="D335" s="0" t="s">
        <v>8711</v>
      </c>
      <c r="E335" s="0" t="s">
        <v>116</v>
      </c>
      <c r="F335" s="0" t="s">
        <v>3434</v>
      </c>
      <c r="G335" s="0" t="s">
        <v>3371</v>
      </c>
      <c r="H335" s="0" t="s">
        <v>8219</v>
      </c>
      <c r="I335" s="5" t="s">
        <v>8220</v>
      </c>
      <c r="K335" s="0" t="s">
        <v>40</v>
      </c>
      <c r="L335" s="0" t="s">
        <v>8712</v>
      </c>
    </row>
    <row r="336" customFormat="false" ht="17.15" hidden="false" customHeight="false" outlineLevel="0" collapsed="false">
      <c r="A336" s="0" t="s">
        <v>8713</v>
      </c>
      <c r="B336" s="0" t="s">
        <v>8702</v>
      </c>
      <c r="C336" s="0" t="s">
        <v>8714</v>
      </c>
      <c r="D336" s="0" t="s">
        <v>8715</v>
      </c>
      <c r="E336" s="0" t="s">
        <v>116</v>
      </c>
      <c r="F336" s="0" t="s">
        <v>3434</v>
      </c>
      <c r="G336" s="0" t="s">
        <v>3371</v>
      </c>
      <c r="H336" s="0" t="s">
        <v>8219</v>
      </c>
      <c r="I336" s="5" t="s">
        <v>8220</v>
      </c>
      <c r="K336" s="0" t="s">
        <v>40</v>
      </c>
      <c r="L336" s="0" t="s">
        <v>8716</v>
      </c>
    </row>
    <row r="337" customFormat="false" ht="17.15" hidden="false" customHeight="false" outlineLevel="0" collapsed="false">
      <c r="A337" s="0" t="s">
        <v>8717</v>
      </c>
      <c r="B337" s="0" t="s">
        <v>8702</v>
      </c>
      <c r="C337" s="0" t="s">
        <v>8718</v>
      </c>
      <c r="D337" s="0" t="s">
        <v>8719</v>
      </c>
      <c r="E337" s="0" t="s">
        <v>116</v>
      </c>
      <c r="F337" s="0" t="s">
        <v>3434</v>
      </c>
      <c r="G337" s="0" t="s">
        <v>3371</v>
      </c>
      <c r="H337" s="0" t="s">
        <v>8219</v>
      </c>
      <c r="I337" s="5" t="s">
        <v>8220</v>
      </c>
      <c r="K337" s="0" t="s">
        <v>40</v>
      </c>
      <c r="L337" s="0" t="s">
        <v>8716</v>
      </c>
    </row>
    <row r="338" customFormat="false" ht="17.15" hidden="false" customHeight="false" outlineLevel="0" collapsed="false">
      <c r="A338" s="0" t="s">
        <v>8720</v>
      </c>
      <c r="B338" s="0" t="s">
        <v>8721</v>
      </c>
      <c r="C338" s="0" t="s">
        <v>8722</v>
      </c>
      <c r="D338" s="0" t="s">
        <v>8182</v>
      </c>
      <c r="E338" s="5" t="s">
        <v>81</v>
      </c>
      <c r="F338" s="0" t="s">
        <v>8723</v>
      </c>
      <c r="G338" s="0" t="s">
        <v>3371</v>
      </c>
      <c r="H338" s="0" t="s">
        <v>8219</v>
      </c>
      <c r="I338" s="5" t="s">
        <v>8220</v>
      </c>
      <c r="J338" s="0" t="s">
        <v>950</v>
      </c>
      <c r="K338" s="5" t="s">
        <v>3313</v>
      </c>
      <c r="L338" s="0" t="s">
        <v>8724</v>
      </c>
    </row>
    <row r="339" customFormat="false" ht="17.15" hidden="false" customHeight="false" outlineLevel="0" collapsed="false">
      <c r="A339" s="0" t="s">
        <v>8725</v>
      </c>
      <c r="B339" s="0" t="s">
        <v>8721</v>
      </c>
      <c r="C339" s="0" t="s">
        <v>8726</v>
      </c>
      <c r="D339" s="0" t="s">
        <v>8727</v>
      </c>
      <c r="E339" s="0" t="s">
        <v>116</v>
      </c>
      <c r="F339" s="0" t="s">
        <v>7779</v>
      </c>
      <c r="G339" s="0" t="s">
        <v>3371</v>
      </c>
      <c r="H339" s="0" t="s">
        <v>8176</v>
      </c>
      <c r="I339" s="0" t="s">
        <v>8728</v>
      </c>
      <c r="K339" s="0" t="s">
        <v>40</v>
      </c>
      <c r="L339" s="0" t="s">
        <v>8729</v>
      </c>
    </row>
    <row r="340" customFormat="false" ht="17.15" hidden="false" customHeight="false" outlineLevel="0" collapsed="false">
      <c r="A340" s="0" t="s">
        <v>8730</v>
      </c>
      <c r="B340" s="0" t="s">
        <v>8721</v>
      </c>
      <c r="C340" s="0" t="s">
        <v>8731</v>
      </c>
      <c r="D340" s="0" t="s">
        <v>8727</v>
      </c>
      <c r="E340" s="0" t="s">
        <v>116</v>
      </c>
      <c r="F340" s="0" t="s">
        <v>8723</v>
      </c>
      <c r="G340" s="0" t="s">
        <v>3371</v>
      </c>
      <c r="H340" s="0" t="s">
        <v>8219</v>
      </c>
      <c r="I340" s="5" t="s">
        <v>8220</v>
      </c>
      <c r="K340" s="0" t="s">
        <v>40</v>
      </c>
      <c r="L340" s="0" t="s">
        <v>8724</v>
      </c>
    </row>
    <row r="341" customFormat="false" ht="17.15" hidden="false" customHeight="false" outlineLevel="0" collapsed="false">
      <c r="A341" s="0" t="s">
        <v>8732</v>
      </c>
      <c r="B341" s="0" t="s">
        <v>8733</v>
      </c>
      <c r="C341" s="0" t="s">
        <v>8734</v>
      </c>
      <c r="D341" s="0" t="s">
        <v>8735</v>
      </c>
      <c r="E341" s="0" t="s">
        <v>116</v>
      </c>
      <c r="F341" s="0" t="s">
        <v>8043</v>
      </c>
      <c r="G341" s="0" t="s">
        <v>3371</v>
      </c>
      <c r="H341" s="0" t="s">
        <v>8219</v>
      </c>
      <c r="I341" s="5" t="s">
        <v>8220</v>
      </c>
      <c r="K341" s="0" t="s">
        <v>40</v>
      </c>
      <c r="L341" s="0" t="s">
        <v>8736</v>
      </c>
    </row>
    <row r="342" customFormat="false" ht="17.15" hidden="false" customHeight="false" outlineLevel="0" collapsed="false">
      <c r="A342" s="0" t="s">
        <v>8737</v>
      </c>
      <c r="B342" s="0" t="s">
        <v>8733</v>
      </c>
      <c r="C342" s="0" t="s">
        <v>8738</v>
      </c>
      <c r="D342" s="0" t="s">
        <v>8739</v>
      </c>
      <c r="E342" s="0" t="s">
        <v>116</v>
      </c>
      <c r="F342" s="0" t="s">
        <v>8043</v>
      </c>
      <c r="G342" s="0" t="s">
        <v>3327</v>
      </c>
      <c r="H342" s="0" t="s">
        <v>8219</v>
      </c>
      <c r="I342" s="5" t="s">
        <v>8220</v>
      </c>
      <c r="K342" s="0" t="s">
        <v>40</v>
      </c>
      <c r="L342" s="0" t="s">
        <v>8736</v>
      </c>
    </row>
    <row r="343" customFormat="false" ht="17.15" hidden="false" customHeight="false" outlineLevel="0" collapsed="false">
      <c r="A343" s="0" t="s">
        <v>8740</v>
      </c>
      <c r="B343" s="0" t="s">
        <v>8733</v>
      </c>
      <c r="C343" s="0" t="s">
        <v>8741</v>
      </c>
      <c r="D343" s="0" t="s">
        <v>8739</v>
      </c>
      <c r="E343" s="0" t="s">
        <v>116</v>
      </c>
      <c r="F343" s="0" t="s">
        <v>8043</v>
      </c>
      <c r="G343" s="0" t="s">
        <v>3327</v>
      </c>
      <c r="H343" s="0" t="s">
        <v>8219</v>
      </c>
      <c r="I343" s="5" t="s">
        <v>8220</v>
      </c>
      <c r="K343" s="0" t="s">
        <v>40</v>
      </c>
      <c r="L343" s="0" t="s">
        <v>8736</v>
      </c>
    </row>
    <row r="344" customFormat="false" ht="17.15" hidden="false" customHeight="false" outlineLevel="0" collapsed="false">
      <c r="A344" s="0" t="s">
        <v>8742</v>
      </c>
      <c r="B344" s="0" t="s">
        <v>8743</v>
      </c>
      <c r="C344" s="0" t="s">
        <v>8744</v>
      </c>
      <c r="D344" s="0" t="s">
        <v>8745</v>
      </c>
      <c r="E344" s="5" t="s">
        <v>172</v>
      </c>
      <c r="F344" s="0" t="s">
        <v>8043</v>
      </c>
      <c r="G344" s="0" t="s">
        <v>3371</v>
      </c>
      <c r="H344" s="0" t="s">
        <v>8219</v>
      </c>
      <c r="I344" s="5" t="s">
        <v>8220</v>
      </c>
      <c r="K344" s="0" t="s">
        <v>40</v>
      </c>
      <c r="L344" s="0" t="s">
        <v>8736</v>
      </c>
    </row>
    <row r="345" customFormat="false" ht="17.15" hidden="false" customHeight="false" outlineLevel="0" collapsed="false">
      <c r="A345" s="0" t="s">
        <v>8746</v>
      </c>
      <c r="B345" s="0" t="s">
        <v>8747</v>
      </c>
      <c r="C345" s="0" t="s">
        <v>8748</v>
      </c>
      <c r="D345" s="0" t="s">
        <v>7239</v>
      </c>
      <c r="E345" s="5" t="s">
        <v>81</v>
      </c>
      <c r="F345" s="0" t="s">
        <v>8229</v>
      </c>
      <c r="G345" s="0" t="s">
        <v>3371</v>
      </c>
      <c r="H345" s="0" t="s">
        <v>8202</v>
      </c>
      <c r="I345" s="5" t="s">
        <v>8749</v>
      </c>
      <c r="J345" s="0" t="s">
        <v>904</v>
      </c>
      <c r="K345" s="5" t="s">
        <v>7240</v>
      </c>
      <c r="L345" s="0" t="s">
        <v>7823</v>
      </c>
    </row>
    <row r="346" customFormat="false" ht="17.15" hidden="false" customHeight="false" outlineLevel="0" collapsed="false">
      <c r="A346" s="0" t="s">
        <v>8750</v>
      </c>
      <c r="B346" s="0" t="s">
        <v>8747</v>
      </c>
      <c r="C346" s="0" t="s">
        <v>8751</v>
      </c>
      <c r="D346" s="0" t="s">
        <v>8752</v>
      </c>
      <c r="E346" s="5" t="s">
        <v>81</v>
      </c>
      <c r="F346" s="0" t="s">
        <v>8003</v>
      </c>
      <c r="G346" s="0" t="s">
        <v>3317</v>
      </c>
      <c r="H346" s="0" t="s">
        <v>8176</v>
      </c>
      <c r="I346" s="0" t="s">
        <v>8753</v>
      </c>
      <c r="K346" s="0" t="s">
        <v>40</v>
      </c>
      <c r="L346" s="0" t="s">
        <v>8754</v>
      </c>
    </row>
    <row r="347" customFormat="false" ht="17.15" hidden="false" customHeight="false" outlineLevel="0" collapsed="false">
      <c r="A347" s="0" t="s">
        <v>8755</v>
      </c>
      <c r="B347" s="0" t="s">
        <v>8747</v>
      </c>
      <c r="C347" s="0" t="s">
        <v>8756</v>
      </c>
      <c r="D347" s="0" t="s">
        <v>8453</v>
      </c>
      <c r="E347" s="5" t="s">
        <v>81</v>
      </c>
      <c r="F347" s="0" t="s">
        <v>8757</v>
      </c>
      <c r="G347" s="0" t="s">
        <v>3371</v>
      </c>
      <c r="H347" s="0" t="s">
        <v>8208</v>
      </c>
      <c r="I347" s="0" t="s">
        <v>8758</v>
      </c>
      <c r="K347" s="0" t="s">
        <v>40</v>
      </c>
      <c r="L347" s="0" t="s">
        <v>8759</v>
      </c>
    </row>
    <row r="348" customFormat="false" ht="17.15" hidden="false" customHeight="false" outlineLevel="0" collapsed="false">
      <c r="A348" s="0" t="s">
        <v>8760</v>
      </c>
      <c r="B348" s="0" t="s">
        <v>8747</v>
      </c>
      <c r="C348" s="0" t="s">
        <v>8761</v>
      </c>
      <c r="D348" s="0" t="s">
        <v>8762</v>
      </c>
      <c r="E348" s="5" t="s">
        <v>81</v>
      </c>
      <c r="F348" s="0" t="s">
        <v>8229</v>
      </c>
      <c r="G348" s="0" t="s">
        <v>3371</v>
      </c>
      <c r="H348" s="0" t="s">
        <v>8202</v>
      </c>
      <c r="I348" s="0" t="s">
        <v>8763</v>
      </c>
      <c r="K348" s="0" t="s">
        <v>40</v>
      </c>
      <c r="L348" s="0" t="s">
        <v>7823</v>
      </c>
    </row>
    <row r="349" customFormat="false" ht="17.15" hidden="false" customHeight="false" outlineLevel="0" collapsed="false">
      <c r="A349" s="0" t="s">
        <v>8764</v>
      </c>
      <c r="B349" s="0" t="s">
        <v>8765</v>
      </c>
      <c r="C349" s="0" t="s">
        <v>8766</v>
      </c>
      <c r="D349" s="0" t="s">
        <v>7856</v>
      </c>
      <c r="E349" s="0" t="s">
        <v>116</v>
      </c>
      <c r="F349" s="0" t="s">
        <v>7857</v>
      </c>
      <c r="G349" s="0" t="s">
        <v>3317</v>
      </c>
      <c r="H349" s="0" t="s">
        <v>8176</v>
      </c>
      <c r="I349" s="0" t="s">
        <v>8767</v>
      </c>
      <c r="J349" s="0" t="s">
        <v>910</v>
      </c>
      <c r="K349" s="5" t="s">
        <v>3313</v>
      </c>
      <c r="L349" s="0" t="s">
        <v>8768</v>
      </c>
    </row>
    <row r="350" customFormat="false" ht="17.15" hidden="false" customHeight="false" outlineLevel="0" collapsed="false">
      <c r="A350" s="0" t="s">
        <v>8769</v>
      </c>
      <c r="B350" s="0" t="s">
        <v>8765</v>
      </c>
      <c r="C350" s="0" t="s">
        <v>8770</v>
      </c>
      <c r="D350" s="0" t="s">
        <v>8771</v>
      </c>
      <c r="E350" s="0" t="s">
        <v>116</v>
      </c>
      <c r="F350" s="0" t="s">
        <v>8772</v>
      </c>
      <c r="G350" s="0" t="s">
        <v>3317</v>
      </c>
      <c r="H350" s="0" t="s">
        <v>8176</v>
      </c>
      <c r="I350" s="0" t="s">
        <v>8773</v>
      </c>
      <c r="K350" s="0" t="s">
        <v>40</v>
      </c>
      <c r="L350" s="0" t="s">
        <v>8774</v>
      </c>
    </row>
    <row r="351" customFormat="false" ht="17.15" hidden="false" customHeight="false" outlineLevel="0" collapsed="false">
      <c r="A351" s="0" t="s">
        <v>8775</v>
      </c>
      <c r="B351" s="0" t="s">
        <v>8765</v>
      </c>
      <c r="C351" s="0" t="s">
        <v>8776</v>
      </c>
      <c r="D351" s="0" t="s">
        <v>8777</v>
      </c>
      <c r="E351" s="5" t="s">
        <v>81</v>
      </c>
      <c r="F351" s="0" t="s">
        <v>8003</v>
      </c>
      <c r="G351" s="0" t="s">
        <v>3317</v>
      </c>
      <c r="H351" s="0" t="s">
        <v>8219</v>
      </c>
      <c r="I351" s="5" t="s">
        <v>8220</v>
      </c>
      <c r="K351" s="0" t="s">
        <v>40</v>
      </c>
      <c r="L351" s="0" t="s">
        <v>8778</v>
      </c>
    </row>
    <row r="352" customFormat="false" ht="17.15" hidden="false" customHeight="false" outlineLevel="0" collapsed="false">
      <c r="A352" s="0" t="s">
        <v>8779</v>
      </c>
      <c r="B352" s="0" t="s">
        <v>8780</v>
      </c>
      <c r="C352" s="0" t="s">
        <v>8781</v>
      </c>
      <c r="D352" s="0" t="s">
        <v>8782</v>
      </c>
      <c r="E352" s="5" t="s">
        <v>81</v>
      </c>
      <c r="F352" s="0" t="s">
        <v>8783</v>
      </c>
      <c r="G352" s="0" t="s">
        <v>3317</v>
      </c>
      <c r="H352" s="0" t="s">
        <v>8219</v>
      </c>
      <c r="I352" s="5" t="s">
        <v>8429</v>
      </c>
      <c r="K352" s="0" t="s">
        <v>40</v>
      </c>
      <c r="L352" s="0" t="s">
        <v>8784</v>
      </c>
    </row>
    <row r="353" customFormat="false" ht="17.15" hidden="false" customHeight="false" outlineLevel="0" collapsed="false">
      <c r="A353" s="0" t="s">
        <v>8785</v>
      </c>
      <c r="B353" s="0" t="s">
        <v>8765</v>
      </c>
      <c r="C353" s="0" t="s">
        <v>8786</v>
      </c>
      <c r="D353" s="0" t="s">
        <v>117</v>
      </c>
      <c r="E353" s="5" t="s">
        <v>81</v>
      </c>
      <c r="F353" s="0" t="s">
        <v>8312</v>
      </c>
      <c r="G353" s="0" t="s">
        <v>3371</v>
      </c>
      <c r="H353" s="0" t="s">
        <v>8208</v>
      </c>
      <c r="I353" s="5" t="s">
        <v>8787</v>
      </c>
      <c r="K353" s="0" t="s">
        <v>40</v>
      </c>
      <c r="L353" s="0" t="s">
        <v>8788</v>
      </c>
    </row>
    <row r="354" customFormat="false" ht="17.15" hidden="false" customHeight="false" outlineLevel="0" collapsed="false">
      <c r="A354" s="0" t="s">
        <v>8789</v>
      </c>
      <c r="B354" s="0" t="s">
        <v>8765</v>
      </c>
      <c r="C354" s="0" t="s">
        <v>8790</v>
      </c>
      <c r="D354" s="0" t="s">
        <v>7420</v>
      </c>
      <c r="E354" s="5" t="s">
        <v>81</v>
      </c>
      <c r="F354" s="0" t="s">
        <v>8791</v>
      </c>
      <c r="G354" s="0" t="s">
        <v>3371</v>
      </c>
      <c r="H354" s="0" t="s">
        <v>8224</v>
      </c>
      <c r="I354" s="5" t="s">
        <v>8792</v>
      </c>
      <c r="K354" s="0" t="s">
        <v>40</v>
      </c>
      <c r="L354" s="0" t="s">
        <v>8793</v>
      </c>
    </row>
    <row r="355" customFormat="false" ht="17.15" hidden="false" customHeight="false" outlineLevel="0" collapsed="false">
      <c r="A355" s="0" t="s">
        <v>8794</v>
      </c>
      <c r="B355" s="0" t="s">
        <v>8765</v>
      </c>
      <c r="C355" s="0" t="s">
        <v>8795</v>
      </c>
      <c r="D355" s="0" t="s">
        <v>117</v>
      </c>
      <c r="E355" s="5" t="s">
        <v>81</v>
      </c>
      <c r="F355" s="0" t="s">
        <v>3892</v>
      </c>
      <c r="G355" s="0" t="s">
        <v>3371</v>
      </c>
      <c r="H355" s="0" t="s">
        <v>8219</v>
      </c>
      <c r="I355" s="5" t="s">
        <v>8220</v>
      </c>
      <c r="K355" s="0" t="s">
        <v>40</v>
      </c>
      <c r="L355" s="0" t="s">
        <v>8796</v>
      </c>
    </row>
    <row r="356" customFormat="false" ht="17.15" hidden="false" customHeight="false" outlineLevel="0" collapsed="false">
      <c r="A356" s="0" t="s">
        <v>8797</v>
      </c>
      <c r="B356" s="0" t="s">
        <v>8765</v>
      </c>
      <c r="C356" s="0" t="s">
        <v>8798</v>
      </c>
      <c r="D356" s="0" t="s">
        <v>7493</v>
      </c>
      <c r="E356" s="5" t="s">
        <v>81</v>
      </c>
      <c r="F356" s="0" t="s">
        <v>7779</v>
      </c>
      <c r="G356" s="0" t="s">
        <v>3371</v>
      </c>
      <c r="H356" s="0" t="s">
        <v>8224</v>
      </c>
      <c r="I356" s="5" t="s">
        <v>8799</v>
      </c>
      <c r="K356" s="0" t="s">
        <v>40</v>
      </c>
      <c r="L356" s="0" t="s">
        <v>7782</v>
      </c>
    </row>
    <row r="357" customFormat="false" ht="17.15" hidden="false" customHeight="false" outlineLevel="0" collapsed="false">
      <c r="A357" s="0" t="s">
        <v>8800</v>
      </c>
      <c r="B357" s="0" t="s">
        <v>8801</v>
      </c>
      <c r="C357" s="0" t="s">
        <v>8802</v>
      </c>
      <c r="D357" s="0" t="s">
        <v>7521</v>
      </c>
      <c r="E357" s="5" t="s">
        <v>81</v>
      </c>
      <c r="F357" s="0" t="s">
        <v>8371</v>
      </c>
      <c r="G357" s="0" t="s">
        <v>3371</v>
      </c>
      <c r="H357" s="0" t="s">
        <v>8176</v>
      </c>
      <c r="I357" s="0" t="s">
        <v>8803</v>
      </c>
      <c r="J357" s="0" t="s">
        <v>8804</v>
      </c>
      <c r="K357" s="5" t="s">
        <v>3313</v>
      </c>
      <c r="L357" s="0" t="s">
        <v>8805</v>
      </c>
    </row>
    <row r="358" customFormat="false" ht="17.15" hidden="false" customHeight="false" outlineLevel="0" collapsed="false">
      <c r="A358" s="0" t="s">
        <v>8806</v>
      </c>
      <c r="B358" s="0" t="s">
        <v>8801</v>
      </c>
      <c r="C358" s="0" t="s">
        <v>8807</v>
      </c>
      <c r="D358" s="0" t="s">
        <v>8808</v>
      </c>
      <c r="E358" s="5" t="s">
        <v>81</v>
      </c>
      <c r="F358" s="0" t="s">
        <v>8175</v>
      </c>
      <c r="G358" s="0" t="s">
        <v>3371</v>
      </c>
      <c r="H358" s="0" t="s">
        <v>8208</v>
      </c>
      <c r="I358" s="0" t="s">
        <v>8809</v>
      </c>
      <c r="K358" s="0" t="s">
        <v>40</v>
      </c>
      <c r="L358" s="0" t="s">
        <v>8810</v>
      </c>
    </row>
    <row r="359" customFormat="false" ht="17.15" hidden="false" customHeight="false" outlineLevel="0" collapsed="false">
      <c r="A359" s="0" t="s">
        <v>8811</v>
      </c>
      <c r="B359" s="0" t="s">
        <v>8801</v>
      </c>
      <c r="C359" s="0" t="s">
        <v>8812</v>
      </c>
      <c r="D359" s="0" t="s">
        <v>117</v>
      </c>
      <c r="E359" s="5" t="s">
        <v>81</v>
      </c>
      <c r="F359" s="0" t="s">
        <v>8813</v>
      </c>
      <c r="G359" s="0" t="s">
        <v>3317</v>
      </c>
      <c r="H359" s="0" t="s">
        <v>8208</v>
      </c>
      <c r="I359" s="0" t="s">
        <v>8814</v>
      </c>
      <c r="K359" s="0" t="s">
        <v>40</v>
      </c>
      <c r="L359" s="0" t="s">
        <v>8815</v>
      </c>
    </row>
    <row r="360" customFormat="false" ht="17.15" hidden="false" customHeight="false" outlineLevel="0" collapsed="false">
      <c r="A360" s="0" t="s">
        <v>8816</v>
      </c>
      <c r="B360" s="0" t="s">
        <v>2240</v>
      </c>
      <c r="C360" s="0" t="s">
        <v>8817</v>
      </c>
      <c r="D360" s="0" t="s">
        <v>7672</v>
      </c>
      <c r="E360" s="0" t="s">
        <v>116</v>
      </c>
      <c r="F360" s="0" t="s">
        <v>8408</v>
      </c>
      <c r="G360" s="0" t="s">
        <v>3317</v>
      </c>
      <c r="H360" s="0" t="s">
        <v>8202</v>
      </c>
      <c r="I360" s="0" t="s">
        <v>8818</v>
      </c>
      <c r="K360" s="0" t="s">
        <v>40</v>
      </c>
      <c r="L360" s="0" t="s">
        <v>8819</v>
      </c>
    </row>
    <row r="361" customFormat="false" ht="17.15" hidden="false" customHeight="false" outlineLevel="0" collapsed="false">
      <c r="A361" s="0" t="s">
        <v>8820</v>
      </c>
      <c r="B361" s="0" t="s">
        <v>2240</v>
      </c>
      <c r="C361" s="0" t="s">
        <v>8821</v>
      </c>
      <c r="D361" s="0" t="s">
        <v>8679</v>
      </c>
      <c r="E361" s="5" t="s">
        <v>81</v>
      </c>
      <c r="F361" s="0" t="s">
        <v>8118</v>
      </c>
      <c r="G361" s="0" t="s">
        <v>3371</v>
      </c>
      <c r="H361" s="0" t="s">
        <v>8219</v>
      </c>
      <c r="I361" s="5" t="s">
        <v>8220</v>
      </c>
      <c r="K361" s="0" t="s">
        <v>40</v>
      </c>
      <c r="L361" s="0" t="s">
        <v>8822</v>
      </c>
    </row>
    <row r="362" customFormat="false" ht="17.15" hidden="false" customHeight="false" outlineLevel="0" collapsed="false">
      <c r="A362" s="0" t="s">
        <v>8823</v>
      </c>
      <c r="B362" s="0" t="s">
        <v>8801</v>
      </c>
      <c r="C362" s="0" t="s">
        <v>8824</v>
      </c>
      <c r="D362" s="0" t="s">
        <v>8825</v>
      </c>
      <c r="E362" s="5" t="s">
        <v>81</v>
      </c>
      <c r="F362" s="0" t="s">
        <v>8826</v>
      </c>
      <c r="G362" s="0" t="s">
        <v>3371</v>
      </c>
      <c r="H362" s="0" t="s">
        <v>8176</v>
      </c>
      <c r="I362" s="0" t="s">
        <v>8827</v>
      </c>
      <c r="K362" s="0" t="s">
        <v>40</v>
      </c>
      <c r="L362" s="0" t="s">
        <v>8828</v>
      </c>
    </row>
    <row r="363" customFormat="false" ht="17.15" hidden="false" customHeight="false" outlineLevel="0" collapsed="false">
      <c r="A363" s="0" t="s">
        <v>8829</v>
      </c>
      <c r="B363" s="0" t="s">
        <v>8801</v>
      </c>
      <c r="C363" s="0" t="s">
        <v>8830</v>
      </c>
      <c r="D363" s="0" t="s">
        <v>8831</v>
      </c>
      <c r="E363" s="0" t="s">
        <v>116</v>
      </c>
      <c r="F363" s="0" t="s">
        <v>7678</v>
      </c>
      <c r="G363" s="0" t="s">
        <v>3371</v>
      </c>
      <c r="H363" s="0" t="s">
        <v>8219</v>
      </c>
      <c r="I363" s="5" t="s">
        <v>8220</v>
      </c>
      <c r="J363" s="0" t="s">
        <v>8832</v>
      </c>
      <c r="K363" s="5" t="s">
        <v>3313</v>
      </c>
      <c r="L363" s="0" t="s">
        <v>8833</v>
      </c>
    </row>
    <row r="364" customFormat="false" ht="17.15" hidden="false" customHeight="false" outlineLevel="0" collapsed="false">
      <c r="A364" s="0" t="s">
        <v>8834</v>
      </c>
      <c r="B364" s="0" t="s">
        <v>8801</v>
      </c>
      <c r="C364" s="0" t="s">
        <v>8835</v>
      </c>
      <c r="D364" s="0" t="s">
        <v>8836</v>
      </c>
      <c r="E364" s="0" t="s">
        <v>116</v>
      </c>
      <c r="F364" s="0" t="s">
        <v>7678</v>
      </c>
      <c r="G364" s="0" t="s">
        <v>3317</v>
      </c>
      <c r="H364" s="0" t="s">
        <v>8208</v>
      </c>
      <c r="I364" s="5" t="s">
        <v>8837</v>
      </c>
      <c r="K364" s="0" t="s">
        <v>40</v>
      </c>
      <c r="L364" s="0" t="s">
        <v>8838</v>
      </c>
    </row>
    <row r="365" customFormat="false" ht="17.15" hidden="false" customHeight="false" outlineLevel="0" collapsed="false">
      <c r="A365" s="0" t="s">
        <v>8839</v>
      </c>
      <c r="B365" s="0" t="s">
        <v>8801</v>
      </c>
      <c r="C365" s="0" t="s">
        <v>8840</v>
      </c>
      <c r="D365" s="0" t="s">
        <v>8808</v>
      </c>
      <c r="E365" s="5" t="s">
        <v>81</v>
      </c>
      <c r="F365" s="0" t="s">
        <v>6925</v>
      </c>
      <c r="G365" s="0" t="s">
        <v>3317</v>
      </c>
      <c r="H365" s="0" t="s">
        <v>8219</v>
      </c>
      <c r="I365" s="5" t="s">
        <v>8220</v>
      </c>
      <c r="K365" s="0" t="s">
        <v>40</v>
      </c>
      <c r="L365" s="0" t="s">
        <v>8841</v>
      </c>
    </row>
    <row r="366" customFormat="false" ht="17.15" hidden="false" customHeight="false" outlineLevel="0" collapsed="false">
      <c r="A366" s="0" t="s">
        <v>8842</v>
      </c>
      <c r="B366" s="0" t="s">
        <v>8843</v>
      </c>
      <c r="C366" s="0" t="s">
        <v>8844</v>
      </c>
      <c r="D366" s="0" t="s">
        <v>7433</v>
      </c>
      <c r="E366" s="5" t="s">
        <v>81</v>
      </c>
      <c r="F366" s="0" t="s">
        <v>8845</v>
      </c>
      <c r="G366" s="0" t="s">
        <v>3371</v>
      </c>
      <c r="H366" s="0" t="s">
        <v>8224</v>
      </c>
      <c r="I366" s="0" t="s">
        <v>8846</v>
      </c>
      <c r="K366" s="0" t="s">
        <v>40</v>
      </c>
      <c r="L366" s="0" t="s">
        <v>8847</v>
      </c>
    </row>
    <row r="367" customFormat="false" ht="17.15" hidden="false" customHeight="false" outlineLevel="0" collapsed="false">
      <c r="A367" s="0" t="s">
        <v>8848</v>
      </c>
      <c r="B367" s="0" t="s">
        <v>8843</v>
      </c>
      <c r="C367" s="0" t="s">
        <v>8849</v>
      </c>
      <c r="D367" s="0" t="s">
        <v>7177</v>
      </c>
      <c r="E367" s="5" t="s">
        <v>81</v>
      </c>
      <c r="F367" s="0" t="s">
        <v>8850</v>
      </c>
      <c r="G367" s="0" t="s">
        <v>3371</v>
      </c>
      <c r="H367" s="0" t="s">
        <v>8208</v>
      </c>
      <c r="I367" s="0" t="s">
        <v>8851</v>
      </c>
      <c r="K367" s="0" t="s">
        <v>40</v>
      </c>
      <c r="L367" s="0" t="s">
        <v>8852</v>
      </c>
    </row>
    <row r="368" customFormat="false" ht="17.15" hidden="false" customHeight="false" outlineLevel="0" collapsed="false">
      <c r="A368" s="0" t="s">
        <v>8853</v>
      </c>
      <c r="B368" s="0" t="s">
        <v>8843</v>
      </c>
      <c r="C368" s="0" t="s">
        <v>8854</v>
      </c>
      <c r="D368" s="0" t="s">
        <v>8704</v>
      </c>
      <c r="E368" s="5" t="s">
        <v>81</v>
      </c>
      <c r="F368" s="0" t="s">
        <v>8845</v>
      </c>
      <c r="G368" s="0" t="s">
        <v>3371</v>
      </c>
      <c r="H368" s="0" t="s">
        <v>8224</v>
      </c>
      <c r="I368" s="0" t="s">
        <v>8855</v>
      </c>
      <c r="J368" s="0" t="s">
        <v>901</v>
      </c>
      <c r="K368" s="5" t="s">
        <v>3313</v>
      </c>
      <c r="L368" s="0" t="s">
        <v>8847</v>
      </c>
    </row>
    <row r="369" customFormat="false" ht="17.15" hidden="false" customHeight="false" outlineLevel="0" collapsed="false">
      <c r="A369" s="0" t="s">
        <v>8856</v>
      </c>
      <c r="B369" s="0" t="s">
        <v>8843</v>
      </c>
      <c r="C369" s="0" t="s">
        <v>8857</v>
      </c>
      <c r="D369" s="0" t="s">
        <v>7739</v>
      </c>
      <c r="E369" s="5" t="s">
        <v>81</v>
      </c>
      <c r="F369" s="0" t="s">
        <v>8845</v>
      </c>
      <c r="G369" s="0" t="s">
        <v>3371</v>
      </c>
      <c r="H369" s="0" t="s">
        <v>8224</v>
      </c>
      <c r="I369" s="0" t="s">
        <v>8858</v>
      </c>
      <c r="K369" s="0" t="s">
        <v>40</v>
      </c>
      <c r="L369" s="0" t="s">
        <v>8847</v>
      </c>
    </row>
    <row r="370" customFormat="false" ht="17.15" hidden="false" customHeight="false" outlineLevel="0" collapsed="false">
      <c r="A370" s="0" t="s">
        <v>8859</v>
      </c>
      <c r="B370" s="0" t="s">
        <v>8843</v>
      </c>
      <c r="C370" s="0" t="s">
        <v>8860</v>
      </c>
      <c r="D370" s="0" t="s">
        <v>117</v>
      </c>
      <c r="E370" s="5" t="s">
        <v>81</v>
      </c>
      <c r="F370" s="0" t="s">
        <v>8861</v>
      </c>
      <c r="G370" s="0" t="s">
        <v>3371</v>
      </c>
      <c r="H370" s="0" t="s">
        <v>8202</v>
      </c>
      <c r="I370" s="5" t="s">
        <v>8862</v>
      </c>
      <c r="K370" s="0" t="s">
        <v>40</v>
      </c>
      <c r="L370" s="0" t="s">
        <v>8863</v>
      </c>
    </row>
    <row r="371" customFormat="false" ht="17.15" hidden="false" customHeight="false" outlineLevel="0" collapsed="false">
      <c r="A371" s="0" t="s">
        <v>8864</v>
      </c>
      <c r="B371" s="0" t="s">
        <v>8865</v>
      </c>
      <c r="C371" s="0" t="s">
        <v>8866</v>
      </c>
      <c r="D371" s="0" t="s">
        <v>8182</v>
      </c>
      <c r="E371" s="5" t="s">
        <v>81</v>
      </c>
      <c r="F371" s="0" t="s">
        <v>8867</v>
      </c>
      <c r="G371" s="0" t="s">
        <v>3371</v>
      </c>
      <c r="H371" s="0" t="s">
        <v>8176</v>
      </c>
      <c r="I371" s="0" t="s">
        <v>8868</v>
      </c>
      <c r="K371" s="0" t="s">
        <v>40</v>
      </c>
      <c r="L371" s="0" t="s">
        <v>8869</v>
      </c>
    </row>
    <row r="372" customFormat="false" ht="17.15" hidden="false" customHeight="false" outlineLevel="0" collapsed="false">
      <c r="A372" s="0" t="s">
        <v>8870</v>
      </c>
      <c r="B372" s="0" t="s">
        <v>8871</v>
      </c>
      <c r="C372" s="0" t="s">
        <v>8872</v>
      </c>
      <c r="D372" s="0" t="s">
        <v>8873</v>
      </c>
      <c r="E372" s="5" t="s">
        <v>81</v>
      </c>
      <c r="F372" s="0" t="s">
        <v>8118</v>
      </c>
      <c r="G372" s="0" t="s">
        <v>3371</v>
      </c>
      <c r="H372" s="0" t="s">
        <v>8219</v>
      </c>
      <c r="I372" s="5" t="s">
        <v>8435</v>
      </c>
      <c r="K372" s="0" t="s">
        <v>40</v>
      </c>
      <c r="L372" s="0" t="s">
        <v>8874</v>
      </c>
    </row>
    <row r="373" customFormat="false" ht="17.15" hidden="false" customHeight="false" outlineLevel="0" collapsed="false">
      <c r="A373" s="0" t="s">
        <v>8875</v>
      </c>
      <c r="B373" s="0" t="s">
        <v>8871</v>
      </c>
      <c r="C373" s="0" t="s">
        <v>8876</v>
      </c>
      <c r="D373" s="0" t="s">
        <v>8182</v>
      </c>
      <c r="E373" s="5" t="s">
        <v>81</v>
      </c>
      <c r="F373" s="0" t="s">
        <v>8877</v>
      </c>
      <c r="G373" s="0" t="s">
        <v>3371</v>
      </c>
      <c r="H373" s="0" t="s">
        <v>8224</v>
      </c>
      <c r="I373" s="5" t="s">
        <v>8878</v>
      </c>
      <c r="J373" s="0" t="s">
        <v>8879</v>
      </c>
      <c r="K373" s="5" t="s">
        <v>3313</v>
      </c>
      <c r="L373" s="0" t="s">
        <v>8880</v>
      </c>
    </row>
    <row r="374" customFormat="false" ht="17.15" hidden="false" customHeight="false" outlineLevel="0" collapsed="false">
      <c r="A374" s="0" t="s">
        <v>8881</v>
      </c>
      <c r="B374" s="0" t="s">
        <v>8871</v>
      </c>
      <c r="C374" s="0" t="s">
        <v>8882</v>
      </c>
      <c r="D374" s="0" t="s">
        <v>8883</v>
      </c>
      <c r="E374" s="5" t="s">
        <v>81</v>
      </c>
      <c r="F374" s="0" t="s">
        <v>7560</v>
      </c>
      <c r="G374" s="0" t="s">
        <v>3327</v>
      </c>
      <c r="H374" s="0" t="s">
        <v>8224</v>
      </c>
      <c r="I374" s="5" t="s">
        <v>8884</v>
      </c>
      <c r="K374" s="0" t="s">
        <v>40</v>
      </c>
      <c r="L374" s="0" t="s">
        <v>8885</v>
      </c>
    </row>
    <row r="375" customFormat="false" ht="17.15" hidden="false" customHeight="false" outlineLevel="0" collapsed="false">
      <c r="A375" s="0" t="s">
        <v>8886</v>
      </c>
      <c r="B375" s="0" t="s">
        <v>8871</v>
      </c>
      <c r="C375" s="0" t="s">
        <v>8887</v>
      </c>
      <c r="D375" s="0" t="s">
        <v>8499</v>
      </c>
      <c r="E375" s="5" t="s">
        <v>81</v>
      </c>
      <c r="F375" s="0" t="s">
        <v>8888</v>
      </c>
      <c r="G375" s="0" t="s">
        <v>3371</v>
      </c>
      <c r="H375" s="0" t="s">
        <v>8224</v>
      </c>
      <c r="I375" s="0" t="s">
        <v>8889</v>
      </c>
      <c r="J375" s="0" t="s">
        <v>8879</v>
      </c>
      <c r="K375" s="5" t="s">
        <v>3313</v>
      </c>
      <c r="L375" s="0" t="s">
        <v>8890</v>
      </c>
    </row>
    <row r="376" customFormat="false" ht="17.15" hidden="false" customHeight="false" outlineLevel="0" collapsed="false">
      <c r="A376" s="0" t="s">
        <v>8891</v>
      </c>
      <c r="B376" s="0" t="s">
        <v>8871</v>
      </c>
      <c r="C376" s="0" t="s">
        <v>8892</v>
      </c>
      <c r="D376" s="0" t="s">
        <v>7581</v>
      </c>
      <c r="E376" s="5" t="s">
        <v>81</v>
      </c>
      <c r="F376" s="0" t="s">
        <v>8877</v>
      </c>
      <c r="G376" s="0" t="s">
        <v>3371</v>
      </c>
      <c r="H376" s="0" t="s">
        <v>8208</v>
      </c>
      <c r="I376" s="0" t="s">
        <v>8893</v>
      </c>
      <c r="K376" s="0" t="s">
        <v>40</v>
      </c>
      <c r="L376" s="0" t="s">
        <v>8880</v>
      </c>
    </row>
    <row r="377" customFormat="false" ht="17.15" hidden="false" customHeight="false" outlineLevel="0" collapsed="false">
      <c r="A377" s="0" t="s">
        <v>8894</v>
      </c>
      <c r="B377" s="0" t="s">
        <v>8895</v>
      </c>
      <c r="C377" s="0" t="s">
        <v>8896</v>
      </c>
      <c r="D377" s="0" t="s">
        <v>7568</v>
      </c>
      <c r="E377" s="5" t="s">
        <v>81</v>
      </c>
      <c r="F377" s="0" t="s">
        <v>8897</v>
      </c>
      <c r="G377" s="0" t="s">
        <v>3371</v>
      </c>
      <c r="H377" s="0" t="s">
        <v>8176</v>
      </c>
      <c r="I377" s="0" t="s">
        <v>8898</v>
      </c>
      <c r="K377" s="0" t="s">
        <v>40</v>
      </c>
      <c r="L377" s="0" t="s">
        <v>8899</v>
      </c>
    </row>
    <row r="378" customFormat="false" ht="17.15" hidden="false" customHeight="false" outlineLevel="0" collapsed="false">
      <c r="A378" s="0" t="s">
        <v>8900</v>
      </c>
      <c r="B378" s="0" t="s">
        <v>8871</v>
      </c>
      <c r="C378" s="0" t="s">
        <v>8901</v>
      </c>
      <c r="D378" s="0" t="s">
        <v>8499</v>
      </c>
      <c r="E378" s="5" t="s">
        <v>81</v>
      </c>
      <c r="F378" s="0" t="s">
        <v>7658</v>
      </c>
      <c r="G378" s="0" t="s">
        <v>3371</v>
      </c>
      <c r="H378" s="0" t="s">
        <v>8176</v>
      </c>
      <c r="I378" s="0" t="s">
        <v>8902</v>
      </c>
      <c r="J378" s="0" t="s">
        <v>863</v>
      </c>
      <c r="K378" s="5" t="s">
        <v>3313</v>
      </c>
      <c r="L378" s="0" t="s">
        <v>8903</v>
      </c>
    </row>
    <row r="379" customFormat="false" ht="17.15" hidden="false" customHeight="false" outlineLevel="0" collapsed="false">
      <c r="A379" s="0" t="s">
        <v>8904</v>
      </c>
      <c r="B379" s="0" t="s">
        <v>8905</v>
      </c>
      <c r="C379" s="0" t="s">
        <v>8906</v>
      </c>
      <c r="D379" s="0" t="s">
        <v>117</v>
      </c>
      <c r="E379" s="5" t="s">
        <v>81</v>
      </c>
      <c r="F379" s="0" t="s">
        <v>8907</v>
      </c>
      <c r="G379" s="0" t="s">
        <v>3371</v>
      </c>
      <c r="H379" s="0" t="s">
        <v>8176</v>
      </c>
      <c r="I379" s="5" t="s">
        <v>8908</v>
      </c>
      <c r="K379" s="0" t="s">
        <v>40</v>
      </c>
      <c r="L379" s="0" t="s">
        <v>8909</v>
      </c>
    </row>
    <row r="380" customFormat="false" ht="17.15" hidden="false" customHeight="false" outlineLevel="0" collapsed="false">
      <c r="A380" s="0" t="s">
        <v>8910</v>
      </c>
      <c r="B380" s="0" t="s">
        <v>8871</v>
      </c>
      <c r="C380" s="0" t="s">
        <v>8911</v>
      </c>
      <c r="D380" s="0" t="s">
        <v>7581</v>
      </c>
      <c r="E380" s="5" t="s">
        <v>81</v>
      </c>
      <c r="F380" s="0" t="s">
        <v>143</v>
      </c>
      <c r="G380" s="0" t="s">
        <v>3371</v>
      </c>
      <c r="H380" s="0" t="s">
        <v>8176</v>
      </c>
      <c r="I380" s="0" t="s">
        <v>8912</v>
      </c>
      <c r="K380" s="0" t="s">
        <v>40</v>
      </c>
      <c r="L380" s="0" t="s">
        <v>8913</v>
      </c>
    </row>
    <row r="381" customFormat="false" ht="17.15" hidden="false" customHeight="false" outlineLevel="0" collapsed="false">
      <c r="A381" s="0" t="s">
        <v>8914</v>
      </c>
      <c r="B381" s="0" t="s">
        <v>8915</v>
      </c>
      <c r="C381" s="0" t="s">
        <v>8916</v>
      </c>
      <c r="D381" s="0" t="s">
        <v>8182</v>
      </c>
      <c r="E381" s="5" t="s">
        <v>81</v>
      </c>
      <c r="F381" s="0" t="s">
        <v>7746</v>
      </c>
      <c r="G381" s="0" t="s">
        <v>3371</v>
      </c>
      <c r="H381" s="0" t="s">
        <v>8176</v>
      </c>
      <c r="I381" s="5" t="s">
        <v>8917</v>
      </c>
      <c r="K381" s="0" t="s">
        <v>40</v>
      </c>
      <c r="L381" s="0" t="s">
        <v>8918</v>
      </c>
    </row>
    <row r="382" customFormat="false" ht="17.15" hidden="false" customHeight="false" outlineLevel="0" collapsed="false">
      <c r="A382" s="0" t="s">
        <v>8919</v>
      </c>
      <c r="B382" s="0" t="s">
        <v>8915</v>
      </c>
      <c r="C382" s="0" t="s">
        <v>8920</v>
      </c>
      <c r="D382" s="0" t="s">
        <v>117</v>
      </c>
      <c r="E382" s="5" t="s">
        <v>81</v>
      </c>
      <c r="F382" s="0" t="s">
        <v>7619</v>
      </c>
      <c r="G382" s="0" t="s">
        <v>3371</v>
      </c>
      <c r="H382" s="0" t="s">
        <v>8176</v>
      </c>
      <c r="I382" s="0" t="s">
        <v>8921</v>
      </c>
      <c r="K382" s="0" t="s">
        <v>40</v>
      </c>
      <c r="L382" s="0" t="s">
        <v>8922</v>
      </c>
    </row>
    <row r="383" customFormat="false" ht="17.15" hidden="false" customHeight="false" outlineLevel="0" collapsed="false">
      <c r="A383" s="0" t="s">
        <v>8923</v>
      </c>
      <c r="B383" s="0" t="s">
        <v>8915</v>
      </c>
      <c r="C383" s="0" t="s">
        <v>8924</v>
      </c>
      <c r="D383" s="0" t="s">
        <v>117</v>
      </c>
      <c r="E383" s="5" t="s">
        <v>81</v>
      </c>
      <c r="F383" s="0" t="s">
        <v>8925</v>
      </c>
      <c r="G383" s="0" t="s">
        <v>3371</v>
      </c>
      <c r="H383" s="0" t="s">
        <v>8176</v>
      </c>
      <c r="I383" s="0" t="s">
        <v>8926</v>
      </c>
      <c r="K383" s="0" t="s">
        <v>40</v>
      </c>
      <c r="L383" s="0" t="s">
        <v>8927</v>
      </c>
    </row>
    <row r="384" customFormat="false" ht="17.15" hidden="false" customHeight="false" outlineLevel="0" collapsed="false">
      <c r="A384" s="0" t="s">
        <v>8928</v>
      </c>
      <c r="B384" s="0" t="s">
        <v>8915</v>
      </c>
      <c r="C384" s="0" t="s">
        <v>8929</v>
      </c>
      <c r="D384" s="0" t="s">
        <v>117</v>
      </c>
      <c r="E384" s="5" t="s">
        <v>81</v>
      </c>
      <c r="F384" s="0" t="s">
        <v>8925</v>
      </c>
      <c r="G384" s="0" t="s">
        <v>3371</v>
      </c>
      <c r="H384" s="0" t="s">
        <v>8176</v>
      </c>
      <c r="I384" s="0" t="s">
        <v>8930</v>
      </c>
      <c r="K384" s="0" t="s">
        <v>40</v>
      </c>
      <c r="L384" s="0" t="s">
        <v>8927</v>
      </c>
    </row>
    <row r="385" customFormat="false" ht="17.15" hidden="false" customHeight="false" outlineLevel="0" collapsed="false">
      <c r="A385" s="0" t="s">
        <v>8931</v>
      </c>
      <c r="B385" s="0" t="s">
        <v>8932</v>
      </c>
      <c r="C385" s="0" t="s">
        <v>8933</v>
      </c>
      <c r="D385" s="0" t="s">
        <v>8683</v>
      </c>
      <c r="E385" s="5" t="s">
        <v>81</v>
      </c>
      <c r="F385" s="0" t="s">
        <v>8934</v>
      </c>
      <c r="G385" s="0" t="s">
        <v>3371</v>
      </c>
      <c r="H385" s="0" t="s">
        <v>8176</v>
      </c>
      <c r="I385" s="0" t="s">
        <v>8935</v>
      </c>
      <c r="K385" s="0" t="s">
        <v>40</v>
      </c>
      <c r="L385" s="0" t="s">
        <v>8936</v>
      </c>
    </row>
    <row r="386" customFormat="false" ht="17.15" hidden="false" customHeight="false" outlineLevel="0" collapsed="false">
      <c r="A386" s="0" t="s">
        <v>8937</v>
      </c>
      <c r="B386" s="0" t="s">
        <v>8938</v>
      </c>
      <c r="C386" s="0" t="s">
        <v>8939</v>
      </c>
      <c r="D386" s="0" t="s">
        <v>8940</v>
      </c>
      <c r="E386" s="5" t="s">
        <v>81</v>
      </c>
      <c r="F386" s="0" t="s">
        <v>8941</v>
      </c>
      <c r="G386" s="0" t="s">
        <v>3371</v>
      </c>
      <c r="H386" s="0" t="s">
        <v>8176</v>
      </c>
      <c r="I386" s="0" t="s">
        <v>8942</v>
      </c>
      <c r="K386" s="0" t="s">
        <v>40</v>
      </c>
      <c r="L386" s="0" t="s">
        <v>8943</v>
      </c>
    </row>
    <row r="387" customFormat="false" ht="17.15" hidden="false" customHeight="false" outlineLevel="0" collapsed="false">
      <c r="A387" s="0" t="s">
        <v>8944</v>
      </c>
      <c r="B387" s="0" t="s">
        <v>8945</v>
      </c>
      <c r="C387" s="0" t="s">
        <v>8946</v>
      </c>
      <c r="D387" s="0" t="s">
        <v>8395</v>
      </c>
      <c r="E387" s="5" t="s">
        <v>81</v>
      </c>
      <c r="F387" s="0" t="s">
        <v>8947</v>
      </c>
      <c r="G387" s="0" t="s">
        <v>3371</v>
      </c>
      <c r="H387" s="0" t="s">
        <v>8219</v>
      </c>
      <c r="I387" s="5" t="s">
        <v>8948</v>
      </c>
      <c r="K387" s="0" t="s">
        <v>40</v>
      </c>
      <c r="L387" s="0" t="s">
        <v>8949</v>
      </c>
    </row>
    <row r="388" customFormat="false" ht="17.15" hidden="false" customHeight="false" outlineLevel="0" collapsed="false">
      <c r="A388" s="0" t="s">
        <v>8950</v>
      </c>
      <c r="B388" s="0" t="s">
        <v>8951</v>
      </c>
      <c r="C388" s="0" t="s">
        <v>8952</v>
      </c>
      <c r="D388" s="0" t="s">
        <v>8953</v>
      </c>
      <c r="E388" s="5" t="s">
        <v>81</v>
      </c>
      <c r="F388" s="0" t="s">
        <v>8954</v>
      </c>
      <c r="G388" s="0" t="s">
        <v>3371</v>
      </c>
      <c r="H388" s="0" t="s">
        <v>8219</v>
      </c>
      <c r="I388" s="5" t="s">
        <v>8478</v>
      </c>
      <c r="K388" s="0" t="s">
        <v>40</v>
      </c>
      <c r="L388" s="0" t="s">
        <v>8955</v>
      </c>
    </row>
    <row r="389" customFormat="false" ht="17.15" hidden="false" customHeight="false" outlineLevel="0" collapsed="false">
      <c r="A389" s="0" t="s">
        <v>8956</v>
      </c>
      <c r="B389" s="0" t="s">
        <v>8951</v>
      </c>
      <c r="C389" s="0" t="s">
        <v>8957</v>
      </c>
      <c r="D389" s="0" t="s">
        <v>7420</v>
      </c>
      <c r="E389" s="5" t="s">
        <v>81</v>
      </c>
      <c r="F389" s="0" t="s">
        <v>8954</v>
      </c>
      <c r="G389" s="0" t="s">
        <v>3371</v>
      </c>
      <c r="H389" s="0" t="s">
        <v>8176</v>
      </c>
      <c r="I389" s="0" t="s">
        <v>8958</v>
      </c>
      <c r="K389" s="0" t="s">
        <v>40</v>
      </c>
      <c r="L389" s="0" t="s">
        <v>8959</v>
      </c>
    </row>
    <row r="390" customFormat="false" ht="17.15" hidden="false" customHeight="false" outlineLevel="0" collapsed="false">
      <c r="A390" s="0" t="s">
        <v>8960</v>
      </c>
      <c r="B390" s="0" t="s">
        <v>8951</v>
      </c>
      <c r="C390" s="0" t="s">
        <v>8961</v>
      </c>
      <c r="D390" s="0" t="s">
        <v>8174</v>
      </c>
      <c r="E390" s="5" t="s">
        <v>81</v>
      </c>
      <c r="F390" s="0" t="s">
        <v>8954</v>
      </c>
      <c r="G390" s="0" t="s">
        <v>3371</v>
      </c>
      <c r="H390" s="0" t="s">
        <v>8219</v>
      </c>
      <c r="I390" s="5" t="s">
        <v>8478</v>
      </c>
      <c r="K390" s="0" t="s">
        <v>40</v>
      </c>
      <c r="L390" s="0" t="s">
        <v>8955</v>
      </c>
    </row>
    <row r="391" customFormat="false" ht="17.15" hidden="false" customHeight="false" outlineLevel="0" collapsed="false">
      <c r="A391" s="0" t="s">
        <v>8962</v>
      </c>
      <c r="B391" s="0" t="s">
        <v>1682</v>
      </c>
      <c r="C391" s="0" t="s">
        <v>8963</v>
      </c>
      <c r="D391" s="0" t="s">
        <v>8964</v>
      </c>
      <c r="E391" s="5" t="s">
        <v>81</v>
      </c>
      <c r="F391" s="0" t="s">
        <v>8965</v>
      </c>
      <c r="G391" s="0" t="s">
        <v>3317</v>
      </c>
      <c r="H391" s="0" t="s">
        <v>8208</v>
      </c>
      <c r="I391" s="0" t="s">
        <v>8966</v>
      </c>
      <c r="K391" s="0" t="s">
        <v>40</v>
      </c>
      <c r="L391" s="0" t="s">
        <v>8967</v>
      </c>
    </row>
    <row r="392" customFormat="false" ht="17.15" hidden="false" customHeight="false" outlineLevel="0" collapsed="false">
      <c r="A392" s="0" t="s">
        <v>8968</v>
      </c>
      <c r="B392" s="0" t="s">
        <v>1429</v>
      </c>
      <c r="C392" s="0" t="s">
        <v>8969</v>
      </c>
      <c r="D392" s="0" t="s">
        <v>8182</v>
      </c>
      <c r="E392" s="5" t="s">
        <v>81</v>
      </c>
      <c r="F392" s="0" t="s">
        <v>8970</v>
      </c>
      <c r="G392" s="0" t="s">
        <v>3371</v>
      </c>
      <c r="H392" s="0" t="s">
        <v>8176</v>
      </c>
      <c r="I392" s="0" t="s">
        <v>8971</v>
      </c>
      <c r="K392" s="0" t="s">
        <v>40</v>
      </c>
      <c r="L392" s="0" t="s">
        <v>8972</v>
      </c>
    </row>
    <row r="393" customFormat="false" ht="17.15" hidden="false" customHeight="false" outlineLevel="0" collapsed="false">
      <c r="A393" s="0" t="s">
        <v>8973</v>
      </c>
      <c r="B393" s="0" t="s">
        <v>8974</v>
      </c>
      <c r="C393" s="0" t="s">
        <v>8975</v>
      </c>
      <c r="D393" s="0" t="s">
        <v>8976</v>
      </c>
      <c r="E393" s="0" t="s">
        <v>116</v>
      </c>
      <c r="F393" s="5" t="s">
        <v>8977</v>
      </c>
      <c r="G393" s="0" t="s">
        <v>3317</v>
      </c>
      <c r="H393" s="0" t="s">
        <v>8208</v>
      </c>
      <c r="I393" s="0" t="s">
        <v>8978</v>
      </c>
      <c r="K393" s="0" t="s">
        <v>40</v>
      </c>
      <c r="L393" s="0" t="s">
        <v>8979</v>
      </c>
    </row>
    <row r="394" customFormat="false" ht="17.15" hidden="false" customHeight="false" outlineLevel="0" collapsed="false">
      <c r="A394" s="0" t="s">
        <v>8980</v>
      </c>
      <c r="B394" s="0" t="s">
        <v>8974</v>
      </c>
      <c r="C394" s="0" t="s">
        <v>8981</v>
      </c>
      <c r="D394" s="0" t="s">
        <v>117</v>
      </c>
      <c r="E394" s="5" t="s">
        <v>81</v>
      </c>
      <c r="F394" s="0" t="s">
        <v>8982</v>
      </c>
      <c r="G394" s="0" t="s">
        <v>3371</v>
      </c>
      <c r="H394" s="0" t="s">
        <v>8176</v>
      </c>
      <c r="I394" s="5" t="s">
        <v>8983</v>
      </c>
      <c r="K394" s="0" t="s">
        <v>40</v>
      </c>
      <c r="L394" s="0" t="s">
        <v>8984</v>
      </c>
    </row>
    <row r="395" customFormat="false" ht="17.15" hidden="false" customHeight="false" outlineLevel="0" collapsed="false">
      <c r="A395" s="0" t="s">
        <v>8985</v>
      </c>
      <c r="B395" s="0" t="s">
        <v>8974</v>
      </c>
      <c r="C395" s="0" t="s">
        <v>8986</v>
      </c>
      <c r="D395" s="0" t="s">
        <v>117</v>
      </c>
      <c r="E395" s="5" t="s">
        <v>81</v>
      </c>
      <c r="F395" s="0" t="s">
        <v>8987</v>
      </c>
      <c r="G395" s="0" t="s">
        <v>3317</v>
      </c>
      <c r="H395" s="0" t="s">
        <v>8219</v>
      </c>
      <c r="I395" s="5" t="s">
        <v>8948</v>
      </c>
      <c r="K395" s="0" t="s">
        <v>40</v>
      </c>
      <c r="L395" s="0" t="s">
        <v>8988</v>
      </c>
    </row>
    <row r="396" customFormat="false" ht="17.15" hidden="false" customHeight="false" outlineLevel="0" collapsed="false">
      <c r="A396" s="0" t="s">
        <v>8989</v>
      </c>
      <c r="B396" s="0" t="s">
        <v>8990</v>
      </c>
      <c r="C396" s="0" t="s">
        <v>8991</v>
      </c>
      <c r="D396" s="0" t="s">
        <v>117</v>
      </c>
      <c r="E396" s="5" t="s">
        <v>81</v>
      </c>
      <c r="F396" s="0" t="s">
        <v>8441</v>
      </c>
      <c r="G396" s="0" t="s">
        <v>3371</v>
      </c>
      <c r="H396" s="0" t="s">
        <v>8219</v>
      </c>
      <c r="I396" s="5" t="s">
        <v>8220</v>
      </c>
      <c r="K396" s="0" t="s">
        <v>40</v>
      </c>
      <c r="L396" s="0" t="s">
        <v>8992</v>
      </c>
    </row>
    <row r="397" customFormat="false" ht="17.15" hidden="false" customHeight="false" outlineLevel="0" collapsed="false">
      <c r="A397" s="0" t="s">
        <v>8993</v>
      </c>
      <c r="B397" s="0" t="s">
        <v>8994</v>
      </c>
      <c r="C397" s="0" t="s">
        <v>8995</v>
      </c>
      <c r="D397" s="0" t="s">
        <v>8996</v>
      </c>
      <c r="E397" s="5" t="s">
        <v>172</v>
      </c>
      <c r="F397" s="0" t="s">
        <v>8207</v>
      </c>
      <c r="G397" s="0" t="s">
        <v>3317</v>
      </c>
      <c r="H397" s="0" t="s">
        <v>8202</v>
      </c>
      <c r="I397" s="5" t="s">
        <v>8997</v>
      </c>
      <c r="K397" s="0" t="s">
        <v>40</v>
      </c>
      <c r="L397" s="0" t="s">
        <v>8998</v>
      </c>
    </row>
    <row r="398" customFormat="false" ht="17.15" hidden="false" customHeight="false" outlineLevel="0" collapsed="false">
      <c r="A398" s="0" t="s">
        <v>8999</v>
      </c>
      <c r="B398" s="0" t="s">
        <v>9000</v>
      </c>
      <c r="C398" s="0" t="s">
        <v>9001</v>
      </c>
      <c r="D398" s="0" t="s">
        <v>8482</v>
      </c>
      <c r="E398" s="5" t="s">
        <v>172</v>
      </c>
      <c r="F398" s="0" t="s">
        <v>9002</v>
      </c>
      <c r="G398" s="0" t="s">
        <v>3317</v>
      </c>
      <c r="H398" s="0" t="s">
        <v>8208</v>
      </c>
      <c r="I398" s="0" t="s">
        <v>9003</v>
      </c>
      <c r="K398" s="0" t="s">
        <v>40</v>
      </c>
      <c r="L398" s="0" t="s">
        <v>9004</v>
      </c>
    </row>
    <row r="399" customFormat="false" ht="17.15" hidden="false" customHeight="false" outlineLevel="0" collapsed="false">
      <c r="A399" s="0" t="s">
        <v>9005</v>
      </c>
      <c r="B399" s="0" t="s">
        <v>3958</v>
      </c>
      <c r="C399" s="0" t="s">
        <v>9006</v>
      </c>
      <c r="D399" s="0" t="s">
        <v>9007</v>
      </c>
      <c r="E399" s="5" t="s">
        <v>81</v>
      </c>
      <c r="F399" s="0" t="s">
        <v>3774</v>
      </c>
      <c r="G399" s="0" t="s">
        <v>3317</v>
      </c>
      <c r="H399" s="0" t="s">
        <v>8176</v>
      </c>
      <c r="I399" s="0" t="s">
        <v>9008</v>
      </c>
      <c r="K399" s="0" t="s">
        <v>40</v>
      </c>
      <c r="L399" s="0" t="s">
        <v>9009</v>
      </c>
    </row>
    <row r="400" customFormat="false" ht="17.15" hidden="false" customHeight="false" outlineLevel="0" collapsed="false">
      <c r="A400" s="0" t="s">
        <v>9010</v>
      </c>
      <c r="B400" s="0" t="s">
        <v>8990</v>
      </c>
      <c r="C400" s="0" t="s">
        <v>9011</v>
      </c>
      <c r="D400" s="0" t="s">
        <v>9012</v>
      </c>
      <c r="E400" s="5" t="s">
        <v>81</v>
      </c>
      <c r="F400" s="0" t="s">
        <v>7285</v>
      </c>
      <c r="G400" s="0" t="s">
        <v>3317</v>
      </c>
      <c r="H400" s="0" t="s">
        <v>8208</v>
      </c>
      <c r="I400" s="0" t="s">
        <v>9013</v>
      </c>
      <c r="K400" s="0" t="s">
        <v>40</v>
      </c>
      <c r="L400" s="0" t="s">
        <v>9014</v>
      </c>
    </row>
    <row r="401" customFormat="false" ht="17.15" hidden="false" customHeight="false" outlineLevel="0" collapsed="false">
      <c r="A401" s="0" t="s">
        <v>9015</v>
      </c>
      <c r="B401" s="0" t="s">
        <v>8990</v>
      </c>
      <c r="C401" s="0" t="s">
        <v>9016</v>
      </c>
      <c r="D401" s="0" t="s">
        <v>7239</v>
      </c>
      <c r="E401" s="5" t="s">
        <v>81</v>
      </c>
      <c r="F401" s="0" t="s">
        <v>7285</v>
      </c>
      <c r="G401" s="0" t="s">
        <v>3317</v>
      </c>
      <c r="H401" s="0" t="s">
        <v>8208</v>
      </c>
      <c r="I401" s="0" t="s">
        <v>9017</v>
      </c>
      <c r="K401" s="0" t="s">
        <v>40</v>
      </c>
      <c r="L401" s="0" t="s">
        <v>9014</v>
      </c>
    </row>
    <row r="402" customFormat="false" ht="17.15" hidden="false" customHeight="false" outlineLevel="0" collapsed="false">
      <c r="A402" s="0" t="s">
        <v>9018</v>
      </c>
      <c r="B402" s="0" t="s">
        <v>2232</v>
      </c>
      <c r="C402" s="0" t="s">
        <v>9019</v>
      </c>
      <c r="D402" s="0" t="s">
        <v>117</v>
      </c>
      <c r="E402" s="5" t="s">
        <v>81</v>
      </c>
      <c r="F402" s="0" t="s">
        <v>9020</v>
      </c>
      <c r="G402" s="0" t="s">
        <v>3371</v>
      </c>
      <c r="H402" s="0" t="s">
        <v>8176</v>
      </c>
      <c r="I402" s="0" t="s">
        <v>9021</v>
      </c>
      <c r="K402" s="0" t="s">
        <v>40</v>
      </c>
      <c r="L402" s="0" t="s">
        <v>9022</v>
      </c>
    </row>
    <row r="403" customFormat="false" ht="17.15" hidden="false" customHeight="false" outlineLevel="0" collapsed="false">
      <c r="A403" s="0" t="s">
        <v>9023</v>
      </c>
      <c r="B403" s="0" t="s">
        <v>2232</v>
      </c>
      <c r="C403" s="0" t="s">
        <v>9024</v>
      </c>
      <c r="D403" s="0" t="s">
        <v>117</v>
      </c>
      <c r="E403" s="5" t="s">
        <v>81</v>
      </c>
      <c r="F403" s="0" t="s">
        <v>9025</v>
      </c>
      <c r="G403" s="0" t="s">
        <v>3317</v>
      </c>
      <c r="H403" s="0" t="s">
        <v>8176</v>
      </c>
      <c r="I403" s="5" t="s">
        <v>9026</v>
      </c>
      <c r="K403" s="0" t="s">
        <v>40</v>
      </c>
      <c r="L403" s="0" t="s">
        <v>9027</v>
      </c>
    </row>
    <row r="404" customFormat="false" ht="17.15" hidden="false" customHeight="false" outlineLevel="0" collapsed="false">
      <c r="A404" s="0" t="s">
        <v>9028</v>
      </c>
      <c r="B404" s="0" t="s">
        <v>2232</v>
      </c>
      <c r="C404" s="0" t="s">
        <v>9029</v>
      </c>
      <c r="D404" s="0" t="s">
        <v>117</v>
      </c>
      <c r="E404" s="5" t="s">
        <v>81</v>
      </c>
      <c r="F404" s="0" t="s">
        <v>9030</v>
      </c>
      <c r="G404" s="0" t="s">
        <v>3317</v>
      </c>
      <c r="H404" s="0" t="s">
        <v>8176</v>
      </c>
      <c r="I404" s="0" t="s">
        <v>9031</v>
      </c>
      <c r="K404" s="0" t="s">
        <v>40</v>
      </c>
      <c r="L404" s="0" t="s">
        <v>9027</v>
      </c>
    </row>
    <row r="405" customFormat="false" ht="17.15" hidden="false" customHeight="false" outlineLevel="0" collapsed="false">
      <c r="A405" s="0" t="s">
        <v>9032</v>
      </c>
      <c r="B405" s="0" t="s">
        <v>9033</v>
      </c>
      <c r="C405" s="0" t="s">
        <v>9034</v>
      </c>
      <c r="D405" s="0" t="s">
        <v>9035</v>
      </c>
      <c r="E405" s="5" t="s">
        <v>81</v>
      </c>
      <c r="F405" s="0" t="s">
        <v>9036</v>
      </c>
      <c r="G405" s="0" t="s">
        <v>3371</v>
      </c>
      <c r="H405" s="0" t="s">
        <v>8208</v>
      </c>
      <c r="I405" s="0" t="s">
        <v>9037</v>
      </c>
      <c r="K405" s="0" t="s">
        <v>40</v>
      </c>
      <c r="L405" s="0" t="s">
        <v>9038</v>
      </c>
    </row>
    <row r="406" customFormat="false" ht="17.15" hidden="false" customHeight="false" outlineLevel="0" collapsed="false">
      <c r="A406" s="0" t="s">
        <v>9039</v>
      </c>
      <c r="B406" s="0" t="s">
        <v>9040</v>
      </c>
      <c r="C406" s="0" t="s">
        <v>9041</v>
      </c>
      <c r="D406" s="0" t="s">
        <v>9042</v>
      </c>
      <c r="E406" s="5" t="s">
        <v>81</v>
      </c>
      <c r="F406" s="0" t="s">
        <v>9043</v>
      </c>
      <c r="G406" s="0" t="s">
        <v>3371</v>
      </c>
      <c r="H406" s="0" t="s">
        <v>8176</v>
      </c>
      <c r="I406" s="0" t="s">
        <v>9044</v>
      </c>
      <c r="K406" s="0" t="s">
        <v>40</v>
      </c>
      <c r="L406" s="0" t="s">
        <v>9045</v>
      </c>
    </row>
    <row r="407" customFormat="false" ht="17.15" hidden="false" customHeight="false" outlineLevel="0" collapsed="false">
      <c r="A407" s="0" t="s">
        <v>9046</v>
      </c>
      <c r="B407" s="0" t="s">
        <v>9040</v>
      </c>
      <c r="C407" s="0" t="s">
        <v>9047</v>
      </c>
      <c r="D407" s="0" t="s">
        <v>9048</v>
      </c>
      <c r="E407" s="5" t="s">
        <v>81</v>
      </c>
      <c r="F407" s="0" t="s">
        <v>8229</v>
      </c>
      <c r="G407" s="0" t="s">
        <v>3371</v>
      </c>
      <c r="H407" s="0" t="s">
        <v>8219</v>
      </c>
      <c r="I407" s="5" t="s">
        <v>8220</v>
      </c>
      <c r="K407" s="0" t="s">
        <v>40</v>
      </c>
      <c r="L407" s="0" t="s">
        <v>9049</v>
      </c>
    </row>
    <row r="408" customFormat="false" ht="17.15" hidden="false" customHeight="false" outlineLevel="0" collapsed="false">
      <c r="A408" s="0" t="s">
        <v>9050</v>
      </c>
      <c r="B408" s="0" t="s">
        <v>2232</v>
      </c>
      <c r="C408" s="0" t="s">
        <v>9051</v>
      </c>
      <c r="D408" s="0" t="s">
        <v>9052</v>
      </c>
      <c r="E408" s="5" t="s">
        <v>81</v>
      </c>
      <c r="F408" s="0" t="s">
        <v>8003</v>
      </c>
      <c r="G408" s="0" t="s">
        <v>3317</v>
      </c>
      <c r="H408" s="0" t="s">
        <v>8176</v>
      </c>
      <c r="I408" s="0" t="s">
        <v>9053</v>
      </c>
      <c r="K408" s="0" t="s">
        <v>40</v>
      </c>
      <c r="L408" s="0" t="s">
        <v>9054</v>
      </c>
    </row>
    <row r="409" customFormat="false" ht="17.15" hidden="false" customHeight="false" outlineLevel="0" collapsed="false">
      <c r="A409" s="0" t="s">
        <v>9055</v>
      </c>
      <c r="B409" s="0" t="s">
        <v>2232</v>
      </c>
      <c r="C409" s="0" t="s">
        <v>9056</v>
      </c>
      <c r="D409" s="0" t="s">
        <v>117</v>
      </c>
      <c r="E409" s="5" t="s">
        <v>81</v>
      </c>
      <c r="F409" s="0" t="s">
        <v>8003</v>
      </c>
      <c r="G409" s="0" t="s">
        <v>3317</v>
      </c>
      <c r="H409" s="0" t="s">
        <v>8176</v>
      </c>
      <c r="I409" s="5" t="s">
        <v>9057</v>
      </c>
      <c r="K409" s="0" t="s">
        <v>40</v>
      </c>
      <c r="L409" s="0" t="s">
        <v>9054</v>
      </c>
    </row>
    <row r="410" customFormat="false" ht="17.15" hidden="false" customHeight="false" outlineLevel="0" collapsed="false">
      <c r="A410" s="0" t="s">
        <v>9058</v>
      </c>
      <c r="B410" s="0" t="s">
        <v>2232</v>
      </c>
      <c r="C410" s="0" t="s">
        <v>9059</v>
      </c>
      <c r="D410" s="0" t="s">
        <v>9060</v>
      </c>
      <c r="E410" s="0" t="s">
        <v>116</v>
      </c>
      <c r="F410" s="0" t="s">
        <v>3966</v>
      </c>
      <c r="G410" s="0" t="s">
        <v>3317</v>
      </c>
      <c r="H410" s="0" t="s">
        <v>8208</v>
      </c>
      <c r="I410" s="0" t="s">
        <v>9061</v>
      </c>
      <c r="K410" s="0" t="s">
        <v>40</v>
      </c>
      <c r="L410" s="0" t="s">
        <v>9062</v>
      </c>
    </row>
    <row r="411" customFormat="false" ht="17.15" hidden="false" customHeight="false" outlineLevel="0" collapsed="false">
      <c r="A411" s="0" t="s">
        <v>9063</v>
      </c>
      <c r="B411" s="0" t="s">
        <v>2232</v>
      </c>
      <c r="C411" s="0" t="s">
        <v>9064</v>
      </c>
      <c r="D411" s="0" t="s">
        <v>9065</v>
      </c>
      <c r="E411" s="5" t="s">
        <v>81</v>
      </c>
      <c r="F411" s="0" t="s">
        <v>9066</v>
      </c>
      <c r="G411" s="0" t="s">
        <v>3317</v>
      </c>
      <c r="H411" s="0" t="s">
        <v>8208</v>
      </c>
      <c r="I411" s="0" t="s">
        <v>9067</v>
      </c>
      <c r="K411" s="0" t="s">
        <v>40</v>
      </c>
      <c r="L411" s="0" t="s">
        <v>9068</v>
      </c>
    </row>
    <row r="412" customFormat="false" ht="17.15" hidden="false" customHeight="false" outlineLevel="0" collapsed="false">
      <c r="A412" s="0" t="s">
        <v>9069</v>
      </c>
      <c r="B412" s="0" t="s">
        <v>2232</v>
      </c>
      <c r="C412" s="0" t="s">
        <v>9070</v>
      </c>
      <c r="D412" s="0" t="s">
        <v>9071</v>
      </c>
      <c r="E412" s="5" t="s">
        <v>81</v>
      </c>
      <c r="G412" s="0" t="s">
        <v>3317</v>
      </c>
      <c r="H412" s="0" t="s">
        <v>8241</v>
      </c>
      <c r="I412" s="5" t="s">
        <v>9072</v>
      </c>
      <c r="K412" s="0" t="s">
        <v>40</v>
      </c>
      <c r="L412" s="0" t="s">
        <v>9073</v>
      </c>
    </row>
    <row r="413" customFormat="false" ht="17.15" hidden="false" customHeight="false" outlineLevel="0" collapsed="false">
      <c r="A413" s="0" t="s">
        <v>9074</v>
      </c>
      <c r="B413" s="0" t="s">
        <v>2232</v>
      </c>
      <c r="C413" s="0" t="s">
        <v>9075</v>
      </c>
      <c r="D413" s="0" t="s">
        <v>117</v>
      </c>
      <c r="E413" s="5" t="s">
        <v>81</v>
      </c>
      <c r="F413" s="0" t="s">
        <v>9076</v>
      </c>
      <c r="G413" s="0" t="s">
        <v>3371</v>
      </c>
      <c r="H413" s="0" t="s">
        <v>8176</v>
      </c>
      <c r="I413" s="0" t="s">
        <v>9077</v>
      </c>
      <c r="K413" s="0" t="s">
        <v>40</v>
      </c>
      <c r="L413" s="0" t="s">
        <v>9078</v>
      </c>
    </row>
    <row r="414" customFormat="false" ht="17.15" hidden="false" customHeight="false" outlineLevel="0" collapsed="false">
      <c r="A414" s="0" t="s">
        <v>9079</v>
      </c>
      <c r="B414" s="0" t="s">
        <v>2232</v>
      </c>
      <c r="C414" s="0" t="s">
        <v>9080</v>
      </c>
      <c r="D414" s="0" t="s">
        <v>117</v>
      </c>
      <c r="E414" s="5" t="s">
        <v>81</v>
      </c>
      <c r="F414" s="0" t="s">
        <v>9081</v>
      </c>
      <c r="G414" s="0" t="s">
        <v>3371</v>
      </c>
      <c r="H414" s="0" t="s">
        <v>8208</v>
      </c>
      <c r="I414" s="5" t="s">
        <v>9082</v>
      </c>
      <c r="K414" s="0" t="s">
        <v>40</v>
      </c>
      <c r="L414" s="0" t="s">
        <v>9083</v>
      </c>
    </row>
    <row r="415" customFormat="false" ht="17.15" hidden="false" customHeight="false" outlineLevel="0" collapsed="false">
      <c r="A415" s="0" t="s">
        <v>9084</v>
      </c>
      <c r="B415" s="0" t="s">
        <v>2232</v>
      </c>
      <c r="C415" s="0" t="s">
        <v>9085</v>
      </c>
      <c r="D415" s="0" t="s">
        <v>117</v>
      </c>
      <c r="E415" s="5" t="s">
        <v>81</v>
      </c>
      <c r="F415" s="0" t="s">
        <v>9086</v>
      </c>
      <c r="G415" s="0" t="s">
        <v>3317</v>
      </c>
      <c r="H415" s="0" t="s">
        <v>8208</v>
      </c>
      <c r="I415" s="5" t="s">
        <v>9087</v>
      </c>
      <c r="K415" s="0" t="s">
        <v>40</v>
      </c>
      <c r="L415" s="0" t="s">
        <v>9088</v>
      </c>
    </row>
    <row r="416" customFormat="false" ht="17.15" hidden="false" customHeight="false" outlineLevel="0" collapsed="false">
      <c r="A416" s="0" t="s">
        <v>9089</v>
      </c>
      <c r="B416" s="0" t="s">
        <v>2232</v>
      </c>
      <c r="C416" s="0" t="s">
        <v>9090</v>
      </c>
      <c r="D416" s="0" t="s">
        <v>117</v>
      </c>
      <c r="E416" s="5" t="s">
        <v>81</v>
      </c>
      <c r="F416" s="0" t="s">
        <v>8175</v>
      </c>
      <c r="G416" s="0" t="s">
        <v>3317</v>
      </c>
      <c r="H416" s="0" t="s">
        <v>8241</v>
      </c>
      <c r="I416" s="0" t="s">
        <v>9091</v>
      </c>
      <c r="K416" s="0" t="s">
        <v>40</v>
      </c>
      <c r="L416" s="0" t="s">
        <v>9092</v>
      </c>
    </row>
    <row r="417" customFormat="false" ht="17.15" hidden="false" customHeight="false" outlineLevel="0" collapsed="false">
      <c r="A417" s="0" t="s">
        <v>9093</v>
      </c>
      <c r="B417" s="0" t="s">
        <v>2232</v>
      </c>
      <c r="C417" s="0" t="s">
        <v>9094</v>
      </c>
      <c r="D417" s="0" t="s">
        <v>117</v>
      </c>
      <c r="E417" s="5" t="s">
        <v>81</v>
      </c>
      <c r="F417" s="0" t="s">
        <v>9081</v>
      </c>
      <c r="G417" s="0" t="s">
        <v>3371</v>
      </c>
      <c r="H417" s="0" t="s">
        <v>8208</v>
      </c>
      <c r="I417" s="5" t="s">
        <v>9095</v>
      </c>
      <c r="K417" s="0" t="s">
        <v>40</v>
      </c>
      <c r="L417" s="0" t="s">
        <v>9083</v>
      </c>
    </row>
    <row r="418" customFormat="false" ht="17.15" hidden="false" customHeight="false" outlineLevel="0" collapsed="false">
      <c r="A418" s="0" t="s">
        <v>9096</v>
      </c>
      <c r="B418" s="0" t="s">
        <v>9097</v>
      </c>
      <c r="C418" s="0" t="s">
        <v>9098</v>
      </c>
      <c r="D418" s="0" t="s">
        <v>9099</v>
      </c>
      <c r="E418" s="5" t="s">
        <v>81</v>
      </c>
      <c r="G418" s="0" t="s">
        <v>3371</v>
      </c>
      <c r="H418" s="0" t="s">
        <v>8176</v>
      </c>
      <c r="I418" s="0" t="s">
        <v>9100</v>
      </c>
      <c r="K418" s="0" t="s">
        <v>40</v>
      </c>
      <c r="L418" s="0" t="s">
        <v>9101</v>
      </c>
    </row>
    <row r="419" customFormat="false" ht="17.15" hidden="false" customHeight="false" outlineLevel="0" collapsed="false">
      <c r="A419" s="0" t="s">
        <v>9102</v>
      </c>
      <c r="B419" s="0" t="s">
        <v>9097</v>
      </c>
      <c r="C419" s="0" t="s">
        <v>9103</v>
      </c>
      <c r="D419" s="0" t="s">
        <v>9104</v>
      </c>
      <c r="E419" s="5" t="s">
        <v>81</v>
      </c>
      <c r="F419" s="0" t="s">
        <v>3703</v>
      </c>
      <c r="G419" s="0" t="s">
        <v>3317</v>
      </c>
      <c r="H419" s="0" t="s">
        <v>8219</v>
      </c>
      <c r="I419" s="5" t="s">
        <v>8220</v>
      </c>
      <c r="K419" s="0" t="s">
        <v>40</v>
      </c>
      <c r="L419" s="0" t="s">
        <v>9105</v>
      </c>
    </row>
    <row r="420" customFormat="false" ht="17.15" hidden="false" customHeight="false" outlineLevel="0" collapsed="false">
      <c r="A420" s="0" t="s">
        <v>9106</v>
      </c>
      <c r="B420" s="0" t="s">
        <v>9097</v>
      </c>
      <c r="C420" s="0" t="s">
        <v>9107</v>
      </c>
      <c r="D420" s="0" t="s">
        <v>9108</v>
      </c>
      <c r="E420" s="5" t="s">
        <v>81</v>
      </c>
      <c r="F420" s="0" t="s">
        <v>3703</v>
      </c>
      <c r="G420" s="0" t="s">
        <v>3317</v>
      </c>
      <c r="H420" s="0" t="s">
        <v>8219</v>
      </c>
      <c r="I420" s="5" t="s">
        <v>8220</v>
      </c>
      <c r="K420" s="0" t="s">
        <v>40</v>
      </c>
      <c r="L420" s="0" t="s">
        <v>9105</v>
      </c>
    </row>
    <row r="421" customFormat="false" ht="17.15" hidden="false" customHeight="false" outlineLevel="0" collapsed="false">
      <c r="A421" s="0" t="s">
        <v>9109</v>
      </c>
      <c r="B421" s="0" t="s">
        <v>9097</v>
      </c>
      <c r="C421" s="0" t="s">
        <v>9110</v>
      </c>
      <c r="D421" s="0" t="s">
        <v>7493</v>
      </c>
      <c r="E421" s="5" t="s">
        <v>81</v>
      </c>
      <c r="G421" s="0" t="s">
        <v>3371</v>
      </c>
      <c r="H421" s="0" t="s">
        <v>8219</v>
      </c>
      <c r="I421" s="5" t="s">
        <v>8220</v>
      </c>
      <c r="K421" s="0" t="s">
        <v>40</v>
      </c>
      <c r="L421" s="0" t="s">
        <v>9111</v>
      </c>
    </row>
    <row r="422" customFormat="false" ht="17.15" hidden="false" customHeight="false" outlineLevel="0" collapsed="false">
      <c r="A422" s="0" t="s">
        <v>9112</v>
      </c>
      <c r="B422" s="0" t="s">
        <v>9097</v>
      </c>
      <c r="C422" s="0" t="s">
        <v>9113</v>
      </c>
      <c r="D422" s="0" t="s">
        <v>117</v>
      </c>
      <c r="E422" s="5" t="s">
        <v>81</v>
      </c>
      <c r="G422" s="0" t="s">
        <v>3317</v>
      </c>
      <c r="H422" s="0" t="s">
        <v>8176</v>
      </c>
      <c r="I422" s="0" t="s">
        <v>9114</v>
      </c>
      <c r="K422" s="0" t="s">
        <v>40</v>
      </c>
      <c r="L422" s="0" t="s">
        <v>9115</v>
      </c>
    </row>
    <row r="423" customFormat="false" ht="17.15" hidden="false" customHeight="false" outlineLevel="0" collapsed="false">
      <c r="A423" s="0" t="s">
        <v>9116</v>
      </c>
      <c r="B423" s="0" t="s">
        <v>9117</v>
      </c>
      <c r="C423" s="0" t="s">
        <v>9118</v>
      </c>
      <c r="D423" s="0" t="s">
        <v>117</v>
      </c>
      <c r="E423" s="5" t="s">
        <v>81</v>
      </c>
      <c r="F423" s="0" t="s">
        <v>9119</v>
      </c>
      <c r="G423" s="0" t="s">
        <v>3317</v>
      </c>
      <c r="H423" s="0" t="s">
        <v>8219</v>
      </c>
      <c r="I423" s="5" t="s">
        <v>8429</v>
      </c>
      <c r="K423" s="0" t="s">
        <v>40</v>
      </c>
      <c r="L423" s="0" t="s">
        <v>9120</v>
      </c>
    </row>
    <row r="424" customFormat="false" ht="17.15" hidden="false" customHeight="false" outlineLevel="0" collapsed="false">
      <c r="A424" s="0" t="s">
        <v>9121</v>
      </c>
      <c r="B424" s="0" t="s">
        <v>9117</v>
      </c>
      <c r="C424" s="0" t="s">
        <v>9122</v>
      </c>
      <c r="D424" s="0" t="s">
        <v>117</v>
      </c>
      <c r="E424" s="5" t="s">
        <v>81</v>
      </c>
      <c r="F424" s="0" t="s">
        <v>2170</v>
      </c>
      <c r="G424" s="0" t="s">
        <v>3317</v>
      </c>
      <c r="H424" s="0" t="s">
        <v>8241</v>
      </c>
      <c r="I424" s="0" t="s">
        <v>9123</v>
      </c>
      <c r="K424" s="0" t="s">
        <v>40</v>
      </c>
      <c r="L424" s="0" t="s">
        <v>9124</v>
      </c>
    </row>
    <row r="425" customFormat="false" ht="17.15" hidden="false" customHeight="false" outlineLevel="0" collapsed="false">
      <c r="A425" s="0" t="s">
        <v>9125</v>
      </c>
      <c r="B425" s="0" t="s">
        <v>9117</v>
      </c>
      <c r="C425" s="0" t="s">
        <v>9126</v>
      </c>
      <c r="D425" s="0" t="s">
        <v>117</v>
      </c>
      <c r="E425" s="5" t="s">
        <v>81</v>
      </c>
      <c r="F425" s="0" t="s">
        <v>2170</v>
      </c>
      <c r="G425" s="0" t="s">
        <v>3317</v>
      </c>
      <c r="H425" s="0" t="s">
        <v>8176</v>
      </c>
      <c r="I425" s="0" t="s">
        <v>9127</v>
      </c>
      <c r="K425" s="0" t="s">
        <v>40</v>
      </c>
      <c r="L425" s="0" t="s">
        <v>9124</v>
      </c>
    </row>
    <row r="426" customFormat="false" ht="17.15" hidden="false" customHeight="false" outlineLevel="0" collapsed="false">
      <c r="A426" s="0" t="s">
        <v>9128</v>
      </c>
      <c r="B426" s="0" t="s">
        <v>9117</v>
      </c>
      <c r="C426" s="0" t="s">
        <v>9129</v>
      </c>
      <c r="D426" s="0" t="s">
        <v>8218</v>
      </c>
      <c r="E426" s="5" t="s">
        <v>81</v>
      </c>
      <c r="F426" s="0" t="s">
        <v>3861</v>
      </c>
      <c r="G426" s="0" t="s">
        <v>3317</v>
      </c>
      <c r="H426" s="0" t="s">
        <v>8219</v>
      </c>
      <c r="I426" s="5" t="s">
        <v>8429</v>
      </c>
      <c r="K426" s="0" t="s">
        <v>40</v>
      </c>
      <c r="L426" s="0" t="s">
        <v>9130</v>
      </c>
    </row>
    <row r="427" customFormat="false" ht="17.15" hidden="false" customHeight="false" outlineLevel="0" collapsed="false">
      <c r="A427" s="0" t="s">
        <v>9131</v>
      </c>
      <c r="B427" s="0" t="s">
        <v>9117</v>
      </c>
      <c r="C427" s="0" t="s">
        <v>9132</v>
      </c>
      <c r="D427" s="0" t="s">
        <v>9133</v>
      </c>
      <c r="E427" s="5" t="s">
        <v>81</v>
      </c>
      <c r="F427" s="0" t="s">
        <v>9134</v>
      </c>
      <c r="G427" s="0" t="s">
        <v>3317</v>
      </c>
      <c r="H427" s="0" t="s">
        <v>8176</v>
      </c>
      <c r="I427" s="0" t="s">
        <v>9135</v>
      </c>
      <c r="K427" s="0" t="s">
        <v>40</v>
      </c>
      <c r="L427" s="0" t="s">
        <v>9136</v>
      </c>
    </row>
    <row r="428" customFormat="false" ht="17.15" hidden="false" customHeight="false" outlineLevel="0" collapsed="false">
      <c r="A428" s="0" t="s">
        <v>9137</v>
      </c>
      <c r="B428" s="0" t="s">
        <v>8345</v>
      </c>
      <c r="C428" s="0" t="s">
        <v>9138</v>
      </c>
      <c r="D428" s="0" t="s">
        <v>7177</v>
      </c>
      <c r="E428" s="5" t="s">
        <v>81</v>
      </c>
      <c r="G428" s="0" t="s">
        <v>3371</v>
      </c>
      <c r="H428" s="0" t="s">
        <v>8219</v>
      </c>
      <c r="I428" s="5" t="s">
        <v>8220</v>
      </c>
      <c r="K428" s="0" t="s">
        <v>40</v>
      </c>
      <c r="L428" s="0" t="s">
        <v>9139</v>
      </c>
    </row>
    <row r="429" customFormat="false" ht="17.15" hidden="false" customHeight="false" outlineLevel="0" collapsed="false">
      <c r="A429" s="0" t="s">
        <v>9140</v>
      </c>
      <c r="B429" s="0" t="s">
        <v>8345</v>
      </c>
      <c r="C429" s="0" t="s">
        <v>9141</v>
      </c>
      <c r="D429" s="0" t="s">
        <v>117</v>
      </c>
      <c r="E429" s="5" t="s">
        <v>81</v>
      </c>
      <c r="F429" s="0" t="s">
        <v>7366</v>
      </c>
      <c r="G429" s="0" t="s">
        <v>3371</v>
      </c>
      <c r="H429" s="0" t="s">
        <v>8176</v>
      </c>
      <c r="I429" s="0" t="s">
        <v>9142</v>
      </c>
      <c r="K429" s="0" t="s">
        <v>40</v>
      </c>
      <c r="L429" s="0" t="s">
        <v>9143</v>
      </c>
    </row>
    <row r="430" customFormat="false" ht="17.15" hidden="false" customHeight="false" outlineLevel="0" collapsed="false">
      <c r="A430" s="0" t="s">
        <v>9144</v>
      </c>
      <c r="B430" s="0" t="s">
        <v>9145</v>
      </c>
      <c r="C430" s="0" t="s">
        <v>9146</v>
      </c>
      <c r="D430" s="0" t="s">
        <v>117</v>
      </c>
      <c r="E430" s="5" t="s">
        <v>81</v>
      </c>
      <c r="F430" s="0" t="s">
        <v>9147</v>
      </c>
      <c r="G430" s="0" t="s">
        <v>3371</v>
      </c>
      <c r="H430" s="0" t="s">
        <v>8241</v>
      </c>
      <c r="I430" s="0" t="s">
        <v>9148</v>
      </c>
      <c r="K430" s="0" t="s">
        <v>40</v>
      </c>
      <c r="L430" s="0" t="s">
        <v>9149</v>
      </c>
    </row>
    <row r="431" customFormat="false" ht="17.15" hidden="false" customHeight="false" outlineLevel="0" collapsed="false">
      <c r="A431" s="0" t="s">
        <v>9150</v>
      </c>
      <c r="B431" s="0" t="s">
        <v>9151</v>
      </c>
      <c r="C431" s="0" t="s">
        <v>9152</v>
      </c>
      <c r="D431" s="0" t="s">
        <v>117</v>
      </c>
      <c r="E431" s="5" t="s">
        <v>81</v>
      </c>
      <c r="F431" s="0" t="s">
        <v>143</v>
      </c>
      <c r="G431" s="0" t="s">
        <v>146</v>
      </c>
      <c r="H431" s="0" t="s">
        <v>8176</v>
      </c>
      <c r="I431" s="5" t="s">
        <v>9153</v>
      </c>
      <c r="K431" s="0" t="s">
        <v>40</v>
      </c>
      <c r="L431" s="0" t="s">
        <v>9154</v>
      </c>
    </row>
    <row r="432" customFormat="false" ht="17.15" hidden="false" customHeight="false" outlineLevel="0" collapsed="false">
      <c r="A432" s="0" t="s">
        <v>9155</v>
      </c>
      <c r="B432" s="0" t="s">
        <v>9151</v>
      </c>
      <c r="C432" s="0" t="s">
        <v>9156</v>
      </c>
      <c r="D432" s="0" t="s">
        <v>117</v>
      </c>
      <c r="E432" s="5" t="s">
        <v>81</v>
      </c>
      <c r="F432" s="0" t="s">
        <v>8043</v>
      </c>
      <c r="G432" s="0" t="s">
        <v>123</v>
      </c>
      <c r="H432" s="0" t="s">
        <v>8176</v>
      </c>
      <c r="I432" s="5" t="s">
        <v>9157</v>
      </c>
      <c r="K432" s="0" t="s">
        <v>40</v>
      </c>
      <c r="L432" s="0" t="s">
        <v>9158</v>
      </c>
    </row>
    <row r="433" customFormat="false" ht="17.15" hidden="false" customHeight="false" outlineLevel="0" collapsed="false">
      <c r="A433" s="0" t="s">
        <v>9159</v>
      </c>
      <c r="B433" s="0" t="s">
        <v>9160</v>
      </c>
      <c r="C433" s="0" t="s">
        <v>9161</v>
      </c>
      <c r="D433" s="0" t="s">
        <v>8182</v>
      </c>
      <c r="E433" s="5" t="s">
        <v>81</v>
      </c>
      <c r="F433" s="0" t="s">
        <v>9162</v>
      </c>
      <c r="G433" s="0" t="s">
        <v>146</v>
      </c>
      <c r="H433" s="0" t="s">
        <v>8208</v>
      </c>
      <c r="I433" s="0" t="s">
        <v>9163</v>
      </c>
      <c r="K433" s="0" t="s">
        <v>40</v>
      </c>
      <c r="L433" s="0" t="s">
        <v>9164</v>
      </c>
    </row>
    <row r="434" customFormat="false" ht="17.15" hidden="false" customHeight="false" outlineLevel="0" collapsed="false">
      <c r="A434" s="0" t="s">
        <v>9165</v>
      </c>
      <c r="B434" s="0" t="s">
        <v>9160</v>
      </c>
      <c r="C434" s="0" t="s">
        <v>9166</v>
      </c>
      <c r="D434" s="0" t="s">
        <v>9167</v>
      </c>
      <c r="E434" s="5" t="s">
        <v>81</v>
      </c>
      <c r="F434" s="0" t="s">
        <v>3434</v>
      </c>
      <c r="G434" s="0" t="s">
        <v>123</v>
      </c>
      <c r="H434" s="0" t="s">
        <v>8241</v>
      </c>
      <c r="I434" s="0" t="s">
        <v>9168</v>
      </c>
      <c r="K434" s="0" t="s">
        <v>40</v>
      </c>
      <c r="L434" s="0" t="s">
        <v>9169</v>
      </c>
    </row>
    <row r="435" customFormat="false" ht="17.15" hidden="false" customHeight="false" outlineLevel="0" collapsed="false">
      <c r="A435" s="0" t="s">
        <v>9170</v>
      </c>
      <c r="B435" s="0" t="s">
        <v>9171</v>
      </c>
      <c r="C435" s="0" t="s">
        <v>9172</v>
      </c>
      <c r="D435" s="0" t="s">
        <v>7521</v>
      </c>
      <c r="E435" s="5" t="s">
        <v>81</v>
      </c>
      <c r="F435" s="0" t="s">
        <v>124</v>
      </c>
      <c r="G435" s="0" t="s">
        <v>3317</v>
      </c>
      <c r="H435" s="0" t="s">
        <v>8219</v>
      </c>
      <c r="I435" s="5" t="s">
        <v>8220</v>
      </c>
      <c r="K435" s="0" t="s">
        <v>40</v>
      </c>
      <c r="L435" s="0" t="s">
        <v>9173</v>
      </c>
    </row>
    <row r="436" customFormat="false" ht="17.15" hidden="false" customHeight="false" outlineLevel="0" collapsed="false">
      <c r="A436" s="0" t="s">
        <v>9174</v>
      </c>
      <c r="B436" s="0" t="s">
        <v>9171</v>
      </c>
      <c r="C436" s="0" t="s">
        <v>9175</v>
      </c>
      <c r="D436" s="0" t="s">
        <v>117</v>
      </c>
      <c r="E436" s="5" t="s">
        <v>81</v>
      </c>
      <c r="F436" s="0" t="s">
        <v>6925</v>
      </c>
      <c r="G436" s="0" t="s">
        <v>3371</v>
      </c>
      <c r="H436" s="0" t="s">
        <v>8176</v>
      </c>
      <c r="I436" s="0" t="s">
        <v>9176</v>
      </c>
      <c r="K436" s="0" t="s">
        <v>40</v>
      </c>
      <c r="L436" s="0" t="s">
        <v>9177</v>
      </c>
    </row>
    <row r="437" customFormat="false" ht="17.15" hidden="false" customHeight="false" outlineLevel="0" collapsed="false">
      <c r="A437" s="0" t="s">
        <v>9178</v>
      </c>
      <c r="B437" s="0" t="s">
        <v>9171</v>
      </c>
      <c r="C437" s="0" t="s">
        <v>9179</v>
      </c>
      <c r="D437" s="0" t="s">
        <v>117</v>
      </c>
      <c r="E437" s="5" t="s">
        <v>81</v>
      </c>
      <c r="F437" s="0" t="s">
        <v>9036</v>
      </c>
      <c r="G437" s="0" t="s">
        <v>3317</v>
      </c>
      <c r="H437" s="0" t="s">
        <v>8208</v>
      </c>
      <c r="I437" s="5" t="s">
        <v>9180</v>
      </c>
      <c r="K437" s="0" t="s">
        <v>40</v>
      </c>
      <c r="L437" s="0" t="s">
        <v>9181</v>
      </c>
    </row>
    <row r="438" customFormat="false" ht="17.15" hidden="false" customHeight="false" outlineLevel="0" collapsed="false">
      <c r="A438" s="0" t="s">
        <v>9182</v>
      </c>
      <c r="B438" s="0" t="s">
        <v>2076</v>
      </c>
      <c r="C438" s="0" t="s">
        <v>9183</v>
      </c>
      <c r="D438" s="0" t="s">
        <v>7420</v>
      </c>
      <c r="E438" s="5" t="s">
        <v>81</v>
      </c>
      <c r="F438" s="0" t="s">
        <v>7653</v>
      </c>
      <c r="G438" s="0" t="s">
        <v>3371</v>
      </c>
      <c r="H438" s="0" t="s">
        <v>8176</v>
      </c>
      <c r="I438" s="5" t="s">
        <v>9184</v>
      </c>
      <c r="K438" s="0" t="s">
        <v>40</v>
      </c>
      <c r="L438" s="0" t="s">
        <v>9185</v>
      </c>
    </row>
    <row r="439" customFormat="false" ht="17.15" hidden="false" customHeight="false" outlineLevel="0" collapsed="false">
      <c r="A439" s="0" t="s">
        <v>9186</v>
      </c>
      <c r="B439" s="0" t="s">
        <v>9187</v>
      </c>
      <c r="C439" s="0" t="s">
        <v>9188</v>
      </c>
      <c r="D439" s="0" t="s">
        <v>9189</v>
      </c>
      <c r="E439" s="5" t="s">
        <v>81</v>
      </c>
      <c r="F439" s="0" t="s">
        <v>8259</v>
      </c>
      <c r="G439" s="0" t="s">
        <v>3371</v>
      </c>
      <c r="H439" s="0" t="s">
        <v>8176</v>
      </c>
      <c r="I439" s="0" t="s">
        <v>9190</v>
      </c>
      <c r="K439" s="0" t="s">
        <v>40</v>
      </c>
      <c r="L439" s="0" t="s">
        <v>9191</v>
      </c>
    </row>
    <row r="440" customFormat="false" ht="17.15" hidden="false" customHeight="false" outlineLevel="0" collapsed="false">
      <c r="A440" s="0" t="s">
        <v>9192</v>
      </c>
      <c r="B440" s="0" t="s">
        <v>9193</v>
      </c>
      <c r="C440" s="0" t="s">
        <v>9194</v>
      </c>
      <c r="D440" s="0" t="s">
        <v>7420</v>
      </c>
      <c r="E440" s="5" t="s">
        <v>81</v>
      </c>
      <c r="F440" s="0" t="s">
        <v>7573</v>
      </c>
      <c r="G440" s="0" t="s">
        <v>3371</v>
      </c>
      <c r="H440" s="0" t="s">
        <v>8224</v>
      </c>
      <c r="I440" s="0" t="s">
        <v>9195</v>
      </c>
      <c r="K440" s="0" t="s">
        <v>40</v>
      </c>
      <c r="L440" s="0" t="s">
        <v>9196</v>
      </c>
    </row>
    <row r="441" customFormat="false" ht="17.15" hidden="false" customHeight="false" outlineLevel="0" collapsed="false">
      <c r="A441" s="0" t="s">
        <v>9197</v>
      </c>
      <c r="B441" s="0" t="s">
        <v>9193</v>
      </c>
      <c r="C441" s="0" t="s">
        <v>9198</v>
      </c>
      <c r="D441" s="0" t="s">
        <v>7581</v>
      </c>
      <c r="E441" s="5" t="s">
        <v>172</v>
      </c>
      <c r="F441" s="0" t="s">
        <v>3602</v>
      </c>
      <c r="G441" s="0" t="s">
        <v>3371</v>
      </c>
      <c r="H441" s="0" t="s">
        <v>8176</v>
      </c>
      <c r="I441" s="0" t="s">
        <v>9199</v>
      </c>
      <c r="K441" s="0" t="s">
        <v>40</v>
      </c>
      <c r="L441" s="0" t="s">
        <v>9200</v>
      </c>
    </row>
    <row r="442" customFormat="false" ht="17.15" hidden="false" customHeight="false" outlineLevel="0" collapsed="false">
      <c r="A442" s="0" t="s">
        <v>9201</v>
      </c>
      <c r="B442" s="0" t="s">
        <v>9193</v>
      </c>
      <c r="C442" s="0" t="s">
        <v>9202</v>
      </c>
      <c r="D442" s="0" t="s">
        <v>8300</v>
      </c>
      <c r="E442" s="5" t="s">
        <v>81</v>
      </c>
      <c r="F442" s="0" t="s">
        <v>9203</v>
      </c>
      <c r="G442" s="0" t="s">
        <v>3371</v>
      </c>
      <c r="H442" s="0" t="s">
        <v>8176</v>
      </c>
      <c r="I442" s="0" t="s">
        <v>9204</v>
      </c>
      <c r="K442" s="0" t="s">
        <v>40</v>
      </c>
      <c r="L442" s="0" t="s">
        <v>9205</v>
      </c>
    </row>
    <row r="443" customFormat="false" ht="17.15" hidden="false" customHeight="false" outlineLevel="0" collapsed="false">
      <c r="A443" s="0" t="s">
        <v>9206</v>
      </c>
      <c r="B443" s="0" t="s">
        <v>9207</v>
      </c>
      <c r="C443" s="0" t="s">
        <v>9208</v>
      </c>
      <c r="D443" s="0" t="s">
        <v>117</v>
      </c>
      <c r="E443" s="5" t="s">
        <v>81</v>
      </c>
      <c r="F443" s="0" t="s">
        <v>3971</v>
      </c>
      <c r="G443" s="0" t="s">
        <v>3317</v>
      </c>
      <c r="H443" s="0" t="s">
        <v>8176</v>
      </c>
      <c r="I443" s="5" t="s">
        <v>9209</v>
      </c>
      <c r="K443" s="0" t="s">
        <v>40</v>
      </c>
      <c r="L443" s="0" t="s">
        <v>9210</v>
      </c>
    </row>
    <row r="444" customFormat="false" ht="17.15" hidden="false" customHeight="false" outlineLevel="0" collapsed="false">
      <c r="A444" s="0" t="s">
        <v>9211</v>
      </c>
      <c r="B444" s="0" t="s">
        <v>3958</v>
      </c>
      <c r="C444" s="0" t="s">
        <v>9212</v>
      </c>
      <c r="D444" s="0" t="s">
        <v>8218</v>
      </c>
      <c r="E444" s="5" t="s">
        <v>81</v>
      </c>
      <c r="F444" s="0" t="s">
        <v>3590</v>
      </c>
      <c r="G444" s="0" t="s">
        <v>3371</v>
      </c>
      <c r="H444" s="0" t="s">
        <v>8208</v>
      </c>
      <c r="I444" s="0" t="s">
        <v>9213</v>
      </c>
      <c r="K444" s="0" t="s">
        <v>40</v>
      </c>
      <c r="L444" s="0" t="s">
        <v>9214</v>
      </c>
    </row>
    <row r="445" customFormat="false" ht="17.15" hidden="false" customHeight="false" outlineLevel="0" collapsed="false">
      <c r="A445" s="0" t="s">
        <v>9215</v>
      </c>
      <c r="B445" s="0" t="s">
        <v>8516</v>
      </c>
      <c r="C445" s="0" t="s">
        <v>9216</v>
      </c>
      <c r="D445" s="0" t="s">
        <v>7493</v>
      </c>
      <c r="E445" s="5" t="s">
        <v>81</v>
      </c>
      <c r="F445" s="0" t="s">
        <v>7746</v>
      </c>
      <c r="G445" s="0" t="s">
        <v>3371</v>
      </c>
      <c r="H445" s="0" t="s">
        <v>8208</v>
      </c>
      <c r="I445" s="0" t="s">
        <v>9217</v>
      </c>
      <c r="K445" s="0" t="s">
        <v>40</v>
      </c>
      <c r="L445" s="0" t="s">
        <v>9218</v>
      </c>
    </row>
    <row r="446" customFormat="false" ht="17.15" hidden="false" customHeight="false" outlineLevel="0" collapsed="false">
      <c r="A446" s="0" t="s">
        <v>9219</v>
      </c>
      <c r="B446" s="0" t="s">
        <v>8516</v>
      </c>
      <c r="C446" s="0" t="s">
        <v>9220</v>
      </c>
      <c r="D446" s="0" t="s">
        <v>9221</v>
      </c>
      <c r="E446" s="5" t="s">
        <v>81</v>
      </c>
      <c r="F446" s="0" t="s">
        <v>7366</v>
      </c>
      <c r="G446" s="0" t="s">
        <v>3317</v>
      </c>
      <c r="H446" s="0" t="s">
        <v>8219</v>
      </c>
      <c r="I446" s="5" t="s">
        <v>8220</v>
      </c>
      <c r="K446" s="0" t="s">
        <v>40</v>
      </c>
      <c r="L446" s="0" t="s">
        <v>9222</v>
      </c>
    </row>
    <row r="447" customFormat="false" ht="17.15" hidden="false" customHeight="false" outlineLevel="0" collapsed="false">
      <c r="A447" s="0" t="s">
        <v>9223</v>
      </c>
      <c r="B447" s="0" t="s">
        <v>8516</v>
      </c>
      <c r="C447" s="0" t="s">
        <v>9224</v>
      </c>
      <c r="D447" s="0" t="s">
        <v>7493</v>
      </c>
      <c r="E447" s="5" t="s">
        <v>81</v>
      </c>
      <c r="F447" s="0" t="s">
        <v>7746</v>
      </c>
      <c r="G447" s="0" t="s">
        <v>3371</v>
      </c>
      <c r="H447" s="0" t="s">
        <v>8176</v>
      </c>
      <c r="I447" s="0" t="s">
        <v>9225</v>
      </c>
      <c r="K447" s="0" t="s">
        <v>40</v>
      </c>
      <c r="L447" s="0" t="s">
        <v>9218</v>
      </c>
    </row>
    <row r="448" customFormat="false" ht="17.15" hidden="false" customHeight="false" outlineLevel="0" collapsed="false">
      <c r="A448" s="0" t="s">
        <v>9226</v>
      </c>
      <c r="B448" s="0" t="s">
        <v>8516</v>
      </c>
      <c r="C448" s="0" t="s">
        <v>9227</v>
      </c>
      <c r="D448" s="0" t="s">
        <v>9228</v>
      </c>
      <c r="E448" s="5" t="s">
        <v>81</v>
      </c>
      <c r="F448" s="0" t="s">
        <v>7366</v>
      </c>
      <c r="G448" s="0" t="s">
        <v>3371</v>
      </c>
      <c r="H448" s="0" t="s">
        <v>8219</v>
      </c>
      <c r="I448" s="5" t="s">
        <v>8220</v>
      </c>
      <c r="K448" s="0" t="s">
        <v>40</v>
      </c>
      <c r="L448" s="0" t="s">
        <v>9222</v>
      </c>
    </row>
    <row r="449" customFormat="false" ht="17.15" hidden="false" customHeight="false" outlineLevel="0" collapsed="false">
      <c r="A449" s="0" t="s">
        <v>9229</v>
      </c>
      <c r="B449" s="0" t="s">
        <v>8516</v>
      </c>
      <c r="C449" s="0" t="s">
        <v>9230</v>
      </c>
      <c r="D449" s="0" t="s">
        <v>8218</v>
      </c>
      <c r="E449" s="5" t="s">
        <v>81</v>
      </c>
      <c r="F449" s="0" t="s">
        <v>7746</v>
      </c>
      <c r="G449" s="0" t="s">
        <v>3371</v>
      </c>
      <c r="H449" s="0" t="s">
        <v>8176</v>
      </c>
      <c r="I449" s="0" t="s">
        <v>9231</v>
      </c>
      <c r="K449" s="0" t="s">
        <v>40</v>
      </c>
      <c r="L449" s="0" t="s">
        <v>9218</v>
      </c>
    </row>
    <row r="450" customFormat="false" ht="17.15" hidden="false" customHeight="false" outlineLevel="0" collapsed="false">
      <c r="A450" s="0" t="s">
        <v>9232</v>
      </c>
      <c r="B450" s="0" t="s">
        <v>9233</v>
      </c>
      <c r="C450" s="0" t="s">
        <v>9234</v>
      </c>
      <c r="D450" s="0" t="s">
        <v>8182</v>
      </c>
      <c r="E450" s="5" t="s">
        <v>81</v>
      </c>
      <c r="F450" s="0" t="s">
        <v>9119</v>
      </c>
      <c r="G450" s="0" t="s">
        <v>3371</v>
      </c>
      <c r="H450" s="0" t="s">
        <v>8176</v>
      </c>
      <c r="I450" s="0" t="s">
        <v>9235</v>
      </c>
      <c r="K450" s="0" t="s">
        <v>40</v>
      </c>
      <c r="L450" s="0" t="s">
        <v>9236</v>
      </c>
    </row>
    <row r="451" customFormat="false" ht="17.15" hidden="false" customHeight="false" outlineLevel="0" collapsed="false">
      <c r="A451" s="0" t="s">
        <v>9237</v>
      </c>
      <c r="B451" s="0" t="s">
        <v>9233</v>
      </c>
      <c r="C451" s="0" t="s">
        <v>9238</v>
      </c>
      <c r="D451" s="0" t="s">
        <v>7433</v>
      </c>
      <c r="E451" s="5" t="s">
        <v>81</v>
      </c>
      <c r="F451" s="0" t="s">
        <v>9119</v>
      </c>
      <c r="G451" s="0" t="s">
        <v>3371</v>
      </c>
      <c r="H451" s="0" t="s">
        <v>8176</v>
      </c>
      <c r="I451" s="0" t="s">
        <v>9239</v>
      </c>
      <c r="K451" s="0" t="s">
        <v>40</v>
      </c>
      <c r="L451" s="0" t="s">
        <v>9236</v>
      </c>
    </row>
    <row r="452" customFormat="false" ht="17.15" hidden="false" customHeight="false" outlineLevel="0" collapsed="false">
      <c r="A452" s="0" t="s">
        <v>9240</v>
      </c>
      <c r="B452" s="0" t="s">
        <v>9241</v>
      </c>
      <c r="C452" s="0" t="s">
        <v>9242</v>
      </c>
      <c r="D452" s="0" t="s">
        <v>9243</v>
      </c>
      <c r="E452" s="5" t="s">
        <v>81</v>
      </c>
      <c r="F452" s="0" t="s">
        <v>8888</v>
      </c>
      <c r="G452" s="0" t="s">
        <v>3371</v>
      </c>
      <c r="H452" s="0" t="s">
        <v>8208</v>
      </c>
      <c r="I452" s="0" t="s">
        <v>9244</v>
      </c>
      <c r="K452" s="0" t="s">
        <v>40</v>
      </c>
      <c r="L452" s="0" t="s">
        <v>9245</v>
      </c>
    </row>
    <row r="453" customFormat="false" ht="17.15" hidden="false" customHeight="false" outlineLevel="0" collapsed="false">
      <c r="A453" s="0" t="s">
        <v>9246</v>
      </c>
      <c r="B453" s="0" t="s">
        <v>9241</v>
      </c>
      <c r="C453" s="0" t="s">
        <v>9247</v>
      </c>
      <c r="D453" s="0" t="s">
        <v>8395</v>
      </c>
      <c r="E453" s="5" t="s">
        <v>81</v>
      </c>
      <c r="F453" s="0" t="s">
        <v>3464</v>
      </c>
      <c r="G453" s="0" t="s">
        <v>3371</v>
      </c>
      <c r="H453" s="0" t="s">
        <v>8176</v>
      </c>
      <c r="I453" s="0" t="s">
        <v>9248</v>
      </c>
      <c r="K453" s="0" t="s">
        <v>40</v>
      </c>
      <c r="L453" s="0" t="s">
        <v>9249</v>
      </c>
    </row>
    <row r="454" customFormat="false" ht="17.15" hidden="false" customHeight="false" outlineLevel="0" collapsed="false">
      <c r="A454" s="0" t="s">
        <v>9250</v>
      </c>
      <c r="B454" s="0" t="s">
        <v>9251</v>
      </c>
      <c r="C454" s="0" t="s">
        <v>9252</v>
      </c>
      <c r="D454" s="0" t="s">
        <v>9253</v>
      </c>
      <c r="E454" s="5" t="s">
        <v>81</v>
      </c>
      <c r="F454" s="0" t="s">
        <v>9254</v>
      </c>
      <c r="G454" s="0" t="s">
        <v>3371</v>
      </c>
      <c r="H454" s="0" t="s">
        <v>8219</v>
      </c>
      <c r="I454" s="5" t="s">
        <v>8478</v>
      </c>
      <c r="K454" s="0" t="s">
        <v>40</v>
      </c>
      <c r="L454" s="0" t="s">
        <v>9255</v>
      </c>
    </row>
    <row r="455" customFormat="false" ht="17.15" hidden="false" customHeight="false" outlineLevel="0" collapsed="false">
      <c r="A455" s="0" t="s">
        <v>9256</v>
      </c>
      <c r="B455" s="0" t="s">
        <v>9257</v>
      </c>
      <c r="C455" s="0" t="s">
        <v>9258</v>
      </c>
      <c r="D455" s="0" t="s">
        <v>117</v>
      </c>
      <c r="E455" s="5" t="s">
        <v>81</v>
      </c>
      <c r="F455" s="0" t="s">
        <v>8229</v>
      </c>
      <c r="G455" s="0" t="s">
        <v>3371</v>
      </c>
      <c r="H455" s="0" t="s">
        <v>8241</v>
      </c>
      <c r="I455" s="5" t="s">
        <v>9259</v>
      </c>
      <c r="K455" s="0" t="s">
        <v>40</v>
      </c>
      <c r="L455" s="0" t="s">
        <v>9260</v>
      </c>
    </row>
    <row r="456" customFormat="false" ht="17.15" hidden="false" customHeight="false" outlineLevel="0" collapsed="false">
      <c r="A456" s="0" t="s">
        <v>9261</v>
      </c>
      <c r="B456" s="0" t="s">
        <v>9262</v>
      </c>
      <c r="C456" s="0" t="s">
        <v>9263</v>
      </c>
      <c r="D456" s="0" t="s">
        <v>8683</v>
      </c>
      <c r="E456" s="0" t="s">
        <v>116</v>
      </c>
      <c r="F456" s="0" t="s">
        <v>7475</v>
      </c>
      <c r="G456" s="0" t="s">
        <v>3371</v>
      </c>
      <c r="H456" s="0" t="s">
        <v>8219</v>
      </c>
      <c r="I456" s="5" t="s">
        <v>8220</v>
      </c>
      <c r="K456" s="0" t="s">
        <v>40</v>
      </c>
      <c r="L456" s="0" t="s">
        <v>9264</v>
      </c>
    </row>
    <row r="457" customFormat="false" ht="17.15" hidden="false" customHeight="false" outlineLevel="0" collapsed="false">
      <c r="A457" s="0" t="s">
        <v>9265</v>
      </c>
      <c r="B457" s="0" t="s">
        <v>9266</v>
      </c>
      <c r="C457" s="0" t="s">
        <v>9267</v>
      </c>
      <c r="D457" s="0" t="s">
        <v>9268</v>
      </c>
      <c r="E457" s="5" t="s">
        <v>172</v>
      </c>
      <c r="F457" s="0" t="s">
        <v>7291</v>
      </c>
      <c r="G457" s="0" t="s">
        <v>3371</v>
      </c>
      <c r="H457" s="0" t="s">
        <v>8208</v>
      </c>
      <c r="I457" s="5" t="s">
        <v>9269</v>
      </c>
      <c r="K457" s="0" t="s">
        <v>40</v>
      </c>
      <c r="L457" s="0" t="s">
        <v>9270</v>
      </c>
    </row>
    <row r="458" customFormat="false" ht="17.15" hidden="false" customHeight="false" outlineLevel="0" collapsed="false">
      <c r="A458" s="0" t="s">
        <v>9271</v>
      </c>
      <c r="B458" s="0" t="s">
        <v>8361</v>
      </c>
      <c r="C458" s="0" t="s">
        <v>9272</v>
      </c>
      <c r="D458" s="0" t="s">
        <v>8683</v>
      </c>
      <c r="E458" s="0" t="s">
        <v>116</v>
      </c>
      <c r="F458" s="0" t="s">
        <v>7315</v>
      </c>
      <c r="G458" s="0" t="s">
        <v>3371</v>
      </c>
      <c r="H458" s="0" t="s">
        <v>8219</v>
      </c>
      <c r="I458" s="5" t="s">
        <v>8220</v>
      </c>
      <c r="J458" s="0" t="s">
        <v>941</v>
      </c>
      <c r="K458" s="5" t="s">
        <v>3313</v>
      </c>
      <c r="L458" s="0" t="s">
        <v>9273</v>
      </c>
    </row>
    <row r="459" customFormat="false" ht="17.15" hidden="false" customHeight="false" outlineLevel="0" collapsed="false">
      <c r="A459" s="0" t="s">
        <v>9274</v>
      </c>
      <c r="B459" s="0" t="s">
        <v>8361</v>
      </c>
      <c r="C459" s="0" t="s">
        <v>9275</v>
      </c>
      <c r="D459" s="0" t="s">
        <v>9276</v>
      </c>
      <c r="E459" s="0" t="s">
        <v>116</v>
      </c>
      <c r="F459" s="0" t="s">
        <v>9254</v>
      </c>
      <c r="G459" s="0" t="s">
        <v>3371</v>
      </c>
      <c r="H459" s="0" t="s">
        <v>8219</v>
      </c>
      <c r="I459" s="5" t="s">
        <v>8220</v>
      </c>
      <c r="K459" s="0" t="s">
        <v>40</v>
      </c>
      <c r="L459" s="0" t="s">
        <v>9277</v>
      </c>
    </row>
    <row r="460" customFormat="false" ht="17.15" hidden="false" customHeight="false" outlineLevel="0" collapsed="false">
      <c r="A460" s="0" t="s">
        <v>9278</v>
      </c>
      <c r="B460" s="0" t="s">
        <v>8361</v>
      </c>
      <c r="C460" s="0" t="s">
        <v>9279</v>
      </c>
      <c r="D460" s="0" t="s">
        <v>7493</v>
      </c>
      <c r="E460" s="5" t="s">
        <v>81</v>
      </c>
      <c r="F460" s="0" t="s">
        <v>9280</v>
      </c>
      <c r="G460" s="0" t="s">
        <v>3371</v>
      </c>
      <c r="H460" s="0" t="s">
        <v>8176</v>
      </c>
      <c r="I460" s="0" t="s">
        <v>9281</v>
      </c>
      <c r="K460" s="0" t="s">
        <v>40</v>
      </c>
      <c r="L460" s="0" t="s">
        <v>9282</v>
      </c>
    </row>
    <row r="461" customFormat="false" ht="17.15" hidden="false" customHeight="false" outlineLevel="0" collapsed="false">
      <c r="A461" s="0" t="s">
        <v>9283</v>
      </c>
      <c r="B461" s="0" t="s">
        <v>8493</v>
      </c>
      <c r="C461" s="0" t="s">
        <v>9284</v>
      </c>
      <c r="D461" s="0" t="s">
        <v>9285</v>
      </c>
      <c r="E461" s="5" t="s">
        <v>81</v>
      </c>
      <c r="F461" s="0" t="s">
        <v>9286</v>
      </c>
      <c r="G461" s="0" t="s">
        <v>3371</v>
      </c>
      <c r="H461" s="0" t="s">
        <v>8176</v>
      </c>
      <c r="I461" s="0" t="s">
        <v>9287</v>
      </c>
      <c r="J461" s="0" t="s">
        <v>944</v>
      </c>
      <c r="K461" s="5" t="s">
        <v>3313</v>
      </c>
      <c r="L461" s="0" t="s">
        <v>9288</v>
      </c>
    </row>
    <row r="462" customFormat="false" ht="17.15" hidden="false" customHeight="false" outlineLevel="0" collapsed="false">
      <c r="A462" s="0" t="s">
        <v>9289</v>
      </c>
      <c r="B462" s="0" t="s">
        <v>8493</v>
      </c>
      <c r="C462" s="0" t="s">
        <v>9290</v>
      </c>
      <c r="D462" s="0" t="s">
        <v>8513</v>
      </c>
      <c r="E462" s="0" t="s">
        <v>116</v>
      </c>
      <c r="F462" s="0" t="s">
        <v>9291</v>
      </c>
      <c r="G462" s="0" t="s">
        <v>3317</v>
      </c>
      <c r="H462" s="0" t="s">
        <v>8219</v>
      </c>
      <c r="I462" s="5" t="s">
        <v>8220</v>
      </c>
      <c r="K462" s="0" t="s">
        <v>40</v>
      </c>
      <c r="L462" s="0" t="s">
        <v>9292</v>
      </c>
    </row>
    <row r="463" customFormat="false" ht="17.15" hidden="false" customHeight="false" outlineLevel="0" collapsed="false">
      <c r="A463" s="0" t="s">
        <v>9293</v>
      </c>
      <c r="B463" s="0" t="s">
        <v>8493</v>
      </c>
      <c r="C463" s="0" t="s">
        <v>9294</v>
      </c>
      <c r="D463" s="0" t="s">
        <v>8513</v>
      </c>
      <c r="E463" s="0" t="s">
        <v>116</v>
      </c>
      <c r="F463" s="0" t="s">
        <v>9291</v>
      </c>
      <c r="G463" s="0" t="s">
        <v>3317</v>
      </c>
      <c r="H463" s="0" t="s">
        <v>8219</v>
      </c>
      <c r="I463" s="5" t="s">
        <v>8220</v>
      </c>
      <c r="K463" s="0" t="s">
        <v>40</v>
      </c>
      <c r="L463" s="0" t="s">
        <v>9292</v>
      </c>
    </row>
    <row r="464" customFormat="false" ht="17.15" hidden="false" customHeight="false" outlineLevel="0" collapsed="false">
      <c r="A464" s="0" t="s">
        <v>9295</v>
      </c>
      <c r="B464" s="0" t="s">
        <v>8493</v>
      </c>
      <c r="C464" s="0" t="s">
        <v>9296</v>
      </c>
      <c r="D464" s="0" t="s">
        <v>7739</v>
      </c>
      <c r="E464" s="0" t="s">
        <v>116</v>
      </c>
      <c r="F464" s="0" t="s">
        <v>9291</v>
      </c>
      <c r="G464" s="0" t="s">
        <v>3317</v>
      </c>
      <c r="H464" s="0" t="s">
        <v>8224</v>
      </c>
      <c r="I464" s="0" t="s">
        <v>9297</v>
      </c>
      <c r="K464" s="0" t="s">
        <v>40</v>
      </c>
      <c r="L464" s="0" t="s">
        <v>9298</v>
      </c>
    </row>
    <row r="465" customFormat="false" ht="17.15" hidden="false" customHeight="false" outlineLevel="0" collapsed="false">
      <c r="A465" s="0" t="s">
        <v>9299</v>
      </c>
      <c r="B465" s="0" t="s">
        <v>9300</v>
      </c>
      <c r="C465" s="0" t="s">
        <v>9301</v>
      </c>
      <c r="D465" s="0" t="s">
        <v>9302</v>
      </c>
      <c r="E465" s="5" t="s">
        <v>81</v>
      </c>
      <c r="F465" s="0" t="s">
        <v>9303</v>
      </c>
      <c r="G465" s="0" t="s">
        <v>3371</v>
      </c>
      <c r="H465" s="0" t="s">
        <v>8176</v>
      </c>
      <c r="I465" s="0" t="s">
        <v>9304</v>
      </c>
      <c r="K465" s="0" t="s">
        <v>40</v>
      </c>
      <c r="L465" s="0" t="s">
        <v>9305</v>
      </c>
    </row>
    <row r="466" customFormat="false" ht="17.15" hidden="false" customHeight="false" outlineLevel="0" collapsed="false">
      <c r="A466" s="0" t="s">
        <v>9306</v>
      </c>
      <c r="B466" s="0" t="s">
        <v>9307</v>
      </c>
      <c r="C466" s="0" t="s">
        <v>9308</v>
      </c>
      <c r="D466" s="0" t="s">
        <v>9042</v>
      </c>
      <c r="E466" s="5" t="s">
        <v>81</v>
      </c>
      <c r="F466" s="0" t="s">
        <v>3523</v>
      </c>
      <c r="G466" s="0" t="s">
        <v>3317</v>
      </c>
      <c r="H466" s="0" t="s">
        <v>8208</v>
      </c>
      <c r="I466" s="0" t="s">
        <v>9309</v>
      </c>
      <c r="K466" s="0" t="s">
        <v>40</v>
      </c>
      <c r="L466" s="0" t="s">
        <v>9310</v>
      </c>
    </row>
    <row r="467" customFormat="false" ht="17.15" hidden="false" customHeight="false" outlineLevel="0" collapsed="false">
      <c r="A467" s="0" t="s">
        <v>9311</v>
      </c>
      <c r="B467" s="0" t="s">
        <v>9307</v>
      </c>
      <c r="C467" s="0" t="s">
        <v>9312</v>
      </c>
      <c r="D467" s="0" t="s">
        <v>8825</v>
      </c>
      <c r="E467" s="5" t="s">
        <v>81</v>
      </c>
      <c r="F467" s="0" t="s">
        <v>9313</v>
      </c>
      <c r="G467" s="0" t="s">
        <v>3371</v>
      </c>
      <c r="H467" s="0" t="s">
        <v>8241</v>
      </c>
      <c r="I467" s="0" t="s">
        <v>9314</v>
      </c>
      <c r="K467" s="0" t="s">
        <v>40</v>
      </c>
      <c r="L467" s="0" t="s">
        <v>9315</v>
      </c>
    </row>
    <row r="468" customFormat="false" ht="17.15" hidden="false" customHeight="false" outlineLevel="0" collapsed="false">
      <c r="A468" s="0" t="s">
        <v>9316</v>
      </c>
      <c r="B468" s="0" t="s">
        <v>9317</v>
      </c>
      <c r="C468" s="0" t="s">
        <v>9318</v>
      </c>
      <c r="D468" s="0" t="s">
        <v>117</v>
      </c>
      <c r="E468" s="5" t="s">
        <v>81</v>
      </c>
      <c r="F468" s="0" t="s">
        <v>8934</v>
      </c>
      <c r="G468" s="0" t="s">
        <v>3371</v>
      </c>
      <c r="H468" s="0" t="s">
        <v>8241</v>
      </c>
      <c r="I468" s="5" t="s">
        <v>9319</v>
      </c>
      <c r="K468" s="0" t="s">
        <v>40</v>
      </c>
      <c r="L468" s="0" t="s">
        <v>9320</v>
      </c>
    </row>
    <row r="469" customFormat="false" ht="17.15" hidden="false" customHeight="false" outlineLevel="0" collapsed="false">
      <c r="A469" s="0" t="s">
        <v>9321</v>
      </c>
      <c r="B469" s="0" t="s">
        <v>3970</v>
      </c>
      <c r="C469" s="0" t="s">
        <v>9322</v>
      </c>
      <c r="D469" s="0" t="s">
        <v>8831</v>
      </c>
      <c r="E469" s="5" t="s">
        <v>81</v>
      </c>
      <c r="F469" s="0" t="s">
        <v>9323</v>
      </c>
      <c r="G469" s="0" t="s">
        <v>3371</v>
      </c>
      <c r="H469" s="0" t="s">
        <v>8224</v>
      </c>
      <c r="I469" s="5" t="s">
        <v>9324</v>
      </c>
      <c r="K469" s="0" t="s">
        <v>40</v>
      </c>
      <c r="L469" s="0" t="s">
        <v>9325</v>
      </c>
    </row>
    <row r="470" customFormat="false" ht="17.15" hidden="false" customHeight="false" outlineLevel="0" collapsed="false">
      <c r="A470" s="0" t="s">
        <v>9326</v>
      </c>
      <c r="B470" s="0" t="s">
        <v>3970</v>
      </c>
      <c r="C470" s="0" t="s">
        <v>9327</v>
      </c>
      <c r="D470" s="0" t="s">
        <v>9328</v>
      </c>
      <c r="E470" s="5" t="s">
        <v>81</v>
      </c>
      <c r="F470" s="0" t="s">
        <v>8003</v>
      </c>
      <c r="G470" s="0" t="s">
        <v>3371</v>
      </c>
      <c r="H470" s="0" t="s">
        <v>8176</v>
      </c>
      <c r="I470" s="0" t="s">
        <v>9329</v>
      </c>
      <c r="J470" s="0" t="s">
        <v>947</v>
      </c>
      <c r="K470" s="5" t="s">
        <v>3313</v>
      </c>
      <c r="L470" s="0" t="s">
        <v>9330</v>
      </c>
    </row>
    <row r="471" customFormat="false" ht="17.15" hidden="false" customHeight="false" outlineLevel="0" collapsed="false">
      <c r="A471" s="0" t="s">
        <v>9331</v>
      </c>
      <c r="B471" s="0" t="s">
        <v>3970</v>
      </c>
      <c r="C471" s="0" t="s">
        <v>9332</v>
      </c>
      <c r="D471" s="0" t="s">
        <v>7805</v>
      </c>
      <c r="E471" s="5" t="s">
        <v>81</v>
      </c>
      <c r="F471" s="0" t="s">
        <v>8888</v>
      </c>
      <c r="G471" s="0" t="s">
        <v>3371</v>
      </c>
      <c r="H471" s="0" t="s">
        <v>8241</v>
      </c>
      <c r="I471" s="0" t="s">
        <v>9333</v>
      </c>
      <c r="K471" s="0" t="s">
        <v>40</v>
      </c>
      <c r="L471" s="0" t="s">
        <v>9334</v>
      </c>
    </row>
    <row r="472" customFormat="false" ht="17.15" hidden="false" customHeight="false" outlineLevel="0" collapsed="false">
      <c r="A472" s="0" t="s">
        <v>9335</v>
      </c>
      <c r="B472" s="0" t="s">
        <v>3970</v>
      </c>
      <c r="C472" s="0" t="s">
        <v>9336</v>
      </c>
      <c r="D472" s="0" t="s">
        <v>7805</v>
      </c>
      <c r="E472" s="5" t="s">
        <v>81</v>
      </c>
      <c r="F472" s="0" t="s">
        <v>8003</v>
      </c>
      <c r="G472" s="0" t="s">
        <v>3371</v>
      </c>
      <c r="H472" s="0" t="s">
        <v>8241</v>
      </c>
      <c r="I472" s="5" t="s">
        <v>9337</v>
      </c>
      <c r="K472" s="0" t="s">
        <v>40</v>
      </c>
      <c r="L472" s="0" t="s">
        <v>9338</v>
      </c>
    </row>
    <row r="473" customFormat="false" ht="17.15" hidden="false" customHeight="false" outlineLevel="0" collapsed="false">
      <c r="A473" s="0" t="s">
        <v>9339</v>
      </c>
      <c r="B473" s="0" t="s">
        <v>3983</v>
      </c>
      <c r="C473" s="0" t="s">
        <v>9340</v>
      </c>
      <c r="D473" s="0" t="s">
        <v>7420</v>
      </c>
      <c r="E473" s="5" t="s">
        <v>81</v>
      </c>
      <c r="F473" s="0" t="s">
        <v>9341</v>
      </c>
      <c r="G473" s="0" t="s">
        <v>3371</v>
      </c>
      <c r="H473" s="0" t="s">
        <v>8219</v>
      </c>
      <c r="I473" s="5" t="s">
        <v>8220</v>
      </c>
      <c r="K473" s="0" t="s">
        <v>40</v>
      </c>
      <c r="L473" s="0" t="s">
        <v>9342</v>
      </c>
    </row>
    <row r="474" customFormat="false" ht="17.15" hidden="false" customHeight="false" outlineLevel="0" collapsed="false">
      <c r="A474" s="0" t="s">
        <v>9343</v>
      </c>
      <c r="B474" s="0" t="s">
        <v>3983</v>
      </c>
      <c r="C474" s="0" t="s">
        <v>9344</v>
      </c>
      <c r="D474" s="0" t="s">
        <v>7433</v>
      </c>
      <c r="E474" s="5" t="s">
        <v>81</v>
      </c>
      <c r="F474" s="0" t="s">
        <v>9345</v>
      </c>
      <c r="G474" s="0" t="s">
        <v>3371</v>
      </c>
      <c r="H474" s="0" t="s">
        <v>8176</v>
      </c>
      <c r="I474" s="0" t="s">
        <v>9346</v>
      </c>
      <c r="K474" s="0" t="s">
        <v>40</v>
      </c>
      <c r="L474" s="0" t="s">
        <v>9347</v>
      </c>
    </row>
    <row r="475" customFormat="false" ht="17.15" hidden="false" customHeight="false" outlineLevel="0" collapsed="false">
      <c r="A475" s="0" t="s">
        <v>9348</v>
      </c>
      <c r="B475" s="0" t="s">
        <v>3983</v>
      </c>
      <c r="C475" s="0" t="s">
        <v>9349</v>
      </c>
      <c r="D475" s="0" t="s">
        <v>7493</v>
      </c>
      <c r="E475" s="5" t="s">
        <v>81</v>
      </c>
      <c r="F475" s="0" t="s">
        <v>9341</v>
      </c>
      <c r="G475" s="0" t="s">
        <v>3371</v>
      </c>
      <c r="H475" s="0" t="s">
        <v>8219</v>
      </c>
      <c r="I475" s="5" t="s">
        <v>8220</v>
      </c>
      <c r="K475" s="0" t="s">
        <v>40</v>
      </c>
      <c r="L475" s="0" t="s">
        <v>9342</v>
      </c>
    </row>
    <row r="476" customFormat="false" ht="17.15" hidden="false" customHeight="false" outlineLevel="0" collapsed="false">
      <c r="A476" s="0" t="s">
        <v>9350</v>
      </c>
      <c r="B476" s="0" t="s">
        <v>3983</v>
      </c>
      <c r="C476" s="0" t="s">
        <v>9351</v>
      </c>
      <c r="D476" s="0" t="s">
        <v>9052</v>
      </c>
      <c r="E476" s="5" t="s">
        <v>81</v>
      </c>
      <c r="F476" s="0" t="s">
        <v>8954</v>
      </c>
      <c r="G476" s="0" t="s">
        <v>3371</v>
      </c>
      <c r="H476" s="0" t="s">
        <v>8219</v>
      </c>
      <c r="I476" s="5" t="s">
        <v>8220</v>
      </c>
      <c r="K476" s="0" t="s">
        <v>40</v>
      </c>
      <c r="L476" s="0" t="s">
        <v>9352</v>
      </c>
    </row>
    <row r="477" customFormat="false" ht="17.15" hidden="false" customHeight="false" outlineLevel="0" collapsed="false">
      <c r="A477" s="0" t="s">
        <v>9353</v>
      </c>
      <c r="B477" s="0" t="s">
        <v>9354</v>
      </c>
      <c r="C477" s="0" t="s">
        <v>9355</v>
      </c>
      <c r="D477" s="0" t="s">
        <v>9356</v>
      </c>
      <c r="E477" s="5" t="s">
        <v>81</v>
      </c>
      <c r="F477" s="0" t="s">
        <v>9357</v>
      </c>
      <c r="G477" s="0" t="s">
        <v>3371</v>
      </c>
      <c r="H477" s="0" t="s">
        <v>8219</v>
      </c>
      <c r="I477" s="5" t="s">
        <v>8478</v>
      </c>
      <c r="K477" s="0" t="s">
        <v>40</v>
      </c>
      <c r="L477" s="0" t="s">
        <v>9358</v>
      </c>
    </row>
    <row r="478" customFormat="false" ht="17.15" hidden="false" customHeight="false" outlineLevel="0" collapsed="false">
      <c r="A478" s="0" t="s">
        <v>9359</v>
      </c>
      <c r="B478" s="0" t="s">
        <v>9354</v>
      </c>
      <c r="C478" s="0" t="s">
        <v>9360</v>
      </c>
      <c r="D478" s="0" t="s">
        <v>7420</v>
      </c>
      <c r="E478" s="5" t="s">
        <v>81</v>
      </c>
      <c r="F478" s="0" t="s">
        <v>9357</v>
      </c>
      <c r="G478" s="0" t="s">
        <v>3371</v>
      </c>
      <c r="H478" s="0" t="s">
        <v>8176</v>
      </c>
      <c r="I478" s="0" t="s">
        <v>9361</v>
      </c>
      <c r="K478" s="0" t="s">
        <v>40</v>
      </c>
      <c r="L478" s="0" t="s">
        <v>9362</v>
      </c>
    </row>
    <row r="479" customFormat="false" ht="17.15" hidden="false" customHeight="false" outlineLevel="0" collapsed="false">
      <c r="A479" s="0" t="s">
        <v>9363</v>
      </c>
      <c r="B479" s="0" t="s">
        <v>9364</v>
      </c>
      <c r="C479" s="0" t="s">
        <v>9365</v>
      </c>
      <c r="D479" s="0" t="s">
        <v>9366</v>
      </c>
      <c r="E479" s="5" t="s">
        <v>81</v>
      </c>
      <c r="F479" s="0" t="s">
        <v>7924</v>
      </c>
      <c r="G479" s="0" t="s">
        <v>3371</v>
      </c>
      <c r="H479" s="0" t="s">
        <v>8224</v>
      </c>
      <c r="I479" s="0" t="s">
        <v>9367</v>
      </c>
      <c r="K479" s="0" t="s">
        <v>40</v>
      </c>
      <c r="L479" s="0" t="s">
        <v>9368</v>
      </c>
    </row>
    <row r="480" customFormat="false" ht="17.15" hidden="false" customHeight="false" outlineLevel="0" collapsed="false">
      <c r="A480" s="0" t="s">
        <v>9369</v>
      </c>
      <c r="B480" s="0" t="s">
        <v>9364</v>
      </c>
      <c r="C480" s="0" t="s">
        <v>9370</v>
      </c>
      <c r="D480" s="0" t="s">
        <v>9371</v>
      </c>
      <c r="E480" s="5" t="s">
        <v>81</v>
      </c>
      <c r="F480" s="0" t="s">
        <v>8058</v>
      </c>
      <c r="G480" s="0" t="s">
        <v>3371</v>
      </c>
      <c r="H480" s="0" t="s">
        <v>8241</v>
      </c>
      <c r="I480" s="5" t="s">
        <v>9372</v>
      </c>
      <c r="K480" s="0" t="s">
        <v>40</v>
      </c>
      <c r="L480" s="0" t="s">
        <v>9373</v>
      </c>
    </row>
    <row r="481" customFormat="false" ht="17.15" hidden="false" customHeight="false" outlineLevel="0" collapsed="false">
      <c r="A481" s="0" t="s">
        <v>9374</v>
      </c>
      <c r="B481" s="0" t="s">
        <v>9364</v>
      </c>
      <c r="C481" s="0" t="s">
        <v>9375</v>
      </c>
      <c r="D481" s="0" t="s">
        <v>9371</v>
      </c>
      <c r="E481" s="5" t="s">
        <v>81</v>
      </c>
      <c r="F481" s="0" t="s">
        <v>7924</v>
      </c>
      <c r="G481" s="0" t="s">
        <v>3371</v>
      </c>
      <c r="H481" s="0" t="s">
        <v>8224</v>
      </c>
      <c r="I481" s="5" t="s">
        <v>9376</v>
      </c>
      <c r="K481" s="0" t="s">
        <v>40</v>
      </c>
      <c r="L481" s="0" t="s">
        <v>9368</v>
      </c>
    </row>
    <row r="482" customFormat="false" ht="17.15" hidden="false" customHeight="false" outlineLevel="0" collapsed="false">
      <c r="A482" s="0" t="s">
        <v>9377</v>
      </c>
      <c r="B482" s="0" t="s">
        <v>9378</v>
      </c>
      <c r="C482" s="0" t="s">
        <v>9379</v>
      </c>
      <c r="D482" s="0" t="s">
        <v>8499</v>
      </c>
      <c r="E482" s="0" t="s">
        <v>116</v>
      </c>
      <c r="F482" s="0" t="s">
        <v>9380</v>
      </c>
      <c r="G482" s="0" t="s">
        <v>3317</v>
      </c>
      <c r="H482" s="0" t="s">
        <v>8219</v>
      </c>
      <c r="I482" s="5" t="s">
        <v>8478</v>
      </c>
      <c r="K482" s="0" t="s">
        <v>40</v>
      </c>
      <c r="L482" s="0" t="s">
        <v>9381</v>
      </c>
    </row>
    <row r="483" customFormat="false" ht="17.15" hidden="false" customHeight="false" outlineLevel="0" collapsed="false">
      <c r="A483" s="0" t="s">
        <v>9382</v>
      </c>
      <c r="B483" s="0" t="s">
        <v>9378</v>
      </c>
      <c r="C483" s="0" t="s">
        <v>9383</v>
      </c>
      <c r="D483" s="0" t="s">
        <v>9384</v>
      </c>
      <c r="E483" s="0" t="s">
        <v>116</v>
      </c>
      <c r="F483" s="0" t="s">
        <v>7311</v>
      </c>
      <c r="G483" s="0" t="s">
        <v>7197</v>
      </c>
      <c r="H483" s="0" t="s">
        <v>8176</v>
      </c>
      <c r="I483" s="0" t="s">
        <v>9385</v>
      </c>
      <c r="J483" s="0" t="s">
        <v>963</v>
      </c>
      <c r="K483" s="5" t="s">
        <v>7240</v>
      </c>
      <c r="L483" s="0" t="s">
        <v>9386</v>
      </c>
    </row>
    <row r="484" customFormat="false" ht="17.15" hidden="false" customHeight="false" outlineLevel="0" collapsed="false">
      <c r="A484" s="0" t="s">
        <v>9387</v>
      </c>
      <c r="B484" s="0" t="s">
        <v>9388</v>
      </c>
      <c r="C484" s="0" t="s">
        <v>9389</v>
      </c>
      <c r="D484" s="0" t="s">
        <v>8218</v>
      </c>
      <c r="E484" s="5" t="s">
        <v>81</v>
      </c>
      <c r="F484" s="0" t="s">
        <v>143</v>
      </c>
      <c r="G484" s="0" t="s">
        <v>3371</v>
      </c>
      <c r="H484" s="0" t="s">
        <v>8176</v>
      </c>
      <c r="I484" s="0" t="s">
        <v>9390</v>
      </c>
      <c r="K484" s="0" t="s">
        <v>40</v>
      </c>
      <c r="L484" s="0" t="s">
        <v>9391</v>
      </c>
    </row>
    <row r="485" customFormat="false" ht="17.15" hidden="false" customHeight="false" outlineLevel="0" collapsed="false">
      <c r="A485" s="0" t="s">
        <v>9392</v>
      </c>
      <c r="B485" s="0" t="s">
        <v>9388</v>
      </c>
      <c r="C485" s="0" t="s">
        <v>9393</v>
      </c>
      <c r="D485" s="0" t="s">
        <v>7496</v>
      </c>
      <c r="E485" s="5" t="s">
        <v>81</v>
      </c>
      <c r="F485" s="0" t="s">
        <v>143</v>
      </c>
      <c r="G485" s="0" t="s">
        <v>3371</v>
      </c>
      <c r="H485" s="0" t="s">
        <v>8208</v>
      </c>
      <c r="I485" s="0" t="s">
        <v>9394</v>
      </c>
      <c r="K485" s="0" t="s">
        <v>40</v>
      </c>
      <c r="L485" s="0" t="s">
        <v>9391</v>
      </c>
    </row>
    <row r="486" customFormat="false" ht="17.15" hidden="false" customHeight="false" outlineLevel="0" collapsed="false">
      <c r="A486" s="0" t="s">
        <v>9395</v>
      </c>
      <c r="B486" s="0" t="s">
        <v>9388</v>
      </c>
      <c r="C486" s="0" t="s">
        <v>9396</v>
      </c>
      <c r="D486" s="0" t="s">
        <v>8499</v>
      </c>
      <c r="E486" s="5" t="s">
        <v>81</v>
      </c>
      <c r="F486" s="0" t="s">
        <v>143</v>
      </c>
      <c r="G486" s="0" t="s">
        <v>3371</v>
      </c>
      <c r="H486" s="0" t="s">
        <v>8241</v>
      </c>
      <c r="I486" s="0" t="s">
        <v>9397</v>
      </c>
      <c r="J486" s="0" t="s">
        <v>960</v>
      </c>
      <c r="K486" s="5" t="s">
        <v>7240</v>
      </c>
      <c r="L486" s="0" t="s">
        <v>9391</v>
      </c>
    </row>
    <row r="487" customFormat="false" ht="17.15" hidden="false" customHeight="false" outlineLevel="0" collapsed="false">
      <c r="A487" s="0" t="s">
        <v>9398</v>
      </c>
      <c r="B487" s="0" t="s">
        <v>9388</v>
      </c>
      <c r="C487" s="0" t="s">
        <v>9399</v>
      </c>
      <c r="D487" s="0" t="s">
        <v>7568</v>
      </c>
      <c r="E487" s="5" t="s">
        <v>81</v>
      </c>
      <c r="F487" s="0" t="s">
        <v>9400</v>
      </c>
      <c r="G487" s="0" t="s">
        <v>3371</v>
      </c>
      <c r="H487" s="0" t="s">
        <v>8176</v>
      </c>
      <c r="I487" s="0" t="s">
        <v>9401</v>
      </c>
      <c r="K487" s="0" t="s">
        <v>40</v>
      </c>
      <c r="L487" s="0" t="s">
        <v>9402</v>
      </c>
    </row>
    <row r="488" customFormat="false" ht="17.15" hidden="false" customHeight="false" outlineLevel="0" collapsed="false">
      <c r="A488" s="0" t="s">
        <v>9403</v>
      </c>
      <c r="B488" s="0" t="s">
        <v>9404</v>
      </c>
      <c r="C488" s="0" t="s">
        <v>9405</v>
      </c>
      <c r="D488" s="0" t="s">
        <v>117</v>
      </c>
      <c r="E488" s="5" t="s">
        <v>81</v>
      </c>
      <c r="F488" s="0" t="s">
        <v>9406</v>
      </c>
      <c r="G488" s="0" t="s">
        <v>3371</v>
      </c>
      <c r="H488" s="0" t="s">
        <v>8176</v>
      </c>
      <c r="I488" s="5" t="s">
        <v>9407</v>
      </c>
      <c r="K488" s="0" t="s">
        <v>40</v>
      </c>
      <c r="L488" s="0" t="s">
        <v>9408</v>
      </c>
    </row>
    <row r="489" customFormat="false" ht="17.15" hidden="false" customHeight="false" outlineLevel="0" collapsed="false">
      <c r="A489" s="0" t="s">
        <v>9409</v>
      </c>
      <c r="B489" s="0" t="s">
        <v>9410</v>
      </c>
      <c r="C489" s="0" t="s">
        <v>9411</v>
      </c>
      <c r="D489" s="0" t="s">
        <v>117</v>
      </c>
      <c r="E489" s="5" t="s">
        <v>81</v>
      </c>
      <c r="F489" s="0" t="s">
        <v>7169</v>
      </c>
      <c r="G489" s="0" t="s">
        <v>3371</v>
      </c>
      <c r="H489" s="0" t="s">
        <v>8224</v>
      </c>
      <c r="I489" s="5" t="s">
        <v>9412</v>
      </c>
      <c r="K489" s="0" t="s">
        <v>40</v>
      </c>
      <c r="L489" s="0" t="s">
        <v>9413</v>
      </c>
    </row>
    <row r="490" customFormat="false" ht="17.15" hidden="false" customHeight="false" outlineLevel="0" collapsed="false">
      <c r="A490" s="0" t="s">
        <v>9414</v>
      </c>
      <c r="B490" s="0" t="s">
        <v>9415</v>
      </c>
      <c r="C490" s="0" t="s">
        <v>9416</v>
      </c>
      <c r="D490" s="0" t="s">
        <v>8182</v>
      </c>
      <c r="E490" s="5" t="s">
        <v>81</v>
      </c>
      <c r="F490" s="0" t="s">
        <v>8428</v>
      </c>
      <c r="G490" s="0" t="s">
        <v>3371</v>
      </c>
      <c r="H490" s="0" t="s">
        <v>8208</v>
      </c>
      <c r="I490" s="5" t="s">
        <v>9417</v>
      </c>
      <c r="K490" s="0" t="s">
        <v>40</v>
      </c>
      <c r="L490" s="0" t="s">
        <v>9418</v>
      </c>
    </row>
    <row r="491" customFormat="false" ht="17.15" hidden="false" customHeight="false" outlineLevel="0" collapsed="false">
      <c r="A491" s="0" t="s">
        <v>9419</v>
      </c>
      <c r="B491" s="0" t="s">
        <v>9415</v>
      </c>
      <c r="C491" s="0" t="s">
        <v>9420</v>
      </c>
      <c r="D491" s="0" t="s">
        <v>7493</v>
      </c>
      <c r="E491" s="5" t="s">
        <v>81</v>
      </c>
      <c r="F491" s="0" t="s">
        <v>8428</v>
      </c>
      <c r="G491" s="0" t="s">
        <v>3371</v>
      </c>
      <c r="H491" s="0" t="s">
        <v>8208</v>
      </c>
      <c r="I491" s="0" t="s">
        <v>9421</v>
      </c>
      <c r="K491" s="0" t="s">
        <v>40</v>
      </c>
      <c r="L491" s="0" t="s">
        <v>9418</v>
      </c>
    </row>
    <row r="492" customFormat="false" ht="17.15" hidden="false" customHeight="false" outlineLevel="0" collapsed="false">
      <c r="A492" s="0" t="s">
        <v>9422</v>
      </c>
      <c r="B492" s="0" t="s">
        <v>9423</v>
      </c>
      <c r="C492" s="0" t="s">
        <v>9424</v>
      </c>
      <c r="D492" s="0" t="s">
        <v>8182</v>
      </c>
      <c r="E492" s="5" t="s">
        <v>81</v>
      </c>
      <c r="F492" s="0" t="s">
        <v>9425</v>
      </c>
      <c r="G492" s="0" t="s">
        <v>3371</v>
      </c>
      <c r="H492" s="0" t="s">
        <v>8219</v>
      </c>
      <c r="I492" s="5" t="s">
        <v>8478</v>
      </c>
      <c r="K492" s="0" t="s">
        <v>40</v>
      </c>
      <c r="L492" s="0" t="s">
        <v>9426</v>
      </c>
    </row>
    <row r="493" customFormat="false" ht="17.15" hidden="false" customHeight="false" outlineLevel="0" collapsed="false">
      <c r="A493" s="0" t="s">
        <v>9427</v>
      </c>
      <c r="B493" s="0" t="s">
        <v>9423</v>
      </c>
      <c r="C493" s="0" t="s">
        <v>9428</v>
      </c>
      <c r="D493" s="0" t="s">
        <v>117</v>
      </c>
      <c r="E493" s="5" t="s">
        <v>81</v>
      </c>
      <c r="F493" s="0" t="s">
        <v>9425</v>
      </c>
      <c r="G493" s="0" t="s">
        <v>3371</v>
      </c>
      <c r="H493" s="0" t="s">
        <v>8219</v>
      </c>
      <c r="I493" s="5" t="s">
        <v>8478</v>
      </c>
      <c r="K493" s="0" t="s">
        <v>40</v>
      </c>
      <c r="L493" s="0" t="s">
        <v>9426</v>
      </c>
    </row>
    <row r="494" customFormat="false" ht="17.15" hidden="false" customHeight="false" outlineLevel="0" collapsed="false">
      <c r="A494" s="0" t="s">
        <v>9429</v>
      </c>
      <c r="B494" s="0" t="s">
        <v>9430</v>
      </c>
      <c r="C494" s="0" t="s">
        <v>9431</v>
      </c>
      <c r="D494" s="0" t="s">
        <v>8182</v>
      </c>
      <c r="E494" s="5" t="s">
        <v>81</v>
      </c>
      <c r="F494" s="0" t="s">
        <v>9432</v>
      </c>
      <c r="G494" s="0" t="s">
        <v>3317</v>
      </c>
      <c r="H494" s="0" t="s">
        <v>8219</v>
      </c>
      <c r="I494" s="5" t="s">
        <v>8220</v>
      </c>
      <c r="K494" s="0" t="s">
        <v>40</v>
      </c>
      <c r="L494" s="0" t="s">
        <v>9433</v>
      </c>
    </row>
    <row r="495" customFormat="false" ht="17.15" hidden="false" customHeight="false" outlineLevel="0" collapsed="false">
      <c r="A495" s="0" t="s">
        <v>9434</v>
      </c>
      <c r="B495" s="0" t="s">
        <v>9435</v>
      </c>
      <c r="C495" s="0" t="s">
        <v>9436</v>
      </c>
      <c r="D495" s="0" t="s">
        <v>8182</v>
      </c>
      <c r="E495" s="5" t="s">
        <v>81</v>
      </c>
      <c r="F495" s="0" t="s">
        <v>3648</v>
      </c>
      <c r="G495" s="0" t="s">
        <v>3371</v>
      </c>
      <c r="H495" s="0" t="s">
        <v>8176</v>
      </c>
      <c r="I495" s="0" t="s">
        <v>9437</v>
      </c>
      <c r="K495" s="0" t="s">
        <v>40</v>
      </c>
      <c r="L495" s="0" t="s">
        <v>9438</v>
      </c>
    </row>
    <row r="496" customFormat="false" ht="17.15" hidden="false" customHeight="false" outlineLevel="0" collapsed="false">
      <c r="A496" s="0" t="s">
        <v>9439</v>
      </c>
      <c r="B496" s="0" t="s">
        <v>9440</v>
      </c>
      <c r="C496" s="0" t="s">
        <v>9441</v>
      </c>
      <c r="D496" s="0" t="s">
        <v>9052</v>
      </c>
      <c r="E496" s="5" t="s">
        <v>81</v>
      </c>
      <c r="F496" s="0" t="s">
        <v>9442</v>
      </c>
      <c r="G496" s="0" t="s">
        <v>3371</v>
      </c>
      <c r="H496" s="0" t="s">
        <v>8224</v>
      </c>
      <c r="I496" s="0" t="s">
        <v>9443</v>
      </c>
      <c r="K496" s="0" t="s">
        <v>40</v>
      </c>
      <c r="L496" s="0" t="s">
        <v>9444</v>
      </c>
    </row>
    <row r="497" customFormat="false" ht="17.15" hidden="false" customHeight="false" outlineLevel="0" collapsed="false">
      <c r="A497" s="0" t="s">
        <v>9445</v>
      </c>
      <c r="B497" s="0" t="s">
        <v>9440</v>
      </c>
      <c r="C497" s="0" t="s">
        <v>9446</v>
      </c>
      <c r="D497" s="0" t="s">
        <v>7581</v>
      </c>
      <c r="E497" s="5" t="s">
        <v>81</v>
      </c>
      <c r="F497" s="0" t="s">
        <v>9442</v>
      </c>
      <c r="G497" s="0" t="s">
        <v>3371</v>
      </c>
      <c r="H497" s="0" t="s">
        <v>8224</v>
      </c>
      <c r="I497" s="0" t="s">
        <v>9447</v>
      </c>
      <c r="K497" s="0" t="s">
        <v>40</v>
      </c>
      <c r="L497" s="0" t="s">
        <v>9444</v>
      </c>
    </row>
    <row r="498" customFormat="false" ht="17.15" hidden="false" customHeight="false" outlineLevel="0" collapsed="false">
      <c r="A498" s="0" t="s">
        <v>9448</v>
      </c>
      <c r="B498" s="0" t="s">
        <v>9440</v>
      </c>
      <c r="C498" s="0" t="s">
        <v>9449</v>
      </c>
      <c r="D498" s="0" t="s">
        <v>117</v>
      </c>
      <c r="E498" s="5" t="s">
        <v>81</v>
      </c>
      <c r="F498" s="0" t="s">
        <v>8970</v>
      </c>
      <c r="G498" s="0" t="s">
        <v>3371</v>
      </c>
      <c r="H498" s="0" t="s">
        <v>8176</v>
      </c>
      <c r="I498" s="0" t="s">
        <v>9450</v>
      </c>
      <c r="K498" s="0" t="s">
        <v>40</v>
      </c>
      <c r="L498" s="0" t="s">
        <v>9451</v>
      </c>
    </row>
    <row r="499" customFormat="false" ht="17.15" hidden="false" customHeight="false" outlineLevel="0" collapsed="false">
      <c r="A499" s="0" t="s">
        <v>9452</v>
      </c>
      <c r="B499" s="0" t="s">
        <v>9453</v>
      </c>
      <c r="C499" s="0" t="s">
        <v>9454</v>
      </c>
      <c r="D499" s="0" t="s">
        <v>9455</v>
      </c>
      <c r="E499" s="5" t="s">
        <v>81</v>
      </c>
      <c r="F499" s="0" t="s">
        <v>8641</v>
      </c>
      <c r="G499" s="0" t="s">
        <v>3371</v>
      </c>
      <c r="H499" s="0" t="s">
        <v>8241</v>
      </c>
      <c r="I499" s="0" t="s">
        <v>9456</v>
      </c>
      <c r="K499" s="0" t="s">
        <v>40</v>
      </c>
      <c r="L499" s="0" t="s">
        <v>9457</v>
      </c>
    </row>
    <row r="500" customFormat="false" ht="17.15" hidden="false" customHeight="false" outlineLevel="0" collapsed="false">
      <c r="A500" s="0" t="s">
        <v>9458</v>
      </c>
      <c r="B500" s="0" t="s">
        <v>9453</v>
      </c>
      <c r="C500" s="0" t="s">
        <v>9459</v>
      </c>
      <c r="D500" s="0" t="s">
        <v>9460</v>
      </c>
      <c r="E500" s="0" t="s">
        <v>116</v>
      </c>
      <c r="F500" s="0" t="s">
        <v>3892</v>
      </c>
      <c r="G500" s="0" t="s">
        <v>3327</v>
      </c>
      <c r="H500" s="0" t="s">
        <v>8241</v>
      </c>
      <c r="I500" s="5" t="s">
        <v>9461</v>
      </c>
      <c r="K500" s="0" t="s">
        <v>40</v>
      </c>
      <c r="L500" s="0" t="s">
        <v>9462</v>
      </c>
    </row>
    <row r="501" customFormat="false" ht="17.15" hidden="false" customHeight="false" outlineLevel="0" collapsed="false">
      <c r="A501" s="0" t="s">
        <v>9463</v>
      </c>
      <c r="B501" s="0" t="s">
        <v>9453</v>
      </c>
      <c r="C501" s="0" t="s">
        <v>9464</v>
      </c>
      <c r="D501" s="0" t="s">
        <v>9460</v>
      </c>
      <c r="E501" s="0" t="s">
        <v>116</v>
      </c>
      <c r="F501" s="0" t="s">
        <v>3892</v>
      </c>
      <c r="G501" s="0" t="s">
        <v>3327</v>
      </c>
      <c r="H501" s="0" t="s">
        <v>8241</v>
      </c>
      <c r="I501" s="0" t="s">
        <v>9465</v>
      </c>
      <c r="K501" s="0" t="s">
        <v>40</v>
      </c>
      <c r="L501" s="0" t="s">
        <v>9462</v>
      </c>
    </row>
    <row r="502" customFormat="false" ht="17.15" hidden="false" customHeight="false" outlineLevel="0" collapsed="false">
      <c r="A502" s="0" t="s">
        <v>9466</v>
      </c>
      <c r="B502" s="0" t="s">
        <v>9467</v>
      </c>
      <c r="C502" s="0" t="s">
        <v>9468</v>
      </c>
      <c r="D502" s="0" t="s">
        <v>8182</v>
      </c>
      <c r="E502" s="0" t="s">
        <v>116</v>
      </c>
      <c r="F502" s="0" t="s">
        <v>7658</v>
      </c>
      <c r="G502" s="0" t="s">
        <v>3371</v>
      </c>
      <c r="H502" s="0" t="s">
        <v>8224</v>
      </c>
      <c r="I502" s="0" t="s">
        <v>9469</v>
      </c>
      <c r="K502" s="0" t="s">
        <v>40</v>
      </c>
      <c r="L502" s="0" t="s">
        <v>9470</v>
      </c>
    </row>
    <row r="503" customFormat="false" ht="17.15" hidden="false" customHeight="false" outlineLevel="0" collapsed="false">
      <c r="A503" s="0" t="s">
        <v>9471</v>
      </c>
      <c r="B503" s="0" t="s">
        <v>9467</v>
      </c>
      <c r="C503" s="0" t="s">
        <v>9472</v>
      </c>
      <c r="D503" s="0" t="s">
        <v>117</v>
      </c>
      <c r="E503" s="5" t="s">
        <v>81</v>
      </c>
      <c r="F503" s="0" t="s">
        <v>7658</v>
      </c>
      <c r="G503" s="0" t="s">
        <v>3371</v>
      </c>
      <c r="H503" s="0" t="s">
        <v>8176</v>
      </c>
      <c r="I503" s="0" t="s">
        <v>9473</v>
      </c>
      <c r="K503" s="0" t="s">
        <v>40</v>
      </c>
      <c r="L503" s="0" t="s">
        <v>9474</v>
      </c>
    </row>
    <row r="504" customFormat="false" ht="17.15" hidden="false" customHeight="false" outlineLevel="0" collapsed="false">
      <c r="A504" s="0" t="s">
        <v>9475</v>
      </c>
      <c r="B504" s="0" t="s">
        <v>9476</v>
      </c>
      <c r="C504" s="0" t="s">
        <v>9477</v>
      </c>
      <c r="D504" s="0" t="s">
        <v>7739</v>
      </c>
      <c r="E504" s="5" t="s">
        <v>81</v>
      </c>
      <c r="F504" s="0" t="s">
        <v>9478</v>
      </c>
      <c r="G504" s="0" t="s">
        <v>3371</v>
      </c>
      <c r="H504" s="0" t="s">
        <v>8176</v>
      </c>
      <c r="I504" s="0" t="s">
        <v>9479</v>
      </c>
      <c r="K504" s="0" t="s">
        <v>40</v>
      </c>
      <c r="L504" s="0" t="s">
        <v>9480</v>
      </c>
    </row>
    <row r="505" customFormat="false" ht="17.15" hidden="false" customHeight="false" outlineLevel="0" collapsed="false">
      <c r="A505" s="0" t="s">
        <v>9481</v>
      </c>
      <c r="B505" s="0" t="s">
        <v>9476</v>
      </c>
      <c r="C505" s="0" t="s">
        <v>9482</v>
      </c>
      <c r="D505" s="0" t="s">
        <v>8300</v>
      </c>
      <c r="E505" s="5" t="s">
        <v>81</v>
      </c>
      <c r="F505" s="0" t="s">
        <v>9478</v>
      </c>
      <c r="G505" s="0" t="s">
        <v>3327</v>
      </c>
      <c r="H505" s="0" t="s">
        <v>8224</v>
      </c>
      <c r="I505" s="5" t="s">
        <v>9483</v>
      </c>
      <c r="K505" s="0" t="s">
        <v>40</v>
      </c>
      <c r="L505" s="0" t="s">
        <v>9480</v>
      </c>
    </row>
    <row r="506" customFormat="false" ht="17.15" hidden="false" customHeight="false" outlineLevel="0" collapsed="false">
      <c r="A506" s="0" t="s">
        <v>9484</v>
      </c>
      <c r="B506" s="0" t="s">
        <v>9485</v>
      </c>
      <c r="C506" s="0" t="s">
        <v>9486</v>
      </c>
      <c r="D506" s="0" t="s">
        <v>7732</v>
      </c>
      <c r="E506" s="5" t="s">
        <v>81</v>
      </c>
      <c r="F506" s="0" t="s">
        <v>9487</v>
      </c>
      <c r="G506" s="0" t="s">
        <v>3371</v>
      </c>
      <c r="H506" s="0" t="s">
        <v>8219</v>
      </c>
      <c r="I506" s="5" t="s">
        <v>8429</v>
      </c>
      <c r="K506" s="0" t="s">
        <v>40</v>
      </c>
      <c r="L506" s="0" t="s">
        <v>9488</v>
      </c>
    </row>
    <row r="507" customFormat="false" ht="17.15" hidden="false" customHeight="false" outlineLevel="0" collapsed="false">
      <c r="A507" s="0" t="s">
        <v>9489</v>
      </c>
      <c r="B507" s="0" t="s">
        <v>9485</v>
      </c>
      <c r="C507" s="0" t="s">
        <v>9490</v>
      </c>
      <c r="D507" s="0" t="s">
        <v>7493</v>
      </c>
      <c r="E507" s="5" t="s">
        <v>81</v>
      </c>
      <c r="F507" s="0" t="s">
        <v>9487</v>
      </c>
      <c r="G507" s="0" t="s">
        <v>3371</v>
      </c>
      <c r="H507" s="0" t="s">
        <v>8219</v>
      </c>
      <c r="I507" s="5" t="s">
        <v>8429</v>
      </c>
      <c r="K507" s="0" t="s">
        <v>40</v>
      </c>
      <c r="L507" s="0" t="s">
        <v>9488</v>
      </c>
    </row>
    <row r="508" customFormat="false" ht="17.15" hidden="false" customHeight="false" outlineLevel="0" collapsed="false">
      <c r="A508" s="0" t="s">
        <v>9491</v>
      </c>
      <c r="B508" s="0" t="s">
        <v>9492</v>
      </c>
      <c r="C508" s="0" t="s">
        <v>9493</v>
      </c>
      <c r="D508" s="0" t="s">
        <v>7739</v>
      </c>
      <c r="E508" s="5" t="s">
        <v>81</v>
      </c>
      <c r="F508" s="0" t="s">
        <v>8270</v>
      </c>
      <c r="G508" s="0" t="s">
        <v>3371</v>
      </c>
      <c r="H508" s="0" t="s">
        <v>8176</v>
      </c>
      <c r="I508" s="0" t="s">
        <v>9494</v>
      </c>
      <c r="K508" s="0" t="s">
        <v>40</v>
      </c>
      <c r="L508" s="0" t="s">
        <v>9495</v>
      </c>
    </row>
    <row r="509" customFormat="false" ht="17.15" hidden="false" customHeight="false" outlineLevel="0" collapsed="false">
      <c r="A509" s="0" t="s">
        <v>9496</v>
      </c>
      <c r="B509" s="0" t="s">
        <v>9497</v>
      </c>
      <c r="C509" s="0" t="s">
        <v>9498</v>
      </c>
      <c r="D509" s="0" t="s">
        <v>117</v>
      </c>
      <c r="E509" s="5" t="s">
        <v>81</v>
      </c>
      <c r="F509" s="0" t="s">
        <v>8270</v>
      </c>
      <c r="G509" s="0" t="s">
        <v>3371</v>
      </c>
      <c r="H509" s="0" t="s">
        <v>8224</v>
      </c>
      <c r="I509" s="5" t="s">
        <v>9499</v>
      </c>
      <c r="K509" s="0" t="s">
        <v>40</v>
      </c>
      <c r="L509" s="0" t="s">
        <v>9495</v>
      </c>
    </row>
    <row r="510" customFormat="false" ht="17.15" hidden="false" customHeight="false" outlineLevel="0" collapsed="false">
      <c r="A510" s="0" t="s">
        <v>9500</v>
      </c>
      <c r="B510" s="0" t="s">
        <v>9497</v>
      </c>
      <c r="C510" s="0" t="s">
        <v>9501</v>
      </c>
      <c r="D510" s="0" t="s">
        <v>117</v>
      </c>
      <c r="E510" s="5" t="s">
        <v>81</v>
      </c>
      <c r="F510" s="0" t="s">
        <v>8270</v>
      </c>
      <c r="G510" s="0" t="s">
        <v>3371</v>
      </c>
      <c r="H510" s="0" t="s">
        <v>8176</v>
      </c>
      <c r="I510" s="5" t="s">
        <v>9502</v>
      </c>
      <c r="K510" s="0" t="s">
        <v>40</v>
      </c>
      <c r="L510" s="0" t="s">
        <v>9503</v>
      </c>
    </row>
    <row r="511" customFormat="false" ht="17.15" hidden="false" customHeight="false" outlineLevel="0" collapsed="false">
      <c r="A511" s="0" t="s">
        <v>9504</v>
      </c>
      <c r="B511" s="0" t="s">
        <v>9505</v>
      </c>
      <c r="C511" s="0" t="s">
        <v>9506</v>
      </c>
      <c r="D511" s="0" t="s">
        <v>7433</v>
      </c>
      <c r="E511" s="5" t="s">
        <v>81</v>
      </c>
      <c r="F511" s="0" t="s">
        <v>3434</v>
      </c>
      <c r="G511" s="0" t="s">
        <v>3371</v>
      </c>
      <c r="H511" s="0" t="s">
        <v>8176</v>
      </c>
      <c r="I511" s="0" t="s">
        <v>9507</v>
      </c>
      <c r="K511" s="0" t="s">
        <v>40</v>
      </c>
      <c r="L511" s="0" t="s">
        <v>9508</v>
      </c>
    </row>
    <row r="512" customFormat="false" ht="17.15" hidden="false" customHeight="false" outlineLevel="0" collapsed="false">
      <c r="A512" s="0" t="s">
        <v>9509</v>
      </c>
      <c r="B512" s="0" t="s">
        <v>9505</v>
      </c>
      <c r="C512" s="0" t="s">
        <v>9510</v>
      </c>
      <c r="D512" s="0" t="s">
        <v>9511</v>
      </c>
      <c r="E512" s="0" t="s">
        <v>116</v>
      </c>
      <c r="F512" s="0" t="s">
        <v>3434</v>
      </c>
      <c r="G512" s="0" t="s">
        <v>3371</v>
      </c>
      <c r="H512" s="0" t="s">
        <v>8176</v>
      </c>
      <c r="I512" s="0" t="s">
        <v>9512</v>
      </c>
      <c r="K512" s="0" t="s">
        <v>40</v>
      </c>
      <c r="L512" s="0" t="s">
        <v>9508</v>
      </c>
    </row>
    <row r="513" customFormat="false" ht="17.15" hidden="false" customHeight="false" outlineLevel="0" collapsed="false">
      <c r="A513" s="0" t="s">
        <v>9513</v>
      </c>
      <c r="B513" s="0" t="s">
        <v>9505</v>
      </c>
      <c r="C513" s="0" t="s">
        <v>9514</v>
      </c>
      <c r="D513" s="0" t="s">
        <v>9515</v>
      </c>
      <c r="E513" s="5" t="s">
        <v>172</v>
      </c>
      <c r="F513" s="0" t="s">
        <v>7838</v>
      </c>
      <c r="G513" s="0" t="s">
        <v>3371</v>
      </c>
      <c r="H513" s="0" t="s">
        <v>8208</v>
      </c>
      <c r="I513" s="0" t="s">
        <v>9516</v>
      </c>
      <c r="K513" s="0" t="s">
        <v>40</v>
      </c>
      <c r="L513" s="0" t="s">
        <v>9517</v>
      </c>
    </row>
    <row r="514" customFormat="false" ht="17.15" hidden="false" customHeight="false" outlineLevel="0" collapsed="false">
      <c r="A514" s="0" t="s">
        <v>9518</v>
      </c>
      <c r="B514" s="0" t="s">
        <v>9519</v>
      </c>
      <c r="C514" s="0" t="s">
        <v>9520</v>
      </c>
      <c r="D514" s="0" t="s">
        <v>9521</v>
      </c>
      <c r="E514" s="5" t="s">
        <v>81</v>
      </c>
      <c r="F514" s="0" t="s">
        <v>9522</v>
      </c>
      <c r="G514" s="0" t="s">
        <v>3317</v>
      </c>
      <c r="H514" s="0" t="s">
        <v>8176</v>
      </c>
      <c r="I514" s="0" t="s">
        <v>9523</v>
      </c>
      <c r="K514" s="0" t="s">
        <v>40</v>
      </c>
      <c r="L514" s="0" t="s">
        <v>9524</v>
      </c>
    </row>
    <row r="515" customFormat="false" ht="17.15" hidden="false" customHeight="false" outlineLevel="0" collapsed="false">
      <c r="A515" s="0" t="s">
        <v>9525</v>
      </c>
      <c r="B515" s="0" t="s">
        <v>9505</v>
      </c>
      <c r="C515" s="0" t="s">
        <v>9526</v>
      </c>
      <c r="D515" s="0" t="s">
        <v>7739</v>
      </c>
      <c r="E515" s="5" t="s">
        <v>81</v>
      </c>
      <c r="F515" s="0" t="s">
        <v>7838</v>
      </c>
      <c r="G515" s="0" t="s">
        <v>3371</v>
      </c>
      <c r="H515" s="0" t="s">
        <v>8176</v>
      </c>
      <c r="I515" s="5" t="s">
        <v>9527</v>
      </c>
      <c r="K515" s="0" t="s">
        <v>40</v>
      </c>
      <c r="L515" s="0" t="s">
        <v>9517</v>
      </c>
    </row>
    <row r="516" customFormat="false" ht="17.15" hidden="false" customHeight="false" outlineLevel="0" collapsed="false">
      <c r="A516" s="0" t="s">
        <v>9528</v>
      </c>
      <c r="B516" s="0" t="s">
        <v>9505</v>
      </c>
      <c r="C516" s="0" t="s">
        <v>9529</v>
      </c>
      <c r="D516" s="0" t="s">
        <v>7521</v>
      </c>
      <c r="E516" s="5" t="s">
        <v>81</v>
      </c>
      <c r="F516" s="0" t="s">
        <v>7838</v>
      </c>
      <c r="G516" s="0" t="s">
        <v>3371</v>
      </c>
      <c r="H516" s="0" t="s">
        <v>8176</v>
      </c>
      <c r="I516" s="0" t="s">
        <v>9530</v>
      </c>
      <c r="K516" s="0" t="s">
        <v>40</v>
      </c>
      <c r="L516" s="0" t="s">
        <v>9517</v>
      </c>
    </row>
    <row r="517" customFormat="false" ht="17.15" hidden="false" customHeight="false" outlineLevel="0" collapsed="false">
      <c r="A517" s="0" t="s">
        <v>9531</v>
      </c>
      <c r="B517" s="0" t="s">
        <v>9453</v>
      </c>
      <c r="C517" s="0" t="s">
        <v>9532</v>
      </c>
      <c r="D517" s="0" t="s">
        <v>9533</v>
      </c>
      <c r="E517" s="0" t="s">
        <v>116</v>
      </c>
      <c r="F517" s="0" t="s">
        <v>2170</v>
      </c>
      <c r="G517" s="0" t="s">
        <v>123</v>
      </c>
      <c r="H517" s="0" t="s">
        <v>8219</v>
      </c>
      <c r="I517" s="5" t="s">
        <v>8220</v>
      </c>
      <c r="K517" s="0" t="s">
        <v>40</v>
      </c>
      <c r="L517" s="0" t="s">
        <v>9534</v>
      </c>
    </row>
    <row r="518" customFormat="false" ht="17.15" hidden="false" customHeight="false" outlineLevel="0" collapsed="false">
      <c r="A518" s="0" t="s">
        <v>9535</v>
      </c>
      <c r="B518" s="0" t="s">
        <v>9453</v>
      </c>
      <c r="C518" s="0" t="s">
        <v>9536</v>
      </c>
      <c r="D518" s="0" t="s">
        <v>117</v>
      </c>
      <c r="E518" s="5" t="s">
        <v>81</v>
      </c>
      <c r="F518" s="0" t="s">
        <v>2170</v>
      </c>
      <c r="G518" s="0" t="s">
        <v>123</v>
      </c>
      <c r="H518" s="0" t="s">
        <v>8219</v>
      </c>
      <c r="I518" s="5" t="s">
        <v>8220</v>
      </c>
      <c r="K518" s="0" t="s">
        <v>40</v>
      </c>
      <c r="L518" s="0" t="s">
        <v>9534</v>
      </c>
    </row>
    <row r="519" customFormat="false" ht="17.15" hidden="false" customHeight="false" outlineLevel="0" collapsed="false">
      <c r="A519" s="0" t="s">
        <v>9537</v>
      </c>
      <c r="B519" s="0" t="s">
        <v>9453</v>
      </c>
      <c r="C519" s="0" t="s">
        <v>9538</v>
      </c>
      <c r="D519" s="0" t="s">
        <v>117</v>
      </c>
      <c r="E519" s="5" t="s">
        <v>81</v>
      </c>
      <c r="F519" s="0" t="s">
        <v>2170</v>
      </c>
      <c r="G519" s="0" t="s">
        <v>146</v>
      </c>
      <c r="H519" s="0" t="s">
        <v>8241</v>
      </c>
      <c r="I519" s="5" t="s">
        <v>9539</v>
      </c>
      <c r="K519" s="0" t="s">
        <v>40</v>
      </c>
      <c r="L519" s="0" t="s">
        <v>9540</v>
      </c>
    </row>
    <row r="520" customFormat="false" ht="17.15" hidden="false" customHeight="false" outlineLevel="0" collapsed="false">
      <c r="A520" s="0" t="s">
        <v>9541</v>
      </c>
      <c r="B520" s="0" t="s">
        <v>9542</v>
      </c>
      <c r="C520" s="0" t="s">
        <v>9543</v>
      </c>
      <c r="D520" s="0" t="s">
        <v>7568</v>
      </c>
      <c r="E520" s="5" t="s">
        <v>81</v>
      </c>
      <c r="F520" s="0" t="s">
        <v>9544</v>
      </c>
      <c r="G520" s="0" t="s">
        <v>3371</v>
      </c>
      <c r="H520" s="0" t="s">
        <v>8176</v>
      </c>
      <c r="I520" s="5" t="s">
        <v>9545</v>
      </c>
      <c r="K520" s="0" t="s">
        <v>40</v>
      </c>
      <c r="L520" s="0" t="s">
        <v>9546</v>
      </c>
    </row>
    <row r="521" customFormat="false" ht="17.15" hidden="false" customHeight="false" outlineLevel="0" collapsed="false">
      <c r="A521" s="0" t="s">
        <v>9547</v>
      </c>
      <c r="B521" s="0" t="s">
        <v>9542</v>
      </c>
      <c r="C521" s="0" t="s">
        <v>9548</v>
      </c>
      <c r="D521" s="0" t="s">
        <v>7568</v>
      </c>
      <c r="E521" s="5" t="s">
        <v>81</v>
      </c>
      <c r="F521" s="0" t="s">
        <v>9544</v>
      </c>
      <c r="G521" s="0" t="s">
        <v>3371</v>
      </c>
      <c r="H521" s="0" t="s">
        <v>8176</v>
      </c>
      <c r="I521" s="0" t="s">
        <v>9549</v>
      </c>
      <c r="K521" s="0" t="s">
        <v>40</v>
      </c>
      <c r="L521" s="0" t="s">
        <v>9546</v>
      </c>
    </row>
    <row r="522" customFormat="false" ht="17.15" hidden="false" customHeight="false" outlineLevel="0" collapsed="false">
      <c r="A522" s="0" t="s">
        <v>9550</v>
      </c>
      <c r="B522" s="0" t="s">
        <v>9542</v>
      </c>
      <c r="C522" s="0" t="s">
        <v>9551</v>
      </c>
      <c r="D522" s="0" t="s">
        <v>7568</v>
      </c>
      <c r="E522" s="5" t="s">
        <v>81</v>
      </c>
      <c r="F522" s="0" t="s">
        <v>9544</v>
      </c>
      <c r="G522" s="0" t="s">
        <v>3371</v>
      </c>
      <c r="H522" s="0" t="s">
        <v>8176</v>
      </c>
      <c r="I522" s="0" t="s">
        <v>9552</v>
      </c>
      <c r="K522" s="0" t="s">
        <v>40</v>
      </c>
      <c r="L522" s="0" t="s">
        <v>9546</v>
      </c>
    </row>
    <row r="523" customFormat="false" ht="17.15" hidden="false" customHeight="false" outlineLevel="0" collapsed="false">
      <c r="A523" s="0" t="s">
        <v>9553</v>
      </c>
      <c r="B523" s="0" t="s">
        <v>9542</v>
      </c>
      <c r="C523" s="0" t="s">
        <v>9554</v>
      </c>
      <c r="D523" s="0" t="s">
        <v>8286</v>
      </c>
      <c r="E523" s="5" t="s">
        <v>81</v>
      </c>
      <c r="F523" s="0" t="s">
        <v>3837</v>
      </c>
      <c r="G523" s="0" t="s">
        <v>3371</v>
      </c>
      <c r="H523" s="0" t="s">
        <v>8176</v>
      </c>
      <c r="I523" s="0" t="s">
        <v>9555</v>
      </c>
      <c r="K523" s="0" t="s">
        <v>40</v>
      </c>
      <c r="L523" s="0" t="s">
        <v>9556</v>
      </c>
    </row>
    <row r="524" customFormat="false" ht="17.15" hidden="false" customHeight="false" outlineLevel="0" collapsed="false">
      <c r="A524" s="0" t="s">
        <v>9557</v>
      </c>
      <c r="B524" s="0" t="s">
        <v>9558</v>
      </c>
      <c r="C524" s="0" t="s">
        <v>9559</v>
      </c>
      <c r="D524" s="0" t="s">
        <v>7239</v>
      </c>
      <c r="E524" s="0" t="s">
        <v>116</v>
      </c>
      <c r="F524" s="0" t="s">
        <v>3434</v>
      </c>
      <c r="G524" s="0" t="s">
        <v>3371</v>
      </c>
      <c r="H524" s="0" t="s">
        <v>8176</v>
      </c>
      <c r="I524" s="0" t="s">
        <v>9560</v>
      </c>
      <c r="K524" s="0" t="s">
        <v>40</v>
      </c>
      <c r="L524" s="0" t="s">
        <v>9561</v>
      </c>
    </row>
    <row r="525" customFormat="false" ht="17.15" hidden="false" customHeight="false" outlineLevel="0" collapsed="false">
      <c r="A525" s="0" t="s">
        <v>9562</v>
      </c>
      <c r="B525" s="0" t="s">
        <v>9563</v>
      </c>
      <c r="C525" s="0" t="s">
        <v>9564</v>
      </c>
      <c r="D525" s="0" t="s">
        <v>7239</v>
      </c>
      <c r="E525" s="0" t="s">
        <v>116</v>
      </c>
      <c r="F525" s="0" t="s">
        <v>9565</v>
      </c>
      <c r="G525" s="0" t="s">
        <v>3371</v>
      </c>
      <c r="H525" s="0" t="s">
        <v>8176</v>
      </c>
      <c r="I525" s="0" t="s">
        <v>9566</v>
      </c>
      <c r="K525" s="0" t="s">
        <v>40</v>
      </c>
      <c r="L525" s="0" t="s">
        <v>9567</v>
      </c>
    </row>
    <row r="526" customFormat="false" ht="17.15" hidden="false" customHeight="false" outlineLevel="0" collapsed="false">
      <c r="A526" s="0" t="s">
        <v>9568</v>
      </c>
      <c r="B526" s="0" t="s">
        <v>9569</v>
      </c>
      <c r="C526" s="0" t="s">
        <v>9570</v>
      </c>
      <c r="D526" s="0" t="s">
        <v>9384</v>
      </c>
      <c r="E526" s="5" t="s">
        <v>81</v>
      </c>
      <c r="F526" s="0" t="s">
        <v>9571</v>
      </c>
      <c r="G526" s="0" t="s">
        <v>3371</v>
      </c>
      <c r="H526" s="0" t="s">
        <v>8176</v>
      </c>
      <c r="I526" s="0" t="s">
        <v>9572</v>
      </c>
      <c r="K526" s="0" t="s">
        <v>40</v>
      </c>
      <c r="L526" s="0" t="s">
        <v>9573</v>
      </c>
    </row>
    <row r="527" customFormat="false" ht="17.15" hidden="false" customHeight="false" outlineLevel="0" collapsed="false">
      <c r="A527" s="0" t="s">
        <v>9574</v>
      </c>
      <c r="B527" s="0" t="s">
        <v>9575</v>
      </c>
      <c r="C527" s="0" t="s">
        <v>9576</v>
      </c>
      <c r="D527" s="0" t="s">
        <v>7493</v>
      </c>
      <c r="E527" s="5" t="s">
        <v>81</v>
      </c>
      <c r="F527" s="0" t="s">
        <v>8229</v>
      </c>
      <c r="G527" s="0" t="s">
        <v>3371</v>
      </c>
      <c r="H527" s="0" t="s">
        <v>8241</v>
      </c>
      <c r="I527" s="0" t="s">
        <v>9577</v>
      </c>
      <c r="K527" s="0" t="s">
        <v>40</v>
      </c>
      <c r="L527" s="0" t="s">
        <v>9578</v>
      </c>
    </row>
    <row r="528" customFormat="false" ht="17.15" hidden="false" customHeight="false" outlineLevel="0" collapsed="false">
      <c r="A528" s="0" t="s">
        <v>9579</v>
      </c>
      <c r="B528" s="0" t="s">
        <v>9575</v>
      </c>
      <c r="C528" s="0" t="s">
        <v>9580</v>
      </c>
      <c r="D528" s="0" t="s">
        <v>117</v>
      </c>
      <c r="E528" s="5" t="s">
        <v>81</v>
      </c>
      <c r="F528" s="0" t="s">
        <v>4009</v>
      </c>
      <c r="G528" s="0" t="s">
        <v>3371</v>
      </c>
      <c r="H528" s="0" t="s">
        <v>8241</v>
      </c>
      <c r="I528" s="0" t="s">
        <v>9581</v>
      </c>
      <c r="K528" s="0" t="s">
        <v>40</v>
      </c>
      <c r="L528" s="0" t="s">
        <v>9582</v>
      </c>
    </row>
    <row r="529" customFormat="false" ht="17.15" hidden="false" customHeight="false" outlineLevel="0" collapsed="false">
      <c r="A529" s="0" t="s">
        <v>9583</v>
      </c>
      <c r="B529" s="5" t="s">
        <v>9584</v>
      </c>
      <c r="C529" s="5" t="s">
        <v>9585</v>
      </c>
      <c r="D529" s="0" t="s">
        <v>8174</v>
      </c>
      <c r="E529" s="5" t="s">
        <v>81</v>
      </c>
      <c r="F529" s="0" t="s">
        <v>8877</v>
      </c>
      <c r="G529" s="0" t="s">
        <v>3371</v>
      </c>
      <c r="H529" s="0" t="s">
        <v>8176</v>
      </c>
      <c r="I529" s="0" t="s">
        <v>9586</v>
      </c>
      <c r="K529" s="0" t="s">
        <v>40</v>
      </c>
      <c r="L529" s="0" t="s">
        <v>9587</v>
      </c>
    </row>
    <row r="530" customFormat="false" ht="17.15" hidden="false" customHeight="false" outlineLevel="0" collapsed="false">
      <c r="A530" s="0" t="s">
        <v>9588</v>
      </c>
      <c r="B530" s="5" t="s">
        <v>9589</v>
      </c>
      <c r="C530" s="5" t="s">
        <v>9590</v>
      </c>
      <c r="D530" s="0" t="s">
        <v>117</v>
      </c>
      <c r="E530" s="5" t="s">
        <v>81</v>
      </c>
      <c r="F530" s="0" t="s">
        <v>7285</v>
      </c>
      <c r="G530" s="0" t="s">
        <v>3371</v>
      </c>
      <c r="H530" s="0" t="s">
        <v>8208</v>
      </c>
      <c r="I530" s="5" t="s">
        <v>9591</v>
      </c>
      <c r="K530" s="0" t="s">
        <v>40</v>
      </c>
      <c r="L530" s="0" t="s">
        <v>9592</v>
      </c>
    </row>
    <row r="531" customFormat="false" ht="17.15" hidden="false" customHeight="false" outlineLevel="0" collapsed="false">
      <c r="A531" s="0" t="s">
        <v>9593</v>
      </c>
      <c r="B531" s="0" t="s">
        <v>9594</v>
      </c>
      <c r="C531" s="0" t="s">
        <v>9595</v>
      </c>
      <c r="D531" s="0" t="s">
        <v>9596</v>
      </c>
      <c r="E531" s="0" t="s">
        <v>116</v>
      </c>
      <c r="G531" s="0" t="s">
        <v>3317</v>
      </c>
      <c r="H531" s="0" t="s">
        <v>8208</v>
      </c>
      <c r="I531" s="0" t="s">
        <v>9597</v>
      </c>
      <c r="K531" s="0" t="s">
        <v>40</v>
      </c>
      <c r="L531" s="0" t="s">
        <v>9598</v>
      </c>
    </row>
    <row r="532" customFormat="false" ht="17.15" hidden="false" customHeight="false" outlineLevel="0" collapsed="false">
      <c r="A532" s="0" t="s">
        <v>9599</v>
      </c>
      <c r="B532" s="0" t="s">
        <v>9600</v>
      </c>
      <c r="C532" s="0" t="s">
        <v>9601</v>
      </c>
      <c r="D532" s="0" t="s">
        <v>7420</v>
      </c>
      <c r="E532" s="5" t="s">
        <v>81</v>
      </c>
      <c r="F532" s="0" t="s">
        <v>9602</v>
      </c>
      <c r="G532" s="0" t="s">
        <v>3371</v>
      </c>
      <c r="H532" s="0" t="s">
        <v>8176</v>
      </c>
      <c r="I532" s="5" t="s">
        <v>9603</v>
      </c>
      <c r="K532" s="0" t="s">
        <v>40</v>
      </c>
      <c r="L532" s="0" t="s">
        <v>9604</v>
      </c>
    </row>
    <row r="533" customFormat="false" ht="17.15" hidden="false" customHeight="false" outlineLevel="0" collapsed="false">
      <c r="A533" s="0" t="s">
        <v>9605</v>
      </c>
      <c r="B533" s="0" t="s">
        <v>9606</v>
      </c>
      <c r="C533" s="0" t="s">
        <v>9607</v>
      </c>
      <c r="D533" s="0" t="s">
        <v>8940</v>
      </c>
      <c r="E533" s="5" t="s">
        <v>81</v>
      </c>
      <c r="F533" s="0" t="s">
        <v>9602</v>
      </c>
      <c r="G533" s="0" t="s">
        <v>3371</v>
      </c>
      <c r="H533" s="0" t="s">
        <v>8219</v>
      </c>
      <c r="I533" s="5" t="s">
        <v>8220</v>
      </c>
      <c r="K533" s="0" t="s">
        <v>40</v>
      </c>
      <c r="L533" s="0" t="s">
        <v>9608</v>
      </c>
    </row>
    <row r="534" customFormat="false" ht="17.15" hidden="false" customHeight="false" outlineLevel="0" collapsed="false">
      <c r="A534" s="0" t="s">
        <v>9609</v>
      </c>
      <c r="B534" s="0" t="s">
        <v>9606</v>
      </c>
      <c r="C534" s="0" t="s">
        <v>9610</v>
      </c>
      <c r="D534" s="0" t="s">
        <v>117</v>
      </c>
      <c r="E534" s="5" t="s">
        <v>81</v>
      </c>
      <c r="F534" s="0" t="s">
        <v>8487</v>
      </c>
      <c r="G534" s="0" t="s">
        <v>3371</v>
      </c>
      <c r="H534" s="0" t="s">
        <v>8176</v>
      </c>
      <c r="I534" s="5" t="s">
        <v>9611</v>
      </c>
      <c r="K534" s="0" t="s">
        <v>40</v>
      </c>
      <c r="L534" s="0" t="s">
        <v>9612</v>
      </c>
    </row>
    <row r="535" customFormat="false" ht="17.15" hidden="false" customHeight="false" outlineLevel="0" collapsed="false">
      <c r="A535" s="0" t="s">
        <v>9613</v>
      </c>
      <c r="B535" s="0" t="s">
        <v>9614</v>
      </c>
      <c r="C535" s="0" t="s">
        <v>9615</v>
      </c>
      <c r="D535" s="0" t="s">
        <v>8182</v>
      </c>
      <c r="E535" s="5" t="s">
        <v>81</v>
      </c>
      <c r="F535" s="0" t="s">
        <v>8757</v>
      </c>
      <c r="G535" s="0" t="s">
        <v>3371</v>
      </c>
      <c r="H535" s="0" t="s">
        <v>8208</v>
      </c>
      <c r="I535" s="5" t="s">
        <v>9616</v>
      </c>
      <c r="K535" s="0" t="s">
        <v>40</v>
      </c>
      <c r="L535" s="0" t="s">
        <v>9617</v>
      </c>
    </row>
    <row r="536" customFormat="false" ht="17.15" hidden="false" customHeight="false" outlineLevel="0" collapsed="false">
      <c r="A536" s="0" t="s">
        <v>9618</v>
      </c>
      <c r="B536" s="0" t="s">
        <v>9619</v>
      </c>
      <c r="C536" s="0" t="s">
        <v>9620</v>
      </c>
      <c r="D536" s="0" t="s">
        <v>117</v>
      </c>
      <c r="E536" s="5" t="s">
        <v>81</v>
      </c>
      <c r="F536" s="0" t="s">
        <v>9162</v>
      </c>
      <c r="G536" s="0" t="s">
        <v>3371</v>
      </c>
      <c r="H536" s="0" t="s">
        <v>8241</v>
      </c>
      <c r="I536" s="5" t="s">
        <v>9621</v>
      </c>
      <c r="K536" s="0" t="s">
        <v>40</v>
      </c>
      <c r="L536" s="0" t="s">
        <v>9622</v>
      </c>
    </row>
    <row r="537" customFormat="false" ht="17.15" hidden="false" customHeight="false" outlineLevel="0" collapsed="false">
      <c r="A537" s="0" t="s">
        <v>9623</v>
      </c>
      <c r="B537" s="0" t="s">
        <v>9619</v>
      </c>
      <c r="C537" s="0" t="s">
        <v>9624</v>
      </c>
      <c r="D537" s="0" t="s">
        <v>117</v>
      </c>
      <c r="E537" s="5" t="s">
        <v>81</v>
      </c>
      <c r="F537" s="0" t="s">
        <v>9625</v>
      </c>
      <c r="G537" s="0" t="s">
        <v>3371</v>
      </c>
      <c r="H537" s="0" t="s">
        <v>8176</v>
      </c>
      <c r="I537" s="5" t="s">
        <v>9626</v>
      </c>
      <c r="K537" s="0" t="s">
        <v>40</v>
      </c>
      <c r="L537" s="0" t="s">
        <v>9627</v>
      </c>
    </row>
    <row r="538" customFormat="false" ht="17.15" hidden="false" customHeight="false" outlineLevel="0" collapsed="false">
      <c r="A538" s="0" t="s">
        <v>9628</v>
      </c>
      <c r="B538" s="0" t="s">
        <v>9629</v>
      </c>
      <c r="C538" s="0" t="s">
        <v>9630</v>
      </c>
      <c r="D538" s="0" t="s">
        <v>9631</v>
      </c>
      <c r="E538" s="5" t="s">
        <v>81</v>
      </c>
      <c r="F538" s="0" t="s">
        <v>8357</v>
      </c>
      <c r="G538" s="0" t="s">
        <v>123</v>
      </c>
      <c r="H538" s="0" t="s">
        <v>8224</v>
      </c>
      <c r="I538" s="5" t="s">
        <v>9632</v>
      </c>
      <c r="K538" s="0" t="s">
        <v>40</v>
      </c>
      <c r="L538" s="0" t="s">
        <v>8378</v>
      </c>
    </row>
    <row r="539" customFormat="false" ht="17.15" hidden="false" customHeight="false" outlineLevel="0" collapsed="false">
      <c r="A539" s="0" t="s">
        <v>9633</v>
      </c>
      <c r="B539" s="0" t="s">
        <v>9619</v>
      </c>
      <c r="C539" s="0" t="s">
        <v>9634</v>
      </c>
      <c r="D539" s="0" t="s">
        <v>8300</v>
      </c>
      <c r="E539" s="5" t="s">
        <v>81</v>
      </c>
      <c r="F539" s="0" t="s">
        <v>9635</v>
      </c>
      <c r="G539" s="0" t="s">
        <v>3317</v>
      </c>
      <c r="H539" s="0" t="s">
        <v>8176</v>
      </c>
      <c r="I539" s="0" t="s">
        <v>9636</v>
      </c>
      <c r="K539" s="0" t="s">
        <v>40</v>
      </c>
      <c r="L539" s="0" t="s">
        <v>9637</v>
      </c>
    </row>
    <row r="540" customFormat="false" ht="17.15" hidden="false" customHeight="false" outlineLevel="0" collapsed="false">
      <c r="A540" s="0" t="s">
        <v>9638</v>
      </c>
      <c r="B540" s="0" t="s">
        <v>9619</v>
      </c>
      <c r="C540" s="0" t="s">
        <v>9639</v>
      </c>
      <c r="D540" s="0" t="s">
        <v>117</v>
      </c>
      <c r="E540" s="5" t="s">
        <v>81</v>
      </c>
      <c r="F540" s="0" t="s">
        <v>9640</v>
      </c>
      <c r="G540" s="0" t="s">
        <v>3371</v>
      </c>
      <c r="H540" s="0" t="s">
        <v>8176</v>
      </c>
      <c r="I540" s="5" t="s">
        <v>9641</v>
      </c>
      <c r="K540" s="0" t="s">
        <v>40</v>
      </c>
      <c r="L540" s="0" t="s">
        <v>9642</v>
      </c>
    </row>
    <row r="541" customFormat="false" ht="17.15" hidden="false" customHeight="false" outlineLevel="0" collapsed="false">
      <c r="A541" s="0" t="s">
        <v>9643</v>
      </c>
      <c r="B541" s="0" t="s">
        <v>9619</v>
      </c>
      <c r="C541" s="0" t="s">
        <v>9644</v>
      </c>
      <c r="D541" s="0" t="s">
        <v>117</v>
      </c>
      <c r="E541" s="5" t="s">
        <v>81</v>
      </c>
      <c r="F541" s="0" t="s">
        <v>8982</v>
      </c>
      <c r="G541" s="0" t="s">
        <v>3371</v>
      </c>
      <c r="H541" s="0" t="s">
        <v>8176</v>
      </c>
      <c r="I541" s="5" t="s">
        <v>9645</v>
      </c>
      <c r="K541" s="0" t="s">
        <v>40</v>
      </c>
      <c r="L541" s="0" t="s">
        <v>9646</v>
      </c>
    </row>
    <row r="542" customFormat="false" ht="17.15" hidden="false" customHeight="false" outlineLevel="0" collapsed="false">
      <c r="A542" s="0" t="s">
        <v>9647</v>
      </c>
      <c r="B542" s="0" t="s">
        <v>9648</v>
      </c>
      <c r="C542" s="0" t="s">
        <v>9649</v>
      </c>
      <c r="D542" s="0" t="s">
        <v>8674</v>
      </c>
      <c r="E542" s="5" t="s">
        <v>81</v>
      </c>
      <c r="F542" s="0" t="s">
        <v>9650</v>
      </c>
      <c r="G542" s="0" t="s">
        <v>3371</v>
      </c>
      <c r="H542" s="0" t="s">
        <v>8224</v>
      </c>
      <c r="I542" s="0" t="s">
        <v>9651</v>
      </c>
      <c r="K542" s="0" t="s">
        <v>40</v>
      </c>
      <c r="L542" s="0" t="s">
        <v>9652</v>
      </c>
    </row>
    <row r="543" customFormat="false" ht="17.15" hidden="false" customHeight="false" outlineLevel="0" collapsed="false">
      <c r="A543" s="0" t="s">
        <v>9653</v>
      </c>
      <c r="B543" s="0" t="s">
        <v>9648</v>
      </c>
      <c r="C543" s="0" t="s">
        <v>9654</v>
      </c>
      <c r="D543" s="0" t="s">
        <v>7581</v>
      </c>
      <c r="E543" s="5" t="s">
        <v>81</v>
      </c>
      <c r="F543" s="0" t="s">
        <v>9650</v>
      </c>
      <c r="G543" s="0" t="s">
        <v>3371</v>
      </c>
      <c r="H543" s="0" t="s">
        <v>8224</v>
      </c>
      <c r="I543" s="5" t="s">
        <v>9655</v>
      </c>
      <c r="K543" s="0" t="s">
        <v>40</v>
      </c>
      <c r="L543" s="0" t="s">
        <v>9652</v>
      </c>
    </row>
    <row r="544" customFormat="false" ht="17.15" hidden="false" customHeight="false" outlineLevel="0" collapsed="false">
      <c r="A544" s="0" t="s">
        <v>9656</v>
      </c>
      <c r="B544" s="0" t="s">
        <v>9648</v>
      </c>
      <c r="C544" s="0" t="s">
        <v>9657</v>
      </c>
      <c r="D544" s="0" t="s">
        <v>9658</v>
      </c>
      <c r="E544" s="0" t="s">
        <v>116</v>
      </c>
      <c r="F544" s="0" t="s">
        <v>9659</v>
      </c>
      <c r="G544" s="0" t="s">
        <v>3371</v>
      </c>
      <c r="H544" s="0" t="s">
        <v>8176</v>
      </c>
      <c r="I544" s="0" t="s">
        <v>9660</v>
      </c>
      <c r="K544" s="0" t="s">
        <v>40</v>
      </c>
      <c r="L544" s="0" t="s">
        <v>9661</v>
      </c>
    </row>
    <row r="545" customFormat="false" ht="17.15" hidden="false" customHeight="false" outlineLevel="0" collapsed="false">
      <c r="A545" s="0" t="s">
        <v>9662</v>
      </c>
      <c r="B545" s="0" t="s">
        <v>9663</v>
      </c>
      <c r="C545" s="0" t="s">
        <v>9664</v>
      </c>
      <c r="D545" s="0" t="s">
        <v>8300</v>
      </c>
      <c r="E545" s="5" t="s">
        <v>81</v>
      </c>
      <c r="F545" s="0" t="s">
        <v>9665</v>
      </c>
      <c r="G545" s="0" t="s">
        <v>3371</v>
      </c>
      <c r="H545" s="0" t="s">
        <v>8176</v>
      </c>
      <c r="I545" s="0" t="s">
        <v>9666</v>
      </c>
      <c r="K545" s="0" t="s">
        <v>40</v>
      </c>
      <c r="L545" s="0" t="s">
        <v>9667</v>
      </c>
    </row>
    <row r="546" customFormat="false" ht="17.15" hidden="false" customHeight="false" outlineLevel="0" collapsed="false">
      <c r="A546" s="0" t="s">
        <v>9668</v>
      </c>
      <c r="B546" s="0" t="s">
        <v>9669</v>
      </c>
      <c r="C546" s="0" t="s">
        <v>9670</v>
      </c>
      <c r="D546" s="0" t="s">
        <v>7177</v>
      </c>
      <c r="E546" s="5" t="s">
        <v>81</v>
      </c>
      <c r="F546" s="0" t="s">
        <v>9671</v>
      </c>
      <c r="G546" s="0" t="s">
        <v>3371</v>
      </c>
      <c r="H546" s="0" t="s">
        <v>8176</v>
      </c>
      <c r="I546" s="0" t="s">
        <v>9672</v>
      </c>
      <c r="K546" s="0" t="s">
        <v>40</v>
      </c>
      <c r="L546" s="0" t="s">
        <v>9673</v>
      </c>
    </row>
    <row r="547" customFormat="false" ht="17.15" hidden="false" customHeight="false" outlineLevel="0" collapsed="false">
      <c r="A547" s="0" t="s">
        <v>9674</v>
      </c>
      <c r="B547" s="0" t="s">
        <v>9669</v>
      </c>
      <c r="C547" s="0" t="s">
        <v>9675</v>
      </c>
      <c r="D547" s="0" t="s">
        <v>7581</v>
      </c>
      <c r="E547" s="5" t="s">
        <v>81</v>
      </c>
      <c r="F547" s="0" t="s">
        <v>9676</v>
      </c>
      <c r="G547" s="0" t="s">
        <v>3371</v>
      </c>
      <c r="H547" s="0" t="s">
        <v>8241</v>
      </c>
      <c r="I547" s="0" t="s">
        <v>9677</v>
      </c>
      <c r="K547" s="0" t="s">
        <v>40</v>
      </c>
      <c r="L547" s="0" t="s">
        <v>9678</v>
      </c>
    </row>
    <row r="548" customFormat="false" ht="17.15" hidden="false" customHeight="false" outlineLevel="0" collapsed="false">
      <c r="A548" s="0" t="s">
        <v>9679</v>
      </c>
      <c r="B548" s="0" t="s">
        <v>9680</v>
      </c>
      <c r="C548" s="0" t="s">
        <v>9681</v>
      </c>
      <c r="D548" s="0" t="s">
        <v>7568</v>
      </c>
      <c r="E548" s="5" t="s">
        <v>81</v>
      </c>
      <c r="F548" s="0" t="s">
        <v>9682</v>
      </c>
      <c r="G548" s="0" t="s">
        <v>3371</v>
      </c>
      <c r="H548" s="0" t="s">
        <v>8176</v>
      </c>
      <c r="I548" s="0" t="s">
        <v>9683</v>
      </c>
      <c r="J548" s="0" t="s">
        <v>956</v>
      </c>
      <c r="K548" s="5" t="s">
        <v>7240</v>
      </c>
      <c r="L548" s="0" t="s">
        <v>9684</v>
      </c>
    </row>
    <row r="549" customFormat="false" ht="17.15" hidden="false" customHeight="false" outlineLevel="0" collapsed="false">
      <c r="A549" s="0" t="s">
        <v>9685</v>
      </c>
      <c r="B549" s="0" t="s">
        <v>9680</v>
      </c>
      <c r="C549" s="0" t="s">
        <v>9686</v>
      </c>
      <c r="D549" s="0" t="s">
        <v>7493</v>
      </c>
      <c r="E549" s="5" t="s">
        <v>81</v>
      </c>
      <c r="F549" s="0" t="s">
        <v>9687</v>
      </c>
      <c r="G549" s="0" t="s">
        <v>3371</v>
      </c>
      <c r="H549" s="0" t="s">
        <v>8224</v>
      </c>
      <c r="I549" s="0" t="s">
        <v>9688</v>
      </c>
      <c r="K549" s="0" t="s">
        <v>40</v>
      </c>
      <c r="L549" s="0" t="s">
        <v>9689</v>
      </c>
    </row>
    <row r="550" customFormat="false" ht="17.15" hidden="false" customHeight="false" outlineLevel="0" collapsed="false">
      <c r="A550" s="0" t="s">
        <v>9690</v>
      </c>
      <c r="B550" s="0" t="s">
        <v>9691</v>
      </c>
      <c r="C550" s="0" t="s">
        <v>9692</v>
      </c>
      <c r="D550" s="0" t="s">
        <v>8513</v>
      </c>
      <c r="E550" s="5" t="s">
        <v>81</v>
      </c>
      <c r="F550" s="0" t="s">
        <v>9693</v>
      </c>
      <c r="G550" s="0" t="s">
        <v>3371</v>
      </c>
      <c r="H550" s="0" t="s">
        <v>8219</v>
      </c>
      <c r="I550" s="5" t="s">
        <v>8948</v>
      </c>
      <c r="K550" s="0" t="s">
        <v>40</v>
      </c>
      <c r="L550" s="0" t="s">
        <v>9694</v>
      </c>
    </row>
    <row r="551" customFormat="false" ht="17.15" hidden="false" customHeight="false" outlineLevel="0" collapsed="false">
      <c r="A551" s="0" t="s">
        <v>9695</v>
      </c>
      <c r="B551" s="0" t="s">
        <v>9691</v>
      </c>
      <c r="C551" s="0" t="s">
        <v>9696</v>
      </c>
      <c r="D551" s="0" t="s">
        <v>7581</v>
      </c>
      <c r="E551" s="5" t="s">
        <v>81</v>
      </c>
      <c r="F551" s="0" t="s">
        <v>9693</v>
      </c>
      <c r="G551" s="0" t="s">
        <v>3371</v>
      </c>
      <c r="H551" s="0" t="s">
        <v>8219</v>
      </c>
      <c r="I551" s="5" t="s">
        <v>8948</v>
      </c>
      <c r="K551" s="0" t="s">
        <v>40</v>
      </c>
      <c r="L551" s="0" t="s">
        <v>9694</v>
      </c>
    </row>
    <row r="552" customFormat="false" ht="17.15" hidden="false" customHeight="false" outlineLevel="0" collapsed="false">
      <c r="A552" s="0" t="s">
        <v>9697</v>
      </c>
      <c r="B552" s="0" t="s">
        <v>9698</v>
      </c>
      <c r="C552" s="0" t="s">
        <v>9699</v>
      </c>
      <c r="D552" s="0" t="s">
        <v>7239</v>
      </c>
      <c r="E552" s="5" t="s">
        <v>81</v>
      </c>
      <c r="F552" s="0" t="s">
        <v>9602</v>
      </c>
      <c r="G552" s="0" t="s">
        <v>3371</v>
      </c>
      <c r="H552" s="0" t="s">
        <v>8176</v>
      </c>
      <c r="I552" s="0" t="s">
        <v>9700</v>
      </c>
      <c r="K552" s="0" t="s">
        <v>40</v>
      </c>
      <c r="L552" s="0" t="s">
        <v>9701</v>
      </c>
    </row>
    <row r="553" customFormat="false" ht="17.15" hidden="false" customHeight="false" outlineLevel="0" collapsed="false">
      <c r="A553" s="0" t="s">
        <v>9702</v>
      </c>
      <c r="B553" s="0" t="s">
        <v>9703</v>
      </c>
      <c r="C553" s="0" t="s">
        <v>9704</v>
      </c>
      <c r="D553" s="0" t="s">
        <v>9705</v>
      </c>
      <c r="E553" s="5" t="s">
        <v>81</v>
      </c>
      <c r="F553" s="0" t="s">
        <v>9602</v>
      </c>
      <c r="G553" s="0" t="s">
        <v>3371</v>
      </c>
      <c r="H553" s="0" t="s">
        <v>8176</v>
      </c>
      <c r="I553" s="0" t="s">
        <v>9706</v>
      </c>
      <c r="K553" s="0" t="s">
        <v>40</v>
      </c>
      <c r="L553" s="0" t="s">
        <v>9701</v>
      </c>
    </row>
    <row r="554" customFormat="false" ht="17.15" hidden="false" customHeight="false" outlineLevel="0" collapsed="false">
      <c r="A554" s="0" t="s">
        <v>9707</v>
      </c>
      <c r="B554" s="0" t="s">
        <v>9708</v>
      </c>
      <c r="C554" s="0" t="s">
        <v>9709</v>
      </c>
      <c r="D554" s="0" t="s">
        <v>9710</v>
      </c>
      <c r="E554" s="5" t="s">
        <v>81</v>
      </c>
      <c r="F554" s="0" t="s">
        <v>9711</v>
      </c>
      <c r="G554" s="0" t="s">
        <v>3371</v>
      </c>
      <c r="H554" s="0" t="s">
        <v>8176</v>
      </c>
      <c r="I554" s="0" t="s">
        <v>9712</v>
      </c>
      <c r="J554" s="0" t="s">
        <v>935</v>
      </c>
      <c r="K554" s="5" t="s">
        <v>3313</v>
      </c>
      <c r="L554" s="0" t="s">
        <v>9713</v>
      </c>
    </row>
    <row r="555" customFormat="false" ht="17.15" hidden="false" customHeight="false" outlineLevel="0" collapsed="false">
      <c r="A555" s="0" t="s">
        <v>9714</v>
      </c>
      <c r="B555" s="0" t="s">
        <v>9708</v>
      </c>
      <c r="C555" s="0" t="s">
        <v>9715</v>
      </c>
      <c r="D555" s="0" t="s">
        <v>9716</v>
      </c>
      <c r="E555" s="5" t="s">
        <v>81</v>
      </c>
      <c r="F555" s="0" t="s">
        <v>9717</v>
      </c>
      <c r="G555" s="0" t="s">
        <v>3327</v>
      </c>
      <c r="H555" s="0" t="s">
        <v>8176</v>
      </c>
      <c r="I555" s="0" t="s">
        <v>9718</v>
      </c>
      <c r="J555" s="0" t="s">
        <v>938</v>
      </c>
      <c r="K555" s="5" t="s">
        <v>3313</v>
      </c>
      <c r="L555" s="0" t="s">
        <v>9719</v>
      </c>
    </row>
    <row r="556" customFormat="false" ht="17.15" hidden="false" customHeight="false" outlineLevel="0" collapsed="false">
      <c r="A556" s="0" t="s">
        <v>9720</v>
      </c>
      <c r="B556" s="0" t="s">
        <v>9721</v>
      </c>
      <c r="C556" s="0" t="s">
        <v>9722</v>
      </c>
      <c r="D556" s="0" t="s">
        <v>8499</v>
      </c>
      <c r="E556" s="5" t="s">
        <v>81</v>
      </c>
      <c r="F556" s="0" t="s">
        <v>9723</v>
      </c>
      <c r="G556" s="0" t="s">
        <v>3371</v>
      </c>
      <c r="H556" s="0" t="s">
        <v>8176</v>
      </c>
      <c r="I556" s="0" t="s">
        <v>9724</v>
      </c>
      <c r="J556" s="0" t="s">
        <v>935</v>
      </c>
      <c r="K556" s="5" t="s">
        <v>3313</v>
      </c>
      <c r="L556" s="0" t="s">
        <v>9725</v>
      </c>
    </row>
    <row r="557" customFormat="false" ht="17.15" hidden="false" customHeight="false" outlineLevel="0" collapsed="false">
      <c r="A557" s="0" t="s">
        <v>9726</v>
      </c>
      <c r="B557" s="0" t="s">
        <v>9727</v>
      </c>
      <c r="C557" s="0" t="s">
        <v>9728</v>
      </c>
      <c r="D557" s="0" t="s">
        <v>8286</v>
      </c>
      <c r="E557" s="5" t="s">
        <v>81</v>
      </c>
      <c r="F557" s="0" t="s">
        <v>9723</v>
      </c>
      <c r="G557" s="0" t="s">
        <v>3371</v>
      </c>
      <c r="H557" s="0" t="s">
        <v>8176</v>
      </c>
      <c r="I557" s="5" t="s">
        <v>9729</v>
      </c>
      <c r="K557" s="0" t="s">
        <v>40</v>
      </c>
      <c r="L557" s="0" t="s">
        <v>9725</v>
      </c>
    </row>
    <row r="558" customFormat="false" ht="17.15" hidden="false" customHeight="false" outlineLevel="0" collapsed="false">
      <c r="A558" s="0" t="s">
        <v>9730</v>
      </c>
      <c r="B558" s="0" t="s">
        <v>9731</v>
      </c>
      <c r="C558" s="0" t="s">
        <v>9732</v>
      </c>
      <c r="D558" s="0" t="s">
        <v>9511</v>
      </c>
      <c r="E558" s="5" t="s">
        <v>81</v>
      </c>
      <c r="F558" s="0" t="s">
        <v>8235</v>
      </c>
      <c r="G558" s="0" t="s">
        <v>3371</v>
      </c>
      <c r="H558" s="0" t="s">
        <v>8208</v>
      </c>
      <c r="I558" s="5" t="s">
        <v>9733</v>
      </c>
      <c r="K558" s="0" t="s">
        <v>40</v>
      </c>
      <c r="L558" s="0" t="s">
        <v>9734</v>
      </c>
    </row>
    <row r="559" customFormat="false" ht="17.15" hidden="false" customHeight="false" outlineLevel="0" collapsed="false">
      <c r="A559" s="0" t="s">
        <v>9735</v>
      </c>
      <c r="B559" s="0" t="s">
        <v>9731</v>
      </c>
      <c r="C559" s="0" t="s">
        <v>9736</v>
      </c>
      <c r="D559" s="0" t="s">
        <v>117</v>
      </c>
      <c r="E559" s="5" t="s">
        <v>81</v>
      </c>
      <c r="F559" s="0" t="s">
        <v>9066</v>
      </c>
      <c r="G559" s="0" t="s">
        <v>3371</v>
      </c>
      <c r="H559" s="0" t="s">
        <v>8208</v>
      </c>
      <c r="I559" s="0" t="s">
        <v>9737</v>
      </c>
      <c r="K559" s="0" t="s">
        <v>40</v>
      </c>
      <c r="L559" s="0" t="s">
        <v>9738</v>
      </c>
    </row>
    <row r="560" customFormat="false" ht="17.15" hidden="false" customHeight="false" outlineLevel="0" collapsed="false">
      <c r="A560" s="0" t="s">
        <v>9739</v>
      </c>
      <c r="B560" s="0" t="s">
        <v>9740</v>
      </c>
      <c r="C560" s="0" t="s">
        <v>9741</v>
      </c>
      <c r="D560" s="0" t="s">
        <v>8499</v>
      </c>
      <c r="E560" s="5" t="s">
        <v>81</v>
      </c>
      <c r="F560" s="0" t="s">
        <v>9742</v>
      </c>
      <c r="G560" s="0" t="s">
        <v>3371</v>
      </c>
      <c r="H560" s="0" t="s">
        <v>8224</v>
      </c>
      <c r="I560" s="0" t="s">
        <v>9743</v>
      </c>
      <c r="K560" s="0" t="s">
        <v>40</v>
      </c>
      <c r="L560" s="0" t="s">
        <v>9744</v>
      </c>
    </row>
    <row r="561" customFormat="false" ht="17.15" hidden="false" customHeight="false" outlineLevel="0" collapsed="false">
      <c r="A561" s="0" t="s">
        <v>9745</v>
      </c>
      <c r="B561" s="0" t="s">
        <v>9740</v>
      </c>
      <c r="C561" s="0" t="s">
        <v>9746</v>
      </c>
      <c r="D561" s="0" t="s">
        <v>9511</v>
      </c>
      <c r="E561" s="5" t="s">
        <v>81</v>
      </c>
      <c r="F561" s="0" t="s">
        <v>9742</v>
      </c>
      <c r="G561" s="0" t="s">
        <v>3371</v>
      </c>
      <c r="H561" s="0" t="s">
        <v>8224</v>
      </c>
      <c r="I561" s="5" t="s">
        <v>9747</v>
      </c>
      <c r="K561" s="0" t="s">
        <v>40</v>
      </c>
      <c r="L561" s="0" t="s">
        <v>9744</v>
      </c>
    </row>
    <row r="562" customFormat="false" ht="17.15" hidden="false" customHeight="false" outlineLevel="0" collapsed="false">
      <c r="A562" s="0" t="s">
        <v>9748</v>
      </c>
      <c r="B562" s="0" t="s">
        <v>9740</v>
      </c>
      <c r="C562" s="0" t="s">
        <v>9749</v>
      </c>
      <c r="D562" s="0" t="s">
        <v>8527</v>
      </c>
      <c r="E562" s="5" t="s">
        <v>81</v>
      </c>
      <c r="F562" s="0" t="s">
        <v>9742</v>
      </c>
      <c r="G562" s="0" t="s">
        <v>3371</v>
      </c>
      <c r="H562" s="0" t="s">
        <v>8224</v>
      </c>
      <c r="I562" s="5" t="s">
        <v>9750</v>
      </c>
      <c r="K562" s="0" t="s">
        <v>40</v>
      </c>
      <c r="L562" s="0" t="s">
        <v>9744</v>
      </c>
    </row>
    <row r="563" customFormat="false" ht="17.15" hidden="false" customHeight="false" outlineLevel="0" collapsed="false">
      <c r="A563" s="0" t="s">
        <v>9751</v>
      </c>
      <c r="B563" s="0" t="s">
        <v>9740</v>
      </c>
      <c r="C563" s="0" t="s">
        <v>9752</v>
      </c>
      <c r="D563" s="0" t="s">
        <v>8527</v>
      </c>
      <c r="E563" s="5" t="s">
        <v>81</v>
      </c>
      <c r="F563" s="0" t="s">
        <v>9742</v>
      </c>
      <c r="G563" s="0" t="s">
        <v>3327</v>
      </c>
      <c r="H563" s="0" t="s">
        <v>8224</v>
      </c>
      <c r="I563" s="5" t="s">
        <v>9753</v>
      </c>
      <c r="K563" s="0" t="s">
        <v>40</v>
      </c>
      <c r="L563" s="0" t="s">
        <v>9744</v>
      </c>
    </row>
    <row r="564" customFormat="false" ht="17.15" hidden="false" customHeight="false" outlineLevel="0" collapsed="false">
      <c r="A564" s="0" t="s">
        <v>9754</v>
      </c>
      <c r="B564" s="0" t="s">
        <v>9755</v>
      </c>
      <c r="C564" s="0" t="s">
        <v>9756</v>
      </c>
      <c r="D564" s="0" t="s">
        <v>9757</v>
      </c>
      <c r="E564" s="5" t="s">
        <v>81</v>
      </c>
      <c r="F564" s="0" t="s">
        <v>9758</v>
      </c>
      <c r="G564" s="0" t="s">
        <v>3371</v>
      </c>
      <c r="H564" s="0" t="s">
        <v>8176</v>
      </c>
      <c r="I564" s="0" t="s">
        <v>9759</v>
      </c>
      <c r="K564" s="0" t="s">
        <v>40</v>
      </c>
      <c r="L564" s="0" t="s">
        <v>9760</v>
      </c>
    </row>
    <row r="565" customFormat="false" ht="17.15" hidden="false" customHeight="false" outlineLevel="0" collapsed="false">
      <c r="A565" s="0" t="s">
        <v>9761</v>
      </c>
      <c r="B565" s="0" t="s">
        <v>9740</v>
      </c>
      <c r="C565" s="0" t="s">
        <v>9762</v>
      </c>
      <c r="D565" s="0" t="s">
        <v>117</v>
      </c>
      <c r="E565" s="5" t="s">
        <v>81</v>
      </c>
      <c r="F565" s="0" t="s">
        <v>9763</v>
      </c>
      <c r="G565" s="0" t="s">
        <v>3371</v>
      </c>
      <c r="H565" s="0" t="s">
        <v>8176</v>
      </c>
      <c r="I565" s="0" t="s">
        <v>9764</v>
      </c>
      <c r="K565" s="0" t="s">
        <v>40</v>
      </c>
      <c r="L565" s="0" t="s">
        <v>9765</v>
      </c>
    </row>
    <row r="566" customFormat="false" ht="17.15" hidden="false" customHeight="false" outlineLevel="0" collapsed="false">
      <c r="A566" s="0" t="s">
        <v>9766</v>
      </c>
      <c r="B566" s="0" t="s">
        <v>9767</v>
      </c>
      <c r="C566" s="0" t="s">
        <v>9768</v>
      </c>
      <c r="D566" s="0" t="s">
        <v>9052</v>
      </c>
      <c r="E566" s="5" t="s">
        <v>81</v>
      </c>
      <c r="F566" s="0" t="s">
        <v>9769</v>
      </c>
      <c r="G566" s="0" t="s">
        <v>3371</v>
      </c>
      <c r="H566" s="0" t="s">
        <v>8176</v>
      </c>
      <c r="I566" s="5" t="s">
        <v>9770</v>
      </c>
      <c r="K566" s="0" t="s">
        <v>40</v>
      </c>
      <c r="L566" s="0" t="s">
        <v>9771</v>
      </c>
    </row>
    <row r="567" customFormat="false" ht="17.15" hidden="false" customHeight="false" outlineLevel="0" collapsed="false">
      <c r="A567" s="0" t="s">
        <v>9772</v>
      </c>
      <c r="B567" s="0" t="s">
        <v>9767</v>
      </c>
      <c r="C567" s="0" t="s">
        <v>9773</v>
      </c>
      <c r="D567" s="0" t="s">
        <v>9774</v>
      </c>
      <c r="E567" s="5" t="s">
        <v>81</v>
      </c>
      <c r="F567" s="0" t="s">
        <v>9769</v>
      </c>
      <c r="G567" s="0" t="s">
        <v>3371</v>
      </c>
      <c r="H567" s="0" t="s">
        <v>8224</v>
      </c>
      <c r="I567" s="0" t="s">
        <v>9775</v>
      </c>
      <c r="K567" s="0" t="s">
        <v>40</v>
      </c>
      <c r="L567" s="0" t="s">
        <v>9771</v>
      </c>
    </row>
    <row r="568" customFormat="false" ht="17.15" hidden="false" customHeight="false" outlineLevel="0" collapsed="false">
      <c r="A568" s="0" t="s">
        <v>9776</v>
      </c>
      <c r="B568" s="0" t="s">
        <v>9767</v>
      </c>
      <c r="C568" s="0" t="s">
        <v>9777</v>
      </c>
      <c r="D568" s="0" t="s">
        <v>8182</v>
      </c>
      <c r="E568" s="5" t="s">
        <v>81</v>
      </c>
      <c r="F568" s="0" t="s">
        <v>9769</v>
      </c>
      <c r="G568" s="0" t="s">
        <v>3371</v>
      </c>
      <c r="H568" s="0" t="s">
        <v>8224</v>
      </c>
      <c r="I568" s="0" t="s">
        <v>9778</v>
      </c>
      <c r="K568" s="0" t="s">
        <v>40</v>
      </c>
      <c r="L568" s="0" t="s">
        <v>9771</v>
      </c>
    </row>
    <row r="569" customFormat="false" ht="17.15" hidden="false" customHeight="false" outlineLevel="0" collapsed="false">
      <c r="A569" s="0" t="s">
        <v>9779</v>
      </c>
      <c r="B569" s="0" t="s">
        <v>9780</v>
      </c>
      <c r="C569" s="0" t="s">
        <v>9781</v>
      </c>
      <c r="D569" s="0" t="s">
        <v>9099</v>
      </c>
      <c r="E569" s="0" t="s">
        <v>116</v>
      </c>
      <c r="F569" s="5" t="s">
        <v>8977</v>
      </c>
      <c r="G569" s="0" t="s">
        <v>3371</v>
      </c>
      <c r="H569" s="0" t="s">
        <v>8176</v>
      </c>
      <c r="I569" s="0" t="s">
        <v>9782</v>
      </c>
      <c r="K569" s="0" t="s">
        <v>40</v>
      </c>
      <c r="L569" s="0" t="s">
        <v>9783</v>
      </c>
    </row>
    <row r="570" customFormat="false" ht="17.15" hidden="false" customHeight="false" outlineLevel="0" collapsed="false">
      <c r="A570" s="0" t="s">
        <v>9784</v>
      </c>
      <c r="B570" s="0" t="s">
        <v>9785</v>
      </c>
      <c r="C570" s="0" t="s">
        <v>9786</v>
      </c>
      <c r="D570" s="0" t="s">
        <v>9511</v>
      </c>
      <c r="E570" s="0" t="s">
        <v>116</v>
      </c>
      <c r="F570" s="5" t="s">
        <v>8977</v>
      </c>
      <c r="G570" s="0" t="s">
        <v>3371</v>
      </c>
      <c r="H570" s="0" t="s">
        <v>8176</v>
      </c>
      <c r="I570" s="0" t="s">
        <v>9787</v>
      </c>
      <c r="K570" s="0" t="s">
        <v>40</v>
      </c>
      <c r="L570" s="0" t="s">
        <v>9783</v>
      </c>
    </row>
    <row r="571" customFormat="false" ht="17.15" hidden="false" customHeight="false" outlineLevel="0" collapsed="false">
      <c r="A571" s="0" t="s">
        <v>9788</v>
      </c>
      <c r="B571" s="0" t="s">
        <v>9780</v>
      </c>
      <c r="C571" s="0" t="s">
        <v>9789</v>
      </c>
      <c r="D571" s="0" t="s">
        <v>117</v>
      </c>
      <c r="E571" s="5" t="s">
        <v>81</v>
      </c>
      <c r="F571" s="5" t="s">
        <v>8977</v>
      </c>
      <c r="G571" s="0" t="s">
        <v>3371</v>
      </c>
      <c r="H571" s="0" t="s">
        <v>8224</v>
      </c>
      <c r="I571" s="5" t="s">
        <v>9790</v>
      </c>
      <c r="K571" s="0" t="s">
        <v>40</v>
      </c>
      <c r="L571" s="0" t="s">
        <v>9783</v>
      </c>
    </row>
    <row r="572" customFormat="false" ht="17.15" hidden="false" customHeight="false" outlineLevel="0" collapsed="false">
      <c r="A572" s="0" t="s">
        <v>9791</v>
      </c>
      <c r="B572" s="0" t="s">
        <v>9792</v>
      </c>
      <c r="C572" s="0" t="s">
        <v>9793</v>
      </c>
      <c r="D572" s="0" t="s">
        <v>9794</v>
      </c>
      <c r="E572" s="5" t="s">
        <v>81</v>
      </c>
      <c r="F572" s="0" t="s">
        <v>124</v>
      </c>
      <c r="G572" s="0" t="s">
        <v>3371</v>
      </c>
      <c r="H572" s="0" t="s">
        <v>8176</v>
      </c>
      <c r="I572" s="0" t="s">
        <v>9795</v>
      </c>
      <c r="K572" s="0" t="s">
        <v>40</v>
      </c>
      <c r="L572" s="0" t="s">
        <v>9796</v>
      </c>
    </row>
    <row r="573" customFormat="false" ht="17.15" hidden="false" customHeight="false" outlineLevel="0" collapsed="false">
      <c r="A573" s="0" t="s">
        <v>9797</v>
      </c>
      <c r="B573" s="0" t="s">
        <v>9792</v>
      </c>
      <c r="C573" s="0" t="s">
        <v>9798</v>
      </c>
      <c r="D573" s="0" t="s">
        <v>9799</v>
      </c>
      <c r="E573" s="5" t="s">
        <v>81</v>
      </c>
      <c r="F573" s="0" t="s">
        <v>124</v>
      </c>
      <c r="G573" s="0" t="s">
        <v>3371</v>
      </c>
      <c r="H573" s="0" t="s">
        <v>8176</v>
      </c>
      <c r="I573" s="0" t="s">
        <v>9800</v>
      </c>
      <c r="K573" s="0" t="s">
        <v>40</v>
      </c>
      <c r="L573" s="0" t="s">
        <v>9796</v>
      </c>
    </row>
    <row r="574" customFormat="false" ht="17.15" hidden="false" customHeight="false" outlineLevel="0" collapsed="false">
      <c r="A574" s="0" t="s">
        <v>9801</v>
      </c>
      <c r="B574" s="0" t="s">
        <v>9792</v>
      </c>
      <c r="C574" s="0" t="s">
        <v>9802</v>
      </c>
      <c r="D574" s="0" t="s">
        <v>8940</v>
      </c>
      <c r="E574" s="5" t="s">
        <v>81</v>
      </c>
      <c r="F574" s="0" t="s">
        <v>124</v>
      </c>
      <c r="G574" s="0" t="s">
        <v>3371</v>
      </c>
      <c r="H574" s="0" t="s">
        <v>8208</v>
      </c>
      <c r="I574" s="0" t="s">
        <v>9803</v>
      </c>
      <c r="K574" s="0" t="s">
        <v>40</v>
      </c>
      <c r="L574" s="0" t="s">
        <v>9804</v>
      </c>
    </row>
    <row r="575" customFormat="false" ht="17.15" hidden="false" customHeight="false" outlineLevel="0" collapsed="false">
      <c r="A575" s="0" t="s">
        <v>9805</v>
      </c>
      <c r="B575" s="0" t="s">
        <v>9792</v>
      </c>
      <c r="C575" s="0" t="s">
        <v>9806</v>
      </c>
      <c r="D575" s="0" t="s">
        <v>7739</v>
      </c>
      <c r="E575" s="5" t="s">
        <v>81</v>
      </c>
      <c r="F575" s="0" t="s">
        <v>124</v>
      </c>
      <c r="G575" s="0" t="s">
        <v>3371</v>
      </c>
      <c r="H575" s="0" t="s">
        <v>8241</v>
      </c>
      <c r="I575" s="5" t="s">
        <v>9807</v>
      </c>
      <c r="K575" s="0" t="s">
        <v>40</v>
      </c>
      <c r="L575" s="0" t="s">
        <v>9808</v>
      </c>
    </row>
    <row r="576" customFormat="false" ht="17.15" hidden="false" customHeight="false" outlineLevel="0" collapsed="false">
      <c r="A576" s="0" t="s">
        <v>9809</v>
      </c>
      <c r="B576" s="0" t="s">
        <v>9792</v>
      </c>
      <c r="C576" s="0" t="s">
        <v>9810</v>
      </c>
      <c r="D576" s="0" t="s">
        <v>9511</v>
      </c>
      <c r="E576" s="5" t="s">
        <v>81</v>
      </c>
      <c r="F576" s="0" t="s">
        <v>124</v>
      </c>
      <c r="G576" s="0" t="s">
        <v>3371</v>
      </c>
      <c r="H576" s="0" t="s">
        <v>8241</v>
      </c>
      <c r="I576" s="5" t="s">
        <v>9811</v>
      </c>
      <c r="K576" s="0" t="s">
        <v>40</v>
      </c>
      <c r="L576" s="0" t="s">
        <v>9808</v>
      </c>
    </row>
    <row r="577" customFormat="false" ht="17.15" hidden="false" customHeight="false" outlineLevel="0" collapsed="false">
      <c r="A577" s="0" t="s">
        <v>9812</v>
      </c>
      <c r="B577" s="0" t="s">
        <v>9813</v>
      </c>
      <c r="C577" s="0" t="s">
        <v>9814</v>
      </c>
      <c r="D577" s="0" t="s">
        <v>9815</v>
      </c>
      <c r="E577" s="5" t="s">
        <v>81</v>
      </c>
      <c r="F577" s="0" t="s">
        <v>9816</v>
      </c>
      <c r="G577" s="0" t="s">
        <v>3371</v>
      </c>
      <c r="H577" s="0" t="s">
        <v>8176</v>
      </c>
      <c r="I577" s="0" t="s">
        <v>9817</v>
      </c>
      <c r="K577" s="0" t="s">
        <v>40</v>
      </c>
      <c r="L577" s="0" t="s">
        <v>9818</v>
      </c>
    </row>
    <row r="578" customFormat="false" ht="17.15" hidden="false" customHeight="false" outlineLevel="0" collapsed="false">
      <c r="A578" s="0" t="s">
        <v>9819</v>
      </c>
      <c r="B578" s="0" t="s">
        <v>9813</v>
      </c>
      <c r="C578" s="0" t="s">
        <v>9820</v>
      </c>
      <c r="D578" s="0" t="s">
        <v>7739</v>
      </c>
      <c r="E578" s="5" t="s">
        <v>81</v>
      </c>
      <c r="F578" s="0" t="s">
        <v>9821</v>
      </c>
      <c r="G578" s="0" t="s">
        <v>3371</v>
      </c>
      <c r="H578" s="0" t="s">
        <v>8176</v>
      </c>
      <c r="I578" s="5" t="s">
        <v>9822</v>
      </c>
      <c r="K578" s="0" t="s">
        <v>40</v>
      </c>
      <c r="L578" s="0" t="s">
        <v>9823</v>
      </c>
    </row>
    <row r="579" customFormat="false" ht="17.15" hidden="false" customHeight="false" outlineLevel="0" collapsed="false">
      <c r="A579" s="0" t="s">
        <v>9824</v>
      </c>
      <c r="B579" s="0" t="s">
        <v>9813</v>
      </c>
      <c r="C579" s="0" t="s">
        <v>9825</v>
      </c>
      <c r="D579" s="0" t="s">
        <v>9285</v>
      </c>
      <c r="E579" s="5" t="s">
        <v>81</v>
      </c>
      <c r="F579" s="0" t="s">
        <v>9821</v>
      </c>
      <c r="G579" s="0" t="s">
        <v>3371</v>
      </c>
      <c r="H579" s="0" t="s">
        <v>8176</v>
      </c>
      <c r="I579" s="0" t="s">
        <v>9826</v>
      </c>
      <c r="K579" s="0" t="s">
        <v>40</v>
      </c>
      <c r="L579" s="0" t="s">
        <v>9823</v>
      </c>
    </row>
    <row r="580" customFormat="false" ht="17.15" hidden="false" customHeight="false" outlineLevel="0" collapsed="false">
      <c r="A580" s="0" t="s">
        <v>9827</v>
      </c>
      <c r="B580" s="0" t="s">
        <v>8462</v>
      </c>
      <c r="C580" s="0" t="s">
        <v>9828</v>
      </c>
      <c r="D580" s="0" t="s">
        <v>7493</v>
      </c>
      <c r="E580" s="0" t="s">
        <v>116</v>
      </c>
      <c r="F580" s="0" t="s">
        <v>3833</v>
      </c>
      <c r="G580" s="0" t="s">
        <v>3371</v>
      </c>
      <c r="H580" s="0" t="s">
        <v>8176</v>
      </c>
      <c r="I580" s="0" t="s">
        <v>9829</v>
      </c>
      <c r="K580" s="0" t="s">
        <v>40</v>
      </c>
      <c r="L580" s="0" t="s">
        <v>9830</v>
      </c>
    </row>
    <row r="581" customFormat="false" ht="17.15" hidden="false" customHeight="false" outlineLevel="0" collapsed="false">
      <c r="A581" s="0" t="s">
        <v>9831</v>
      </c>
      <c r="B581" s="0" t="s">
        <v>9832</v>
      </c>
      <c r="C581" s="0" t="s">
        <v>9833</v>
      </c>
      <c r="D581" s="0" t="s">
        <v>9834</v>
      </c>
      <c r="E581" s="5" t="s">
        <v>81</v>
      </c>
      <c r="F581" s="0" t="s">
        <v>9835</v>
      </c>
      <c r="G581" s="0" t="s">
        <v>3317</v>
      </c>
      <c r="H581" s="0" t="s">
        <v>8176</v>
      </c>
      <c r="I581" s="0" t="s">
        <v>9836</v>
      </c>
      <c r="K581" s="0" t="s">
        <v>40</v>
      </c>
      <c r="L581" s="0" t="s">
        <v>9837</v>
      </c>
    </row>
    <row r="582" customFormat="false" ht="17.15" hidden="false" customHeight="false" outlineLevel="0" collapsed="false">
      <c r="A582" s="0" t="s">
        <v>9838</v>
      </c>
      <c r="B582" s="0" t="s">
        <v>9832</v>
      </c>
      <c r="C582" s="0" t="s">
        <v>9839</v>
      </c>
      <c r="D582" s="0" t="s">
        <v>8711</v>
      </c>
      <c r="E582" s="0" t="s">
        <v>116</v>
      </c>
      <c r="F582" s="0" t="s">
        <v>9840</v>
      </c>
      <c r="G582" s="0" t="s">
        <v>3371</v>
      </c>
      <c r="H582" s="0" t="s">
        <v>8176</v>
      </c>
      <c r="I582" s="0" t="s">
        <v>9841</v>
      </c>
      <c r="K582" s="0" t="s">
        <v>40</v>
      </c>
      <c r="L582" s="0" t="s">
        <v>9842</v>
      </c>
    </row>
    <row r="583" customFormat="false" ht="17.15" hidden="false" customHeight="false" outlineLevel="0" collapsed="false">
      <c r="A583" s="0" t="s">
        <v>9843</v>
      </c>
      <c r="B583" s="0" t="s">
        <v>8462</v>
      </c>
      <c r="C583" s="0" t="s">
        <v>9844</v>
      </c>
      <c r="D583" s="0" t="s">
        <v>117</v>
      </c>
      <c r="E583" s="5" t="s">
        <v>81</v>
      </c>
      <c r="G583" s="0" t="s">
        <v>7197</v>
      </c>
      <c r="H583" s="0" t="s">
        <v>8224</v>
      </c>
      <c r="I583" s="5" t="s">
        <v>9845</v>
      </c>
      <c r="K583" s="0" t="s">
        <v>40</v>
      </c>
      <c r="L583" s="0" t="s">
        <v>9846</v>
      </c>
    </row>
    <row r="584" customFormat="false" ht="17.15" hidden="false" customHeight="false" outlineLevel="0" collapsed="false">
      <c r="A584" s="0" t="s">
        <v>9847</v>
      </c>
      <c r="B584" s="0" t="s">
        <v>9848</v>
      </c>
      <c r="C584" s="0" t="s">
        <v>9849</v>
      </c>
      <c r="D584" s="0" t="s">
        <v>9850</v>
      </c>
      <c r="E584" s="5" t="s">
        <v>81</v>
      </c>
      <c r="F584" s="0" t="s">
        <v>3828</v>
      </c>
      <c r="G584" s="0" t="s">
        <v>3371</v>
      </c>
      <c r="H584" s="0" t="s">
        <v>8208</v>
      </c>
      <c r="I584" s="5" t="s">
        <v>9851</v>
      </c>
      <c r="K584" s="0" t="s">
        <v>40</v>
      </c>
      <c r="L584" s="0" t="s">
        <v>9852</v>
      </c>
    </row>
    <row r="585" customFormat="false" ht="17.15" hidden="false" customHeight="false" outlineLevel="0" collapsed="false">
      <c r="A585" s="0" t="s">
        <v>9853</v>
      </c>
      <c r="B585" s="0" t="s">
        <v>9848</v>
      </c>
      <c r="C585" s="0" t="s">
        <v>9854</v>
      </c>
      <c r="D585" s="0" t="s">
        <v>7433</v>
      </c>
      <c r="E585" s="5" t="s">
        <v>81</v>
      </c>
      <c r="F585" s="0" t="s">
        <v>9036</v>
      </c>
      <c r="G585" s="0" t="s">
        <v>3371</v>
      </c>
      <c r="H585" s="0" t="s">
        <v>8176</v>
      </c>
      <c r="I585" s="0" t="s">
        <v>9855</v>
      </c>
      <c r="K585" s="0" t="s">
        <v>40</v>
      </c>
      <c r="L585" s="0" t="s">
        <v>9856</v>
      </c>
    </row>
    <row r="586" customFormat="false" ht="17.15" hidden="false" customHeight="false" outlineLevel="0" collapsed="false">
      <c r="A586" s="0" t="s">
        <v>9857</v>
      </c>
      <c r="B586" s="0" t="s">
        <v>9858</v>
      </c>
      <c r="C586" s="0" t="s">
        <v>9859</v>
      </c>
      <c r="D586" s="0" t="s">
        <v>9860</v>
      </c>
      <c r="E586" s="0" t="s">
        <v>116</v>
      </c>
      <c r="G586" s="0" t="s">
        <v>3371</v>
      </c>
      <c r="H586" s="0" t="s">
        <v>8208</v>
      </c>
      <c r="I586" s="5" t="s">
        <v>9861</v>
      </c>
      <c r="K586" s="0" t="s">
        <v>40</v>
      </c>
      <c r="L586" s="0" t="s">
        <v>9862</v>
      </c>
    </row>
    <row r="587" customFormat="false" ht="17.15" hidden="false" customHeight="false" outlineLevel="0" collapsed="false">
      <c r="A587" s="0" t="s">
        <v>9863</v>
      </c>
      <c r="B587" s="0" t="s">
        <v>9848</v>
      </c>
      <c r="C587" s="0" t="s">
        <v>9864</v>
      </c>
      <c r="D587" s="0" t="s">
        <v>9268</v>
      </c>
      <c r="E587" s="0" t="s">
        <v>116</v>
      </c>
      <c r="F587" s="0" t="s">
        <v>7169</v>
      </c>
      <c r="G587" s="0" t="s">
        <v>3317</v>
      </c>
      <c r="H587" s="0" t="s">
        <v>8202</v>
      </c>
      <c r="I587" s="5" t="s">
        <v>9865</v>
      </c>
      <c r="K587" s="0" t="s">
        <v>40</v>
      </c>
      <c r="L587" s="0" t="s">
        <v>9866</v>
      </c>
    </row>
    <row r="588" customFormat="false" ht="17.15" hidden="false" customHeight="false" outlineLevel="0" collapsed="false">
      <c r="A588" s="0" t="s">
        <v>9867</v>
      </c>
      <c r="B588" s="0" t="s">
        <v>9848</v>
      </c>
      <c r="C588" s="0" t="s">
        <v>9868</v>
      </c>
      <c r="D588" s="0" t="s">
        <v>9869</v>
      </c>
      <c r="E588" s="0" t="s">
        <v>116</v>
      </c>
      <c r="F588" s="0" t="s">
        <v>7169</v>
      </c>
      <c r="G588" s="0" t="s">
        <v>3317</v>
      </c>
      <c r="H588" s="0" t="s">
        <v>8208</v>
      </c>
      <c r="I588" s="0" t="s">
        <v>9870</v>
      </c>
      <c r="K588" s="0" t="s">
        <v>40</v>
      </c>
      <c r="L588" s="0" t="s">
        <v>9866</v>
      </c>
    </row>
    <row r="589" customFormat="false" ht="17.15" hidden="false" customHeight="false" outlineLevel="0" collapsed="false">
      <c r="A589" s="0" t="s">
        <v>9871</v>
      </c>
      <c r="B589" s="0" t="s">
        <v>9848</v>
      </c>
      <c r="C589" s="0" t="s">
        <v>9872</v>
      </c>
      <c r="D589" s="0" t="s">
        <v>117</v>
      </c>
      <c r="E589" s="5" t="s">
        <v>81</v>
      </c>
      <c r="G589" s="0" t="s">
        <v>3371</v>
      </c>
      <c r="H589" s="0" t="s">
        <v>8224</v>
      </c>
      <c r="I589" s="5" t="s">
        <v>9873</v>
      </c>
      <c r="K589" s="0" t="s">
        <v>40</v>
      </c>
      <c r="L589" s="0" t="s">
        <v>9874</v>
      </c>
    </row>
    <row r="590" customFormat="false" ht="17.15" hidden="false" customHeight="false" outlineLevel="0" collapsed="false">
      <c r="A590" s="0" t="s">
        <v>9875</v>
      </c>
      <c r="B590" s="0" t="s">
        <v>9876</v>
      </c>
      <c r="C590" s="0" t="s">
        <v>9877</v>
      </c>
      <c r="D590" s="0" t="s">
        <v>117</v>
      </c>
      <c r="E590" s="5" t="s">
        <v>81</v>
      </c>
      <c r="F590" s="0" t="s">
        <v>9878</v>
      </c>
      <c r="G590" s="0" t="s">
        <v>3317</v>
      </c>
      <c r="H590" s="0" t="s">
        <v>8176</v>
      </c>
      <c r="I590" s="5" t="s">
        <v>9879</v>
      </c>
      <c r="K590" s="0" t="s">
        <v>40</v>
      </c>
      <c r="L590" s="0" t="s">
        <v>9880</v>
      </c>
    </row>
    <row r="591" customFormat="false" ht="17.15" hidden="false" customHeight="false" outlineLevel="0" collapsed="false">
      <c r="A591" s="0" t="s">
        <v>9881</v>
      </c>
      <c r="B591" s="0" t="s">
        <v>9882</v>
      </c>
      <c r="C591" s="0" t="s">
        <v>9883</v>
      </c>
      <c r="D591" s="0" t="s">
        <v>9884</v>
      </c>
      <c r="E591" s="5" t="s">
        <v>81</v>
      </c>
      <c r="F591" s="0" t="s">
        <v>9478</v>
      </c>
      <c r="G591" s="0" t="s">
        <v>3317</v>
      </c>
      <c r="H591" s="0" t="s">
        <v>8208</v>
      </c>
      <c r="I591" s="0" t="s">
        <v>9885</v>
      </c>
      <c r="K591" s="0" t="s">
        <v>40</v>
      </c>
      <c r="L591" s="0" t="s">
        <v>9886</v>
      </c>
    </row>
    <row r="592" customFormat="false" ht="17.15" hidden="false" customHeight="false" outlineLevel="0" collapsed="false">
      <c r="A592" s="0" t="s">
        <v>9887</v>
      </c>
      <c r="B592" s="0" t="s">
        <v>9882</v>
      </c>
      <c r="C592" s="0" t="s">
        <v>9888</v>
      </c>
      <c r="D592" s="0" t="s">
        <v>9889</v>
      </c>
      <c r="E592" s="5" t="s">
        <v>81</v>
      </c>
      <c r="F592" s="0" t="s">
        <v>9036</v>
      </c>
      <c r="G592" s="0" t="s">
        <v>3317</v>
      </c>
      <c r="H592" s="0" t="s">
        <v>8208</v>
      </c>
      <c r="I592" s="0" t="s">
        <v>9890</v>
      </c>
      <c r="K592" s="0" t="s">
        <v>40</v>
      </c>
      <c r="L592" s="0" t="s">
        <v>9891</v>
      </c>
    </row>
    <row r="593" customFormat="false" ht="17.15" hidden="false" customHeight="false" outlineLevel="0" collapsed="false">
      <c r="A593" s="0" t="s">
        <v>9892</v>
      </c>
      <c r="B593" s="0" t="s">
        <v>9893</v>
      </c>
      <c r="C593" s="0" t="s">
        <v>9894</v>
      </c>
      <c r="D593" s="0" t="s">
        <v>9895</v>
      </c>
      <c r="E593" s="0" t="s">
        <v>116</v>
      </c>
      <c r="F593" s="0" t="s">
        <v>6925</v>
      </c>
      <c r="G593" s="0" t="s">
        <v>3371</v>
      </c>
      <c r="H593" s="0" t="s">
        <v>8224</v>
      </c>
      <c r="I593" s="0" t="s">
        <v>9896</v>
      </c>
      <c r="K593" s="0" t="s">
        <v>40</v>
      </c>
      <c r="L593" s="0" t="s">
        <v>9897</v>
      </c>
    </row>
    <row r="594" customFormat="false" ht="17.15" hidden="false" customHeight="false" outlineLevel="0" collapsed="false">
      <c r="A594" s="0" t="s">
        <v>9898</v>
      </c>
      <c r="B594" s="0" t="s">
        <v>9899</v>
      </c>
      <c r="C594" s="0" t="s">
        <v>9900</v>
      </c>
      <c r="D594" s="0" t="s">
        <v>9901</v>
      </c>
      <c r="E594" s="0" t="s">
        <v>116</v>
      </c>
      <c r="F594" s="0" t="s">
        <v>9902</v>
      </c>
      <c r="G594" s="0" t="s">
        <v>3317</v>
      </c>
      <c r="H594" s="0" t="s">
        <v>8208</v>
      </c>
      <c r="I594" s="0" t="s">
        <v>9903</v>
      </c>
      <c r="K594" s="0" t="s">
        <v>40</v>
      </c>
      <c r="L594" s="0" t="s">
        <v>9904</v>
      </c>
    </row>
    <row r="595" customFormat="false" ht="17.15" hidden="false" customHeight="false" outlineLevel="0" collapsed="false">
      <c r="A595" s="0" t="s">
        <v>9905</v>
      </c>
      <c r="B595" s="0" t="s">
        <v>9893</v>
      </c>
      <c r="C595" s="0" t="s">
        <v>9906</v>
      </c>
      <c r="D595" s="0" t="s">
        <v>8513</v>
      </c>
      <c r="E595" s="0" t="s">
        <v>116</v>
      </c>
      <c r="F595" s="0" t="s">
        <v>9902</v>
      </c>
      <c r="G595" s="0" t="s">
        <v>3317</v>
      </c>
      <c r="H595" s="0" t="s">
        <v>8208</v>
      </c>
      <c r="I595" s="0" t="s">
        <v>9907</v>
      </c>
      <c r="K595" s="0" t="s">
        <v>40</v>
      </c>
      <c r="L595" s="0" t="s">
        <v>9904</v>
      </c>
    </row>
    <row r="596" customFormat="false" ht="17.15" hidden="false" customHeight="false" outlineLevel="0" collapsed="false">
      <c r="A596" s="0" t="s">
        <v>9908</v>
      </c>
      <c r="B596" s="0" t="s">
        <v>9909</v>
      </c>
      <c r="C596" s="0" t="s">
        <v>9910</v>
      </c>
      <c r="D596" s="0" t="s">
        <v>9911</v>
      </c>
      <c r="E596" s="5" t="s">
        <v>81</v>
      </c>
      <c r="F596" s="0" t="s">
        <v>9002</v>
      </c>
      <c r="G596" s="0" t="s">
        <v>3317</v>
      </c>
      <c r="H596" s="0" t="s">
        <v>8176</v>
      </c>
      <c r="I596" s="0" t="s">
        <v>9912</v>
      </c>
      <c r="K596" s="0" t="s">
        <v>40</v>
      </c>
      <c r="L596" s="0" t="s">
        <v>9913</v>
      </c>
    </row>
    <row r="597" customFormat="false" ht="17.15" hidden="false" customHeight="false" outlineLevel="0" collapsed="false">
      <c r="A597" s="0" t="s">
        <v>9914</v>
      </c>
      <c r="B597" s="0" t="s">
        <v>9909</v>
      </c>
      <c r="C597" s="0" t="s">
        <v>9915</v>
      </c>
      <c r="D597" s="0" t="s">
        <v>117</v>
      </c>
      <c r="E597" s="5" t="s">
        <v>81</v>
      </c>
      <c r="F597" s="0" t="s">
        <v>8183</v>
      </c>
      <c r="G597" s="0" t="s">
        <v>3371</v>
      </c>
      <c r="H597" s="0" t="s">
        <v>8241</v>
      </c>
      <c r="I597" s="5" t="s">
        <v>9916</v>
      </c>
      <c r="K597" s="0" t="s">
        <v>40</v>
      </c>
      <c r="L597" s="0" t="s">
        <v>9917</v>
      </c>
    </row>
    <row r="598" customFormat="false" ht="17.15" hidden="false" customHeight="false" outlineLevel="0" collapsed="false">
      <c r="A598" s="0" t="s">
        <v>9918</v>
      </c>
      <c r="B598" s="0" t="s">
        <v>9882</v>
      </c>
      <c r="C598" s="0" t="s">
        <v>9919</v>
      </c>
      <c r="D598" s="0" t="s">
        <v>9920</v>
      </c>
      <c r="E598" s="0" t="s">
        <v>116</v>
      </c>
      <c r="F598" s="0" t="s">
        <v>8441</v>
      </c>
      <c r="G598" s="0" t="s">
        <v>3371</v>
      </c>
      <c r="H598" s="0" t="s">
        <v>8241</v>
      </c>
      <c r="I598" s="0" t="s">
        <v>9921</v>
      </c>
      <c r="K598" s="0" t="s">
        <v>40</v>
      </c>
      <c r="L598" s="0" t="s">
        <v>9922</v>
      </c>
    </row>
    <row r="599" customFormat="false" ht="17.15" hidden="false" customHeight="false" outlineLevel="0" collapsed="false">
      <c r="A599" s="0" t="s">
        <v>9923</v>
      </c>
      <c r="B599" s="0" t="s">
        <v>9882</v>
      </c>
      <c r="C599" s="0" t="s">
        <v>9924</v>
      </c>
      <c r="D599" s="0" t="s">
        <v>9925</v>
      </c>
      <c r="E599" s="5" t="s">
        <v>81</v>
      </c>
      <c r="F599" s="0" t="s">
        <v>8907</v>
      </c>
      <c r="G599" s="0" t="s">
        <v>3317</v>
      </c>
      <c r="H599" s="0" t="s">
        <v>8208</v>
      </c>
      <c r="I599" s="0" t="s">
        <v>9926</v>
      </c>
      <c r="K599" s="0" t="s">
        <v>40</v>
      </c>
      <c r="L599" s="0" t="s">
        <v>9927</v>
      </c>
    </row>
    <row r="600" customFormat="false" ht="17.15" hidden="false" customHeight="false" outlineLevel="0" collapsed="false">
      <c r="A600" s="0" t="s">
        <v>9928</v>
      </c>
      <c r="B600" s="0" t="s">
        <v>9882</v>
      </c>
      <c r="C600" s="0" t="s">
        <v>9929</v>
      </c>
      <c r="D600" s="0" t="s">
        <v>9930</v>
      </c>
      <c r="E600" s="5" t="s">
        <v>81</v>
      </c>
      <c r="F600" s="0" t="s">
        <v>9931</v>
      </c>
      <c r="G600" s="0" t="s">
        <v>3327</v>
      </c>
      <c r="H600" s="0" t="s">
        <v>8176</v>
      </c>
      <c r="I600" s="0" t="s">
        <v>9932</v>
      </c>
      <c r="K600" s="0" t="s">
        <v>40</v>
      </c>
      <c r="L600" s="0" t="s">
        <v>9933</v>
      </c>
    </row>
    <row r="601" customFormat="false" ht="17.15" hidden="false" customHeight="false" outlineLevel="0" collapsed="false">
      <c r="A601" s="0" t="s">
        <v>9934</v>
      </c>
      <c r="B601" s="0" t="s">
        <v>9882</v>
      </c>
      <c r="C601" s="0" t="s">
        <v>9935</v>
      </c>
      <c r="D601" s="0" t="s">
        <v>7493</v>
      </c>
      <c r="E601" s="5" t="s">
        <v>81</v>
      </c>
      <c r="F601" s="0" t="s">
        <v>8907</v>
      </c>
      <c r="G601" s="0" t="s">
        <v>3371</v>
      </c>
      <c r="H601" s="0" t="s">
        <v>8224</v>
      </c>
      <c r="I601" s="5" t="s">
        <v>9936</v>
      </c>
      <c r="K601" s="0" t="s">
        <v>40</v>
      </c>
      <c r="L601" s="0" t="s">
        <v>9927</v>
      </c>
    </row>
    <row r="602" customFormat="false" ht="17.15" hidden="false" customHeight="false" outlineLevel="0" collapsed="false">
      <c r="A602" s="0" t="s">
        <v>9937</v>
      </c>
      <c r="B602" s="0" t="s">
        <v>9938</v>
      </c>
      <c r="C602" s="0" t="s">
        <v>9939</v>
      </c>
      <c r="D602" s="0" t="s">
        <v>8679</v>
      </c>
      <c r="E602" s="5" t="s">
        <v>81</v>
      </c>
      <c r="F602" s="0" t="s">
        <v>9036</v>
      </c>
      <c r="G602" s="0" t="s">
        <v>3371</v>
      </c>
      <c r="H602" s="0" t="s">
        <v>8224</v>
      </c>
      <c r="I602" s="0" t="s">
        <v>9940</v>
      </c>
      <c r="K602" s="0" t="s">
        <v>40</v>
      </c>
      <c r="L602" s="0" t="s">
        <v>9891</v>
      </c>
    </row>
    <row r="603" customFormat="false" ht="17.15" hidden="false" customHeight="false" outlineLevel="0" collapsed="false">
      <c r="A603" s="0" t="s">
        <v>9941</v>
      </c>
      <c r="B603" s="0" t="s">
        <v>9938</v>
      </c>
      <c r="C603" s="0" t="s">
        <v>9942</v>
      </c>
      <c r="D603" s="0" t="s">
        <v>117</v>
      </c>
      <c r="E603" s="5" t="s">
        <v>81</v>
      </c>
      <c r="F603" s="0" t="s">
        <v>9943</v>
      </c>
      <c r="G603" s="0" t="s">
        <v>3371</v>
      </c>
      <c r="H603" s="0" t="s">
        <v>8176</v>
      </c>
      <c r="I603" s="5" t="s">
        <v>9944</v>
      </c>
      <c r="K603" s="0" t="s">
        <v>40</v>
      </c>
      <c r="L603" s="0" t="s">
        <v>9945</v>
      </c>
    </row>
    <row r="604" customFormat="false" ht="17.15" hidden="false" customHeight="false" outlineLevel="0" collapsed="false">
      <c r="A604" s="0" t="s">
        <v>9946</v>
      </c>
      <c r="B604" s="0" t="s">
        <v>9938</v>
      </c>
      <c r="C604" s="0" t="s">
        <v>9947</v>
      </c>
      <c r="D604" s="0" t="s">
        <v>8513</v>
      </c>
      <c r="E604" s="5" t="s">
        <v>81</v>
      </c>
      <c r="F604" s="0" t="s">
        <v>8229</v>
      </c>
      <c r="G604" s="0" t="s">
        <v>3371</v>
      </c>
      <c r="H604" s="0" t="s">
        <v>8176</v>
      </c>
      <c r="I604" s="0" t="s">
        <v>9948</v>
      </c>
      <c r="K604" s="0" t="s">
        <v>40</v>
      </c>
      <c r="L604" s="0" t="s">
        <v>9949</v>
      </c>
    </row>
    <row r="605" customFormat="false" ht="17.15" hidden="false" customHeight="false" outlineLevel="0" collapsed="false">
      <c r="A605" s="0" t="s">
        <v>9950</v>
      </c>
      <c r="B605" s="0" t="s">
        <v>9938</v>
      </c>
      <c r="C605" s="0" t="s">
        <v>9951</v>
      </c>
      <c r="D605" s="0" t="s">
        <v>8453</v>
      </c>
      <c r="E605" s="5" t="s">
        <v>81</v>
      </c>
      <c r="F605" s="0" t="s">
        <v>8229</v>
      </c>
      <c r="G605" s="0" t="s">
        <v>3371</v>
      </c>
      <c r="H605" s="0" t="s">
        <v>8176</v>
      </c>
      <c r="I605" s="0" t="s">
        <v>9952</v>
      </c>
      <c r="K605" s="0" t="s">
        <v>40</v>
      </c>
      <c r="L605" s="0" t="s">
        <v>9949</v>
      </c>
    </row>
    <row r="606" customFormat="false" ht="17.15" hidden="false" customHeight="false" outlineLevel="0" collapsed="false">
      <c r="A606" s="0" t="s">
        <v>9953</v>
      </c>
      <c r="B606" s="0" t="s">
        <v>9954</v>
      </c>
      <c r="C606" s="0" t="s">
        <v>9955</v>
      </c>
      <c r="D606" s="0" t="s">
        <v>117</v>
      </c>
      <c r="E606" s="5" t="s">
        <v>81</v>
      </c>
      <c r="F606" s="0" t="s">
        <v>9956</v>
      </c>
      <c r="G606" s="0" t="s">
        <v>3371</v>
      </c>
      <c r="H606" s="0" t="s">
        <v>8224</v>
      </c>
      <c r="I606" s="5" t="s">
        <v>9957</v>
      </c>
      <c r="K606" s="0" t="s">
        <v>40</v>
      </c>
      <c r="L606" s="0" t="s">
        <v>9958</v>
      </c>
    </row>
    <row r="607" customFormat="false" ht="17.15" hidden="false" customHeight="false" outlineLevel="0" collapsed="false">
      <c r="A607" s="0" t="s">
        <v>9959</v>
      </c>
      <c r="B607" s="0" t="s">
        <v>9954</v>
      </c>
      <c r="C607" s="0" t="s">
        <v>9960</v>
      </c>
      <c r="D607" s="0" t="s">
        <v>9961</v>
      </c>
      <c r="E607" s="5" t="s">
        <v>81</v>
      </c>
      <c r="F607" s="0" t="s">
        <v>9962</v>
      </c>
      <c r="G607" s="0" t="s">
        <v>3371</v>
      </c>
      <c r="H607" s="0" t="s">
        <v>8224</v>
      </c>
      <c r="I607" s="5" t="s">
        <v>9963</v>
      </c>
      <c r="K607" s="0" t="s">
        <v>40</v>
      </c>
      <c r="L607" s="0" t="s">
        <v>9964</v>
      </c>
    </row>
    <row r="608" customFormat="false" ht="17.15" hidden="false" customHeight="false" outlineLevel="0" collapsed="false">
      <c r="A608" s="0" t="s">
        <v>9965</v>
      </c>
      <c r="B608" s="0" t="s">
        <v>9954</v>
      </c>
      <c r="C608" s="0" t="s">
        <v>9966</v>
      </c>
      <c r="D608" s="0" t="s">
        <v>8940</v>
      </c>
      <c r="E608" s="5" t="s">
        <v>81</v>
      </c>
      <c r="F608" s="0" t="s">
        <v>9962</v>
      </c>
      <c r="G608" s="0" t="s">
        <v>3371</v>
      </c>
      <c r="H608" s="0" t="s">
        <v>8224</v>
      </c>
      <c r="I608" s="0" t="s">
        <v>9967</v>
      </c>
      <c r="K608" s="0" t="s">
        <v>40</v>
      </c>
      <c r="L608" s="0" t="s">
        <v>9964</v>
      </c>
    </row>
    <row r="609" customFormat="false" ht="17.15" hidden="false" customHeight="false" outlineLevel="0" collapsed="false">
      <c r="A609" s="0" t="s">
        <v>9968</v>
      </c>
      <c r="B609" s="0" t="s">
        <v>9954</v>
      </c>
      <c r="C609" s="0" t="s">
        <v>9969</v>
      </c>
      <c r="D609" s="0" t="s">
        <v>8218</v>
      </c>
      <c r="E609" s="5" t="s">
        <v>81</v>
      </c>
      <c r="F609" s="0" t="s">
        <v>9970</v>
      </c>
      <c r="G609" s="0" t="s">
        <v>3371</v>
      </c>
      <c r="H609" s="0" t="s">
        <v>8208</v>
      </c>
      <c r="I609" s="5" t="s">
        <v>9971</v>
      </c>
      <c r="K609" s="0" t="s">
        <v>40</v>
      </c>
      <c r="L609" s="0" t="s">
        <v>9972</v>
      </c>
    </row>
    <row r="610" customFormat="false" ht="17.15" hidden="false" customHeight="false" outlineLevel="0" collapsed="false">
      <c r="A610" s="0" t="s">
        <v>9973</v>
      </c>
      <c r="B610" s="0" t="s">
        <v>9954</v>
      </c>
      <c r="C610" s="0" t="s">
        <v>9974</v>
      </c>
      <c r="D610" s="0" t="s">
        <v>9975</v>
      </c>
      <c r="E610" s="5" t="s">
        <v>81</v>
      </c>
      <c r="F610" s="0" t="s">
        <v>9956</v>
      </c>
      <c r="G610" s="0" t="s">
        <v>3371</v>
      </c>
      <c r="H610" s="0" t="s">
        <v>8176</v>
      </c>
      <c r="I610" s="0" t="s">
        <v>9976</v>
      </c>
      <c r="K610" s="0" t="s">
        <v>40</v>
      </c>
      <c r="L610" s="0" t="s">
        <v>9958</v>
      </c>
    </row>
    <row r="611" customFormat="false" ht="17.15" hidden="false" customHeight="false" outlineLevel="0" collapsed="false">
      <c r="A611" s="0" t="s">
        <v>9977</v>
      </c>
      <c r="B611" s="0" t="s">
        <v>9954</v>
      </c>
      <c r="C611" s="0" t="s">
        <v>9978</v>
      </c>
      <c r="D611" s="0" t="s">
        <v>9979</v>
      </c>
      <c r="E611" s="5" t="s">
        <v>81</v>
      </c>
      <c r="F611" s="0" t="s">
        <v>9980</v>
      </c>
      <c r="G611" s="0" t="s">
        <v>3317</v>
      </c>
      <c r="H611" s="0" t="s">
        <v>8219</v>
      </c>
      <c r="I611" s="5" t="s">
        <v>8429</v>
      </c>
      <c r="K611" s="0" t="s">
        <v>40</v>
      </c>
      <c r="L611" s="0" t="s">
        <v>9981</v>
      </c>
    </row>
    <row r="612" customFormat="false" ht="17.15" hidden="false" customHeight="false" outlineLevel="0" collapsed="false">
      <c r="A612" s="0" t="s">
        <v>9982</v>
      </c>
      <c r="B612" s="0" t="s">
        <v>9983</v>
      </c>
      <c r="C612" s="0" t="s">
        <v>9984</v>
      </c>
      <c r="D612" s="0" t="s">
        <v>9985</v>
      </c>
      <c r="E612" s="0" t="s">
        <v>116</v>
      </c>
      <c r="F612" s="0" t="s">
        <v>7384</v>
      </c>
      <c r="G612" s="0" t="s">
        <v>3371</v>
      </c>
      <c r="H612" s="0" t="s">
        <v>8208</v>
      </c>
      <c r="I612" s="0" t="s">
        <v>9986</v>
      </c>
      <c r="K612" s="0" t="s">
        <v>40</v>
      </c>
      <c r="L612" s="0" t="s">
        <v>9987</v>
      </c>
    </row>
    <row r="613" customFormat="false" ht="17.15" hidden="false" customHeight="false" outlineLevel="0" collapsed="false">
      <c r="A613" s="0" t="s">
        <v>9988</v>
      </c>
      <c r="B613" s="0" t="s">
        <v>9983</v>
      </c>
      <c r="C613" s="0" t="s">
        <v>9989</v>
      </c>
      <c r="D613" s="0" t="s">
        <v>8940</v>
      </c>
      <c r="E613" s="5" t="s">
        <v>81</v>
      </c>
      <c r="F613" s="0" t="s">
        <v>7437</v>
      </c>
      <c r="G613" s="0" t="s">
        <v>3317</v>
      </c>
      <c r="H613" s="0" t="s">
        <v>8208</v>
      </c>
      <c r="I613" s="0" t="s">
        <v>9990</v>
      </c>
      <c r="K613" s="0" t="s">
        <v>40</v>
      </c>
      <c r="L613" s="0" t="s">
        <v>9991</v>
      </c>
    </row>
    <row r="614" customFormat="false" ht="17.15" hidden="false" customHeight="false" outlineLevel="0" collapsed="false">
      <c r="A614" s="0" t="s">
        <v>9992</v>
      </c>
      <c r="B614" s="0" t="s">
        <v>9983</v>
      </c>
      <c r="C614" s="0" t="s">
        <v>9993</v>
      </c>
      <c r="D614" s="0" t="s">
        <v>9994</v>
      </c>
      <c r="E614" s="5" t="s">
        <v>81</v>
      </c>
      <c r="F614" s="0" t="s">
        <v>7384</v>
      </c>
      <c r="G614" s="0" t="s">
        <v>3371</v>
      </c>
      <c r="H614" s="0" t="s">
        <v>8224</v>
      </c>
      <c r="I614" s="0" t="s">
        <v>9995</v>
      </c>
      <c r="K614" s="0" t="s">
        <v>40</v>
      </c>
      <c r="L614" s="0" t="s">
        <v>9987</v>
      </c>
    </row>
    <row r="615" customFormat="false" ht="17.15" hidden="false" customHeight="false" outlineLevel="0" collapsed="false">
      <c r="A615" s="0" t="s">
        <v>9996</v>
      </c>
      <c r="B615" s="0" t="s">
        <v>9997</v>
      </c>
      <c r="C615" s="0" t="s">
        <v>9998</v>
      </c>
      <c r="D615" s="0" t="s">
        <v>7739</v>
      </c>
      <c r="E615" s="0" t="s">
        <v>116</v>
      </c>
      <c r="F615" s="0" t="s">
        <v>3892</v>
      </c>
      <c r="G615" s="0" t="s">
        <v>3371</v>
      </c>
      <c r="H615" s="0" t="s">
        <v>8176</v>
      </c>
      <c r="I615" s="5" t="s">
        <v>9999</v>
      </c>
      <c r="K615" s="0" t="s">
        <v>40</v>
      </c>
      <c r="L615" s="0" t="s">
        <v>10000</v>
      </c>
    </row>
    <row r="616" customFormat="false" ht="17.15" hidden="false" customHeight="false" outlineLevel="0" collapsed="false">
      <c r="A616" s="0" t="s">
        <v>10001</v>
      </c>
      <c r="B616" s="0" t="s">
        <v>9997</v>
      </c>
      <c r="C616" s="0" t="s">
        <v>10002</v>
      </c>
      <c r="D616" s="0" t="s">
        <v>8182</v>
      </c>
      <c r="E616" s="5" t="s">
        <v>81</v>
      </c>
      <c r="F616" s="0" t="s">
        <v>2170</v>
      </c>
      <c r="G616" s="0" t="s">
        <v>3371</v>
      </c>
      <c r="H616" s="0" t="s">
        <v>8176</v>
      </c>
      <c r="I616" s="0" t="s">
        <v>10003</v>
      </c>
      <c r="K616" s="0" t="s">
        <v>40</v>
      </c>
      <c r="L616" s="0" t="s">
        <v>10004</v>
      </c>
    </row>
    <row r="617" customFormat="false" ht="17.15" hidden="false" customHeight="false" outlineLevel="0" collapsed="false">
      <c r="A617" s="0" t="s">
        <v>10005</v>
      </c>
      <c r="B617" s="0" t="s">
        <v>10006</v>
      </c>
      <c r="C617" s="0" t="s">
        <v>10007</v>
      </c>
      <c r="D617" s="0" t="s">
        <v>7239</v>
      </c>
      <c r="E617" s="5" t="s">
        <v>81</v>
      </c>
      <c r="F617" s="0" t="s">
        <v>10008</v>
      </c>
      <c r="G617" s="0" t="s">
        <v>3371</v>
      </c>
      <c r="H617" s="0" t="s">
        <v>8241</v>
      </c>
      <c r="I617" s="0" t="s">
        <v>10009</v>
      </c>
      <c r="K617" s="0" t="s">
        <v>40</v>
      </c>
      <c r="L617" s="0" t="s">
        <v>10010</v>
      </c>
    </row>
    <row r="618" customFormat="false" ht="17.15" hidden="false" customHeight="false" outlineLevel="0" collapsed="false">
      <c r="A618" s="0" t="s">
        <v>10011</v>
      </c>
      <c r="B618" s="0" t="s">
        <v>10006</v>
      </c>
      <c r="C618" s="0" t="s">
        <v>10012</v>
      </c>
      <c r="D618" s="0" t="s">
        <v>8499</v>
      </c>
      <c r="E618" s="5" t="s">
        <v>81</v>
      </c>
      <c r="F618" s="0" t="s">
        <v>7726</v>
      </c>
      <c r="G618" s="0" t="s">
        <v>3371</v>
      </c>
      <c r="H618" s="0" t="s">
        <v>8176</v>
      </c>
      <c r="I618" s="0" t="s">
        <v>10013</v>
      </c>
      <c r="K618" s="0" t="s">
        <v>40</v>
      </c>
      <c r="L618" s="0" t="s">
        <v>10014</v>
      </c>
    </row>
    <row r="619" customFormat="false" ht="17.15" hidden="false" customHeight="false" outlineLevel="0" collapsed="false">
      <c r="A619" s="0" t="s">
        <v>10015</v>
      </c>
      <c r="B619" s="0" t="s">
        <v>10016</v>
      </c>
      <c r="C619" s="0" t="s">
        <v>10017</v>
      </c>
      <c r="D619" s="0" t="s">
        <v>8182</v>
      </c>
      <c r="E619" s="5" t="s">
        <v>81</v>
      </c>
      <c r="F619" s="0" t="s">
        <v>8229</v>
      </c>
      <c r="G619" s="0" t="s">
        <v>3371</v>
      </c>
      <c r="H619" s="0" t="s">
        <v>8176</v>
      </c>
      <c r="I619" s="0" t="s">
        <v>10018</v>
      </c>
      <c r="K619" s="0" t="s">
        <v>40</v>
      </c>
      <c r="L619" s="0" t="s">
        <v>10019</v>
      </c>
    </row>
    <row r="620" customFormat="false" ht="17.15" hidden="false" customHeight="false" outlineLevel="0" collapsed="false">
      <c r="A620" s="0" t="s">
        <v>10020</v>
      </c>
      <c r="B620" s="0" t="s">
        <v>10016</v>
      </c>
      <c r="C620" s="0" t="s">
        <v>10021</v>
      </c>
      <c r="D620" s="0" t="s">
        <v>7739</v>
      </c>
      <c r="E620" s="5" t="s">
        <v>81</v>
      </c>
      <c r="F620" s="0" t="s">
        <v>7699</v>
      </c>
      <c r="G620" s="0" t="s">
        <v>3371</v>
      </c>
      <c r="H620" s="0" t="s">
        <v>8208</v>
      </c>
      <c r="I620" s="5" t="s">
        <v>10022</v>
      </c>
      <c r="K620" s="0" t="s">
        <v>40</v>
      </c>
      <c r="L620" s="0" t="s">
        <v>10023</v>
      </c>
    </row>
    <row r="621" customFormat="false" ht="17.15" hidden="false" customHeight="false" outlineLevel="0" collapsed="false">
      <c r="A621" s="0" t="s">
        <v>10024</v>
      </c>
      <c r="B621" s="0" t="s">
        <v>10016</v>
      </c>
      <c r="C621" s="0" t="s">
        <v>10025</v>
      </c>
      <c r="D621" s="0" t="s">
        <v>9521</v>
      </c>
      <c r="E621" s="0" t="s">
        <v>116</v>
      </c>
      <c r="F621" s="0" t="s">
        <v>7699</v>
      </c>
      <c r="G621" s="0" t="s">
        <v>3327</v>
      </c>
      <c r="H621" s="0" t="s">
        <v>8224</v>
      </c>
      <c r="I621" s="5" t="s">
        <v>10026</v>
      </c>
      <c r="K621" s="0" t="s">
        <v>40</v>
      </c>
      <c r="L621" s="0" t="s">
        <v>10027</v>
      </c>
    </row>
    <row r="622" customFormat="false" ht="17.15" hidden="false" customHeight="false" outlineLevel="0" collapsed="false">
      <c r="A622" s="0" t="s">
        <v>10028</v>
      </c>
      <c r="B622" s="0" t="s">
        <v>10029</v>
      </c>
      <c r="C622" s="0" t="s">
        <v>10030</v>
      </c>
      <c r="D622" s="0" t="s">
        <v>8499</v>
      </c>
      <c r="E622" s="5" t="s">
        <v>81</v>
      </c>
      <c r="F622" s="0" t="s">
        <v>8647</v>
      </c>
      <c r="G622" s="0" t="s">
        <v>3371</v>
      </c>
      <c r="H622" s="0" t="s">
        <v>8241</v>
      </c>
      <c r="I622" s="0" t="s">
        <v>10031</v>
      </c>
      <c r="K622" s="0" t="s">
        <v>40</v>
      </c>
      <c r="L622" s="0" t="s">
        <v>10032</v>
      </c>
    </row>
    <row r="623" customFormat="false" ht="17.15" hidden="false" customHeight="false" outlineLevel="0" collapsed="false">
      <c r="A623" s="0" t="s">
        <v>10033</v>
      </c>
      <c r="B623" s="0" t="s">
        <v>10029</v>
      </c>
      <c r="C623" s="0" t="s">
        <v>10034</v>
      </c>
      <c r="D623" s="0" t="s">
        <v>8182</v>
      </c>
      <c r="E623" s="5" t="s">
        <v>81</v>
      </c>
      <c r="F623" s="0" t="s">
        <v>10035</v>
      </c>
      <c r="G623" s="0" t="s">
        <v>3371</v>
      </c>
      <c r="H623" s="0" t="s">
        <v>8202</v>
      </c>
      <c r="I623" s="5" t="s">
        <v>10036</v>
      </c>
      <c r="K623" s="0" t="s">
        <v>40</v>
      </c>
      <c r="L623" s="0" t="s">
        <v>10037</v>
      </c>
    </row>
    <row r="624" customFormat="false" ht="17.15" hidden="false" customHeight="false" outlineLevel="0" collapsed="false">
      <c r="A624" s="0" t="s">
        <v>10038</v>
      </c>
      <c r="B624" s="0" t="s">
        <v>10039</v>
      </c>
      <c r="C624" s="0" t="s">
        <v>10040</v>
      </c>
      <c r="D624" s="0" t="s">
        <v>8587</v>
      </c>
      <c r="E624" s="0" t="s">
        <v>116</v>
      </c>
      <c r="F624" s="0" t="s">
        <v>10041</v>
      </c>
      <c r="G624" s="0" t="s">
        <v>3371</v>
      </c>
      <c r="H624" s="0" t="s">
        <v>8219</v>
      </c>
      <c r="I624" s="5" t="s">
        <v>8220</v>
      </c>
      <c r="K624" s="0" t="s">
        <v>40</v>
      </c>
      <c r="L624" s="0" t="s">
        <v>10042</v>
      </c>
    </row>
    <row r="625" customFormat="false" ht="17.15" hidden="false" customHeight="false" outlineLevel="0" collapsed="false">
      <c r="A625" s="0" t="s">
        <v>10043</v>
      </c>
      <c r="B625" s="0" t="s">
        <v>10039</v>
      </c>
      <c r="C625" s="0" t="s">
        <v>10044</v>
      </c>
      <c r="D625" s="0" t="s">
        <v>8674</v>
      </c>
      <c r="E625" s="0" t="s">
        <v>116</v>
      </c>
      <c r="F625" s="0" t="s">
        <v>10045</v>
      </c>
      <c r="G625" s="0" t="s">
        <v>3371</v>
      </c>
      <c r="H625" s="0" t="s">
        <v>8176</v>
      </c>
      <c r="I625" s="0" t="s">
        <v>10046</v>
      </c>
      <c r="K625" s="0" t="s">
        <v>40</v>
      </c>
      <c r="L625" s="0" t="s">
        <v>10047</v>
      </c>
    </row>
    <row r="626" customFormat="false" ht="17.15" hidden="false" customHeight="false" outlineLevel="0" collapsed="false">
      <c r="A626" s="0" t="s">
        <v>10048</v>
      </c>
      <c r="B626" s="0" t="s">
        <v>10049</v>
      </c>
      <c r="C626" s="0" t="s">
        <v>10050</v>
      </c>
      <c r="D626" s="0" t="s">
        <v>10051</v>
      </c>
      <c r="E626" s="5" t="s">
        <v>81</v>
      </c>
      <c r="F626" s="0" t="s">
        <v>8850</v>
      </c>
      <c r="G626" s="0" t="s">
        <v>3371</v>
      </c>
      <c r="H626" s="0" t="s">
        <v>8219</v>
      </c>
      <c r="I626" s="5" t="s">
        <v>8429</v>
      </c>
      <c r="K626" s="0" t="s">
        <v>40</v>
      </c>
      <c r="L626" s="0" t="s">
        <v>10052</v>
      </c>
    </row>
    <row r="627" customFormat="false" ht="17.15" hidden="false" customHeight="false" outlineLevel="0" collapsed="false">
      <c r="A627" s="0" t="s">
        <v>10053</v>
      </c>
      <c r="B627" s="0" t="s">
        <v>10054</v>
      </c>
      <c r="C627" s="0" t="s">
        <v>10055</v>
      </c>
      <c r="D627" s="0" t="s">
        <v>7581</v>
      </c>
      <c r="E627" s="5" t="s">
        <v>81</v>
      </c>
      <c r="F627" s="0" t="s">
        <v>10056</v>
      </c>
      <c r="G627" s="0" t="s">
        <v>3371</v>
      </c>
      <c r="H627" s="0" t="s">
        <v>8176</v>
      </c>
      <c r="I627" s="0" t="s">
        <v>10057</v>
      </c>
      <c r="K627" s="0" t="s">
        <v>40</v>
      </c>
      <c r="L627" s="0" t="s">
        <v>10058</v>
      </c>
    </row>
    <row r="628" customFormat="false" ht="17.15" hidden="false" customHeight="false" outlineLevel="0" collapsed="false">
      <c r="A628" s="0" t="s">
        <v>10059</v>
      </c>
      <c r="B628" s="0" t="s">
        <v>8871</v>
      </c>
      <c r="C628" s="0" t="s">
        <v>10060</v>
      </c>
      <c r="D628" s="0" t="s">
        <v>7581</v>
      </c>
      <c r="E628" s="5" t="s">
        <v>81</v>
      </c>
      <c r="F628" s="0" t="s">
        <v>7354</v>
      </c>
      <c r="G628" s="0" t="s">
        <v>3317</v>
      </c>
      <c r="H628" s="0" t="s">
        <v>8208</v>
      </c>
      <c r="I628" s="0" t="s">
        <v>10061</v>
      </c>
      <c r="K628" s="0" t="s">
        <v>40</v>
      </c>
      <c r="L628" s="0" t="s">
        <v>10062</v>
      </c>
    </row>
    <row r="629" customFormat="false" ht="17.15" hidden="false" customHeight="false" outlineLevel="0" collapsed="false">
      <c r="A629" s="0" t="s">
        <v>10063</v>
      </c>
      <c r="B629" s="0" t="s">
        <v>8871</v>
      </c>
      <c r="C629" s="0" t="s">
        <v>10064</v>
      </c>
      <c r="D629" s="0" t="s">
        <v>7568</v>
      </c>
      <c r="E629" s="5" t="s">
        <v>81</v>
      </c>
      <c r="F629" s="0" t="s">
        <v>10065</v>
      </c>
      <c r="G629" s="0" t="s">
        <v>3317</v>
      </c>
      <c r="H629" s="0" t="s">
        <v>8176</v>
      </c>
      <c r="I629" s="0" t="s">
        <v>10066</v>
      </c>
      <c r="K629" s="0" t="s">
        <v>40</v>
      </c>
      <c r="L629" s="0" t="s">
        <v>10067</v>
      </c>
    </row>
    <row r="630" customFormat="false" ht="17.15" hidden="false" customHeight="false" outlineLevel="0" collapsed="false">
      <c r="A630" s="0" t="s">
        <v>10068</v>
      </c>
      <c r="B630" s="0" t="s">
        <v>8871</v>
      </c>
      <c r="C630" s="0" t="s">
        <v>10069</v>
      </c>
      <c r="D630" s="0" t="s">
        <v>117</v>
      </c>
      <c r="E630" s="5" t="s">
        <v>81</v>
      </c>
      <c r="F630" s="0" t="s">
        <v>7169</v>
      </c>
      <c r="G630" s="0" t="s">
        <v>3317</v>
      </c>
      <c r="H630" s="0" t="s">
        <v>8219</v>
      </c>
      <c r="I630" s="5" t="s">
        <v>8220</v>
      </c>
      <c r="K630" s="0" t="s">
        <v>40</v>
      </c>
      <c r="L630" s="0" t="s">
        <v>10070</v>
      </c>
    </row>
    <row r="631" customFormat="false" ht="17.15" hidden="false" customHeight="false" outlineLevel="0" collapsed="false">
      <c r="A631" s="0" t="s">
        <v>10071</v>
      </c>
      <c r="B631" s="0" t="s">
        <v>8871</v>
      </c>
      <c r="C631" s="0" t="s">
        <v>10072</v>
      </c>
      <c r="D631" s="0" t="s">
        <v>117</v>
      </c>
      <c r="E631" s="5" t="s">
        <v>81</v>
      </c>
      <c r="F631" s="0" t="s">
        <v>9280</v>
      </c>
      <c r="G631" s="0" t="s">
        <v>3317</v>
      </c>
      <c r="H631" s="0" t="s">
        <v>8176</v>
      </c>
      <c r="I631" s="5" t="s">
        <v>10073</v>
      </c>
      <c r="K631" s="0" t="s">
        <v>40</v>
      </c>
      <c r="L631" s="0" t="s">
        <v>10074</v>
      </c>
    </row>
    <row r="632" customFormat="false" ht="17.15" hidden="false" customHeight="false" outlineLevel="0" collapsed="false">
      <c r="A632" s="0" t="s">
        <v>10075</v>
      </c>
      <c r="B632" s="0" t="s">
        <v>8871</v>
      </c>
      <c r="C632" s="0" t="s">
        <v>10076</v>
      </c>
      <c r="D632" s="0" t="s">
        <v>7739</v>
      </c>
      <c r="E632" s="5" t="s">
        <v>81</v>
      </c>
      <c r="F632" s="0" t="s">
        <v>10077</v>
      </c>
      <c r="G632" s="0" t="s">
        <v>3371</v>
      </c>
      <c r="H632" s="0" t="s">
        <v>8176</v>
      </c>
      <c r="I632" s="0" t="s">
        <v>10078</v>
      </c>
      <c r="K632" s="0" t="s">
        <v>40</v>
      </c>
      <c r="L632" s="0" t="s">
        <v>10079</v>
      </c>
    </row>
    <row r="633" customFormat="false" ht="17.15" hidden="false" customHeight="false" outlineLevel="0" collapsed="false">
      <c r="A633" s="0" t="s">
        <v>10080</v>
      </c>
      <c r="B633" s="0" t="s">
        <v>8871</v>
      </c>
      <c r="C633" s="0" t="s">
        <v>10081</v>
      </c>
      <c r="D633" s="0" t="s">
        <v>7581</v>
      </c>
      <c r="E633" s="5" t="s">
        <v>81</v>
      </c>
      <c r="F633" s="0" t="s">
        <v>8003</v>
      </c>
      <c r="G633" s="0" t="s">
        <v>3371</v>
      </c>
      <c r="H633" s="0" t="s">
        <v>8208</v>
      </c>
      <c r="I633" s="0" t="s">
        <v>10082</v>
      </c>
      <c r="K633" s="0" t="s">
        <v>40</v>
      </c>
      <c r="L633" s="0" t="s">
        <v>10083</v>
      </c>
    </row>
    <row r="634" customFormat="false" ht="17.15" hidden="false" customHeight="false" outlineLevel="0" collapsed="false">
      <c r="A634" s="0" t="s">
        <v>10084</v>
      </c>
      <c r="B634" s="0" t="s">
        <v>8871</v>
      </c>
      <c r="C634" s="0" t="s">
        <v>10085</v>
      </c>
      <c r="D634" s="0" t="s">
        <v>7568</v>
      </c>
      <c r="E634" s="5" t="s">
        <v>81</v>
      </c>
      <c r="F634" s="0" t="s">
        <v>7560</v>
      </c>
      <c r="G634" s="0" t="s">
        <v>3371</v>
      </c>
      <c r="H634" s="0" t="s">
        <v>8219</v>
      </c>
      <c r="I634" s="5" t="s">
        <v>8429</v>
      </c>
      <c r="K634" s="0" t="s">
        <v>40</v>
      </c>
      <c r="L634" s="0" t="s">
        <v>10086</v>
      </c>
    </row>
    <row r="635" customFormat="false" ht="17.15" hidden="false" customHeight="false" outlineLevel="0" collapsed="false">
      <c r="A635" s="0" t="s">
        <v>10087</v>
      </c>
      <c r="B635" s="0" t="s">
        <v>8871</v>
      </c>
      <c r="C635" s="0" t="s">
        <v>10088</v>
      </c>
      <c r="D635" s="0" t="s">
        <v>117</v>
      </c>
      <c r="E635" s="5" t="s">
        <v>81</v>
      </c>
      <c r="F635" s="0" t="s">
        <v>8357</v>
      </c>
      <c r="G635" s="0" t="s">
        <v>3371</v>
      </c>
      <c r="H635" s="0" t="s">
        <v>8208</v>
      </c>
      <c r="I635" s="5" t="s">
        <v>10089</v>
      </c>
      <c r="K635" s="0" t="s">
        <v>40</v>
      </c>
      <c r="L635" s="0" t="s">
        <v>10090</v>
      </c>
    </row>
    <row r="636" customFormat="false" ht="17.15" hidden="false" customHeight="false" outlineLevel="0" collapsed="false">
      <c r="A636" s="0" t="s">
        <v>10091</v>
      </c>
      <c r="B636" s="0" t="s">
        <v>8905</v>
      </c>
      <c r="C636" s="0" t="s">
        <v>10092</v>
      </c>
      <c r="D636" s="0" t="s">
        <v>7568</v>
      </c>
      <c r="E636" s="5" t="s">
        <v>81</v>
      </c>
      <c r="F636" s="0" t="s">
        <v>8757</v>
      </c>
      <c r="G636" s="0" t="s">
        <v>7197</v>
      </c>
      <c r="H636" s="0" t="s">
        <v>8219</v>
      </c>
      <c r="I636" s="5" t="s">
        <v>8478</v>
      </c>
      <c r="K636" s="0" t="s">
        <v>40</v>
      </c>
      <c r="L636" s="0" t="s">
        <v>10093</v>
      </c>
    </row>
    <row r="637" customFormat="false" ht="17.15" hidden="false" customHeight="false" outlineLevel="0" collapsed="false">
      <c r="A637" s="0" t="s">
        <v>10094</v>
      </c>
      <c r="B637" s="0" t="s">
        <v>8905</v>
      </c>
      <c r="C637" s="0" t="s">
        <v>10095</v>
      </c>
      <c r="D637" s="0" t="s">
        <v>117</v>
      </c>
      <c r="E637" s="5" t="s">
        <v>81</v>
      </c>
      <c r="F637" s="0" t="s">
        <v>9425</v>
      </c>
      <c r="G637" s="0" t="s">
        <v>3371</v>
      </c>
      <c r="H637" s="0" t="s">
        <v>8241</v>
      </c>
      <c r="I637" s="5" t="s">
        <v>10096</v>
      </c>
      <c r="K637" s="0" t="s">
        <v>40</v>
      </c>
      <c r="L637" s="0" t="s">
        <v>10097</v>
      </c>
    </row>
    <row r="638" customFormat="false" ht="17.15" hidden="false" customHeight="false" outlineLevel="0" collapsed="false">
      <c r="A638" s="0" t="s">
        <v>10098</v>
      </c>
      <c r="B638" s="0" t="s">
        <v>8871</v>
      </c>
      <c r="C638" s="0" t="s">
        <v>10099</v>
      </c>
      <c r="D638" s="0" t="s">
        <v>7239</v>
      </c>
      <c r="E638" s="5" t="s">
        <v>81</v>
      </c>
      <c r="F638" s="0" t="s">
        <v>9254</v>
      </c>
      <c r="G638" s="0" t="s">
        <v>3371</v>
      </c>
      <c r="H638" s="0" t="s">
        <v>8176</v>
      </c>
      <c r="I638" s="0" t="s">
        <v>10100</v>
      </c>
      <c r="K638" s="0" t="s">
        <v>40</v>
      </c>
      <c r="L638" s="0" t="s">
        <v>10101</v>
      </c>
    </row>
    <row r="639" customFormat="false" ht="17.15" hidden="false" customHeight="false" outlineLevel="0" collapsed="false">
      <c r="A639" s="0" t="s">
        <v>10102</v>
      </c>
      <c r="B639" s="0" t="s">
        <v>8871</v>
      </c>
      <c r="C639" s="0" t="s">
        <v>10103</v>
      </c>
      <c r="D639" s="0" t="s">
        <v>117</v>
      </c>
      <c r="E639" s="5" t="s">
        <v>81</v>
      </c>
      <c r="F639" s="0" t="s">
        <v>10104</v>
      </c>
      <c r="G639" s="0" t="s">
        <v>3371</v>
      </c>
      <c r="H639" s="0" t="s">
        <v>8176</v>
      </c>
      <c r="I639" s="5" t="s">
        <v>10105</v>
      </c>
      <c r="K639" s="0" t="s">
        <v>40</v>
      </c>
      <c r="L639" s="0" t="s">
        <v>10106</v>
      </c>
    </row>
    <row r="640" customFormat="false" ht="17.15" hidden="false" customHeight="false" outlineLevel="0" collapsed="false">
      <c r="A640" s="0" t="s">
        <v>10107</v>
      </c>
      <c r="B640" s="0" t="s">
        <v>9378</v>
      </c>
      <c r="C640" s="0" t="s">
        <v>10108</v>
      </c>
      <c r="D640" s="0" t="s">
        <v>8499</v>
      </c>
      <c r="E640" s="5" t="s">
        <v>81</v>
      </c>
      <c r="F640" s="0" t="s">
        <v>10109</v>
      </c>
      <c r="G640" s="0" t="s">
        <v>3371</v>
      </c>
      <c r="H640" s="0" t="s">
        <v>8176</v>
      </c>
      <c r="I640" s="0" t="s">
        <v>10110</v>
      </c>
      <c r="K640" s="0" t="s">
        <v>40</v>
      </c>
      <c r="L640" s="0" t="s">
        <v>10111</v>
      </c>
    </row>
    <row r="641" customFormat="false" ht="17.15" hidden="false" customHeight="false" outlineLevel="0" collapsed="false">
      <c r="A641" s="0" t="s">
        <v>10112</v>
      </c>
      <c r="B641" s="0" t="s">
        <v>10113</v>
      </c>
      <c r="C641" s="0" t="s">
        <v>10114</v>
      </c>
      <c r="D641" s="0" t="s">
        <v>117</v>
      </c>
      <c r="E641" s="5" t="s">
        <v>81</v>
      </c>
      <c r="F641" s="0" t="s">
        <v>3866</v>
      </c>
      <c r="G641" s="0" t="s">
        <v>3371</v>
      </c>
      <c r="H641" s="0" t="s">
        <v>8219</v>
      </c>
      <c r="I641" s="5" t="s">
        <v>8220</v>
      </c>
      <c r="K641" s="0" t="s">
        <v>40</v>
      </c>
      <c r="L641" s="0" t="s">
        <v>10115</v>
      </c>
    </row>
    <row r="642" customFormat="false" ht="17.15" hidden="false" customHeight="false" outlineLevel="0" collapsed="false">
      <c r="A642" s="0" t="s">
        <v>10116</v>
      </c>
      <c r="B642" s="0" t="s">
        <v>10117</v>
      </c>
      <c r="C642" s="0" t="s">
        <v>10118</v>
      </c>
      <c r="D642" s="0" t="s">
        <v>10119</v>
      </c>
      <c r="E642" s="5" t="s">
        <v>81</v>
      </c>
      <c r="F642" s="0" t="s">
        <v>10120</v>
      </c>
      <c r="G642" s="0" t="s">
        <v>3371</v>
      </c>
      <c r="H642" s="0" t="s">
        <v>8176</v>
      </c>
      <c r="I642" s="0" t="s">
        <v>10121</v>
      </c>
      <c r="J642" s="0" t="s">
        <v>966</v>
      </c>
      <c r="K642" s="5" t="s">
        <v>3313</v>
      </c>
      <c r="L642" s="0" t="s">
        <v>10122</v>
      </c>
    </row>
    <row r="643" customFormat="false" ht="17.15" hidden="false" customHeight="false" outlineLevel="0" collapsed="false">
      <c r="A643" s="0" t="s">
        <v>10123</v>
      </c>
      <c r="B643" s="0" t="s">
        <v>10117</v>
      </c>
      <c r="C643" s="0" t="s">
        <v>10124</v>
      </c>
      <c r="D643" s="0" t="s">
        <v>117</v>
      </c>
      <c r="E643" s="5" t="s">
        <v>81</v>
      </c>
      <c r="F643" s="0" t="s">
        <v>7746</v>
      </c>
      <c r="G643" s="0" t="s">
        <v>3371</v>
      </c>
      <c r="H643" s="0" t="s">
        <v>8176</v>
      </c>
      <c r="I643" s="5" t="s">
        <v>10125</v>
      </c>
      <c r="K643" s="0" t="s">
        <v>40</v>
      </c>
      <c r="L643" s="0" t="s">
        <v>10126</v>
      </c>
    </row>
    <row r="644" customFormat="false" ht="17.15" hidden="false" customHeight="false" outlineLevel="0" collapsed="false">
      <c r="A644" s="0" t="s">
        <v>10127</v>
      </c>
      <c r="B644" s="0" t="s">
        <v>10117</v>
      </c>
      <c r="C644" s="0" t="s">
        <v>10128</v>
      </c>
      <c r="D644" s="0" t="s">
        <v>10129</v>
      </c>
      <c r="E644" s="5" t="s">
        <v>81</v>
      </c>
      <c r="F644" s="0" t="s">
        <v>10120</v>
      </c>
      <c r="G644" s="0" t="s">
        <v>3371</v>
      </c>
      <c r="H644" s="0" t="s">
        <v>8219</v>
      </c>
      <c r="I644" s="5" t="s">
        <v>8948</v>
      </c>
      <c r="J644" s="0" t="s">
        <v>966</v>
      </c>
      <c r="K644" s="5" t="s">
        <v>3313</v>
      </c>
      <c r="L644" s="0" t="s">
        <v>10130</v>
      </c>
    </row>
    <row r="645" customFormat="false" ht="17.15" hidden="false" customHeight="false" outlineLevel="0" collapsed="false">
      <c r="A645" s="0" t="s">
        <v>10131</v>
      </c>
      <c r="B645" s="0" t="s">
        <v>10132</v>
      </c>
      <c r="C645" s="0" t="s">
        <v>10133</v>
      </c>
      <c r="D645" s="0" t="s">
        <v>9384</v>
      </c>
      <c r="E645" s="5" t="s">
        <v>81</v>
      </c>
      <c r="F645" s="0" t="s">
        <v>3392</v>
      </c>
      <c r="G645" s="0" t="s">
        <v>3371</v>
      </c>
      <c r="H645" s="0" t="s">
        <v>8176</v>
      </c>
      <c r="I645" s="0" t="s">
        <v>10134</v>
      </c>
      <c r="K645" s="0" t="s">
        <v>40</v>
      </c>
      <c r="L645" s="0" t="s">
        <v>10135</v>
      </c>
    </row>
    <row r="646" customFormat="false" ht="17.15" hidden="false" customHeight="false" outlineLevel="0" collapsed="false">
      <c r="A646" s="0" t="s">
        <v>10136</v>
      </c>
      <c r="B646" s="0" t="s">
        <v>10132</v>
      </c>
      <c r="C646" s="0" t="s">
        <v>10137</v>
      </c>
      <c r="D646" s="0" t="s">
        <v>9815</v>
      </c>
      <c r="E646" s="5" t="s">
        <v>81</v>
      </c>
      <c r="F646" s="0" t="s">
        <v>10138</v>
      </c>
      <c r="G646" s="0" t="s">
        <v>3371</v>
      </c>
      <c r="H646" s="0" t="s">
        <v>8208</v>
      </c>
      <c r="I646" s="0" t="s">
        <v>10139</v>
      </c>
      <c r="K646" s="0" t="s">
        <v>40</v>
      </c>
      <c r="L646" s="0" t="s">
        <v>10140</v>
      </c>
    </row>
    <row r="647" customFormat="false" ht="17.15" hidden="false" customHeight="false" outlineLevel="0" collapsed="false">
      <c r="A647" s="0" t="s">
        <v>10141</v>
      </c>
      <c r="B647" s="0" t="s">
        <v>10132</v>
      </c>
      <c r="C647" s="0" t="s">
        <v>10142</v>
      </c>
      <c r="D647" s="0" t="s">
        <v>8499</v>
      </c>
      <c r="E647" s="5" t="s">
        <v>81</v>
      </c>
      <c r="F647" s="0" t="s">
        <v>10138</v>
      </c>
      <c r="G647" s="0" t="s">
        <v>3371</v>
      </c>
      <c r="H647" s="0" t="s">
        <v>8208</v>
      </c>
      <c r="I647" s="5" t="s">
        <v>10143</v>
      </c>
      <c r="K647" s="0" t="s">
        <v>40</v>
      </c>
      <c r="L647" s="0" t="s">
        <v>10140</v>
      </c>
    </row>
    <row r="648" customFormat="false" ht="17.15" hidden="false" customHeight="false" outlineLevel="0" collapsed="false">
      <c r="A648" s="0" t="s">
        <v>10144</v>
      </c>
      <c r="B648" s="0" t="s">
        <v>10145</v>
      </c>
      <c r="C648" s="0" t="s">
        <v>10146</v>
      </c>
      <c r="D648" s="0" t="s">
        <v>9511</v>
      </c>
      <c r="E648" s="5" t="s">
        <v>81</v>
      </c>
      <c r="F648" s="0" t="s">
        <v>9066</v>
      </c>
      <c r="G648" s="0" t="s">
        <v>3371</v>
      </c>
      <c r="H648" s="0" t="s">
        <v>8176</v>
      </c>
      <c r="I648" s="0" t="s">
        <v>10147</v>
      </c>
      <c r="K648" s="0" t="s">
        <v>40</v>
      </c>
      <c r="L648" s="0" t="s">
        <v>10148</v>
      </c>
    </row>
    <row r="649" customFormat="false" ht="17.15" hidden="false" customHeight="false" outlineLevel="0" collapsed="false">
      <c r="A649" s="0" t="s">
        <v>10149</v>
      </c>
      <c r="B649" s="0" t="s">
        <v>10145</v>
      </c>
      <c r="C649" s="0" t="s">
        <v>10150</v>
      </c>
      <c r="D649" s="0" t="s">
        <v>7739</v>
      </c>
      <c r="E649" s="5" t="s">
        <v>81</v>
      </c>
      <c r="F649" s="0" t="s">
        <v>9341</v>
      </c>
      <c r="G649" s="0" t="s">
        <v>3371</v>
      </c>
      <c r="H649" s="0" t="s">
        <v>8176</v>
      </c>
      <c r="I649" s="0" t="s">
        <v>10151</v>
      </c>
      <c r="K649" s="0" t="s">
        <v>40</v>
      </c>
      <c r="L649" s="0" t="s">
        <v>10152</v>
      </c>
    </row>
    <row r="650" customFormat="false" ht="17.15" hidden="false" customHeight="false" outlineLevel="0" collapsed="false">
      <c r="A650" s="0" t="s">
        <v>10153</v>
      </c>
      <c r="B650" s="5" t="s">
        <v>8656</v>
      </c>
      <c r="C650" s="5" t="s">
        <v>10154</v>
      </c>
      <c r="D650" s="0" t="s">
        <v>8300</v>
      </c>
      <c r="E650" s="5" t="s">
        <v>81</v>
      </c>
      <c r="F650" s="0" t="s">
        <v>2098</v>
      </c>
      <c r="G650" s="0" t="s">
        <v>3371</v>
      </c>
      <c r="H650" s="0" t="s">
        <v>8176</v>
      </c>
      <c r="I650" s="0" t="s">
        <v>10155</v>
      </c>
      <c r="K650" s="0" t="s">
        <v>40</v>
      </c>
      <c r="L650" s="0" t="s">
        <v>10156</v>
      </c>
    </row>
    <row r="651" customFormat="false" ht="17.15" hidden="false" customHeight="false" outlineLevel="0" collapsed="false">
      <c r="A651" s="0" t="s">
        <v>10157</v>
      </c>
      <c r="B651" s="0" t="s">
        <v>10158</v>
      </c>
      <c r="C651" s="0" t="s">
        <v>10159</v>
      </c>
      <c r="D651" s="0" t="s">
        <v>117</v>
      </c>
      <c r="E651" s="5" t="s">
        <v>81</v>
      </c>
      <c r="F651" s="0" t="s">
        <v>8772</v>
      </c>
      <c r="G651" s="0" t="s">
        <v>3371</v>
      </c>
      <c r="H651" s="0" t="s">
        <v>8176</v>
      </c>
      <c r="I651" s="5" t="s">
        <v>10160</v>
      </c>
      <c r="K651" s="0" t="s">
        <v>40</v>
      </c>
      <c r="L651" s="0" t="s">
        <v>10161</v>
      </c>
    </row>
    <row r="652" customFormat="false" ht="17.15" hidden="false" customHeight="false" outlineLevel="0" collapsed="false">
      <c r="A652" s="0" t="s">
        <v>10162</v>
      </c>
      <c r="B652" s="0" t="s">
        <v>10163</v>
      </c>
      <c r="C652" s="0" t="s">
        <v>10164</v>
      </c>
      <c r="D652" s="0" t="s">
        <v>8499</v>
      </c>
      <c r="E652" s="0" t="s">
        <v>116</v>
      </c>
      <c r="G652" s="0" t="s">
        <v>3371</v>
      </c>
      <c r="H652" s="0" t="s">
        <v>8176</v>
      </c>
      <c r="I652" s="0" t="s">
        <v>10165</v>
      </c>
      <c r="K652" s="0" t="s">
        <v>40</v>
      </c>
      <c r="L652" s="0" t="s">
        <v>10166</v>
      </c>
    </row>
    <row r="653" customFormat="false" ht="17.15" hidden="false" customHeight="false" outlineLevel="0" collapsed="false">
      <c r="A653" s="0" t="s">
        <v>10167</v>
      </c>
      <c r="B653" s="0" t="s">
        <v>10168</v>
      </c>
      <c r="C653" s="0" t="s">
        <v>10169</v>
      </c>
      <c r="D653" s="0" t="s">
        <v>8182</v>
      </c>
      <c r="E653" s="5" t="s">
        <v>81</v>
      </c>
      <c r="F653" s="0" t="s">
        <v>3648</v>
      </c>
      <c r="G653" s="0" t="s">
        <v>3371</v>
      </c>
      <c r="H653" s="0" t="s">
        <v>8241</v>
      </c>
      <c r="I653" s="0" t="s">
        <v>10170</v>
      </c>
      <c r="K653" s="0" t="s">
        <v>40</v>
      </c>
      <c r="L653" s="0" t="s">
        <v>9438</v>
      </c>
    </row>
    <row r="654" customFormat="false" ht="17.15" hidden="false" customHeight="false" outlineLevel="0" collapsed="false">
      <c r="A654" s="0" t="s">
        <v>10171</v>
      </c>
      <c r="B654" s="0" t="s">
        <v>10172</v>
      </c>
      <c r="C654" s="0" t="s">
        <v>10173</v>
      </c>
      <c r="D654" s="0" t="s">
        <v>8300</v>
      </c>
      <c r="E654" s="5" t="s">
        <v>81</v>
      </c>
      <c r="F654" s="0" t="s">
        <v>8845</v>
      </c>
      <c r="G654" s="0" t="s">
        <v>3371</v>
      </c>
      <c r="H654" s="0" t="s">
        <v>8176</v>
      </c>
      <c r="I654" s="0" t="s">
        <v>10174</v>
      </c>
      <c r="K654" s="0" t="s">
        <v>40</v>
      </c>
      <c r="L654" s="0" t="s">
        <v>10175</v>
      </c>
    </row>
    <row r="655" customFormat="false" ht="17.15" hidden="false" customHeight="false" outlineLevel="0" collapsed="false">
      <c r="A655" s="0" t="s">
        <v>10176</v>
      </c>
      <c r="B655" s="0" t="s">
        <v>10177</v>
      </c>
      <c r="C655" s="0" t="s">
        <v>10178</v>
      </c>
      <c r="D655" s="0" t="s">
        <v>7177</v>
      </c>
      <c r="E655" s="5" t="s">
        <v>81</v>
      </c>
      <c r="F655" s="0" t="s">
        <v>10179</v>
      </c>
      <c r="G655" s="0" t="s">
        <v>3371</v>
      </c>
      <c r="H655" s="0" t="s">
        <v>8208</v>
      </c>
      <c r="I655" s="0" t="s">
        <v>10180</v>
      </c>
      <c r="K655" s="0" t="s">
        <v>40</v>
      </c>
      <c r="L655" s="0" t="s">
        <v>10181</v>
      </c>
    </row>
    <row r="656" customFormat="false" ht="17.15" hidden="false" customHeight="false" outlineLevel="0" collapsed="false">
      <c r="A656" s="0" t="s">
        <v>10182</v>
      </c>
      <c r="B656" s="0" t="s">
        <v>10183</v>
      </c>
      <c r="C656" s="0" t="s">
        <v>10184</v>
      </c>
      <c r="D656" s="0" t="s">
        <v>117</v>
      </c>
      <c r="E656" s="5" t="s">
        <v>81</v>
      </c>
      <c r="F656" s="0" t="s">
        <v>8845</v>
      </c>
      <c r="G656" s="0" t="s">
        <v>3371</v>
      </c>
      <c r="H656" s="0" t="s">
        <v>8219</v>
      </c>
      <c r="I656" s="5" t="s">
        <v>8220</v>
      </c>
      <c r="K656" s="0" t="s">
        <v>40</v>
      </c>
      <c r="L656" s="0" t="s">
        <v>10185</v>
      </c>
    </row>
    <row r="657" customFormat="false" ht="17.15" hidden="false" customHeight="false" outlineLevel="0" collapsed="false">
      <c r="A657" s="0" t="s">
        <v>10186</v>
      </c>
      <c r="B657" s="5" t="s">
        <v>10187</v>
      </c>
      <c r="C657" s="5" t="s">
        <v>10188</v>
      </c>
      <c r="D657" s="0" t="s">
        <v>117</v>
      </c>
      <c r="E657" s="5" t="s">
        <v>81</v>
      </c>
      <c r="F657" s="0" t="s">
        <v>10189</v>
      </c>
      <c r="G657" s="0" t="s">
        <v>3371</v>
      </c>
      <c r="H657" s="0" t="s">
        <v>8241</v>
      </c>
      <c r="I657" s="5" t="s">
        <v>10190</v>
      </c>
      <c r="K657" s="0" t="s">
        <v>40</v>
      </c>
      <c r="L657" s="0" t="s">
        <v>10191</v>
      </c>
    </row>
    <row r="658" customFormat="false" ht="17.15" hidden="false" customHeight="false" outlineLevel="0" collapsed="false">
      <c r="A658" s="0" t="s">
        <v>10192</v>
      </c>
      <c r="B658" s="5" t="s">
        <v>8656</v>
      </c>
      <c r="C658" s="5" t="s">
        <v>10193</v>
      </c>
      <c r="D658" s="0" t="s">
        <v>7239</v>
      </c>
      <c r="E658" s="5" t="s">
        <v>81</v>
      </c>
      <c r="F658" s="0" t="s">
        <v>10194</v>
      </c>
      <c r="G658" s="0" t="s">
        <v>3371</v>
      </c>
      <c r="H658" s="0" t="s">
        <v>8202</v>
      </c>
      <c r="I658" s="0" t="s">
        <v>10195</v>
      </c>
      <c r="K658" s="0" t="s">
        <v>40</v>
      </c>
      <c r="L658" s="0" t="s">
        <v>10196</v>
      </c>
    </row>
    <row r="659" customFormat="false" ht="17.15" hidden="false" customHeight="false" outlineLevel="0" collapsed="false">
      <c r="A659" s="0" t="s">
        <v>10197</v>
      </c>
      <c r="B659" s="5" t="s">
        <v>8656</v>
      </c>
      <c r="C659" s="5" t="s">
        <v>10198</v>
      </c>
      <c r="D659" s="0" t="s">
        <v>8499</v>
      </c>
      <c r="E659" s="5" t="s">
        <v>81</v>
      </c>
      <c r="F659" s="0" t="s">
        <v>7605</v>
      </c>
      <c r="G659" s="0" t="s">
        <v>3371</v>
      </c>
      <c r="H659" s="0" t="s">
        <v>8176</v>
      </c>
      <c r="I659" s="0" t="s">
        <v>10199</v>
      </c>
      <c r="K659" s="0" t="s">
        <v>40</v>
      </c>
      <c r="L659" s="0" t="s">
        <v>10200</v>
      </c>
    </row>
    <row r="660" customFormat="false" ht="17.15" hidden="false" customHeight="false" outlineLevel="0" collapsed="false">
      <c r="A660" s="0" t="s">
        <v>10201</v>
      </c>
      <c r="B660" s="5" t="s">
        <v>8656</v>
      </c>
      <c r="C660" s="5" t="s">
        <v>10202</v>
      </c>
      <c r="D660" s="0" t="s">
        <v>8499</v>
      </c>
      <c r="E660" s="5" t="s">
        <v>81</v>
      </c>
      <c r="F660" s="0" t="s">
        <v>10194</v>
      </c>
      <c r="G660" s="0" t="s">
        <v>3371</v>
      </c>
      <c r="H660" s="0" t="s">
        <v>8202</v>
      </c>
      <c r="I660" s="0" t="s">
        <v>10203</v>
      </c>
      <c r="K660" s="0" t="s">
        <v>40</v>
      </c>
      <c r="L660" s="0" t="s">
        <v>10196</v>
      </c>
    </row>
    <row r="661" customFormat="false" ht="17.15" hidden="false" customHeight="false" outlineLevel="0" collapsed="false">
      <c r="A661" s="0" t="s">
        <v>10204</v>
      </c>
      <c r="B661" s="0" t="s">
        <v>10205</v>
      </c>
      <c r="C661" s="0" t="s">
        <v>10206</v>
      </c>
      <c r="D661" s="0" t="s">
        <v>117</v>
      </c>
      <c r="E661" s="5" t="s">
        <v>81</v>
      </c>
      <c r="F661" s="0" t="s">
        <v>10207</v>
      </c>
      <c r="G661" s="0" t="s">
        <v>3371</v>
      </c>
      <c r="H661" s="0" t="s">
        <v>8202</v>
      </c>
      <c r="I661" s="5" t="s">
        <v>10208</v>
      </c>
      <c r="K661" s="0" t="s">
        <v>40</v>
      </c>
      <c r="L661" s="0" t="s">
        <v>10209</v>
      </c>
    </row>
    <row r="662" customFormat="false" ht="17.15" hidden="false" customHeight="false" outlineLevel="0" collapsed="false">
      <c r="A662" s="0" t="s">
        <v>10210</v>
      </c>
      <c r="B662" s="0" t="s">
        <v>10211</v>
      </c>
      <c r="C662" s="0" t="s">
        <v>10212</v>
      </c>
      <c r="D662" s="0" t="s">
        <v>117</v>
      </c>
      <c r="E662" s="5" t="s">
        <v>81</v>
      </c>
      <c r="F662" s="0" t="s">
        <v>8058</v>
      </c>
      <c r="G662" s="0" t="s">
        <v>3371</v>
      </c>
      <c r="H662" s="0" t="s">
        <v>8224</v>
      </c>
      <c r="I662" s="5" t="s">
        <v>10213</v>
      </c>
      <c r="K662" s="0" t="s">
        <v>40</v>
      </c>
      <c r="L662" s="0" t="s">
        <v>10214</v>
      </c>
    </row>
    <row r="663" customFormat="false" ht="17.15" hidden="false" customHeight="false" outlineLevel="0" collapsed="false">
      <c r="A663" s="0" t="s">
        <v>10215</v>
      </c>
      <c r="B663" s="0" t="s">
        <v>10216</v>
      </c>
      <c r="C663" s="0" t="s">
        <v>10217</v>
      </c>
      <c r="D663" s="0" t="s">
        <v>8527</v>
      </c>
      <c r="E663" s="5" t="s">
        <v>81</v>
      </c>
      <c r="F663" s="0" t="s">
        <v>9769</v>
      </c>
      <c r="G663" s="0" t="s">
        <v>3371</v>
      </c>
      <c r="H663" s="0" t="s">
        <v>8224</v>
      </c>
      <c r="I663" s="0" t="s">
        <v>10218</v>
      </c>
      <c r="J663" s="0" t="s">
        <v>10219</v>
      </c>
      <c r="K663" s="5" t="s">
        <v>3313</v>
      </c>
      <c r="L663" s="0" t="s">
        <v>10220</v>
      </c>
    </row>
    <row r="664" customFormat="false" ht="17.15" hidden="false" customHeight="false" outlineLevel="0" collapsed="false">
      <c r="A664" s="0" t="s">
        <v>10221</v>
      </c>
      <c r="B664" s="0" t="s">
        <v>10216</v>
      </c>
      <c r="C664" s="0" t="s">
        <v>10222</v>
      </c>
      <c r="D664" s="0" t="s">
        <v>8527</v>
      </c>
      <c r="E664" s="5" t="s">
        <v>81</v>
      </c>
      <c r="F664" s="0" t="s">
        <v>9769</v>
      </c>
      <c r="G664" s="0" t="s">
        <v>3371</v>
      </c>
      <c r="H664" s="0" t="s">
        <v>8224</v>
      </c>
      <c r="I664" s="0" t="s">
        <v>10223</v>
      </c>
      <c r="J664" s="0" t="s">
        <v>10219</v>
      </c>
      <c r="K664" s="5" t="s">
        <v>3313</v>
      </c>
      <c r="L664" s="0" t="s">
        <v>10220</v>
      </c>
    </row>
    <row r="665" customFormat="false" ht="17.15" hidden="false" customHeight="false" outlineLevel="0" collapsed="false">
      <c r="A665" s="0" t="s">
        <v>10224</v>
      </c>
      <c r="B665" s="0" t="s">
        <v>10216</v>
      </c>
      <c r="C665" s="0" t="s">
        <v>10225</v>
      </c>
      <c r="D665" s="0" t="s">
        <v>117</v>
      </c>
      <c r="E665" s="5" t="s">
        <v>81</v>
      </c>
      <c r="F665" s="0" t="s">
        <v>9341</v>
      </c>
      <c r="G665" s="0" t="s">
        <v>3371</v>
      </c>
      <c r="H665" s="0" t="s">
        <v>8176</v>
      </c>
      <c r="I665" s="5" t="s">
        <v>10226</v>
      </c>
      <c r="K665" s="0" t="s">
        <v>40</v>
      </c>
      <c r="L665" s="0" t="s">
        <v>10227</v>
      </c>
    </row>
    <row r="666" customFormat="false" ht="17.15" hidden="false" customHeight="false" outlineLevel="0" collapsed="false">
      <c r="A666" s="0" t="s">
        <v>10228</v>
      </c>
      <c r="B666" s="0" t="s">
        <v>10216</v>
      </c>
      <c r="C666" s="0" t="s">
        <v>10229</v>
      </c>
      <c r="D666" s="0" t="s">
        <v>7239</v>
      </c>
      <c r="E666" s="5" t="s">
        <v>81</v>
      </c>
      <c r="F666" s="0" t="s">
        <v>10230</v>
      </c>
      <c r="G666" s="0" t="s">
        <v>3371</v>
      </c>
      <c r="H666" s="0" t="s">
        <v>8224</v>
      </c>
      <c r="I666" s="0" t="s">
        <v>10231</v>
      </c>
      <c r="J666" s="0" t="s">
        <v>10219</v>
      </c>
      <c r="K666" s="5" t="s">
        <v>3313</v>
      </c>
      <c r="L666" s="0" t="s">
        <v>10232</v>
      </c>
    </row>
    <row r="667" customFormat="false" ht="17.15" hidden="false" customHeight="false" outlineLevel="0" collapsed="false">
      <c r="A667" s="0" t="s">
        <v>10233</v>
      </c>
      <c r="B667" s="5" t="s">
        <v>10234</v>
      </c>
      <c r="C667" s="5" t="s">
        <v>10235</v>
      </c>
      <c r="D667" s="0" t="s">
        <v>117</v>
      </c>
      <c r="E667" s="5" t="s">
        <v>81</v>
      </c>
      <c r="F667" s="0" t="s">
        <v>8078</v>
      </c>
      <c r="G667" s="0" t="s">
        <v>3371</v>
      </c>
      <c r="H667" s="0" t="s">
        <v>8208</v>
      </c>
      <c r="I667" s="5" t="s">
        <v>10236</v>
      </c>
      <c r="K667" s="0" t="s">
        <v>40</v>
      </c>
      <c r="L667" s="0" t="s">
        <v>10237</v>
      </c>
    </row>
    <row r="668" customFormat="false" ht="17.15" hidden="false" customHeight="false" outlineLevel="0" collapsed="false">
      <c r="A668" s="0" t="s">
        <v>10238</v>
      </c>
      <c r="B668" s="0" t="s">
        <v>10239</v>
      </c>
      <c r="C668" s="0" t="s">
        <v>10240</v>
      </c>
      <c r="D668" s="0" t="s">
        <v>10241</v>
      </c>
      <c r="E668" s="5" t="s">
        <v>81</v>
      </c>
      <c r="F668" s="0" t="s">
        <v>10242</v>
      </c>
      <c r="G668" s="0" t="s">
        <v>3371</v>
      </c>
      <c r="H668" s="0" t="s">
        <v>8176</v>
      </c>
      <c r="I668" s="0" t="s">
        <v>10243</v>
      </c>
      <c r="K668" s="0" t="s">
        <v>40</v>
      </c>
      <c r="L668" s="0" t="s">
        <v>10244</v>
      </c>
    </row>
    <row r="669" customFormat="false" ht="17.15" hidden="false" customHeight="false" outlineLevel="0" collapsed="false">
      <c r="A669" s="0" t="s">
        <v>10245</v>
      </c>
      <c r="B669" s="5" t="s">
        <v>8656</v>
      </c>
      <c r="C669" s="5" t="s">
        <v>10246</v>
      </c>
      <c r="D669" s="0" t="s">
        <v>117</v>
      </c>
      <c r="E669" s="5" t="s">
        <v>81</v>
      </c>
      <c r="F669" s="0" t="s">
        <v>7221</v>
      </c>
      <c r="G669" s="0" t="s">
        <v>3317</v>
      </c>
      <c r="H669" s="0" t="s">
        <v>8176</v>
      </c>
      <c r="I669" s="5" t="s">
        <v>10247</v>
      </c>
      <c r="K669" s="0" t="s">
        <v>40</v>
      </c>
      <c r="L669" s="0" t="s">
        <v>10248</v>
      </c>
    </row>
    <row r="670" customFormat="false" ht="17.15" hidden="false" customHeight="false" outlineLevel="0" collapsed="false">
      <c r="A670" s="0" t="s">
        <v>10249</v>
      </c>
      <c r="B670" s="5" t="s">
        <v>8656</v>
      </c>
      <c r="C670" s="5" t="s">
        <v>10250</v>
      </c>
      <c r="D670" s="0" t="s">
        <v>7239</v>
      </c>
      <c r="E670" s="5" t="s">
        <v>81</v>
      </c>
      <c r="F670" s="0" t="s">
        <v>10251</v>
      </c>
      <c r="G670" s="0" t="s">
        <v>3371</v>
      </c>
      <c r="H670" s="0" t="s">
        <v>8176</v>
      </c>
      <c r="I670" s="0" t="s">
        <v>10252</v>
      </c>
      <c r="K670" s="0" t="s">
        <v>40</v>
      </c>
      <c r="L670" s="0" t="s">
        <v>10253</v>
      </c>
    </row>
    <row r="671" customFormat="false" ht="17.15" hidden="false" customHeight="false" outlineLevel="0" collapsed="false">
      <c r="A671" s="0" t="s">
        <v>10254</v>
      </c>
      <c r="B671" s="0" t="s">
        <v>8462</v>
      </c>
      <c r="C671" s="0" t="s">
        <v>10255</v>
      </c>
      <c r="D671" s="0" t="s">
        <v>8182</v>
      </c>
      <c r="E671" s="5" t="s">
        <v>81</v>
      </c>
      <c r="F671" s="0" t="s">
        <v>8071</v>
      </c>
      <c r="G671" s="0" t="s">
        <v>3371</v>
      </c>
      <c r="H671" s="0" t="s">
        <v>8219</v>
      </c>
      <c r="I671" s="5" t="s">
        <v>8220</v>
      </c>
      <c r="K671" s="0" t="s">
        <v>40</v>
      </c>
      <c r="L671" s="0" t="s">
        <v>10256</v>
      </c>
    </row>
    <row r="672" customFormat="false" ht="17.15" hidden="false" customHeight="false" outlineLevel="0" collapsed="false">
      <c r="A672" s="0" t="s">
        <v>10257</v>
      </c>
      <c r="B672" s="0" t="s">
        <v>8462</v>
      </c>
      <c r="C672" s="0" t="s">
        <v>10258</v>
      </c>
      <c r="D672" s="0" t="s">
        <v>10259</v>
      </c>
      <c r="E672" s="0" t="s">
        <v>116</v>
      </c>
      <c r="F672" s="0" t="s">
        <v>9840</v>
      </c>
      <c r="G672" s="0" t="s">
        <v>3371</v>
      </c>
      <c r="H672" s="0" t="s">
        <v>8208</v>
      </c>
      <c r="I672" s="0" t="s">
        <v>10260</v>
      </c>
      <c r="K672" s="0" t="s">
        <v>40</v>
      </c>
      <c r="L672" s="0" t="s">
        <v>10261</v>
      </c>
    </row>
    <row r="673" customFormat="false" ht="17.15" hidden="false" customHeight="false" outlineLevel="0" collapsed="false">
      <c r="A673" s="0" t="s">
        <v>10262</v>
      </c>
      <c r="B673" s="0" t="s">
        <v>8462</v>
      </c>
      <c r="C673" s="0" t="s">
        <v>10263</v>
      </c>
      <c r="D673" s="0" t="s">
        <v>117</v>
      </c>
      <c r="E673" s="5" t="s">
        <v>81</v>
      </c>
      <c r="F673" s="0" t="s">
        <v>8071</v>
      </c>
      <c r="G673" s="0" t="s">
        <v>3371</v>
      </c>
      <c r="H673" s="0" t="s">
        <v>8241</v>
      </c>
      <c r="I673" s="5" t="s">
        <v>10264</v>
      </c>
      <c r="K673" s="0" t="s">
        <v>40</v>
      </c>
      <c r="L673" s="0" t="s">
        <v>10265</v>
      </c>
    </row>
    <row r="674" customFormat="false" ht="17.15" hidden="false" customHeight="false" outlineLevel="0" collapsed="false">
      <c r="A674" s="0" t="s">
        <v>10266</v>
      </c>
      <c r="B674" s="0" t="s">
        <v>8462</v>
      </c>
      <c r="C674" s="0" t="s">
        <v>10267</v>
      </c>
      <c r="D674" s="0" t="s">
        <v>8940</v>
      </c>
      <c r="E674" s="5" t="s">
        <v>81</v>
      </c>
      <c r="F674" s="0" t="s">
        <v>10268</v>
      </c>
      <c r="G674" s="0" t="s">
        <v>3371</v>
      </c>
      <c r="H674" s="0" t="s">
        <v>8176</v>
      </c>
      <c r="I674" s="0" t="s">
        <v>10269</v>
      </c>
      <c r="K674" s="0" t="s">
        <v>40</v>
      </c>
      <c r="L674" s="0" t="s">
        <v>10270</v>
      </c>
    </row>
    <row r="675" customFormat="false" ht="17.15" hidden="false" customHeight="false" outlineLevel="0" collapsed="false">
      <c r="A675" s="0" t="s">
        <v>10271</v>
      </c>
      <c r="B675" s="0" t="s">
        <v>8462</v>
      </c>
      <c r="C675" s="0" t="s">
        <v>10272</v>
      </c>
      <c r="D675" s="0" t="s">
        <v>117</v>
      </c>
      <c r="E675" s="5" t="s">
        <v>81</v>
      </c>
      <c r="F675" s="0" t="s">
        <v>8861</v>
      </c>
      <c r="G675" s="0" t="s">
        <v>3371</v>
      </c>
      <c r="H675" s="0" t="s">
        <v>8208</v>
      </c>
      <c r="I675" s="5" t="s">
        <v>10273</v>
      </c>
      <c r="K675" s="0" t="s">
        <v>40</v>
      </c>
      <c r="L675" s="0" t="s">
        <v>10274</v>
      </c>
    </row>
    <row r="676" customFormat="false" ht="17.15" hidden="false" customHeight="false" outlineLevel="0" collapsed="false">
      <c r="A676" s="0" t="s">
        <v>10275</v>
      </c>
      <c r="B676" s="0" t="s">
        <v>8462</v>
      </c>
      <c r="C676" s="0" t="s">
        <v>10276</v>
      </c>
      <c r="D676" s="0" t="s">
        <v>10277</v>
      </c>
      <c r="E676" s="5" t="s">
        <v>81</v>
      </c>
      <c r="F676" s="0" t="s">
        <v>10278</v>
      </c>
      <c r="G676" s="0" t="s">
        <v>3327</v>
      </c>
      <c r="H676" s="0" t="s">
        <v>8208</v>
      </c>
      <c r="I676" s="5" t="s">
        <v>10279</v>
      </c>
      <c r="K676" s="0" t="s">
        <v>40</v>
      </c>
      <c r="L676" s="0" t="s">
        <v>10280</v>
      </c>
    </row>
    <row r="677" customFormat="false" ht="17.15" hidden="false" customHeight="false" outlineLevel="0" collapsed="false">
      <c r="A677" s="0" t="s">
        <v>10281</v>
      </c>
      <c r="B677" s="0" t="s">
        <v>10282</v>
      </c>
      <c r="C677" s="0" t="s">
        <v>10283</v>
      </c>
      <c r="D677" s="0" t="s">
        <v>9985</v>
      </c>
      <c r="E677" s="5" t="s">
        <v>81</v>
      </c>
      <c r="F677" s="0" t="s">
        <v>7551</v>
      </c>
      <c r="G677" s="0" t="s">
        <v>3371</v>
      </c>
      <c r="H677" s="0" t="s">
        <v>8208</v>
      </c>
      <c r="I677" s="5" t="s">
        <v>10284</v>
      </c>
      <c r="K677" s="0" t="s">
        <v>40</v>
      </c>
      <c r="L677" s="0" t="s">
        <v>10285</v>
      </c>
    </row>
    <row r="678" customFormat="false" ht="17.15" hidden="false" customHeight="false" outlineLevel="0" collapsed="false">
      <c r="A678" s="0" t="s">
        <v>10286</v>
      </c>
      <c r="B678" s="0" t="s">
        <v>10282</v>
      </c>
      <c r="C678" s="0" t="s">
        <v>10287</v>
      </c>
      <c r="D678" s="0" t="s">
        <v>10288</v>
      </c>
      <c r="E678" s="5" t="s">
        <v>81</v>
      </c>
      <c r="F678" s="0" t="s">
        <v>3648</v>
      </c>
      <c r="G678" s="0" t="s">
        <v>3371</v>
      </c>
      <c r="H678" s="0" t="s">
        <v>8208</v>
      </c>
      <c r="I678" s="5" t="s">
        <v>10289</v>
      </c>
      <c r="K678" s="0" t="s">
        <v>40</v>
      </c>
      <c r="L678" s="0" t="s">
        <v>10290</v>
      </c>
    </row>
    <row r="679" customFormat="false" ht="17.15" hidden="false" customHeight="false" outlineLevel="0" collapsed="false">
      <c r="A679" s="0" t="s">
        <v>10291</v>
      </c>
      <c r="B679" s="0" t="s">
        <v>10282</v>
      </c>
      <c r="C679" s="0" t="s">
        <v>10292</v>
      </c>
      <c r="D679" s="0" t="s">
        <v>10293</v>
      </c>
      <c r="E679" s="5" t="s">
        <v>81</v>
      </c>
      <c r="F679" s="0" t="s">
        <v>8934</v>
      </c>
      <c r="G679" s="0" t="s">
        <v>3371</v>
      </c>
      <c r="H679" s="0" t="s">
        <v>8176</v>
      </c>
      <c r="I679" s="0" t="s">
        <v>10294</v>
      </c>
      <c r="K679" s="0" t="s">
        <v>40</v>
      </c>
      <c r="L679" s="0" t="s">
        <v>10295</v>
      </c>
    </row>
    <row r="680" customFormat="false" ht="17.15" hidden="false" customHeight="false" outlineLevel="0" collapsed="false">
      <c r="A680" s="0" t="s">
        <v>10296</v>
      </c>
      <c r="B680" s="0" t="s">
        <v>10297</v>
      </c>
      <c r="C680" s="0" t="s">
        <v>10298</v>
      </c>
      <c r="D680" s="0" t="s">
        <v>8182</v>
      </c>
      <c r="E680" s="5" t="s">
        <v>81</v>
      </c>
      <c r="F680" s="0" t="s">
        <v>7746</v>
      </c>
      <c r="G680" s="0" t="s">
        <v>3371</v>
      </c>
      <c r="H680" s="0" t="s">
        <v>8176</v>
      </c>
      <c r="I680" s="0" t="s">
        <v>10299</v>
      </c>
      <c r="K680" s="0" t="s">
        <v>40</v>
      </c>
      <c r="L680" s="0" t="s">
        <v>10300</v>
      </c>
    </row>
    <row r="681" customFormat="false" ht="17.15" hidden="false" customHeight="false" outlineLevel="0" collapsed="false">
      <c r="A681" s="0" t="s">
        <v>10301</v>
      </c>
      <c r="B681" s="0" t="s">
        <v>10297</v>
      </c>
      <c r="C681" s="0" t="s">
        <v>10302</v>
      </c>
      <c r="D681" s="0" t="s">
        <v>8808</v>
      </c>
      <c r="E681" s="0" t="s">
        <v>116</v>
      </c>
      <c r="F681" s="0" t="s">
        <v>7663</v>
      </c>
      <c r="G681" s="0" t="s">
        <v>3371</v>
      </c>
      <c r="H681" s="0" t="s">
        <v>8241</v>
      </c>
      <c r="I681" s="0" t="s">
        <v>10303</v>
      </c>
      <c r="K681" s="0" t="s">
        <v>40</v>
      </c>
      <c r="L681" s="0" t="s">
        <v>10304</v>
      </c>
    </row>
    <row r="682" customFormat="false" ht="17.15" hidden="false" customHeight="false" outlineLevel="0" collapsed="false">
      <c r="A682" s="0" t="s">
        <v>10305</v>
      </c>
      <c r="B682" s="5" t="s">
        <v>10306</v>
      </c>
      <c r="C682" s="5" t="s">
        <v>10307</v>
      </c>
      <c r="D682" s="0" t="s">
        <v>8218</v>
      </c>
      <c r="E682" s="5" t="s">
        <v>81</v>
      </c>
      <c r="F682" s="0" t="s">
        <v>7695</v>
      </c>
      <c r="G682" s="0" t="s">
        <v>3371</v>
      </c>
      <c r="H682" s="0" t="s">
        <v>8208</v>
      </c>
      <c r="I682" s="0" t="s">
        <v>10308</v>
      </c>
      <c r="J682" s="0" t="s">
        <v>994</v>
      </c>
      <c r="K682" s="5" t="s">
        <v>7240</v>
      </c>
      <c r="L682" s="0" t="s">
        <v>10309</v>
      </c>
    </row>
    <row r="683" customFormat="false" ht="17.15" hidden="false" customHeight="false" outlineLevel="0" collapsed="false">
      <c r="A683" s="0" t="s">
        <v>10310</v>
      </c>
      <c r="B683" s="5" t="s">
        <v>10306</v>
      </c>
      <c r="C683" s="5" t="s">
        <v>10311</v>
      </c>
      <c r="D683" s="0" t="s">
        <v>117</v>
      </c>
      <c r="E683" s="5" t="s">
        <v>81</v>
      </c>
      <c r="F683" s="0" t="s">
        <v>7695</v>
      </c>
      <c r="G683" s="0" t="s">
        <v>3371</v>
      </c>
      <c r="H683" s="0" t="s">
        <v>8219</v>
      </c>
      <c r="I683" s="5" t="s">
        <v>8948</v>
      </c>
      <c r="K683" s="0" t="s">
        <v>40</v>
      </c>
      <c r="L683" s="0" t="s">
        <v>10312</v>
      </c>
    </row>
    <row r="684" customFormat="false" ht="17.15" hidden="false" customHeight="false" outlineLevel="0" collapsed="false">
      <c r="A684" s="0" t="s">
        <v>10313</v>
      </c>
      <c r="B684" s="5" t="s">
        <v>10306</v>
      </c>
      <c r="C684" s="5" t="s">
        <v>10314</v>
      </c>
      <c r="D684" s="0" t="s">
        <v>117</v>
      </c>
      <c r="E684" s="5" t="s">
        <v>81</v>
      </c>
      <c r="F684" s="0" t="s">
        <v>7695</v>
      </c>
      <c r="G684" s="0" t="s">
        <v>3371</v>
      </c>
      <c r="H684" s="0" t="s">
        <v>8208</v>
      </c>
      <c r="I684" s="0" t="s">
        <v>10315</v>
      </c>
      <c r="K684" s="0" t="s">
        <v>40</v>
      </c>
      <c r="L684" s="0" t="s">
        <v>10309</v>
      </c>
    </row>
    <row r="685" customFormat="false" ht="17.15" hidden="false" customHeight="false" outlineLevel="0" collapsed="false">
      <c r="A685" s="0" t="s">
        <v>10316</v>
      </c>
      <c r="B685" s="0" t="s">
        <v>10317</v>
      </c>
      <c r="C685" s="0" t="s">
        <v>10318</v>
      </c>
      <c r="D685" s="0" t="s">
        <v>10319</v>
      </c>
      <c r="E685" s="5" t="s">
        <v>81</v>
      </c>
      <c r="F685" s="0" t="s">
        <v>7459</v>
      </c>
      <c r="G685" s="0" t="s">
        <v>3371</v>
      </c>
      <c r="H685" s="0" t="s">
        <v>8176</v>
      </c>
      <c r="I685" s="0" t="s">
        <v>10320</v>
      </c>
      <c r="J685" s="0" t="s">
        <v>994</v>
      </c>
      <c r="K685" s="5" t="s">
        <v>7240</v>
      </c>
      <c r="L685" s="0" t="s">
        <v>10321</v>
      </c>
    </row>
    <row r="686" customFormat="false" ht="17.15" hidden="false" customHeight="false" outlineLevel="0" collapsed="false">
      <c r="A686" s="0" t="s">
        <v>10322</v>
      </c>
      <c r="B686" s="0" t="s">
        <v>10317</v>
      </c>
      <c r="C686" s="0" t="s">
        <v>10323</v>
      </c>
      <c r="D686" s="0" t="s">
        <v>8708</v>
      </c>
      <c r="E686" s="5" t="s">
        <v>81</v>
      </c>
      <c r="F686" s="0" t="s">
        <v>7459</v>
      </c>
      <c r="G686" s="0" t="s">
        <v>3327</v>
      </c>
      <c r="H686" s="0" t="s">
        <v>8224</v>
      </c>
      <c r="I686" s="0" t="s">
        <v>10324</v>
      </c>
      <c r="J686" s="0" t="s">
        <v>994</v>
      </c>
      <c r="K686" s="5" t="s">
        <v>7240</v>
      </c>
      <c r="L686" s="0" t="s">
        <v>10321</v>
      </c>
    </row>
    <row r="687" customFormat="false" ht="17.15" hidden="false" customHeight="false" outlineLevel="0" collapsed="false">
      <c r="A687" s="0" t="s">
        <v>10325</v>
      </c>
      <c r="B687" s="0" t="s">
        <v>10317</v>
      </c>
      <c r="C687" s="0" t="s">
        <v>10326</v>
      </c>
      <c r="D687" s="0" t="s">
        <v>8513</v>
      </c>
      <c r="E687" s="5" t="s">
        <v>81</v>
      </c>
      <c r="F687" s="0" t="s">
        <v>7459</v>
      </c>
      <c r="G687" s="0" t="s">
        <v>3371</v>
      </c>
      <c r="H687" s="0" t="s">
        <v>8176</v>
      </c>
      <c r="I687" s="0" t="s">
        <v>10327</v>
      </c>
      <c r="J687" s="0" t="s">
        <v>994</v>
      </c>
      <c r="K687" s="5" t="s">
        <v>7240</v>
      </c>
      <c r="L687" s="0" t="s">
        <v>10321</v>
      </c>
    </row>
    <row r="688" customFormat="false" ht="17.15" hidden="false" customHeight="false" outlineLevel="0" collapsed="false">
      <c r="A688" s="0" t="s">
        <v>10328</v>
      </c>
      <c r="B688" s="0" t="s">
        <v>10329</v>
      </c>
      <c r="C688" s="0" t="s">
        <v>10330</v>
      </c>
      <c r="D688" s="0" t="s">
        <v>117</v>
      </c>
      <c r="E688" s="5" t="s">
        <v>81</v>
      </c>
      <c r="F688" s="0" t="s">
        <v>10331</v>
      </c>
      <c r="G688" s="0" t="s">
        <v>3317</v>
      </c>
      <c r="H688" s="0" t="s">
        <v>8208</v>
      </c>
      <c r="I688" s="0" t="s">
        <v>10332</v>
      </c>
      <c r="K688" s="0" t="s">
        <v>40</v>
      </c>
      <c r="L688" s="0" t="s">
        <v>10333</v>
      </c>
    </row>
    <row r="689" customFormat="false" ht="17.15" hidden="false" customHeight="false" outlineLevel="0" collapsed="false">
      <c r="A689" s="0" t="s">
        <v>10334</v>
      </c>
      <c r="B689" s="0" t="s">
        <v>1429</v>
      </c>
      <c r="C689" s="0" t="s">
        <v>10335</v>
      </c>
      <c r="D689" s="0" t="s">
        <v>117</v>
      </c>
      <c r="E689" s="5" t="s">
        <v>81</v>
      </c>
      <c r="F689" s="0" t="s">
        <v>10331</v>
      </c>
      <c r="G689" s="0" t="s">
        <v>3317</v>
      </c>
      <c r="H689" s="0" t="s">
        <v>8208</v>
      </c>
      <c r="I689" s="5" t="s">
        <v>10336</v>
      </c>
      <c r="K689" s="0" t="s">
        <v>40</v>
      </c>
      <c r="L689" s="0" t="s">
        <v>10333</v>
      </c>
    </row>
    <row r="690" customFormat="false" ht="17.15" hidden="false" customHeight="false" outlineLevel="0" collapsed="false">
      <c r="A690" s="0" t="s">
        <v>10337</v>
      </c>
      <c r="B690" s="0" t="s">
        <v>1429</v>
      </c>
      <c r="C690" s="0" t="s">
        <v>10338</v>
      </c>
      <c r="D690" s="0" t="s">
        <v>117</v>
      </c>
      <c r="E690" s="5" t="s">
        <v>81</v>
      </c>
      <c r="F690" s="0" t="s">
        <v>10339</v>
      </c>
      <c r="G690" s="0" t="s">
        <v>3317</v>
      </c>
      <c r="H690" s="0" t="s">
        <v>8208</v>
      </c>
      <c r="I690" s="5" t="s">
        <v>10340</v>
      </c>
      <c r="K690" s="0" t="s">
        <v>40</v>
      </c>
      <c r="L690" s="0" t="s">
        <v>10341</v>
      </c>
    </row>
    <row r="691" customFormat="false" ht="17.15" hidden="false" customHeight="false" outlineLevel="0" collapsed="false">
      <c r="A691" s="0" t="s">
        <v>10342</v>
      </c>
      <c r="B691" s="0" t="s">
        <v>10343</v>
      </c>
      <c r="C691" s="0" t="s">
        <v>10344</v>
      </c>
      <c r="D691" s="0" t="s">
        <v>7493</v>
      </c>
      <c r="E691" s="5" t="s">
        <v>81</v>
      </c>
      <c r="F691" s="0" t="s">
        <v>10345</v>
      </c>
      <c r="G691" s="0" t="s">
        <v>3371</v>
      </c>
      <c r="H691" s="0" t="s">
        <v>8241</v>
      </c>
      <c r="I691" s="0" t="s">
        <v>10346</v>
      </c>
      <c r="K691" s="0" t="s">
        <v>40</v>
      </c>
      <c r="L691" s="0" t="s">
        <v>10347</v>
      </c>
    </row>
    <row r="692" customFormat="false" ht="17.15" hidden="false" customHeight="false" outlineLevel="0" collapsed="false">
      <c r="A692" s="0" t="s">
        <v>10348</v>
      </c>
      <c r="B692" s="0" t="s">
        <v>10343</v>
      </c>
      <c r="C692" s="0" t="s">
        <v>10349</v>
      </c>
      <c r="D692" s="0" t="s">
        <v>8182</v>
      </c>
      <c r="E692" s="5" t="s">
        <v>81</v>
      </c>
      <c r="F692" s="0" t="s">
        <v>10345</v>
      </c>
      <c r="G692" s="0" t="s">
        <v>3371</v>
      </c>
      <c r="H692" s="0" t="s">
        <v>8208</v>
      </c>
      <c r="I692" s="5" t="s">
        <v>10350</v>
      </c>
      <c r="K692" s="0" t="s">
        <v>40</v>
      </c>
      <c r="L692" s="0" t="s">
        <v>10351</v>
      </c>
    </row>
    <row r="693" customFormat="false" ht="17.15" hidden="false" customHeight="false" outlineLevel="0" collapsed="false">
      <c r="A693" s="0" t="s">
        <v>10352</v>
      </c>
      <c r="B693" s="0" t="s">
        <v>3970</v>
      </c>
      <c r="C693" s="0" t="s">
        <v>10353</v>
      </c>
      <c r="D693" s="0" t="s">
        <v>7581</v>
      </c>
      <c r="E693" s="5" t="s">
        <v>81</v>
      </c>
      <c r="F693" s="0" t="s">
        <v>10354</v>
      </c>
      <c r="G693" s="0" t="s">
        <v>3371</v>
      </c>
      <c r="H693" s="0" t="s">
        <v>8208</v>
      </c>
      <c r="I693" s="0" t="s">
        <v>10355</v>
      </c>
      <c r="K693" s="0" t="s">
        <v>40</v>
      </c>
      <c r="L693" s="0" t="s">
        <v>10356</v>
      </c>
    </row>
    <row r="694" customFormat="false" ht="17.15" hidden="false" customHeight="false" outlineLevel="0" collapsed="false">
      <c r="A694" s="0" t="s">
        <v>10357</v>
      </c>
      <c r="B694" s="0" t="s">
        <v>10358</v>
      </c>
      <c r="C694" s="0" t="s">
        <v>10359</v>
      </c>
      <c r="D694" s="0" t="s">
        <v>10360</v>
      </c>
      <c r="E694" s="0" t="s">
        <v>116</v>
      </c>
      <c r="F694" s="0" t="s">
        <v>7560</v>
      </c>
      <c r="G694" s="0" t="s">
        <v>3371</v>
      </c>
      <c r="H694" s="0" t="s">
        <v>8219</v>
      </c>
      <c r="I694" s="5" t="s">
        <v>8220</v>
      </c>
      <c r="K694" s="0" t="s">
        <v>40</v>
      </c>
      <c r="L694" s="0" t="s">
        <v>10361</v>
      </c>
    </row>
    <row r="695" customFormat="false" ht="17.15" hidden="false" customHeight="false" outlineLevel="0" collapsed="false">
      <c r="A695" s="0" t="s">
        <v>10362</v>
      </c>
      <c r="B695" s="0" t="s">
        <v>10358</v>
      </c>
      <c r="C695" s="0" t="s">
        <v>10363</v>
      </c>
      <c r="D695" s="0" t="s">
        <v>7568</v>
      </c>
      <c r="E695" s="0" t="s">
        <v>116</v>
      </c>
      <c r="F695" s="0" t="s">
        <v>7560</v>
      </c>
      <c r="G695" s="0" t="s">
        <v>3371</v>
      </c>
      <c r="H695" s="0" t="s">
        <v>8219</v>
      </c>
      <c r="I695" s="5" t="s">
        <v>8220</v>
      </c>
      <c r="K695" s="0" t="s">
        <v>40</v>
      </c>
      <c r="L695" s="0" t="s">
        <v>10361</v>
      </c>
    </row>
    <row r="696" customFormat="false" ht="17.15" hidden="false" customHeight="false" outlineLevel="0" collapsed="false">
      <c r="A696" s="0" t="s">
        <v>10364</v>
      </c>
      <c r="B696" s="0" t="s">
        <v>10358</v>
      </c>
      <c r="C696" s="0" t="s">
        <v>10365</v>
      </c>
      <c r="D696" s="0" t="s">
        <v>9961</v>
      </c>
      <c r="E696" s="0" t="s">
        <v>116</v>
      </c>
      <c r="F696" s="0" t="s">
        <v>7560</v>
      </c>
      <c r="G696" s="0" t="s">
        <v>3371</v>
      </c>
      <c r="H696" s="0" t="s">
        <v>8219</v>
      </c>
      <c r="I696" s="5" t="s">
        <v>8220</v>
      </c>
      <c r="K696" s="0" t="s">
        <v>40</v>
      </c>
      <c r="L696" s="0" t="s">
        <v>10361</v>
      </c>
    </row>
    <row r="697" customFormat="false" ht="17.15" hidden="false" customHeight="false" outlineLevel="0" collapsed="false">
      <c r="A697" s="0" t="s">
        <v>10366</v>
      </c>
      <c r="B697" s="0" t="s">
        <v>10367</v>
      </c>
      <c r="C697" s="0" t="s">
        <v>10368</v>
      </c>
      <c r="D697" s="0" t="s">
        <v>8499</v>
      </c>
      <c r="E697" s="5" t="s">
        <v>81</v>
      </c>
      <c r="F697" s="0" t="s">
        <v>7924</v>
      </c>
      <c r="G697" s="0" t="s">
        <v>3371</v>
      </c>
      <c r="H697" s="0" t="s">
        <v>8176</v>
      </c>
      <c r="I697" s="0" t="s">
        <v>10369</v>
      </c>
      <c r="K697" s="0" t="s">
        <v>40</v>
      </c>
      <c r="L697" s="0" t="s">
        <v>10370</v>
      </c>
    </row>
    <row r="698" customFormat="false" ht="17.15" hidden="false" customHeight="false" outlineLevel="0" collapsed="false">
      <c r="A698" s="0" t="s">
        <v>10371</v>
      </c>
      <c r="B698" s="0" t="s">
        <v>10367</v>
      </c>
      <c r="C698" s="0" t="s">
        <v>10372</v>
      </c>
      <c r="D698" s="0" t="s">
        <v>8674</v>
      </c>
      <c r="E698" s="5" t="s">
        <v>81</v>
      </c>
      <c r="F698" s="0" t="s">
        <v>9134</v>
      </c>
      <c r="G698" s="0" t="s">
        <v>3371</v>
      </c>
      <c r="H698" s="0" t="s">
        <v>8208</v>
      </c>
      <c r="I698" s="5" t="s">
        <v>10373</v>
      </c>
      <c r="K698" s="0" t="s">
        <v>40</v>
      </c>
      <c r="L698" s="0" t="s">
        <v>10374</v>
      </c>
    </row>
    <row r="699" customFormat="false" ht="17.15" hidden="false" customHeight="false" outlineLevel="0" collapsed="false">
      <c r="A699" s="0" t="s">
        <v>10375</v>
      </c>
      <c r="B699" s="0" t="s">
        <v>10367</v>
      </c>
      <c r="C699" s="0" t="s">
        <v>10376</v>
      </c>
      <c r="D699" s="0" t="s">
        <v>8527</v>
      </c>
      <c r="E699" s="5" t="s">
        <v>81</v>
      </c>
      <c r="F699" s="0" t="s">
        <v>7924</v>
      </c>
      <c r="G699" s="0" t="s">
        <v>3371</v>
      </c>
      <c r="H699" s="0" t="s">
        <v>8224</v>
      </c>
      <c r="I699" s="5" t="s">
        <v>10377</v>
      </c>
      <c r="K699" s="0" t="s">
        <v>40</v>
      </c>
      <c r="L699" s="0" t="s">
        <v>10370</v>
      </c>
    </row>
    <row r="700" customFormat="false" ht="17.15" hidden="false" customHeight="false" outlineLevel="0" collapsed="false">
      <c r="A700" s="0" t="s">
        <v>10378</v>
      </c>
      <c r="B700" s="0" t="s">
        <v>10367</v>
      </c>
      <c r="C700" s="0" t="s">
        <v>10379</v>
      </c>
      <c r="D700" s="0" t="s">
        <v>7568</v>
      </c>
      <c r="E700" s="5" t="s">
        <v>81</v>
      </c>
      <c r="F700" s="0" t="s">
        <v>9980</v>
      </c>
      <c r="G700" s="0" t="s">
        <v>3317</v>
      </c>
      <c r="H700" s="0" t="s">
        <v>8202</v>
      </c>
      <c r="I700" s="5" t="s">
        <v>10380</v>
      </c>
      <c r="K700" s="0" t="s">
        <v>40</v>
      </c>
      <c r="L700" s="0" t="s">
        <v>10381</v>
      </c>
    </row>
    <row r="701" customFormat="false" ht="17.15" hidden="false" customHeight="false" outlineLevel="0" collapsed="false">
      <c r="A701" s="0" t="s">
        <v>10382</v>
      </c>
      <c r="B701" s="0" t="s">
        <v>10383</v>
      </c>
      <c r="C701" s="0" t="s">
        <v>10384</v>
      </c>
      <c r="D701" s="0" t="s">
        <v>10385</v>
      </c>
      <c r="E701" s="0" t="s">
        <v>116</v>
      </c>
      <c r="F701" s="0" t="s">
        <v>3814</v>
      </c>
      <c r="G701" s="0" t="s">
        <v>3371</v>
      </c>
      <c r="H701" s="0" t="s">
        <v>8176</v>
      </c>
      <c r="I701" s="0" t="s">
        <v>10386</v>
      </c>
      <c r="K701" s="0" t="s">
        <v>40</v>
      </c>
      <c r="L701" s="0" t="s">
        <v>10387</v>
      </c>
    </row>
    <row r="702" customFormat="false" ht="17.15" hidden="false" customHeight="false" outlineLevel="0" collapsed="false">
      <c r="A702" s="0" t="s">
        <v>10388</v>
      </c>
      <c r="B702" s="0" t="s">
        <v>10383</v>
      </c>
      <c r="C702" s="0" t="s">
        <v>10389</v>
      </c>
      <c r="D702" s="0" t="s">
        <v>9901</v>
      </c>
      <c r="E702" s="0" t="s">
        <v>116</v>
      </c>
      <c r="F702" s="0" t="s">
        <v>3814</v>
      </c>
      <c r="G702" s="0" t="s">
        <v>3371</v>
      </c>
      <c r="H702" s="0" t="s">
        <v>8219</v>
      </c>
      <c r="I702" s="5" t="s">
        <v>8220</v>
      </c>
      <c r="K702" s="0" t="s">
        <v>40</v>
      </c>
      <c r="L702" s="0" t="s">
        <v>10390</v>
      </c>
    </row>
    <row r="703" customFormat="false" ht="17.15" hidden="false" customHeight="false" outlineLevel="0" collapsed="false">
      <c r="A703" s="0" t="s">
        <v>10391</v>
      </c>
      <c r="B703" s="0" t="s">
        <v>10383</v>
      </c>
      <c r="C703" s="0" t="s">
        <v>10392</v>
      </c>
      <c r="D703" s="0" t="s">
        <v>10393</v>
      </c>
      <c r="E703" s="0" t="s">
        <v>116</v>
      </c>
      <c r="F703" s="0" t="s">
        <v>3814</v>
      </c>
      <c r="G703" s="0" t="s">
        <v>3327</v>
      </c>
      <c r="H703" s="0" t="s">
        <v>8219</v>
      </c>
      <c r="I703" s="5" t="s">
        <v>8220</v>
      </c>
      <c r="K703" s="0" t="s">
        <v>40</v>
      </c>
      <c r="L703" s="0" t="s">
        <v>10390</v>
      </c>
    </row>
    <row r="704" customFormat="false" ht="17.15" hidden="false" customHeight="false" outlineLevel="0" collapsed="false">
      <c r="A704" s="0" t="s">
        <v>10394</v>
      </c>
      <c r="B704" s="0" t="s">
        <v>10395</v>
      </c>
      <c r="C704" s="0" t="s">
        <v>10396</v>
      </c>
      <c r="D704" s="0" t="s">
        <v>9099</v>
      </c>
      <c r="E704" s="5" t="s">
        <v>81</v>
      </c>
      <c r="F704" s="0" t="s">
        <v>9341</v>
      </c>
      <c r="G704" s="0" t="s">
        <v>3371</v>
      </c>
      <c r="H704" s="0" t="s">
        <v>8208</v>
      </c>
      <c r="I704" s="0" t="s">
        <v>10397</v>
      </c>
      <c r="K704" s="0" t="s">
        <v>40</v>
      </c>
      <c r="L704" s="0" t="s">
        <v>10398</v>
      </c>
    </row>
    <row r="705" customFormat="false" ht="17.15" hidden="false" customHeight="false" outlineLevel="0" collapsed="false">
      <c r="A705" s="0" t="s">
        <v>10399</v>
      </c>
      <c r="B705" s="0" t="s">
        <v>10395</v>
      </c>
      <c r="C705" s="0" t="s">
        <v>10400</v>
      </c>
      <c r="D705" s="0" t="s">
        <v>8940</v>
      </c>
      <c r="E705" s="5" t="s">
        <v>81</v>
      </c>
      <c r="F705" s="0" t="s">
        <v>8434</v>
      </c>
      <c r="G705" s="0" t="s">
        <v>3371</v>
      </c>
      <c r="H705" s="0" t="s">
        <v>8176</v>
      </c>
      <c r="I705" s="0" t="s">
        <v>10401</v>
      </c>
      <c r="K705" s="0" t="s">
        <v>40</v>
      </c>
      <c r="L705" s="0" t="s">
        <v>10402</v>
      </c>
    </row>
    <row r="706" customFormat="false" ht="17.15" hidden="false" customHeight="false" outlineLevel="0" collapsed="false">
      <c r="A706" s="0" t="s">
        <v>10403</v>
      </c>
      <c r="B706" s="0" t="s">
        <v>10395</v>
      </c>
      <c r="C706" s="0" t="s">
        <v>10404</v>
      </c>
      <c r="D706" s="0" t="s">
        <v>7581</v>
      </c>
      <c r="E706" s="5" t="s">
        <v>81</v>
      </c>
      <c r="F706" s="0" t="s">
        <v>10405</v>
      </c>
      <c r="G706" s="0" t="s">
        <v>3371</v>
      </c>
      <c r="H706" s="0" t="s">
        <v>8176</v>
      </c>
      <c r="I706" s="0" t="s">
        <v>10406</v>
      </c>
      <c r="K706" s="0" t="s">
        <v>40</v>
      </c>
      <c r="L706" s="0" t="s">
        <v>10407</v>
      </c>
    </row>
    <row r="707" customFormat="false" ht="17.15" hidden="false" customHeight="false" outlineLevel="0" collapsed="false">
      <c r="A707" s="0" t="s">
        <v>10408</v>
      </c>
      <c r="B707" s="0" t="s">
        <v>2232</v>
      </c>
      <c r="C707" s="0" t="s">
        <v>10409</v>
      </c>
      <c r="D707" s="0" t="s">
        <v>8513</v>
      </c>
      <c r="E707" s="5" t="s">
        <v>81</v>
      </c>
      <c r="F707" s="0" t="s">
        <v>8058</v>
      </c>
      <c r="G707" s="0" t="s">
        <v>3371</v>
      </c>
      <c r="H707" s="0" t="s">
        <v>8176</v>
      </c>
      <c r="I707" s="0" t="s">
        <v>10410</v>
      </c>
      <c r="J707" s="0" t="s">
        <v>970</v>
      </c>
      <c r="K707" s="5" t="s">
        <v>3313</v>
      </c>
      <c r="L707" s="0" t="s">
        <v>10411</v>
      </c>
    </row>
    <row r="708" customFormat="false" ht="17.15" hidden="false" customHeight="false" outlineLevel="0" collapsed="false">
      <c r="A708" s="0" t="s">
        <v>10412</v>
      </c>
      <c r="B708" s="0" t="s">
        <v>2232</v>
      </c>
      <c r="C708" s="0" t="s">
        <v>10413</v>
      </c>
      <c r="D708" s="0" t="s">
        <v>7239</v>
      </c>
      <c r="E708" s="5" t="s">
        <v>81</v>
      </c>
      <c r="F708" s="0" t="s">
        <v>8723</v>
      </c>
      <c r="G708" s="0" t="s">
        <v>3317</v>
      </c>
      <c r="H708" s="0" t="s">
        <v>8208</v>
      </c>
      <c r="I708" s="0" t="s">
        <v>10414</v>
      </c>
      <c r="J708" s="0" t="s">
        <v>970</v>
      </c>
      <c r="K708" s="5" t="s">
        <v>3313</v>
      </c>
      <c r="L708" s="0" t="s">
        <v>10415</v>
      </c>
    </row>
    <row r="709" customFormat="false" ht="17.15" hidden="false" customHeight="false" outlineLevel="0" collapsed="false">
      <c r="A709" s="0" t="s">
        <v>10416</v>
      </c>
      <c r="B709" s="0" t="s">
        <v>2076</v>
      </c>
      <c r="C709" s="0" t="s">
        <v>10417</v>
      </c>
      <c r="D709" s="0" t="s">
        <v>9961</v>
      </c>
      <c r="E709" s="5" t="s">
        <v>81</v>
      </c>
      <c r="F709" s="0" t="s">
        <v>10418</v>
      </c>
      <c r="G709" s="0" t="s">
        <v>3371</v>
      </c>
      <c r="H709" s="0" t="s">
        <v>8176</v>
      </c>
      <c r="I709" s="0" t="s">
        <v>10419</v>
      </c>
      <c r="K709" s="0" t="s">
        <v>40</v>
      </c>
      <c r="L709" s="0" t="s">
        <v>10420</v>
      </c>
    </row>
    <row r="710" customFormat="false" ht="17.15" hidden="false" customHeight="false" outlineLevel="0" collapsed="false">
      <c r="A710" s="0" t="s">
        <v>10421</v>
      </c>
      <c r="B710" s="0" t="s">
        <v>2076</v>
      </c>
      <c r="C710" s="0" t="s">
        <v>10422</v>
      </c>
      <c r="D710" s="0" t="s">
        <v>117</v>
      </c>
      <c r="E710" s="5" t="s">
        <v>81</v>
      </c>
      <c r="F710" s="0" t="s">
        <v>10423</v>
      </c>
      <c r="G710" s="0" t="s">
        <v>3371</v>
      </c>
      <c r="H710" s="0" t="s">
        <v>8176</v>
      </c>
      <c r="I710" s="5" t="s">
        <v>10424</v>
      </c>
      <c r="K710" s="0" t="s">
        <v>40</v>
      </c>
      <c r="L710" s="0" t="s">
        <v>10425</v>
      </c>
    </row>
    <row r="711" customFormat="false" ht="17.15" hidden="false" customHeight="false" outlineLevel="0" collapsed="false">
      <c r="A711" s="0" t="s">
        <v>10426</v>
      </c>
      <c r="B711" s="0" t="s">
        <v>2232</v>
      </c>
      <c r="C711" s="0" t="s">
        <v>10427</v>
      </c>
      <c r="D711" s="0" t="s">
        <v>117</v>
      </c>
      <c r="E711" s="5" t="s">
        <v>81</v>
      </c>
      <c r="F711" s="0" t="s">
        <v>9066</v>
      </c>
      <c r="G711" s="0" t="s">
        <v>3371</v>
      </c>
      <c r="H711" s="0" t="s">
        <v>8241</v>
      </c>
      <c r="I711" s="5" t="s">
        <v>10428</v>
      </c>
      <c r="K711" s="0" t="s">
        <v>40</v>
      </c>
      <c r="L711" s="0" t="s">
        <v>10429</v>
      </c>
    </row>
    <row r="712" customFormat="false" ht="17.15" hidden="false" customHeight="false" outlineLevel="0" collapsed="false">
      <c r="A712" s="0" t="s">
        <v>10430</v>
      </c>
      <c r="B712" s="0" t="s">
        <v>2232</v>
      </c>
      <c r="C712" s="0" t="s">
        <v>10431</v>
      </c>
      <c r="D712" s="0" t="s">
        <v>117</v>
      </c>
      <c r="E712" s="5" t="s">
        <v>81</v>
      </c>
      <c r="F712" s="0" t="s">
        <v>9066</v>
      </c>
      <c r="G712" s="0" t="s">
        <v>3371</v>
      </c>
      <c r="H712" s="0" t="s">
        <v>8241</v>
      </c>
      <c r="I712" s="5" t="s">
        <v>10432</v>
      </c>
      <c r="K712" s="0" t="s">
        <v>40</v>
      </c>
      <c r="L712" s="0" t="s">
        <v>10429</v>
      </c>
    </row>
    <row r="713" customFormat="false" ht="17.15" hidden="false" customHeight="false" outlineLevel="0" collapsed="false">
      <c r="A713" s="0" t="s">
        <v>10433</v>
      </c>
      <c r="B713" s="0" t="s">
        <v>10434</v>
      </c>
      <c r="C713" s="0" t="s">
        <v>10435</v>
      </c>
      <c r="D713" s="0" t="s">
        <v>9533</v>
      </c>
      <c r="E713" s="5" t="s">
        <v>81</v>
      </c>
      <c r="F713" s="0" t="s">
        <v>10268</v>
      </c>
      <c r="G713" s="0" t="s">
        <v>3371</v>
      </c>
      <c r="H713" s="0" t="s">
        <v>8224</v>
      </c>
      <c r="I713" s="0" t="s">
        <v>10436</v>
      </c>
      <c r="K713" s="0" t="s">
        <v>40</v>
      </c>
      <c r="L713" s="0" t="s">
        <v>10437</v>
      </c>
    </row>
    <row r="714" customFormat="false" ht="17.15" hidden="false" customHeight="false" outlineLevel="0" collapsed="false">
      <c r="A714" s="0" t="s">
        <v>10438</v>
      </c>
      <c r="B714" s="0" t="s">
        <v>10434</v>
      </c>
      <c r="C714" s="0" t="s">
        <v>10439</v>
      </c>
      <c r="D714" s="0" t="s">
        <v>8674</v>
      </c>
      <c r="E714" s="5" t="s">
        <v>81</v>
      </c>
      <c r="F714" s="0" t="s">
        <v>10440</v>
      </c>
      <c r="G714" s="0" t="s">
        <v>3371</v>
      </c>
      <c r="H714" s="0" t="s">
        <v>8202</v>
      </c>
      <c r="I714" s="0" t="s">
        <v>10441</v>
      </c>
      <c r="K714" s="0" t="s">
        <v>40</v>
      </c>
      <c r="L714" s="0" t="s">
        <v>10442</v>
      </c>
    </row>
    <row r="715" customFormat="false" ht="17.15" hidden="false" customHeight="false" outlineLevel="0" collapsed="false">
      <c r="A715" s="0" t="s">
        <v>10443</v>
      </c>
      <c r="B715" s="0" t="s">
        <v>10434</v>
      </c>
      <c r="C715" s="0" t="s">
        <v>10444</v>
      </c>
      <c r="D715" s="0" t="s">
        <v>117</v>
      </c>
      <c r="E715" s="5" t="s">
        <v>81</v>
      </c>
      <c r="F715" s="0" t="s">
        <v>10268</v>
      </c>
      <c r="G715" s="0" t="s">
        <v>3371</v>
      </c>
      <c r="H715" s="0" t="s">
        <v>8224</v>
      </c>
      <c r="I715" s="5" t="s">
        <v>10445</v>
      </c>
      <c r="K715" s="0" t="s">
        <v>40</v>
      </c>
      <c r="L715" s="0" t="s">
        <v>10437</v>
      </c>
    </row>
    <row r="716" customFormat="false" ht="17.15" hidden="false" customHeight="false" outlineLevel="0" collapsed="false">
      <c r="A716" s="0" t="s">
        <v>10446</v>
      </c>
      <c r="B716" s="0" t="s">
        <v>10434</v>
      </c>
      <c r="C716" s="0" t="s">
        <v>10447</v>
      </c>
      <c r="D716" s="0" t="s">
        <v>117</v>
      </c>
      <c r="E716" s="5" t="s">
        <v>81</v>
      </c>
      <c r="F716" s="0" t="s">
        <v>7366</v>
      </c>
      <c r="G716" s="0" t="s">
        <v>3371</v>
      </c>
      <c r="H716" s="0" t="s">
        <v>8176</v>
      </c>
      <c r="I716" s="0" t="s">
        <v>10448</v>
      </c>
      <c r="K716" s="0" t="s">
        <v>40</v>
      </c>
      <c r="L716" s="0" t="s">
        <v>10449</v>
      </c>
    </row>
    <row r="717" customFormat="false" ht="17.15" hidden="false" customHeight="false" outlineLevel="0" collapsed="false">
      <c r="A717" s="0" t="s">
        <v>10450</v>
      </c>
      <c r="B717" s="0" t="s">
        <v>10434</v>
      </c>
      <c r="C717" s="0" t="s">
        <v>10451</v>
      </c>
      <c r="D717" s="0" t="s">
        <v>7239</v>
      </c>
      <c r="E717" s="5" t="s">
        <v>81</v>
      </c>
      <c r="F717" s="0" t="s">
        <v>9036</v>
      </c>
      <c r="G717" s="0" t="s">
        <v>3371</v>
      </c>
      <c r="H717" s="0" t="s">
        <v>8241</v>
      </c>
      <c r="I717" s="0" t="s">
        <v>10452</v>
      </c>
      <c r="K717" s="0" t="s">
        <v>40</v>
      </c>
      <c r="L717" s="0" t="s">
        <v>10453</v>
      </c>
    </row>
    <row r="718" customFormat="false" ht="17.15" hidden="false" customHeight="false" outlineLevel="0" collapsed="false">
      <c r="A718" s="0" t="s">
        <v>10454</v>
      </c>
      <c r="B718" s="0" t="s">
        <v>10434</v>
      </c>
      <c r="C718" s="0" t="s">
        <v>10455</v>
      </c>
      <c r="D718" s="0" t="s">
        <v>8674</v>
      </c>
      <c r="E718" s="5" t="s">
        <v>81</v>
      </c>
      <c r="F718" s="0" t="s">
        <v>9036</v>
      </c>
      <c r="G718" s="0" t="s">
        <v>3371</v>
      </c>
      <c r="H718" s="0" t="s">
        <v>8208</v>
      </c>
      <c r="I718" s="0" t="s">
        <v>10456</v>
      </c>
      <c r="K718" s="0" t="s">
        <v>40</v>
      </c>
      <c r="L718" s="0" t="s">
        <v>10453</v>
      </c>
    </row>
    <row r="719" customFormat="false" ht="17.15" hidden="false" customHeight="false" outlineLevel="0" collapsed="false">
      <c r="A719" s="0" t="s">
        <v>10457</v>
      </c>
      <c r="B719" s="0" t="s">
        <v>10434</v>
      </c>
      <c r="C719" s="0" t="s">
        <v>10458</v>
      </c>
      <c r="D719" s="0" t="s">
        <v>7493</v>
      </c>
      <c r="E719" s="5" t="s">
        <v>81</v>
      </c>
      <c r="F719" s="0" t="s">
        <v>10179</v>
      </c>
      <c r="G719" s="0" t="s">
        <v>3371</v>
      </c>
      <c r="H719" s="0" t="s">
        <v>8176</v>
      </c>
      <c r="I719" s="0" t="s">
        <v>10459</v>
      </c>
      <c r="K719" s="0" t="s">
        <v>40</v>
      </c>
      <c r="L719" s="0" t="s">
        <v>10460</v>
      </c>
    </row>
    <row r="720" customFormat="false" ht="17.15" hidden="false" customHeight="false" outlineLevel="0" collapsed="false">
      <c r="A720" s="0" t="s">
        <v>10461</v>
      </c>
      <c r="B720" s="0" t="s">
        <v>10434</v>
      </c>
      <c r="C720" s="0" t="s">
        <v>10462</v>
      </c>
      <c r="D720" s="0" t="s">
        <v>7739</v>
      </c>
      <c r="E720" s="5" t="s">
        <v>81</v>
      </c>
      <c r="F720" s="0" t="s">
        <v>3833</v>
      </c>
      <c r="G720" s="0" t="s">
        <v>3371</v>
      </c>
      <c r="H720" s="0" t="s">
        <v>8176</v>
      </c>
      <c r="I720" s="0" t="s">
        <v>10463</v>
      </c>
      <c r="K720" s="0" t="s">
        <v>40</v>
      </c>
      <c r="L720" s="0" t="s">
        <v>10464</v>
      </c>
    </row>
    <row r="721" customFormat="false" ht="17.15" hidden="false" customHeight="false" outlineLevel="0" collapsed="false">
      <c r="A721" s="0" t="s">
        <v>10465</v>
      </c>
      <c r="B721" s="0" t="s">
        <v>10434</v>
      </c>
      <c r="C721" s="0" t="s">
        <v>10466</v>
      </c>
      <c r="D721" s="0" t="s">
        <v>8940</v>
      </c>
      <c r="E721" s="5" t="s">
        <v>81</v>
      </c>
      <c r="F721" s="0" t="s">
        <v>9357</v>
      </c>
      <c r="G721" s="0" t="s">
        <v>3371</v>
      </c>
      <c r="H721" s="0" t="s">
        <v>8224</v>
      </c>
      <c r="I721" s="0" t="s">
        <v>10467</v>
      </c>
      <c r="K721" s="0" t="s">
        <v>40</v>
      </c>
      <c r="L721" s="0" t="s">
        <v>10468</v>
      </c>
    </row>
    <row r="722" customFormat="false" ht="17.15" hidden="false" customHeight="false" outlineLevel="0" collapsed="false">
      <c r="A722" s="0" t="s">
        <v>10469</v>
      </c>
      <c r="B722" s="0" t="s">
        <v>10434</v>
      </c>
      <c r="C722" s="0" t="s">
        <v>10470</v>
      </c>
      <c r="D722" s="0" t="s">
        <v>7811</v>
      </c>
      <c r="E722" s="5" t="s">
        <v>81</v>
      </c>
      <c r="F722" s="0" t="s">
        <v>9357</v>
      </c>
      <c r="G722" s="0" t="s">
        <v>3371</v>
      </c>
      <c r="H722" s="0" t="s">
        <v>8176</v>
      </c>
      <c r="I722" s="0" t="s">
        <v>10471</v>
      </c>
      <c r="K722" s="0" t="s">
        <v>40</v>
      </c>
      <c r="L722" s="0" t="s">
        <v>10468</v>
      </c>
    </row>
    <row r="723" customFormat="false" ht="17.15" hidden="false" customHeight="false" outlineLevel="0" collapsed="false">
      <c r="A723" s="0" t="s">
        <v>10472</v>
      </c>
      <c r="B723" s="0" t="s">
        <v>10473</v>
      </c>
      <c r="C723" s="0" t="s">
        <v>10474</v>
      </c>
      <c r="D723" s="0" t="s">
        <v>7739</v>
      </c>
      <c r="E723" s="5" t="s">
        <v>81</v>
      </c>
      <c r="F723" s="0" t="s">
        <v>8043</v>
      </c>
      <c r="G723" s="0" t="s">
        <v>3371</v>
      </c>
      <c r="H723" s="0" t="s">
        <v>8176</v>
      </c>
      <c r="I723" s="0" t="s">
        <v>10475</v>
      </c>
      <c r="K723" s="0" t="s">
        <v>40</v>
      </c>
      <c r="L723" s="0" t="s">
        <v>10476</v>
      </c>
    </row>
    <row r="724" customFormat="false" ht="17.15" hidden="false" customHeight="false" outlineLevel="0" collapsed="false">
      <c r="A724" s="0" t="s">
        <v>10477</v>
      </c>
      <c r="B724" s="0" t="s">
        <v>10473</v>
      </c>
      <c r="C724" s="0" t="s">
        <v>10478</v>
      </c>
      <c r="D724" s="0" t="s">
        <v>8513</v>
      </c>
      <c r="E724" s="5" t="s">
        <v>81</v>
      </c>
      <c r="F724" s="0" t="s">
        <v>10479</v>
      </c>
      <c r="G724" s="0" t="s">
        <v>3371</v>
      </c>
      <c r="H724" s="0" t="s">
        <v>8241</v>
      </c>
      <c r="I724" s="5" t="s">
        <v>10480</v>
      </c>
      <c r="K724" s="0" t="s">
        <v>40</v>
      </c>
      <c r="L724" s="0" t="s">
        <v>10481</v>
      </c>
    </row>
    <row r="725" customFormat="false" ht="17.15" hidden="false" customHeight="false" outlineLevel="0" collapsed="false">
      <c r="A725" s="0" t="s">
        <v>10482</v>
      </c>
      <c r="B725" s="0" t="s">
        <v>10483</v>
      </c>
      <c r="C725" s="0" t="s">
        <v>10484</v>
      </c>
      <c r="D725" s="0" t="s">
        <v>10485</v>
      </c>
      <c r="E725" s="5" t="s">
        <v>81</v>
      </c>
      <c r="G725" s="0" t="s">
        <v>3371</v>
      </c>
      <c r="H725" s="0" t="s">
        <v>8176</v>
      </c>
      <c r="I725" s="0" t="s">
        <v>10486</v>
      </c>
      <c r="K725" s="0" t="s">
        <v>40</v>
      </c>
      <c r="L725" s="0" t="s">
        <v>10487</v>
      </c>
    </row>
    <row r="726" customFormat="false" ht="17.15" hidden="false" customHeight="false" outlineLevel="0" collapsed="false">
      <c r="A726" s="0" t="s">
        <v>10488</v>
      </c>
      <c r="B726" s="0" t="s">
        <v>10489</v>
      </c>
      <c r="C726" s="0" t="s">
        <v>10490</v>
      </c>
      <c r="D726" s="0" t="s">
        <v>117</v>
      </c>
      <c r="E726" s="5" t="s">
        <v>81</v>
      </c>
      <c r="F726" s="0" t="s">
        <v>10491</v>
      </c>
      <c r="G726" s="0" t="s">
        <v>3317</v>
      </c>
      <c r="H726" s="0" t="s">
        <v>8208</v>
      </c>
      <c r="I726" s="0" t="s">
        <v>10492</v>
      </c>
      <c r="K726" s="0" t="s">
        <v>40</v>
      </c>
      <c r="L726" s="0" t="s">
        <v>10493</v>
      </c>
    </row>
    <row r="727" customFormat="false" ht="17.15" hidden="false" customHeight="false" outlineLevel="0" collapsed="false">
      <c r="A727" s="0" t="s">
        <v>10494</v>
      </c>
      <c r="B727" s="0" t="s">
        <v>10489</v>
      </c>
      <c r="C727" s="0" t="s">
        <v>10495</v>
      </c>
      <c r="D727" s="0" t="s">
        <v>117</v>
      </c>
      <c r="E727" s="5" t="s">
        <v>81</v>
      </c>
      <c r="F727" s="0" t="s">
        <v>9943</v>
      </c>
      <c r="G727" s="0" t="s">
        <v>3371</v>
      </c>
      <c r="H727" s="0" t="s">
        <v>8176</v>
      </c>
      <c r="I727" s="5" t="s">
        <v>10496</v>
      </c>
      <c r="K727" s="0" t="s">
        <v>40</v>
      </c>
      <c r="L727" s="0" t="s">
        <v>10497</v>
      </c>
    </row>
    <row r="728" customFormat="false" ht="17.15" hidden="false" customHeight="false" outlineLevel="0" collapsed="false">
      <c r="A728" s="0" t="s">
        <v>10498</v>
      </c>
      <c r="B728" s="0" t="s">
        <v>10489</v>
      </c>
      <c r="C728" s="0" t="s">
        <v>10499</v>
      </c>
      <c r="D728" s="0" t="s">
        <v>117</v>
      </c>
      <c r="E728" s="5" t="s">
        <v>81</v>
      </c>
      <c r="F728" s="0" t="s">
        <v>8630</v>
      </c>
      <c r="G728" s="0" t="s">
        <v>3317</v>
      </c>
      <c r="H728" s="0" t="s">
        <v>8208</v>
      </c>
      <c r="I728" s="5" t="s">
        <v>10500</v>
      </c>
      <c r="K728" s="0" t="s">
        <v>40</v>
      </c>
      <c r="L728" s="0" t="s">
        <v>10501</v>
      </c>
    </row>
    <row r="729" customFormat="false" ht="17.15" hidden="false" customHeight="false" outlineLevel="0" collapsed="false">
      <c r="A729" s="0" t="s">
        <v>10502</v>
      </c>
      <c r="B729" s="0" t="s">
        <v>10489</v>
      </c>
      <c r="C729" s="0" t="s">
        <v>10503</v>
      </c>
      <c r="D729" s="0" t="s">
        <v>117</v>
      </c>
      <c r="E729" s="5" t="s">
        <v>81</v>
      </c>
      <c r="F729" s="0" t="s">
        <v>9970</v>
      </c>
      <c r="G729" s="0" t="s">
        <v>3317</v>
      </c>
      <c r="H729" s="0" t="s">
        <v>8219</v>
      </c>
      <c r="I729" s="5" t="s">
        <v>8220</v>
      </c>
      <c r="K729" s="0" t="s">
        <v>40</v>
      </c>
      <c r="L729" s="0" t="s">
        <v>10504</v>
      </c>
    </row>
    <row r="730" customFormat="false" ht="17.15" hidden="false" customHeight="false" outlineLevel="0" collapsed="false">
      <c r="A730" s="0" t="s">
        <v>10505</v>
      </c>
      <c r="B730" s="0" t="s">
        <v>10489</v>
      </c>
      <c r="C730" s="0" t="s">
        <v>10506</v>
      </c>
      <c r="D730" s="0" t="s">
        <v>10507</v>
      </c>
      <c r="E730" s="5" t="s">
        <v>81</v>
      </c>
      <c r="F730" s="0" t="s">
        <v>7125</v>
      </c>
      <c r="G730" s="0" t="s">
        <v>3317</v>
      </c>
      <c r="H730" s="0" t="s">
        <v>8176</v>
      </c>
      <c r="I730" s="0" t="s">
        <v>10508</v>
      </c>
      <c r="K730" s="0" t="s">
        <v>40</v>
      </c>
      <c r="L730" s="0" t="s">
        <v>10509</v>
      </c>
    </row>
    <row r="731" customFormat="false" ht="17.15" hidden="false" customHeight="false" outlineLevel="0" collapsed="false">
      <c r="A731" s="0" t="s">
        <v>10510</v>
      </c>
      <c r="B731" s="0" t="s">
        <v>10489</v>
      </c>
      <c r="C731" s="0" t="s">
        <v>10511</v>
      </c>
      <c r="D731" s="0" t="s">
        <v>8499</v>
      </c>
      <c r="E731" s="5" t="s">
        <v>81</v>
      </c>
      <c r="F731" s="0" t="s">
        <v>10491</v>
      </c>
      <c r="G731" s="0" t="s">
        <v>3371</v>
      </c>
      <c r="H731" s="0" t="s">
        <v>8208</v>
      </c>
      <c r="I731" s="0" t="s">
        <v>10512</v>
      </c>
      <c r="K731" s="0" t="s">
        <v>40</v>
      </c>
      <c r="L731" s="0" t="s">
        <v>10493</v>
      </c>
    </row>
    <row r="732" customFormat="false" ht="17.15" hidden="false" customHeight="false" outlineLevel="0" collapsed="false">
      <c r="A732" s="0" t="s">
        <v>10513</v>
      </c>
      <c r="B732" s="0" t="s">
        <v>10489</v>
      </c>
      <c r="C732" s="0" t="s">
        <v>10514</v>
      </c>
      <c r="D732" s="0" t="s">
        <v>117</v>
      </c>
      <c r="E732" s="5" t="s">
        <v>81</v>
      </c>
      <c r="F732" s="0" t="s">
        <v>9943</v>
      </c>
      <c r="G732" s="0" t="s">
        <v>3371</v>
      </c>
      <c r="H732" s="0" t="s">
        <v>8176</v>
      </c>
      <c r="I732" s="0" t="s">
        <v>10515</v>
      </c>
      <c r="K732" s="0" t="s">
        <v>40</v>
      </c>
      <c r="L732" s="0" t="s">
        <v>10497</v>
      </c>
    </row>
    <row r="733" customFormat="false" ht="17.15" hidden="false" customHeight="false" outlineLevel="0" collapsed="false">
      <c r="A733" s="0" t="s">
        <v>10516</v>
      </c>
      <c r="B733" s="0" t="s">
        <v>10517</v>
      </c>
      <c r="C733" s="0" t="s">
        <v>10518</v>
      </c>
      <c r="D733" s="0" t="s">
        <v>10519</v>
      </c>
      <c r="E733" s="5" t="s">
        <v>81</v>
      </c>
      <c r="F733" s="0" t="s">
        <v>8783</v>
      </c>
      <c r="G733" s="0" t="s">
        <v>3371</v>
      </c>
      <c r="H733" s="0" t="s">
        <v>8176</v>
      </c>
      <c r="I733" s="0" t="s">
        <v>10520</v>
      </c>
      <c r="K733" s="0" t="s">
        <v>40</v>
      </c>
      <c r="L733" s="0" t="s">
        <v>10521</v>
      </c>
    </row>
    <row r="734" customFormat="false" ht="17.15" hidden="false" customHeight="false" outlineLevel="0" collapsed="false">
      <c r="A734" s="0" t="s">
        <v>10522</v>
      </c>
      <c r="B734" s="0" t="s">
        <v>10517</v>
      </c>
      <c r="C734" s="0" t="s">
        <v>10523</v>
      </c>
      <c r="D734" s="0" t="s">
        <v>10524</v>
      </c>
      <c r="E734" s="5" t="s">
        <v>81</v>
      </c>
      <c r="F734" s="0" t="s">
        <v>8783</v>
      </c>
      <c r="G734" s="0" t="s">
        <v>3371</v>
      </c>
      <c r="H734" s="0" t="s">
        <v>8176</v>
      </c>
      <c r="I734" s="0" t="s">
        <v>10525</v>
      </c>
      <c r="K734" s="0" t="s">
        <v>40</v>
      </c>
      <c r="L734" s="0" t="s">
        <v>10521</v>
      </c>
    </row>
    <row r="735" customFormat="false" ht="17.15" hidden="false" customHeight="false" outlineLevel="0" collapsed="false">
      <c r="A735" s="0" t="s">
        <v>10526</v>
      </c>
      <c r="B735" s="0" t="s">
        <v>10517</v>
      </c>
      <c r="C735" s="0" t="s">
        <v>10527</v>
      </c>
      <c r="D735" s="0" t="s">
        <v>7739</v>
      </c>
      <c r="E735" s="5" t="s">
        <v>81</v>
      </c>
      <c r="F735" s="0" t="s">
        <v>8783</v>
      </c>
      <c r="G735" s="0" t="s">
        <v>3371</v>
      </c>
      <c r="H735" s="0" t="s">
        <v>8176</v>
      </c>
      <c r="I735" s="0" t="s">
        <v>10528</v>
      </c>
      <c r="K735" s="0" t="s">
        <v>40</v>
      </c>
      <c r="L735" s="0" t="s">
        <v>10529</v>
      </c>
    </row>
    <row r="736" customFormat="false" ht="17.15" hidden="false" customHeight="false" outlineLevel="0" collapsed="false">
      <c r="A736" s="0" t="s">
        <v>10530</v>
      </c>
      <c r="B736" s="0" t="s">
        <v>10517</v>
      </c>
      <c r="C736" s="0" t="s">
        <v>10531</v>
      </c>
      <c r="D736" s="0" t="s">
        <v>117</v>
      </c>
      <c r="E736" s="5" t="s">
        <v>81</v>
      </c>
      <c r="F736" s="0" t="s">
        <v>3774</v>
      </c>
      <c r="G736" s="0" t="s">
        <v>3371</v>
      </c>
      <c r="H736" s="0" t="s">
        <v>8176</v>
      </c>
      <c r="I736" s="5" t="s">
        <v>10532</v>
      </c>
      <c r="K736" s="0" t="s">
        <v>40</v>
      </c>
      <c r="L736" s="0" t="s">
        <v>10533</v>
      </c>
    </row>
    <row r="737" customFormat="false" ht="17.15" hidden="false" customHeight="false" outlineLevel="0" collapsed="false">
      <c r="A737" s="0" t="s">
        <v>10534</v>
      </c>
      <c r="B737" s="0" t="s">
        <v>10535</v>
      </c>
      <c r="C737" s="0" t="s">
        <v>10536</v>
      </c>
      <c r="D737" s="0" t="s">
        <v>7493</v>
      </c>
      <c r="E737" s="5" t="s">
        <v>81</v>
      </c>
      <c r="F737" s="0" t="s">
        <v>9036</v>
      </c>
      <c r="G737" s="0" t="s">
        <v>3371</v>
      </c>
      <c r="H737" s="0" t="s">
        <v>8219</v>
      </c>
      <c r="I737" s="5" t="s">
        <v>8478</v>
      </c>
      <c r="K737" s="0" t="s">
        <v>40</v>
      </c>
      <c r="L737" s="0" t="s">
        <v>10537</v>
      </c>
    </row>
    <row r="738" customFormat="false" ht="17.15" hidden="false" customHeight="false" outlineLevel="0" collapsed="false">
      <c r="A738" s="0" t="s">
        <v>10538</v>
      </c>
      <c r="B738" s="0" t="s">
        <v>10535</v>
      </c>
      <c r="C738" s="0" t="s">
        <v>10539</v>
      </c>
      <c r="D738" s="0" t="s">
        <v>8674</v>
      </c>
      <c r="E738" s="5" t="s">
        <v>81</v>
      </c>
      <c r="F738" s="0" t="s">
        <v>9478</v>
      </c>
      <c r="G738" s="0" t="s">
        <v>3371</v>
      </c>
      <c r="H738" s="0" t="s">
        <v>8176</v>
      </c>
      <c r="I738" s="0" t="s">
        <v>10540</v>
      </c>
      <c r="K738" s="0" t="s">
        <v>40</v>
      </c>
      <c r="L738" s="0" t="s">
        <v>10541</v>
      </c>
    </row>
    <row r="739" customFormat="false" ht="17.15" hidden="false" customHeight="false" outlineLevel="0" collapsed="false">
      <c r="A739" s="0" t="s">
        <v>10542</v>
      </c>
      <c r="B739" s="0" t="s">
        <v>10535</v>
      </c>
      <c r="C739" s="0" t="s">
        <v>10543</v>
      </c>
      <c r="D739" s="0" t="s">
        <v>10319</v>
      </c>
      <c r="E739" s="5" t="s">
        <v>81</v>
      </c>
      <c r="F739" s="0" t="s">
        <v>10544</v>
      </c>
      <c r="G739" s="0" t="s">
        <v>3371</v>
      </c>
      <c r="H739" s="0" t="s">
        <v>8224</v>
      </c>
      <c r="I739" s="5" t="s">
        <v>10545</v>
      </c>
      <c r="K739" s="0" t="s">
        <v>40</v>
      </c>
      <c r="L739" s="0" t="s">
        <v>10546</v>
      </c>
    </row>
    <row r="740" customFormat="false" ht="17.15" hidden="false" customHeight="false" outlineLevel="0" collapsed="false">
      <c r="A740" s="0" t="s">
        <v>10547</v>
      </c>
      <c r="B740" s="0" t="s">
        <v>10535</v>
      </c>
      <c r="C740" s="0" t="s">
        <v>10548</v>
      </c>
      <c r="D740" s="0" t="s">
        <v>8527</v>
      </c>
      <c r="E740" s="5" t="s">
        <v>81</v>
      </c>
      <c r="F740" s="0" t="s">
        <v>10549</v>
      </c>
      <c r="G740" s="0" t="s">
        <v>3371</v>
      </c>
      <c r="H740" s="0" t="s">
        <v>8176</v>
      </c>
      <c r="I740" s="5" t="s">
        <v>10550</v>
      </c>
      <c r="K740" s="0" t="s">
        <v>40</v>
      </c>
      <c r="L740" s="0" t="s">
        <v>10551</v>
      </c>
    </row>
    <row r="741" customFormat="false" ht="17.15" hidden="false" customHeight="false" outlineLevel="0" collapsed="false">
      <c r="A741" s="0" t="s">
        <v>10552</v>
      </c>
      <c r="B741" s="0" t="s">
        <v>10535</v>
      </c>
      <c r="C741" s="0" t="s">
        <v>10553</v>
      </c>
      <c r="D741" s="0" t="s">
        <v>8499</v>
      </c>
      <c r="E741" s="0" t="s">
        <v>116</v>
      </c>
      <c r="F741" s="0" t="s">
        <v>8312</v>
      </c>
      <c r="G741" s="0" t="s">
        <v>3371</v>
      </c>
      <c r="H741" s="0" t="s">
        <v>8176</v>
      </c>
      <c r="I741" s="5" t="s">
        <v>10554</v>
      </c>
      <c r="K741" s="0" t="s">
        <v>40</v>
      </c>
      <c r="L741" s="0" t="s">
        <v>10555</v>
      </c>
    </row>
    <row r="742" customFormat="false" ht="17.15" hidden="false" customHeight="false" outlineLevel="0" collapsed="false">
      <c r="A742" s="0" t="s">
        <v>10556</v>
      </c>
      <c r="B742" s="0" t="s">
        <v>10535</v>
      </c>
      <c r="C742" s="0" t="s">
        <v>10557</v>
      </c>
      <c r="D742" s="0" t="s">
        <v>117</v>
      </c>
      <c r="E742" s="5" t="s">
        <v>81</v>
      </c>
      <c r="F742" s="0" t="s">
        <v>9036</v>
      </c>
      <c r="G742" s="0" t="s">
        <v>3371</v>
      </c>
      <c r="H742" s="0" t="s">
        <v>8208</v>
      </c>
      <c r="I742" s="5" t="s">
        <v>10558</v>
      </c>
      <c r="K742" s="0" t="s">
        <v>40</v>
      </c>
      <c r="L742" s="0" t="s">
        <v>10559</v>
      </c>
    </row>
    <row r="743" customFormat="false" ht="17.15" hidden="false" customHeight="false" outlineLevel="0" collapsed="false">
      <c r="A743" s="0" t="s">
        <v>10560</v>
      </c>
      <c r="B743" s="0" t="s">
        <v>10561</v>
      </c>
      <c r="C743" s="0" t="s">
        <v>10562</v>
      </c>
      <c r="D743" s="0" t="s">
        <v>7739</v>
      </c>
      <c r="E743" s="5" t="s">
        <v>81</v>
      </c>
      <c r="F743" s="0" t="s">
        <v>10207</v>
      </c>
      <c r="G743" s="0" t="s">
        <v>3371</v>
      </c>
      <c r="H743" s="0" t="s">
        <v>8224</v>
      </c>
      <c r="I743" s="0" t="s">
        <v>10563</v>
      </c>
      <c r="K743" s="0" t="s">
        <v>40</v>
      </c>
      <c r="L743" s="0" t="s">
        <v>10564</v>
      </c>
    </row>
    <row r="744" customFormat="false" ht="17.15" hidden="false" customHeight="false" outlineLevel="0" collapsed="false">
      <c r="A744" s="0" t="s">
        <v>10565</v>
      </c>
      <c r="B744" s="0" t="s">
        <v>10561</v>
      </c>
      <c r="C744" s="0" t="s">
        <v>10566</v>
      </c>
      <c r="D744" s="0" t="s">
        <v>10567</v>
      </c>
      <c r="E744" s="5" t="s">
        <v>81</v>
      </c>
      <c r="F744" s="0" t="s">
        <v>10207</v>
      </c>
      <c r="G744" s="0" t="s">
        <v>3371</v>
      </c>
      <c r="H744" s="0" t="s">
        <v>8176</v>
      </c>
      <c r="I744" s="0" t="s">
        <v>10568</v>
      </c>
      <c r="K744" s="0" t="s">
        <v>40</v>
      </c>
      <c r="L744" s="0" t="s">
        <v>10569</v>
      </c>
    </row>
    <row r="745" customFormat="false" ht="17.15" hidden="false" customHeight="false" outlineLevel="0" collapsed="false">
      <c r="A745" s="0" t="s">
        <v>10570</v>
      </c>
      <c r="B745" s="0" t="s">
        <v>10571</v>
      </c>
      <c r="C745" s="0" t="s">
        <v>10572</v>
      </c>
      <c r="D745" s="0" t="s">
        <v>10573</v>
      </c>
      <c r="E745" s="5" t="s">
        <v>81</v>
      </c>
      <c r="F745" s="0" t="s">
        <v>10574</v>
      </c>
      <c r="G745" s="0" t="s">
        <v>3371</v>
      </c>
      <c r="H745" s="0" t="s">
        <v>8176</v>
      </c>
      <c r="I745" s="0" t="s">
        <v>10575</v>
      </c>
      <c r="K745" s="0" t="s">
        <v>40</v>
      </c>
      <c r="L745" s="0" t="s">
        <v>10576</v>
      </c>
    </row>
    <row r="746" customFormat="false" ht="17.15" hidden="false" customHeight="false" outlineLevel="0" collapsed="false">
      <c r="A746" s="0" t="s">
        <v>10577</v>
      </c>
      <c r="B746" s="0" t="s">
        <v>10571</v>
      </c>
      <c r="C746" s="0" t="s">
        <v>10578</v>
      </c>
      <c r="D746" s="0" t="s">
        <v>8300</v>
      </c>
      <c r="E746" s="5" t="s">
        <v>81</v>
      </c>
      <c r="F746" s="0" t="s">
        <v>10574</v>
      </c>
      <c r="G746" s="0" t="s">
        <v>3371</v>
      </c>
      <c r="H746" s="0" t="s">
        <v>8176</v>
      </c>
      <c r="I746" s="0" t="s">
        <v>10579</v>
      </c>
      <c r="K746" s="0" t="s">
        <v>40</v>
      </c>
      <c r="L746" s="0" t="s">
        <v>10576</v>
      </c>
    </row>
    <row r="747" customFormat="false" ht="17.15" hidden="false" customHeight="false" outlineLevel="0" collapsed="false">
      <c r="A747" s="0" t="s">
        <v>10580</v>
      </c>
      <c r="B747" s="0" t="s">
        <v>10581</v>
      </c>
      <c r="C747" s="0" t="s">
        <v>10582</v>
      </c>
      <c r="D747" s="0" t="s">
        <v>7568</v>
      </c>
      <c r="E747" s="5" t="s">
        <v>81</v>
      </c>
      <c r="F747" s="0" t="s">
        <v>7323</v>
      </c>
      <c r="G747" s="0" t="s">
        <v>3371</v>
      </c>
      <c r="H747" s="0" t="s">
        <v>8176</v>
      </c>
      <c r="I747" s="0" t="s">
        <v>10583</v>
      </c>
      <c r="K747" s="0" t="s">
        <v>40</v>
      </c>
      <c r="L747" s="0" t="s">
        <v>10584</v>
      </c>
    </row>
    <row r="748" customFormat="false" ht="17.15" hidden="false" customHeight="false" outlineLevel="0" collapsed="false">
      <c r="A748" s="0" t="s">
        <v>10585</v>
      </c>
      <c r="B748" s="0" t="s">
        <v>10581</v>
      </c>
      <c r="C748" s="0" t="s">
        <v>10586</v>
      </c>
      <c r="D748" s="0" t="s">
        <v>8182</v>
      </c>
      <c r="E748" s="5" t="s">
        <v>81</v>
      </c>
      <c r="F748" s="0" t="s">
        <v>7323</v>
      </c>
      <c r="G748" s="0" t="s">
        <v>3371</v>
      </c>
      <c r="H748" s="0" t="s">
        <v>8176</v>
      </c>
      <c r="I748" s="0" t="s">
        <v>10587</v>
      </c>
      <c r="K748" s="0" t="s">
        <v>40</v>
      </c>
      <c r="L748" s="0" t="s">
        <v>10584</v>
      </c>
    </row>
    <row r="749" customFormat="false" ht="17.15" hidden="false" customHeight="false" outlineLevel="0" collapsed="false">
      <c r="A749" s="0" t="s">
        <v>10588</v>
      </c>
      <c r="B749" s="0" t="s">
        <v>10581</v>
      </c>
      <c r="C749" s="0" t="s">
        <v>10589</v>
      </c>
      <c r="D749" s="0" t="s">
        <v>10590</v>
      </c>
      <c r="E749" s="5" t="s">
        <v>81</v>
      </c>
      <c r="F749" s="0" t="s">
        <v>9769</v>
      </c>
      <c r="G749" s="0" t="s">
        <v>3327</v>
      </c>
      <c r="H749" s="0" t="s">
        <v>8176</v>
      </c>
      <c r="I749" s="0" t="s">
        <v>10591</v>
      </c>
      <c r="K749" s="0" t="s">
        <v>40</v>
      </c>
      <c r="L749" s="0" t="s">
        <v>10592</v>
      </c>
    </row>
    <row r="750" customFormat="false" ht="17.15" hidden="false" customHeight="false" outlineLevel="0" collapsed="false">
      <c r="A750" s="0" t="s">
        <v>10593</v>
      </c>
      <c r="B750" s="0" t="s">
        <v>10594</v>
      </c>
      <c r="C750" s="0" t="s">
        <v>10595</v>
      </c>
      <c r="D750" s="0" t="s">
        <v>7568</v>
      </c>
      <c r="E750" s="5" t="s">
        <v>81</v>
      </c>
      <c r="F750" s="0" t="s">
        <v>10230</v>
      </c>
      <c r="G750" s="0" t="s">
        <v>3371</v>
      </c>
      <c r="H750" s="0" t="s">
        <v>8219</v>
      </c>
      <c r="I750" s="5" t="s">
        <v>10596</v>
      </c>
      <c r="K750" s="0" t="s">
        <v>40</v>
      </c>
      <c r="L750" s="0" t="s">
        <v>10597</v>
      </c>
    </row>
    <row r="751" customFormat="false" ht="17.15" hidden="false" customHeight="false" outlineLevel="0" collapsed="false">
      <c r="A751" s="0" t="s">
        <v>10598</v>
      </c>
      <c r="B751" s="0" t="s">
        <v>10594</v>
      </c>
      <c r="C751" s="0" t="s">
        <v>10599</v>
      </c>
      <c r="D751" s="0" t="s">
        <v>117</v>
      </c>
      <c r="E751" s="5" t="s">
        <v>81</v>
      </c>
      <c r="F751" s="0" t="s">
        <v>10600</v>
      </c>
      <c r="G751" s="0" t="s">
        <v>3371</v>
      </c>
      <c r="H751" s="0" t="s">
        <v>8241</v>
      </c>
      <c r="I751" s="0" t="s">
        <v>10601</v>
      </c>
      <c r="K751" s="0" t="s">
        <v>40</v>
      </c>
      <c r="L751" s="0" t="s">
        <v>10602</v>
      </c>
    </row>
    <row r="752" customFormat="false" ht="17.15" hidden="false" customHeight="false" outlineLevel="0" collapsed="false">
      <c r="A752" s="0" t="s">
        <v>10603</v>
      </c>
      <c r="B752" s="0" t="s">
        <v>10535</v>
      </c>
      <c r="C752" s="0" t="s">
        <v>10604</v>
      </c>
      <c r="D752" s="0" t="s">
        <v>8499</v>
      </c>
      <c r="E752" s="0" t="s">
        <v>116</v>
      </c>
      <c r="F752" s="0" t="s">
        <v>7787</v>
      </c>
      <c r="G752" s="0" t="s">
        <v>3371</v>
      </c>
      <c r="H752" s="0" t="s">
        <v>8176</v>
      </c>
      <c r="I752" s="0" t="s">
        <v>10605</v>
      </c>
      <c r="K752" s="0" t="s">
        <v>40</v>
      </c>
      <c r="L752" s="0" t="s">
        <v>10606</v>
      </c>
    </row>
    <row r="753" customFormat="false" ht="17.15" hidden="false" customHeight="false" outlineLevel="0" collapsed="false">
      <c r="A753" s="0" t="s">
        <v>10607</v>
      </c>
      <c r="B753" s="0" t="s">
        <v>10608</v>
      </c>
      <c r="C753" s="0" t="s">
        <v>10609</v>
      </c>
      <c r="D753" s="0" t="s">
        <v>7493</v>
      </c>
      <c r="E753" s="5" t="s">
        <v>81</v>
      </c>
      <c r="F753" s="0" t="s">
        <v>10610</v>
      </c>
      <c r="G753" s="0" t="s">
        <v>3371</v>
      </c>
      <c r="H753" s="0" t="s">
        <v>8224</v>
      </c>
      <c r="I753" s="0" t="s">
        <v>10611</v>
      </c>
      <c r="K753" s="0" t="s">
        <v>40</v>
      </c>
      <c r="L753" s="0" t="s">
        <v>10612</v>
      </c>
    </row>
    <row r="754" customFormat="false" ht="17.15" hidden="false" customHeight="false" outlineLevel="0" collapsed="false">
      <c r="A754" s="0" t="s">
        <v>10613</v>
      </c>
      <c r="B754" s="0" t="s">
        <v>10608</v>
      </c>
      <c r="C754" s="0" t="s">
        <v>10614</v>
      </c>
      <c r="D754" s="0" t="s">
        <v>8499</v>
      </c>
      <c r="E754" s="5" t="s">
        <v>81</v>
      </c>
      <c r="F754" s="0" t="s">
        <v>10610</v>
      </c>
      <c r="G754" s="0" t="s">
        <v>3371</v>
      </c>
      <c r="H754" s="0" t="s">
        <v>8241</v>
      </c>
      <c r="I754" s="5" t="s">
        <v>10615</v>
      </c>
      <c r="K754" s="0" t="s">
        <v>40</v>
      </c>
      <c r="L754" s="0" t="s">
        <v>10612</v>
      </c>
    </row>
    <row r="755" customFormat="false" ht="17.15" hidden="false" customHeight="false" outlineLevel="0" collapsed="false">
      <c r="A755" s="0" t="s">
        <v>10616</v>
      </c>
      <c r="B755" s="0" t="s">
        <v>10608</v>
      </c>
      <c r="C755" s="0" t="s">
        <v>10617</v>
      </c>
      <c r="D755" s="0" t="s">
        <v>8499</v>
      </c>
      <c r="E755" s="5" t="s">
        <v>81</v>
      </c>
      <c r="F755" s="0" t="s">
        <v>10610</v>
      </c>
      <c r="G755" s="0" t="s">
        <v>3327</v>
      </c>
      <c r="H755" s="0" t="s">
        <v>8224</v>
      </c>
      <c r="I755" s="5" t="s">
        <v>10618</v>
      </c>
      <c r="K755" s="0" t="s">
        <v>40</v>
      </c>
      <c r="L755" s="0" t="s">
        <v>10612</v>
      </c>
    </row>
    <row r="756" customFormat="false" ht="17.15" hidden="false" customHeight="false" outlineLevel="0" collapsed="false">
      <c r="A756" s="0" t="s">
        <v>10619</v>
      </c>
      <c r="B756" s="0" t="s">
        <v>10608</v>
      </c>
      <c r="C756" s="0" t="s">
        <v>10620</v>
      </c>
      <c r="D756" s="0" t="s">
        <v>8499</v>
      </c>
      <c r="E756" s="5" t="s">
        <v>81</v>
      </c>
      <c r="F756" s="0" t="s">
        <v>9066</v>
      </c>
      <c r="G756" s="0" t="s">
        <v>3371</v>
      </c>
      <c r="H756" s="0" t="s">
        <v>8241</v>
      </c>
      <c r="I756" s="0" t="s">
        <v>10621</v>
      </c>
      <c r="K756" s="0" t="s">
        <v>40</v>
      </c>
      <c r="L756" s="0" t="s">
        <v>10622</v>
      </c>
    </row>
    <row r="757" customFormat="false" ht="17.15" hidden="false" customHeight="false" outlineLevel="0" collapsed="false">
      <c r="A757" s="0" t="s">
        <v>10623</v>
      </c>
      <c r="B757" s="0" t="s">
        <v>10608</v>
      </c>
      <c r="C757" s="0" t="s">
        <v>10624</v>
      </c>
      <c r="D757" s="0" t="s">
        <v>9133</v>
      </c>
      <c r="E757" s="5" t="s">
        <v>81</v>
      </c>
      <c r="F757" s="0" t="s">
        <v>10625</v>
      </c>
      <c r="G757" s="0" t="s">
        <v>3371</v>
      </c>
      <c r="H757" s="0" t="s">
        <v>8176</v>
      </c>
      <c r="I757" s="0" t="s">
        <v>10626</v>
      </c>
      <c r="K757" s="0" t="s">
        <v>40</v>
      </c>
      <c r="L757" s="0" t="s">
        <v>10627</v>
      </c>
    </row>
    <row r="758" customFormat="false" ht="17.15" hidden="false" customHeight="false" outlineLevel="0" collapsed="false">
      <c r="A758" s="0" t="s">
        <v>10628</v>
      </c>
      <c r="B758" s="0" t="s">
        <v>10629</v>
      </c>
      <c r="C758" s="0" t="s">
        <v>10630</v>
      </c>
      <c r="D758" s="0" t="s">
        <v>9133</v>
      </c>
      <c r="E758" s="5" t="s">
        <v>81</v>
      </c>
      <c r="F758" s="0" t="s">
        <v>10138</v>
      </c>
      <c r="G758" s="0" t="s">
        <v>3371</v>
      </c>
      <c r="H758" s="0" t="s">
        <v>8241</v>
      </c>
      <c r="I758" s="0" t="s">
        <v>10631</v>
      </c>
      <c r="K758" s="0" t="s">
        <v>40</v>
      </c>
      <c r="L758" s="0" t="s">
        <v>10632</v>
      </c>
    </row>
    <row r="759" customFormat="false" ht="17.15" hidden="false" customHeight="false" outlineLevel="0" collapsed="false">
      <c r="A759" s="0" t="s">
        <v>10633</v>
      </c>
      <c r="B759" s="0" t="s">
        <v>10634</v>
      </c>
      <c r="C759" s="0" t="s">
        <v>10635</v>
      </c>
      <c r="D759" s="0" t="s">
        <v>7521</v>
      </c>
      <c r="E759" s="5" t="s">
        <v>81</v>
      </c>
      <c r="F759" s="0" t="s">
        <v>10138</v>
      </c>
      <c r="G759" s="0" t="s">
        <v>3371</v>
      </c>
      <c r="H759" s="0" t="s">
        <v>8241</v>
      </c>
      <c r="I759" s="5" t="s">
        <v>10636</v>
      </c>
      <c r="K759" s="0" t="s">
        <v>40</v>
      </c>
      <c r="L759" s="0" t="s">
        <v>10632</v>
      </c>
    </row>
    <row r="760" customFormat="false" ht="17.15" hidden="false" customHeight="false" outlineLevel="0" collapsed="false">
      <c r="A760" s="0" t="s">
        <v>10637</v>
      </c>
      <c r="B760" s="0" t="s">
        <v>10634</v>
      </c>
      <c r="C760" s="0" t="s">
        <v>10638</v>
      </c>
      <c r="D760" s="0" t="s">
        <v>8499</v>
      </c>
      <c r="E760" s="5" t="s">
        <v>81</v>
      </c>
      <c r="F760" s="0" t="s">
        <v>8408</v>
      </c>
      <c r="G760" s="0" t="s">
        <v>3317</v>
      </c>
      <c r="H760" s="0" t="s">
        <v>8176</v>
      </c>
      <c r="I760" s="5" t="s">
        <v>10639</v>
      </c>
      <c r="K760" s="0" t="s">
        <v>40</v>
      </c>
      <c r="L760" s="0" t="s">
        <v>10640</v>
      </c>
    </row>
    <row r="761" customFormat="false" ht="17.15" hidden="false" customHeight="false" outlineLevel="0" collapsed="false">
      <c r="A761" s="0" t="s">
        <v>10641</v>
      </c>
      <c r="B761" s="0" t="s">
        <v>10629</v>
      </c>
      <c r="C761" s="0" t="s">
        <v>10642</v>
      </c>
      <c r="D761" s="0" t="s">
        <v>7521</v>
      </c>
      <c r="E761" s="5" t="s">
        <v>81</v>
      </c>
      <c r="F761" s="0" t="s">
        <v>10138</v>
      </c>
      <c r="G761" s="0" t="s">
        <v>3371</v>
      </c>
      <c r="H761" s="0" t="s">
        <v>8241</v>
      </c>
      <c r="I761" s="5" t="s">
        <v>10643</v>
      </c>
      <c r="K761" s="0" t="s">
        <v>40</v>
      </c>
      <c r="L761" s="0" t="s">
        <v>10632</v>
      </c>
    </row>
    <row r="762" customFormat="false" ht="17.15" hidden="false" customHeight="false" outlineLevel="0" collapsed="false">
      <c r="A762" s="0" t="s">
        <v>10644</v>
      </c>
      <c r="B762" s="0" t="s">
        <v>10645</v>
      </c>
      <c r="C762" s="0" t="s">
        <v>10646</v>
      </c>
      <c r="D762" s="0" t="s">
        <v>8674</v>
      </c>
      <c r="E762" s="5" t="s">
        <v>81</v>
      </c>
      <c r="F762" s="0" t="s">
        <v>8175</v>
      </c>
      <c r="G762" s="0" t="s">
        <v>3371</v>
      </c>
      <c r="H762" s="0" t="s">
        <v>8208</v>
      </c>
      <c r="I762" s="0" t="s">
        <v>10647</v>
      </c>
      <c r="K762" s="0" t="s">
        <v>40</v>
      </c>
      <c r="L762" s="0" t="s">
        <v>10648</v>
      </c>
    </row>
    <row r="763" customFormat="false" ht="17.15" hidden="false" customHeight="false" outlineLevel="0" collapsed="false">
      <c r="A763" s="0" t="s">
        <v>10649</v>
      </c>
      <c r="B763" s="0" t="s">
        <v>10645</v>
      </c>
      <c r="C763" s="0" t="s">
        <v>10650</v>
      </c>
      <c r="D763" s="0" t="s">
        <v>9268</v>
      </c>
      <c r="E763" s="5" t="s">
        <v>81</v>
      </c>
      <c r="F763" s="0" t="s">
        <v>8175</v>
      </c>
      <c r="G763" s="0" t="s">
        <v>3371</v>
      </c>
      <c r="H763" s="0" t="s">
        <v>8224</v>
      </c>
      <c r="I763" s="0" t="s">
        <v>10651</v>
      </c>
      <c r="K763" s="0" t="s">
        <v>40</v>
      </c>
      <c r="L763" s="0" t="s">
        <v>10648</v>
      </c>
    </row>
    <row r="764" customFormat="false" ht="17.15" hidden="false" customHeight="false" outlineLevel="0" collapsed="false">
      <c r="A764" s="0" t="s">
        <v>10652</v>
      </c>
      <c r="B764" s="0" t="s">
        <v>10645</v>
      </c>
      <c r="C764" s="0" t="s">
        <v>10653</v>
      </c>
      <c r="D764" s="0" t="s">
        <v>7493</v>
      </c>
      <c r="E764" s="5" t="s">
        <v>81</v>
      </c>
      <c r="F764" s="0" t="s">
        <v>10654</v>
      </c>
      <c r="G764" s="0" t="s">
        <v>3371</v>
      </c>
      <c r="H764" s="0" t="s">
        <v>8176</v>
      </c>
      <c r="I764" s="5" t="s">
        <v>10655</v>
      </c>
      <c r="K764" s="0" t="s">
        <v>40</v>
      </c>
      <c r="L764" s="0" t="s">
        <v>10656</v>
      </c>
    </row>
    <row r="765" customFormat="false" ht="17.15" hidden="false" customHeight="false" outlineLevel="0" collapsed="false">
      <c r="A765" s="0" t="s">
        <v>10657</v>
      </c>
      <c r="B765" s="0" t="s">
        <v>10658</v>
      </c>
      <c r="C765" s="0" t="s">
        <v>10659</v>
      </c>
      <c r="D765" s="0" t="s">
        <v>10660</v>
      </c>
      <c r="E765" s="5" t="s">
        <v>81</v>
      </c>
      <c r="F765" s="0" t="s">
        <v>9119</v>
      </c>
      <c r="G765" s="0" t="s">
        <v>3371</v>
      </c>
      <c r="H765" s="0" t="s">
        <v>8208</v>
      </c>
      <c r="I765" s="0" t="s">
        <v>10661</v>
      </c>
      <c r="K765" s="0" t="s">
        <v>40</v>
      </c>
      <c r="L765" s="0" t="s">
        <v>10662</v>
      </c>
    </row>
    <row r="766" customFormat="false" ht="17.15" hidden="false" customHeight="false" outlineLevel="0" collapsed="false">
      <c r="A766" s="0" t="s">
        <v>10663</v>
      </c>
      <c r="B766" s="0" t="s">
        <v>10658</v>
      </c>
      <c r="C766" s="0" t="s">
        <v>10664</v>
      </c>
      <c r="D766" s="0" t="s">
        <v>8745</v>
      </c>
      <c r="E766" s="5" t="s">
        <v>81</v>
      </c>
      <c r="F766" s="0" t="s">
        <v>10665</v>
      </c>
      <c r="G766" s="0" t="s">
        <v>3371</v>
      </c>
      <c r="H766" s="0" t="s">
        <v>8208</v>
      </c>
      <c r="I766" s="5" t="s">
        <v>10666</v>
      </c>
      <c r="K766" s="0" t="s">
        <v>40</v>
      </c>
      <c r="L766" s="0" t="s">
        <v>10667</v>
      </c>
    </row>
    <row r="767" customFormat="false" ht="17.15" hidden="false" customHeight="false" outlineLevel="0" collapsed="false">
      <c r="A767" s="0" t="s">
        <v>10668</v>
      </c>
      <c r="B767" s="0" t="s">
        <v>10658</v>
      </c>
      <c r="C767" s="0" t="s">
        <v>10669</v>
      </c>
      <c r="D767" s="0" t="s">
        <v>8527</v>
      </c>
      <c r="E767" s="5" t="s">
        <v>81</v>
      </c>
      <c r="F767" s="0" t="s">
        <v>10670</v>
      </c>
      <c r="G767" s="0" t="s">
        <v>3371</v>
      </c>
      <c r="H767" s="0" t="s">
        <v>8219</v>
      </c>
      <c r="I767" s="5" t="s">
        <v>8429</v>
      </c>
      <c r="K767" s="0" t="s">
        <v>40</v>
      </c>
      <c r="L767" s="0" t="s">
        <v>10671</v>
      </c>
    </row>
    <row r="768" customFormat="false" ht="17.15" hidden="false" customHeight="false" outlineLevel="0" collapsed="false">
      <c r="A768" s="0" t="s">
        <v>10672</v>
      </c>
      <c r="B768" s="0" t="s">
        <v>10658</v>
      </c>
      <c r="C768" s="0" t="s">
        <v>10673</v>
      </c>
      <c r="D768" s="0" t="s">
        <v>8527</v>
      </c>
      <c r="E768" s="5" t="s">
        <v>81</v>
      </c>
      <c r="F768" s="0" t="s">
        <v>10670</v>
      </c>
      <c r="G768" s="0" t="s">
        <v>3371</v>
      </c>
      <c r="H768" s="0" t="s">
        <v>8219</v>
      </c>
      <c r="I768" s="5" t="s">
        <v>8429</v>
      </c>
      <c r="K768" s="0" t="s">
        <v>40</v>
      </c>
      <c r="L768" s="0" t="s">
        <v>10671</v>
      </c>
    </row>
    <row r="769" customFormat="false" ht="17.15" hidden="false" customHeight="false" outlineLevel="0" collapsed="false">
      <c r="A769" s="0" t="s">
        <v>10674</v>
      </c>
      <c r="B769" s="0" t="s">
        <v>10658</v>
      </c>
      <c r="C769" s="0" t="s">
        <v>10675</v>
      </c>
      <c r="D769" s="0" t="s">
        <v>10676</v>
      </c>
      <c r="E769" s="5" t="s">
        <v>81</v>
      </c>
      <c r="F769" s="0" t="s">
        <v>10670</v>
      </c>
      <c r="G769" s="0" t="s">
        <v>3327</v>
      </c>
      <c r="H769" s="0" t="s">
        <v>8219</v>
      </c>
      <c r="I769" s="5" t="s">
        <v>8429</v>
      </c>
      <c r="K769" s="0" t="s">
        <v>40</v>
      </c>
      <c r="L769" s="0" t="s">
        <v>10671</v>
      </c>
    </row>
    <row r="770" customFormat="false" ht="17.15" hidden="false" customHeight="false" outlineLevel="0" collapsed="false">
      <c r="A770" s="0" t="s">
        <v>10677</v>
      </c>
      <c r="B770" s="0" t="s">
        <v>10658</v>
      </c>
      <c r="C770" s="0" t="s">
        <v>10678</v>
      </c>
      <c r="D770" s="0" t="s">
        <v>10319</v>
      </c>
      <c r="E770" s="5" t="s">
        <v>81</v>
      </c>
      <c r="F770" s="0" t="s">
        <v>9970</v>
      </c>
      <c r="G770" s="0" t="s">
        <v>3371</v>
      </c>
      <c r="H770" s="0" t="s">
        <v>8176</v>
      </c>
      <c r="I770" s="0" t="s">
        <v>10679</v>
      </c>
      <c r="K770" s="0" t="s">
        <v>40</v>
      </c>
      <c r="L770" s="0" t="s">
        <v>10680</v>
      </c>
    </row>
    <row r="771" customFormat="false" ht="17.15" hidden="false" customHeight="false" outlineLevel="0" collapsed="false">
      <c r="A771" s="0" t="s">
        <v>10681</v>
      </c>
      <c r="B771" s="0" t="s">
        <v>10658</v>
      </c>
      <c r="C771" s="0" t="s">
        <v>10682</v>
      </c>
      <c r="D771" s="0" t="s">
        <v>7739</v>
      </c>
      <c r="E771" s="5" t="s">
        <v>81</v>
      </c>
      <c r="F771" s="0" t="s">
        <v>7663</v>
      </c>
      <c r="G771" s="0" t="s">
        <v>3371</v>
      </c>
      <c r="H771" s="0" t="s">
        <v>8241</v>
      </c>
      <c r="I771" s="0" t="s">
        <v>10683</v>
      </c>
      <c r="K771" s="0" t="s">
        <v>40</v>
      </c>
      <c r="L771" s="0" t="s">
        <v>10684</v>
      </c>
    </row>
    <row r="772" customFormat="false" ht="17.15" hidden="false" customHeight="false" outlineLevel="0" collapsed="false">
      <c r="A772" s="0" t="s">
        <v>10685</v>
      </c>
      <c r="B772" s="5" t="s">
        <v>10686</v>
      </c>
      <c r="C772" s="5" t="s">
        <v>10687</v>
      </c>
      <c r="D772" s="0" t="s">
        <v>8499</v>
      </c>
      <c r="E772" s="5" t="s">
        <v>81</v>
      </c>
      <c r="F772" s="0" t="s">
        <v>10688</v>
      </c>
      <c r="G772" s="0" t="s">
        <v>3371</v>
      </c>
      <c r="H772" s="0" t="s">
        <v>8241</v>
      </c>
      <c r="I772" s="0" t="s">
        <v>10689</v>
      </c>
      <c r="K772" s="0" t="s">
        <v>40</v>
      </c>
      <c r="L772" s="0" t="s">
        <v>10690</v>
      </c>
    </row>
    <row r="773" customFormat="false" ht="17.15" hidden="false" customHeight="false" outlineLevel="0" collapsed="false">
      <c r="A773" s="0" t="s">
        <v>10691</v>
      </c>
      <c r="B773" s="5" t="s">
        <v>10686</v>
      </c>
      <c r="C773" s="5" t="s">
        <v>10692</v>
      </c>
      <c r="D773" s="0" t="s">
        <v>7239</v>
      </c>
      <c r="E773" s="5" t="s">
        <v>81</v>
      </c>
      <c r="F773" s="0" t="s">
        <v>2170</v>
      </c>
      <c r="G773" s="0" t="s">
        <v>3371</v>
      </c>
      <c r="H773" s="0" t="s">
        <v>8208</v>
      </c>
      <c r="I773" s="0" t="s">
        <v>10693</v>
      </c>
      <c r="K773" s="0" t="s">
        <v>40</v>
      </c>
      <c r="L773" s="0" t="s">
        <v>10694</v>
      </c>
    </row>
    <row r="774" customFormat="false" ht="17.15" hidden="false" customHeight="false" outlineLevel="0" collapsed="false">
      <c r="A774" s="0" t="s">
        <v>10695</v>
      </c>
      <c r="B774" s="0" t="s">
        <v>10696</v>
      </c>
      <c r="C774" s="0" t="s">
        <v>10697</v>
      </c>
      <c r="D774" s="0" t="s">
        <v>8527</v>
      </c>
      <c r="E774" s="5" t="s">
        <v>81</v>
      </c>
      <c r="F774" s="0" t="s">
        <v>3861</v>
      </c>
      <c r="G774" s="0" t="s">
        <v>3371</v>
      </c>
      <c r="H774" s="0" t="s">
        <v>8241</v>
      </c>
      <c r="I774" s="0" t="s">
        <v>10698</v>
      </c>
      <c r="K774" s="0" t="s">
        <v>40</v>
      </c>
      <c r="L774" s="0" t="s">
        <v>10699</v>
      </c>
    </row>
    <row r="775" customFormat="false" ht="17.15" hidden="false" customHeight="false" outlineLevel="0" collapsed="false">
      <c r="A775" s="0" t="s">
        <v>10700</v>
      </c>
      <c r="B775" s="0" t="s">
        <v>10701</v>
      </c>
      <c r="C775" s="0" t="s">
        <v>10702</v>
      </c>
      <c r="D775" s="0" t="s">
        <v>8527</v>
      </c>
      <c r="E775" s="5" t="s">
        <v>81</v>
      </c>
      <c r="F775" s="0" t="s">
        <v>3861</v>
      </c>
      <c r="G775" s="0" t="s">
        <v>3371</v>
      </c>
      <c r="H775" s="0" t="s">
        <v>8176</v>
      </c>
      <c r="I775" s="5" t="s">
        <v>10703</v>
      </c>
      <c r="K775" s="0" t="s">
        <v>40</v>
      </c>
      <c r="L775" s="0" t="s">
        <v>10704</v>
      </c>
    </row>
    <row r="776" customFormat="false" ht="17.15" hidden="false" customHeight="false" outlineLevel="0" collapsed="false">
      <c r="A776" s="0" t="s">
        <v>10705</v>
      </c>
      <c r="B776" s="0" t="s">
        <v>10706</v>
      </c>
      <c r="C776" s="0" t="s">
        <v>10707</v>
      </c>
      <c r="D776" s="0" t="s">
        <v>10708</v>
      </c>
      <c r="E776" s="5" t="s">
        <v>81</v>
      </c>
      <c r="F776" s="0" t="s">
        <v>124</v>
      </c>
      <c r="G776" s="0" t="s">
        <v>3371</v>
      </c>
      <c r="H776" s="0" t="s">
        <v>8176</v>
      </c>
      <c r="I776" s="0" t="s">
        <v>10709</v>
      </c>
      <c r="K776" s="0" t="s">
        <v>40</v>
      </c>
      <c r="L776" s="0" t="s">
        <v>10710</v>
      </c>
    </row>
    <row r="777" customFormat="false" ht="17.15" hidden="false" customHeight="false" outlineLevel="0" collapsed="false">
      <c r="A777" s="0" t="s">
        <v>10711</v>
      </c>
      <c r="B777" s="5" t="s">
        <v>10712</v>
      </c>
      <c r="C777" s="5" t="s">
        <v>10713</v>
      </c>
      <c r="D777" s="0" t="s">
        <v>8182</v>
      </c>
      <c r="E777" s="5" t="s">
        <v>81</v>
      </c>
      <c r="F777" s="5" t="s">
        <v>8977</v>
      </c>
      <c r="G777" s="0" t="s">
        <v>3371</v>
      </c>
      <c r="H777" s="0" t="s">
        <v>8208</v>
      </c>
      <c r="I777" s="5" t="s">
        <v>10714</v>
      </c>
      <c r="K777" s="0" t="s">
        <v>40</v>
      </c>
      <c r="L777" s="0" t="s">
        <v>10715</v>
      </c>
    </row>
    <row r="778" customFormat="false" ht="17.15" hidden="false" customHeight="false" outlineLevel="0" collapsed="false">
      <c r="A778" s="0" t="s">
        <v>10716</v>
      </c>
      <c r="B778" s="0" t="s">
        <v>2076</v>
      </c>
      <c r="C778" s="0" t="s">
        <v>10717</v>
      </c>
      <c r="D778" s="0" t="s">
        <v>117</v>
      </c>
      <c r="E778" s="5" t="s">
        <v>81</v>
      </c>
      <c r="F778" s="0" t="s">
        <v>7560</v>
      </c>
      <c r="G778" s="0" t="s">
        <v>3371</v>
      </c>
      <c r="H778" s="0" t="s">
        <v>8241</v>
      </c>
      <c r="I778" s="5" t="s">
        <v>10718</v>
      </c>
      <c r="K778" s="0" t="s">
        <v>40</v>
      </c>
      <c r="L778" s="0" t="s">
        <v>10719</v>
      </c>
    </row>
    <row r="779" customFormat="false" ht="17.15" hidden="false" customHeight="false" outlineLevel="0" collapsed="false">
      <c r="A779" s="0" t="s">
        <v>10720</v>
      </c>
      <c r="B779" s="0" t="s">
        <v>2232</v>
      </c>
      <c r="C779" s="0" t="s">
        <v>10721</v>
      </c>
      <c r="D779" s="0" t="s">
        <v>7581</v>
      </c>
      <c r="E779" s="5" t="s">
        <v>81</v>
      </c>
      <c r="F779" s="0" t="s">
        <v>8522</v>
      </c>
      <c r="G779" s="0" t="s">
        <v>7197</v>
      </c>
      <c r="H779" s="0" t="s">
        <v>8176</v>
      </c>
      <c r="I779" s="0" t="s">
        <v>10722</v>
      </c>
      <c r="K779" s="0" t="s">
        <v>40</v>
      </c>
      <c r="L779" s="0" t="s">
        <v>10723</v>
      </c>
    </row>
    <row r="780" customFormat="false" ht="17.15" hidden="false" customHeight="false" outlineLevel="0" collapsed="false">
      <c r="A780" s="0" t="s">
        <v>10724</v>
      </c>
      <c r="B780" s="0" t="s">
        <v>2232</v>
      </c>
      <c r="C780" s="0" t="s">
        <v>10725</v>
      </c>
      <c r="D780" s="0" t="s">
        <v>117</v>
      </c>
      <c r="E780" s="5" t="s">
        <v>81</v>
      </c>
      <c r="F780" s="0" t="s">
        <v>3464</v>
      </c>
      <c r="G780" s="0" t="s">
        <v>3317</v>
      </c>
      <c r="H780" s="0" t="s">
        <v>8241</v>
      </c>
      <c r="I780" s="0" t="s">
        <v>10726</v>
      </c>
      <c r="K780" s="0" t="s">
        <v>40</v>
      </c>
      <c r="L780" s="0" t="s">
        <v>10727</v>
      </c>
    </row>
    <row r="781" customFormat="false" ht="17.15" hidden="false" customHeight="false" outlineLevel="0" collapsed="false">
      <c r="A781" s="0" t="s">
        <v>10728</v>
      </c>
      <c r="B781" s="0" t="s">
        <v>10729</v>
      </c>
      <c r="C781" s="0" t="s">
        <v>10730</v>
      </c>
      <c r="D781" s="0" t="s">
        <v>8182</v>
      </c>
      <c r="E781" s="5" t="s">
        <v>81</v>
      </c>
      <c r="F781" s="0" t="s">
        <v>8897</v>
      </c>
      <c r="G781" s="0" t="s">
        <v>3371</v>
      </c>
      <c r="H781" s="0" t="s">
        <v>8176</v>
      </c>
      <c r="I781" s="5" t="s">
        <v>10731</v>
      </c>
      <c r="K781" s="0" t="s">
        <v>40</v>
      </c>
      <c r="L781" s="0" t="s">
        <v>10732</v>
      </c>
    </row>
    <row r="782" customFormat="false" ht="17.15" hidden="false" customHeight="false" outlineLevel="0" collapsed="false">
      <c r="A782" s="0" t="s">
        <v>10733</v>
      </c>
      <c r="B782" s="0" t="s">
        <v>10729</v>
      </c>
      <c r="C782" s="0" t="s">
        <v>10734</v>
      </c>
      <c r="D782" s="0" t="s">
        <v>8499</v>
      </c>
      <c r="E782" s="5" t="s">
        <v>81</v>
      </c>
      <c r="F782" s="0" t="s">
        <v>8897</v>
      </c>
      <c r="G782" s="0" t="s">
        <v>3371</v>
      </c>
      <c r="H782" s="0" t="s">
        <v>8176</v>
      </c>
      <c r="I782" s="0" t="s">
        <v>10735</v>
      </c>
      <c r="K782" s="0" t="s">
        <v>40</v>
      </c>
      <c r="L782" s="0" t="s">
        <v>10736</v>
      </c>
    </row>
    <row r="783" customFormat="false" ht="17.15" hidden="false" customHeight="false" outlineLevel="0" collapsed="false">
      <c r="A783" s="0" t="s">
        <v>10737</v>
      </c>
      <c r="B783" s="0" t="s">
        <v>9648</v>
      </c>
      <c r="C783" s="0" t="s">
        <v>10738</v>
      </c>
      <c r="D783" s="0" t="s">
        <v>9961</v>
      </c>
      <c r="E783" s="5" t="s">
        <v>81</v>
      </c>
      <c r="F783" s="0" t="s">
        <v>7740</v>
      </c>
      <c r="G783" s="0" t="s">
        <v>3371</v>
      </c>
      <c r="H783" s="0" t="s">
        <v>8176</v>
      </c>
      <c r="I783" s="0" t="s">
        <v>10739</v>
      </c>
      <c r="K783" s="0" t="s">
        <v>40</v>
      </c>
      <c r="L783" s="0" t="s">
        <v>10740</v>
      </c>
    </row>
    <row r="784" customFormat="false" ht="17.15" hidden="false" customHeight="false" outlineLevel="0" collapsed="false">
      <c r="A784" s="0" t="s">
        <v>10741</v>
      </c>
      <c r="B784" s="0" t="s">
        <v>9648</v>
      </c>
      <c r="C784" s="0" t="s">
        <v>10742</v>
      </c>
      <c r="D784" s="0" t="s">
        <v>7420</v>
      </c>
      <c r="E784" s="5" t="s">
        <v>81</v>
      </c>
      <c r="F784" s="0" t="s">
        <v>8175</v>
      </c>
      <c r="G784" s="0" t="s">
        <v>3371</v>
      </c>
      <c r="H784" s="0" t="s">
        <v>8176</v>
      </c>
      <c r="I784" s="0" t="s">
        <v>10743</v>
      </c>
      <c r="K784" s="0" t="s">
        <v>40</v>
      </c>
      <c r="L784" s="0" t="s">
        <v>10744</v>
      </c>
    </row>
    <row r="785" customFormat="false" ht="17.15" hidden="false" customHeight="false" outlineLevel="0" collapsed="false">
      <c r="A785" s="0" t="s">
        <v>10745</v>
      </c>
      <c r="B785" s="0" t="s">
        <v>10746</v>
      </c>
      <c r="C785" s="0" t="s">
        <v>10747</v>
      </c>
      <c r="D785" s="0" t="s">
        <v>9268</v>
      </c>
      <c r="E785" s="5" t="s">
        <v>81</v>
      </c>
      <c r="F785" s="0" t="s">
        <v>8229</v>
      </c>
      <c r="G785" s="0" t="s">
        <v>3371</v>
      </c>
      <c r="H785" s="0" t="s">
        <v>8176</v>
      </c>
      <c r="I785" s="0" t="s">
        <v>10748</v>
      </c>
      <c r="J785" s="0" t="s">
        <v>988</v>
      </c>
      <c r="K785" s="5" t="s">
        <v>7240</v>
      </c>
      <c r="L785" s="0" t="s">
        <v>10749</v>
      </c>
    </row>
    <row r="786" customFormat="false" ht="17.15" hidden="false" customHeight="false" outlineLevel="0" collapsed="false">
      <c r="A786" s="0" t="s">
        <v>10750</v>
      </c>
      <c r="B786" s="0" t="s">
        <v>10746</v>
      </c>
      <c r="C786" s="0" t="s">
        <v>10751</v>
      </c>
      <c r="D786" s="0" t="s">
        <v>9268</v>
      </c>
      <c r="E786" s="5" t="s">
        <v>81</v>
      </c>
      <c r="F786" s="0" t="s">
        <v>9478</v>
      </c>
      <c r="G786" s="0" t="s">
        <v>3371</v>
      </c>
      <c r="H786" s="0" t="s">
        <v>8202</v>
      </c>
      <c r="I786" s="0" t="s">
        <v>10752</v>
      </c>
      <c r="J786" s="0" t="s">
        <v>988</v>
      </c>
      <c r="K786" s="5" t="s">
        <v>7240</v>
      </c>
      <c r="L786" s="0" t="s">
        <v>10753</v>
      </c>
    </row>
    <row r="787" customFormat="false" ht="17.15" hidden="false" customHeight="false" outlineLevel="0" collapsed="false">
      <c r="A787" s="0" t="s">
        <v>10754</v>
      </c>
      <c r="B787" s="0" t="s">
        <v>10755</v>
      </c>
      <c r="C787" s="0" t="s">
        <v>10756</v>
      </c>
      <c r="D787" s="0" t="s">
        <v>8182</v>
      </c>
      <c r="E787" s="5" t="s">
        <v>81</v>
      </c>
      <c r="F787" s="0" t="s">
        <v>7359</v>
      </c>
      <c r="G787" s="0" t="s">
        <v>3371</v>
      </c>
      <c r="H787" s="0" t="s">
        <v>8176</v>
      </c>
      <c r="I787" s="0" t="s">
        <v>10757</v>
      </c>
      <c r="K787" s="0" t="s">
        <v>40</v>
      </c>
      <c r="L787" s="0" t="s">
        <v>10758</v>
      </c>
    </row>
    <row r="788" customFormat="false" ht="17.15" hidden="false" customHeight="false" outlineLevel="0" collapsed="false">
      <c r="A788" s="0" t="s">
        <v>10759</v>
      </c>
      <c r="B788" s="0" t="s">
        <v>10755</v>
      </c>
      <c r="C788" s="0" t="s">
        <v>10760</v>
      </c>
      <c r="D788" s="0" t="s">
        <v>7239</v>
      </c>
      <c r="E788" s="5" t="s">
        <v>81</v>
      </c>
      <c r="F788" s="0" t="s">
        <v>7354</v>
      </c>
      <c r="G788" s="0" t="s">
        <v>3371</v>
      </c>
      <c r="H788" s="0" t="s">
        <v>8219</v>
      </c>
      <c r="I788" s="5" t="s">
        <v>10761</v>
      </c>
      <c r="K788" s="0" t="s">
        <v>40</v>
      </c>
      <c r="L788" s="0" t="s">
        <v>10762</v>
      </c>
    </row>
    <row r="789" customFormat="false" ht="17.15" hidden="false" customHeight="false" outlineLevel="0" collapsed="false">
      <c r="A789" s="0" t="s">
        <v>10763</v>
      </c>
      <c r="B789" s="0" t="s">
        <v>10764</v>
      </c>
      <c r="C789" s="0" t="s">
        <v>10765</v>
      </c>
      <c r="D789" s="0" t="s">
        <v>8940</v>
      </c>
      <c r="E789" s="0" t="s">
        <v>116</v>
      </c>
      <c r="F789" s="0" t="s">
        <v>7832</v>
      </c>
      <c r="G789" s="0" t="s">
        <v>3371</v>
      </c>
      <c r="H789" s="0" t="s">
        <v>8241</v>
      </c>
      <c r="I789" s="0" t="s">
        <v>10766</v>
      </c>
      <c r="K789" s="0" t="s">
        <v>40</v>
      </c>
      <c r="L789" s="0" t="s">
        <v>10767</v>
      </c>
    </row>
    <row r="790" customFormat="false" ht="17.15" hidden="false" customHeight="false" outlineLevel="0" collapsed="false">
      <c r="A790" s="0" t="s">
        <v>10768</v>
      </c>
      <c r="B790" s="0" t="s">
        <v>10746</v>
      </c>
      <c r="C790" s="0" t="s">
        <v>10769</v>
      </c>
      <c r="D790" s="0" t="s">
        <v>7581</v>
      </c>
      <c r="E790" s="0" t="s">
        <v>116</v>
      </c>
      <c r="F790" s="5" t="s">
        <v>8977</v>
      </c>
      <c r="G790" s="0" t="s">
        <v>3371</v>
      </c>
      <c r="H790" s="0" t="s">
        <v>8176</v>
      </c>
      <c r="I790" s="5" t="s">
        <v>10770</v>
      </c>
      <c r="K790" s="0" t="s">
        <v>40</v>
      </c>
      <c r="L790" s="0" t="s">
        <v>10771</v>
      </c>
    </row>
    <row r="791" customFormat="false" ht="17.15" hidden="false" customHeight="false" outlineLevel="0" collapsed="false">
      <c r="A791" s="0" t="s">
        <v>10772</v>
      </c>
      <c r="B791" s="0" t="s">
        <v>10746</v>
      </c>
      <c r="C791" s="0" t="s">
        <v>10773</v>
      </c>
      <c r="D791" s="0" t="s">
        <v>117</v>
      </c>
      <c r="E791" s="5" t="s">
        <v>81</v>
      </c>
      <c r="F791" s="5" t="s">
        <v>8977</v>
      </c>
      <c r="G791" s="0" t="s">
        <v>3371</v>
      </c>
      <c r="H791" s="0" t="s">
        <v>8176</v>
      </c>
      <c r="I791" s="5" t="s">
        <v>10774</v>
      </c>
      <c r="K791" s="0" t="s">
        <v>40</v>
      </c>
      <c r="L791" s="0" t="s">
        <v>10771</v>
      </c>
    </row>
    <row r="792" customFormat="false" ht="17.15" hidden="false" customHeight="false" outlineLevel="0" collapsed="false">
      <c r="A792" s="0" t="s">
        <v>10775</v>
      </c>
      <c r="B792" s="0" t="s">
        <v>10746</v>
      </c>
      <c r="C792" s="0" t="s">
        <v>10776</v>
      </c>
      <c r="D792" s="0" t="s">
        <v>9099</v>
      </c>
      <c r="E792" s="5" t="s">
        <v>81</v>
      </c>
      <c r="F792" s="5" t="s">
        <v>8977</v>
      </c>
      <c r="G792" s="0" t="s">
        <v>7197</v>
      </c>
      <c r="H792" s="0" t="s">
        <v>8219</v>
      </c>
      <c r="I792" s="5" t="s">
        <v>10777</v>
      </c>
      <c r="K792" s="0" t="s">
        <v>40</v>
      </c>
      <c r="L792" s="0" t="s">
        <v>10778</v>
      </c>
    </row>
    <row r="793" customFormat="false" ht="17.15" hidden="false" customHeight="false" outlineLevel="0" collapsed="false">
      <c r="A793" s="0" t="s">
        <v>10779</v>
      </c>
      <c r="B793" s="0" t="s">
        <v>10746</v>
      </c>
      <c r="C793" s="0" t="s">
        <v>10780</v>
      </c>
      <c r="D793" s="0" t="s">
        <v>117</v>
      </c>
      <c r="E793" s="5" t="s">
        <v>81</v>
      </c>
      <c r="F793" s="0" t="s">
        <v>10781</v>
      </c>
      <c r="G793" s="0" t="s">
        <v>3371</v>
      </c>
      <c r="H793" s="0" t="s">
        <v>8241</v>
      </c>
      <c r="I793" s="5" t="s">
        <v>10782</v>
      </c>
      <c r="K793" s="0" t="s">
        <v>40</v>
      </c>
      <c r="L793" s="0" t="s">
        <v>10783</v>
      </c>
    </row>
    <row r="794" customFormat="false" ht="17.15" hidden="false" customHeight="false" outlineLevel="0" collapsed="false">
      <c r="A794" s="0" t="s">
        <v>10784</v>
      </c>
      <c r="B794" s="0" t="s">
        <v>9848</v>
      </c>
      <c r="C794" s="0" t="s">
        <v>10785</v>
      </c>
      <c r="D794" s="0" t="s">
        <v>7496</v>
      </c>
      <c r="E794" s="5" t="s">
        <v>81</v>
      </c>
      <c r="F794" s="0" t="s">
        <v>10786</v>
      </c>
      <c r="G794" s="0" t="s">
        <v>3371</v>
      </c>
      <c r="H794" s="0" t="s">
        <v>8176</v>
      </c>
      <c r="I794" s="0" t="s">
        <v>10787</v>
      </c>
      <c r="K794" s="0" t="s">
        <v>40</v>
      </c>
      <c r="L794" s="0" t="s">
        <v>10788</v>
      </c>
    </row>
    <row r="795" customFormat="false" ht="17.15" hidden="false" customHeight="false" outlineLevel="0" collapsed="false">
      <c r="A795" s="0" t="s">
        <v>10789</v>
      </c>
      <c r="B795" s="0" t="s">
        <v>9848</v>
      </c>
      <c r="C795" s="0" t="s">
        <v>10790</v>
      </c>
      <c r="D795" s="0" t="s">
        <v>117</v>
      </c>
      <c r="E795" s="5" t="s">
        <v>81</v>
      </c>
      <c r="F795" s="0" t="s">
        <v>10791</v>
      </c>
      <c r="G795" s="0" t="s">
        <v>3371</v>
      </c>
      <c r="H795" s="0" t="s">
        <v>8176</v>
      </c>
      <c r="I795" s="5" t="s">
        <v>10792</v>
      </c>
      <c r="K795" s="0" t="s">
        <v>40</v>
      </c>
      <c r="L795" s="0" t="s">
        <v>10793</v>
      </c>
    </row>
    <row r="796" customFormat="false" ht="17.15" hidden="false" customHeight="false" outlineLevel="0" collapsed="false">
      <c r="A796" s="0" t="s">
        <v>10794</v>
      </c>
      <c r="B796" s="0" t="s">
        <v>9848</v>
      </c>
      <c r="C796" s="0" t="s">
        <v>10795</v>
      </c>
      <c r="D796" s="0" t="s">
        <v>8234</v>
      </c>
      <c r="E796" s="5" t="s">
        <v>81</v>
      </c>
      <c r="F796" s="0" t="s">
        <v>9030</v>
      </c>
      <c r="G796" s="0" t="s">
        <v>3317</v>
      </c>
      <c r="H796" s="0" t="s">
        <v>8219</v>
      </c>
      <c r="I796" s="5" t="s">
        <v>10796</v>
      </c>
      <c r="K796" s="0" t="s">
        <v>40</v>
      </c>
      <c r="L796" s="0" t="s">
        <v>10797</v>
      </c>
    </row>
    <row r="797" customFormat="false" ht="17.15" hidden="false" customHeight="false" outlineLevel="0" collapsed="false">
      <c r="A797" s="0" t="s">
        <v>10798</v>
      </c>
      <c r="B797" s="0" t="s">
        <v>10799</v>
      </c>
      <c r="C797" s="0" t="s">
        <v>10800</v>
      </c>
      <c r="D797" s="0" t="s">
        <v>9799</v>
      </c>
      <c r="E797" s="5" t="s">
        <v>81</v>
      </c>
      <c r="F797" s="0" t="s">
        <v>10801</v>
      </c>
      <c r="G797" s="0" t="s">
        <v>3371</v>
      </c>
      <c r="H797" s="0" t="s">
        <v>8176</v>
      </c>
      <c r="I797" s="0" t="s">
        <v>10802</v>
      </c>
      <c r="K797" s="0" t="s">
        <v>40</v>
      </c>
      <c r="L797" s="0" t="s">
        <v>10803</v>
      </c>
    </row>
    <row r="798" customFormat="false" ht="17.15" hidden="false" customHeight="false" outlineLevel="0" collapsed="false">
      <c r="A798" s="0" t="s">
        <v>10804</v>
      </c>
      <c r="B798" s="0" t="s">
        <v>10799</v>
      </c>
      <c r="C798" s="0" t="s">
        <v>10805</v>
      </c>
      <c r="D798" s="0" t="s">
        <v>8940</v>
      </c>
      <c r="E798" s="0" t="s">
        <v>116</v>
      </c>
      <c r="F798" s="0" t="s">
        <v>10806</v>
      </c>
      <c r="G798" s="0" t="s">
        <v>3371</v>
      </c>
      <c r="H798" s="0" t="s">
        <v>8176</v>
      </c>
      <c r="I798" s="0" t="s">
        <v>10807</v>
      </c>
      <c r="K798" s="0" t="s">
        <v>40</v>
      </c>
      <c r="L798" s="0" t="s">
        <v>10808</v>
      </c>
    </row>
    <row r="799" customFormat="false" ht="17.15" hidden="false" customHeight="false" outlineLevel="0" collapsed="false">
      <c r="A799" s="0" t="s">
        <v>10809</v>
      </c>
      <c r="B799" s="0" t="s">
        <v>10799</v>
      </c>
      <c r="C799" s="0" t="s">
        <v>10810</v>
      </c>
      <c r="D799" s="0" t="s">
        <v>9035</v>
      </c>
      <c r="E799" s="0" t="s">
        <v>116</v>
      </c>
      <c r="F799" s="0" t="s">
        <v>10806</v>
      </c>
      <c r="G799" s="0" t="s">
        <v>3371</v>
      </c>
      <c r="H799" s="0" t="s">
        <v>8224</v>
      </c>
      <c r="I799" s="0" t="s">
        <v>10811</v>
      </c>
      <c r="K799" s="0" t="s">
        <v>40</v>
      </c>
      <c r="L799" s="0" t="s">
        <v>10808</v>
      </c>
    </row>
    <row r="800" customFormat="false" ht="17.15" hidden="false" customHeight="false" outlineLevel="0" collapsed="false">
      <c r="A800" s="0" t="s">
        <v>10812</v>
      </c>
      <c r="B800" s="0" t="s">
        <v>10813</v>
      </c>
      <c r="C800" s="0" t="s">
        <v>10814</v>
      </c>
      <c r="D800" s="0" t="s">
        <v>7496</v>
      </c>
      <c r="E800" s="5" t="s">
        <v>81</v>
      </c>
      <c r="F800" s="0" t="s">
        <v>8641</v>
      </c>
      <c r="G800" s="0" t="s">
        <v>3371</v>
      </c>
      <c r="H800" s="0" t="s">
        <v>8176</v>
      </c>
      <c r="I800" s="0" t="s">
        <v>10815</v>
      </c>
      <c r="K800" s="0" t="s">
        <v>40</v>
      </c>
      <c r="L800" s="0" t="s">
        <v>10816</v>
      </c>
    </row>
    <row r="801" customFormat="false" ht="17.15" hidden="false" customHeight="false" outlineLevel="0" collapsed="false">
      <c r="A801" s="0" t="s">
        <v>10817</v>
      </c>
      <c r="B801" s="0" t="s">
        <v>10813</v>
      </c>
      <c r="C801" s="0" t="s">
        <v>10818</v>
      </c>
      <c r="D801" s="0" t="s">
        <v>9901</v>
      </c>
      <c r="E801" s="5" t="s">
        <v>81</v>
      </c>
      <c r="F801" s="0" t="s">
        <v>10819</v>
      </c>
      <c r="G801" s="0" t="s">
        <v>3371</v>
      </c>
      <c r="H801" s="0" t="s">
        <v>8208</v>
      </c>
      <c r="I801" s="0" t="s">
        <v>10820</v>
      </c>
      <c r="K801" s="0" t="s">
        <v>40</v>
      </c>
      <c r="L801" s="0" t="s">
        <v>10821</v>
      </c>
    </row>
    <row r="802" customFormat="false" ht="17.15" hidden="false" customHeight="false" outlineLevel="0" collapsed="false">
      <c r="A802" s="0" t="s">
        <v>10822</v>
      </c>
      <c r="B802" s="0" t="s">
        <v>10813</v>
      </c>
      <c r="C802" s="0" t="s">
        <v>10823</v>
      </c>
      <c r="D802" s="0" t="s">
        <v>7739</v>
      </c>
      <c r="E802" s="5" t="s">
        <v>81</v>
      </c>
      <c r="F802" s="0" t="s">
        <v>8641</v>
      </c>
      <c r="G802" s="0" t="s">
        <v>3371</v>
      </c>
      <c r="H802" s="0" t="s">
        <v>8176</v>
      </c>
      <c r="I802" s="5" t="s">
        <v>10824</v>
      </c>
      <c r="K802" s="0" t="s">
        <v>40</v>
      </c>
      <c r="L802" s="0" t="s">
        <v>10816</v>
      </c>
    </row>
    <row r="803" customFormat="false" ht="17.15" hidden="false" customHeight="false" outlineLevel="0" collapsed="false">
      <c r="A803" s="0" t="s">
        <v>10825</v>
      </c>
      <c r="B803" s="0" t="s">
        <v>10535</v>
      </c>
      <c r="C803" s="0" t="s">
        <v>10826</v>
      </c>
      <c r="D803" s="0" t="s">
        <v>8513</v>
      </c>
      <c r="E803" s="5" t="s">
        <v>81</v>
      </c>
      <c r="F803" s="0" t="s">
        <v>10827</v>
      </c>
      <c r="G803" s="0" t="s">
        <v>3371</v>
      </c>
      <c r="H803" s="0" t="s">
        <v>8241</v>
      </c>
      <c r="I803" s="5" t="s">
        <v>10828</v>
      </c>
      <c r="K803" s="0" t="s">
        <v>40</v>
      </c>
      <c r="L803" s="0" t="s">
        <v>10829</v>
      </c>
    </row>
    <row r="804" customFormat="false" ht="17.15" hidden="false" customHeight="false" outlineLevel="0" collapsed="false">
      <c r="A804" s="0" t="s">
        <v>10830</v>
      </c>
      <c r="B804" s="0" t="s">
        <v>10535</v>
      </c>
      <c r="C804" s="0" t="s">
        <v>10831</v>
      </c>
      <c r="D804" s="0" t="s">
        <v>10660</v>
      </c>
      <c r="E804" s="5" t="s">
        <v>81</v>
      </c>
      <c r="F804" s="0" t="s">
        <v>10827</v>
      </c>
      <c r="G804" s="0" t="s">
        <v>3371</v>
      </c>
      <c r="H804" s="0" t="s">
        <v>8208</v>
      </c>
      <c r="I804" s="5" t="s">
        <v>10832</v>
      </c>
      <c r="K804" s="0" t="s">
        <v>40</v>
      </c>
      <c r="L804" s="0" t="s">
        <v>10833</v>
      </c>
    </row>
    <row r="805" customFormat="false" ht="17.15" hidden="false" customHeight="false" outlineLevel="0" collapsed="false">
      <c r="A805" s="0" t="s">
        <v>10834</v>
      </c>
      <c r="B805" s="0" t="s">
        <v>10535</v>
      </c>
      <c r="C805" s="0" t="s">
        <v>10835</v>
      </c>
      <c r="D805" s="0" t="s">
        <v>9285</v>
      </c>
      <c r="E805" s="0" t="s">
        <v>116</v>
      </c>
      <c r="F805" s="0" t="s">
        <v>10056</v>
      </c>
      <c r="G805" s="0" t="s">
        <v>3371</v>
      </c>
      <c r="H805" s="0" t="s">
        <v>8224</v>
      </c>
      <c r="I805" s="0" t="s">
        <v>10836</v>
      </c>
      <c r="K805" s="0" t="s">
        <v>40</v>
      </c>
      <c r="L805" s="0" t="s">
        <v>10837</v>
      </c>
    </row>
    <row r="806" customFormat="false" ht="17.15" hidden="false" customHeight="false" outlineLevel="0" collapsed="false">
      <c r="A806" s="0" t="s">
        <v>10838</v>
      </c>
      <c r="B806" s="0" t="s">
        <v>10535</v>
      </c>
      <c r="C806" s="0" t="s">
        <v>10839</v>
      </c>
      <c r="D806" s="0" t="s">
        <v>7177</v>
      </c>
      <c r="E806" s="0" t="s">
        <v>116</v>
      </c>
      <c r="F806" s="0" t="s">
        <v>10056</v>
      </c>
      <c r="G806" s="0" t="s">
        <v>3371</v>
      </c>
      <c r="H806" s="0" t="s">
        <v>8241</v>
      </c>
      <c r="I806" s="0" t="s">
        <v>10840</v>
      </c>
      <c r="K806" s="0" t="s">
        <v>40</v>
      </c>
      <c r="L806" s="0" t="s">
        <v>10837</v>
      </c>
    </row>
    <row r="807" customFormat="false" ht="17.15" hidden="false" customHeight="false" outlineLevel="0" collapsed="false">
      <c r="A807" s="0" t="s">
        <v>10841</v>
      </c>
      <c r="B807" s="0" t="s">
        <v>10764</v>
      </c>
      <c r="C807" s="0" t="s">
        <v>10842</v>
      </c>
      <c r="D807" s="0" t="s">
        <v>7739</v>
      </c>
      <c r="E807" s="5" t="s">
        <v>81</v>
      </c>
      <c r="F807" s="0" t="s">
        <v>10843</v>
      </c>
      <c r="G807" s="0" t="s">
        <v>3371</v>
      </c>
      <c r="H807" s="0" t="s">
        <v>8208</v>
      </c>
      <c r="I807" s="0" t="s">
        <v>10844</v>
      </c>
      <c r="K807" s="0" t="s">
        <v>40</v>
      </c>
      <c r="L807" s="0" t="s">
        <v>10845</v>
      </c>
    </row>
    <row r="808" customFormat="false" ht="17.15" hidden="false" customHeight="false" outlineLevel="0" collapsed="false">
      <c r="A808" s="0" t="s">
        <v>10846</v>
      </c>
      <c r="B808" s="0" t="s">
        <v>10764</v>
      </c>
      <c r="C808" s="0" t="s">
        <v>10847</v>
      </c>
      <c r="D808" s="0" t="s">
        <v>10848</v>
      </c>
      <c r="E808" s="5" t="s">
        <v>81</v>
      </c>
      <c r="F808" s="0" t="s">
        <v>10849</v>
      </c>
      <c r="G808" s="0" t="s">
        <v>3371</v>
      </c>
      <c r="H808" s="0" t="s">
        <v>8208</v>
      </c>
      <c r="I808" s="0" t="s">
        <v>10850</v>
      </c>
      <c r="K808" s="0" t="s">
        <v>40</v>
      </c>
      <c r="L808" s="0" t="s">
        <v>10851</v>
      </c>
    </row>
    <row r="809" customFormat="false" ht="17.15" hidden="false" customHeight="false" outlineLevel="0" collapsed="false">
      <c r="A809" s="0" t="s">
        <v>10852</v>
      </c>
      <c r="B809" s="0" t="s">
        <v>10764</v>
      </c>
      <c r="C809" s="0" t="s">
        <v>10853</v>
      </c>
      <c r="D809" s="0" t="s">
        <v>117</v>
      </c>
      <c r="E809" s="5" t="s">
        <v>81</v>
      </c>
      <c r="F809" s="0" t="s">
        <v>10854</v>
      </c>
      <c r="G809" s="0" t="s">
        <v>3371</v>
      </c>
      <c r="H809" s="0" t="s">
        <v>8241</v>
      </c>
      <c r="I809" s="5" t="s">
        <v>10855</v>
      </c>
      <c r="K809" s="0" t="s">
        <v>40</v>
      </c>
      <c r="L809" s="0" t="s">
        <v>10856</v>
      </c>
    </row>
    <row r="810" customFormat="false" ht="17.15" hidden="false" customHeight="false" outlineLevel="0" collapsed="false">
      <c r="A810" s="0" t="s">
        <v>10857</v>
      </c>
      <c r="B810" s="0" t="s">
        <v>10764</v>
      </c>
      <c r="C810" s="0" t="s">
        <v>10858</v>
      </c>
      <c r="D810" s="0" t="s">
        <v>117</v>
      </c>
      <c r="E810" s="5" t="s">
        <v>81</v>
      </c>
      <c r="F810" s="0" t="s">
        <v>10854</v>
      </c>
      <c r="G810" s="0" t="s">
        <v>3371</v>
      </c>
      <c r="H810" s="0" t="s">
        <v>8241</v>
      </c>
      <c r="I810" s="5" t="s">
        <v>10859</v>
      </c>
      <c r="K810" s="0" t="s">
        <v>40</v>
      </c>
      <c r="L810" s="0" t="s">
        <v>10856</v>
      </c>
    </row>
    <row r="811" customFormat="false" ht="17.15" hidden="false" customHeight="false" outlineLevel="0" collapsed="false">
      <c r="A811" s="0" t="s">
        <v>10860</v>
      </c>
      <c r="B811" s="0" t="s">
        <v>10861</v>
      </c>
      <c r="C811" s="0" t="s">
        <v>10862</v>
      </c>
      <c r="D811" s="0" t="s">
        <v>10863</v>
      </c>
      <c r="E811" s="5" t="s">
        <v>81</v>
      </c>
      <c r="F811" s="0" t="s">
        <v>10864</v>
      </c>
      <c r="G811" s="0" t="s">
        <v>3371</v>
      </c>
      <c r="H811" s="0" t="s">
        <v>8176</v>
      </c>
      <c r="I811" s="0" t="s">
        <v>10865</v>
      </c>
      <c r="K811" s="0" t="s">
        <v>40</v>
      </c>
      <c r="L811" s="0" t="s">
        <v>10866</v>
      </c>
    </row>
    <row r="812" customFormat="false" ht="17.15" hidden="false" customHeight="false" outlineLevel="0" collapsed="false">
      <c r="A812" s="0" t="s">
        <v>10867</v>
      </c>
      <c r="B812" s="0" t="s">
        <v>10861</v>
      </c>
      <c r="C812" s="0" t="s">
        <v>10868</v>
      </c>
      <c r="D812" s="0" t="s">
        <v>9511</v>
      </c>
      <c r="E812" s="5" t="s">
        <v>81</v>
      </c>
      <c r="F812" s="0" t="s">
        <v>10869</v>
      </c>
      <c r="G812" s="0" t="s">
        <v>3371</v>
      </c>
      <c r="H812" s="0" t="s">
        <v>8208</v>
      </c>
      <c r="I812" s="5" t="s">
        <v>10870</v>
      </c>
      <c r="K812" s="0" t="s">
        <v>40</v>
      </c>
      <c r="L812" s="0" t="s">
        <v>10871</v>
      </c>
    </row>
    <row r="813" customFormat="false" ht="17.15" hidden="false" customHeight="false" outlineLevel="0" collapsed="false">
      <c r="A813" s="0" t="s">
        <v>10872</v>
      </c>
      <c r="B813" s="0" t="s">
        <v>10861</v>
      </c>
      <c r="C813" s="0" t="s">
        <v>10873</v>
      </c>
      <c r="D813" s="0" t="s">
        <v>117</v>
      </c>
      <c r="E813" s="5" t="s">
        <v>81</v>
      </c>
      <c r="F813" s="5" t="s">
        <v>8977</v>
      </c>
      <c r="G813" s="0" t="s">
        <v>7197</v>
      </c>
      <c r="H813" s="0" t="s">
        <v>8202</v>
      </c>
      <c r="I813" s="5" t="s">
        <v>10874</v>
      </c>
      <c r="K813" s="0" t="s">
        <v>40</v>
      </c>
      <c r="L813" s="0" t="s">
        <v>10875</v>
      </c>
    </row>
    <row r="814" customFormat="false" ht="17.15" hidden="false" customHeight="false" outlineLevel="0" collapsed="false">
      <c r="A814" s="0" t="s">
        <v>10876</v>
      </c>
      <c r="B814" s="0" t="s">
        <v>10861</v>
      </c>
      <c r="C814" s="0" t="s">
        <v>10877</v>
      </c>
      <c r="D814" s="0" t="s">
        <v>117</v>
      </c>
      <c r="E814" s="5" t="s">
        <v>81</v>
      </c>
      <c r="F814" s="5" t="s">
        <v>8977</v>
      </c>
      <c r="G814" s="0" t="s">
        <v>7197</v>
      </c>
      <c r="H814" s="0" t="s">
        <v>8176</v>
      </c>
      <c r="I814" s="0" t="s">
        <v>10878</v>
      </c>
      <c r="K814" s="0" t="s">
        <v>40</v>
      </c>
      <c r="L814" s="0" t="s">
        <v>10879</v>
      </c>
    </row>
    <row r="815" customFormat="false" ht="17.15" hidden="false" customHeight="false" outlineLevel="0" collapsed="false">
      <c r="A815" s="0" t="s">
        <v>10880</v>
      </c>
      <c r="B815" s="0" t="s">
        <v>10881</v>
      </c>
      <c r="C815" s="0" t="s">
        <v>10882</v>
      </c>
      <c r="D815" s="0" t="s">
        <v>9071</v>
      </c>
      <c r="E815" s="5" t="s">
        <v>81</v>
      </c>
      <c r="F815" s="0" t="s">
        <v>8934</v>
      </c>
      <c r="G815" s="0" t="s">
        <v>3371</v>
      </c>
      <c r="H815" s="0" t="s">
        <v>8176</v>
      </c>
      <c r="I815" s="0" t="s">
        <v>10883</v>
      </c>
      <c r="K815" s="0" t="s">
        <v>40</v>
      </c>
      <c r="L815" s="0" t="s">
        <v>10884</v>
      </c>
    </row>
    <row r="816" customFormat="false" ht="17.15" hidden="false" customHeight="false" outlineLevel="0" collapsed="false">
      <c r="A816" s="0" t="s">
        <v>10885</v>
      </c>
      <c r="B816" s="0" t="s">
        <v>10886</v>
      </c>
      <c r="C816" s="0" t="s">
        <v>10887</v>
      </c>
      <c r="D816" s="0" t="s">
        <v>8745</v>
      </c>
      <c r="E816" s="5" t="s">
        <v>81</v>
      </c>
      <c r="F816" s="0" t="s">
        <v>8934</v>
      </c>
      <c r="G816" s="0" t="s">
        <v>3371</v>
      </c>
      <c r="H816" s="0" t="s">
        <v>8219</v>
      </c>
      <c r="I816" s="5" t="s">
        <v>10796</v>
      </c>
      <c r="K816" s="0" t="s">
        <v>40</v>
      </c>
      <c r="L816" s="0" t="s">
        <v>10888</v>
      </c>
    </row>
    <row r="817" customFormat="false" ht="17.15" hidden="false" customHeight="false" outlineLevel="0" collapsed="false">
      <c r="A817" s="0" t="s">
        <v>10889</v>
      </c>
      <c r="B817" s="0" t="s">
        <v>10886</v>
      </c>
      <c r="C817" s="0" t="s">
        <v>10890</v>
      </c>
      <c r="D817" s="0" t="s">
        <v>8745</v>
      </c>
      <c r="E817" s="5" t="s">
        <v>81</v>
      </c>
      <c r="F817" s="0" t="s">
        <v>8934</v>
      </c>
      <c r="G817" s="0" t="s">
        <v>3371</v>
      </c>
      <c r="H817" s="0" t="s">
        <v>8219</v>
      </c>
      <c r="I817" s="5" t="s">
        <v>10796</v>
      </c>
      <c r="K817" s="0" t="s">
        <v>40</v>
      </c>
      <c r="L817" s="0" t="s">
        <v>10888</v>
      </c>
    </row>
    <row r="818" customFormat="false" ht="17.15" hidden="false" customHeight="false" outlineLevel="0" collapsed="false">
      <c r="A818" s="0" t="s">
        <v>10891</v>
      </c>
      <c r="B818" s="0" t="s">
        <v>10892</v>
      </c>
      <c r="C818" s="0" t="s">
        <v>10893</v>
      </c>
      <c r="D818" s="0" t="s">
        <v>8499</v>
      </c>
      <c r="E818" s="5" t="s">
        <v>81</v>
      </c>
      <c r="F818" s="0" t="s">
        <v>7359</v>
      </c>
      <c r="G818" s="0" t="s">
        <v>3371</v>
      </c>
      <c r="H818" s="0" t="s">
        <v>8176</v>
      </c>
      <c r="I818" s="0" t="s">
        <v>10894</v>
      </c>
      <c r="K818" s="0" t="s">
        <v>40</v>
      </c>
      <c r="L818" s="0" t="s">
        <v>10895</v>
      </c>
    </row>
    <row r="819" customFormat="false" ht="17.15" hidden="false" customHeight="false" outlineLevel="0" collapsed="false">
      <c r="A819" s="0" t="s">
        <v>10896</v>
      </c>
      <c r="B819" s="0" t="s">
        <v>10892</v>
      </c>
      <c r="C819" s="0" t="s">
        <v>10897</v>
      </c>
      <c r="D819" s="0" t="s">
        <v>117</v>
      </c>
      <c r="E819" s="5" t="s">
        <v>81</v>
      </c>
      <c r="F819" s="0" t="s">
        <v>8235</v>
      </c>
      <c r="G819" s="0" t="s">
        <v>3371</v>
      </c>
      <c r="H819" s="0" t="s">
        <v>8176</v>
      </c>
      <c r="I819" s="5" t="s">
        <v>10898</v>
      </c>
      <c r="K819" s="0" t="s">
        <v>40</v>
      </c>
      <c r="L819" s="0" t="s">
        <v>10899</v>
      </c>
    </row>
    <row r="820" customFormat="false" ht="17.15" hidden="false" customHeight="false" outlineLevel="0" collapsed="false">
      <c r="A820" s="0" t="s">
        <v>10900</v>
      </c>
      <c r="B820" s="0" t="s">
        <v>10901</v>
      </c>
      <c r="C820" s="0" t="s">
        <v>10902</v>
      </c>
      <c r="D820" s="0" t="s">
        <v>7739</v>
      </c>
      <c r="E820" s="5" t="s">
        <v>172</v>
      </c>
      <c r="F820" s="0" t="s">
        <v>8630</v>
      </c>
      <c r="G820" s="0" t="s">
        <v>3371</v>
      </c>
      <c r="H820" s="0" t="s">
        <v>8208</v>
      </c>
      <c r="I820" s="0" t="s">
        <v>10903</v>
      </c>
      <c r="K820" s="0" t="s">
        <v>40</v>
      </c>
      <c r="L820" s="0" t="s">
        <v>10904</v>
      </c>
    </row>
    <row r="821" customFormat="false" ht="17.15" hidden="false" customHeight="false" outlineLevel="0" collapsed="false">
      <c r="A821" s="0" t="s">
        <v>10905</v>
      </c>
      <c r="B821" s="0" t="s">
        <v>10901</v>
      </c>
      <c r="C821" s="0" t="s">
        <v>10906</v>
      </c>
      <c r="D821" s="0" t="s">
        <v>117</v>
      </c>
      <c r="E821" s="5" t="s">
        <v>81</v>
      </c>
      <c r="F821" s="0" t="s">
        <v>10654</v>
      </c>
      <c r="G821" s="0" t="s">
        <v>3371</v>
      </c>
      <c r="H821" s="0" t="s">
        <v>8241</v>
      </c>
      <c r="I821" s="5" t="s">
        <v>10907</v>
      </c>
      <c r="K821" s="0" t="s">
        <v>40</v>
      </c>
      <c r="L821" s="0" t="s">
        <v>10908</v>
      </c>
    </row>
    <row r="822" customFormat="false" ht="17.15" hidden="false" customHeight="false" outlineLevel="0" collapsed="false">
      <c r="A822" s="0" t="s">
        <v>10909</v>
      </c>
      <c r="B822" s="0" t="s">
        <v>10910</v>
      </c>
      <c r="C822" s="0" t="s">
        <v>10911</v>
      </c>
      <c r="D822" s="0" t="s">
        <v>7581</v>
      </c>
      <c r="E822" s="5" t="s">
        <v>81</v>
      </c>
      <c r="F822" s="0" t="s">
        <v>10912</v>
      </c>
      <c r="G822" s="0" t="s">
        <v>3371</v>
      </c>
      <c r="H822" s="0" t="s">
        <v>8224</v>
      </c>
      <c r="I822" s="0" t="s">
        <v>10913</v>
      </c>
      <c r="J822" s="0" t="s">
        <v>991</v>
      </c>
      <c r="K822" s="5" t="s">
        <v>7240</v>
      </c>
      <c r="L822" s="0" t="s">
        <v>10914</v>
      </c>
    </row>
    <row r="823" customFormat="false" ht="17.15" hidden="false" customHeight="false" outlineLevel="0" collapsed="false">
      <c r="A823" s="0" t="s">
        <v>10915</v>
      </c>
      <c r="B823" s="0" t="s">
        <v>10910</v>
      </c>
      <c r="C823" s="0" t="s">
        <v>10916</v>
      </c>
      <c r="D823" s="0" t="s">
        <v>117</v>
      </c>
      <c r="E823" s="5" t="s">
        <v>81</v>
      </c>
      <c r="F823" s="0" t="s">
        <v>10912</v>
      </c>
      <c r="G823" s="0" t="s">
        <v>3371</v>
      </c>
      <c r="H823" s="0" t="s">
        <v>8224</v>
      </c>
      <c r="I823" s="5" t="s">
        <v>10917</v>
      </c>
      <c r="K823" s="0" t="s">
        <v>40</v>
      </c>
      <c r="L823" s="0" t="s">
        <v>10914</v>
      </c>
    </row>
    <row r="824" customFormat="false" ht="17.15" hidden="false" customHeight="false" outlineLevel="0" collapsed="false">
      <c r="A824" s="0" t="s">
        <v>10918</v>
      </c>
      <c r="B824" s="0" t="s">
        <v>10910</v>
      </c>
      <c r="C824" s="0" t="s">
        <v>10919</v>
      </c>
      <c r="D824" s="0" t="s">
        <v>10920</v>
      </c>
      <c r="E824" s="5" t="s">
        <v>81</v>
      </c>
      <c r="F824" s="0" t="s">
        <v>10921</v>
      </c>
      <c r="G824" s="0" t="s">
        <v>3317</v>
      </c>
      <c r="H824" s="0" t="s">
        <v>8208</v>
      </c>
      <c r="I824" s="0" t="s">
        <v>10922</v>
      </c>
      <c r="J824" s="0" t="s">
        <v>991</v>
      </c>
      <c r="K824" s="5" t="s">
        <v>7240</v>
      </c>
      <c r="L824" s="0" t="s">
        <v>10923</v>
      </c>
    </row>
    <row r="825" customFormat="false" ht="17.15" hidden="false" customHeight="false" outlineLevel="0" collapsed="false">
      <c r="A825" s="0" t="s">
        <v>10924</v>
      </c>
      <c r="B825" s="0" t="s">
        <v>10925</v>
      </c>
      <c r="C825" s="0" t="s">
        <v>10926</v>
      </c>
      <c r="D825" s="0" t="s">
        <v>117</v>
      </c>
      <c r="E825" s="5" t="s">
        <v>81</v>
      </c>
      <c r="F825" s="0" t="s">
        <v>10927</v>
      </c>
      <c r="G825" s="0" t="s">
        <v>3371</v>
      </c>
      <c r="H825" s="0" t="s">
        <v>8241</v>
      </c>
      <c r="I825" s="5" t="s">
        <v>10928</v>
      </c>
      <c r="K825" s="0" t="s">
        <v>40</v>
      </c>
      <c r="L825" s="0" t="s">
        <v>10929</v>
      </c>
    </row>
    <row r="826" customFormat="false" ht="17.15" hidden="false" customHeight="false" outlineLevel="0" collapsed="false">
      <c r="A826" s="0" t="s">
        <v>10930</v>
      </c>
      <c r="B826" s="0" t="s">
        <v>10931</v>
      </c>
      <c r="C826" s="0" t="s">
        <v>10932</v>
      </c>
      <c r="D826" s="0" t="s">
        <v>7739</v>
      </c>
      <c r="E826" s="0" t="s">
        <v>116</v>
      </c>
      <c r="F826" s="0" t="s">
        <v>8528</v>
      </c>
      <c r="G826" s="0" t="s">
        <v>3371</v>
      </c>
      <c r="H826" s="0" t="s">
        <v>8176</v>
      </c>
      <c r="I826" s="0" t="s">
        <v>10933</v>
      </c>
      <c r="K826" s="0" t="s">
        <v>40</v>
      </c>
      <c r="L826" s="0" t="s">
        <v>10934</v>
      </c>
    </row>
    <row r="827" customFormat="false" ht="17.15" hidden="false" customHeight="false" outlineLevel="0" collapsed="false">
      <c r="A827" s="0" t="s">
        <v>10935</v>
      </c>
      <c r="B827" s="0" t="s">
        <v>10931</v>
      </c>
      <c r="C827" s="0" t="s">
        <v>10936</v>
      </c>
      <c r="D827" s="0" t="s">
        <v>7568</v>
      </c>
      <c r="E827" s="5" t="s">
        <v>81</v>
      </c>
      <c r="F827" s="0" t="s">
        <v>7658</v>
      </c>
      <c r="G827" s="0" t="s">
        <v>3371</v>
      </c>
      <c r="H827" s="0" t="s">
        <v>8176</v>
      </c>
      <c r="I827" s="0" t="s">
        <v>10937</v>
      </c>
      <c r="K827" s="0" t="s">
        <v>40</v>
      </c>
      <c r="L827" s="0" t="s">
        <v>10938</v>
      </c>
    </row>
    <row r="828" customFormat="false" ht="17.15" hidden="false" customHeight="false" outlineLevel="0" collapsed="false">
      <c r="A828" s="0" t="s">
        <v>10939</v>
      </c>
      <c r="B828" s="0" t="s">
        <v>10940</v>
      </c>
      <c r="C828" s="0" t="s">
        <v>10941</v>
      </c>
      <c r="D828" s="0" t="s">
        <v>10942</v>
      </c>
      <c r="E828" s="5" t="s">
        <v>81</v>
      </c>
      <c r="F828" s="0" t="s">
        <v>10943</v>
      </c>
      <c r="G828" s="0" t="s">
        <v>3371</v>
      </c>
      <c r="H828" s="0" t="s">
        <v>8241</v>
      </c>
      <c r="I828" s="5" t="s">
        <v>10944</v>
      </c>
      <c r="K828" s="0" t="s">
        <v>40</v>
      </c>
      <c r="L828" s="0" t="s">
        <v>10945</v>
      </c>
    </row>
    <row r="829" customFormat="false" ht="17.15" hidden="false" customHeight="false" outlineLevel="0" collapsed="false">
      <c r="A829" s="0" t="s">
        <v>10946</v>
      </c>
      <c r="B829" s="0" t="s">
        <v>10940</v>
      </c>
      <c r="C829" s="0" t="s">
        <v>10947</v>
      </c>
      <c r="D829" s="0" t="s">
        <v>117</v>
      </c>
      <c r="E829" s="5" t="s">
        <v>81</v>
      </c>
      <c r="F829" s="0" t="s">
        <v>10943</v>
      </c>
      <c r="G829" s="0" t="s">
        <v>3371</v>
      </c>
      <c r="H829" s="0" t="s">
        <v>8176</v>
      </c>
      <c r="I829" s="0" t="s">
        <v>10948</v>
      </c>
      <c r="K829" s="0" t="s">
        <v>40</v>
      </c>
      <c r="L829" s="0" t="s">
        <v>10949</v>
      </c>
    </row>
    <row r="830" customFormat="false" ht="17.15" hidden="false" customHeight="false" outlineLevel="0" collapsed="false">
      <c r="A830" s="0" t="s">
        <v>10950</v>
      </c>
      <c r="B830" s="0" t="s">
        <v>10940</v>
      </c>
      <c r="C830" s="0" t="s">
        <v>10951</v>
      </c>
      <c r="D830" s="0" t="s">
        <v>117</v>
      </c>
      <c r="E830" s="5" t="s">
        <v>81</v>
      </c>
      <c r="F830" s="0" t="s">
        <v>10943</v>
      </c>
      <c r="G830" s="0" t="s">
        <v>3371</v>
      </c>
      <c r="H830" s="0" t="s">
        <v>8241</v>
      </c>
      <c r="I830" s="5" t="s">
        <v>10952</v>
      </c>
      <c r="K830" s="0" t="s">
        <v>40</v>
      </c>
      <c r="L830" s="0" t="s">
        <v>10945</v>
      </c>
    </row>
    <row r="831" customFormat="false" ht="17.15" hidden="false" customHeight="false" outlineLevel="0" collapsed="false">
      <c r="A831" s="0" t="s">
        <v>10953</v>
      </c>
      <c r="B831" s="0" t="s">
        <v>10954</v>
      </c>
      <c r="C831" s="0" t="s">
        <v>10955</v>
      </c>
      <c r="D831" s="0" t="s">
        <v>8940</v>
      </c>
      <c r="E831" s="5" t="s">
        <v>81</v>
      </c>
      <c r="F831" s="0" t="s">
        <v>8533</v>
      </c>
      <c r="G831" s="0" t="s">
        <v>3371</v>
      </c>
      <c r="H831" s="0" t="s">
        <v>8241</v>
      </c>
      <c r="I831" s="5" t="s">
        <v>10956</v>
      </c>
      <c r="K831" s="0" t="s">
        <v>40</v>
      </c>
      <c r="L831" s="0" t="s">
        <v>10957</v>
      </c>
    </row>
    <row r="832" customFormat="false" ht="17.15" hidden="false" customHeight="false" outlineLevel="0" collapsed="false">
      <c r="A832" s="0" t="s">
        <v>10958</v>
      </c>
      <c r="B832" s="0" t="s">
        <v>10954</v>
      </c>
      <c r="C832" s="0" t="s">
        <v>10959</v>
      </c>
      <c r="D832" s="0" t="s">
        <v>9384</v>
      </c>
      <c r="E832" s="5" t="s">
        <v>81</v>
      </c>
      <c r="F832" s="0" t="s">
        <v>10960</v>
      </c>
      <c r="G832" s="0" t="s">
        <v>3371</v>
      </c>
      <c r="H832" s="0" t="s">
        <v>8176</v>
      </c>
      <c r="I832" s="0" t="s">
        <v>10961</v>
      </c>
      <c r="K832" s="0" t="s">
        <v>40</v>
      </c>
      <c r="L832" s="0" t="s">
        <v>10962</v>
      </c>
    </row>
    <row r="833" customFormat="false" ht="17.15" hidden="false" customHeight="false" outlineLevel="0" collapsed="false">
      <c r="A833" s="0" t="s">
        <v>10963</v>
      </c>
      <c r="B833" s="0" t="s">
        <v>10954</v>
      </c>
      <c r="C833" s="0" t="s">
        <v>10964</v>
      </c>
      <c r="D833" s="0" t="s">
        <v>117</v>
      </c>
      <c r="E833" s="5" t="s">
        <v>81</v>
      </c>
      <c r="F833" s="0" t="s">
        <v>8533</v>
      </c>
      <c r="G833" s="0" t="s">
        <v>3371</v>
      </c>
      <c r="H833" s="0" t="s">
        <v>8176</v>
      </c>
      <c r="I833" s="5" t="s">
        <v>10965</v>
      </c>
      <c r="K833" s="0" t="s">
        <v>40</v>
      </c>
      <c r="L833" s="0" t="s">
        <v>10966</v>
      </c>
    </row>
    <row r="834" customFormat="false" ht="17.15" hidden="false" customHeight="false" outlineLevel="0" collapsed="false">
      <c r="A834" s="0" t="s">
        <v>10967</v>
      </c>
      <c r="B834" s="0" t="s">
        <v>10968</v>
      </c>
      <c r="C834" s="0" t="s">
        <v>10969</v>
      </c>
      <c r="D834" s="0" t="s">
        <v>7581</v>
      </c>
      <c r="E834" s="5" t="s">
        <v>81</v>
      </c>
      <c r="F834" s="0" t="s">
        <v>8647</v>
      </c>
      <c r="G834" s="0" t="s">
        <v>3371</v>
      </c>
      <c r="H834" s="0" t="s">
        <v>8241</v>
      </c>
      <c r="I834" s="5" t="s">
        <v>10970</v>
      </c>
      <c r="K834" s="0" t="s">
        <v>40</v>
      </c>
      <c r="L834" s="0" t="s">
        <v>10971</v>
      </c>
    </row>
    <row r="835" customFormat="false" ht="17.15" hidden="false" customHeight="false" outlineLevel="0" collapsed="false">
      <c r="A835" s="0" t="s">
        <v>10972</v>
      </c>
      <c r="B835" s="0" t="s">
        <v>10973</v>
      </c>
      <c r="C835" s="0" t="s">
        <v>10974</v>
      </c>
      <c r="D835" s="0" t="s">
        <v>7177</v>
      </c>
      <c r="E835" s="5" t="s">
        <v>81</v>
      </c>
      <c r="F835" s="0" t="s">
        <v>10670</v>
      </c>
      <c r="G835" s="0" t="s">
        <v>3371</v>
      </c>
      <c r="H835" s="0" t="s">
        <v>8176</v>
      </c>
      <c r="I835" s="0" t="s">
        <v>10975</v>
      </c>
      <c r="K835" s="0" t="s">
        <v>40</v>
      </c>
      <c r="L835" s="0" t="s">
        <v>10976</v>
      </c>
    </row>
    <row r="836" customFormat="false" ht="17.15" hidden="false" customHeight="false" outlineLevel="0" collapsed="false">
      <c r="A836" s="0" t="s">
        <v>10977</v>
      </c>
      <c r="B836" s="0" t="s">
        <v>10978</v>
      </c>
      <c r="C836" s="0" t="s">
        <v>10979</v>
      </c>
      <c r="D836" s="0" t="s">
        <v>7568</v>
      </c>
      <c r="E836" s="5" t="s">
        <v>81</v>
      </c>
      <c r="F836" s="0" t="s">
        <v>10980</v>
      </c>
      <c r="G836" s="0" t="s">
        <v>3317</v>
      </c>
      <c r="H836" s="0" t="s">
        <v>8176</v>
      </c>
      <c r="I836" s="0" t="s">
        <v>10981</v>
      </c>
      <c r="K836" s="0" t="s">
        <v>40</v>
      </c>
      <c r="L836" s="0" t="s">
        <v>10982</v>
      </c>
    </row>
    <row r="837" customFormat="false" ht="17.15" hidden="false" customHeight="false" outlineLevel="0" collapsed="false">
      <c r="A837" s="0" t="s">
        <v>10983</v>
      </c>
      <c r="B837" s="0" t="s">
        <v>10984</v>
      </c>
      <c r="C837" s="0" t="s">
        <v>10985</v>
      </c>
      <c r="D837" s="0" t="s">
        <v>7568</v>
      </c>
      <c r="E837" s="5" t="s">
        <v>81</v>
      </c>
      <c r="F837" s="0" t="s">
        <v>10980</v>
      </c>
      <c r="G837" s="0" t="s">
        <v>3317</v>
      </c>
      <c r="H837" s="0" t="s">
        <v>8176</v>
      </c>
      <c r="I837" s="0" t="s">
        <v>10986</v>
      </c>
      <c r="K837" s="0" t="s">
        <v>40</v>
      </c>
      <c r="L837" s="0" t="s">
        <v>10982</v>
      </c>
    </row>
    <row r="838" customFormat="false" ht="17.15" hidden="false" customHeight="false" outlineLevel="0" collapsed="false">
      <c r="A838" s="0" t="s">
        <v>10987</v>
      </c>
      <c r="B838" s="0" t="s">
        <v>10988</v>
      </c>
      <c r="C838" s="0" t="s">
        <v>10989</v>
      </c>
      <c r="D838" s="0" t="s">
        <v>7568</v>
      </c>
      <c r="E838" s="5" t="s">
        <v>81</v>
      </c>
      <c r="F838" s="0" t="s">
        <v>10980</v>
      </c>
      <c r="G838" s="0" t="s">
        <v>3317</v>
      </c>
      <c r="H838" s="0" t="s">
        <v>8176</v>
      </c>
      <c r="I838" s="0" t="s">
        <v>10990</v>
      </c>
      <c r="K838" s="0" t="s">
        <v>40</v>
      </c>
      <c r="L838" s="0" t="s">
        <v>10982</v>
      </c>
    </row>
    <row r="839" customFormat="false" ht="17.15" hidden="false" customHeight="false" outlineLevel="0" collapsed="false">
      <c r="A839" s="0" t="s">
        <v>10991</v>
      </c>
      <c r="B839" s="0" t="s">
        <v>10992</v>
      </c>
      <c r="C839" s="0" t="s">
        <v>10993</v>
      </c>
      <c r="D839" s="0" t="s">
        <v>7568</v>
      </c>
      <c r="E839" s="5" t="s">
        <v>81</v>
      </c>
      <c r="F839" s="0" t="s">
        <v>10980</v>
      </c>
      <c r="G839" s="0" t="s">
        <v>3317</v>
      </c>
      <c r="H839" s="0" t="s">
        <v>8176</v>
      </c>
      <c r="I839" s="0" t="s">
        <v>10994</v>
      </c>
      <c r="K839" s="0" t="s">
        <v>40</v>
      </c>
      <c r="L839" s="0" t="s">
        <v>10982</v>
      </c>
    </row>
    <row r="840" customFormat="false" ht="17.15" hidden="false" customHeight="false" outlineLevel="0" collapsed="false">
      <c r="A840" s="0" t="s">
        <v>10995</v>
      </c>
      <c r="B840" s="0" t="s">
        <v>10996</v>
      </c>
      <c r="C840" s="0" t="s">
        <v>10997</v>
      </c>
      <c r="D840" s="0" t="s">
        <v>117</v>
      </c>
      <c r="E840" s="5" t="s">
        <v>81</v>
      </c>
      <c r="F840" s="0" t="s">
        <v>10998</v>
      </c>
      <c r="G840" s="0" t="s">
        <v>3371</v>
      </c>
      <c r="H840" s="0" t="s">
        <v>8176</v>
      </c>
      <c r="I840" s="0" t="s">
        <v>10999</v>
      </c>
      <c r="K840" s="0" t="s">
        <v>40</v>
      </c>
      <c r="L840" s="0" t="s">
        <v>11000</v>
      </c>
    </row>
    <row r="841" customFormat="false" ht="17.15" hidden="false" customHeight="false" outlineLevel="0" collapsed="false">
      <c r="A841" s="0" t="s">
        <v>11001</v>
      </c>
      <c r="B841" s="0" t="s">
        <v>10535</v>
      </c>
      <c r="C841" s="0" t="s">
        <v>11002</v>
      </c>
      <c r="D841" s="0" t="s">
        <v>8300</v>
      </c>
      <c r="E841" s="5" t="s">
        <v>81</v>
      </c>
      <c r="F841" s="0" t="s">
        <v>6925</v>
      </c>
      <c r="G841" s="0" t="s">
        <v>3371</v>
      </c>
      <c r="H841" s="0" t="s">
        <v>8176</v>
      </c>
      <c r="I841" s="0" t="s">
        <v>11003</v>
      </c>
      <c r="K841" s="0" t="s">
        <v>40</v>
      </c>
      <c r="L841" s="0" t="s">
        <v>11004</v>
      </c>
    </row>
    <row r="842" customFormat="false" ht="17.15" hidden="false" customHeight="false" outlineLevel="0" collapsed="false">
      <c r="A842" s="0" t="s">
        <v>11005</v>
      </c>
      <c r="B842" s="0" t="s">
        <v>10535</v>
      </c>
      <c r="C842" s="0" t="s">
        <v>11006</v>
      </c>
      <c r="D842" s="0" t="s">
        <v>11007</v>
      </c>
      <c r="E842" s="5" t="s">
        <v>81</v>
      </c>
      <c r="F842" s="0" t="s">
        <v>11008</v>
      </c>
      <c r="G842" s="0" t="s">
        <v>3371</v>
      </c>
      <c r="H842" s="0" t="s">
        <v>8176</v>
      </c>
      <c r="I842" s="0" t="s">
        <v>11009</v>
      </c>
      <c r="K842" s="0" t="s">
        <v>40</v>
      </c>
      <c r="L842" s="0" t="s">
        <v>11010</v>
      </c>
    </row>
    <row r="843" customFormat="false" ht="17.15" hidden="false" customHeight="false" outlineLevel="0" collapsed="false">
      <c r="A843" s="0" t="s">
        <v>11011</v>
      </c>
      <c r="B843" s="0" t="s">
        <v>10535</v>
      </c>
      <c r="C843" s="0" t="s">
        <v>11012</v>
      </c>
      <c r="D843" s="0" t="s">
        <v>117</v>
      </c>
      <c r="E843" s="5" t="s">
        <v>81</v>
      </c>
      <c r="F843" s="0" t="s">
        <v>7255</v>
      </c>
      <c r="G843" s="0" t="s">
        <v>3371</v>
      </c>
      <c r="H843" s="0" t="s">
        <v>8241</v>
      </c>
      <c r="I843" s="5" t="s">
        <v>11013</v>
      </c>
      <c r="K843" s="0" t="s">
        <v>40</v>
      </c>
      <c r="L843" s="0" t="s">
        <v>11014</v>
      </c>
    </row>
    <row r="844" customFormat="false" ht="17.15" hidden="false" customHeight="false" outlineLevel="0" collapsed="false">
      <c r="A844" s="0" t="s">
        <v>11015</v>
      </c>
      <c r="B844" s="0" t="s">
        <v>11016</v>
      </c>
      <c r="C844" s="0" t="s">
        <v>11017</v>
      </c>
      <c r="D844" s="0" t="s">
        <v>11018</v>
      </c>
      <c r="E844" s="0" t="s">
        <v>116</v>
      </c>
      <c r="F844" s="0" t="s">
        <v>10998</v>
      </c>
      <c r="G844" s="0" t="s">
        <v>3371</v>
      </c>
      <c r="H844" s="0" t="s">
        <v>8241</v>
      </c>
      <c r="I844" s="0" t="s">
        <v>11019</v>
      </c>
      <c r="K844" s="0" t="s">
        <v>40</v>
      </c>
      <c r="L844" s="0" t="s">
        <v>11020</v>
      </c>
    </row>
    <row r="845" customFormat="false" ht="17.15" hidden="false" customHeight="false" outlineLevel="0" collapsed="false">
      <c r="A845" s="0" t="s">
        <v>11021</v>
      </c>
      <c r="B845" s="0" t="s">
        <v>11016</v>
      </c>
      <c r="C845" s="0" t="s">
        <v>11022</v>
      </c>
      <c r="D845" s="0" t="s">
        <v>117</v>
      </c>
      <c r="E845" s="5" t="s">
        <v>81</v>
      </c>
      <c r="F845" s="0" t="s">
        <v>8965</v>
      </c>
      <c r="G845" s="0" t="s">
        <v>3371</v>
      </c>
      <c r="H845" s="0" t="s">
        <v>8224</v>
      </c>
      <c r="I845" s="5" t="s">
        <v>11023</v>
      </c>
      <c r="K845" s="0" t="s">
        <v>40</v>
      </c>
      <c r="L845" s="0" t="s">
        <v>11024</v>
      </c>
    </row>
    <row r="846" customFormat="false" ht="17.15" hidden="false" customHeight="false" outlineLevel="0" collapsed="false">
      <c r="A846" s="0" t="s">
        <v>11025</v>
      </c>
      <c r="B846" s="0" t="s">
        <v>11016</v>
      </c>
      <c r="C846" s="0" t="s">
        <v>11026</v>
      </c>
      <c r="D846" s="0" t="s">
        <v>117</v>
      </c>
      <c r="E846" s="5" t="s">
        <v>81</v>
      </c>
      <c r="F846" s="0" t="s">
        <v>8965</v>
      </c>
      <c r="G846" s="0" t="s">
        <v>3371</v>
      </c>
      <c r="H846" s="0" t="s">
        <v>8176</v>
      </c>
      <c r="I846" s="5" t="s">
        <v>11027</v>
      </c>
      <c r="K846" s="0" t="s">
        <v>40</v>
      </c>
      <c r="L846" s="0" t="s">
        <v>11024</v>
      </c>
    </row>
    <row r="847" customFormat="false" ht="17.15" hidden="false" customHeight="false" outlineLevel="0" collapsed="false">
      <c r="A847" s="0" t="s">
        <v>11028</v>
      </c>
      <c r="B847" s="0" t="s">
        <v>11016</v>
      </c>
      <c r="C847" s="0" t="s">
        <v>11029</v>
      </c>
      <c r="D847" s="0" t="s">
        <v>7433</v>
      </c>
      <c r="E847" s="5" t="s">
        <v>81</v>
      </c>
      <c r="F847" s="0" t="s">
        <v>11030</v>
      </c>
      <c r="G847" s="0" t="s">
        <v>3371</v>
      </c>
      <c r="H847" s="0" t="s">
        <v>8176</v>
      </c>
      <c r="I847" s="0" t="s">
        <v>11031</v>
      </c>
      <c r="K847" s="0" t="s">
        <v>40</v>
      </c>
      <c r="L847" s="0" t="s">
        <v>11032</v>
      </c>
    </row>
    <row r="848" customFormat="false" ht="17.15" hidden="false" customHeight="false" outlineLevel="0" collapsed="false">
      <c r="A848" s="0" t="s">
        <v>11033</v>
      </c>
      <c r="B848" s="0" t="s">
        <v>11016</v>
      </c>
      <c r="C848" s="0" t="s">
        <v>11034</v>
      </c>
      <c r="D848" s="0" t="s">
        <v>9268</v>
      </c>
      <c r="E848" s="5" t="s">
        <v>81</v>
      </c>
      <c r="F848" s="0" t="s">
        <v>3774</v>
      </c>
      <c r="G848" s="0" t="s">
        <v>3371</v>
      </c>
      <c r="H848" s="0" t="s">
        <v>8176</v>
      </c>
      <c r="I848" s="5" t="s">
        <v>11035</v>
      </c>
      <c r="K848" s="0" t="s">
        <v>40</v>
      </c>
      <c r="L848" s="0" t="s">
        <v>11036</v>
      </c>
    </row>
    <row r="849" customFormat="false" ht="17.15" hidden="false" customHeight="false" outlineLevel="0" collapsed="false">
      <c r="A849" s="0" t="s">
        <v>11037</v>
      </c>
      <c r="B849" s="0" t="s">
        <v>3983</v>
      </c>
      <c r="C849" s="0" t="s">
        <v>11038</v>
      </c>
      <c r="D849" s="0" t="s">
        <v>8808</v>
      </c>
      <c r="E849" s="5" t="s">
        <v>81</v>
      </c>
      <c r="F849" s="0" t="s">
        <v>9357</v>
      </c>
      <c r="G849" s="0" t="s">
        <v>3371</v>
      </c>
      <c r="H849" s="0" t="s">
        <v>8219</v>
      </c>
      <c r="I849" s="5" t="s">
        <v>8220</v>
      </c>
      <c r="K849" s="0" t="s">
        <v>40</v>
      </c>
      <c r="L849" s="0" t="s">
        <v>11039</v>
      </c>
    </row>
    <row r="850" customFormat="false" ht="17.15" hidden="false" customHeight="false" outlineLevel="0" collapsed="false">
      <c r="A850" s="0" t="s">
        <v>11040</v>
      </c>
      <c r="B850" s="0" t="s">
        <v>11041</v>
      </c>
      <c r="C850" s="0" t="s">
        <v>11042</v>
      </c>
      <c r="D850" s="0" t="s">
        <v>8719</v>
      </c>
      <c r="E850" s="5" t="s">
        <v>81</v>
      </c>
      <c r="F850" s="0" t="s">
        <v>7285</v>
      </c>
      <c r="G850" s="0" t="s">
        <v>3371</v>
      </c>
      <c r="H850" s="0" t="s">
        <v>8176</v>
      </c>
      <c r="I850" s="0" t="s">
        <v>11043</v>
      </c>
      <c r="J850" s="0" t="s">
        <v>985</v>
      </c>
      <c r="K850" s="5" t="s">
        <v>7240</v>
      </c>
      <c r="L850" s="0" t="s">
        <v>11044</v>
      </c>
    </row>
    <row r="851" customFormat="false" ht="17.15" hidden="false" customHeight="false" outlineLevel="0" collapsed="false">
      <c r="A851" s="0" t="s">
        <v>11045</v>
      </c>
      <c r="B851" s="0" t="s">
        <v>11041</v>
      </c>
      <c r="C851" s="0" t="s">
        <v>11046</v>
      </c>
      <c r="D851" s="0" t="s">
        <v>9961</v>
      </c>
      <c r="E851" s="5" t="s">
        <v>81</v>
      </c>
      <c r="F851" s="0" t="s">
        <v>6925</v>
      </c>
      <c r="G851" s="0" t="s">
        <v>3371</v>
      </c>
      <c r="H851" s="0" t="s">
        <v>8176</v>
      </c>
      <c r="I851" s="0" t="s">
        <v>11047</v>
      </c>
      <c r="J851" s="0" t="s">
        <v>985</v>
      </c>
      <c r="K851" s="5" t="s">
        <v>7240</v>
      </c>
      <c r="L851" s="0" t="s">
        <v>11048</v>
      </c>
    </row>
    <row r="852" customFormat="false" ht="17.15" hidden="false" customHeight="false" outlineLevel="0" collapsed="false">
      <c r="A852" s="0" t="s">
        <v>11049</v>
      </c>
      <c r="B852" s="0" t="s">
        <v>11041</v>
      </c>
      <c r="C852" s="0" t="s">
        <v>11050</v>
      </c>
      <c r="D852" s="0" t="s">
        <v>10863</v>
      </c>
      <c r="E852" s="5" t="s">
        <v>81</v>
      </c>
      <c r="F852" s="0" t="s">
        <v>11051</v>
      </c>
      <c r="G852" s="0" t="s">
        <v>3371</v>
      </c>
      <c r="H852" s="0" t="s">
        <v>8208</v>
      </c>
      <c r="I852" s="0" t="s">
        <v>11052</v>
      </c>
      <c r="J852" s="0" t="s">
        <v>985</v>
      </c>
      <c r="K852" s="5" t="s">
        <v>7240</v>
      </c>
      <c r="L852" s="0" t="s">
        <v>11053</v>
      </c>
    </row>
    <row r="853" customFormat="false" ht="17.15" hidden="false" customHeight="false" outlineLevel="0" collapsed="false">
      <c r="A853" s="0" t="s">
        <v>11054</v>
      </c>
      <c r="B853" s="0" t="s">
        <v>11055</v>
      </c>
      <c r="C853" s="0" t="s">
        <v>11056</v>
      </c>
      <c r="D853" s="0" t="s">
        <v>9268</v>
      </c>
      <c r="E853" s="0" t="s">
        <v>116</v>
      </c>
      <c r="F853" s="0" t="s">
        <v>7793</v>
      </c>
      <c r="G853" s="0" t="s">
        <v>3371</v>
      </c>
      <c r="H853" s="0" t="s">
        <v>8224</v>
      </c>
      <c r="I853" s="0" t="s">
        <v>11057</v>
      </c>
      <c r="J853" s="0" t="s">
        <v>985</v>
      </c>
      <c r="K853" s="5" t="s">
        <v>7240</v>
      </c>
      <c r="L853" s="0" t="s">
        <v>11058</v>
      </c>
    </row>
    <row r="854" customFormat="false" ht="17.15" hidden="false" customHeight="false" outlineLevel="0" collapsed="false">
      <c r="A854" s="0" t="s">
        <v>11059</v>
      </c>
      <c r="B854" s="0" t="s">
        <v>11060</v>
      </c>
      <c r="C854" s="0" t="s">
        <v>11061</v>
      </c>
      <c r="D854" s="0" t="s">
        <v>11062</v>
      </c>
      <c r="E854" s="0" t="s">
        <v>116</v>
      </c>
      <c r="F854" s="0" t="s">
        <v>10189</v>
      </c>
      <c r="G854" s="0" t="s">
        <v>3371</v>
      </c>
      <c r="H854" s="0" t="s">
        <v>8208</v>
      </c>
      <c r="I854" s="5" t="s">
        <v>11063</v>
      </c>
      <c r="K854" s="0" t="s">
        <v>40</v>
      </c>
      <c r="L854" s="0" t="s">
        <v>11064</v>
      </c>
    </row>
    <row r="855" customFormat="false" ht="17.15" hidden="false" customHeight="false" outlineLevel="0" collapsed="false">
      <c r="A855" s="0" t="s">
        <v>11065</v>
      </c>
      <c r="B855" s="0" t="s">
        <v>11060</v>
      </c>
      <c r="C855" s="0" t="s">
        <v>11066</v>
      </c>
      <c r="D855" s="0" t="s">
        <v>11067</v>
      </c>
      <c r="E855" s="0" t="s">
        <v>116</v>
      </c>
      <c r="F855" s="0" t="s">
        <v>10654</v>
      </c>
      <c r="G855" s="0" t="s">
        <v>3371</v>
      </c>
      <c r="H855" s="0" t="s">
        <v>8219</v>
      </c>
      <c r="I855" s="5" t="s">
        <v>8220</v>
      </c>
      <c r="K855" s="0" t="s">
        <v>40</v>
      </c>
      <c r="L855" s="0" t="s">
        <v>11068</v>
      </c>
    </row>
    <row r="856" customFormat="false" ht="17.15" hidden="false" customHeight="false" outlineLevel="0" collapsed="false">
      <c r="A856" s="0" t="s">
        <v>11069</v>
      </c>
      <c r="B856" s="0" t="s">
        <v>11060</v>
      </c>
      <c r="C856" s="0" t="s">
        <v>11070</v>
      </c>
      <c r="D856" s="0" t="s">
        <v>11071</v>
      </c>
      <c r="E856" s="5" t="s">
        <v>81</v>
      </c>
      <c r="F856" s="0" t="s">
        <v>10654</v>
      </c>
      <c r="G856" s="0" t="s">
        <v>3371</v>
      </c>
      <c r="H856" s="0" t="s">
        <v>8219</v>
      </c>
      <c r="I856" s="5" t="s">
        <v>8220</v>
      </c>
      <c r="K856" s="0" t="s">
        <v>40</v>
      </c>
      <c r="L856" s="0" t="s">
        <v>11068</v>
      </c>
    </row>
    <row r="857" customFormat="false" ht="17.15" hidden="false" customHeight="false" outlineLevel="0" collapsed="false">
      <c r="A857" s="0" t="s">
        <v>11072</v>
      </c>
      <c r="B857" s="0" t="s">
        <v>11060</v>
      </c>
      <c r="C857" s="0" t="s">
        <v>11073</v>
      </c>
      <c r="D857" s="0" t="s">
        <v>10567</v>
      </c>
      <c r="E857" s="5" t="s">
        <v>81</v>
      </c>
      <c r="F857" s="0" t="s">
        <v>11074</v>
      </c>
      <c r="G857" s="0" t="s">
        <v>3327</v>
      </c>
      <c r="H857" s="0" t="s">
        <v>8224</v>
      </c>
      <c r="I857" s="5" t="s">
        <v>11075</v>
      </c>
      <c r="K857" s="0" t="s">
        <v>40</v>
      </c>
      <c r="L857" s="0" t="s">
        <v>11076</v>
      </c>
    </row>
    <row r="858" customFormat="false" ht="17.15" hidden="false" customHeight="false" outlineLevel="0" collapsed="false">
      <c r="A858" s="0" t="s">
        <v>11077</v>
      </c>
      <c r="B858" s="0" t="s">
        <v>11078</v>
      </c>
      <c r="C858" s="0" t="s">
        <v>11079</v>
      </c>
      <c r="D858" s="0" t="s">
        <v>7496</v>
      </c>
      <c r="E858" s="5" t="s">
        <v>81</v>
      </c>
      <c r="F858" s="0" t="s">
        <v>11080</v>
      </c>
      <c r="G858" s="0" t="s">
        <v>3371</v>
      </c>
      <c r="H858" s="0" t="s">
        <v>8176</v>
      </c>
      <c r="I858" s="0" t="s">
        <v>11081</v>
      </c>
      <c r="K858" s="0" t="s">
        <v>40</v>
      </c>
      <c r="L858" s="0" t="s">
        <v>11082</v>
      </c>
    </row>
    <row r="859" customFormat="false" ht="17.15" hidden="false" customHeight="false" outlineLevel="0" collapsed="false">
      <c r="A859" s="0" t="s">
        <v>11083</v>
      </c>
      <c r="B859" s="0" t="s">
        <v>11078</v>
      </c>
      <c r="C859" s="0" t="s">
        <v>11084</v>
      </c>
      <c r="D859" s="0" t="s">
        <v>9285</v>
      </c>
      <c r="E859" s="5" t="s">
        <v>81</v>
      </c>
      <c r="F859" s="0" t="s">
        <v>7323</v>
      </c>
      <c r="G859" s="0" t="s">
        <v>3371</v>
      </c>
      <c r="H859" s="0" t="s">
        <v>8208</v>
      </c>
      <c r="I859" s="0" t="s">
        <v>11085</v>
      </c>
      <c r="K859" s="0" t="s">
        <v>40</v>
      </c>
      <c r="L859" s="0" t="s">
        <v>11086</v>
      </c>
    </row>
    <row r="860" customFormat="false" ht="17.15" hidden="false" customHeight="false" outlineLevel="0" collapsed="false">
      <c r="A860" s="0" t="s">
        <v>11087</v>
      </c>
      <c r="B860" s="0" t="s">
        <v>11078</v>
      </c>
      <c r="C860" s="0" t="s">
        <v>11088</v>
      </c>
      <c r="D860" s="0" t="s">
        <v>10942</v>
      </c>
      <c r="E860" s="5" t="s">
        <v>81</v>
      </c>
      <c r="F860" s="0" t="s">
        <v>11080</v>
      </c>
      <c r="G860" s="0" t="s">
        <v>3371</v>
      </c>
      <c r="H860" s="0" t="s">
        <v>8241</v>
      </c>
      <c r="I860" s="0" t="s">
        <v>11089</v>
      </c>
      <c r="K860" s="0" t="s">
        <v>40</v>
      </c>
      <c r="L860" s="0" t="s">
        <v>11082</v>
      </c>
    </row>
    <row r="861" customFormat="false" ht="17.15" hidden="false" customHeight="false" outlineLevel="0" collapsed="false">
      <c r="A861" s="0" t="s">
        <v>11090</v>
      </c>
      <c r="B861" s="0" t="s">
        <v>11091</v>
      </c>
      <c r="C861" s="0" t="s">
        <v>11092</v>
      </c>
      <c r="D861" s="0" t="s">
        <v>117</v>
      </c>
      <c r="E861" s="5" t="s">
        <v>81</v>
      </c>
      <c r="F861" s="0" t="s">
        <v>11093</v>
      </c>
      <c r="G861" s="0" t="s">
        <v>3371</v>
      </c>
      <c r="H861" s="0" t="s">
        <v>8224</v>
      </c>
      <c r="I861" s="5" t="s">
        <v>11094</v>
      </c>
      <c r="K861" s="0" t="s">
        <v>40</v>
      </c>
      <c r="L861" s="0" t="s">
        <v>11095</v>
      </c>
    </row>
    <row r="862" customFormat="false" ht="17.15" hidden="false" customHeight="false" outlineLevel="0" collapsed="false">
      <c r="A862" s="0" t="s">
        <v>11096</v>
      </c>
      <c r="B862" s="0" t="s">
        <v>11091</v>
      </c>
      <c r="C862" s="0" t="s">
        <v>11097</v>
      </c>
      <c r="D862" s="0" t="s">
        <v>8940</v>
      </c>
      <c r="E862" s="0" t="s">
        <v>116</v>
      </c>
      <c r="F862" s="0" t="s">
        <v>11030</v>
      </c>
      <c r="G862" s="0" t="s">
        <v>3371</v>
      </c>
      <c r="H862" s="0" t="s">
        <v>8224</v>
      </c>
      <c r="I862" s="5" t="s">
        <v>11098</v>
      </c>
      <c r="K862" s="0" t="s">
        <v>40</v>
      </c>
      <c r="L862" s="0" t="s">
        <v>11099</v>
      </c>
    </row>
    <row r="863" customFormat="false" ht="17.15" hidden="false" customHeight="false" outlineLevel="0" collapsed="false">
      <c r="A863" s="0" t="s">
        <v>11100</v>
      </c>
      <c r="B863" s="0" t="s">
        <v>11101</v>
      </c>
      <c r="C863" s="0" t="s">
        <v>11102</v>
      </c>
      <c r="D863" s="0" t="s">
        <v>11103</v>
      </c>
      <c r="E863" s="5" t="s">
        <v>81</v>
      </c>
      <c r="G863" s="0" t="s">
        <v>123</v>
      </c>
      <c r="H863" s="0" t="s">
        <v>8202</v>
      </c>
      <c r="I863" s="5" t="s">
        <v>11104</v>
      </c>
      <c r="K863" s="0" t="s">
        <v>40</v>
      </c>
      <c r="L863" s="0" t="s">
        <v>11105</v>
      </c>
    </row>
    <row r="864" customFormat="false" ht="17.15" hidden="false" customHeight="false" outlineLevel="0" collapsed="false">
      <c r="A864" s="0" t="s">
        <v>11106</v>
      </c>
      <c r="B864" s="0" t="s">
        <v>9619</v>
      </c>
      <c r="C864" s="0" t="s">
        <v>11107</v>
      </c>
      <c r="D864" s="0" t="s">
        <v>117</v>
      </c>
      <c r="E864" s="5" t="s">
        <v>81</v>
      </c>
      <c r="F864" s="0" t="s">
        <v>11108</v>
      </c>
      <c r="G864" s="0" t="s">
        <v>146</v>
      </c>
      <c r="H864" s="0" t="s">
        <v>8176</v>
      </c>
      <c r="I864" s="0" t="s">
        <v>11109</v>
      </c>
      <c r="K864" s="0" t="s">
        <v>40</v>
      </c>
      <c r="L864" s="0" t="s">
        <v>11110</v>
      </c>
    </row>
    <row r="865" customFormat="false" ht="17.15" hidden="false" customHeight="false" outlineLevel="0" collapsed="false">
      <c r="A865" s="0" t="s">
        <v>11111</v>
      </c>
      <c r="B865" s="0" t="s">
        <v>9619</v>
      </c>
      <c r="C865" s="0" t="s">
        <v>11112</v>
      </c>
      <c r="D865" s="0" t="s">
        <v>117</v>
      </c>
      <c r="E865" s="5" t="s">
        <v>81</v>
      </c>
      <c r="F865" s="0" t="s">
        <v>8382</v>
      </c>
      <c r="G865" s="0" t="s">
        <v>123</v>
      </c>
      <c r="H865" s="0" t="s">
        <v>8219</v>
      </c>
      <c r="I865" s="5" t="s">
        <v>8948</v>
      </c>
      <c r="K865" s="0" t="s">
        <v>40</v>
      </c>
      <c r="L865" s="0" t="s">
        <v>11113</v>
      </c>
    </row>
    <row r="866" customFormat="false" ht="17.15" hidden="false" customHeight="false" outlineLevel="0" collapsed="false">
      <c r="A866" s="0" t="s">
        <v>11114</v>
      </c>
      <c r="B866" s="0" t="s">
        <v>9619</v>
      </c>
      <c r="C866" s="0" t="s">
        <v>11115</v>
      </c>
      <c r="D866" s="0" t="s">
        <v>117</v>
      </c>
      <c r="E866" s="5" t="s">
        <v>81</v>
      </c>
      <c r="F866" s="0" t="s">
        <v>8826</v>
      </c>
      <c r="G866" s="0" t="s">
        <v>123</v>
      </c>
      <c r="H866" s="0" t="s">
        <v>8176</v>
      </c>
      <c r="I866" s="5" t="s">
        <v>11116</v>
      </c>
      <c r="K866" s="0" t="s">
        <v>40</v>
      </c>
      <c r="L866" s="0" t="s">
        <v>11117</v>
      </c>
    </row>
    <row r="867" customFormat="false" ht="17.15" hidden="false" customHeight="false" outlineLevel="0" collapsed="false">
      <c r="A867" s="0" t="s">
        <v>11118</v>
      </c>
      <c r="B867" s="0" t="s">
        <v>9619</v>
      </c>
      <c r="C867" s="0" t="s">
        <v>11119</v>
      </c>
      <c r="D867" s="0" t="s">
        <v>117</v>
      </c>
      <c r="E867" s="5" t="s">
        <v>81</v>
      </c>
      <c r="F867" s="0" t="s">
        <v>7285</v>
      </c>
      <c r="G867" s="0" t="s">
        <v>146</v>
      </c>
      <c r="H867" s="0" t="s">
        <v>8176</v>
      </c>
      <c r="I867" s="0" t="s">
        <v>11120</v>
      </c>
      <c r="K867" s="0" t="s">
        <v>40</v>
      </c>
      <c r="L867" s="0" t="s">
        <v>11121</v>
      </c>
    </row>
    <row r="868" customFormat="false" ht="17.15" hidden="false" customHeight="false" outlineLevel="0" collapsed="false">
      <c r="A868" s="0" t="s">
        <v>11122</v>
      </c>
      <c r="B868" s="0" t="s">
        <v>9619</v>
      </c>
      <c r="C868" s="0" t="s">
        <v>11123</v>
      </c>
      <c r="D868" s="0" t="s">
        <v>117</v>
      </c>
      <c r="E868" s="5" t="s">
        <v>81</v>
      </c>
      <c r="F868" s="0" t="s">
        <v>11124</v>
      </c>
      <c r="G868" s="0" t="s">
        <v>146</v>
      </c>
      <c r="H868" s="0" t="s">
        <v>8176</v>
      </c>
      <c r="I868" s="5" t="s">
        <v>11125</v>
      </c>
      <c r="K868" s="0" t="s">
        <v>40</v>
      </c>
      <c r="L868" s="0" t="s">
        <v>11126</v>
      </c>
    </row>
    <row r="869" customFormat="false" ht="17.15" hidden="false" customHeight="false" outlineLevel="0" collapsed="false">
      <c r="A869" s="0" t="s">
        <v>11127</v>
      </c>
      <c r="B869" s="0" t="s">
        <v>11128</v>
      </c>
      <c r="C869" s="0" t="s">
        <v>11129</v>
      </c>
      <c r="D869" s="0" t="s">
        <v>7430</v>
      </c>
      <c r="E869" s="0" t="s">
        <v>116</v>
      </c>
      <c r="F869" s="0" t="s">
        <v>11030</v>
      </c>
      <c r="G869" s="0" t="s">
        <v>3371</v>
      </c>
      <c r="H869" s="0" t="s">
        <v>8208</v>
      </c>
      <c r="I869" s="0" t="s">
        <v>11130</v>
      </c>
      <c r="K869" s="0" t="s">
        <v>40</v>
      </c>
      <c r="L869" s="0" t="s">
        <v>11131</v>
      </c>
    </row>
    <row r="870" customFormat="false" ht="17.15" hidden="false" customHeight="false" outlineLevel="0" collapsed="false">
      <c r="A870" s="0" t="s">
        <v>11132</v>
      </c>
      <c r="B870" s="0" t="s">
        <v>11133</v>
      </c>
      <c r="C870" s="0" t="s">
        <v>11134</v>
      </c>
      <c r="D870" s="0" t="s">
        <v>9596</v>
      </c>
      <c r="E870" s="0" t="s">
        <v>116</v>
      </c>
      <c r="F870" s="0" t="s">
        <v>7779</v>
      </c>
      <c r="G870" s="0" t="s">
        <v>3317</v>
      </c>
      <c r="H870" s="0" t="s">
        <v>8208</v>
      </c>
      <c r="I870" s="0" t="s">
        <v>11135</v>
      </c>
      <c r="K870" s="0" t="s">
        <v>40</v>
      </c>
      <c r="L870" s="0" t="s">
        <v>9598</v>
      </c>
    </row>
    <row r="871" customFormat="false" ht="17.15" hidden="false" customHeight="false" outlineLevel="0" collapsed="false">
      <c r="A871" s="0" t="s">
        <v>11136</v>
      </c>
      <c r="B871" s="0" t="s">
        <v>11133</v>
      </c>
      <c r="C871" s="0" t="s">
        <v>11137</v>
      </c>
      <c r="D871" s="0" t="s">
        <v>7177</v>
      </c>
      <c r="E871" s="0" t="s">
        <v>116</v>
      </c>
      <c r="F871" s="0" t="s">
        <v>7779</v>
      </c>
      <c r="G871" s="0" t="s">
        <v>3317</v>
      </c>
      <c r="H871" s="0" t="s">
        <v>8208</v>
      </c>
      <c r="I871" s="0" t="s">
        <v>11138</v>
      </c>
      <c r="K871" s="0" t="s">
        <v>40</v>
      </c>
      <c r="L871" s="0" t="s">
        <v>9598</v>
      </c>
    </row>
    <row r="872" customFormat="false" ht="17.15" hidden="false" customHeight="false" outlineLevel="0" collapsed="false">
      <c r="A872" s="0" t="s">
        <v>11139</v>
      </c>
      <c r="B872" s="0" t="s">
        <v>11133</v>
      </c>
      <c r="C872" s="0" t="s">
        <v>11140</v>
      </c>
      <c r="D872" s="0" t="s">
        <v>117</v>
      </c>
      <c r="E872" s="5" t="s">
        <v>81</v>
      </c>
      <c r="F872" s="0" t="s">
        <v>7421</v>
      </c>
      <c r="G872" s="0" t="s">
        <v>3371</v>
      </c>
      <c r="H872" s="0" t="s">
        <v>8241</v>
      </c>
      <c r="I872" s="5" t="s">
        <v>11141</v>
      </c>
      <c r="K872" s="0" t="s">
        <v>40</v>
      </c>
      <c r="L872" s="0" t="s">
        <v>11142</v>
      </c>
    </row>
    <row r="873" customFormat="false" ht="17.15" hidden="false" customHeight="false" outlineLevel="0" collapsed="false">
      <c r="A873" s="0" t="s">
        <v>11143</v>
      </c>
      <c r="B873" s="0" t="s">
        <v>11133</v>
      </c>
      <c r="C873" s="0" t="s">
        <v>11144</v>
      </c>
      <c r="D873" s="0" t="s">
        <v>117</v>
      </c>
      <c r="E873" s="5" t="s">
        <v>81</v>
      </c>
      <c r="F873" s="0" t="s">
        <v>7421</v>
      </c>
      <c r="G873" s="0" t="s">
        <v>3371</v>
      </c>
      <c r="H873" s="0" t="s">
        <v>8176</v>
      </c>
      <c r="I873" s="0" t="s">
        <v>11145</v>
      </c>
      <c r="K873" s="0" t="s">
        <v>40</v>
      </c>
      <c r="L873" s="0" t="s">
        <v>11142</v>
      </c>
    </row>
    <row r="874" customFormat="false" ht="17.15" hidden="false" customHeight="false" outlineLevel="0" collapsed="false">
      <c r="A874" s="0" t="s">
        <v>11146</v>
      </c>
      <c r="B874" s="0" t="s">
        <v>11133</v>
      </c>
      <c r="C874" s="0" t="s">
        <v>11147</v>
      </c>
      <c r="D874" s="0" t="s">
        <v>117</v>
      </c>
      <c r="E874" s="5" t="s">
        <v>81</v>
      </c>
      <c r="F874" s="0" t="s">
        <v>11030</v>
      </c>
      <c r="G874" s="0" t="s">
        <v>3371</v>
      </c>
      <c r="H874" s="0" t="s">
        <v>8224</v>
      </c>
      <c r="I874" s="5" t="s">
        <v>11148</v>
      </c>
      <c r="K874" s="0" t="s">
        <v>40</v>
      </c>
      <c r="L874" s="0" t="s">
        <v>11131</v>
      </c>
    </row>
    <row r="875" customFormat="false" ht="17.15" hidden="false" customHeight="false" outlineLevel="0" collapsed="false">
      <c r="A875" s="0" t="s">
        <v>11149</v>
      </c>
      <c r="B875" s="0" t="s">
        <v>11133</v>
      </c>
      <c r="C875" s="0" t="s">
        <v>11150</v>
      </c>
      <c r="D875" s="0" t="s">
        <v>117</v>
      </c>
      <c r="E875" s="5" t="s">
        <v>81</v>
      </c>
      <c r="F875" s="5" t="s">
        <v>8977</v>
      </c>
      <c r="G875" s="0" t="s">
        <v>3371</v>
      </c>
      <c r="H875" s="0" t="s">
        <v>8219</v>
      </c>
      <c r="I875" s="5" t="s">
        <v>8220</v>
      </c>
      <c r="K875" s="0" t="s">
        <v>40</v>
      </c>
      <c r="L875" s="0" t="s">
        <v>11151</v>
      </c>
    </row>
    <row r="876" customFormat="false" ht="17.15" hidden="false" customHeight="false" outlineLevel="0" collapsed="false">
      <c r="A876" s="0" t="s">
        <v>11152</v>
      </c>
      <c r="B876" s="0" t="s">
        <v>11133</v>
      </c>
      <c r="C876" s="0" t="s">
        <v>11153</v>
      </c>
      <c r="D876" s="0" t="s">
        <v>11154</v>
      </c>
      <c r="E876" s="5" t="s">
        <v>81</v>
      </c>
      <c r="F876" s="0" t="s">
        <v>11155</v>
      </c>
      <c r="G876" s="0" t="s">
        <v>3371</v>
      </c>
      <c r="H876" s="0" t="s">
        <v>8208</v>
      </c>
      <c r="I876" s="0" t="s">
        <v>11156</v>
      </c>
      <c r="K876" s="0" t="s">
        <v>40</v>
      </c>
      <c r="L876" s="0" t="s">
        <v>11157</v>
      </c>
    </row>
    <row r="877" customFormat="false" ht="17.15" hidden="false" customHeight="false" outlineLevel="0" collapsed="false">
      <c r="A877" s="0" t="s">
        <v>11158</v>
      </c>
      <c r="B877" s="0" t="s">
        <v>11133</v>
      </c>
      <c r="C877" s="0" t="s">
        <v>11159</v>
      </c>
      <c r="D877" s="0" t="s">
        <v>117</v>
      </c>
      <c r="E877" s="5" t="s">
        <v>81</v>
      </c>
      <c r="F877" s="0" t="s">
        <v>7323</v>
      </c>
      <c r="G877" s="0" t="s">
        <v>3371</v>
      </c>
      <c r="H877" s="0" t="s">
        <v>8176</v>
      </c>
      <c r="I877" s="0" t="s">
        <v>11160</v>
      </c>
      <c r="K877" s="0" t="s">
        <v>40</v>
      </c>
      <c r="L877" s="0" t="s">
        <v>11161</v>
      </c>
    </row>
    <row r="878" customFormat="false" ht="17.15" hidden="false" customHeight="false" outlineLevel="0" collapsed="false">
      <c r="A878" s="0" t="s">
        <v>11162</v>
      </c>
      <c r="B878" s="0" t="s">
        <v>11163</v>
      </c>
      <c r="C878" s="0" t="s">
        <v>11164</v>
      </c>
      <c r="D878" s="0" t="s">
        <v>117</v>
      </c>
      <c r="E878" s="5" t="s">
        <v>81</v>
      </c>
      <c r="F878" s="0" t="s">
        <v>7513</v>
      </c>
      <c r="G878" s="0" t="s">
        <v>3371</v>
      </c>
      <c r="H878" s="0" t="s">
        <v>8219</v>
      </c>
      <c r="I878" s="5" t="s">
        <v>11165</v>
      </c>
      <c r="K878" s="0" t="s">
        <v>40</v>
      </c>
      <c r="L878" s="0" t="s">
        <v>11166</v>
      </c>
    </row>
    <row r="879" customFormat="false" ht="17.15" hidden="false" customHeight="false" outlineLevel="0" collapsed="false">
      <c r="A879" s="0" t="s">
        <v>11167</v>
      </c>
      <c r="B879" s="0" t="s">
        <v>11163</v>
      </c>
      <c r="C879" s="0" t="s">
        <v>11168</v>
      </c>
      <c r="D879" s="0" t="s">
        <v>117</v>
      </c>
      <c r="E879" s="5" t="s">
        <v>81</v>
      </c>
      <c r="F879" s="0" t="s">
        <v>11169</v>
      </c>
      <c r="G879" s="0" t="s">
        <v>3371</v>
      </c>
      <c r="H879" s="0" t="s">
        <v>8208</v>
      </c>
      <c r="I879" s="0" t="s">
        <v>11170</v>
      </c>
      <c r="K879" s="0" t="s">
        <v>40</v>
      </c>
      <c r="L879" s="0" t="s">
        <v>11171</v>
      </c>
    </row>
    <row r="880" customFormat="false" ht="17.15" hidden="false" customHeight="false" outlineLevel="0" collapsed="false">
      <c r="A880" s="0" t="s">
        <v>11172</v>
      </c>
      <c r="B880" s="0" t="s">
        <v>11163</v>
      </c>
      <c r="C880" s="0" t="s">
        <v>11173</v>
      </c>
      <c r="D880" s="0" t="s">
        <v>117</v>
      </c>
      <c r="E880" s="5" t="s">
        <v>81</v>
      </c>
      <c r="F880" s="0" t="s">
        <v>7513</v>
      </c>
      <c r="G880" s="0" t="s">
        <v>3371</v>
      </c>
      <c r="H880" s="0" t="s">
        <v>8219</v>
      </c>
      <c r="I880" s="5" t="s">
        <v>11165</v>
      </c>
      <c r="K880" s="0" t="s">
        <v>40</v>
      </c>
      <c r="L880" s="0" t="s">
        <v>11166</v>
      </c>
    </row>
    <row r="881" customFormat="false" ht="17.15" hidden="false" customHeight="false" outlineLevel="0" collapsed="false">
      <c r="A881" s="0" t="s">
        <v>11174</v>
      </c>
      <c r="B881" s="0" t="s">
        <v>11163</v>
      </c>
      <c r="C881" s="0" t="s">
        <v>11175</v>
      </c>
      <c r="D881" s="0" t="s">
        <v>9511</v>
      </c>
      <c r="E881" s="5" t="s">
        <v>81</v>
      </c>
      <c r="F881" s="0" t="s">
        <v>6925</v>
      </c>
      <c r="G881" s="0" t="s">
        <v>7197</v>
      </c>
      <c r="H881" s="0" t="s">
        <v>8224</v>
      </c>
      <c r="I881" s="0" t="s">
        <v>11176</v>
      </c>
      <c r="K881" s="0" t="s">
        <v>40</v>
      </c>
      <c r="L881" s="0" t="s">
        <v>11177</v>
      </c>
    </row>
    <row r="882" customFormat="false" ht="17.15" hidden="false" customHeight="false" outlineLevel="0" collapsed="false">
      <c r="A882" s="0" t="s">
        <v>11178</v>
      </c>
      <c r="B882" s="5" t="s">
        <v>11179</v>
      </c>
      <c r="C882" s="5" t="s">
        <v>11180</v>
      </c>
      <c r="D882" s="0" t="s">
        <v>117</v>
      </c>
      <c r="E882" s="5" t="s">
        <v>81</v>
      </c>
      <c r="F882" s="0" t="s">
        <v>11181</v>
      </c>
      <c r="G882" s="0" t="s">
        <v>3317</v>
      </c>
      <c r="H882" s="0" t="s">
        <v>8176</v>
      </c>
      <c r="I882" s="0" t="s">
        <v>11182</v>
      </c>
      <c r="K882" s="0" t="s">
        <v>40</v>
      </c>
      <c r="L882" s="0" t="s">
        <v>11183</v>
      </c>
    </row>
    <row r="883" customFormat="false" ht="17.15" hidden="false" customHeight="false" outlineLevel="0" collapsed="false">
      <c r="A883" s="0" t="s">
        <v>11184</v>
      </c>
      <c r="B883" s="5" t="s">
        <v>11179</v>
      </c>
      <c r="C883" s="5" t="s">
        <v>11180</v>
      </c>
      <c r="D883" s="0" t="s">
        <v>11185</v>
      </c>
      <c r="E883" s="5" t="s">
        <v>81</v>
      </c>
      <c r="F883" s="0" t="s">
        <v>11181</v>
      </c>
      <c r="G883" s="0" t="s">
        <v>3327</v>
      </c>
      <c r="H883" s="0" t="s">
        <v>8224</v>
      </c>
      <c r="I883" s="5" t="s">
        <v>11186</v>
      </c>
      <c r="K883" s="0" t="s">
        <v>40</v>
      </c>
      <c r="L883" s="0" t="s">
        <v>11183</v>
      </c>
    </row>
    <row r="884" customFormat="false" ht="17.15" hidden="false" customHeight="false" outlineLevel="0" collapsed="false">
      <c r="A884" s="0" t="s">
        <v>11187</v>
      </c>
      <c r="B884" s="5" t="s">
        <v>11179</v>
      </c>
      <c r="C884" s="5" t="s">
        <v>11180</v>
      </c>
      <c r="D884" s="0" t="s">
        <v>117</v>
      </c>
      <c r="E884" s="5" t="s">
        <v>81</v>
      </c>
      <c r="F884" s="0" t="s">
        <v>3759</v>
      </c>
      <c r="G884" s="0" t="s">
        <v>3371</v>
      </c>
      <c r="H884" s="0" t="s">
        <v>8219</v>
      </c>
      <c r="I884" s="5" t="s">
        <v>11188</v>
      </c>
      <c r="K884" s="0" t="s">
        <v>40</v>
      </c>
      <c r="L884" s="0" t="s">
        <v>11189</v>
      </c>
    </row>
    <row r="885" customFormat="false" ht="17.15" hidden="false" customHeight="false" outlineLevel="0" collapsed="false">
      <c r="A885" s="0" t="s">
        <v>11190</v>
      </c>
      <c r="B885" s="5" t="s">
        <v>11179</v>
      </c>
      <c r="C885" s="5" t="s">
        <v>11191</v>
      </c>
      <c r="D885" s="0" t="s">
        <v>117</v>
      </c>
      <c r="E885" s="5" t="s">
        <v>81</v>
      </c>
      <c r="F885" s="0" t="s">
        <v>11181</v>
      </c>
      <c r="G885" s="0" t="s">
        <v>3371</v>
      </c>
      <c r="H885" s="0" t="s">
        <v>8219</v>
      </c>
      <c r="I885" s="5" t="s">
        <v>8220</v>
      </c>
      <c r="K885" s="0" t="s">
        <v>40</v>
      </c>
      <c r="L885" s="0" t="s">
        <v>11192</v>
      </c>
    </row>
    <row r="886" customFormat="false" ht="17.15" hidden="false" customHeight="false" outlineLevel="0" collapsed="false">
      <c r="A886" s="0" t="s">
        <v>11193</v>
      </c>
      <c r="B886" s="5" t="s">
        <v>11179</v>
      </c>
      <c r="C886" s="5" t="s">
        <v>11194</v>
      </c>
      <c r="D886" s="0" t="s">
        <v>117</v>
      </c>
      <c r="E886" s="5" t="s">
        <v>81</v>
      </c>
      <c r="F886" s="0" t="s">
        <v>3759</v>
      </c>
      <c r="G886" s="0" t="s">
        <v>3371</v>
      </c>
      <c r="H886" s="0" t="s">
        <v>8219</v>
      </c>
      <c r="I886" s="5" t="s">
        <v>11188</v>
      </c>
      <c r="K886" s="0" t="s">
        <v>40</v>
      </c>
      <c r="L886" s="0" t="s">
        <v>11189</v>
      </c>
    </row>
    <row r="887" customFormat="false" ht="17.15" hidden="false" customHeight="false" outlineLevel="0" collapsed="false">
      <c r="A887" s="0" t="s">
        <v>11195</v>
      </c>
      <c r="B887" s="5" t="s">
        <v>11196</v>
      </c>
      <c r="C887" s="5" t="s">
        <v>11197</v>
      </c>
      <c r="D887" s="0" t="s">
        <v>11198</v>
      </c>
      <c r="E887" s="0" t="s">
        <v>116</v>
      </c>
      <c r="F887" s="0" t="s">
        <v>11199</v>
      </c>
      <c r="G887" s="0" t="s">
        <v>3317</v>
      </c>
      <c r="H887" s="0" t="s">
        <v>8176</v>
      </c>
      <c r="I887" s="0" t="s">
        <v>11200</v>
      </c>
      <c r="K887" s="0" t="s">
        <v>40</v>
      </c>
      <c r="L887" s="0" t="s">
        <v>11201</v>
      </c>
    </row>
    <row r="888" customFormat="false" ht="17.15" hidden="false" customHeight="false" outlineLevel="0" collapsed="false">
      <c r="A888" s="0" t="s">
        <v>11202</v>
      </c>
      <c r="B888" s="5" t="s">
        <v>11203</v>
      </c>
      <c r="C888" s="5" t="s">
        <v>11204</v>
      </c>
      <c r="D888" s="0" t="s">
        <v>8499</v>
      </c>
      <c r="E888" s="5" t="s">
        <v>81</v>
      </c>
      <c r="F888" s="0" t="s">
        <v>11205</v>
      </c>
      <c r="G888" s="0" t="s">
        <v>3317</v>
      </c>
      <c r="H888" s="0" t="s">
        <v>8176</v>
      </c>
      <c r="I888" s="0" t="s">
        <v>11206</v>
      </c>
      <c r="K888" s="0" t="s">
        <v>40</v>
      </c>
      <c r="L888" s="0" t="s">
        <v>11207</v>
      </c>
    </row>
    <row r="889" customFormat="false" ht="17.15" hidden="false" customHeight="false" outlineLevel="0" collapsed="false">
      <c r="A889" s="0" t="s">
        <v>11208</v>
      </c>
      <c r="B889" s="5" t="s">
        <v>11203</v>
      </c>
      <c r="C889" s="5" t="s">
        <v>11209</v>
      </c>
      <c r="D889" s="0" t="s">
        <v>117</v>
      </c>
      <c r="E889" s="5" t="s">
        <v>81</v>
      </c>
      <c r="F889" s="0" t="s">
        <v>11210</v>
      </c>
      <c r="G889" s="0" t="s">
        <v>3317</v>
      </c>
      <c r="H889" s="0" t="s">
        <v>8176</v>
      </c>
      <c r="I889" s="5" t="s">
        <v>11211</v>
      </c>
      <c r="K889" s="0" t="s">
        <v>40</v>
      </c>
      <c r="L889" s="0" t="s">
        <v>11212</v>
      </c>
    </row>
    <row r="890" customFormat="false" ht="17.15" hidden="false" customHeight="false" outlineLevel="0" collapsed="false">
      <c r="A890" s="0" t="s">
        <v>11213</v>
      </c>
      <c r="B890" s="5" t="s">
        <v>11214</v>
      </c>
      <c r="C890" s="5" t="s">
        <v>11215</v>
      </c>
      <c r="D890" s="0" t="s">
        <v>8182</v>
      </c>
      <c r="E890" s="5" t="s">
        <v>81</v>
      </c>
      <c r="F890" s="0" t="s">
        <v>10194</v>
      </c>
      <c r="G890" s="0" t="s">
        <v>3327</v>
      </c>
      <c r="H890" s="0" t="s">
        <v>8176</v>
      </c>
      <c r="I890" s="5" t="s">
        <v>11216</v>
      </c>
      <c r="K890" s="0" t="s">
        <v>40</v>
      </c>
      <c r="L890" s="0" t="s">
        <v>11217</v>
      </c>
    </row>
    <row r="891" customFormat="false" ht="17.15" hidden="false" customHeight="false" outlineLevel="0" collapsed="false">
      <c r="A891" s="0" t="s">
        <v>11218</v>
      </c>
      <c r="B891" s="5" t="s">
        <v>11219</v>
      </c>
      <c r="C891" s="5" t="s">
        <v>11220</v>
      </c>
      <c r="D891" s="0" t="s">
        <v>8300</v>
      </c>
      <c r="E891" s="0" t="s">
        <v>116</v>
      </c>
      <c r="F891" s="0" t="s">
        <v>7421</v>
      </c>
      <c r="G891" s="0" t="s">
        <v>3371</v>
      </c>
      <c r="H891" s="0" t="s">
        <v>8241</v>
      </c>
      <c r="I891" s="0" t="s">
        <v>11221</v>
      </c>
      <c r="K891" s="0" t="s">
        <v>40</v>
      </c>
      <c r="L891" s="0" t="s">
        <v>11222</v>
      </c>
    </row>
    <row r="892" customFormat="false" ht="17.15" hidden="false" customHeight="false" outlineLevel="0" collapsed="false">
      <c r="A892" s="0" t="s">
        <v>11223</v>
      </c>
      <c r="B892" s="5" t="s">
        <v>11219</v>
      </c>
      <c r="C892" s="5" t="s">
        <v>11224</v>
      </c>
      <c r="D892" s="0" t="s">
        <v>7493</v>
      </c>
      <c r="E892" s="0" t="s">
        <v>116</v>
      </c>
      <c r="F892" s="0" t="s">
        <v>7421</v>
      </c>
      <c r="G892" s="0" t="s">
        <v>3371</v>
      </c>
      <c r="H892" s="0" t="s">
        <v>8241</v>
      </c>
      <c r="I892" s="0" t="s">
        <v>11225</v>
      </c>
      <c r="K892" s="0" t="s">
        <v>40</v>
      </c>
      <c r="L892" s="0" t="s">
        <v>11222</v>
      </c>
    </row>
    <row r="893" customFormat="false" ht="17.15" hidden="false" customHeight="false" outlineLevel="0" collapsed="false">
      <c r="A893" s="0" t="s">
        <v>11226</v>
      </c>
      <c r="B893" s="5" t="s">
        <v>11219</v>
      </c>
      <c r="C893" s="5" t="s">
        <v>11227</v>
      </c>
      <c r="D893" s="0" t="s">
        <v>7493</v>
      </c>
      <c r="E893" s="0" t="s">
        <v>116</v>
      </c>
      <c r="F893" s="0" t="s">
        <v>7421</v>
      </c>
      <c r="G893" s="0" t="s">
        <v>3371</v>
      </c>
      <c r="H893" s="0" t="s">
        <v>8241</v>
      </c>
      <c r="I893" s="0" t="s">
        <v>11228</v>
      </c>
      <c r="K893" s="0" t="s">
        <v>40</v>
      </c>
      <c r="L893" s="0" t="s">
        <v>11222</v>
      </c>
    </row>
    <row r="894" customFormat="false" ht="17.15" hidden="false" customHeight="false" outlineLevel="0" collapsed="false">
      <c r="A894" s="0" t="s">
        <v>11229</v>
      </c>
      <c r="B894" s="0" t="s">
        <v>11230</v>
      </c>
      <c r="C894" s="0" t="s">
        <v>11231</v>
      </c>
      <c r="D894" s="0" t="s">
        <v>8646</v>
      </c>
      <c r="E894" s="5" t="s">
        <v>81</v>
      </c>
      <c r="F894" s="0" t="s">
        <v>11232</v>
      </c>
      <c r="G894" s="0" t="s">
        <v>3371</v>
      </c>
      <c r="H894" s="0" t="s">
        <v>8241</v>
      </c>
      <c r="I894" s="0" t="s">
        <v>11233</v>
      </c>
      <c r="K894" s="0" t="s">
        <v>40</v>
      </c>
      <c r="L894" s="0" t="s">
        <v>11234</v>
      </c>
    </row>
    <row r="895" customFormat="false" ht="17.15" hidden="false" customHeight="false" outlineLevel="0" collapsed="false">
      <c r="A895" s="0" t="s">
        <v>11235</v>
      </c>
      <c r="B895" s="5" t="s">
        <v>11236</v>
      </c>
      <c r="C895" s="5" t="s">
        <v>11237</v>
      </c>
      <c r="D895" s="0" t="s">
        <v>117</v>
      </c>
      <c r="E895" s="5" t="s">
        <v>81</v>
      </c>
      <c r="F895" s="0" t="s">
        <v>9406</v>
      </c>
      <c r="G895" s="0" t="s">
        <v>3371</v>
      </c>
      <c r="H895" s="0" t="s">
        <v>8241</v>
      </c>
      <c r="I895" s="5" t="s">
        <v>11238</v>
      </c>
      <c r="K895" s="0" t="s">
        <v>40</v>
      </c>
      <c r="L895" s="0" t="s">
        <v>11239</v>
      </c>
    </row>
    <row r="896" customFormat="false" ht="17.15" hidden="false" customHeight="false" outlineLevel="0" collapsed="false">
      <c r="A896" s="0" t="s">
        <v>11240</v>
      </c>
      <c r="B896" s="5" t="s">
        <v>11236</v>
      </c>
      <c r="C896" s="5" t="s">
        <v>11241</v>
      </c>
      <c r="D896" s="0" t="s">
        <v>117</v>
      </c>
      <c r="E896" s="5" t="s">
        <v>81</v>
      </c>
      <c r="F896" s="0" t="s">
        <v>11030</v>
      </c>
      <c r="G896" s="0" t="s">
        <v>3371</v>
      </c>
      <c r="H896" s="0" t="s">
        <v>8241</v>
      </c>
      <c r="I896" s="5" t="s">
        <v>11242</v>
      </c>
      <c r="K896" s="0" t="s">
        <v>40</v>
      </c>
      <c r="L896" s="0" t="s">
        <v>11243</v>
      </c>
    </row>
    <row r="897" customFormat="false" ht="17.15" hidden="false" customHeight="false" outlineLevel="0" collapsed="false">
      <c r="A897" s="0" t="s">
        <v>11244</v>
      </c>
      <c r="B897" s="0" t="s">
        <v>11245</v>
      </c>
      <c r="C897" s="0" t="s">
        <v>11246</v>
      </c>
      <c r="D897" s="0" t="s">
        <v>117</v>
      </c>
      <c r="E897" s="5" t="s">
        <v>81</v>
      </c>
      <c r="F897" s="0" t="s">
        <v>11247</v>
      </c>
      <c r="G897" s="0" t="s">
        <v>3371</v>
      </c>
      <c r="H897" s="0" t="s">
        <v>8176</v>
      </c>
      <c r="I897" s="5" t="s">
        <v>11248</v>
      </c>
      <c r="K897" s="0" t="s">
        <v>40</v>
      </c>
      <c r="L897" s="0" t="s">
        <v>11249</v>
      </c>
    </row>
    <row r="898" customFormat="false" ht="17.15" hidden="false" customHeight="false" outlineLevel="0" collapsed="false">
      <c r="A898" s="0" t="s">
        <v>11250</v>
      </c>
      <c r="B898" s="0" t="s">
        <v>11245</v>
      </c>
      <c r="C898" s="0" t="s">
        <v>11251</v>
      </c>
      <c r="D898" s="0" t="s">
        <v>117</v>
      </c>
      <c r="E898" s="5" t="s">
        <v>81</v>
      </c>
      <c r="F898" s="0" t="s">
        <v>9203</v>
      </c>
      <c r="G898" s="0" t="s">
        <v>3371</v>
      </c>
      <c r="H898" s="0" t="s">
        <v>8176</v>
      </c>
      <c r="I898" s="5" t="s">
        <v>11252</v>
      </c>
      <c r="K898" s="0" t="s">
        <v>40</v>
      </c>
      <c r="L898" s="0" t="s">
        <v>11253</v>
      </c>
    </row>
    <row r="899" customFormat="false" ht="17.15" hidden="false" customHeight="false" outlineLevel="0" collapsed="false">
      <c r="A899" s="0" t="s">
        <v>11254</v>
      </c>
      <c r="B899" s="5" t="s">
        <v>11255</v>
      </c>
      <c r="C899" s="5" t="s">
        <v>11256</v>
      </c>
      <c r="D899" s="0" t="s">
        <v>9975</v>
      </c>
      <c r="E899" s="5" t="s">
        <v>81</v>
      </c>
      <c r="F899" s="0" t="s">
        <v>11257</v>
      </c>
      <c r="G899" s="0" t="s">
        <v>3371</v>
      </c>
      <c r="H899" s="0" t="s">
        <v>8208</v>
      </c>
      <c r="I899" s="0" t="s">
        <v>11258</v>
      </c>
      <c r="K899" s="0" t="s">
        <v>40</v>
      </c>
      <c r="L899" s="0" t="s">
        <v>11259</v>
      </c>
    </row>
    <row r="900" customFormat="false" ht="17.15" hidden="false" customHeight="false" outlineLevel="0" collapsed="false">
      <c r="A900" s="0" t="s">
        <v>11260</v>
      </c>
      <c r="B900" s="0" t="s">
        <v>11261</v>
      </c>
      <c r="C900" s="0" t="s">
        <v>11262</v>
      </c>
      <c r="D900" s="0" t="s">
        <v>8513</v>
      </c>
      <c r="E900" s="0" t="s">
        <v>116</v>
      </c>
      <c r="F900" s="0" t="s">
        <v>11263</v>
      </c>
      <c r="G900" s="0" t="s">
        <v>3371</v>
      </c>
      <c r="H900" s="0" t="s">
        <v>8208</v>
      </c>
      <c r="I900" s="5" t="s">
        <v>11264</v>
      </c>
      <c r="K900" s="0" t="s">
        <v>40</v>
      </c>
      <c r="L900" s="0" t="s">
        <v>11265</v>
      </c>
    </row>
    <row r="901" customFormat="false" ht="17.15" hidden="false" customHeight="false" outlineLevel="0" collapsed="false">
      <c r="A901" s="0" t="s">
        <v>11266</v>
      </c>
      <c r="B901" s="0" t="s">
        <v>11261</v>
      </c>
      <c r="C901" s="0" t="s">
        <v>11267</v>
      </c>
      <c r="D901" s="0" t="s">
        <v>117</v>
      </c>
      <c r="E901" s="5" t="s">
        <v>81</v>
      </c>
      <c r="F901" s="0" t="s">
        <v>11263</v>
      </c>
      <c r="G901" s="0" t="s">
        <v>3371</v>
      </c>
      <c r="H901" s="0" t="s">
        <v>8176</v>
      </c>
      <c r="I901" s="0" t="s">
        <v>11268</v>
      </c>
      <c r="K901" s="0" t="s">
        <v>40</v>
      </c>
      <c r="L901" s="0" t="s">
        <v>11265</v>
      </c>
    </row>
    <row r="902" customFormat="false" ht="17.15" hidden="false" customHeight="false" outlineLevel="0" collapsed="false">
      <c r="A902" s="0" t="s">
        <v>11269</v>
      </c>
      <c r="B902" s="0" t="s">
        <v>9619</v>
      </c>
      <c r="C902" s="0" t="s">
        <v>11270</v>
      </c>
      <c r="D902" s="0" t="s">
        <v>8683</v>
      </c>
      <c r="E902" s="0" t="s">
        <v>116</v>
      </c>
      <c r="F902" s="0" t="s">
        <v>8982</v>
      </c>
      <c r="G902" s="0" t="s">
        <v>3371</v>
      </c>
      <c r="H902" s="0" t="s">
        <v>8208</v>
      </c>
      <c r="I902" s="0" t="s">
        <v>11271</v>
      </c>
      <c r="K902" s="0" t="s">
        <v>40</v>
      </c>
      <c r="L902" s="0" t="s">
        <v>11272</v>
      </c>
    </row>
    <row r="903" customFormat="false" ht="17.15" hidden="false" customHeight="false" outlineLevel="0" collapsed="false">
      <c r="A903" s="0" t="s">
        <v>11273</v>
      </c>
      <c r="B903" s="0" t="s">
        <v>9619</v>
      </c>
      <c r="C903" s="0" t="s">
        <v>11274</v>
      </c>
      <c r="D903" s="0" t="s">
        <v>117</v>
      </c>
      <c r="E903" s="5" t="s">
        <v>81</v>
      </c>
      <c r="F903" s="0" t="s">
        <v>11275</v>
      </c>
      <c r="G903" s="0" t="s">
        <v>3371</v>
      </c>
      <c r="H903" s="0" t="s">
        <v>8176</v>
      </c>
      <c r="I903" s="5" t="s">
        <v>11276</v>
      </c>
      <c r="K903" s="0" t="s">
        <v>40</v>
      </c>
      <c r="L903" s="0" t="s">
        <v>11277</v>
      </c>
    </row>
    <row r="904" customFormat="false" ht="17.15" hidden="false" customHeight="false" outlineLevel="0" collapsed="false">
      <c r="A904" s="0" t="s">
        <v>11278</v>
      </c>
      <c r="B904" s="0" t="s">
        <v>9619</v>
      </c>
      <c r="C904" s="0" t="s">
        <v>11279</v>
      </c>
      <c r="D904" s="0" t="s">
        <v>117</v>
      </c>
      <c r="E904" s="5" t="s">
        <v>81</v>
      </c>
      <c r="F904" s="0" t="s">
        <v>7416</v>
      </c>
      <c r="G904" s="0" t="s">
        <v>3371</v>
      </c>
      <c r="H904" s="0" t="s">
        <v>8176</v>
      </c>
      <c r="I904" s="5" t="s">
        <v>11280</v>
      </c>
      <c r="K904" s="0" t="s">
        <v>40</v>
      </c>
      <c r="L904" s="0" t="s">
        <v>11281</v>
      </c>
    </row>
    <row r="905" customFormat="false" ht="17.15" hidden="false" customHeight="false" outlineLevel="0" collapsed="false">
      <c r="A905" s="0" t="s">
        <v>11282</v>
      </c>
      <c r="B905" s="0" t="s">
        <v>11283</v>
      </c>
      <c r="C905" s="0" t="s">
        <v>11284</v>
      </c>
      <c r="D905" s="0" t="s">
        <v>117</v>
      </c>
      <c r="E905" s="5" t="s">
        <v>81</v>
      </c>
      <c r="F905" s="0" t="s">
        <v>11285</v>
      </c>
      <c r="G905" s="0" t="s">
        <v>3371</v>
      </c>
      <c r="H905" s="0" t="s">
        <v>8176</v>
      </c>
      <c r="I905" s="0" t="s">
        <v>11286</v>
      </c>
      <c r="K905" s="0" t="s">
        <v>40</v>
      </c>
      <c r="L905" s="0" t="s">
        <v>11287</v>
      </c>
    </row>
    <row r="906" customFormat="false" ht="17.15" hidden="false" customHeight="false" outlineLevel="0" collapsed="false">
      <c r="A906" s="0" t="s">
        <v>11288</v>
      </c>
      <c r="B906" s="0" t="s">
        <v>11289</v>
      </c>
      <c r="C906" s="0" t="s">
        <v>11290</v>
      </c>
      <c r="D906" s="0" t="s">
        <v>117</v>
      </c>
      <c r="E906" s="5" t="s">
        <v>81</v>
      </c>
      <c r="F906" s="0" t="s">
        <v>7384</v>
      </c>
      <c r="G906" s="0" t="s">
        <v>3317</v>
      </c>
      <c r="H906" s="0" t="s">
        <v>8224</v>
      </c>
      <c r="I906" s="5" t="s">
        <v>11291</v>
      </c>
      <c r="K906" s="0" t="s">
        <v>40</v>
      </c>
      <c r="L906" s="0" t="s">
        <v>11292</v>
      </c>
    </row>
    <row r="907" customFormat="false" ht="17.15" hidden="false" customHeight="false" outlineLevel="0" collapsed="false">
      <c r="A907" s="0" t="s">
        <v>11293</v>
      </c>
      <c r="B907" s="5" t="s">
        <v>11294</v>
      </c>
      <c r="C907" s="5" t="s">
        <v>11295</v>
      </c>
      <c r="D907" s="0" t="s">
        <v>7493</v>
      </c>
      <c r="E907" s="5" t="s">
        <v>81</v>
      </c>
      <c r="F907" s="0" t="s">
        <v>11296</v>
      </c>
      <c r="G907" s="0" t="s">
        <v>3371</v>
      </c>
      <c r="H907" s="0" t="s">
        <v>8176</v>
      </c>
      <c r="I907" s="0" t="s">
        <v>11297</v>
      </c>
      <c r="K907" s="0" t="s">
        <v>40</v>
      </c>
      <c r="L907" s="0" t="s">
        <v>11298</v>
      </c>
    </row>
    <row r="908" customFormat="false" ht="17.15" hidden="false" customHeight="false" outlineLevel="0" collapsed="false">
      <c r="A908" s="0" t="s">
        <v>11299</v>
      </c>
      <c r="B908" s="5" t="s">
        <v>11300</v>
      </c>
      <c r="C908" s="5" t="s">
        <v>11301</v>
      </c>
      <c r="D908" s="0" t="s">
        <v>117</v>
      </c>
      <c r="E908" s="5" t="s">
        <v>81</v>
      </c>
      <c r="F908" s="0" t="s">
        <v>8652</v>
      </c>
      <c r="G908" s="0" t="s">
        <v>3371</v>
      </c>
      <c r="H908" s="0" t="s">
        <v>8219</v>
      </c>
      <c r="I908" s="5" t="s">
        <v>8220</v>
      </c>
      <c r="K908" s="0" t="s">
        <v>40</v>
      </c>
      <c r="L908" s="0" t="s">
        <v>11302</v>
      </c>
    </row>
    <row r="909" customFormat="false" ht="17.15" hidden="false" customHeight="false" outlineLevel="0" collapsed="false">
      <c r="A909" s="0" t="s">
        <v>11303</v>
      </c>
      <c r="B909" s="5" t="s">
        <v>11304</v>
      </c>
      <c r="C909" s="5" t="s">
        <v>11305</v>
      </c>
      <c r="D909" s="0" t="s">
        <v>117</v>
      </c>
      <c r="E909" s="5" t="s">
        <v>81</v>
      </c>
      <c r="F909" s="0" t="s">
        <v>9676</v>
      </c>
      <c r="G909" s="0" t="s">
        <v>3371</v>
      </c>
      <c r="H909" s="0" t="s">
        <v>8208</v>
      </c>
      <c r="I909" s="5" t="s">
        <v>11306</v>
      </c>
      <c r="K909" s="0" t="s">
        <v>40</v>
      </c>
      <c r="L909" s="0" t="s">
        <v>11307</v>
      </c>
    </row>
    <row r="910" customFormat="false" ht="17.15" hidden="false" customHeight="false" outlineLevel="0" collapsed="false">
      <c r="A910" s="0" t="s">
        <v>11308</v>
      </c>
      <c r="B910" s="5" t="s">
        <v>11309</v>
      </c>
      <c r="C910" s="5" t="s">
        <v>11310</v>
      </c>
      <c r="D910" s="0" t="s">
        <v>11311</v>
      </c>
      <c r="E910" s="5" t="s">
        <v>81</v>
      </c>
      <c r="F910" s="0" t="s">
        <v>11312</v>
      </c>
      <c r="G910" s="0" t="s">
        <v>3371</v>
      </c>
      <c r="H910" s="0" t="s">
        <v>8219</v>
      </c>
      <c r="I910" s="5" t="s">
        <v>10796</v>
      </c>
      <c r="K910" s="0" t="s">
        <v>40</v>
      </c>
      <c r="L910" s="0" t="s">
        <v>11313</v>
      </c>
    </row>
    <row r="911" customFormat="false" ht="17.15" hidden="false" customHeight="false" outlineLevel="0" collapsed="false">
      <c r="A911" s="0" t="s">
        <v>11314</v>
      </c>
      <c r="B911" s="5" t="s">
        <v>11309</v>
      </c>
      <c r="C911" s="5" t="s">
        <v>11315</v>
      </c>
      <c r="D911" s="0" t="s">
        <v>117</v>
      </c>
      <c r="E911" s="5" t="s">
        <v>81</v>
      </c>
      <c r="F911" s="0" t="s">
        <v>7255</v>
      </c>
      <c r="G911" s="0" t="s">
        <v>3371</v>
      </c>
      <c r="H911" s="0" t="s">
        <v>8224</v>
      </c>
      <c r="I911" s="0" t="s">
        <v>11316</v>
      </c>
      <c r="K911" s="0" t="s">
        <v>40</v>
      </c>
      <c r="L911" s="0" t="s">
        <v>11317</v>
      </c>
    </row>
    <row r="912" customFormat="false" ht="17.15" hidden="false" customHeight="false" outlineLevel="0" collapsed="false">
      <c r="A912" s="0" t="s">
        <v>11318</v>
      </c>
      <c r="B912" s="0" t="s">
        <v>11319</v>
      </c>
      <c r="C912" s="0" t="s">
        <v>11320</v>
      </c>
      <c r="D912" s="0" t="s">
        <v>117</v>
      </c>
      <c r="E912" s="5" t="s">
        <v>81</v>
      </c>
      <c r="F912" s="0" t="s">
        <v>11321</v>
      </c>
      <c r="G912" s="0" t="s">
        <v>3371</v>
      </c>
      <c r="H912" s="0" t="s">
        <v>8224</v>
      </c>
      <c r="I912" s="5" t="s">
        <v>11322</v>
      </c>
      <c r="K912" s="0" t="s">
        <v>40</v>
      </c>
      <c r="L912" s="0" t="s">
        <v>11323</v>
      </c>
    </row>
    <row r="913" customFormat="false" ht="17.15" hidden="false" customHeight="false" outlineLevel="0" collapsed="false">
      <c r="A913" s="0" t="s">
        <v>11324</v>
      </c>
      <c r="B913" s="0" t="s">
        <v>11325</v>
      </c>
      <c r="C913" s="0" t="s">
        <v>11326</v>
      </c>
      <c r="D913" s="0" t="s">
        <v>117</v>
      </c>
      <c r="E913" s="5" t="s">
        <v>81</v>
      </c>
      <c r="F913" s="0" t="s">
        <v>11327</v>
      </c>
      <c r="G913" s="0" t="s">
        <v>3371</v>
      </c>
      <c r="H913" s="0" t="s">
        <v>8219</v>
      </c>
      <c r="I913" s="5" t="s">
        <v>11328</v>
      </c>
      <c r="K913" s="0" t="s">
        <v>40</v>
      </c>
      <c r="L913" s="0" t="s">
        <v>11329</v>
      </c>
    </row>
    <row r="914" customFormat="false" ht="17.15" hidden="false" customHeight="false" outlineLevel="0" collapsed="false">
      <c r="A914" s="0" t="s">
        <v>11330</v>
      </c>
      <c r="B914" s="0" t="s">
        <v>11325</v>
      </c>
      <c r="C914" s="0" t="s">
        <v>11331</v>
      </c>
      <c r="D914" s="0" t="s">
        <v>117</v>
      </c>
      <c r="E914" s="5" t="s">
        <v>81</v>
      </c>
      <c r="F914" s="0" t="s">
        <v>11327</v>
      </c>
      <c r="G914" s="0" t="s">
        <v>3371</v>
      </c>
      <c r="H914" s="0" t="s">
        <v>8219</v>
      </c>
      <c r="I914" s="5" t="s">
        <v>11328</v>
      </c>
      <c r="K914" s="0" t="s">
        <v>40</v>
      </c>
      <c r="L914" s="0" t="s">
        <v>11329</v>
      </c>
    </row>
    <row r="915" customFormat="false" ht="17.15" hidden="false" customHeight="false" outlineLevel="0" collapsed="false">
      <c r="A915" s="0" t="s">
        <v>11332</v>
      </c>
      <c r="B915" s="0" t="s">
        <v>11319</v>
      </c>
      <c r="C915" s="0" t="s">
        <v>11333</v>
      </c>
      <c r="D915" s="0" t="s">
        <v>117</v>
      </c>
      <c r="E915" s="5" t="s">
        <v>81</v>
      </c>
      <c r="F915" s="0" t="s">
        <v>11321</v>
      </c>
      <c r="G915" s="0" t="s">
        <v>3371</v>
      </c>
      <c r="H915" s="0" t="s">
        <v>8224</v>
      </c>
      <c r="I915" s="0" t="s">
        <v>11334</v>
      </c>
      <c r="K915" s="0" t="s">
        <v>40</v>
      </c>
      <c r="L915" s="0" t="s">
        <v>11323</v>
      </c>
    </row>
    <row r="916" customFormat="false" ht="17.15" hidden="false" customHeight="false" outlineLevel="0" collapsed="false">
      <c r="A916" s="0" t="s">
        <v>11335</v>
      </c>
      <c r="B916" s="0" t="s">
        <v>1429</v>
      </c>
      <c r="C916" s="0" t="s">
        <v>11336</v>
      </c>
      <c r="D916" s="0" t="s">
        <v>8182</v>
      </c>
      <c r="E916" s="5" t="s">
        <v>81</v>
      </c>
      <c r="F916" s="0" t="s">
        <v>3523</v>
      </c>
      <c r="G916" s="0" t="s">
        <v>3371</v>
      </c>
      <c r="H916" s="0" t="s">
        <v>8241</v>
      </c>
      <c r="I916" s="0" t="s">
        <v>11337</v>
      </c>
      <c r="J916" s="0" t="s">
        <v>11338</v>
      </c>
      <c r="K916" s="5" t="s">
        <v>3313</v>
      </c>
      <c r="L916" s="0" t="s">
        <v>11339</v>
      </c>
    </row>
    <row r="917" customFormat="false" ht="17.15" hidden="false" customHeight="false" outlineLevel="0" collapsed="false">
      <c r="A917" s="0" t="s">
        <v>11340</v>
      </c>
      <c r="B917" s="0" t="s">
        <v>1429</v>
      </c>
      <c r="C917" s="0" t="s">
        <v>11341</v>
      </c>
      <c r="D917" s="0" t="s">
        <v>11342</v>
      </c>
      <c r="E917" s="5" t="s">
        <v>81</v>
      </c>
      <c r="F917" s="0" t="s">
        <v>2144</v>
      </c>
      <c r="G917" s="0" t="s">
        <v>3317</v>
      </c>
      <c r="H917" s="0" t="s">
        <v>8176</v>
      </c>
      <c r="I917" s="0" t="s">
        <v>11343</v>
      </c>
      <c r="J917" s="0" t="s">
        <v>11338</v>
      </c>
      <c r="K917" s="5" t="s">
        <v>3313</v>
      </c>
      <c r="L917" s="0" t="s">
        <v>11344</v>
      </c>
    </row>
    <row r="918" customFormat="false" ht="17.15" hidden="false" customHeight="false" outlineLevel="0" collapsed="false">
      <c r="A918" s="0" t="s">
        <v>11345</v>
      </c>
      <c r="B918" s="0" t="s">
        <v>1429</v>
      </c>
      <c r="C918" s="0" t="s">
        <v>11346</v>
      </c>
      <c r="D918" s="0" t="s">
        <v>9302</v>
      </c>
      <c r="E918" s="5" t="s">
        <v>81</v>
      </c>
      <c r="F918" s="0" t="s">
        <v>8528</v>
      </c>
      <c r="G918" s="0" t="s">
        <v>3317</v>
      </c>
      <c r="H918" s="0" t="s">
        <v>8208</v>
      </c>
      <c r="I918" s="5" t="s">
        <v>11347</v>
      </c>
      <c r="J918" s="0" t="s">
        <v>11338</v>
      </c>
      <c r="K918" s="5" t="s">
        <v>3313</v>
      </c>
      <c r="L918" s="0" t="s">
        <v>11348</v>
      </c>
    </row>
    <row r="919" customFormat="false" ht="17.15" hidden="false" customHeight="false" outlineLevel="0" collapsed="false">
      <c r="A919" s="0" t="s">
        <v>11349</v>
      </c>
      <c r="B919" s="0" t="s">
        <v>11350</v>
      </c>
      <c r="C919" s="0" t="s">
        <v>11351</v>
      </c>
      <c r="D919" s="0" t="s">
        <v>7493</v>
      </c>
      <c r="E919" s="5" t="s">
        <v>81</v>
      </c>
      <c r="F919" s="0" t="s">
        <v>9323</v>
      </c>
      <c r="G919" s="0" t="s">
        <v>3371</v>
      </c>
      <c r="H919" s="0" t="s">
        <v>8208</v>
      </c>
      <c r="I919" s="0" t="s">
        <v>11352</v>
      </c>
      <c r="K919" s="0" t="s">
        <v>40</v>
      </c>
      <c r="L919" s="0" t="s">
        <v>11353</v>
      </c>
    </row>
    <row r="920" customFormat="false" ht="17.15" hidden="false" customHeight="false" outlineLevel="0" collapsed="false">
      <c r="A920" s="0" t="s">
        <v>11354</v>
      </c>
      <c r="B920" s="0" t="s">
        <v>11350</v>
      </c>
      <c r="C920" s="0" t="s">
        <v>11355</v>
      </c>
      <c r="D920" s="0" t="s">
        <v>117</v>
      </c>
      <c r="E920" s="5" t="s">
        <v>81</v>
      </c>
      <c r="F920" s="0" t="s">
        <v>3856</v>
      </c>
      <c r="G920" s="0" t="s">
        <v>3371</v>
      </c>
      <c r="H920" s="0" t="s">
        <v>8176</v>
      </c>
      <c r="I920" s="0" t="s">
        <v>11356</v>
      </c>
      <c r="K920" s="0" t="s">
        <v>40</v>
      </c>
      <c r="L920" s="0" t="s">
        <v>11357</v>
      </c>
    </row>
    <row r="921" customFormat="false" ht="17.15" hidden="false" customHeight="false" outlineLevel="0" collapsed="false">
      <c r="A921" s="0" t="s">
        <v>11358</v>
      </c>
      <c r="B921" s="0" t="s">
        <v>11350</v>
      </c>
      <c r="C921" s="0" t="s">
        <v>11359</v>
      </c>
      <c r="D921" s="0" t="s">
        <v>8286</v>
      </c>
      <c r="E921" s="5" t="s">
        <v>81</v>
      </c>
      <c r="F921" s="0" t="s">
        <v>9036</v>
      </c>
      <c r="G921" s="0" t="s">
        <v>3371</v>
      </c>
      <c r="H921" s="0" t="s">
        <v>8241</v>
      </c>
      <c r="I921" s="5" t="s">
        <v>11360</v>
      </c>
      <c r="K921" s="0" t="s">
        <v>40</v>
      </c>
      <c r="L921" s="0" t="s">
        <v>11361</v>
      </c>
    </row>
    <row r="922" customFormat="false" ht="17.15" hidden="false" customHeight="false" outlineLevel="0" collapsed="false">
      <c r="A922" s="0" t="s">
        <v>11362</v>
      </c>
      <c r="B922" s="0" t="s">
        <v>11363</v>
      </c>
      <c r="C922" s="0" t="s">
        <v>11364</v>
      </c>
      <c r="D922" s="0" t="s">
        <v>8182</v>
      </c>
      <c r="E922" s="5" t="s">
        <v>81</v>
      </c>
      <c r="F922" s="0" t="s">
        <v>11365</v>
      </c>
      <c r="G922" s="0" t="s">
        <v>3371</v>
      </c>
      <c r="H922" s="0" t="s">
        <v>8241</v>
      </c>
      <c r="I922" s="0" t="s">
        <v>11366</v>
      </c>
      <c r="K922" s="0" t="s">
        <v>40</v>
      </c>
      <c r="L922" s="0" t="s">
        <v>11367</v>
      </c>
    </row>
    <row r="923" customFormat="false" ht="17.15" hidden="false" customHeight="false" outlineLevel="0" collapsed="false">
      <c r="A923" s="0" t="s">
        <v>11368</v>
      </c>
      <c r="B923" s="0" t="s">
        <v>11369</v>
      </c>
      <c r="C923" s="0" t="s">
        <v>11370</v>
      </c>
      <c r="D923" s="0" t="s">
        <v>7433</v>
      </c>
      <c r="E923" s="5" t="s">
        <v>81</v>
      </c>
      <c r="F923" s="0" t="s">
        <v>7678</v>
      </c>
      <c r="G923" s="0" t="s">
        <v>3317</v>
      </c>
      <c r="H923" s="0" t="s">
        <v>8176</v>
      </c>
      <c r="I923" s="0" t="s">
        <v>11371</v>
      </c>
      <c r="K923" s="0" t="s">
        <v>40</v>
      </c>
      <c r="L923" s="0" t="s">
        <v>11372</v>
      </c>
    </row>
    <row r="924" customFormat="false" ht="17.15" hidden="false" customHeight="false" outlineLevel="0" collapsed="false">
      <c r="A924" s="0" t="s">
        <v>11373</v>
      </c>
      <c r="B924" s="0" t="s">
        <v>11374</v>
      </c>
      <c r="C924" s="0" t="s">
        <v>11375</v>
      </c>
      <c r="D924" s="0" t="s">
        <v>11376</v>
      </c>
      <c r="E924" s="5" t="s">
        <v>81</v>
      </c>
      <c r="F924" s="0" t="s">
        <v>11377</v>
      </c>
      <c r="G924" s="0" t="s">
        <v>3317</v>
      </c>
      <c r="H924" s="0" t="s">
        <v>8176</v>
      </c>
      <c r="I924" s="0" t="s">
        <v>11378</v>
      </c>
      <c r="K924" s="0" t="s">
        <v>40</v>
      </c>
      <c r="L924" s="0" t="s">
        <v>11379</v>
      </c>
    </row>
    <row r="925" customFormat="false" ht="17.15" hidden="false" customHeight="false" outlineLevel="0" collapsed="false">
      <c r="A925" s="0" t="s">
        <v>11380</v>
      </c>
      <c r="B925" s="0" t="s">
        <v>11381</v>
      </c>
      <c r="C925" s="0" t="s">
        <v>11382</v>
      </c>
      <c r="D925" s="0" t="s">
        <v>8300</v>
      </c>
      <c r="E925" s="5" t="s">
        <v>81</v>
      </c>
      <c r="G925" s="0" t="s">
        <v>3371</v>
      </c>
      <c r="H925" s="0" t="s">
        <v>8208</v>
      </c>
      <c r="I925" s="0" t="s">
        <v>11383</v>
      </c>
      <c r="K925" s="0" t="s">
        <v>40</v>
      </c>
      <c r="L925" s="0" t="s">
        <v>11384</v>
      </c>
    </row>
    <row r="926" customFormat="false" ht="17.15" hidden="false" customHeight="false" outlineLevel="0" collapsed="false">
      <c r="A926" s="0" t="s">
        <v>11385</v>
      </c>
      <c r="B926" s="0" t="s">
        <v>11381</v>
      </c>
      <c r="C926" s="0" t="s">
        <v>11386</v>
      </c>
      <c r="D926" s="0" t="s">
        <v>7581</v>
      </c>
      <c r="E926" s="5" t="s">
        <v>81</v>
      </c>
      <c r="F926" s="0" t="s">
        <v>10065</v>
      </c>
      <c r="G926" s="0" t="s">
        <v>3371</v>
      </c>
      <c r="H926" s="0" t="s">
        <v>8176</v>
      </c>
      <c r="I926" s="0" t="s">
        <v>11387</v>
      </c>
      <c r="K926" s="0" t="s">
        <v>40</v>
      </c>
      <c r="L926" s="0" t="s">
        <v>11388</v>
      </c>
    </row>
    <row r="927" customFormat="false" ht="17.15" hidden="false" customHeight="false" outlineLevel="0" collapsed="false">
      <c r="A927" s="0" t="s">
        <v>11389</v>
      </c>
      <c r="B927" s="0" t="s">
        <v>11390</v>
      </c>
      <c r="C927" s="0" t="s">
        <v>11391</v>
      </c>
      <c r="D927" s="0" t="s">
        <v>8300</v>
      </c>
      <c r="E927" s="5" t="s">
        <v>81</v>
      </c>
      <c r="F927" s="0" t="s">
        <v>7619</v>
      </c>
      <c r="G927" s="0" t="s">
        <v>3371</v>
      </c>
      <c r="H927" s="0" t="s">
        <v>8219</v>
      </c>
      <c r="I927" s="5" t="s">
        <v>8220</v>
      </c>
      <c r="K927" s="0" t="s">
        <v>40</v>
      </c>
      <c r="L927" s="0" t="s">
        <v>11392</v>
      </c>
    </row>
    <row r="928" customFormat="false" ht="17.15" hidden="false" customHeight="false" outlineLevel="0" collapsed="false">
      <c r="A928" s="0" t="s">
        <v>11393</v>
      </c>
      <c r="B928" s="0" t="s">
        <v>11394</v>
      </c>
      <c r="C928" s="0" t="s">
        <v>11395</v>
      </c>
      <c r="D928" s="0" t="s">
        <v>11396</v>
      </c>
      <c r="E928" s="5" t="s">
        <v>81</v>
      </c>
      <c r="F928" s="0" t="s">
        <v>11397</v>
      </c>
      <c r="G928" s="0" t="s">
        <v>3371</v>
      </c>
      <c r="H928" s="0" t="s">
        <v>8224</v>
      </c>
      <c r="I928" s="0" t="s">
        <v>11398</v>
      </c>
      <c r="K928" s="0" t="s">
        <v>40</v>
      </c>
      <c r="L928" s="0" t="s">
        <v>11399</v>
      </c>
    </row>
    <row r="929" customFormat="false" ht="17.15" hidden="false" customHeight="false" outlineLevel="0" collapsed="false">
      <c r="A929" s="0" t="s">
        <v>11400</v>
      </c>
      <c r="B929" s="0" t="s">
        <v>11401</v>
      </c>
      <c r="C929" s="0" t="s">
        <v>11402</v>
      </c>
      <c r="D929" s="0" t="s">
        <v>11403</v>
      </c>
      <c r="E929" s="0" t="s">
        <v>116</v>
      </c>
      <c r="F929" s="0" t="s">
        <v>7867</v>
      </c>
      <c r="G929" s="0" t="s">
        <v>3371</v>
      </c>
      <c r="H929" s="0" t="s">
        <v>8208</v>
      </c>
      <c r="I929" s="5" t="s">
        <v>11404</v>
      </c>
      <c r="K929" s="0" t="s">
        <v>40</v>
      </c>
      <c r="L929" s="0" t="s">
        <v>11405</v>
      </c>
    </row>
    <row r="930" customFormat="false" ht="17.15" hidden="false" customHeight="false" outlineLevel="0" collapsed="false">
      <c r="A930" s="0" t="s">
        <v>11406</v>
      </c>
      <c r="B930" s="0" t="s">
        <v>11401</v>
      </c>
      <c r="C930" s="0" t="s">
        <v>11407</v>
      </c>
      <c r="D930" s="0" t="s">
        <v>11408</v>
      </c>
      <c r="E930" s="5" t="s">
        <v>81</v>
      </c>
      <c r="F930" s="0" t="s">
        <v>11409</v>
      </c>
      <c r="G930" s="0" t="s">
        <v>3371</v>
      </c>
      <c r="H930" s="0" t="s">
        <v>8176</v>
      </c>
      <c r="I930" s="0" t="s">
        <v>11410</v>
      </c>
      <c r="K930" s="0" t="s">
        <v>40</v>
      </c>
      <c r="L930" s="0" t="s">
        <v>11411</v>
      </c>
    </row>
    <row r="931" customFormat="false" ht="17.15" hidden="false" customHeight="false" outlineLevel="0" collapsed="false">
      <c r="A931" s="0" t="s">
        <v>11412</v>
      </c>
      <c r="B931" s="0" t="s">
        <v>11401</v>
      </c>
      <c r="C931" s="0" t="s">
        <v>11413</v>
      </c>
      <c r="D931" s="0" t="s">
        <v>117</v>
      </c>
      <c r="E931" s="5" t="s">
        <v>81</v>
      </c>
      <c r="F931" s="0" t="s">
        <v>11414</v>
      </c>
      <c r="G931" s="0" t="s">
        <v>3371</v>
      </c>
      <c r="H931" s="0" t="s">
        <v>8219</v>
      </c>
      <c r="I931" s="5" t="s">
        <v>8429</v>
      </c>
      <c r="K931" s="0" t="s">
        <v>40</v>
      </c>
      <c r="L931" s="0" t="s">
        <v>11415</v>
      </c>
    </row>
    <row r="932" customFormat="false" ht="17.15" hidden="false" customHeight="false" outlineLevel="0" collapsed="false">
      <c r="A932" s="0" t="s">
        <v>11416</v>
      </c>
      <c r="B932" s="0" t="s">
        <v>11401</v>
      </c>
      <c r="C932" s="0" t="s">
        <v>11417</v>
      </c>
      <c r="D932" s="0" t="s">
        <v>117</v>
      </c>
      <c r="E932" s="5" t="s">
        <v>81</v>
      </c>
      <c r="F932" s="0" t="s">
        <v>11414</v>
      </c>
      <c r="G932" s="0" t="s">
        <v>3371</v>
      </c>
      <c r="H932" s="0" t="s">
        <v>8219</v>
      </c>
      <c r="I932" s="5" t="s">
        <v>8429</v>
      </c>
      <c r="K932" s="0" t="s">
        <v>40</v>
      </c>
      <c r="L932" s="0" t="s">
        <v>11415</v>
      </c>
    </row>
    <row r="933" customFormat="false" ht="17.15" hidden="false" customHeight="false" outlineLevel="0" collapsed="false">
      <c r="A933" s="0" t="s">
        <v>11418</v>
      </c>
      <c r="B933" s="0" t="s">
        <v>11401</v>
      </c>
      <c r="C933" s="0" t="s">
        <v>11419</v>
      </c>
      <c r="D933" s="0" t="s">
        <v>8674</v>
      </c>
      <c r="E933" s="0" t="s">
        <v>116</v>
      </c>
      <c r="F933" s="0" t="s">
        <v>9020</v>
      </c>
      <c r="G933" s="0" t="s">
        <v>3371</v>
      </c>
      <c r="H933" s="0" t="s">
        <v>8224</v>
      </c>
      <c r="I933" s="0" t="s">
        <v>11420</v>
      </c>
      <c r="K933" s="0" t="s">
        <v>40</v>
      </c>
      <c r="L933" s="0" t="s">
        <v>11421</v>
      </c>
    </row>
    <row r="934" customFormat="false" ht="17.15" hidden="false" customHeight="false" outlineLevel="0" collapsed="false">
      <c r="A934" s="0" t="s">
        <v>11422</v>
      </c>
      <c r="B934" s="0" t="s">
        <v>11423</v>
      </c>
      <c r="C934" s="0" t="s">
        <v>11424</v>
      </c>
      <c r="D934" s="0" t="s">
        <v>7239</v>
      </c>
      <c r="E934" s="5" t="s">
        <v>81</v>
      </c>
      <c r="F934" s="0" t="s">
        <v>10927</v>
      </c>
      <c r="G934" s="0" t="s">
        <v>3371</v>
      </c>
      <c r="H934" s="0" t="s">
        <v>8176</v>
      </c>
      <c r="I934" s="0" t="s">
        <v>11425</v>
      </c>
      <c r="K934" s="0" t="s">
        <v>40</v>
      </c>
      <c r="L934" s="0" t="s">
        <v>11426</v>
      </c>
    </row>
    <row r="935" customFormat="false" ht="17.15" hidden="false" customHeight="false" outlineLevel="0" collapsed="false">
      <c r="A935" s="0" t="s">
        <v>11427</v>
      </c>
      <c r="B935" s="0" t="s">
        <v>11428</v>
      </c>
      <c r="C935" s="0" t="s">
        <v>11429</v>
      </c>
      <c r="D935" s="0" t="s">
        <v>8527</v>
      </c>
      <c r="E935" s="5" t="s">
        <v>81</v>
      </c>
      <c r="F935" s="0" t="s">
        <v>11430</v>
      </c>
      <c r="G935" s="0" t="s">
        <v>3371</v>
      </c>
      <c r="H935" s="0" t="s">
        <v>8176</v>
      </c>
      <c r="I935" s="0" t="s">
        <v>11431</v>
      </c>
      <c r="K935" s="0" t="s">
        <v>40</v>
      </c>
      <c r="L935" s="0" t="s">
        <v>11432</v>
      </c>
    </row>
    <row r="936" customFormat="false" ht="17.15" hidden="false" customHeight="false" outlineLevel="0" collapsed="false">
      <c r="A936" s="0" t="s">
        <v>11433</v>
      </c>
      <c r="B936" s="0" t="s">
        <v>11423</v>
      </c>
      <c r="C936" s="0" t="s">
        <v>11434</v>
      </c>
      <c r="D936" s="0" t="s">
        <v>8664</v>
      </c>
      <c r="E936" s="0" t="s">
        <v>116</v>
      </c>
      <c r="F936" s="0" t="s">
        <v>9816</v>
      </c>
      <c r="G936" s="0" t="s">
        <v>3371</v>
      </c>
      <c r="H936" s="0" t="s">
        <v>8176</v>
      </c>
      <c r="I936" s="0" t="s">
        <v>11435</v>
      </c>
      <c r="K936" s="0" t="s">
        <v>40</v>
      </c>
      <c r="L936" s="0" t="s">
        <v>11436</v>
      </c>
    </row>
    <row r="937" customFormat="false" ht="17.15" hidden="false" customHeight="false" outlineLevel="0" collapsed="false">
      <c r="A937" s="0" t="s">
        <v>11437</v>
      </c>
      <c r="B937" s="0" t="s">
        <v>11423</v>
      </c>
      <c r="C937" s="0" t="s">
        <v>11438</v>
      </c>
      <c r="D937" s="0" t="s">
        <v>9511</v>
      </c>
      <c r="E937" s="5" t="s">
        <v>81</v>
      </c>
      <c r="F937" s="0" t="s">
        <v>9816</v>
      </c>
      <c r="G937" s="0" t="s">
        <v>3371</v>
      </c>
      <c r="H937" s="0" t="s">
        <v>8176</v>
      </c>
      <c r="I937" s="0" t="s">
        <v>11439</v>
      </c>
      <c r="K937" s="0" t="s">
        <v>40</v>
      </c>
      <c r="L937" s="0" t="s">
        <v>11436</v>
      </c>
    </row>
    <row r="938" customFormat="false" ht="17.15" hidden="false" customHeight="false" outlineLevel="0" collapsed="false">
      <c r="A938" s="0" t="s">
        <v>11440</v>
      </c>
      <c r="B938" s="5" t="s">
        <v>11441</v>
      </c>
      <c r="C938" s="5" t="s">
        <v>11442</v>
      </c>
      <c r="D938" s="0" t="s">
        <v>7239</v>
      </c>
      <c r="E938" s="5" t="s">
        <v>81</v>
      </c>
      <c r="F938" s="0" t="s">
        <v>7421</v>
      </c>
      <c r="G938" s="0" t="s">
        <v>3371</v>
      </c>
      <c r="H938" s="0" t="s">
        <v>8219</v>
      </c>
      <c r="I938" s="5" t="s">
        <v>8220</v>
      </c>
      <c r="K938" s="0" t="s">
        <v>40</v>
      </c>
      <c r="L938" s="0" t="s">
        <v>11443</v>
      </c>
    </row>
    <row r="939" customFormat="false" ht="17.15" hidden="false" customHeight="false" outlineLevel="0" collapsed="false">
      <c r="A939" s="0" t="s">
        <v>11444</v>
      </c>
      <c r="B939" s="5" t="s">
        <v>8656</v>
      </c>
      <c r="C939" s="5" t="s">
        <v>11445</v>
      </c>
      <c r="D939" s="0" t="s">
        <v>7239</v>
      </c>
      <c r="E939" s="5" t="s">
        <v>81</v>
      </c>
      <c r="F939" s="0" t="s">
        <v>10104</v>
      </c>
      <c r="G939" s="0" t="s">
        <v>3371</v>
      </c>
      <c r="H939" s="0" t="s">
        <v>8224</v>
      </c>
      <c r="I939" s="0" t="s">
        <v>11446</v>
      </c>
      <c r="K939" s="0" t="s">
        <v>40</v>
      </c>
      <c r="L939" s="0" t="s">
        <v>11447</v>
      </c>
    </row>
    <row r="940" customFormat="false" ht="17.15" hidden="false" customHeight="false" outlineLevel="0" collapsed="false">
      <c r="A940" s="0" t="s">
        <v>11448</v>
      </c>
      <c r="B940" s="0" t="s">
        <v>11449</v>
      </c>
      <c r="C940" s="0" t="s">
        <v>11450</v>
      </c>
      <c r="D940" s="0" t="s">
        <v>8499</v>
      </c>
      <c r="E940" s="0" t="s">
        <v>116</v>
      </c>
      <c r="F940" s="0" t="s">
        <v>11451</v>
      </c>
      <c r="G940" s="0" t="s">
        <v>3371</v>
      </c>
      <c r="H940" s="0" t="s">
        <v>8176</v>
      </c>
      <c r="I940" s="0" t="s">
        <v>11452</v>
      </c>
      <c r="K940" s="0" t="s">
        <v>40</v>
      </c>
      <c r="L940" s="0" t="s">
        <v>11453</v>
      </c>
    </row>
    <row r="941" customFormat="false" ht="17.15" hidden="false" customHeight="false" outlineLevel="0" collapsed="false">
      <c r="A941" s="0" t="s">
        <v>11454</v>
      </c>
      <c r="B941" s="0" t="s">
        <v>11449</v>
      </c>
      <c r="C941" s="0" t="s">
        <v>11455</v>
      </c>
      <c r="D941" s="0" t="s">
        <v>11456</v>
      </c>
      <c r="E941" s="5" t="s">
        <v>81</v>
      </c>
      <c r="F941" s="0" t="s">
        <v>11457</v>
      </c>
      <c r="G941" s="0" t="s">
        <v>3371</v>
      </c>
      <c r="H941" s="0" t="s">
        <v>8176</v>
      </c>
      <c r="I941" s="0" t="s">
        <v>11458</v>
      </c>
      <c r="K941" s="0" t="s">
        <v>40</v>
      </c>
      <c r="L941" s="0" t="s">
        <v>11459</v>
      </c>
    </row>
    <row r="942" customFormat="false" ht="17.15" hidden="false" customHeight="false" outlineLevel="0" collapsed="false">
      <c r="A942" s="0" t="s">
        <v>11460</v>
      </c>
      <c r="B942" s="0" t="s">
        <v>11461</v>
      </c>
      <c r="C942" s="0" t="s">
        <v>11462</v>
      </c>
      <c r="D942" s="0" t="s">
        <v>8940</v>
      </c>
      <c r="E942" s="0" t="s">
        <v>116</v>
      </c>
      <c r="F942" s="0" t="s">
        <v>3856</v>
      </c>
      <c r="G942" s="0" t="s">
        <v>3371</v>
      </c>
      <c r="H942" s="0" t="s">
        <v>8224</v>
      </c>
      <c r="I942" s="0" t="s">
        <v>11463</v>
      </c>
      <c r="K942" s="0" t="s">
        <v>40</v>
      </c>
      <c r="L942" s="0" t="s">
        <v>11464</v>
      </c>
    </row>
    <row r="943" customFormat="false" ht="17.15" hidden="false" customHeight="false" outlineLevel="0" collapsed="false">
      <c r="A943" s="0" t="s">
        <v>11465</v>
      </c>
      <c r="B943" s="0" t="s">
        <v>11461</v>
      </c>
      <c r="C943" s="0" t="s">
        <v>11466</v>
      </c>
      <c r="D943" s="0" t="s">
        <v>7568</v>
      </c>
      <c r="E943" s="5" t="s">
        <v>81</v>
      </c>
      <c r="F943" s="0" t="s">
        <v>11467</v>
      </c>
      <c r="G943" s="0" t="s">
        <v>3317</v>
      </c>
      <c r="H943" s="0" t="s">
        <v>8208</v>
      </c>
      <c r="I943" s="0" t="s">
        <v>11468</v>
      </c>
      <c r="K943" s="0" t="s">
        <v>40</v>
      </c>
      <c r="L943" s="0" t="s">
        <v>11469</v>
      </c>
    </row>
    <row r="944" customFormat="false" ht="17.15" hidden="false" customHeight="false" outlineLevel="0" collapsed="false">
      <c r="A944" s="0" t="s">
        <v>11470</v>
      </c>
      <c r="B944" s="0" t="s">
        <v>11471</v>
      </c>
      <c r="C944" s="0" t="s">
        <v>11472</v>
      </c>
      <c r="D944" s="0" t="s">
        <v>8598</v>
      </c>
      <c r="E944" s="5" t="s">
        <v>81</v>
      </c>
      <c r="F944" s="0" t="s">
        <v>7886</v>
      </c>
      <c r="G944" s="0" t="s">
        <v>3371</v>
      </c>
      <c r="H944" s="0" t="s">
        <v>8219</v>
      </c>
      <c r="I944" s="5" t="s">
        <v>8220</v>
      </c>
      <c r="K944" s="0" t="s">
        <v>40</v>
      </c>
      <c r="L944" s="0" t="s">
        <v>11473</v>
      </c>
    </row>
    <row r="945" customFormat="false" ht="17.15" hidden="false" customHeight="false" outlineLevel="0" collapsed="false">
      <c r="A945" s="0" t="s">
        <v>11474</v>
      </c>
      <c r="B945" s="0" t="s">
        <v>11471</v>
      </c>
      <c r="C945" s="0" t="s">
        <v>11475</v>
      </c>
      <c r="D945" s="0" t="s">
        <v>8598</v>
      </c>
      <c r="E945" s="5" t="s">
        <v>81</v>
      </c>
      <c r="F945" s="0" t="s">
        <v>7886</v>
      </c>
      <c r="G945" s="0" t="s">
        <v>3371</v>
      </c>
      <c r="H945" s="0" t="s">
        <v>8219</v>
      </c>
      <c r="I945" s="5" t="s">
        <v>8220</v>
      </c>
      <c r="K945" s="0" t="s">
        <v>40</v>
      </c>
      <c r="L945" s="0" t="s">
        <v>11473</v>
      </c>
    </row>
    <row r="946" customFormat="false" ht="17.15" hidden="false" customHeight="false" outlineLevel="0" collapsed="false">
      <c r="A946" s="0" t="s">
        <v>11476</v>
      </c>
      <c r="B946" s="0" t="s">
        <v>11471</v>
      </c>
      <c r="C946" s="0" t="s">
        <v>11477</v>
      </c>
      <c r="D946" s="0" t="s">
        <v>8674</v>
      </c>
      <c r="E946" s="5" t="s">
        <v>81</v>
      </c>
      <c r="F946" s="0" t="s">
        <v>11478</v>
      </c>
      <c r="G946" s="0" t="s">
        <v>3371</v>
      </c>
      <c r="H946" s="0" t="s">
        <v>8219</v>
      </c>
      <c r="I946" s="5" t="s">
        <v>8220</v>
      </c>
      <c r="K946" s="0" t="s">
        <v>40</v>
      </c>
      <c r="L946" s="0" t="s">
        <v>11479</v>
      </c>
    </row>
    <row r="947" customFormat="false" ht="17.15" hidden="false" customHeight="false" outlineLevel="0" collapsed="false">
      <c r="A947" s="0" t="s">
        <v>11480</v>
      </c>
      <c r="B947" s="0" t="s">
        <v>11481</v>
      </c>
      <c r="C947" s="0" t="s">
        <v>11482</v>
      </c>
      <c r="D947" s="0" t="s">
        <v>8808</v>
      </c>
      <c r="E947" s="0" t="s">
        <v>116</v>
      </c>
      <c r="F947" s="0" t="s">
        <v>7573</v>
      </c>
      <c r="G947" s="0" t="s">
        <v>3371</v>
      </c>
      <c r="H947" s="0" t="s">
        <v>8176</v>
      </c>
      <c r="I947" s="0" t="s">
        <v>11483</v>
      </c>
      <c r="K947" s="0" t="s">
        <v>40</v>
      </c>
      <c r="L947" s="0" t="s">
        <v>11484</v>
      </c>
    </row>
    <row r="948" customFormat="false" ht="17.15" hidden="false" customHeight="false" outlineLevel="0" collapsed="false">
      <c r="A948" s="0" t="s">
        <v>11485</v>
      </c>
      <c r="B948" s="0" t="s">
        <v>11486</v>
      </c>
      <c r="C948" s="0" t="s">
        <v>11487</v>
      </c>
      <c r="D948" s="0" t="s">
        <v>8395</v>
      </c>
      <c r="E948" s="5" t="s">
        <v>81</v>
      </c>
      <c r="F948" s="0" t="s">
        <v>11488</v>
      </c>
      <c r="G948" s="0" t="s">
        <v>3371</v>
      </c>
      <c r="H948" s="0" t="s">
        <v>8241</v>
      </c>
      <c r="I948" s="5" t="s">
        <v>11489</v>
      </c>
      <c r="K948" s="0" t="s">
        <v>40</v>
      </c>
      <c r="L948" s="0" t="s">
        <v>11490</v>
      </c>
    </row>
    <row r="949" customFormat="false" ht="17.15" hidden="false" customHeight="false" outlineLevel="0" collapsed="false">
      <c r="A949" s="0" t="s">
        <v>11491</v>
      </c>
      <c r="B949" s="0" t="s">
        <v>11492</v>
      </c>
      <c r="C949" s="0" t="s">
        <v>11493</v>
      </c>
      <c r="D949" s="0" t="s">
        <v>117</v>
      </c>
      <c r="E949" s="5" t="s">
        <v>81</v>
      </c>
      <c r="F949" s="0" t="s">
        <v>8118</v>
      </c>
      <c r="G949" s="0" t="s">
        <v>3371</v>
      </c>
      <c r="H949" s="0" t="s">
        <v>8176</v>
      </c>
      <c r="I949" s="5" t="s">
        <v>11494</v>
      </c>
      <c r="K949" s="0" t="s">
        <v>40</v>
      </c>
      <c r="L949" s="0" t="s">
        <v>11495</v>
      </c>
    </row>
    <row r="950" customFormat="false" ht="17.15" hidden="false" customHeight="false" outlineLevel="0" collapsed="false">
      <c r="A950" s="0" t="s">
        <v>11496</v>
      </c>
      <c r="B950" s="0" t="s">
        <v>11497</v>
      </c>
      <c r="C950" s="0" t="s">
        <v>11498</v>
      </c>
      <c r="D950" s="0" t="s">
        <v>9302</v>
      </c>
      <c r="E950" s="5" t="s">
        <v>81</v>
      </c>
      <c r="F950" s="0" t="s">
        <v>8970</v>
      </c>
      <c r="G950" s="0" t="s">
        <v>3371</v>
      </c>
      <c r="H950" s="0" t="s">
        <v>8224</v>
      </c>
      <c r="I950" s="5" t="s">
        <v>11499</v>
      </c>
      <c r="K950" s="0" t="s">
        <v>40</v>
      </c>
      <c r="L950" s="0" t="s">
        <v>11500</v>
      </c>
    </row>
    <row r="951" customFormat="false" ht="17.15" hidden="false" customHeight="false" outlineLevel="0" collapsed="false">
      <c r="A951" s="0" t="s">
        <v>11501</v>
      </c>
      <c r="B951" s="0" t="s">
        <v>11502</v>
      </c>
      <c r="C951" s="0" t="s">
        <v>11503</v>
      </c>
      <c r="D951" s="0" t="s">
        <v>8883</v>
      </c>
      <c r="E951" s="5" t="s">
        <v>81</v>
      </c>
      <c r="F951" s="0" t="s">
        <v>11504</v>
      </c>
      <c r="G951" s="0" t="s">
        <v>3371</v>
      </c>
      <c r="H951" s="0" t="s">
        <v>8176</v>
      </c>
      <c r="I951" s="0" t="s">
        <v>11505</v>
      </c>
      <c r="K951" s="0" t="s">
        <v>40</v>
      </c>
      <c r="L951" s="0" t="s">
        <v>11506</v>
      </c>
    </row>
    <row r="952" customFormat="false" ht="17.15" hidden="false" customHeight="false" outlineLevel="0" collapsed="false">
      <c r="A952" s="0" t="s">
        <v>11507</v>
      </c>
      <c r="B952" s="0" t="s">
        <v>11502</v>
      </c>
      <c r="C952" s="0" t="s">
        <v>11508</v>
      </c>
      <c r="D952" s="0" t="s">
        <v>8218</v>
      </c>
      <c r="E952" s="5" t="s">
        <v>81</v>
      </c>
      <c r="F952" s="0" t="s">
        <v>3951</v>
      </c>
      <c r="G952" s="0" t="s">
        <v>3371</v>
      </c>
      <c r="H952" s="0" t="s">
        <v>8208</v>
      </c>
      <c r="I952" s="0" t="s">
        <v>11509</v>
      </c>
      <c r="K952" s="0" t="s">
        <v>40</v>
      </c>
      <c r="L952" s="0" t="s">
        <v>11510</v>
      </c>
    </row>
    <row r="953" customFormat="false" ht="17.15" hidden="false" customHeight="false" outlineLevel="0" collapsed="false">
      <c r="A953" s="0" t="s">
        <v>11511</v>
      </c>
      <c r="B953" s="0" t="s">
        <v>11502</v>
      </c>
      <c r="C953" s="0" t="s">
        <v>11512</v>
      </c>
      <c r="D953" s="0" t="s">
        <v>11513</v>
      </c>
      <c r="E953" s="5" t="s">
        <v>81</v>
      </c>
      <c r="F953" s="0" t="s">
        <v>7793</v>
      </c>
      <c r="G953" s="0" t="s">
        <v>3317</v>
      </c>
      <c r="H953" s="0" t="s">
        <v>8219</v>
      </c>
      <c r="I953" s="5" t="s">
        <v>8429</v>
      </c>
      <c r="K953" s="0" t="s">
        <v>40</v>
      </c>
      <c r="L953" s="0" t="s">
        <v>11514</v>
      </c>
    </row>
    <row r="954" customFormat="false" ht="17.15" hidden="false" customHeight="false" outlineLevel="0" collapsed="false">
      <c r="A954" s="0" t="s">
        <v>11515</v>
      </c>
      <c r="B954" s="0" t="s">
        <v>11502</v>
      </c>
      <c r="C954" s="0" t="s">
        <v>11516</v>
      </c>
      <c r="D954" s="0" t="s">
        <v>117</v>
      </c>
      <c r="E954" s="5" t="s">
        <v>81</v>
      </c>
      <c r="F954" s="0" t="s">
        <v>10600</v>
      </c>
      <c r="G954" s="0" t="s">
        <v>3317</v>
      </c>
      <c r="H954" s="0" t="s">
        <v>8176</v>
      </c>
      <c r="I954" s="0" t="s">
        <v>11517</v>
      </c>
      <c r="K954" s="0" t="s">
        <v>40</v>
      </c>
      <c r="L954" s="0" t="s">
        <v>11518</v>
      </c>
    </row>
    <row r="955" customFormat="false" ht="17.15" hidden="false" customHeight="false" outlineLevel="0" collapsed="false">
      <c r="A955" s="0" t="s">
        <v>11519</v>
      </c>
      <c r="B955" s="0" t="s">
        <v>11520</v>
      </c>
      <c r="C955" s="0" t="s">
        <v>11521</v>
      </c>
      <c r="D955" s="0" t="s">
        <v>8825</v>
      </c>
      <c r="E955" s="5" t="s">
        <v>81</v>
      </c>
      <c r="F955" s="0" t="s">
        <v>9066</v>
      </c>
      <c r="G955" s="0" t="s">
        <v>3371</v>
      </c>
      <c r="H955" s="0" t="s">
        <v>8176</v>
      </c>
      <c r="I955" s="0" t="s">
        <v>11522</v>
      </c>
      <c r="K955" s="0" t="s">
        <v>40</v>
      </c>
      <c r="L955" s="0" t="s">
        <v>11523</v>
      </c>
    </row>
    <row r="956" customFormat="false" ht="17.15" hidden="false" customHeight="false" outlineLevel="0" collapsed="false">
      <c r="A956" s="0" t="s">
        <v>11524</v>
      </c>
      <c r="B956" s="0" t="s">
        <v>11520</v>
      </c>
      <c r="C956" s="0" t="s">
        <v>11525</v>
      </c>
      <c r="D956" s="0" t="s">
        <v>9052</v>
      </c>
      <c r="E956" s="5" t="s">
        <v>81</v>
      </c>
      <c r="F956" s="0" t="s">
        <v>11526</v>
      </c>
      <c r="G956" s="0" t="s">
        <v>3371</v>
      </c>
      <c r="H956" s="0" t="s">
        <v>8176</v>
      </c>
      <c r="I956" s="0" t="s">
        <v>11527</v>
      </c>
      <c r="K956" s="0" t="s">
        <v>40</v>
      </c>
      <c r="L956" s="0" t="s">
        <v>11528</v>
      </c>
    </row>
    <row r="957" customFormat="false" ht="17.15" hidden="false" customHeight="false" outlineLevel="0" collapsed="false">
      <c r="A957" s="0" t="s">
        <v>11529</v>
      </c>
      <c r="B957" s="0" t="s">
        <v>11520</v>
      </c>
      <c r="C957" s="0" t="s">
        <v>11530</v>
      </c>
      <c r="D957" s="0" t="s">
        <v>8640</v>
      </c>
      <c r="E957" s="5" t="s">
        <v>81</v>
      </c>
      <c r="F957" s="0" t="s">
        <v>7663</v>
      </c>
      <c r="G957" s="0" t="s">
        <v>3371</v>
      </c>
      <c r="H957" s="0" t="s">
        <v>8208</v>
      </c>
      <c r="I957" s="0" t="s">
        <v>11531</v>
      </c>
      <c r="K957" s="0" t="s">
        <v>40</v>
      </c>
      <c r="L957" s="0" t="s">
        <v>11532</v>
      </c>
    </row>
    <row r="958" customFormat="false" ht="17.15" hidden="false" customHeight="false" outlineLevel="0" collapsed="false">
      <c r="A958" s="0" t="s">
        <v>11533</v>
      </c>
      <c r="B958" s="0" t="s">
        <v>11520</v>
      </c>
      <c r="C958" s="0" t="s">
        <v>11534</v>
      </c>
      <c r="D958" s="0" t="s">
        <v>7568</v>
      </c>
      <c r="E958" s="5" t="s">
        <v>81</v>
      </c>
      <c r="F958" s="0" t="s">
        <v>11535</v>
      </c>
      <c r="G958" s="0" t="s">
        <v>3371</v>
      </c>
      <c r="H958" s="0" t="s">
        <v>8176</v>
      </c>
      <c r="I958" s="5" t="s">
        <v>11536</v>
      </c>
      <c r="K958" s="0" t="s">
        <v>40</v>
      </c>
      <c r="L958" s="0" t="s">
        <v>11537</v>
      </c>
    </row>
    <row r="959" customFormat="false" ht="17.15" hidden="false" customHeight="false" outlineLevel="0" collapsed="false">
      <c r="A959" s="0" t="s">
        <v>11538</v>
      </c>
      <c r="B959" s="0" t="s">
        <v>11539</v>
      </c>
      <c r="C959" s="0" t="s">
        <v>11540</v>
      </c>
      <c r="D959" s="0" t="s">
        <v>8174</v>
      </c>
      <c r="E959" s="5" t="s">
        <v>81</v>
      </c>
      <c r="F959" s="0" t="s">
        <v>8235</v>
      </c>
      <c r="G959" s="0" t="s">
        <v>3371</v>
      </c>
      <c r="H959" s="0" t="s">
        <v>8208</v>
      </c>
      <c r="I959" s="5" t="s">
        <v>11541</v>
      </c>
      <c r="K959" s="0" t="s">
        <v>40</v>
      </c>
      <c r="L959" s="0" t="s">
        <v>11542</v>
      </c>
    </row>
    <row r="960" customFormat="false" ht="17.15" hidden="false" customHeight="false" outlineLevel="0" collapsed="false">
      <c r="A960" s="0" t="s">
        <v>11543</v>
      </c>
      <c r="B960" s="0" t="s">
        <v>11539</v>
      </c>
      <c r="C960" s="0" t="s">
        <v>11544</v>
      </c>
      <c r="D960" s="0" t="s">
        <v>9975</v>
      </c>
      <c r="E960" s="5" t="s">
        <v>81</v>
      </c>
      <c r="F960" s="0" t="s">
        <v>11545</v>
      </c>
      <c r="G960" s="0" t="s">
        <v>3371</v>
      </c>
      <c r="H960" s="0" t="s">
        <v>8224</v>
      </c>
      <c r="I960" s="0" t="s">
        <v>11546</v>
      </c>
      <c r="K960" s="0" t="s">
        <v>40</v>
      </c>
      <c r="L960" s="0" t="s">
        <v>11547</v>
      </c>
    </row>
    <row r="961" customFormat="false" ht="17.15" hidden="false" customHeight="false" outlineLevel="0" collapsed="false">
      <c r="A961" s="0" t="s">
        <v>11548</v>
      </c>
      <c r="B961" s="0" t="s">
        <v>11539</v>
      </c>
      <c r="C961" s="0" t="s">
        <v>11549</v>
      </c>
      <c r="D961" s="0" t="s">
        <v>9052</v>
      </c>
      <c r="E961" s="5" t="s">
        <v>81</v>
      </c>
      <c r="F961" s="0" t="s">
        <v>11545</v>
      </c>
      <c r="G961" s="0" t="s">
        <v>3371</v>
      </c>
      <c r="H961" s="0" t="s">
        <v>8176</v>
      </c>
      <c r="I961" s="0" t="s">
        <v>11550</v>
      </c>
      <c r="K961" s="0" t="s">
        <v>40</v>
      </c>
      <c r="L961" s="0" t="s">
        <v>11547</v>
      </c>
    </row>
    <row r="962" customFormat="false" ht="17.15" hidden="false" customHeight="false" outlineLevel="0" collapsed="false">
      <c r="A962" s="0" t="s">
        <v>11551</v>
      </c>
      <c r="B962" s="0" t="s">
        <v>11552</v>
      </c>
      <c r="C962" s="0" t="s">
        <v>11553</v>
      </c>
      <c r="D962" s="0" t="s">
        <v>8174</v>
      </c>
      <c r="E962" s="5" t="s">
        <v>81</v>
      </c>
      <c r="F962" s="0" t="s">
        <v>11554</v>
      </c>
      <c r="G962" s="0" t="s">
        <v>3371</v>
      </c>
      <c r="H962" s="0" t="s">
        <v>8176</v>
      </c>
      <c r="I962" s="0" t="s">
        <v>11555</v>
      </c>
      <c r="K962" s="0" t="s">
        <v>40</v>
      </c>
      <c r="L962" s="0" t="s">
        <v>11556</v>
      </c>
    </row>
    <row r="963" customFormat="false" ht="17.15" hidden="false" customHeight="false" outlineLevel="0" collapsed="false">
      <c r="A963" s="0" t="s">
        <v>11557</v>
      </c>
      <c r="B963" s="0" t="s">
        <v>11552</v>
      </c>
      <c r="C963" s="0" t="s">
        <v>11558</v>
      </c>
      <c r="D963" s="0" t="s">
        <v>7493</v>
      </c>
      <c r="E963" s="5" t="s">
        <v>81</v>
      </c>
      <c r="F963" s="0" t="s">
        <v>11554</v>
      </c>
      <c r="G963" s="0" t="s">
        <v>3371</v>
      </c>
      <c r="H963" s="0" t="s">
        <v>8219</v>
      </c>
      <c r="I963" s="5" t="s">
        <v>8220</v>
      </c>
      <c r="K963" s="0" t="s">
        <v>40</v>
      </c>
      <c r="L963" s="0" t="s">
        <v>11559</v>
      </c>
    </row>
    <row r="964" customFormat="false" ht="17.15" hidden="false" customHeight="false" outlineLevel="0" collapsed="false">
      <c r="A964" s="0" t="s">
        <v>11560</v>
      </c>
      <c r="B964" s="0" t="s">
        <v>11497</v>
      </c>
      <c r="C964" s="0" t="s">
        <v>11561</v>
      </c>
      <c r="D964" s="0" t="s">
        <v>8883</v>
      </c>
      <c r="E964" s="5" t="s">
        <v>81</v>
      </c>
      <c r="F964" s="0" t="s">
        <v>8987</v>
      </c>
      <c r="G964" s="0" t="s">
        <v>3371</v>
      </c>
      <c r="H964" s="0" t="s">
        <v>8176</v>
      </c>
      <c r="I964" s="5" t="s">
        <v>11562</v>
      </c>
      <c r="K964" s="0" t="s">
        <v>40</v>
      </c>
      <c r="L964" s="0" t="s">
        <v>11563</v>
      </c>
    </row>
    <row r="965" customFormat="false" ht="17.15" hidden="false" customHeight="false" outlineLevel="0" collapsed="false">
      <c r="A965" s="0" t="s">
        <v>11564</v>
      </c>
      <c r="B965" s="0" t="s">
        <v>11497</v>
      </c>
      <c r="C965" s="0" t="s">
        <v>11565</v>
      </c>
      <c r="D965" s="0" t="s">
        <v>7581</v>
      </c>
      <c r="E965" s="5" t="s">
        <v>81</v>
      </c>
      <c r="F965" s="0" t="s">
        <v>8987</v>
      </c>
      <c r="G965" s="0" t="s">
        <v>3371</v>
      </c>
      <c r="H965" s="0" t="s">
        <v>8224</v>
      </c>
      <c r="I965" s="5" t="s">
        <v>11566</v>
      </c>
      <c r="K965" s="0" t="s">
        <v>40</v>
      </c>
      <c r="L965" s="0" t="s">
        <v>11563</v>
      </c>
    </row>
    <row r="966" customFormat="false" ht="17.15" hidden="false" customHeight="false" outlineLevel="0" collapsed="false">
      <c r="A966" s="0" t="s">
        <v>11567</v>
      </c>
      <c r="B966" s="0" t="s">
        <v>11568</v>
      </c>
      <c r="C966" s="0" t="s">
        <v>11569</v>
      </c>
      <c r="D966" s="0" t="s">
        <v>7177</v>
      </c>
      <c r="E966" s="5" t="s">
        <v>81</v>
      </c>
      <c r="F966" s="0" t="s">
        <v>8813</v>
      </c>
      <c r="G966" s="0" t="s">
        <v>3371</v>
      </c>
      <c r="H966" s="0" t="s">
        <v>8176</v>
      </c>
      <c r="I966" s="0" t="s">
        <v>11570</v>
      </c>
      <c r="K966" s="0" t="s">
        <v>40</v>
      </c>
      <c r="L966" s="0" t="s">
        <v>11571</v>
      </c>
    </row>
    <row r="967" customFormat="false" ht="17.15" hidden="false" customHeight="false" outlineLevel="0" collapsed="false">
      <c r="A967" s="0" t="s">
        <v>11572</v>
      </c>
      <c r="B967" s="0" t="s">
        <v>11573</v>
      </c>
      <c r="C967" s="0" t="s">
        <v>11574</v>
      </c>
      <c r="D967" s="0" t="s">
        <v>11575</v>
      </c>
      <c r="E967" s="0" t="s">
        <v>116</v>
      </c>
      <c r="F967" s="0" t="s">
        <v>11030</v>
      </c>
      <c r="G967" s="0" t="s">
        <v>3371</v>
      </c>
      <c r="H967" s="0" t="s">
        <v>8176</v>
      </c>
      <c r="I967" s="0" t="s">
        <v>11576</v>
      </c>
      <c r="K967" s="0" t="s">
        <v>40</v>
      </c>
      <c r="L967" s="0" t="s">
        <v>11577</v>
      </c>
    </row>
    <row r="968" customFormat="false" ht="17.15" hidden="false" customHeight="false" outlineLevel="0" collapsed="false">
      <c r="A968" s="0" t="s">
        <v>11578</v>
      </c>
      <c r="B968" s="0" t="s">
        <v>11573</v>
      </c>
      <c r="C968" s="0" t="s">
        <v>11579</v>
      </c>
      <c r="D968" s="0" t="s">
        <v>117</v>
      </c>
      <c r="E968" s="5" t="s">
        <v>81</v>
      </c>
      <c r="F968" s="0" t="s">
        <v>8907</v>
      </c>
      <c r="G968" s="0" t="s">
        <v>3317</v>
      </c>
      <c r="H968" s="0" t="s">
        <v>8176</v>
      </c>
      <c r="I968" s="5" t="s">
        <v>11580</v>
      </c>
      <c r="K968" s="0" t="s">
        <v>40</v>
      </c>
      <c r="L968" s="0" t="s">
        <v>11581</v>
      </c>
    </row>
    <row r="969" customFormat="false" ht="17.15" hidden="false" customHeight="false" outlineLevel="0" collapsed="false">
      <c r="A969" s="0" t="s">
        <v>11582</v>
      </c>
      <c r="B969" s="0" t="s">
        <v>11573</v>
      </c>
      <c r="C969" s="0" t="s">
        <v>11583</v>
      </c>
      <c r="D969" s="0" t="s">
        <v>117</v>
      </c>
      <c r="E969" s="5" t="s">
        <v>81</v>
      </c>
      <c r="F969" s="0" t="s">
        <v>11030</v>
      </c>
      <c r="G969" s="0" t="s">
        <v>3371</v>
      </c>
      <c r="H969" s="0" t="s">
        <v>8176</v>
      </c>
      <c r="I969" s="0" t="s">
        <v>11584</v>
      </c>
      <c r="K969" s="0" t="s">
        <v>40</v>
      </c>
      <c r="L969" s="0" t="s">
        <v>11585</v>
      </c>
    </row>
    <row r="970" customFormat="false" ht="17.15" hidden="false" customHeight="false" outlineLevel="0" collapsed="false">
      <c r="A970" s="0" t="s">
        <v>11586</v>
      </c>
      <c r="B970" s="0" t="s">
        <v>11587</v>
      </c>
      <c r="C970" s="0" t="s">
        <v>11588</v>
      </c>
      <c r="D970" s="0" t="s">
        <v>11589</v>
      </c>
      <c r="E970" s="5" t="s">
        <v>81</v>
      </c>
      <c r="F970" s="0" t="s">
        <v>10654</v>
      </c>
      <c r="G970" s="0" t="s">
        <v>3371</v>
      </c>
      <c r="H970" s="0" t="s">
        <v>8219</v>
      </c>
      <c r="I970" s="5" t="s">
        <v>8429</v>
      </c>
      <c r="K970" s="0" t="s">
        <v>40</v>
      </c>
      <c r="L970" s="0" t="s">
        <v>11590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11591</v>
      </c>
    </row>
    <row r="3" customFormat="false" ht="17.15" hidden="false" customHeight="false" outlineLevel="0" collapsed="false">
      <c r="A3" s="6" t="s">
        <v>24</v>
      </c>
      <c r="B3" s="6" t="s">
        <v>11592</v>
      </c>
      <c r="C3" s="6" t="s">
        <v>25</v>
      </c>
    </row>
    <row r="4" customFormat="false" ht="17.15" hidden="false" customHeight="false" outlineLevel="0" collapsed="false">
      <c r="A4" s="0" t="s">
        <v>423</v>
      </c>
      <c r="B4" s="0" t="s">
        <v>40</v>
      </c>
      <c r="C4" s="5" t="s">
        <v>11593</v>
      </c>
    </row>
    <row r="5" customFormat="false" ht="17.15" hidden="false" customHeight="false" outlineLevel="0" collapsed="false">
      <c r="A5" s="0" t="s">
        <v>288</v>
      </c>
      <c r="B5" s="0" t="s">
        <v>11594</v>
      </c>
      <c r="C5" s="0" t="s">
        <v>11595</v>
      </c>
    </row>
    <row r="6" customFormat="false" ht="17.15" hidden="false" customHeight="false" outlineLevel="0" collapsed="false">
      <c r="A6" s="0" t="s">
        <v>11596</v>
      </c>
      <c r="B6" s="0" t="s">
        <v>11597</v>
      </c>
      <c r="C6" s="0" t="s">
        <v>11598</v>
      </c>
    </row>
    <row r="7" customFormat="false" ht="17.15" hidden="false" customHeight="false" outlineLevel="0" collapsed="false">
      <c r="A7" s="0" t="s">
        <v>43</v>
      </c>
      <c r="B7" s="0" t="s">
        <v>11599</v>
      </c>
      <c r="C7" s="0" t="s">
        <v>11600</v>
      </c>
    </row>
    <row r="8" customFormat="false" ht="17.15" hidden="false" customHeight="false" outlineLevel="0" collapsed="false">
      <c r="A8" s="0" t="s">
        <v>53</v>
      </c>
      <c r="B8" s="0" t="s">
        <v>11601</v>
      </c>
      <c r="C8" s="0" t="s">
        <v>11602</v>
      </c>
    </row>
    <row r="9" customFormat="false" ht="17.15" hidden="false" customHeight="false" outlineLevel="0" collapsed="false">
      <c r="A9" s="0" t="s">
        <v>11603</v>
      </c>
      <c r="B9" s="5" t="s">
        <v>11604</v>
      </c>
      <c r="C9" s="0" t="s">
        <v>11605</v>
      </c>
    </row>
    <row r="10" customFormat="false" ht="17.15" hidden="false" customHeight="false" outlineLevel="0" collapsed="false">
      <c r="A10" s="0" t="s">
        <v>119</v>
      </c>
      <c r="B10" s="0" t="s">
        <v>11606</v>
      </c>
      <c r="C10" s="0" t="s">
        <v>11607</v>
      </c>
    </row>
    <row r="11" customFormat="false" ht="17.15" hidden="false" customHeight="false" outlineLevel="0" collapsed="false">
      <c r="A11" s="0" t="s">
        <v>396</v>
      </c>
      <c r="B11" s="0" t="s">
        <v>11608</v>
      </c>
      <c r="C11" s="0" t="s">
        <v>11609</v>
      </c>
    </row>
    <row r="12" customFormat="false" ht="17.15" hidden="false" customHeight="false" outlineLevel="0" collapsed="false">
      <c r="A12" s="0" t="s">
        <v>128</v>
      </c>
      <c r="B12" s="0" t="s">
        <v>11610</v>
      </c>
      <c r="C12" s="0" t="s">
        <v>11611</v>
      </c>
    </row>
    <row r="13" customFormat="false" ht="17.15" hidden="false" customHeight="false" outlineLevel="0" collapsed="false">
      <c r="A13" s="0" t="s">
        <v>400</v>
      </c>
      <c r="B13" s="0" t="s">
        <v>11612</v>
      </c>
      <c r="C13" s="0" t="s">
        <v>11613</v>
      </c>
    </row>
    <row r="14" customFormat="false" ht="17.15" hidden="false" customHeight="false" outlineLevel="0" collapsed="false">
      <c r="A14" s="0" t="s">
        <v>73</v>
      </c>
      <c r="B14" s="0" t="s">
        <v>11614</v>
      </c>
      <c r="C14" s="0" t="s">
        <v>11615</v>
      </c>
    </row>
    <row r="15" customFormat="false" ht="17.15" hidden="false" customHeight="false" outlineLevel="0" collapsed="false">
      <c r="A15" s="0" t="s">
        <v>404</v>
      </c>
      <c r="B15" s="0" t="s">
        <v>11616</v>
      </c>
      <c r="C15" s="0" t="s">
        <v>11617</v>
      </c>
    </row>
    <row r="16" customFormat="false" ht="17.15" hidden="false" customHeight="false" outlineLevel="0" collapsed="false">
      <c r="A16" s="0" t="s">
        <v>139</v>
      </c>
      <c r="B16" s="0" t="s">
        <v>11618</v>
      </c>
      <c r="C16" s="0" t="s">
        <v>11619</v>
      </c>
    </row>
    <row r="17" customFormat="false" ht="17.15" hidden="false" customHeight="false" outlineLevel="0" collapsed="false">
      <c r="A17" s="0" t="s">
        <v>411</v>
      </c>
      <c r="B17" s="0" t="s">
        <v>11620</v>
      </c>
      <c r="C17" s="0" t="s">
        <v>11621</v>
      </c>
    </row>
    <row r="18" customFormat="false" ht="17.15" hidden="false" customHeight="false" outlineLevel="0" collapsed="false">
      <c r="A18" s="0" t="s">
        <v>147</v>
      </c>
      <c r="B18" s="0" t="s">
        <v>11622</v>
      </c>
      <c r="C18" s="0" t="s">
        <v>11623</v>
      </c>
    </row>
    <row r="19" customFormat="false" ht="17.15" hidden="false" customHeight="false" outlineLevel="0" collapsed="false">
      <c r="A19" s="0" t="s">
        <v>415</v>
      </c>
      <c r="B19" s="0" t="s">
        <v>11624</v>
      </c>
      <c r="C19" s="0" t="s">
        <v>11625</v>
      </c>
    </row>
    <row r="20" customFormat="false" ht="17.15" hidden="false" customHeight="false" outlineLevel="0" collapsed="false">
      <c r="A20" s="0" t="s">
        <v>302</v>
      </c>
      <c r="B20" s="0" t="s">
        <v>11626</v>
      </c>
      <c r="C20" s="0" t="s">
        <v>11627</v>
      </c>
    </row>
    <row r="21" customFormat="false" ht="17.15" hidden="false" customHeight="false" outlineLevel="0" collapsed="false">
      <c r="A21" s="0" t="s">
        <v>197</v>
      </c>
      <c r="B21" s="0" t="s">
        <v>11628</v>
      </c>
      <c r="C21" s="0" t="s">
        <v>11629</v>
      </c>
    </row>
    <row r="22" customFormat="false" ht="17.15" hidden="false" customHeight="false" outlineLevel="0" collapsed="false">
      <c r="A22" s="0" t="s">
        <v>305</v>
      </c>
      <c r="B22" s="0" t="s">
        <v>11630</v>
      </c>
      <c r="C22" s="0" t="s">
        <v>11631</v>
      </c>
    </row>
    <row r="23" customFormat="false" ht="17.15" hidden="false" customHeight="false" outlineLevel="0" collapsed="false">
      <c r="A23" s="0" t="s">
        <v>11632</v>
      </c>
      <c r="B23" s="0" t="s">
        <v>11633</v>
      </c>
      <c r="C23" s="0" t="s">
        <v>11634</v>
      </c>
    </row>
    <row r="24" customFormat="false" ht="17.15" hidden="false" customHeight="false" outlineLevel="0" collapsed="false">
      <c r="A24" s="0" t="s">
        <v>11635</v>
      </c>
      <c r="B24" s="0" t="s">
        <v>11636</v>
      </c>
      <c r="C24" s="0" t="s">
        <v>11637</v>
      </c>
    </row>
    <row r="25" customFormat="false" ht="17.15" hidden="false" customHeight="false" outlineLevel="0" collapsed="false">
      <c r="A25" s="0" t="s">
        <v>490</v>
      </c>
      <c r="B25" s="0" t="s">
        <v>11638</v>
      </c>
      <c r="C25" s="5" t="s">
        <v>11639</v>
      </c>
    </row>
    <row r="26" customFormat="false" ht="17.15" hidden="false" customHeight="false" outlineLevel="0" collapsed="false">
      <c r="A26" s="0" t="s">
        <v>11640</v>
      </c>
      <c r="B26" s="0" t="s">
        <v>11641</v>
      </c>
      <c r="C26" s="0" t="s">
        <v>11642</v>
      </c>
    </row>
    <row r="27" customFormat="false" ht="17.15" hidden="false" customHeight="false" outlineLevel="0" collapsed="false">
      <c r="A27" s="0" t="s">
        <v>193</v>
      </c>
      <c r="B27" s="0" t="s">
        <v>11643</v>
      </c>
      <c r="C27" s="0" t="s">
        <v>11644</v>
      </c>
    </row>
    <row r="28" customFormat="false" ht="17.15" hidden="false" customHeight="false" outlineLevel="0" collapsed="false">
      <c r="A28" s="0" t="s">
        <v>83</v>
      </c>
      <c r="B28" s="0" t="s">
        <v>11645</v>
      </c>
      <c r="C28" s="0" t="s">
        <v>11646</v>
      </c>
    </row>
    <row r="29" customFormat="false" ht="17.15" hidden="false" customHeight="false" outlineLevel="0" collapsed="false">
      <c r="A29" s="0" t="s">
        <v>96</v>
      </c>
      <c r="B29" s="0" t="s">
        <v>11647</v>
      </c>
      <c r="C29" s="0" t="s">
        <v>11648</v>
      </c>
    </row>
    <row r="30" customFormat="false" ht="17.15" hidden="false" customHeight="false" outlineLevel="0" collapsed="false">
      <c r="A30" s="0" t="s">
        <v>48</v>
      </c>
      <c r="B30" s="0" t="s">
        <v>11649</v>
      </c>
      <c r="C30" s="0" t="s">
        <v>11650</v>
      </c>
    </row>
    <row r="31" customFormat="false" ht="17.15" hidden="false" customHeight="false" outlineLevel="0" collapsed="false">
      <c r="A31" s="0" t="s">
        <v>377</v>
      </c>
      <c r="B31" s="0" t="s">
        <v>11651</v>
      </c>
      <c r="C31" s="0" t="s">
        <v>11652</v>
      </c>
    </row>
    <row r="32" customFormat="false" ht="17.15" hidden="false" customHeight="false" outlineLevel="0" collapsed="false">
      <c r="A32" s="0" t="s">
        <v>168</v>
      </c>
      <c r="B32" s="0" t="s">
        <v>11653</v>
      </c>
      <c r="C32" s="0" t="s">
        <v>11654</v>
      </c>
    </row>
    <row r="33" customFormat="false" ht="17.15" hidden="false" customHeight="false" outlineLevel="0" collapsed="false">
      <c r="A33" s="0" t="s">
        <v>11655</v>
      </c>
      <c r="B33" s="0" t="s">
        <v>11656</v>
      </c>
      <c r="C33" s="0" t="s">
        <v>11657</v>
      </c>
    </row>
    <row r="34" customFormat="false" ht="17.15" hidden="false" customHeight="false" outlineLevel="0" collapsed="false">
      <c r="A34" s="0" t="s">
        <v>231</v>
      </c>
      <c r="B34" s="0" t="s">
        <v>11658</v>
      </c>
      <c r="C34" s="0" t="s">
        <v>11659</v>
      </c>
    </row>
    <row r="35" customFormat="false" ht="17.15" hidden="false" customHeight="false" outlineLevel="0" collapsed="false">
      <c r="A35" s="0" t="s">
        <v>235</v>
      </c>
      <c r="B35" s="0" t="s">
        <v>11660</v>
      </c>
      <c r="C35" s="0" t="s">
        <v>11661</v>
      </c>
    </row>
    <row r="36" customFormat="false" ht="17.15" hidden="false" customHeight="false" outlineLevel="0" collapsed="false">
      <c r="A36" s="0" t="s">
        <v>11662</v>
      </c>
      <c r="B36" s="0" t="s">
        <v>11663</v>
      </c>
      <c r="C36" s="0" t="s">
        <v>11664</v>
      </c>
    </row>
    <row r="37" customFormat="false" ht="17.15" hidden="false" customHeight="false" outlineLevel="0" collapsed="false">
      <c r="A37" s="0" t="s">
        <v>915</v>
      </c>
      <c r="B37" s="0" t="s">
        <v>11665</v>
      </c>
      <c r="C37" s="0" t="s">
        <v>11666</v>
      </c>
    </row>
    <row r="38" customFormat="false" ht="17.15" hidden="false" customHeight="false" outlineLevel="0" collapsed="false">
      <c r="A38" s="0" t="s">
        <v>11667</v>
      </c>
      <c r="B38" s="0" t="s">
        <v>11668</v>
      </c>
      <c r="C38" s="0" t="s">
        <v>11669</v>
      </c>
    </row>
    <row r="39" customFormat="false" ht="17.15" hidden="false" customHeight="false" outlineLevel="0" collapsed="false">
      <c r="A39" s="0" t="s">
        <v>968</v>
      </c>
      <c r="B39" s="0" t="s">
        <v>11670</v>
      </c>
      <c r="C39" s="0" t="s">
        <v>11671</v>
      </c>
    </row>
    <row r="40" customFormat="false" ht="17.15" hidden="false" customHeight="false" outlineLevel="0" collapsed="false">
      <c r="A40" s="0" t="s">
        <v>11672</v>
      </c>
      <c r="B40" s="0" t="s">
        <v>11673</v>
      </c>
      <c r="C40" s="0" t="s">
        <v>11674</v>
      </c>
    </row>
    <row r="41" customFormat="false" ht="17.15" hidden="false" customHeight="false" outlineLevel="0" collapsed="false">
      <c r="A41" s="0" t="s">
        <v>999</v>
      </c>
      <c r="B41" s="0" t="s">
        <v>11675</v>
      </c>
      <c r="C41" s="0" t="s">
        <v>11676</v>
      </c>
    </row>
    <row r="42" customFormat="false" ht="17.15" hidden="false" customHeight="false" outlineLevel="0" collapsed="false">
      <c r="A42" s="0" t="s">
        <v>11677</v>
      </c>
      <c r="B42" s="0" t="s">
        <v>11678</v>
      </c>
      <c r="C42" s="0" t="s">
        <v>11679</v>
      </c>
    </row>
    <row r="43" customFormat="false" ht="17.15" hidden="false" customHeight="false" outlineLevel="0" collapsed="false">
      <c r="A43" s="0" t="s">
        <v>1081</v>
      </c>
      <c r="B43" s="0" t="s">
        <v>11680</v>
      </c>
      <c r="C43" s="0" t="s">
        <v>11681</v>
      </c>
    </row>
    <row r="44" customFormat="false" ht="17.15" hidden="false" customHeight="false" outlineLevel="0" collapsed="false">
      <c r="A44" s="0" t="s">
        <v>11682</v>
      </c>
      <c r="B44" s="0" t="s">
        <v>11683</v>
      </c>
      <c r="C44" s="0" t="s">
        <v>11684</v>
      </c>
    </row>
    <row r="45" customFormat="false" ht="17.15" hidden="false" customHeight="false" outlineLevel="0" collapsed="false">
      <c r="A45" s="0" t="s">
        <v>507</v>
      </c>
      <c r="B45" s="0" t="s">
        <v>11685</v>
      </c>
      <c r="C45" s="0" t="s">
        <v>11686</v>
      </c>
    </row>
    <row r="46" customFormat="false" ht="17.15" hidden="false" customHeight="false" outlineLevel="0" collapsed="false">
      <c r="A46" s="0" t="s">
        <v>527</v>
      </c>
      <c r="B46" s="0" t="s">
        <v>11687</v>
      </c>
      <c r="C46" s="0" t="s">
        <v>11688</v>
      </c>
    </row>
    <row r="47" customFormat="false" ht="17.15" hidden="false" customHeight="false" outlineLevel="0" collapsed="false">
      <c r="A47" s="0" t="s">
        <v>546</v>
      </c>
      <c r="B47" s="0" t="s">
        <v>11689</v>
      </c>
      <c r="C47" s="0" t="s">
        <v>11690</v>
      </c>
    </row>
    <row r="48" customFormat="false" ht="17.15" hidden="false" customHeight="false" outlineLevel="0" collapsed="false">
      <c r="A48" s="0" t="s">
        <v>565</v>
      </c>
      <c r="B48" s="0" t="s">
        <v>11691</v>
      </c>
      <c r="C48" s="0" t="s">
        <v>11692</v>
      </c>
    </row>
    <row r="49" customFormat="false" ht="17.15" hidden="false" customHeight="false" outlineLevel="0" collapsed="false">
      <c r="A49" s="0" t="s">
        <v>584</v>
      </c>
      <c r="B49" s="0" t="s">
        <v>11693</v>
      </c>
      <c r="C49" s="0" t="s">
        <v>11694</v>
      </c>
    </row>
    <row r="50" customFormat="false" ht="17.15" hidden="false" customHeight="false" outlineLevel="0" collapsed="false">
      <c r="A50" s="0" t="s">
        <v>604</v>
      </c>
      <c r="B50" s="0" t="s">
        <v>11695</v>
      </c>
      <c r="C50" s="0" t="s">
        <v>11696</v>
      </c>
    </row>
    <row r="51" customFormat="false" ht="17.15" hidden="false" customHeight="false" outlineLevel="0" collapsed="false">
      <c r="A51" s="0" t="s">
        <v>623</v>
      </c>
      <c r="B51" s="0" t="s">
        <v>11697</v>
      </c>
      <c r="C51" s="0" t="s">
        <v>11698</v>
      </c>
    </row>
    <row r="52" customFormat="false" ht="17.15" hidden="false" customHeight="false" outlineLevel="0" collapsed="false">
      <c r="A52" s="0" t="s">
        <v>643</v>
      </c>
      <c r="B52" s="0" t="s">
        <v>11699</v>
      </c>
      <c r="C52" s="0" t="s">
        <v>11700</v>
      </c>
    </row>
    <row r="53" customFormat="false" ht="17.15" hidden="false" customHeight="false" outlineLevel="0" collapsed="false">
      <c r="A53" s="0" t="s">
        <v>663</v>
      </c>
      <c r="B53" s="0" t="s">
        <v>11701</v>
      </c>
      <c r="C53" s="0" t="s">
        <v>11702</v>
      </c>
    </row>
    <row r="54" customFormat="false" ht="17.15" hidden="false" customHeight="false" outlineLevel="0" collapsed="false">
      <c r="A54" s="0" t="s">
        <v>683</v>
      </c>
      <c r="B54" s="0" t="s">
        <v>11703</v>
      </c>
      <c r="C54" s="0" t="s">
        <v>11704</v>
      </c>
    </row>
    <row r="55" customFormat="false" ht="17.15" hidden="false" customHeight="false" outlineLevel="0" collapsed="false">
      <c r="A55" s="0" t="s">
        <v>703</v>
      </c>
      <c r="B55" s="0" t="s">
        <v>11705</v>
      </c>
      <c r="C55" s="0" t="s">
        <v>11706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11707</v>
      </c>
    </row>
    <row r="3" customFormat="false" ht="15" hidden="false" customHeight="false" outlineLevel="0" collapsed="false">
      <c r="A3" s="7" t="s">
        <v>2091</v>
      </c>
      <c r="B3" s="6" t="s">
        <v>11708</v>
      </c>
      <c r="C3" s="6" t="s">
        <v>11709</v>
      </c>
      <c r="D3" s="6" t="s">
        <v>11710</v>
      </c>
      <c r="E3" s="6" t="s">
        <v>6920</v>
      </c>
    </row>
    <row r="4" customFormat="false" ht="48.5" hidden="false" customHeight="false" outlineLevel="0" collapsed="false">
      <c r="A4" s="3" t="s">
        <v>11711</v>
      </c>
      <c r="B4" s="3" t="s">
        <v>11712</v>
      </c>
      <c r="C4" s="2" t="s">
        <v>11713</v>
      </c>
      <c r="D4" s="2" t="s">
        <v>11714</v>
      </c>
      <c r="E4" s="2" t="s">
        <v>11715</v>
      </c>
    </row>
    <row r="5" customFormat="false" ht="17.15" hidden="false" customHeight="false" outlineLevel="0" collapsed="false">
      <c r="A5" s="3" t="s">
        <v>11716</v>
      </c>
      <c r="B5" s="3" t="s">
        <v>11717</v>
      </c>
      <c r="C5" s="3" t="s">
        <v>11718</v>
      </c>
      <c r="D5" s="2" t="s">
        <v>11719</v>
      </c>
      <c r="E5" s="2" t="s">
        <v>11720</v>
      </c>
    </row>
    <row r="6" customFormat="false" ht="17.15" hidden="false" customHeight="false" outlineLevel="0" collapsed="false">
      <c r="A6" s="3" t="s">
        <v>11721</v>
      </c>
      <c r="B6" s="3" t="s">
        <v>11712</v>
      </c>
      <c r="C6" s="3" t="s">
        <v>11722</v>
      </c>
      <c r="D6" s="2" t="s">
        <v>11723</v>
      </c>
      <c r="E6" s="3" t="s">
        <v>11724</v>
      </c>
    </row>
    <row r="7" customFormat="false" ht="48.5" hidden="false" customHeight="false" outlineLevel="0" collapsed="false">
      <c r="A7" s="3" t="s">
        <v>11725</v>
      </c>
      <c r="B7" s="2" t="s">
        <v>11726</v>
      </c>
      <c r="C7" s="2" t="s">
        <v>11727</v>
      </c>
      <c r="D7" s="3" t="s">
        <v>11728</v>
      </c>
      <c r="E7" s="3" t="s">
        <v>11724</v>
      </c>
    </row>
    <row r="8" customFormat="false" ht="17.15" hidden="false" customHeight="false" outlineLevel="0" collapsed="false">
      <c r="A8" s="3" t="s">
        <v>11729</v>
      </c>
      <c r="B8" s="3" t="s">
        <v>11712</v>
      </c>
      <c r="C8" s="2" t="s">
        <v>11730</v>
      </c>
      <c r="D8" s="3" t="s">
        <v>11731</v>
      </c>
      <c r="E8" s="2" t="s">
        <v>11732</v>
      </c>
    </row>
    <row r="9" customFormat="false" ht="32.8" hidden="false" customHeight="false" outlineLevel="0" collapsed="false">
      <c r="A9" s="3" t="s">
        <v>11733</v>
      </c>
      <c r="B9" s="3" t="s">
        <v>11712</v>
      </c>
      <c r="C9" s="2" t="s">
        <v>11734</v>
      </c>
      <c r="D9" s="3" t="s">
        <v>11735</v>
      </c>
      <c r="E9" s="2" t="s">
        <v>11732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2026-10-31T05:05:12Z</dcterms:created>
  <dc:creator>openpyxl</dc:creator>
  <dc:description/>
  <dc:language>en-US</dc:language>
  <cp:lastModifiedBy/>
  <dcterms:modified xsi:type="dcterms:W3CDTF">2026-10-31T05:05:13Z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