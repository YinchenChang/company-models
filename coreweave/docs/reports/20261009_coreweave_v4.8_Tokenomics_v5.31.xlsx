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每MW_前後" sheetId="2" state="visible" r:id="rId4"/>
    <sheet name="IT維護機齡" sheetId="3" state="visible" r:id="rId5"/>
    <sheet name="公司實況驗證_v4.7" sheetId="4" state="visible" r:id="rId6"/>
    <sheet name="公司實況驗證_v4.8" sheetId="5" state="visible" r:id="rId7"/>
    <sheet name="Tokenomics前後" sheetId="6" state="visible" r:id="rId8"/>
    <sheet name="敏感度" sheetId="7" state="visible" r:id="rId9"/>
    <sheet name="變動拆解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<sst xmlns="http://schemas.openxmlformats.org/spreadsheetml/2006/main" count="1978" uniqueCount="317">
  <si>
    <r>
      <rPr>
        <b val="true"/>
        <sz val="13"/>
        <rFont val="Cambria"/>
        <family val="0"/>
        <charset val="1"/>
      </rPr>
      <t xml:space="preserve">CoreWeave v4.7 → v4.8</t>
    </r>
    <r>
      <rPr>
        <b val="true"/>
        <sz val="13"/>
        <rFont val="Noto Sans CJK SC"/>
        <family val="2"/>
      </rPr>
      <t xml:space="preserve">（接 </t>
    </r>
    <r>
      <rPr>
        <b val="true"/>
        <sz val="13"/>
        <rFont val="Cambria"/>
        <family val="0"/>
        <charset val="1"/>
      </rPr>
      <t xml:space="preserve">Tokenomics v5.31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機架價格、</t>
    </r>
    <r>
      <rPr>
        <b val="true"/>
        <sz val="13"/>
        <rFont val="Cambria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維護機齡兩段）</t>
    </r>
  </si>
  <si>
    <r>
      <rPr>
        <sz val="9"/>
        <color rgb="FF555555"/>
        <rFont val="Noto Sans CJK SC"/>
        <family val="2"/>
      </rPr>
      <t xml:space="preserve">收入口徑（</t>
    </r>
    <r>
      <rPr>
        <sz val="9"/>
        <color rgb="FF555555"/>
        <rFont val="Cambria"/>
        <family val="0"/>
        <charset val="1"/>
      </rPr>
      <t xml:space="preserve">k</t>
    </r>
    <r>
      <rPr>
        <sz val="9"/>
        <color rgb="FF555555"/>
        <rFont val="Noto Sans CJK SC"/>
        <family val="2"/>
      </rPr>
      <t xml:space="preserve">、隨需比例）不動；</t>
    </r>
    <r>
      <rPr>
        <sz val="9"/>
        <color rgb="FF555555"/>
        <rFont val="Cambria"/>
        <family val="0"/>
        <charset val="1"/>
      </rPr>
      <t xml:space="preserve">MW </t>
    </r>
    <r>
      <rPr>
        <sz val="9"/>
        <color rgb="FF555555"/>
        <rFont val="Noto Sans CJK SC"/>
        <family val="2"/>
      </rPr>
      <t xml:space="preserve">口徑查證後維持 </t>
    </r>
    <r>
      <rPr>
        <sz val="9"/>
        <color rgb="FF555555"/>
        <rFont val="Cambria"/>
        <family val="0"/>
        <charset val="1"/>
      </rPr>
      <t xml:space="preserve">IT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Cambria"/>
        <family val="0"/>
        <charset val="1"/>
      </rPr>
      <t xml:space="preserve">10-K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Cambria"/>
        <family val="0"/>
        <charset val="1"/>
      </rPr>
      <t xml:space="preserve">10-Q </t>
    </r>
    <r>
      <rPr>
        <sz val="9"/>
        <color rgb="FF555555"/>
        <rFont val="Noto Sans CJK SC"/>
        <family val="2"/>
      </rPr>
      <t xml:space="preserve">無原文定義）</t>
    </r>
  </si>
  <si>
    <t xml:space="preserve">情境</t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</si>
  <si>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</si>
  <si>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Cambria"/>
        <family val="0"/>
        <charset val="1"/>
      </rPr>
      <t xml:space="preserve">v4.8 </t>
    </r>
    <r>
      <rPr>
        <b val="true"/>
        <sz val="11"/>
        <color rgb="FFFFFFFF"/>
        <rFont val="Noto Sans CJK SC"/>
        <family val="2"/>
      </rPr>
      <t xml:space="preserve">目標價</t>
    </r>
  </si>
  <si>
    <t xml:space="preserve">變動</t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</si>
  <si>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評等</t>
    </r>
  </si>
  <si>
    <r>
      <rPr>
        <b val="true"/>
        <sz val="11"/>
        <color rgb="FFFFFFFF"/>
        <rFont val="Cambria"/>
        <family val="0"/>
        <charset val="1"/>
      </rPr>
      <t xml:space="preserve">v4.8 </t>
    </r>
    <r>
      <rPr>
        <b val="true"/>
        <sz val="11"/>
        <color rgb="FFFFFFFF"/>
        <rFont val="Noto Sans CJK SC"/>
        <family val="2"/>
      </rPr>
      <t xml:space="preserve">評等</t>
    </r>
  </si>
  <si>
    <r>
      <rPr>
        <b val="true"/>
        <sz val="11"/>
        <color rgb="FFFFFFFF"/>
        <rFont val="Cambria"/>
        <family val="0"/>
        <charset val="1"/>
      </rPr>
      <t xml:space="preserve">v4.7 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</si>
  <si>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b val="true"/>
        <sz val="11"/>
        <color rgb="FFFFFFFF"/>
        <rFont val="Cambria"/>
        <family val="0"/>
        <charset val="1"/>
      </rPr>
      <t xml:space="preserve">v4.8 </t>
    </r>
    <r>
      <rPr>
        <b val="true"/>
        <sz val="11"/>
        <color rgb="FFFFFFFF"/>
        <rFont val="Noto Sans CJK SC"/>
        <family val="2"/>
      </rPr>
      <t xml:space="preserve">融資缺口</t>
    </r>
  </si>
  <si>
    <t xml:space="preserve">缺口變動</t>
  </si>
  <si>
    <r>
      <rPr>
        <sz val="11"/>
        <color theme="1"/>
        <rFont val="Noto Sans CJK SC"/>
        <family val="2"/>
      </rPr>
      <t xml:space="preserve">保守 </t>
    </r>
    <r>
      <rPr>
        <sz val="11"/>
        <color theme="1"/>
        <rFont val="Calibri"/>
        <family val="2"/>
        <charset val="1"/>
      </rPr>
      <t xml:space="preserve">4.2 GW</t>
    </r>
  </si>
  <si>
    <t xml:space="preserve">賣出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</si>
  <si>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5.6 GW</t>
    </r>
  </si>
  <si>
    <r>
      <rPr>
        <sz val="11"/>
        <color theme="1"/>
        <rFont val="Noto Sans CJK SC"/>
        <family val="2"/>
      </rPr>
      <t xml:space="preserve">積極 </t>
    </r>
    <r>
      <rPr>
        <sz val="11"/>
        <color theme="1"/>
        <rFont val="Calibri"/>
        <family val="2"/>
        <charset val="1"/>
      </rPr>
      <t xml:space="preserve">8 GW</t>
    </r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</si>
  <si>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Cambria"/>
        <family val="0"/>
        <charset val="1"/>
      </rPr>
      <t xml:space="preserve">MW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US$m</t>
    </r>
    <r>
      <rPr>
        <b val="true"/>
        <sz val="13"/>
        <rFont val="Noto Sans CJK SC"/>
        <family val="2"/>
      </rPr>
      <t xml:space="preserve">／平均在役 </t>
    </r>
    <r>
      <rPr>
        <b val="true"/>
        <sz val="13"/>
        <rFont val="Cambria"/>
        <family val="0"/>
        <charset val="1"/>
      </rPr>
      <t xml:space="preserve">MW</t>
    </r>
    <r>
      <rPr>
        <b val="true"/>
        <sz val="13"/>
        <rFont val="Noto Sans CJK SC"/>
        <family val="2"/>
      </rPr>
      <t xml:space="preserve">／年）：</t>
    </r>
    <r>
      <rPr>
        <b val="true"/>
        <sz val="13"/>
        <rFont val="Cambria"/>
        <family val="0"/>
        <charset val="1"/>
      </rPr>
      <t xml:space="preserve">v4.7 → v4.8</t>
    </r>
    <r>
      <rPr>
        <b val="true"/>
        <sz val="13"/>
        <rFont val="Noto Sans CJK SC"/>
        <family val="2"/>
      </rPr>
      <t xml:space="preserve">，三情境</t>
    </r>
  </si>
  <si>
    <t xml:space="preserve">項目</t>
  </si>
  <si>
    <t xml:space="preserve">版本</t>
  </si>
  <si>
    <r>
      <rPr>
        <b val="true"/>
        <sz val="11"/>
        <color rgb="FFFFFFFF"/>
        <rFont val="Cambria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Cambria"/>
        <family val="0"/>
        <charset val="1"/>
      </rPr>
      <t xml:space="preserve">2H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</si>
  <si>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FY27</t>
  </si>
  <si>
    <t xml:space="preserve">FY28</t>
  </si>
  <si>
    <t xml:space="preserve">FY29</t>
  </si>
  <si>
    <t xml:space="preserve">FY30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</si>
  <si>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年收入（算力＋服務）</t>
    </r>
  </si>
  <si>
    <t xml:space="preserve">v4.7</t>
  </si>
  <si>
    <t xml:space="preserve">v4.8</t>
  </si>
  <si>
    <t xml:space="preserve">電費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</si>
  <si>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</si>
  <si>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</si>
  <si>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</si>
  <si>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</si>
  <si>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</si>
  <si>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</si>
  <si>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t xml:space="preserve">EBITDA</t>
  </si>
  <si>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（模型車隊折舊）</t>
    </r>
  </si>
  <si>
    <t xml:space="preserve">利息</t>
  </si>
  <si>
    <t xml:space="preserve">稅前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</si>
  <si>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資本支出（新增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的建置成本）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</si>
  <si>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率（模型採用）</t>
    </r>
  </si>
  <si>
    <r>
      <rPr>
        <b val="true"/>
        <sz val="13"/>
        <rFont val="Cambria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維護依機齡兩段（</t>
    </r>
    <r>
      <rPr>
        <b val="true"/>
        <sz val="13"/>
        <rFont val="Cambria"/>
        <family val="0"/>
        <charset val="1"/>
      </rPr>
      <t xml:space="preserve">v4.8</t>
    </r>
    <r>
      <rPr>
        <b val="true"/>
        <sz val="13"/>
        <rFont val="Noto Sans CJK SC"/>
        <family val="2"/>
      </rPr>
      <t xml:space="preserve">，三情境；</t>
    </r>
    <r>
      <rPr>
        <b val="true"/>
        <sz val="13"/>
        <rFont val="Cambria"/>
        <family val="0"/>
        <charset val="1"/>
      </rPr>
      <t xml:space="preserve">v4.7 </t>
    </r>
    <r>
      <rPr>
        <b val="true"/>
        <sz val="13"/>
        <rFont val="Noto Sans CJK SC"/>
        <family val="2"/>
      </rPr>
      <t xml:space="preserve">為等值費率 </t>
    </r>
    <r>
      <rPr>
        <b val="true"/>
        <sz val="13"/>
        <rFont val="Cambria"/>
        <family val="0"/>
        <charset val="1"/>
      </rPr>
      <t xml:space="preserve">IF_MaintIT v5.27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</si>
  <si>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維護（世代加權）</t>
    </r>
  </si>
  <si>
    <r>
      <rPr>
        <sz val="11"/>
        <color theme="1"/>
        <rFont val="Noto Sans CJK SC"/>
        <family val="2"/>
      </rPr>
      <t xml:space="preserve">保固期內占比（平均在役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</si>
  <si>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維護｜保固期內部分（</t>
    </r>
    <r>
      <rPr>
        <sz val="11"/>
        <color theme="1"/>
        <rFont val="Calibri"/>
        <family val="2"/>
        <charset val="1"/>
      </rPr>
      <t xml:space="preserve">IF_MaintITWarr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</si>
  <si>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維護｜保固期滿部分（</t>
    </r>
    <r>
      <rPr>
        <sz val="11"/>
        <color theme="1"/>
        <rFont val="Calibri"/>
        <family val="2"/>
        <charset val="1"/>
      </rPr>
      <t xml:space="preserve">IF_MaintITPost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</si>
  <si>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維護｜等值費率 </t>
    </r>
    <r>
      <rPr>
        <sz val="11"/>
        <color theme="1"/>
        <rFont val="Calibri"/>
        <family val="2"/>
        <charset val="1"/>
      </rPr>
      <t xml:space="preserve">IF_MaintIT</t>
    </r>
    <r>
      <rPr>
        <sz val="11"/>
        <color theme="1"/>
        <rFont val="Noto Sans CJK SC"/>
        <family val="2"/>
      </rPr>
      <t xml:space="preserve">（對照，不入損益）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</si>
  <si>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經濟持有成本（不賠錢下限）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</si>
  <si>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（既有占比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既有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既有占比）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新約）</t>
    </r>
  </si>
  <si>
    <r>
      <rPr>
        <b val="true"/>
        <sz val="13"/>
        <rFont val="Noto Sans CJK SC"/>
        <family val="2"/>
      </rPr>
      <t xml:space="preserve">公司實況驗證（</t>
    </r>
    <r>
      <rPr>
        <b val="true"/>
        <sz val="13"/>
        <rFont val="Cambria"/>
        <family val="0"/>
        <charset val="1"/>
      </rPr>
      <t xml:space="preserve">v4.7 Excel</t>
    </r>
    <r>
      <rPr>
        <b val="true"/>
        <sz val="13"/>
        <rFont val="Noto Sans CJK SC"/>
        <family val="2"/>
      </rPr>
      <t xml:space="preserve">「公司實況驗證」頁讀值；基準情境）</t>
    </r>
  </si>
  <si>
    <t xml:space="preserve">參數</t>
  </si>
  <si>
    <t xml:space="preserve">單位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</si>
  <si>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</si>
  <si>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Cambria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</si>
  <si>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</si>
  <si>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</si>
  <si>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</si>
  <si>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</si>
  <si>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Cambria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實際與標記</t>
    </r>
  </si>
  <si>
    <t xml:space="preserve">差距原因（機制與證據）</t>
  </si>
  <si>
    <t xml:space="preserve">公司調整</t>
  </si>
  <si>
    <t xml:space="preserve">證據</t>
  </si>
  <si>
    <r>
      <rPr>
        <sz val="11"/>
        <color theme="1"/>
        <rFont val="Noto Sans CJK SC"/>
        <family val="2"/>
      </rPr>
      <t xml:space="preserve">▸ 驗證用輸入（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實際數；</t>
    </r>
    <r>
      <rPr>
        <sz val="11"/>
        <color theme="1"/>
        <rFont val="Calibri"/>
        <family val="2"/>
        <charset val="1"/>
      </rPr>
      <t xml:space="preserve">company.json → companyAdjust.capexActual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latestQuarter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</si>
  <si>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資本支出</t>
    </r>
  </si>
  <si>
    <t xml:space="preserve">US$bn</t>
  </si>
  <si>
    <t xml:space="preserve">latestQuarter.capexH1 [Verified]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</si>
  <si>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期初主動電力</t>
    </r>
  </si>
  <si>
    <t xml:space="preserve">MW</t>
  </si>
  <si>
    <r>
      <rPr>
        <sz val="11"/>
        <color theme="1"/>
        <rFont val="Calibri"/>
        <family val="2"/>
        <charset val="1"/>
      </rPr>
      <t xml:space="preserve">10-Q Q2 2026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毛額：技術設備、資料中心設備與租賃改良、在建工程；</t>
    </r>
    <r>
      <rPr>
        <sz val="11"/>
        <color theme="1"/>
        <rFont val="Calibri"/>
        <family val="2"/>
        <charset val="1"/>
      </rPr>
      <t xml:space="preserve">2025-12-31 → 2026-06-30</t>
    </r>
    <r>
      <rPr>
        <sz val="11"/>
        <color theme="1"/>
        <rFont val="Noto Sans CJK SC"/>
        <family val="2"/>
      </rPr>
      <t xml:space="preserve">）；新增主動電力 </t>
    </r>
    <r>
      <rPr>
        <sz val="11"/>
        <color theme="1"/>
        <rFont val="Calibri"/>
        <family val="2"/>
        <charset val="1"/>
      </rPr>
      <t xml:space="preserve">850 → 1,500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／法說）；資本支出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latestQuarter.capexH1 [Verified]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</si>
  <si>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期末主動電力</t>
    </r>
  </si>
  <si>
    <t xml:space="preserve">同上</t>
  </si>
  <si>
    <r>
      <rPr>
        <sz val="11"/>
        <color theme="1"/>
        <rFont val="Noto Sans CJK SC"/>
        <family val="2"/>
      </rPr>
      <t xml:space="preserve">技術設備毛額（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期初）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</si>
  <si>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 [Verified]</t>
    </r>
  </si>
  <si>
    <r>
      <rPr>
        <sz val="11"/>
        <color theme="1"/>
        <rFont val="Noto Sans CJK SC"/>
        <family val="2"/>
      </rPr>
      <t xml:space="preserve">技術設備毛額（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期末）</t>
    </r>
  </si>
  <si>
    <r>
      <rPr>
        <sz val="11"/>
        <color theme="1"/>
        <rFont val="Noto Sans CJK SC"/>
        <family val="2"/>
      </rPr>
      <t xml:space="preserve">最近一季調整後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</si>
  <si>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latestQuarter.adjEbitda</t>
    </r>
    <r>
      <rPr>
        <sz val="11"/>
        <color theme="1"/>
        <rFont val="Noto Sans CJK SC"/>
        <family val="2"/>
      </rPr>
      <t xml:space="preserve">（公司公布）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</si>
  <si>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技術設備折舊年限</t>
    </r>
  </si>
  <si>
    <t xml:space="preserve">年</t>
  </si>
  <si>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會計政策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</si>
  <si>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▸ 參數驗證（模型首期；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主值為目前成本情境）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</si>
  <si>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｜既有合約（最新季末在役）</t>
    </r>
  </si>
  <si>
    <t xml:space="preserve">倍</t>
  </si>
  <si>
    <t xml:space="preserve">4a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</si>
  <si>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W4 </t>
    </r>
    <r>
      <rPr>
        <sz val="11"/>
        <color theme="1"/>
        <rFont val="Noto Sans CJK SC"/>
        <family val="2"/>
      </rPr>
      <t xml:space="preserve">市場長約證據；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錨的公司因素）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</si>
  <si>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實現單價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2.575</t>
    </r>
    <r>
      <rPr>
        <sz val="11"/>
        <color theme="1"/>
        <rFont val="Noto Sans CJK SC"/>
        <family val="2"/>
      </rPr>
      <t xml:space="preserve">；季末在役 </t>
    </r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Billable 1,350 MW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</si>
  <si>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既有合約在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前已簽訂、合約期內價格固定（已承諾合約加權平均約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已實現單價是這批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的直接證據（工作單 </t>
    </r>
    <r>
      <rPr>
        <sz val="11"/>
        <color theme="1"/>
        <rFont val="Calibri"/>
        <family val="2"/>
        <charset val="1"/>
      </rPr>
      <t xml:space="preserve">W5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4(a) </t>
    </r>
    <r>
      <rPr>
        <sz val="11"/>
        <color theme="1"/>
        <rFont val="Noto Sans CJK SC"/>
        <family val="2"/>
      </rPr>
      <t xml:space="preserve">項）</t>
    </r>
  </si>
  <si>
    <r>
      <rPr>
        <sz val="11"/>
        <color theme="1"/>
        <rFont val="Noto Sans CJK SC"/>
        <family val="2"/>
      </rPr>
      <t xml:space="preserve">既有合約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，汰換由最舊世代先出）按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既有；該批汰換後回到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新約</t>
    </r>
  </si>
  <si>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</si>
  <si>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｜新合約（季末後新增與汰換補回）</t>
    </r>
  </si>
  <si>
    <t xml:space="preserve">不適用</t>
  </si>
  <si>
    <t xml:space="preserve">3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</si>
  <si>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</si>
  <si>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未揭露新長約每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價格（找不到）；公司說法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月各 </t>
    </r>
    <r>
      <rPr>
        <sz val="11"/>
        <color theme="1"/>
        <rFont val="Calibri"/>
        <family val="2"/>
        <charset val="1"/>
      </rPr>
      <t xml:space="preserve">SKU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（轉述）；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個月合約約 </t>
    </r>
    <r>
      <rPr>
        <sz val="11"/>
        <color theme="1"/>
        <rFont val="Calibri"/>
        <family val="2"/>
        <charset val="1"/>
      </rPr>
      <t xml:space="preserve">$40m/MW </t>
    </r>
    <r>
      <rPr>
        <sz val="11"/>
        <color theme="1"/>
        <rFont val="Noto Sans CJK SC"/>
        <family val="2"/>
      </rPr>
      <t xml:space="preserve">年化（新聞稿） </t>
    </r>
    <r>
      <rPr>
        <sz val="11"/>
        <color theme="1"/>
        <rFont val="Calibri"/>
        <family val="2"/>
        <charset val="1"/>
      </rPr>
      <t xml:space="preserve">[Interested-party]</t>
    </r>
  </si>
  <si>
    <r>
      <rPr>
        <sz val="11"/>
        <color theme="1"/>
        <rFont val="Noto Sans CJK SC"/>
        <family val="2"/>
      </rPr>
      <t xml:space="preserve">找不到可換算的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新長約金額與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只有轉述來源、基期不明；</t>
    </r>
    <r>
      <rPr>
        <sz val="11"/>
        <color theme="1"/>
        <rFont val="Calibri"/>
        <family val="2"/>
        <charset val="1"/>
      </rPr>
      <t xml:space="preserve">$40m/MW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個月短約（屬隨需／短天期，不是長約證據）</t>
    </r>
  </si>
  <si>
    <r>
      <rPr>
        <sz val="11"/>
        <color theme="1"/>
        <rFont val="Noto Sans CJK SC"/>
        <family val="2"/>
      </rPr>
      <t xml:space="preserve">無（沿用市場長約證據）；敏感度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）、隨需 </t>
    </r>
    <r>
      <rPr>
        <sz val="11"/>
        <color theme="1"/>
        <rFont val="Calibri"/>
        <family val="2"/>
        <charset val="1"/>
      </rPr>
      <t xml:space="preserve">10% × 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</si>
  <si>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（轉述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Continues to Contract New Compute Capacity at Higher Prices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</si>
  <si>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隨需／短天期占比</t>
  </si>
  <si>
    <t xml:space="preserve">%</t>
  </si>
  <si>
    <r>
      <rPr>
        <sz val="11"/>
        <color theme="1"/>
        <rFont val="Noto Sans CJK SC"/>
        <family val="2"/>
      </rPr>
      <t xml:space="preserve">—（公司因素，</t>
    </r>
    <r>
      <rPr>
        <sz val="11"/>
        <color theme="1"/>
        <rFont val="Calibri"/>
        <family val="2"/>
        <charset val="1"/>
      </rPr>
      <t xml:space="preserve">W4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</si>
  <si>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公司未揭露比例（找不到）；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已簽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個月短天期合約（新聞稿），證明短天期存在但無比例 </t>
    </r>
    <r>
      <rPr>
        <sz val="11"/>
        <color theme="1"/>
        <rFont val="Calibri"/>
        <family val="2"/>
        <charset val="1"/>
      </rPr>
      <t xml:space="preserve">[Interested-party]</t>
    </r>
  </si>
  <si>
    <t xml:space="preserve">找不到比例</t>
  </si>
  <si>
    <r>
      <rPr>
        <sz val="11"/>
        <color theme="1"/>
        <rFont val="Noto Sans CJK SC"/>
        <family val="2"/>
      </rPr>
      <t xml:space="preserve">無（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）；敏感度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 × 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</si>
  <si>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Continues to Contract New Compute Capacity at Higher Prices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</si>
  <si>
    <r>
      <rPr>
        <sz val="11"/>
        <color theme="1"/>
        <rFont val="Noto Sans CJK SC"/>
        <family val="2"/>
      </rPr>
      <t xml:space="preserve">電費（每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年）</t>
    </r>
  </si>
  <si>
    <t xml:space="preserve">US$m/MW</t>
  </si>
  <si>
    <t xml:space="preserve">—</t>
  </si>
  <si>
    <r>
      <rPr>
        <sz val="11"/>
        <color theme="1"/>
        <rFont val="Calibri"/>
        <family val="2"/>
        <charset val="1"/>
      </rPr>
      <t xml:space="preserve">IF_PowerCost</t>
    </r>
    <r>
      <rPr>
        <sz val="11"/>
        <color theme="1"/>
        <rFont val="Noto Sans CJK SC"/>
        <family val="2"/>
      </rPr>
      <t xml:space="preserve">（在役世代加權）</t>
    </r>
  </si>
  <si>
    <r>
      <rPr>
        <sz val="11"/>
        <color theme="1"/>
        <rFont val="Noto Sans CJK SC"/>
        <family val="2"/>
      </rPr>
      <t xml:space="preserve">未單獨揭露（不存在於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列項）：電費含在營收成本（直接購電）與變動租賃（轉付房東的水電）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</si>
  <si>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自付電費（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營收成本含 </t>
    </r>
    <r>
      <rPr>
        <sz val="11"/>
        <color theme="1"/>
        <rFont val="Calibri"/>
        <family val="2"/>
        <charset val="1"/>
      </rPr>
      <t xml:space="preserve">utilities including power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：客戶付 </t>
    </r>
    <r>
      <rPr>
        <sz val="11"/>
        <color theme="1"/>
        <rFont val="Calibri"/>
        <family val="2"/>
        <charset val="1"/>
      </rPr>
      <t xml:space="preserve">power and utilities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</si>
  <si>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</si>
  <si>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R16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 Scientific Q2 FY26 </t>
    </r>
    <r>
      <rPr>
        <sz val="11"/>
        <color theme="1"/>
        <rFont val="Noto Sans CJK SC"/>
        <family val="2"/>
      </rPr>
      <t xml:space="preserve">法說簡報（交易對手）（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</si>
  <si>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</si>
  <si>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IF_MaintIT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／年，在役世代加權）</t>
    </r>
  </si>
  <si>
    <r>
      <rPr>
        <sz val="11"/>
        <color theme="1"/>
        <rFont val="Noto Sans CJK SC"/>
        <family val="2"/>
      </rPr>
      <t xml:space="preserve">未單獨揭露（不存在於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列項）；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伺服器保固條款找不到（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S-1 </t>
    </r>
    <r>
      <rPr>
        <sz val="11"/>
        <color theme="1"/>
        <rFont val="Noto Sans CJK SC"/>
        <family val="2"/>
      </rPr>
      <t xml:space="preserve">未見）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</si>
  <si>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技術與基礎設施費用含「維護運算基礎設施的人員」（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標準保固（例：</t>
    </r>
    <r>
      <rPr>
        <sz val="11"/>
        <color theme="1"/>
        <rFont val="Calibri"/>
        <family val="2"/>
        <charset val="1"/>
      </rPr>
      <t xml:space="preserve">Supermicro GPU </t>
    </r>
    <r>
      <rPr>
        <sz val="11"/>
        <color theme="1"/>
        <rFont val="Noto Sans CJK SC"/>
        <family val="2"/>
      </rPr>
      <t xml:space="preserve">系統人工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年）只是廠商通則，不是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合約證據 → 保固機制未證實</t>
    </r>
  </si>
  <si>
    <r>
      <rPr>
        <sz val="11"/>
        <color theme="1"/>
        <rFont val="Noto Sans CJK SC"/>
        <family val="2"/>
      </rPr>
      <t xml:space="preserve">無；保固期內維護較低的可能性以「營運成本＝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實際比率」敏感度呈現</t>
    </r>
  </si>
  <si>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Supermicro Warranty </t>
    </r>
    <r>
      <rPr>
        <sz val="11"/>
        <color theme="1"/>
        <rFont val="Noto Sans CJK SC"/>
        <family val="2"/>
      </rPr>
      <t xml:space="preserve">頁面（廠商通則，非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合約）（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[Analogy]</t>
    </r>
  </si>
  <si>
    <r>
      <rPr>
        <sz val="11"/>
        <color theme="1"/>
        <rFont val="Noto Sans CJK SC"/>
        <family val="2"/>
      </rPr>
      <t xml:space="preserve">人員、軟體、水與耗材（每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年）</t>
    </r>
  </si>
  <si>
    <t xml:space="preserve">IF_StaffSW</t>
  </si>
  <si>
    <r>
      <rPr>
        <sz val="11"/>
        <color theme="1"/>
        <rFont val="Noto Sans CJK SC"/>
        <family val="2"/>
      </rPr>
      <t xml:space="preserve">未單獨揭露；技術與基礎設施含研發與基礎設施人員、軟體訂閱（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$117m</t>
    </r>
    <r>
      <rPr>
        <sz val="11"/>
        <color theme="1"/>
        <rFont val="Noto Sans CJK SC"/>
        <family val="2"/>
      </rPr>
      <t xml:space="preserve">）；員工 </t>
    </r>
    <r>
      <rPr>
        <sz val="11"/>
        <color theme="1"/>
        <rFont val="Calibri"/>
        <family val="2"/>
        <charset val="1"/>
      </rPr>
      <t xml:space="preserve">2,189 </t>
    </r>
    <r>
      <rPr>
        <sz val="11"/>
        <color theme="1"/>
        <rFont val="Noto Sans CJK SC"/>
        <family val="2"/>
      </rPr>
      <t xml:space="preserve">人（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</si>
  <si>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模型管銷率只含銷售行銷與一般管理（扣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），不含技術與基礎設施人員 → 與 </t>
    </r>
    <r>
      <rPr>
        <sz val="11"/>
        <color theme="1"/>
        <rFont val="Calibri"/>
        <family val="2"/>
        <charset val="1"/>
      </rPr>
      <t xml:space="preserve">IF_StaffSW </t>
    </r>
    <r>
      <rPr>
        <sz val="11"/>
        <color theme="1"/>
        <rFont val="Noto Sans CJK SC"/>
        <family val="2"/>
      </rPr>
      <t xml:space="preserve">無重複；研發在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實際數內、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無對應項</t>
    </r>
  </si>
  <si>
    <t xml:space="preserve">無（併入營運成本合計驗證）</t>
  </si>
  <si>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</si>
  <si>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財產稅與保險（只算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部分）</t>
    </r>
  </si>
  <si>
    <r>
      <rPr>
        <sz val="11"/>
        <color theme="1"/>
        <rFont val="Calibri"/>
        <family val="2"/>
        <charset val="1"/>
      </rPr>
      <t xml:space="preserve">IF_TaxIns × IT </t>
    </r>
    <r>
      <rPr>
        <sz val="11"/>
        <color theme="1"/>
        <rFont val="Noto Sans CJK SC"/>
        <family val="2"/>
      </rPr>
      <t xml:space="preserve">資本占比</t>
    </r>
  </si>
  <si>
    <r>
      <rPr>
        <sz val="11"/>
        <color theme="1"/>
        <rFont val="Noto Sans CJK SC"/>
        <family val="2"/>
      </rPr>
      <t xml:space="preserve">未單獨揭露（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找不到財產稅或保險金額） 找不到</t>
    </r>
  </si>
  <si>
    <t xml:space="preserve">找不到</t>
  </si>
  <si>
    <r>
      <rPr>
        <sz val="11"/>
        <color theme="1"/>
        <rFont val="Noto Sans CJK SC"/>
        <family val="2"/>
      </rPr>
      <t xml:space="preserve">營運成本合計（電費＋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維護＋人員軟體＋稅險；租金前、不含管銷）</t>
    </r>
  </si>
  <si>
    <r>
      <rPr>
        <sz val="11"/>
        <color theme="1"/>
        <rFont val="Noto Sans CJK SC"/>
        <family val="2"/>
      </rPr>
      <t xml:space="preserve">上列四項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值合計（模型首期）</t>
    </r>
  </si>
  <si>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：營收成本＋技術與基礎設施 − </t>
    </r>
    <r>
      <rPr>
        <sz val="11"/>
        <color theme="1"/>
        <rFont val="Calibri"/>
        <family val="2"/>
        <charset val="1"/>
      </rPr>
      <t xml:space="preserve">D&amp;A − SBC − </t>
    </r>
    <r>
      <rPr>
        <sz val="11"/>
        <color theme="1"/>
        <rFont val="Noto Sans CJK SC"/>
        <family val="2"/>
      </rPr>
      <t xml:space="preserve">營業租賃成本（含變動租賃＝轉付房東的水電），年化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 [Derived]</t>
    </r>
  </si>
  <si>
    <r>
      <rPr>
        <sz val="11"/>
        <color theme="1"/>
        <rFont val="Noto Sans CJK SC"/>
        <family val="2"/>
      </rPr>
      <t xml:space="preserve">找不到可證實的機制：可能原因（未證實）——多數機隊仍在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保固期（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條款找不到）、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月才上線的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（爬坡期用電低）、單項未揭露；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實際另含研發</t>
    </r>
  </si>
  <si>
    <r>
      <rPr>
        <sz val="11"/>
        <color theme="1"/>
        <rFont val="Noto Sans CJK SC"/>
        <family val="2"/>
      </rPr>
      <t xml:space="preserve">無（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為基準）；敏感度＝營運成本倍數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模型首期</t>
    </r>
  </si>
  <si>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R16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</si>
  <si>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租金（固定，每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年）</t>
    </r>
  </si>
  <si>
    <t xml:space="preserve">1</t>
  </si>
  <si>
    <r>
      <rPr>
        <sz val="11"/>
        <color theme="1"/>
        <rFont val="Noto Sans CJK SC"/>
        <family val="2"/>
      </rPr>
      <t xml:space="preserve">—（公司租約路徑；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不含，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廠房以租約取得）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</si>
  <si>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營業租賃成本 </t>
    </r>
    <r>
      <rPr>
        <sz val="11"/>
        <color theme="1"/>
        <rFont val="Calibri"/>
        <family val="2"/>
        <charset val="1"/>
      </rPr>
      <t xml:space="preserve">0.500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；變動租賃 </t>
    </r>
    <r>
      <rPr>
        <sz val="11"/>
        <color theme="1"/>
        <rFont val="Calibri"/>
        <family val="2"/>
        <charset val="1"/>
      </rPr>
      <t xml:space="preserve">0.150</t>
    </r>
    <r>
      <rPr>
        <sz val="11"/>
        <color theme="1"/>
        <rFont val="Noto Sans CJK SC"/>
        <family val="2"/>
      </rPr>
      <t xml:space="preserve">（共同區域維護、轉付房東的水電、保全）歸入營運成本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</si>
  <si>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v4.6–v4.7 W4 </t>
    </r>
    <r>
      <rPr>
        <sz val="11"/>
        <color theme="1"/>
        <rFont val="Noto Sans CJK SC"/>
        <family val="2"/>
      </rPr>
      <t xml:space="preserve">的對照把變動租賃算進租金（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）；變動租賃是水電與共同區域維護，不是固定租金。固定租金對照後差距在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</si>
  <si>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Noto Sans CJK SC"/>
        <family val="2"/>
      </rPr>
      <t xml:space="preserve">無（模型租金不變）；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對照改為固定租金對固定租金</t>
    </r>
  </si>
  <si>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R16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 Scientific Q2 FY26 </t>
    </r>
    <r>
      <rPr>
        <sz val="11"/>
        <color theme="1"/>
        <rFont val="Noto Sans CJK SC"/>
        <family val="2"/>
      </rPr>
      <t xml:space="preserve">法說簡報（交易對手）（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</si>
  <si>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資本支出（新增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</si>
  <si>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（新增世代加權，模型首期）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</si>
  <si>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16.139 ÷ </t>
    </r>
    <r>
      <rPr>
        <sz val="11"/>
        <color theme="1"/>
        <rFont val="Noto Sans CJK SC"/>
        <family val="2"/>
      </rPr>
      <t xml:space="preserve">新增主動電力 </t>
    </r>
    <r>
      <rPr>
        <sz val="11"/>
        <color theme="1"/>
        <rFont val="Calibri"/>
        <family val="2"/>
        <charset val="1"/>
      </rPr>
      <t xml:space="preserve">650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850 → 1,500</t>
    </r>
    <r>
      <rPr>
        <sz val="11"/>
        <color theme="1"/>
        <rFont val="Noto Sans CJK SC"/>
        <family val="2"/>
      </rPr>
      <t xml:space="preserve">）；另列技術設備毛額增加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[Derived]</t>
    </r>
  </si>
  <si>
    <r>
      <rPr>
        <sz val="11"/>
        <color theme="1"/>
        <rFont val="Noto Sans CJK SC"/>
        <family val="2"/>
      </rPr>
      <t xml:space="preserve">找不到可證實的機制：可能原因（未證實）——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口徑（主動電力若為設施口徑，換成 </t>
    </r>
    <r>
      <rPr>
        <sz val="11"/>
        <color theme="1"/>
        <rFont val="Calibri"/>
        <family val="2"/>
        <charset val="1"/>
      </rPr>
      <t xml:space="preserve">IT MW </t>
    </r>
    <r>
      <rPr>
        <sz val="11"/>
        <color theme="1"/>
        <rFont val="Noto Sans CJK SC"/>
        <family val="2"/>
      </rPr>
      <t xml:space="preserve">後差距縮小約 </t>
    </r>
    <r>
      <rPr>
        <sz val="11"/>
        <color theme="1"/>
        <rFont val="Calibri"/>
        <family val="2"/>
        <charset val="1"/>
      </rPr>
      <t xml:space="preserve">1/6</t>
    </r>
    <r>
      <rPr>
        <sz val="11"/>
        <color theme="1"/>
        <rFont val="Noto Sans CJK SC"/>
        <family val="2"/>
      </rPr>
      <t xml:space="preserve">）、議價（未揭露）、</t>
    </r>
    <r>
      <rPr>
        <sz val="11"/>
        <color theme="1"/>
        <rFont val="Calibri"/>
        <family val="2"/>
        <charset val="1"/>
      </rPr>
      <t xml:space="preserve">Tokenomics IT </t>
    </r>
    <r>
      <rPr>
        <sz val="11"/>
        <color theme="1"/>
        <rFont val="Noto Sans CJK SC"/>
        <family val="2"/>
      </rPr>
      <t xml:space="preserve">單價偏高；預建（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支出含 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）只會使實際偏高，方向相反</t>
    </r>
  </si>
  <si>
    <r>
      <rPr>
        <sz val="11"/>
        <color theme="1"/>
        <rFont val="Noto Sans CJK SC"/>
        <family val="2"/>
      </rPr>
      <t xml:space="preserve">無（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為基準）；敏感度＝每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建置成本倍數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模型首期</t>
    </r>
  </si>
  <si>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10-Q</t>
    </r>
    <r>
      <rPr>
        <sz val="11"/>
        <color theme="1"/>
        <rFont val="Noto Sans CJK SC"/>
        <family val="2"/>
      </rPr>
      <t xml:space="preserve">／法說（</t>
    </r>
    <r>
      <rPr>
        <sz val="11"/>
        <color theme="1"/>
        <rFont val="Calibri"/>
        <family val="2"/>
        <charset val="1"/>
      </rPr>
      <t xml:space="preserve">company.json latestQuarter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defaults.mwYearEnd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fleet.openMix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</si>
  <si>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資本支出｜技術設備毛額增加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</si>
  <si>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</si>
  <si>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技術設備（伺服器、網路、儲存）毛額增加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新增主動電力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</si>
  <si>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不含資料中心設備與租賃改良、在建工程；最接近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的口徑</t>
    </r>
  </si>
  <si>
    <t xml:space="preserve">只作對照</t>
  </si>
  <si>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</si>
  <si>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</t>
    </r>
  </si>
  <si>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（期初在役世代加權）</t>
    </r>
  </si>
  <si>
    <r>
      <rPr>
        <sz val="11"/>
        <color theme="1"/>
        <rFont val="Noto Sans CJK SC"/>
        <family val="2"/>
      </rPr>
      <t xml:space="preserve">技術設備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會計政策） </t>
    </r>
    <r>
      <rPr>
        <sz val="11"/>
        <color theme="1"/>
        <rFont val="Calibri"/>
        <family val="2"/>
        <charset val="1"/>
      </rPr>
      <t xml:space="preserve">[Verified]</t>
    </r>
  </si>
  <si>
    <t xml:space="preserve">一致</t>
  </si>
  <si>
    <t xml:space="preserve">無</t>
  </si>
  <si>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edgar.tools </t>
    </r>
    <r>
      <rPr>
        <sz val="11"/>
        <color theme="1"/>
        <rFont val="Noto Sans CJK SC"/>
        <family val="2"/>
      </rPr>
      <t xml:space="preserve">轉載會計政策表）（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</si>
  <si>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Noto Sans CJK SC"/>
        <family val="2"/>
      </rPr>
      <t xml:space="preserve">▸ 敏感度輸入（公司實際比率；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季末世代與首期新增世代、基準成本情境；</t>
    </r>
    <r>
      <rPr>
        <sz val="11"/>
        <color theme="1"/>
        <rFont val="Calibri"/>
        <family val="2"/>
        <charset val="1"/>
      </rPr>
      <t xml:space="preserve">scripts/permw_sens.py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</si>
  <si>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敏感度輸入｜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季末世代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營運成本合計（基準成本情境）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</si>
  <si>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季末在役占比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IF_PowerCost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IF_MaintIT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IF_StaffSW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IF_TaxIns × IT </t>
    </r>
    <r>
      <rPr>
        <sz val="11"/>
        <color theme="1"/>
        <rFont val="Noto Sans CJK SC"/>
        <family val="2"/>
      </rPr>
      <t xml:space="preserve">資本占比），基準成本情境</t>
    </r>
  </si>
  <si>
    <r>
      <rPr>
        <sz val="11"/>
        <color theme="1"/>
        <rFont val="Noto Sans CJK SC"/>
        <family val="2"/>
      </rPr>
      <t xml:space="preserve">敏感度輸入｜營運成本倍數＝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季末世代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</si>
  <si>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敏感度「營運成本＝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實際比率」把輸入頁『由下而上營運成本倍數』設為本值</t>
    </r>
  </si>
  <si>
    <r>
      <rPr>
        <sz val="11"/>
        <color theme="1"/>
        <rFont val="Noto Sans CJK SC"/>
        <family val="2"/>
      </rPr>
      <t xml:space="preserve">敏感度輸入｜首期新增世代 </t>
    </r>
    <r>
      <rPr>
        <sz val="11"/>
        <color theme="1"/>
        <rFont val="Calibri"/>
        <family val="2"/>
        <charset val="1"/>
      </rPr>
      <t xml:space="preserve">Tokenomics IT </t>
    </r>
    <r>
      <rPr>
        <sz val="11"/>
        <color theme="1"/>
        <rFont val="Noto Sans CJK SC"/>
        <family val="2"/>
      </rPr>
      <t xml:space="preserve">資本（基準成本情境）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</si>
  <si>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首期新增占比（基準組合）</t>
    </r>
    <r>
      <rPr>
        <sz val="11"/>
        <color theme="1"/>
        <rFont val="Calibri"/>
        <family val="2"/>
        <charset val="1"/>
      </rPr>
      <t xml:space="preserve">× IF_CapexIT</t>
    </r>
    <r>
      <rPr>
        <sz val="11"/>
        <color theme="1"/>
        <rFont val="Noto Sans CJK SC"/>
        <family val="2"/>
      </rPr>
      <t xml:space="preserve">，基準成本情境</t>
    </r>
  </si>
  <si>
    <r>
      <rPr>
        <sz val="11"/>
        <color theme="1"/>
        <rFont val="Noto Sans CJK SC"/>
        <family val="2"/>
      </rPr>
      <t xml:space="preserve">敏感度輸入｜每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建置成本倍數＝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首期新增世代 </t>
    </r>
    <r>
      <rPr>
        <sz val="11"/>
        <color theme="1"/>
        <rFont val="Calibri"/>
        <family val="2"/>
        <charset val="1"/>
      </rPr>
      <t xml:space="preserve">Tokenomics</t>
    </r>
  </si>
  <si>
    <r>
      <rPr>
        <sz val="11"/>
        <color theme="1"/>
        <rFont val="Noto Sans CJK SC"/>
        <family val="2"/>
      </rPr>
      <t xml:space="preserve">敏感度「每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建置成本＝實際比率」把輸入頁『每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建置成本倍數』設為本值</t>
    </r>
  </si>
  <si>
    <r>
      <rPr>
        <sz val="11"/>
        <color theme="1"/>
        <rFont val="Noto Sans CJK SC"/>
        <family val="2"/>
      </rPr>
      <t xml:space="preserve">敏感度輸入｜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（短天期合約價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，基準）</t>
    </r>
  </si>
  <si>
    <r>
      <rPr>
        <sz val="11"/>
        <color theme="1"/>
        <rFont val="Calibri"/>
        <family val="2"/>
        <charset val="1"/>
      </rPr>
      <t xml:space="preserve">CoreWeave Q3 </t>
    </r>
    <r>
      <rPr>
        <sz val="11"/>
        <color theme="1"/>
        <rFont val="Noto Sans CJK SC"/>
        <family val="2"/>
      </rPr>
      <t xml:space="preserve">短天期合約（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個月，公司新聞稿）：</t>
    </r>
    <r>
      <rPr>
        <sz val="11"/>
        <color theme="1"/>
        <rFont val="Calibri"/>
        <family val="2"/>
        <charset val="1"/>
      </rPr>
      <t xml:space="preserve">40 US$m/MW/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（基準）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；敏感度「隨需 </t>
    </r>
    <r>
      <rPr>
        <sz val="11"/>
        <color theme="1"/>
        <rFont val="Calibri"/>
        <family val="2"/>
        <charset val="1"/>
      </rPr>
      <t xml:space="preserve">10% × 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</si>
  <si>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▸ Q2 </t>
    </r>
    <r>
      <rPr>
        <sz val="11"/>
        <color theme="1"/>
        <rFont val="Noto Sans CJK SC"/>
        <family val="2"/>
      </rPr>
      <t xml:space="preserve">逐項對帳（模型首期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最近一季實際，每平均在役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、年化；差距＝實際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</si>
  <si>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年收入（算力＋服務）</t>
    </r>
  </si>
  <si>
    <r>
      <rPr>
        <sz val="11"/>
        <color theme="1"/>
        <rFont val="Noto Sans CJK SC"/>
        <family val="2"/>
      </rPr>
      <t xml:space="preserve">模型首期：既有合約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實現單價（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既有），新增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按市場長約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；分母都是平均在役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（含爬坡中尚未計費的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</si>
  <si>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營運成本（租金前、不含管銷；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含變動租賃）</t>
    </r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</si>
  <si>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且找不到可證實的機制（單項未揭露、保固條款找不到）：依規則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為基準，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實際比率列為敏感度，需要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實際另含研發（</t>
    </r>
    <r>
      <rPr>
        <sz val="11"/>
        <color theme="1"/>
        <rFont val="Calibri"/>
        <family val="2"/>
        <charset val="1"/>
      </rPr>
      <t xml:space="preserve">Q2 $117m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</si>
  <si>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固定租金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</si>
  <si>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</si>
  <si>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管銷（扣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</si>
  <si>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模型管銷率＝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實際（扣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差距只來自每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營收差距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</si>
  <si>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對帳｜每 </t>
    </r>
    <r>
      <rPr>
        <sz val="11"/>
        <color theme="1"/>
        <rFont val="Calibri"/>
        <family val="2"/>
        <charset val="1"/>
      </rPr>
      <t xml:space="preserve">MW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</si>
  <si>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差距主要來自營運成本（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滿載穩態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實際）；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＝營收 − 現金成本（扣 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），與模型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</si>
  <si>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對帳｜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率（差距＝百分點）</t>
    </r>
  </si>
  <si>
    <r>
      <rPr>
        <sz val="11"/>
        <color theme="1"/>
        <rFont val="Noto Sans CJK SC"/>
        <family val="2"/>
      </rPr>
      <t xml:space="preserve">同上；模型首期為 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模型值</t>
    </r>
  </si>
  <si>
    <r>
      <rPr>
        <sz val="11"/>
        <color theme="1"/>
        <rFont val="Noto Sans CJK SC"/>
        <family val="2"/>
      </rPr>
      <t xml:space="preserve">證據清單（</t>
    </r>
    <r>
      <rPr>
        <sz val="11"/>
        <color theme="1"/>
        <rFont val="Calibri"/>
        <family val="2"/>
        <charset val="1"/>
      </rPr>
      <t xml:space="preserve">company.json → companyAdjust.evidence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</si>
  <si>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crwvQ2Rev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</si>
  <si>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2,575</t>
    </r>
    <r>
      <rPr>
        <sz val="11"/>
        <color theme="1"/>
        <rFont val="Noto Sans CJK SC"/>
        <family val="2"/>
      </rPr>
      <t xml:space="preserve">（百萬美元）；營收成本 </t>
    </r>
    <r>
      <rPr>
        <sz val="11"/>
        <color theme="1"/>
        <rFont val="Calibri"/>
        <family val="2"/>
        <charset val="1"/>
      </rPr>
      <t xml:space="preserve">879</t>
    </r>
    <r>
      <rPr>
        <sz val="11"/>
        <color theme="1"/>
        <rFont val="Noto Sans CJK SC"/>
        <family val="2"/>
      </rPr>
      <t xml:space="preserve">、技術與基礎設施 </t>
    </r>
    <r>
      <rPr>
        <sz val="11"/>
        <color theme="1"/>
        <rFont val="Calibri"/>
        <family val="2"/>
        <charset val="1"/>
      </rPr>
      <t xml:space="preserve">1,507</t>
    </r>
    <r>
      <rPr>
        <sz val="11"/>
        <color theme="1"/>
        <rFont val="Noto Sans CJK SC"/>
        <family val="2"/>
      </rPr>
      <t xml:space="preserve">（三個月）｜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</si>
  <si>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crwvContractDur</t>
    </r>
  </si>
  <si>
    <r>
      <rPr>
        <sz val="11"/>
        <color theme="1"/>
        <rFont val="Calibri"/>
        <family val="2"/>
        <charset val="1"/>
      </rPr>
      <t xml:space="preserve">As of December 31, 2025, our committed contracts had a weighted-average contract duration of approximately five years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https://www.sec.gov/Archives/edgar/data/1769628/000176962826000104/crwv-20251231.htm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</si>
  <si>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crwvCostRevPolicy</t>
    </r>
  </si>
  <si>
    <r>
      <rPr>
        <sz val="11"/>
        <color theme="1"/>
        <rFont val="Noto Sans CJK SC"/>
        <family val="2"/>
      </rPr>
      <t xml:space="preserve">營收成本：資料中心直接成本——租金、</t>
    </r>
    <r>
      <rPr>
        <sz val="11"/>
        <color theme="1"/>
        <rFont val="Calibri"/>
        <family val="2"/>
        <charset val="1"/>
      </rPr>
      <t xml:space="preserve">utilities including power</t>
    </r>
    <r>
      <rPr>
        <sz val="11"/>
        <color theme="1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11"/>
        <color theme="1"/>
        <rFont val="Calibri"/>
        <family val="2"/>
        <charset val="1"/>
      </rPr>
      <t xml:space="preserve">colocation </t>
    </r>
    <r>
      <rPr>
        <sz val="11"/>
        <color theme="1"/>
        <rFont val="Noto Sans CJK SC"/>
        <family val="2"/>
      </rPr>
      <t xml:space="preserve">費用｜</t>
    </r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https://www.sec.gov/Archives/edgar/data/1769628/000176962826000104/R28.htm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</si>
  <si>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crwvTiPolicy</t>
    </r>
  </si>
  <si>
    <r>
      <rPr>
        <sz val="11"/>
        <color theme="1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$352m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Form 10-K FY2025 </t>
    </r>
    <r>
      <rPr>
        <sz val="11"/>
        <color theme="1"/>
        <rFont val="Noto Sans CJK SC"/>
        <family val="2"/>
      </rPr>
      <t xml:space="preserve">會計政策（</t>
    </r>
    <r>
      <rPr>
        <sz val="11"/>
        <color theme="1"/>
        <rFont val="Calibri"/>
        <family val="2"/>
        <charset val="1"/>
      </rPr>
      <t xml:space="preserve">R28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https://www.sec.gov/Archives/edgar/data/1769628/000176962826000104/R28.htm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</si>
  <si>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crwvVarLease</t>
    </r>
  </si>
  <si>
    <r>
      <rPr>
        <sz val="11"/>
        <color theme="1"/>
        <rFont val="Noto Sans CJK SC"/>
        <family val="2"/>
      </rPr>
      <t xml:space="preserve">變動租賃成本（</t>
    </r>
    <r>
      <rPr>
        <sz val="11"/>
        <color theme="1"/>
        <rFont val="Calibri"/>
        <family val="2"/>
        <charset val="1"/>
      </rPr>
      <t xml:space="preserve">common area maintenance, utilities reimbursed to the landlord, physical security</t>
    </r>
    <r>
      <rPr>
        <sz val="11"/>
        <color theme="1"/>
        <rFont val="Noto Sans CJK SC"/>
        <family val="2"/>
      </rPr>
      <t xml:space="preserve">）不含在營業／融資租賃成本、發生時費用化；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營業租賃成本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6M 888</t>
    </r>
    <r>
      <rPr>
        <sz val="11"/>
        <color theme="1"/>
        <rFont val="Noto Sans CJK SC"/>
        <family val="2"/>
      </rPr>
      <t xml:space="preserve">（百萬美元）；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變動租賃 </t>
    </r>
    <r>
      <rPr>
        <sz val="11"/>
        <color theme="1"/>
        <rFont val="Calibri"/>
        <family val="2"/>
        <charset val="1"/>
      </rPr>
      <t xml:space="preserve">252</t>
    </r>
    <r>
      <rPr>
        <sz val="11"/>
        <color theme="1"/>
        <rFont val="Noto Sans CJK SC"/>
        <family val="2"/>
      </rPr>
      <t xml:space="preserve">、營業租賃 </t>
    </r>
    <r>
      <rPr>
        <sz val="11"/>
        <color theme="1"/>
        <rFont val="Calibri"/>
        <family val="2"/>
        <charset val="1"/>
      </rPr>
      <t xml:space="preserve">825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FY2025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R16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</si>
  <si>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corzPower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</si>
  <si>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合約摘要：「</t>
    </r>
    <r>
      <rPr>
        <sz val="11"/>
        <color theme="1"/>
        <rFont val="Calibri"/>
        <family val="2"/>
        <charset val="1"/>
      </rPr>
      <t xml:space="preserve">Client pays for capex, power, and utilities</t>
    </r>
    <r>
      <rPr>
        <sz val="11"/>
        <color theme="1"/>
        <rFont val="Noto Sans CJK SC"/>
        <family val="2"/>
      </rPr>
      <t xml:space="preserve">」；約 </t>
    </r>
    <r>
      <rPr>
        <sz val="11"/>
        <color theme="1"/>
        <rFont val="Calibri"/>
        <family val="2"/>
        <charset val="1"/>
      </rPr>
      <t xml:space="preserve">590 MW</t>
    </r>
    <r>
      <rPr>
        <sz val="11"/>
        <color theme="1"/>
        <rFont val="Noto Sans CJK SC"/>
        <family val="2"/>
      </rPr>
      <t xml:space="preserve">、年化 </t>
    </r>
    <r>
      <rPr>
        <sz val="11"/>
        <color theme="1"/>
        <rFont val="Calibri"/>
        <family val="2"/>
        <charset val="1"/>
      </rPr>
      <t xml:space="preserve">colocation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$850M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take-or-pay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Q2 FY26 </t>
    </r>
    <r>
      <rPr>
        <sz val="11"/>
        <color theme="1"/>
        <rFont val="Noto Sans CJK SC"/>
        <family val="2"/>
      </rPr>
      <t xml:space="preserve">法說簡報（交易對手）（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https://investors.corescientific.com/sec-filings/all-sec-filings/content/0001839341-26-000012/q2fy26earningsdeck728am.htm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</si>
  <si>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crwvPowerSwap</t>
    </r>
  </si>
  <si>
    <r>
      <rPr>
        <sz val="11"/>
        <color theme="1"/>
        <rFont val="Noto Sans CJK SC"/>
        <family val="2"/>
      </rPr>
      <t xml:space="preserve">電力交換合約名目 </t>
    </r>
    <r>
      <rPr>
        <sz val="11"/>
        <color theme="1"/>
        <rFont val="Calibri"/>
        <family val="2"/>
        <charset val="1"/>
      </rPr>
      <t xml:space="preserve">$104m</t>
    </r>
    <r>
      <rPr>
        <sz val="11"/>
        <color theme="1"/>
        <rFont val="Noto Sans CJK SC"/>
        <family val="2"/>
      </rPr>
      <t xml:space="preserve">，未指定避險、損益認列於營收成本｜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</si>
  <si>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crwvRd</t>
    </r>
  </si>
  <si>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Q2 $117m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6M $221m</t>
    </r>
    <r>
      <rPr>
        <sz val="11"/>
        <color theme="1"/>
        <rFont val="Noto Sans CJK SC"/>
        <family val="2"/>
      </rPr>
      <t xml:space="preserve">，含在技術與基礎設施｜</t>
    </r>
    <r>
      <rPr>
        <sz val="11"/>
        <color theme="1"/>
        <rFont val="Calibri"/>
        <family val="2"/>
        <charset val="1"/>
      </rPr>
      <t xml:space="preserve">CoreWeave Form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</si>
  <si>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crwvEmployees</t>
    </r>
  </si>
  <si>
    <r>
      <rPr>
        <sz val="11"/>
        <color theme="1"/>
        <rFont val="Calibri"/>
        <family val="2"/>
        <charset val="1"/>
      </rPr>
      <t xml:space="preserve">As of December 31, 2025, we had 2,189 employees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https://www.sec.gov/Archives/edgar/data/1769628/000176962826000104/crwv-20251231.htm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</si>
  <si>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smcWarranty</t>
    </r>
  </si>
  <si>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標準保固（發票無特別條款時）：</t>
    </r>
    <r>
      <rPr>
        <sz val="11"/>
        <color theme="1"/>
        <rFont val="Calibri"/>
        <family val="2"/>
        <charset val="1"/>
      </rPr>
      <t xml:space="preserve">GPU Systems </t>
    </r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Supermicro Warranty </t>
    </r>
    <r>
      <rPr>
        <sz val="11"/>
        <color theme="1"/>
        <rFont val="Noto Sans CJK SC"/>
        <family val="2"/>
      </rPr>
      <t xml:space="preserve">頁面（廠商通則，非 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合約）（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[Analogy]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https://www.supermicro.com/en/support/warranty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</si>
  <si>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crwvPPE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</si>
  <si>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毛額（百萬美元，</t>
    </r>
    <r>
      <rPr>
        <sz val="11"/>
        <color theme="1"/>
        <rFont val="Calibri"/>
        <family val="2"/>
        <charset val="1"/>
      </rPr>
      <t xml:space="preserve">2025-12-31 → 2026-06-30</t>
    </r>
    <r>
      <rPr>
        <sz val="11"/>
        <color theme="1"/>
        <rFont val="Noto Sans CJK SC"/>
        <family val="2"/>
      </rPr>
      <t xml:space="preserve">）：技術設備 </t>
    </r>
    <r>
      <rPr>
        <sz val="11"/>
        <color theme="1"/>
        <rFont val="Calibri"/>
        <family val="2"/>
        <charset val="1"/>
      </rPr>
      <t xml:space="preserve">20,903 → 33,823</t>
    </r>
    <r>
      <rPr>
        <sz val="11"/>
        <color theme="1"/>
        <rFont val="Noto Sans CJK SC"/>
        <family val="2"/>
      </rPr>
      <t xml:space="preserve">；資料中心設備與租賃改良 </t>
    </r>
    <r>
      <rPr>
        <sz val="11"/>
        <color theme="1"/>
        <rFont val="Calibri"/>
        <family val="2"/>
        <charset val="1"/>
      </rPr>
      <t xml:space="preserve">2,842 → 5,997</t>
    </r>
    <r>
      <rPr>
        <sz val="11"/>
        <color theme="1"/>
        <rFont val="Noto Sans CJK SC"/>
        <family val="2"/>
      </rPr>
      <t xml:space="preserve">；在建工程 </t>
    </r>
    <r>
      <rPr>
        <sz val="11"/>
        <color theme="1"/>
        <rFont val="Calibri"/>
        <family val="2"/>
        <charset val="1"/>
      </rPr>
      <t xml:space="preserve">9,376 → 11,918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Form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</si>
  <si>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crwvCapex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</si>
  <si>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16.139bn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latestQuarter.capexH1</t>
    </r>
    <r>
      <rPr>
        <sz val="11"/>
        <color theme="1"/>
        <rFont val="Noto Sans CJK SC"/>
        <family val="2"/>
      </rPr>
      <t xml:space="preserve">）；主動電力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2026-06-30 1.5 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10-Q</t>
    </r>
    <r>
      <rPr>
        <sz val="11"/>
        <color theme="1"/>
        <rFont val="Noto Sans CJK SC"/>
        <family val="2"/>
      </rPr>
      <t xml:space="preserve">／法說（</t>
    </r>
    <r>
      <rPr>
        <sz val="11"/>
        <color theme="1"/>
        <rFont val="Calibri"/>
        <family val="2"/>
        <charset val="1"/>
      </rPr>
      <t xml:space="preserve">company.json latestQuarter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defaults.mwYearEnd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fleet.openMix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https://www.sec.gov/Archives/edgar/data/0001769628/000176962826000366/crwv-20260630.htm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</si>
  <si>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crwvLife</t>
    </r>
  </si>
  <si>
    <r>
      <rPr>
        <sz val="11"/>
        <color theme="1"/>
        <rFont val="Calibri"/>
        <family val="2"/>
        <charset val="1"/>
      </rPr>
      <t xml:space="preserve">Technology equipment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years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耐用年限表）｜</t>
    </r>
    <r>
      <rPr>
        <sz val="11"/>
        <color theme="1"/>
        <rFont val="Calibri"/>
        <family val="2"/>
        <charset val="1"/>
      </rPr>
      <t xml:space="preserve">CoreWeave 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edgar.tools </t>
    </r>
    <r>
      <rPr>
        <sz val="11"/>
        <color theme="1"/>
        <rFont val="Noto Sans CJK SC"/>
        <family val="2"/>
      </rPr>
      <t xml:space="preserve">轉載會計政策表）（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（期末），擷取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https://app.edgar.tools/companies/CRWV/disclosures/property-plant-equipment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</si>
  <si>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crwvPriceUp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</si>
  <si>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 July the company pushed through an approximately 25% price increase across SKUs</t>
    </r>
    <r>
      <rPr>
        <sz val="11"/>
        <color theme="1"/>
        <rFont val="Noto Sans CJK SC"/>
        <family val="2"/>
      </rPr>
      <t xml:space="preserve">」；新簽合約貢獻率預期高 </t>
    </r>
    <r>
      <rPr>
        <sz val="11"/>
        <color theme="1"/>
        <rFont val="Calibri"/>
        <family val="2"/>
        <charset val="1"/>
      </rPr>
      <t xml:space="preserve">5–10 </t>
    </r>
    <r>
      <rPr>
        <sz val="11"/>
        <color theme="1"/>
        <rFont val="Noto Sans CJK SC"/>
        <family val="2"/>
      </rPr>
      <t xml:space="preserve">個百分點（轉述，非逐字稿）｜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（轉述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法說）（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https://www.trefis.com/stock/crwv/articles2/611369/coreweave-is-winning-on-price-and-racing-its-own-interest-bill/2026-08-13</t>
    </r>
  </si>
  <si>
    <r>
      <rPr>
        <sz val="11"/>
        <color theme="1"/>
        <rFont val="Noto Sans CJK SC"/>
        <family val="2"/>
      </rPr>
      <t xml:space="preserve">證據｜</t>
    </r>
    <r>
      <rPr>
        <sz val="11"/>
        <color theme="1"/>
        <rFont val="Calibri"/>
        <family val="2"/>
        <charset val="1"/>
      </rPr>
      <t xml:space="preserve">crwvShortDated</t>
    </r>
  </si>
  <si>
    <r>
      <rPr>
        <sz val="11"/>
        <color theme="1"/>
        <rFont val="Calibri"/>
        <family val="2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annualized revenue ÷ power required to service the related clusters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&gt;$25bn </t>
    </r>
    <r>
      <rPr>
        <sz val="11"/>
        <color theme="1"/>
        <rFont val="Noto Sans CJK SC"/>
        <family val="2"/>
      </rPr>
      <t xml:space="preserve">新增承諾｜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Continues to Contract New Compute Capacity at Higher Prices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https://investors.coreweave.com/news/news-details/2026/CoreWeave-Continues-to-Contract-New-Compute-Capacity-at-Higher-Prices/default.aspx</t>
    </r>
  </si>
  <si>
    <r>
      <rPr>
        <sz val="11"/>
        <color theme="1"/>
        <rFont val="Noto Sans CJK SC"/>
        <family val="2"/>
      </rPr>
      <t xml:space="preserve">找不到｜第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項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</si>
  <si>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伺服器／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保固或維護合約條款：</t>
    </r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Item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1A</t>
    </r>
    <r>
      <rPr>
        <sz val="11"/>
        <color theme="1"/>
        <rFont val="Noto Sans CJK SC"/>
        <family val="2"/>
      </rPr>
      <t xml:space="preserve">、會計政策）、</t>
    </r>
    <r>
      <rPr>
        <sz val="11"/>
        <color theme="1"/>
        <rFont val="Calibri"/>
        <family val="2"/>
        <charset val="1"/>
      </rPr>
      <t xml:space="preserve">10-Q Q2 2026</t>
    </r>
    <r>
      <rPr>
        <sz val="11"/>
        <color theme="1"/>
        <rFont val="Noto Sans CJK SC"/>
        <family val="2"/>
      </rPr>
      <t xml:space="preserve">、搜尋皆未見（找不到，不代表不存在）</t>
    </r>
  </si>
  <si>
    <r>
      <rPr>
        <sz val="11"/>
        <color theme="1"/>
        <rFont val="Noto Sans CJK SC"/>
        <family val="2"/>
      </rPr>
      <t xml:space="preserve">找不到｜第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項</t>
    </r>
  </si>
  <si>
    <r>
      <rPr>
        <sz val="11"/>
        <color theme="1"/>
        <rFont val="Noto Sans CJK SC"/>
        <family val="2"/>
      </rPr>
      <t xml:space="preserve">電費、維護、財產稅、保險的金額：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損益只到營收成本與技術與基礎設施兩列，未拆項（不存在於列項）</t>
    </r>
  </si>
  <si>
    <r>
      <rPr>
        <sz val="11"/>
        <color theme="1"/>
        <rFont val="Noto Sans CJK SC"/>
        <family val="2"/>
      </rPr>
      <t xml:space="preserve">找不到｜第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</t>
    </r>
  </si>
  <si>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新長約的每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價格或合約金額 </t>
    </r>
    <r>
      <rPr>
        <sz val="11"/>
        <color theme="1"/>
        <rFont val="Calibri"/>
        <family val="2"/>
        <charset val="1"/>
      </rPr>
      <t xml:space="preserve">÷ 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$25bn </t>
    </r>
    <r>
      <rPr>
        <sz val="11"/>
        <color theme="1"/>
        <rFont val="Noto Sans CJK SC"/>
        <family val="2"/>
      </rPr>
      <t xml:space="preserve">新增承諾未揭露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法說逐字稿原文未取得（只有轉述）</t>
    </r>
  </si>
  <si>
    <r>
      <rPr>
        <sz val="11"/>
        <color theme="1"/>
        <rFont val="Noto Sans CJK SC"/>
        <family val="2"/>
      </rPr>
      <t xml:space="preserve">找不到｜第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項</t>
    </r>
  </si>
  <si>
    <r>
      <rPr>
        <sz val="11"/>
        <color theme="1"/>
        <rFont val="Noto Sans CJK SC"/>
        <family val="2"/>
      </rPr>
      <t xml:space="preserve">主動電力（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／設施口徑定義：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未見（找不到）</t>
    </r>
  </si>
  <si>
    <r>
      <rPr>
        <b val="true"/>
        <sz val="13"/>
        <rFont val="Noto Sans CJK SC"/>
        <family val="2"/>
      </rPr>
      <t xml:space="preserve">公司實況驗證（</t>
    </r>
    <r>
      <rPr>
        <b val="true"/>
        <sz val="13"/>
        <rFont val="Cambria"/>
        <family val="0"/>
        <charset val="1"/>
      </rPr>
      <t xml:space="preserve">v4.8 Excel</t>
    </r>
    <r>
      <rPr>
        <b val="true"/>
        <sz val="13"/>
        <rFont val="Noto Sans CJK SC"/>
        <family val="2"/>
      </rPr>
      <t xml:space="preserve">「公司實況驗證」頁讀值；基準情境）</t>
    </r>
  </si>
  <si>
    <r>
      <rPr>
        <sz val="11"/>
        <color theme="1"/>
        <rFont val="Calibri"/>
        <family val="2"/>
        <charset val="1"/>
      </rPr>
      <t xml:space="preserve">IF_MaintITWarr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IF_MaintITPost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v5.31</t>
    </r>
    <r>
      <rPr>
        <sz val="11"/>
        <color theme="1"/>
        <rFont val="Noto Sans CJK SC"/>
        <family val="2"/>
      </rPr>
      <t xml:space="preserve">；依機齡兩段：保固期內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保固期內值＋期滿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期滿值，保固 </t>
    </r>
    <r>
      <rPr>
        <sz val="11"/>
        <color theme="1"/>
        <rFont val="Calibri"/>
        <family val="2"/>
        <charset val="1"/>
      </rPr>
      <t xml:space="preserve">IF_WarrantyYrs 3 </t>
    </r>
    <r>
      <rPr>
        <sz val="11"/>
        <color theme="1"/>
        <rFont val="Noto Sans CJK SC"/>
        <family val="2"/>
      </rPr>
      <t xml:space="preserve">年；在役世代加權）</t>
    </r>
  </si>
  <si>
    <r>
      <rPr>
        <sz val="11"/>
        <color theme="1"/>
        <rFont val="Calibri"/>
        <family val="2"/>
        <charset val="1"/>
      </rPr>
      <t xml:space="preserve">W6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v5.31 </t>
    </r>
    <r>
      <rPr>
        <sz val="11"/>
        <color theme="1"/>
        <rFont val="Noto Sans CJK SC"/>
        <family val="2"/>
      </rPr>
      <t xml:space="preserve">已把保固期內／期滿兩段做進來（保固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年依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條款：</t>
    </r>
    <r>
      <rPr>
        <sz val="11"/>
        <color theme="1"/>
        <rFont val="Calibri"/>
        <family val="2"/>
        <charset val="1"/>
      </rPr>
      <t xml:space="preserve">HPE 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Tokenomics SRC_DC_015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016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端依期初機齡層與各期新增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推算機齡（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季末 </t>
    </r>
    <r>
      <rPr>
        <sz val="11"/>
        <color theme="1"/>
        <rFont val="Calibri"/>
        <family val="2"/>
        <charset val="1"/>
      </rPr>
      <t xml:space="preserve">93% </t>
    </r>
    <r>
      <rPr>
        <sz val="11"/>
        <color theme="1"/>
        <rFont val="Noto Sans CJK SC"/>
        <family val="2"/>
      </rPr>
      <t xml:space="preserve">在保固期內）；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自己的保固條款仍找不到。單項無法量測，併入下方「營運成本合計」驗證</t>
    </r>
  </si>
  <si>
    <r>
      <rPr>
        <sz val="11"/>
        <color theme="1"/>
        <rFont val="Noto Sans CJK SC"/>
        <family val="2"/>
      </rPr>
      <t xml:space="preserve">無（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依機齡兩段即主值；</t>
    </r>
    <r>
      <rPr>
        <sz val="11"/>
        <color theme="1"/>
        <rFont val="Calibri"/>
        <family val="2"/>
        <charset val="1"/>
      </rPr>
      <t xml:space="preserve">IF_MaintIT </t>
    </r>
    <r>
      <rPr>
        <sz val="11"/>
        <color theme="1"/>
        <rFont val="Noto Sans CJK SC"/>
        <family val="2"/>
      </rPr>
      <t xml:space="preserve">等值費率只作對照）</t>
    </r>
  </si>
  <si>
    <r>
      <rPr>
        <sz val="11"/>
        <color theme="1"/>
        <rFont val="Calibri"/>
        <family val="2"/>
        <charset val="1"/>
      </rPr>
      <t xml:space="preserve">W6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維護改依機齡兩段（</t>
    </r>
    <r>
      <rPr>
        <sz val="11"/>
        <color theme="1"/>
        <rFont val="Calibri"/>
        <family val="2"/>
        <charset val="1"/>
      </rPr>
      <t xml:space="preserve">Tokenomics v5.31</t>
    </r>
    <r>
      <rPr>
        <sz val="11"/>
        <color theme="1"/>
        <rFont val="Noto Sans CJK SC"/>
        <family val="2"/>
      </rPr>
      <t xml:space="preserve">）後，模型首期與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實際差距 −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v4.7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）：原差距主要來自 </t>
    </r>
    <r>
      <rPr>
        <sz val="11"/>
        <color theme="1"/>
        <rFont val="Calibri"/>
        <family val="2"/>
        <charset val="1"/>
      </rPr>
      <t xml:space="preserve">v4.7 </t>
    </r>
    <r>
      <rPr>
        <sz val="11"/>
        <color theme="1"/>
        <rFont val="Noto Sans CJK SC"/>
        <family val="2"/>
      </rPr>
      <t xml:space="preserve">把保固期內的機隊也按滿載維護費率計算。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實際另含研發（</t>
    </r>
    <r>
      <rPr>
        <sz val="11"/>
        <color theme="1"/>
        <rFont val="Calibri"/>
        <family val="2"/>
        <charset val="1"/>
      </rPr>
      <t xml:space="preserve">Q2 $117m</t>
    </r>
    <r>
      <rPr>
        <sz val="11"/>
        <color theme="1"/>
        <rFont val="Noto Sans CJK SC"/>
        <family val="2"/>
      </rPr>
      <t xml:space="preserve">），模型未另計</t>
    </r>
  </si>
  <si>
    <r>
      <rPr>
        <sz val="11"/>
        <color theme="1"/>
        <rFont val="Noto Sans CJK SC"/>
        <family val="2"/>
      </rPr>
      <t xml:space="preserve">無（差距 ≤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，規則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）；敏感度仍保留「營運成本＝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實際比率」</t>
    </r>
  </si>
  <si>
    <r>
      <rPr>
        <sz val="11"/>
        <color theme="1"/>
        <rFont val="Noto Sans CJK SC"/>
        <family val="2"/>
      </rPr>
      <t xml:space="preserve">找不到可證實的機制。</t>
    </r>
    <r>
      <rPr>
        <sz val="11"/>
        <color theme="1"/>
        <rFont val="Calibri"/>
        <family val="2"/>
        <charset val="1"/>
      </rPr>
      <t xml:space="preserve">W6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v5.31 GB300 </t>
    </r>
    <r>
      <rPr>
        <sz val="11"/>
        <color theme="1"/>
        <rFont val="Noto Sans CJK SC"/>
        <family val="2"/>
      </rPr>
      <t xml:space="preserve">機架價格 </t>
    </r>
    <r>
      <rPr>
        <sz val="11"/>
        <color theme="1"/>
        <rFont val="Calibri"/>
        <family val="2"/>
        <charset val="1"/>
      </rPr>
      <t xml:space="preserve">5.0 → 4.3 $M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IF_CapexIT GB300 37.45 → 32.24</t>
    </r>
    <r>
      <rPr>
        <sz val="11"/>
        <color theme="1"/>
        <rFont val="Noto Sans CJK SC"/>
        <family val="2"/>
      </rPr>
      <t xml:space="preserve">）後，差距 −</t>
    </r>
    <r>
      <rPr>
        <sz val="11"/>
        <color theme="1"/>
        <rFont val="Calibri"/>
        <family val="2"/>
        <charset val="1"/>
      </rPr>
      <t xml:space="preserve">29% → −19%</t>
    </r>
    <r>
      <rPr>
        <sz val="11"/>
        <color theme="1"/>
        <rFont val="Noto Sans CJK SC"/>
        <family val="2"/>
      </rPr>
      <t xml:space="preserve">，仍 </t>
    </r>
    <r>
      <rPr>
        <sz val="11"/>
        <color theme="1"/>
        <rFont val="Calibri"/>
        <family val="2"/>
        <charset val="1"/>
      </rPr>
      <t xml:space="preserve">&gt; 10%</t>
    </r>
    <r>
      <rPr>
        <sz val="11"/>
        <color theme="1"/>
        <rFont val="Noto Sans CJK SC"/>
        <family val="2"/>
      </rPr>
      <t xml:space="preserve">；可能原因（未證實）——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未定義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；若為設施口徑，換成 </t>
    </r>
    <r>
      <rPr>
        <sz val="11"/>
        <color theme="1"/>
        <rFont val="Calibri"/>
        <family val="2"/>
        <charset val="1"/>
      </rPr>
      <t xml:space="preserve">IT MW </t>
    </r>
    <r>
      <rPr>
        <sz val="11"/>
        <color theme="1"/>
        <rFont val="Noto Sans CJK SC"/>
        <family val="2"/>
      </rPr>
      <t xml:space="preserve">後差距縮小約 </t>
    </r>
    <r>
      <rPr>
        <sz val="11"/>
        <color theme="1"/>
        <rFont val="Calibri"/>
        <family val="2"/>
        <charset val="1"/>
      </rPr>
      <t xml:space="preserve">1/6</t>
    </r>
    <r>
      <rPr>
        <sz val="11"/>
        <color theme="1"/>
        <rFont val="Noto Sans CJK SC"/>
        <family val="2"/>
      </rPr>
      <t xml:space="preserve">）、議價（未揭露）；預建（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支出含 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上線的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）只會使實際偏高，方向相反</t>
    </r>
  </si>
  <si>
    <r>
      <rPr>
        <sz val="11"/>
        <color theme="1"/>
        <rFont val="Noto Sans CJK SC"/>
        <family val="2"/>
      </rPr>
      <t xml:space="preserve">敏感度輸入｜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季末保固期內占比（期初機齡層）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</si>
  <si>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期初機齡層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（評價日仍在保固期內者）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期初在役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</si>
  <si>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季末在役占比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IF_PowerCost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IF_StaffSW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IF_TaxIns × IT </t>
    </r>
    <r>
      <rPr>
        <sz val="11"/>
        <color theme="1"/>
        <rFont val="Noto Sans CJK SC"/>
        <family val="2"/>
      </rPr>
      <t xml:space="preserve">資本占比）＋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維護依機齡兩段（季末保固期內 </t>
    </r>
    <r>
      <rPr>
        <sz val="11"/>
        <color theme="1"/>
        <rFont val="Calibri"/>
        <family val="2"/>
        <charset val="1"/>
      </rPr>
      <t xml:space="preserve">MW × IF_MaintITWarr</t>
    </r>
    <r>
      <rPr>
        <sz val="11"/>
        <color theme="1"/>
        <rFont val="Noto Sans CJK SC"/>
        <family val="2"/>
      </rPr>
      <t xml:space="preserve">＋其餘 </t>
    </r>
    <r>
      <rPr>
        <sz val="11"/>
        <color theme="1"/>
        <rFont val="Calibri"/>
        <family val="2"/>
        <charset val="1"/>
      </rPr>
      <t xml:space="preserve">× IF_MaintITPost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季末在役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，基準成本情境</t>
    </r>
  </si>
  <si>
    <r>
      <rPr>
        <sz val="11"/>
        <color theme="1"/>
        <rFont val="Calibri"/>
        <family val="2"/>
        <charset val="1"/>
      </rPr>
      <t xml:space="preserve">W6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維護依機齡兩段（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季末 </t>
    </r>
    <r>
      <rPr>
        <sz val="11"/>
        <color theme="1"/>
        <rFont val="Calibri"/>
        <family val="2"/>
        <charset val="1"/>
      </rPr>
      <t xml:space="preserve">93% </t>
    </r>
    <r>
      <rPr>
        <sz val="11"/>
        <color theme="1"/>
        <rFont val="Noto Sans CJK SC"/>
        <family val="2"/>
      </rPr>
      <t xml:space="preserve">機隊在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年保固期內）後差距 ≤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（規則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實際另含研發（</t>
    </r>
    <r>
      <rPr>
        <sz val="11"/>
        <color theme="1"/>
        <rFont val="Calibri"/>
        <family val="2"/>
        <charset val="1"/>
      </rPr>
      <t xml:space="preserve">Q2 $117m</t>
    </r>
    <r>
      <rPr>
        <sz val="11"/>
        <color theme="1"/>
        <rFont val="Noto Sans CJK SC"/>
        <family val="2"/>
      </rPr>
      <t xml:space="preserve">），模型未另計</t>
    </r>
  </si>
  <si>
    <r>
      <rPr>
        <sz val="11"/>
        <color theme="1"/>
        <rFont val="Calibri"/>
        <family val="2"/>
        <charset val="1"/>
      </rPr>
      <t xml:space="preserve">W6 </t>
    </r>
    <r>
      <rPr>
        <sz val="11"/>
        <color theme="1"/>
        <rFont val="Noto Sans CJK SC"/>
        <family val="2"/>
      </rPr>
      <t xml:space="preserve">後收入、營運成本、租金、管銷都在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＝營收 − 現金成本（扣 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），與模型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</si>
  <si>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b val="true"/>
        <sz val="13"/>
        <rFont val="Cambria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引用名稱前後值（</t>
    </r>
    <r>
      <rPr>
        <b val="true"/>
        <sz val="13"/>
        <rFont val="Cambria"/>
        <family val="0"/>
        <charset val="1"/>
      </rPr>
      <t xml:space="preserve">v5.27 → v5.31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$B/GW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Cambria"/>
        <family val="0"/>
        <charset val="1"/>
      </rPr>
      <t xml:space="preserve">US$m/MW</t>
    </r>
    <r>
      <rPr>
        <b val="true"/>
        <sz val="13"/>
        <rFont val="Noto Sans CJK SC"/>
        <family val="2"/>
      </rPr>
      <t xml:space="preserve">）</t>
    </r>
  </si>
  <si>
    <t xml:space="preserve">名稱</t>
  </si>
  <si>
    <t xml:space="preserve">世代</t>
  </si>
  <si>
    <t xml:space="preserve">成本情境</t>
  </si>
  <si>
    <t xml:space="preserve">v5.27</t>
  </si>
  <si>
    <t xml:space="preserve">v5.31</t>
  </si>
  <si>
    <t xml:space="preserve">IF_RacksPerGW</t>
  </si>
  <si>
    <t xml:space="preserve">Hopper H100</t>
  </si>
  <si>
    <t xml:space="preserve">低成本</t>
  </si>
  <si>
    <t xml:space="preserve">基準</t>
  </si>
  <si>
    <t xml:space="preserve">高成本</t>
  </si>
  <si>
    <t xml:space="preserve">GB200 NVL72</t>
  </si>
  <si>
    <t xml:space="preserve">GB300 NVL72</t>
  </si>
  <si>
    <t xml:space="preserve">VR200 NVL72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</si>
  <si>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</si>
  <si>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IF_GPUsPerGW</t>
  </si>
  <si>
    <t xml:space="preserve">IF_FacilityGW</t>
  </si>
  <si>
    <t xml:space="preserve">IF_CapexIT</t>
  </si>
  <si>
    <t xml:space="preserve">IF_CapexFacility</t>
  </si>
  <si>
    <t xml:space="preserve">IF_CapexTotal</t>
  </si>
  <si>
    <t xml:space="preserve">IF_HoldAcct</t>
  </si>
  <si>
    <t xml:space="preserve">IF_HoldEcon</t>
  </si>
  <si>
    <t xml:space="preserve">IF_GPUhrEcon</t>
  </si>
  <si>
    <t xml:space="preserve">IF_PowerCost</t>
  </si>
  <si>
    <t xml:space="preserve">IF_Util</t>
  </si>
  <si>
    <t xml:space="preserve">L1_FacCapexMW</t>
  </si>
  <si>
    <t xml:space="preserve">L1_GPUhr_GB200_vsCW</t>
  </si>
  <si>
    <t xml:space="preserve">L1_GPUhr_GB300_vsBE</t>
  </si>
  <si>
    <t xml:space="preserve">L1_RevGW_Fleet_VR200</t>
  </si>
  <si>
    <t xml:space="preserve">IF_DeprLifeIT</t>
  </si>
  <si>
    <t xml:space="preserve">IF_DeprIT</t>
  </si>
  <si>
    <t xml:space="preserve">IF_DeprFac</t>
  </si>
  <si>
    <t xml:space="preserve">IF_AvgDraw</t>
  </si>
  <si>
    <t xml:space="preserve">IF_PowerPrice</t>
  </si>
  <si>
    <t xml:space="preserve">IF_MaintIT</t>
  </si>
  <si>
    <t xml:space="preserve">IF_MaintFac</t>
  </si>
  <si>
    <t xml:space="preserve">IF_TaxIns</t>
  </si>
  <si>
    <t xml:space="preserve">IF_OpexGW</t>
  </si>
  <si>
    <t xml:space="preserve">IF_RevGWFleet</t>
  </si>
  <si>
    <t xml:space="preserve">IF_MaintITWarr</t>
  </si>
  <si>
    <t xml:space="preserve">IF_MaintITPost</t>
  </si>
  <si>
    <t xml:space="preserve">IF_WarrantyYrs</t>
  </si>
  <si>
    <r>
      <rPr>
        <b val="true"/>
        <sz val="13"/>
        <rFont val="Noto Sans CJK SC"/>
        <family val="2"/>
      </rPr>
      <t xml:space="preserve">敏感度（建置時快照 </t>
    </r>
    <r>
      <rPr>
        <b val="true"/>
        <sz val="13"/>
        <rFont val="Cambria"/>
        <family val="0"/>
        <charset val="1"/>
      </rPr>
      <t xml:space="preserve">permw_sens.json</t>
    </r>
    <r>
      <rPr>
        <b val="true"/>
        <sz val="13"/>
        <rFont val="Noto Sans CJK SC"/>
        <family val="2"/>
      </rPr>
      <t xml:space="preserve">；加權目標價 </t>
    </r>
    <r>
      <rPr>
        <b val="true"/>
        <sz val="13"/>
        <rFont val="Cambria"/>
        <family val="0"/>
        <charset val="1"/>
      </rPr>
      <t xml:space="preserve">US$</t>
    </r>
    <r>
      <rPr>
        <b val="true"/>
        <sz val="13"/>
        <rFont val="Noto Sans CJK SC"/>
        <family val="2"/>
      </rPr>
      <t xml:space="preserve">／融資缺口 </t>
    </r>
    <r>
      <rPr>
        <b val="true"/>
        <sz val="13"/>
        <rFont val="Cambria"/>
        <family val="0"/>
        <charset val="1"/>
      </rPr>
      <t xml:space="preserve">US$bn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v4.7 → v4.8</t>
    </r>
    <r>
      <rPr>
        <b val="true"/>
        <sz val="13"/>
        <rFont val="Noto Sans CJK SC"/>
        <family val="2"/>
      </rPr>
      <t xml:space="preserve">）</t>
    </r>
  </si>
  <si>
    <t xml:space="preserve">設定</t>
  </si>
  <si>
    <t xml:space="preserve">保守 目標價</t>
  </si>
  <si>
    <t xml:space="preserve">保守 缺口</t>
  </si>
  <si>
    <t xml:space="preserve">基準 目標價</t>
  </si>
  <si>
    <t xml:space="preserve">基準 缺口</t>
  </si>
  <si>
    <t xml:space="preserve">積極 目標價</t>
  </si>
  <si>
    <t xml:space="preserve">積極 缺口</t>
  </si>
  <si>
    <t xml:space="preserve">基準（目前輸入）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</si>
  <si>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</si>
  <si>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高成本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</si>
  <si>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小時價格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</si>
  <si>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小時價格 高</t>
    </r>
  </si>
  <si>
    <r>
      <rPr>
        <sz val="11"/>
        <color theme="1"/>
        <rFont val="Noto Sans CJK SC"/>
        <family val="2"/>
      </rPr>
      <t xml:space="preserve">世代組合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版</t>
    </r>
  </si>
  <si>
    <r>
      <rPr>
        <sz val="11"/>
        <color theme="1"/>
        <rFont val="Noto Sans CJK SC"/>
        <family val="2"/>
      </rPr>
      <t xml:space="preserve">管銷率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</si>
  <si>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</si>
  <si>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（三筆長約中位數）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</si>
  <si>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</si>
  <si>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隨需占比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 </t>
    </r>
    <r>
      <rPr>
        <sz val="11"/>
        <color theme="1"/>
        <rFont val="Calibri"/>
        <family val="2"/>
        <charset val="1"/>
      </rPr>
      <t xml:space="preserve">1.76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</si>
  <si>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隨需占比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 </t>
    </r>
    <r>
      <rPr>
        <sz val="11"/>
        <color theme="1"/>
        <rFont val="Calibri"/>
        <family val="2"/>
        <charset val="1"/>
      </rPr>
      <t xml:space="preserve">1.76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</si>
  <si>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既有合約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不套用（全部按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新約）</t>
    </r>
  </si>
  <si>
    <r>
      <rPr>
        <sz val="11"/>
        <color theme="1"/>
        <rFont val="Noto Sans CJK SC"/>
        <family val="2"/>
      </rPr>
      <t xml:space="preserve">新約價格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（公司說法，只作用於長約）</t>
    </r>
  </si>
  <si>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10% × 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 3.14</t>
    </r>
  </si>
  <si>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10% × CRWV </t>
    </r>
    <r>
      <rPr>
        <sz val="11"/>
        <color theme="1"/>
        <rFont val="Noto Sans CJK SC"/>
        <family val="2"/>
      </rPr>
      <t xml:space="preserve">短天期 </t>
    </r>
    <r>
      <rPr>
        <sz val="11"/>
        <color theme="1"/>
        <rFont val="Calibri"/>
        <family val="2"/>
        <charset val="1"/>
      </rPr>
      <t xml:space="preserve">k 3.67</t>
    </r>
  </si>
  <si>
    <r>
      <rPr>
        <sz val="11"/>
        <color theme="1"/>
        <rFont val="Noto Sans CJK SC"/>
        <family val="2"/>
      </rPr>
      <t xml:space="preserve">營運成本＝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實際比率（</t>
    </r>
    <r>
      <rPr>
        <sz val="11"/>
        <color theme="1"/>
        <rFont val="Calibri"/>
        <family val="2"/>
        <charset val="1"/>
      </rPr>
      <t xml:space="preserve">× 0.65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</si>
  <si>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營運成本＝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實際比率（</t>
    </r>
    <r>
      <rPr>
        <sz val="11"/>
        <color theme="1"/>
        <rFont val="Calibri"/>
        <family val="2"/>
        <charset val="1"/>
      </rPr>
      <t xml:space="preserve">× 1.02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</si>
  <si>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實際比率（</t>
    </r>
    <r>
      <rPr>
        <sz val="11"/>
        <color theme="1"/>
        <rFont val="Calibri"/>
        <family val="2"/>
        <charset val="1"/>
      </rPr>
      <t xml:space="preserve">× 0.71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</si>
  <si>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建置成本＝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實際比率（</t>
    </r>
    <r>
      <rPr>
        <sz val="11"/>
        <color theme="1"/>
        <rFont val="Calibri"/>
        <family val="2"/>
        <charset val="1"/>
      </rPr>
      <t xml:space="preserve">× 0.81</t>
    </r>
    <r>
      <rPr>
        <sz val="11"/>
        <color theme="1"/>
        <rFont val="Noto Sans CJK SC"/>
        <family val="2"/>
      </rPr>
      <t xml:space="preserve">）</t>
    </r>
  </si>
  <si>
    <t xml:space="preserve">營運成本與建置成本皆用公司實際比率</t>
  </si>
  <si>
    <r>
      <rPr>
        <b val="true"/>
        <sz val="13"/>
        <rFont val="Noto Sans CJK SC"/>
        <family val="2"/>
      </rPr>
      <t xml:space="preserve">目標價變動拆解（</t>
    </r>
    <r>
      <rPr>
        <b val="true"/>
        <sz val="13"/>
        <rFont val="Cambria"/>
        <family val="0"/>
        <charset val="1"/>
      </rPr>
      <t xml:space="preserve">v4.7 → v4.8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截斷口徑，</t>
    </r>
    <r>
      <rPr>
        <b val="true"/>
        <sz val="13"/>
        <rFont val="Cambria"/>
        <family val="0"/>
        <charset val="1"/>
      </rPr>
      <t xml:space="preserve">US$</t>
    </r>
    <r>
      <rPr>
        <b val="true"/>
        <sz val="13"/>
        <rFont val="Noto Sans CJK SC"/>
        <family val="2"/>
      </rPr>
      <t xml:space="preserve">／股；</t>
    </r>
    <r>
      <rPr>
        <b val="true"/>
        <sz val="13"/>
        <rFont val="Cambria"/>
        <family val="0"/>
        <charset val="1"/>
      </rPr>
      <t xml:space="preserve">scripts/attrib_w6.py</t>
    </r>
    <r>
      <rPr>
        <b val="true"/>
        <sz val="13"/>
        <rFont val="Noto Sans CJK SC"/>
        <family val="2"/>
      </rPr>
      <t xml:space="preserve">）</t>
    </r>
  </si>
  <si>
    <t xml:space="preserve">逐項</t>
  </si>
  <si>
    <t xml:space="preserve">保守</t>
  </si>
  <si>
    <t xml:space="preserve">積極</t>
  </si>
  <si>
    <r>
      <rPr>
        <sz val="11"/>
        <color theme="1"/>
        <rFont val="Calibri"/>
        <family val="2"/>
        <charset val="1"/>
      </rPr>
      <t xml:space="preserve">① (c) GB300 </t>
    </r>
    <r>
      <rPr>
        <sz val="11"/>
        <color theme="1"/>
        <rFont val="Noto Sans CJK SC"/>
        <family val="2"/>
      </rPr>
      <t xml:space="preserve">機架價格：資本支出、折舊、稅險（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等換 </t>
    </r>
    <r>
      <rPr>
        <sz val="11"/>
        <color theme="1"/>
        <rFont val="Calibri"/>
        <family val="2"/>
        <charset val="1"/>
      </rPr>
      <t xml:space="preserve">v5.31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</si>
  <si>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② (c) </t>
    </r>
    <r>
      <rPr>
        <sz val="11"/>
        <color theme="1"/>
        <rFont val="Noto Sans CJK SC"/>
        <family val="2"/>
      </rPr>
      <t xml:space="preserve">收入錨：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v5.31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；含機架價格與維護費率；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輸入不動）</t>
    </r>
  </si>
  <si>
    <r>
      <rPr>
        <sz val="11"/>
        <color theme="1"/>
        <rFont val="Calibri"/>
        <family val="2"/>
        <charset val="1"/>
      </rPr>
      <t xml:space="preserve">③ (d) IT </t>
    </r>
    <r>
      <rPr>
        <sz val="11"/>
        <color theme="1"/>
        <rFont val="Noto Sans CJK SC"/>
        <family val="2"/>
      </rPr>
      <t xml:space="preserve">維護依機齡兩段（保固期內 </t>
    </r>
    <r>
      <rPr>
        <sz val="11"/>
        <color theme="1"/>
        <rFont val="Calibri"/>
        <family val="2"/>
        <charset val="1"/>
      </rPr>
      <t xml:space="preserve">IF_MaintITWarr</t>
    </r>
    <r>
      <rPr>
        <sz val="11"/>
        <color theme="1"/>
        <rFont val="Noto Sans CJK SC"/>
        <family val="2"/>
      </rPr>
      <t xml:space="preserve">、期滿 </t>
    </r>
    <r>
      <rPr>
        <sz val="11"/>
        <color theme="1"/>
        <rFont val="Calibri"/>
        <family val="2"/>
        <charset val="1"/>
      </rPr>
      <t xml:space="preserve">IF_MaintITPost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</si>
  <si>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④ (d) MW </t>
    </r>
    <r>
      <rPr>
        <sz val="11"/>
        <color theme="1"/>
        <rFont val="Noto Sans CJK SC"/>
        <family val="2"/>
      </rPr>
      <t xml:space="preserve">口徑（查證後未改，維持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</si>
  <si>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合計（＝總變動）</t>
  </si>
  <si>
    <r>
      <rPr>
        <sz val="11"/>
        <color theme="1"/>
        <rFont val="Noto Sans CJK SC"/>
        <family val="2"/>
      </rPr>
      <t xml:space="preserve">總變動（</t>
    </r>
    <r>
      <rPr>
        <sz val="11"/>
        <color theme="1"/>
        <rFont val="Calibri"/>
        <family val="2"/>
        <charset val="1"/>
      </rPr>
      <t xml:space="preserve">v4.8 − v4.7</t>
    </r>
    <r>
      <rPr>
        <sz val="11"/>
        <color theme="1"/>
        <rFont val="Noto Sans CJK SC"/>
        <family val="2"/>
      </rPr>
      <t xml:space="preserve">，讀值）</t>
    </r>
  </si>
  <si>
    <r>
      <rPr>
        <sz val="11"/>
        <color theme="1"/>
        <rFont val="Noto Sans CJK SC"/>
        <family val="2"/>
      </rPr>
      <t xml:space="preserve">檢查（合計 − 總變動，應為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</si>
  <si>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</si>
  <si>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實際數更新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</si>
  <si>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假設變更（①＋②）</t>
    </r>
  </si>
  <si>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方法變更（③＋④）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</si>
</sst>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%"/>
    <numFmt numFmtId="168" formatCode="\+0.00;\-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10</v>
      </c>
    </row>
    <row r="5" customFormat="false" ht="17.15" hidden="false" customHeight="false" outlineLevel="0" collapsed="false">
      <c r="A5" s="5" t="s">
        <v>11</v>
      </c>
      <c r="B5" s="5" t="n">
        <v>18.4389160784888</v>
      </c>
      <c r="C5" s="5" t="n">
        <v>29.3181542946211</v>
      </c>
      <c r="D5" s="5" t="n">
        <f aca="false">C5-B5</f>
        <v>10.8792382161324</v>
      </c>
      <c r="E5" s="5" t="s">
        <v>12</v>
      </c>
      <c r="F5" s="5" t="s">
        <v>12</v>
      </c>
      <c r="G5" s="5" t="n">
        <v>51.013578305205</v>
      </c>
      <c r="H5" s="5" t="n">
        <v>40.6837030341992</v>
      </c>
      <c r="I5" s="5" t="n">
        <f aca="false">H5-G5</f>
        <v>-10.3298752710058</v>
      </c>
    </row>
    <row r="6" customFormat="false" ht="17.15" hidden="false" customHeight="false" outlineLevel="0" collapsed="false">
      <c r="A6" s="5" t="s">
        <v>13</v>
      </c>
      <c r="B6" s="5" t="n">
        <v>13.2946559274427</v>
      </c>
      <c r="C6" s="5" t="n">
        <v>18.5333004436762</v>
      </c>
      <c r="D6" s="5" t="n">
        <f aca="false">C6-B6</f>
        <v>5.23864451623355</v>
      </c>
      <c r="E6" s="5" t="s">
        <v>12</v>
      </c>
      <c r="F6" s="5" t="s">
        <v>12</v>
      </c>
      <c r="G6" s="5" t="n">
        <v>100.928227629337</v>
      </c>
      <c r="H6" s="5" t="n">
        <v>89.4072913196021</v>
      </c>
      <c r="I6" s="5" t="n">
        <f aca="false">H6-G6</f>
        <v>-11.5209363097349</v>
      </c>
    </row>
    <row r="7" customFormat="false" ht="17.15" hidden="false" customHeight="false" outlineLevel="0" collapsed="false">
      <c r="A7" s="5" t="s">
        <v>14</v>
      </c>
      <c r="B7" s="5" t="n">
        <v>0</v>
      </c>
      <c r="C7" s="5" t="n">
        <v>0</v>
      </c>
      <c r="D7" s="5" t="n">
        <f aca="false">C7-B7</f>
        <v>0</v>
      </c>
      <c r="E7" s="5" t="s">
        <v>12</v>
      </c>
      <c r="F7" s="5" t="s">
        <v>12</v>
      </c>
      <c r="G7" s="5" t="n">
        <v>179.634002446844</v>
      </c>
      <c r="H7" s="5" t="n">
        <v>165.385125098764</v>
      </c>
      <c r="I7" s="5" t="n">
        <f aca="false">H7-G7</f>
        <v>-14.2488773480801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6" t="s">
        <v>15</v>
      </c>
    </row>
    <row r="3" customFormat="false" ht="17.15" hidden="false" customHeight="false" outlineLevel="0" collapsed="false">
      <c r="A3" s="3" t="s">
        <v>2</v>
      </c>
      <c r="B3" s="3" t="s">
        <v>16</v>
      </c>
      <c r="C3" s="3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7.15" hidden="false" customHeight="false" outlineLevel="0" collapsed="false">
      <c r="A4" s="7" t="s">
        <v>11</v>
      </c>
      <c r="B4" s="7" t="s">
        <v>23</v>
      </c>
      <c r="C4" s="0" t="s">
        <v>24</v>
      </c>
      <c r="D4" s="8" t="n">
        <v>8.21898450944851</v>
      </c>
      <c r="E4" s="8" t="n">
        <v>8.5808609227636</v>
      </c>
      <c r="F4" s="8" t="n">
        <v>8.69829484891876</v>
      </c>
      <c r="G4" s="8" t="n">
        <v>8.63341443023907</v>
      </c>
      <c r="H4" s="8" t="n">
        <v>8.31328977525306</v>
      </c>
    </row>
    <row r="5" customFormat="false" ht="17.15" hidden="false" customHeight="false" outlineLevel="0" collapsed="false">
      <c r="A5" s="7" t="s">
        <v>11</v>
      </c>
      <c r="B5" s="7" t="s">
        <v>23</v>
      </c>
      <c r="C5" s="0" t="s">
        <v>25</v>
      </c>
      <c r="D5" s="8" t="n">
        <v>8.11382745599041</v>
      </c>
      <c r="E5" s="8" t="n">
        <v>8.25049212401025</v>
      </c>
      <c r="F5" s="8" t="n">
        <v>8.33605601305693</v>
      </c>
      <c r="G5" s="8" t="n">
        <v>8.29750080662351</v>
      </c>
      <c r="H5" s="8" t="n">
        <v>7.97619709698908</v>
      </c>
    </row>
    <row r="6" customFormat="false" ht="17.15" hidden="false" customHeight="false" outlineLevel="0" collapsed="false">
      <c r="A6" s="7" t="s">
        <v>11</v>
      </c>
      <c r="B6" s="7" t="s">
        <v>26</v>
      </c>
      <c r="C6" s="0" t="s">
        <v>24</v>
      </c>
      <c r="D6" s="8" t="n">
        <v>0.672768</v>
      </c>
      <c r="E6" s="8" t="n">
        <v>0.672768</v>
      </c>
      <c r="F6" s="8" t="n">
        <v>0.672768</v>
      </c>
      <c r="G6" s="8" t="n">
        <v>0.672768</v>
      </c>
      <c r="H6" s="8" t="n">
        <v>0.672768</v>
      </c>
    </row>
    <row r="7" customFormat="false" ht="17.15" hidden="false" customHeight="false" outlineLevel="0" collapsed="false">
      <c r="A7" s="7" t="s">
        <v>11</v>
      </c>
      <c r="B7" s="7" t="s">
        <v>26</v>
      </c>
      <c r="C7" s="0" t="s">
        <v>25</v>
      </c>
      <c r="D7" s="8" t="n">
        <v>0.672768</v>
      </c>
      <c r="E7" s="8" t="n">
        <v>0.672768</v>
      </c>
      <c r="F7" s="8" t="n">
        <v>0.672768</v>
      </c>
      <c r="G7" s="8" t="n">
        <v>0.672768</v>
      </c>
      <c r="H7" s="8" t="n">
        <v>0.672768</v>
      </c>
    </row>
    <row r="8" customFormat="false" ht="17.15" hidden="false" customHeight="false" outlineLevel="0" collapsed="false">
      <c r="A8" s="7" t="s">
        <v>11</v>
      </c>
      <c r="B8" s="0" t="s">
        <v>27</v>
      </c>
      <c r="C8" s="0" t="s">
        <v>24</v>
      </c>
      <c r="D8" s="8" t="n">
        <v>0.936206901352657</v>
      </c>
      <c r="E8" s="8" t="n">
        <v>0.991538286572</v>
      </c>
      <c r="F8" s="8" t="n">
        <v>1.02960510297557</v>
      </c>
      <c r="G8" s="8" t="n">
        <v>1.04685665506643</v>
      </c>
      <c r="H8" s="8" t="n">
        <v>1.06365616130136</v>
      </c>
    </row>
    <row r="9" customFormat="false" ht="17.15" hidden="false" customHeight="false" outlineLevel="0" collapsed="false">
      <c r="A9" s="7" t="s">
        <v>11</v>
      </c>
      <c r="B9" s="0" t="s">
        <v>27</v>
      </c>
      <c r="C9" s="0" t="s">
        <v>25</v>
      </c>
      <c r="D9" s="8" t="n">
        <v>0.184804918429672</v>
      </c>
      <c r="E9" s="8" t="n">
        <v>0.216090700452404</v>
      </c>
      <c r="F9" s="8" t="n">
        <v>0.277800866866406</v>
      </c>
      <c r="G9" s="8" t="n">
        <v>0.408498600664463</v>
      </c>
      <c r="H9" s="8" t="n">
        <v>0.578349703812881</v>
      </c>
    </row>
    <row r="10" customFormat="false" ht="17.15" hidden="false" customHeight="false" outlineLevel="0" collapsed="false">
      <c r="A10" s="7" t="s">
        <v>11</v>
      </c>
      <c r="B10" s="7" t="s">
        <v>28</v>
      </c>
      <c r="C10" s="0" t="s">
        <v>24</v>
      </c>
      <c r="D10" s="8" t="n">
        <v>0.325</v>
      </c>
      <c r="E10" s="8" t="n">
        <v>0.325</v>
      </c>
      <c r="F10" s="8" t="n">
        <v>0.325</v>
      </c>
      <c r="G10" s="8" t="n">
        <v>0.325</v>
      </c>
      <c r="H10" s="8" t="n">
        <v>0.325</v>
      </c>
    </row>
    <row r="11" customFormat="false" ht="17.15" hidden="false" customHeight="false" outlineLevel="0" collapsed="false">
      <c r="A11" s="7" t="s">
        <v>11</v>
      </c>
      <c r="B11" s="7" t="s">
        <v>28</v>
      </c>
      <c r="C11" s="0" t="s">
        <v>25</v>
      </c>
      <c r="D11" s="8" t="n">
        <v>0.325</v>
      </c>
      <c r="E11" s="8" t="n">
        <v>0.325</v>
      </c>
      <c r="F11" s="8" t="n">
        <v>0.325</v>
      </c>
      <c r="G11" s="8" t="n">
        <v>0.325</v>
      </c>
      <c r="H11" s="8" t="n">
        <v>0.325</v>
      </c>
    </row>
    <row r="12" customFormat="false" ht="17.15" hidden="false" customHeight="false" outlineLevel="0" collapsed="false">
      <c r="A12" s="7" t="s">
        <v>11</v>
      </c>
      <c r="B12" s="7" t="s">
        <v>29</v>
      </c>
      <c r="C12" s="0" t="s">
        <v>24</v>
      </c>
      <c r="D12" s="8" t="n">
        <v>0.156034483558776</v>
      </c>
      <c r="E12" s="8" t="n">
        <v>0.165256381095333</v>
      </c>
      <c r="F12" s="8" t="n">
        <v>0.171600850495928</v>
      </c>
      <c r="G12" s="8" t="n">
        <v>0.174476109177738</v>
      </c>
      <c r="H12" s="8" t="n">
        <v>0.17727602688356</v>
      </c>
    </row>
    <row r="13" customFormat="false" ht="17.15" hidden="false" customHeight="false" outlineLevel="0" collapsed="false">
      <c r="A13" s="7" t="s">
        <v>11</v>
      </c>
      <c r="B13" s="7" t="s">
        <v>29</v>
      </c>
      <c r="C13" s="0" t="s">
        <v>25</v>
      </c>
      <c r="D13" s="8" t="n">
        <v>0.143744513016328</v>
      </c>
      <c r="E13" s="8" t="n">
        <v>0.152177821839333</v>
      </c>
      <c r="F13" s="8" t="n">
        <v>0.159859583348507</v>
      </c>
      <c r="G13" s="8" t="n">
        <v>0.164349266263088</v>
      </c>
      <c r="H13" s="8" t="n">
        <v>0.167631414583893</v>
      </c>
    </row>
    <row r="14" customFormat="false" ht="17.15" hidden="false" customHeight="false" outlineLevel="0" collapsed="false">
      <c r="A14" s="7" t="s">
        <v>11</v>
      </c>
      <c r="B14" s="7" t="s">
        <v>30</v>
      </c>
      <c r="C14" s="0" t="s">
        <v>24</v>
      </c>
      <c r="D14" s="8" t="n">
        <v>0.453241087511335</v>
      </c>
      <c r="E14" s="8" t="n">
        <v>0.473196990692206</v>
      </c>
      <c r="F14" s="8" t="n">
        <v>0.479672958658821</v>
      </c>
      <c r="G14" s="8" t="n">
        <v>0.476095087026776</v>
      </c>
      <c r="H14" s="8" t="n">
        <v>0.458441610907159</v>
      </c>
    </row>
    <row r="15" customFormat="false" ht="17.15" hidden="false" customHeight="false" outlineLevel="0" collapsed="false">
      <c r="A15" s="7" t="s">
        <v>11</v>
      </c>
      <c r="B15" s="7" t="s">
        <v>30</v>
      </c>
      <c r="C15" s="0" t="s">
        <v>25</v>
      </c>
      <c r="D15" s="8" t="n">
        <v>0.447442135437141</v>
      </c>
      <c r="E15" s="8" t="n">
        <v>0.454978594799789</v>
      </c>
      <c r="F15" s="8" t="n">
        <v>0.459697069457896</v>
      </c>
      <c r="G15" s="8" t="n">
        <v>0.45757091826817</v>
      </c>
      <c r="H15" s="8" t="n">
        <v>0.439852422435903</v>
      </c>
    </row>
    <row r="16" customFormat="false" ht="17.15" hidden="false" customHeight="false" outlineLevel="0" collapsed="false">
      <c r="A16" s="7" t="s">
        <v>11</v>
      </c>
      <c r="B16" s="7" t="s">
        <v>31</v>
      </c>
      <c r="C16" s="0" t="s">
        <v>24</v>
      </c>
      <c r="D16" s="8" t="n">
        <v>1.6</v>
      </c>
      <c r="E16" s="8" t="n">
        <v>1.59151515151515</v>
      </c>
      <c r="F16" s="8" t="n">
        <v>1.31356708742403</v>
      </c>
      <c r="G16" s="8" t="n">
        <v>1.15575</v>
      </c>
      <c r="H16" s="8" t="n">
        <v>0.999945054945055</v>
      </c>
    </row>
    <row r="17" customFormat="false" ht="17.15" hidden="false" customHeight="false" outlineLevel="0" collapsed="false">
      <c r="A17" s="7" t="s">
        <v>11</v>
      </c>
      <c r="B17" s="7" t="s">
        <v>31</v>
      </c>
      <c r="C17" s="0" t="s">
        <v>25</v>
      </c>
      <c r="D17" s="8" t="n">
        <v>1.6</v>
      </c>
      <c r="E17" s="8" t="n">
        <v>1.59151515151515</v>
      </c>
      <c r="F17" s="8" t="n">
        <v>1.31356708742403</v>
      </c>
      <c r="G17" s="8" t="n">
        <v>1.15575</v>
      </c>
      <c r="H17" s="8" t="n">
        <v>0.999945054945055</v>
      </c>
    </row>
    <row r="18" customFormat="false" ht="17.15" hidden="false" customHeight="false" outlineLevel="0" collapsed="false">
      <c r="A18" s="7" t="s">
        <v>11</v>
      </c>
      <c r="B18" s="7" t="s">
        <v>32</v>
      </c>
      <c r="C18" s="0" t="s">
        <v>24</v>
      </c>
      <c r="D18" s="8" t="n">
        <v>4.14325047242277</v>
      </c>
      <c r="E18" s="8" t="n">
        <v>4.21927480987469</v>
      </c>
      <c r="F18" s="8" t="n">
        <v>3.99221399955434</v>
      </c>
      <c r="G18" s="8" t="n">
        <v>3.85094585127094</v>
      </c>
      <c r="H18" s="8" t="n">
        <v>3.69708685403713</v>
      </c>
    </row>
    <row r="19" customFormat="false" ht="17.15" hidden="false" customHeight="false" outlineLevel="0" collapsed="false">
      <c r="A19" s="7" t="s">
        <v>11</v>
      </c>
      <c r="B19" s="7" t="s">
        <v>32</v>
      </c>
      <c r="C19" s="0" t="s">
        <v>25</v>
      </c>
      <c r="D19" s="8" t="n">
        <v>3.37375956688314</v>
      </c>
      <c r="E19" s="8" t="n">
        <v>3.41253026860668</v>
      </c>
      <c r="F19" s="8" t="n">
        <v>3.20869260709684</v>
      </c>
      <c r="G19" s="8" t="n">
        <v>3.18393678519572</v>
      </c>
      <c r="H19" s="8" t="n">
        <v>3.18354659577773</v>
      </c>
    </row>
    <row r="20" customFormat="false" ht="17.15" hidden="false" customHeight="false" outlineLevel="0" collapsed="false">
      <c r="A20" s="7" t="s">
        <v>11</v>
      </c>
      <c r="B20" s="0" t="s">
        <v>33</v>
      </c>
      <c r="C20" s="0" t="s">
        <v>24</v>
      </c>
      <c r="D20" s="8" t="n">
        <v>4.07573403702574</v>
      </c>
      <c r="E20" s="8" t="n">
        <v>4.36158611288891</v>
      </c>
      <c r="F20" s="8" t="n">
        <v>4.70608084936442</v>
      </c>
      <c r="G20" s="8" t="n">
        <v>4.78246857896813</v>
      </c>
      <c r="H20" s="8" t="n">
        <v>4.61620292121593</v>
      </c>
    </row>
    <row r="21" customFormat="false" ht="17.15" hidden="false" customHeight="false" outlineLevel="0" collapsed="false">
      <c r="A21" s="7" t="s">
        <v>11</v>
      </c>
      <c r="B21" s="0" t="s">
        <v>33</v>
      </c>
      <c r="C21" s="0" t="s">
        <v>25</v>
      </c>
      <c r="D21" s="8" t="n">
        <v>4.74006788910727</v>
      </c>
      <c r="E21" s="8" t="n">
        <v>4.83796185540358</v>
      </c>
      <c r="F21" s="8" t="n">
        <v>5.12736340596009</v>
      </c>
      <c r="G21" s="8" t="n">
        <v>5.11356402142779</v>
      </c>
      <c r="H21" s="8" t="n">
        <v>4.79265050121135</v>
      </c>
    </row>
    <row r="22" customFormat="false" ht="17.15" hidden="false" customHeight="false" outlineLevel="0" collapsed="false">
      <c r="A22" s="7" t="s">
        <v>11</v>
      </c>
      <c r="B22" s="0" t="s">
        <v>34</v>
      </c>
      <c r="C22" s="0" t="s">
        <v>24</v>
      </c>
      <c r="D22" s="8" t="n">
        <v>5.72805417039801</v>
      </c>
      <c r="E22" s="8" t="n">
        <v>5.94171284545455</v>
      </c>
      <c r="F22" s="8" t="n">
        <v>5.7610107442029</v>
      </c>
      <c r="G22" s="8" t="n">
        <v>5.638378661875</v>
      </c>
      <c r="H22" s="8" t="n">
        <v>5.5637822875</v>
      </c>
    </row>
    <row r="23" customFormat="false" ht="17.15" hidden="false" customHeight="false" outlineLevel="0" collapsed="false">
      <c r="A23" s="7" t="s">
        <v>11</v>
      </c>
      <c r="B23" s="0" t="s">
        <v>34</v>
      </c>
      <c r="C23" s="0" t="s">
        <v>25</v>
      </c>
      <c r="D23" s="8" t="n">
        <v>5.58870646766169</v>
      </c>
      <c r="E23" s="8" t="n">
        <v>5.66037763670034</v>
      </c>
      <c r="F23" s="8" t="n">
        <v>5.49266451835749</v>
      </c>
      <c r="G23" s="8" t="n">
        <v>5.40693004208333</v>
      </c>
      <c r="H23" s="8" t="n">
        <v>5.34335503055556</v>
      </c>
    </row>
    <row r="24" customFormat="false" ht="17.15" hidden="false" customHeight="false" outlineLevel="0" collapsed="false">
      <c r="A24" s="7" t="s">
        <v>11</v>
      </c>
      <c r="B24" s="7" t="s">
        <v>35</v>
      </c>
      <c r="C24" s="0" t="s">
        <v>24</v>
      </c>
      <c r="D24" s="8" t="n">
        <v>2.96061978504094</v>
      </c>
      <c r="E24" s="8" t="n">
        <v>2.98613353977593</v>
      </c>
      <c r="F24" s="8" t="n">
        <v>2.23328172691296</v>
      </c>
      <c r="G24" s="8" t="n">
        <v>1.85430217724899</v>
      </c>
      <c r="H24" s="8" t="n">
        <v>1.70949184038434</v>
      </c>
    </row>
    <row r="25" customFormat="false" ht="17.15" hidden="false" customHeight="false" outlineLevel="0" collapsed="false">
      <c r="A25" s="7" t="s">
        <v>11</v>
      </c>
      <c r="B25" s="7" t="s">
        <v>35</v>
      </c>
      <c r="C25" s="0" t="s">
        <v>25</v>
      </c>
      <c r="D25" s="8" t="n">
        <v>2.78441054587726</v>
      </c>
      <c r="E25" s="8" t="n">
        <v>2.70694952607254</v>
      </c>
      <c r="F25" s="8" t="n">
        <v>1.94862628612165</v>
      </c>
      <c r="G25" s="8" t="n">
        <v>1.60878685956648</v>
      </c>
      <c r="H25" s="8" t="n">
        <v>1.47566772830576</v>
      </c>
    </row>
    <row r="26" customFormat="false" ht="17.15" hidden="false" customHeight="false" outlineLevel="0" collapsed="false">
      <c r="A26" s="7" t="s">
        <v>11</v>
      </c>
      <c r="B26" s="7" t="s">
        <v>36</v>
      </c>
      <c r="C26" s="0" t="s">
        <v>24</v>
      </c>
      <c r="D26" s="8" t="n">
        <v>-4.61293991841321</v>
      </c>
      <c r="E26" s="8" t="n">
        <v>-4.56626027234157</v>
      </c>
      <c r="F26" s="8" t="n">
        <v>-3.28821162175144</v>
      </c>
      <c r="G26" s="8" t="n">
        <v>-2.71021226015585</v>
      </c>
      <c r="H26" s="8" t="n">
        <v>-2.65707120666841</v>
      </c>
    </row>
    <row r="27" customFormat="false" ht="17.15" hidden="false" customHeight="false" outlineLevel="0" collapsed="false">
      <c r="A27" s="7" t="s">
        <v>11</v>
      </c>
      <c r="B27" s="7" t="s">
        <v>36</v>
      </c>
      <c r="C27" s="0" t="s">
        <v>25</v>
      </c>
      <c r="D27" s="8" t="n">
        <v>-3.63304912443169</v>
      </c>
      <c r="E27" s="8" t="n">
        <v>-3.5293653073693</v>
      </c>
      <c r="F27" s="8" t="n">
        <v>-2.31392739851905</v>
      </c>
      <c r="G27" s="8" t="n">
        <v>-1.90215288022203</v>
      </c>
      <c r="H27" s="8" t="n">
        <v>-2.02637225764997</v>
      </c>
    </row>
    <row r="28" customFormat="false" ht="17.15" hidden="false" customHeight="false" outlineLevel="0" collapsed="false">
      <c r="A28" s="7" t="s">
        <v>11</v>
      </c>
      <c r="B28" s="7" t="s">
        <v>37</v>
      </c>
      <c r="C28" s="0" t="s">
        <v>24</v>
      </c>
      <c r="D28" s="8" t="n">
        <v>34.759438</v>
      </c>
      <c r="E28" s="8" t="n">
        <v>37.515928</v>
      </c>
      <c r="F28" s="8" t="n">
        <v>37.586352</v>
      </c>
      <c r="G28" s="8" t="n">
        <v>37.586352</v>
      </c>
      <c r="H28" s="8" t="n">
        <v>37.586352</v>
      </c>
    </row>
    <row r="29" customFormat="false" ht="17.15" hidden="false" customHeight="false" outlineLevel="0" collapsed="false">
      <c r="A29" s="7" t="s">
        <v>11</v>
      </c>
      <c r="B29" s="7" t="s">
        <v>37</v>
      </c>
      <c r="C29" s="0" t="s">
        <v>25</v>
      </c>
      <c r="D29" s="8" t="n">
        <v>30.592814</v>
      </c>
      <c r="E29" s="8" t="n">
        <v>34.911788</v>
      </c>
      <c r="F29" s="8" t="n">
        <v>37.586352</v>
      </c>
      <c r="G29" s="8" t="n">
        <v>37.586352</v>
      </c>
      <c r="H29" s="8" t="n">
        <v>37.586352</v>
      </c>
    </row>
    <row r="30" customFormat="false" ht="17.15" hidden="false" customHeight="false" outlineLevel="0" collapsed="false">
      <c r="A30" s="7" t="s">
        <v>11</v>
      </c>
      <c r="B30" s="0" t="s">
        <v>38</v>
      </c>
      <c r="C30" s="0" t="s">
        <v>24</v>
      </c>
      <c r="D30" s="9" t="n">
        <v>0.495892653446456</v>
      </c>
      <c r="E30" s="9" t="n">
        <v>0.508292367414829</v>
      </c>
      <c r="F30" s="9" t="n">
        <v>0.541034873053241</v>
      </c>
      <c r="G30" s="9" t="n">
        <v>0.553948685958737</v>
      </c>
      <c r="H30" s="9" t="n">
        <v>0.555279924796728</v>
      </c>
    </row>
    <row r="31" customFormat="false" ht="17.15" hidden="false" customHeight="false" outlineLevel="0" collapsed="false">
      <c r="A31" s="7" t="s">
        <v>11</v>
      </c>
      <c r="B31" s="0" t="s">
        <v>38</v>
      </c>
      <c r="C31" s="0" t="s">
        <v>25</v>
      </c>
      <c r="D31" s="9" t="n">
        <v>0.584196288966891</v>
      </c>
      <c r="E31" s="9" t="n">
        <v>0.586384640174897</v>
      </c>
      <c r="F31" s="9" t="n">
        <v>0.615082647948742</v>
      </c>
      <c r="G31" s="9" t="n">
        <v>0.616277616670536</v>
      </c>
      <c r="H31" s="9" t="n">
        <v>0.600869116313652</v>
      </c>
    </row>
    <row r="32" customFormat="false" ht="17.15" hidden="false" customHeight="false" outlineLevel="0" collapsed="false">
      <c r="A32" s="7" t="s">
        <v>13</v>
      </c>
      <c r="B32" s="7" t="s">
        <v>23</v>
      </c>
      <c r="C32" s="0" t="s">
        <v>24</v>
      </c>
      <c r="D32" s="8" t="n">
        <v>8.21898450944851</v>
      </c>
      <c r="E32" s="8" t="n">
        <v>8.5808609227636</v>
      </c>
      <c r="F32" s="8" t="n">
        <v>8.66994031852382</v>
      </c>
      <c r="G32" s="8" t="n">
        <v>8.5021982832498</v>
      </c>
      <c r="H32" s="8" t="n">
        <v>8.00213255019039</v>
      </c>
    </row>
    <row r="33" customFormat="false" ht="17.15" hidden="false" customHeight="false" outlineLevel="0" collapsed="false">
      <c r="A33" s="7" t="s">
        <v>13</v>
      </c>
      <c r="B33" s="7" t="s">
        <v>23</v>
      </c>
      <c r="C33" s="0" t="s">
        <v>25</v>
      </c>
      <c r="D33" s="8" t="n">
        <v>8.11382745599041</v>
      </c>
      <c r="E33" s="8" t="n">
        <v>8.25049212401025</v>
      </c>
      <c r="F33" s="8" t="n">
        <v>8.31027025361177</v>
      </c>
      <c r="G33" s="8" t="n">
        <v>8.17227358845674</v>
      </c>
      <c r="H33" s="8" t="n">
        <v>7.67952920803828</v>
      </c>
    </row>
    <row r="34" customFormat="false" ht="17.15" hidden="false" customHeight="false" outlineLevel="0" collapsed="false">
      <c r="A34" s="7" t="s">
        <v>13</v>
      </c>
      <c r="B34" s="7" t="s">
        <v>26</v>
      </c>
      <c r="C34" s="0" t="s">
        <v>24</v>
      </c>
      <c r="D34" s="8" t="n">
        <v>0.672768</v>
      </c>
      <c r="E34" s="8" t="n">
        <v>0.672768</v>
      </c>
      <c r="F34" s="8" t="n">
        <v>0.672768</v>
      </c>
      <c r="G34" s="8" t="n">
        <v>0.672768</v>
      </c>
      <c r="H34" s="8" t="n">
        <v>0.672768</v>
      </c>
    </row>
    <row r="35" customFormat="false" ht="17.15" hidden="false" customHeight="false" outlineLevel="0" collapsed="false">
      <c r="A35" s="7" t="s">
        <v>13</v>
      </c>
      <c r="B35" s="7" t="s">
        <v>26</v>
      </c>
      <c r="C35" s="0" t="s">
        <v>25</v>
      </c>
      <c r="D35" s="8" t="n">
        <v>0.672768</v>
      </c>
      <c r="E35" s="8" t="n">
        <v>0.672768</v>
      </c>
      <c r="F35" s="8" t="n">
        <v>0.672768</v>
      </c>
      <c r="G35" s="8" t="n">
        <v>0.672768</v>
      </c>
      <c r="H35" s="8" t="n">
        <v>0.672768</v>
      </c>
    </row>
    <row r="36" customFormat="false" ht="17.15" hidden="false" customHeight="false" outlineLevel="0" collapsed="false">
      <c r="A36" s="7" t="s">
        <v>13</v>
      </c>
      <c r="B36" s="0" t="s">
        <v>27</v>
      </c>
      <c r="C36" s="0" t="s">
        <v>24</v>
      </c>
      <c r="D36" s="8" t="n">
        <v>0.936206901352657</v>
      </c>
      <c r="E36" s="8" t="n">
        <v>0.991538286572</v>
      </c>
      <c r="F36" s="8" t="n">
        <v>1.03236525669456</v>
      </c>
      <c r="G36" s="8" t="n">
        <v>1.05419610096948</v>
      </c>
      <c r="H36" s="8" t="n">
        <v>1.07595123797417</v>
      </c>
    </row>
    <row r="37" customFormat="false" ht="17.15" hidden="false" customHeight="false" outlineLevel="0" collapsed="false">
      <c r="A37" s="7" t="s">
        <v>13</v>
      </c>
      <c r="B37" s="0" t="s">
        <v>27</v>
      </c>
      <c r="C37" s="0" t="s">
        <v>25</v>
      </c>
      <c r="D37" s="8" t="n">
        <v>0.184804918429672</v>
      </c>
      <c r="E37" s="8" t="n">
        <v>0.216090700452404</v>
      </c>
      <c r="F37" s="8" t="n">
        <v>0.275269342729324</v>
      </c>
      <c r="G37" s="8" t="n">
        <v>0.388447069694966</v>
      </c>
      <c r="H37" s="8" t="n">
        <v>0.503269330002712</v>
      </c>
    </row>
    <row r="38" customFormat="false" ht="17.15" hidden="false" customHeight="false" outlineLevel="0" collapsed="false">
      <c r="A38" s="7" t="s">
        <v>13</v>
      </c>
      <c r="B38" s="7" t="s">
        <v>28</v>
      </c>
      <c r="C38" s="0" t="s">
        <v>24</v>
      </c>
      <c r="D38" s="8" t="n">
        <v>0.325</v>
      </c>
      <c r="E38" s="8" t="n">
        <v>0.325</v>
      </c>
      <c r="F38" s="8" t="n">
        <v>0.325</v>
      </c>
      <c r="G38" s="8" t="n">
        <v>0.325</v>
      </c>
      <c r="H38" s="8" t="n">
        <v>0.325</v>
      </c>
    </row>
    <row r="39" customFormat="false" ht="17.15" hidden="false" customHeight="false" outlineLevel="0" collapsed="false">
      <c r="A39" s="7" t="s">
        <v>13</v>
      </c>
      <c r="B39" s="7" t="s">
        <v>28</v>
      </c>
      <c r="C39" s="0" t="s">
        <v>25</v>
      </c>
      <c r="D39" s="8" t="n">
        <v>0.325</v>
      </c>
      <c r="E39" s="8" t="n">
        <v>0.325</v>
      </c>
      <c r="F39" s="8" t="n">
        <v>0.325</v>
      </c>
      <c r="G39" s="8" t="n">
        <v>0.325</v>
      </c>
      <c r="H39" s="8" t="n">
        <v>0.325</v>
      </c>
    </row>
    <row r="40" customFormat="false" ht="17.15" hidden="false" customHeight="false" outlineLevel="0" collapsed="false">
      <c r="A40" s="7" t="s">
        <v>13</v>
      </c>
      <c r="B40" s="7" t="s">
        <v>29</v>
      </c>
      <c r="C40" s="0" t="s">
        <v>24</v>
      </c>
      <c r="D40" s="8" t="n">
        <v>0.156034483558776</v>
      </c>
      <c r="E40" s="8" t="n">
        <v>0.165256381095333</v>
      </c>
      <c r="F40" s="8" t="n">
        <v>0.172060876115761</v>
      </c>
      <c r="G40" s="8" t="n">
        <v>0.17569935016158</v>
      </c>
      <c r="H40" s="8" t="n">
        <v>0.179325206329029</v>
      </c>
    </row>
    <row r="41" customFormat="false" ht="17.15" hidden="false" customHeight="false" outlineLevel="0" collapsed="false">
      <c r="A41" s="7" t="s">
        <v>13</v>
      </c>
      <c r="B41" s="7" t="s">
        <v>29</v>
      </c>
      <c r="C41" s="0" t="s">
        <v>25</v>
      </c>
      <c r="D41" s="8" t="n">
        <v>0.143744513016328</v>
      </c>
      <c r="E41" s="8" t="n">
        <v>0.152177821839333</v>
      </c>
      <c r="F41" s="8" t="n">
        <v>0.160650348887986</v>
      </c>
      <c r="G41" s="8" t="n">
        <v>0.16649312933008</v>
      </c>
      <c r="H41" s="8" t="n">
        <v>0.171535327163914</v>
      </c>
    </row>
    <row r="42" customFormat="false" ht="17.15" hidden="false" customHeight="false" outlineLevel="0" collapsed="false">
      <c r="A42" s="7" t="s">
        <v>13</v>
      </c>
      <c r="B42" s="7" t="s">
        <v>30</v>
      </c>
      <c r="C42" s="0" t="s">
        <v>24</v>
      </c>
      <c r="D42" s="8" t="n">
        <v>0.453241087511335</v>
      </c>
      <c r="E42" s="8" t="n">
        <v>0.473196990692206</v>
      </c>
      <c r="F42" s="8" t="n">
        <v>0.478109330186556</v>
      </c>
      <c r="G42" s="8" t="n">
        <v>0.468859089794746</v>
      </c>
      <c r="H42" s="8" t="n">
        <v>0.441282649369722</v>
      </c>
    </row>
    <row r="43" customFormat="false" ht="17.15" hidden="false" customHeight="false" outlineLevel="0" collapsed="false">
      <c r="A43" s="7" t="s">
        <v>13</v>
      </c>
      <c r="B43" s="7" t="s">
        <v>30</v>
      </c>
      <c r="C43" s="0" t="s">
        <v>25</v>
      </c>
      <c r="D43" s="8" t="n">
        <v>0.447442135437141</v>
      </c>
      <c r="E43" s="8" t="n">
        <v>0.454978594799789</v>
      </c>
      <c r="F43" s="8" t="n">
        <v>0.458275097480727</v>
      </c>
      <c r="G43" s="8" t="n">
        <v>0.450665184295479</v>
      </c>
      <c r="H43" s="8" t="n">
        <v>0.423492484482111</v>
      </c>
    </row>
    <row r="44" customFormat="false" ht="17.15" hidden="false" customHeight="false" outlineLevel="0" collapsed="false">
      <c r="A44" s="7" t="s">
        <v>13</v>
      </c>
      <c r="B44" s="7" t="s">
        <v>31</v>
      </c>
      <c r="C44" s="0" t="s">
        <v>24</v>
      </c>
      <c r="D44" s="8" t="n">
        <v>1.6</v>
      </c>
      <c r="E44" s="8" t="n">
        <v>1.59151515151515</v>
      </c>
      <c r="F44" s="8" t="n">
        <v>1.33108587005906</v>
      </c>
      <c r="G44" s="8" t="n">
        <v>1.16431818181818</v>
      </c>
      <c r="H44" s="8" t="n">
        <v>0.998180473372781</v>
      </c>
    </row>
    <row r="45" customFormat="false" ht="17.15" hidden="false" customHeight="false" outlineLevel="0" collapsed="false">
      <c r="A45" s="7" t="s">
        <v>13</v>
      </c>
      <c r="B45" s="7" t="s">
        <v>31</v>
      </c>
      <c r="C45" s="0" t="s">
        <v>25</v>
      </c>
      <c r="D45" s="8" t="n">
        <v>1.6</v>
      </c>
      <c r="E45" s="8" t="n">
        <v>1.59151515151515</v>
      </c>
      <c r="F45" s="8" t="n">
        <v>1.33108587005906</v>
      </c>
      <c r="G45" s="8" t="n">
        <v>1.16431818181818</v>
      </c>
      <c r="H45" s="8" t="n">
        <v>0.998180473372781</v>
      </c>
    </row>
    <row r="46" customFormat="false" ht="17.15" hidden="false" customHeight="false" outlineLevel="0" collapsed="false">
      <c r="A46" s="7" t="s">
        <v>13</v>
      </c>
      <c r="B46" s="7" t="s">
        <v>32</v>
      </c>
      <c r="C46" s="0" t="s">
        <v>24</v>
      </c>
      <c r="D46" s="8" t="n">
        <v>4.14325047242277</v>
      </c>
      <c r="E46" s="8" t="n">
        <v>4.21927480987469</v>
      </c>
      <c r="F46" s="8" t="n">
        <v>4.01138933305594</v>
      </c>
      <c r="G46" s="8" t="n">
        <v>3.86084072274399</v>
      </c>
      <c r="H46" s="8" t="n">
        <v>3.69250756704571</v>
      </c>
    </row>
    <row r="47" customFormat="false" ht="17.15" hidden="false" customHeight="false" outlineLevel="0" collapsed="false">
      <c r="A47" s="7" t="s">
        <v>13</v>
      </c>
      <c r="B47" s="7" t="s">
        <v>32</v>
      </c>
      <c r="C47" s="0" t="s">
        <v>25</v>
      </c>
      <c r="D47" s="8" t="n">
        <v>3.37375956688314</v>
      </c>
      <c r="E47" s="8" t="n">
        <v>3.41253026860668</v>
      </c>
      <c r="F47" s="8" t="n">
        <v>3.2230486591571</v>
      </c>
      <c r="G47" s="8" t="n">
        <v>3.16769156513871</v>
      </c>
      <c r="H47" s="8" t="n">
        <v>3.09424561502152</v>
      </c>
    </row>
    <row r="48" customFormat="false" ht="17.15" hidden="false" customHeight="false" outlineLevel="0" collapsed="false">
      <c r="A48" s="7" t="s">
        <v>13</v>
      </c>
      <c r="B48" s="0" t="s">
        <v>33</v>
      </c>
      <c r="C48" s="0" t="s">
        <v>24</v>
      </c>
      <c r="D48" s="8" t="n">
        <v>4.07573403702574</v>
      </c>
      <c r="E48" s="8" t="n">
        <v>4.36158611288891</v>
      </c>
      <c r="F48" s="8" t="n">
        <v>4.65855098546788</v>
      </c>
      <c r="G48" s="8" t="n">
        <v>4.64135756050581</v>
      </c>
      <c r="H48" s="8" t="n">
        <v>4.30962498314469</v>
      </c>
    </row>
    <row r="49" customFormat="false" ht="17.15" hidden="false" customHeight="false" outlineLevel="0" collapsed="false">
      <c r="A49" s="7" t="s">
        <v>13</v>
      </c>
      <c r="B49" s="0" t="s">
        <v>33</v>
      </c>
      <c r="C49" s="0" t="s">
        <v>25</v>
      </c>
      <c r="D49" s="8" t="n">
        <v>4.74006788910727</v>
      </c>
      <c r="E49" s="8" t="n">
        <v>4.83796185540358</v>
      </c>
      <c r="F49" s="8" t="n">
        <v>5.08722159445467</v>
      </c>
      <c r="G49" s="8" t="n">
        <v>5.00458202331804</v>
      </c>
      <c r="H49" s="8" t="n">
        <v>4.58528359301676</v>
      </c>
    </row>
    <row r="50" customFormat="false" ht="17.15" hidden="false" customHeight="false" outlineLevel="0" collapsed="false">
      <c r="A50" s="7" t="s">
        <v>13</v>
      </c>
      <c r="B50" s="0" t="s">
        <v>34</v>
      </c>
      <c r="C50" s="0" t="s">
        <v>24</v>
      </c>
      <c r="D50" s="8" t="n">
        <v>5.72805417039801</v>
      </c>
      <c r="E50" s="8" t="n">
        <v>6.03013422457912</v>
      </c>
      <c r="F50" s="8" t="n">
        <v>5.96024389131455</v>
      </c>
      <c r="G50" s="8" t="n">
        <v>5.99408458049242</v>
      </c>
      <c r="H50" s="8" t="n">
        <v>5.97242407195513</v>
      </c>
    </row>
    <row r="51" customFormat="false" ht="17.15" hidden="false" customHeight="false" outlineLevel="0" collapsed="false">
      <c r="A51" s="7" t="s">
        <v>13</v>
      </c>
      <c r="B51" s="0" t="s">
        <v>34</v>
      </c>
      <c r="C51" s="0" t="s">
        <v>25</v>
      </c>
      <c r="D51" s="8" t="n">
        <v>5.58870646766169</v>
      </c>
      <c r="E51" s="8" t="n">
        <v>5.74266131212121</v>
      </c>
      <c r="F51" s="8" t="n">
        <v>5.69089850751174</v>
      </c>
      <c r="G51" s="8" t="n">
        <v>5.77677182765152</v>
      </c>
      <c r="H51" s="8" t="n">
        <v>5.78854405032051</v>
      </c>
    </row>
    <row r="52" customFormat="false" ht="17.15" hidden="false" customHeight="false" outlineLevel="0" collapsed="false">
      <c r="A52" s="7" t="s">
        <v>13</v>
      </c>
      <c r="B52" s="7" t="s">
        <v>35</v>
      </c>
      <c r="C52" s="0" t="s">
        <v>24</v>
      </c>
      <c r="D52" s="8" t="n">
        <v>2.96061978504094</v>
      </c>
      <c r="E52" s="8" t="n">
        <v>3.08267802581789</v>
      </c>
      <c r="F52" s="8" t="n">
        <v>2.59404208774142</v>
      </c>
      <c r="G52" s="8" t="n">
        <v>2.39653642490205</v>
      </c>
      <c r="H52" s="8" t="n">
        <v>2.27066782936644</v>
      </c>
    </row>
    <row r="53" customFormat="false" ht="17.15" hidden="false" customHeight="false" outlineLevel="0" collapsed="false">
      <c r="A53" s="7" t="s">
        <v>13</v>
      </c>
      <c r="B53" s="7" t="s">
        <v>35</v>
      </c>
      <c r="C53" s="0" t="s">
        <v>25</v>
      </c>
      <c r="D53" s="8" t="n">
        <v>2.78441054587726</v>
      </c>
      <c r="E53" s="8" t="n">
        <v>2.79679244903757</v>
      </c>
      <c r="F53" s="8" t="n">
        <v>2.30948930846388</v>
      </c>
      <c r="G53" s="8" t="n">
        <v>2.0865495907093</v>
      </c>
      <c r="H53" s="8" t="n">
        <v>2.00046589624144</v>
      </c>
    </row>
    <row r="54" customFormat="false" ht="17.15" hidden="false" customHeight="false" outlineLevel="0" collapsed="false">
      <c r="A54" s="7" t="s">
        <v>13</v>
      </c>
      <c r="B54" s="7" t="s">
        <v>36</v>
      </c>
      <c r="C54" s="0" t="s">
        <v>24</v>
      </c>
      <c r="D54" s="8" t="n">
        <v>-4.61293991841321</v>
      </c>
      <c r="E54" s="8" t="n">
        <v>-4.75122613750811</v>
      </c>
      <c r="F54" s="8" t="n">
        <v>-3.8957349935881</v>
      </c>
      <c r="G54" s="8" t="n">
        <v>-3.74926344488866</v>
      </c>
      <c r="H54" s="8" t="n">
        <v>-3.93346691817688</v>
      </c>
    </row>
    <row r="55" customFormat="false" ht="17.15" hidden="false" customHeight="false" outlineLevel="0" collapsed="false">
      <c r="A55" s="7" t="s">
        <v>13</v>
      </c>
      <c r="B55" s="7" t="s">
        <v>36</v>
      </c>
      <c r="C55" s="0" t="s">
        <v>25</v>
      </c>
      <c r="D55" s="8" t="n">
        <v>-3.63304912443169</v>
      </c>
      <c r="E55" s="8" t="n">
        <v>-3.70149190575521</v>
      </c>
      <c r="F55" s="8" t="n">
        <v>-2.91316622152095</v>
      </c>
      <c r="G55" s="8" t="n">
        <v>-2.85873939504278</v>
      </c>
      <c r="H55" s="8" t="n">
        <v>-3.20372635354519</v>
      </c>
    </row>
    <row r="56" customFormat="false" ht="17.15" hidden="false" customHeight="false" outlineLevel="0" collapsed="false">
      <c r="A56" s="7" t="s">
        <v>13</v>
      </c>
      <c r="B56" s="7" t="s">
        <v>37</v>
      </c>
      <c r="C56" s="0" t="s">
        <v>24</v>
      </c>
      <c r="D56" s="8" t="n">
        <v>34.759438</v>
      </c>
      <c r="E56" s="8" t="n">
        <v>37.515928</v>
      </c>
      <c r="F56" s="8" t="n">
        <v>37.586352</v>
      </c>
      <c r="G56" s="8" t="n">
        <v>37.586352</v>
      </c>
      <c r="H56" s="8" t="n">
        <v>37.586352</v>
      </c>
    </row>
    <row r="57" customFormat="false" ht="17.15" hidden="false" customHeight="false" outlineLevel="0" collapsed="false">
      <c r="A57" s="7" t="s">
        <v>13</v>
      </c>
      <c r="B57" s="7" t="s">
        <v>37</v>
      </c>
      <c r="C57" s="0" t="s">
        <v>25</v>
      </c>
      <c r="D57" s="8" t="n">
        <v>30.592814</v>
      </c>
      <c r="E57" s="8" t="n">
        <v>34.911788</v>
      </c>
      <c r="F57" s="8" t="n">
        <v>37.586352</v>
      </c>
      <c r="G57" s="8" t="n">
        <v>37.586352</v>
      </c>
      <c r="H57" s="8" t="n">
        <v>37.586352</v>
      </c>
    </row>
    <row r="58" customFormat="false" ht="17.15" hidden="false" customHeight="false" outlineLevel="0" collapsed="false">
      <c r="A58" s="7" t="s">
        <v>13</v>
      </c>
      <c r="B58" s="0" t="s">
        <v>38</v>
      </c>
      <c r="C58" s="0" t="s">
        <v>24</v>
      </c>
      <c r="D58" s="9" t="n">
        <v>0.495892653446456</v>
      </c>
      <c r="E58" s="9" t="n">
        <v>0.508292367414829</v>
      </c>
      <c r="F58" s="9" t="n">
        <v>0.537322151516386</v>
      </c>
      <c r="G58" s="9" t="n">
        <v>0.545900884204237</v>
      </c>
      <c r="H58" s="9" t="n">
        <v>0.53855955973163</v>
      </c>
    </row>
    <row r="59" customFormat="false" ht="17.15" hidden="false" customHeight="false" outlineLevel="0" collapsed="false">
      <c r="A59" s="7" t="s">
        <v>13</v>
      </c>
      <c r="B59" s="0" t="s">
        <v>38</v>
      </c>
      <c r="C59" s="0" t="s">
        <v>25</v>
      </c>
      <c r="D59" s="9" t="n">
        <v>0.584196288966891</v>
      </c>
      <c r="E59" s="9" t="n">
        <v>0.586384640174897</v>
      </c>
      <c r="F59" s="9" t="n">
        <v>0.612160788903789</v>
      </c>
      <c r="G59" s="9" t="n">
        <v>0.612385521501258</v>
      </c>
      <c r="H59" s="9" t="n">
        <v>0.597078736052892</v>
      </c>
    </row>
    <row r="60" customFormat="false" ht="17.15" hidden="false" customHeight="false" outlineLevel="0" collapsed="false">
      <c r="A60" s="7" t="s">
        <v>14</v>
      </c>
      <c r="B60" s="7" t="s">
        <v>23</v>
      </c>
      <c r="C60" s="0" t="s">
        <v>24</v>
      </c>
      <c r="D60" s="8" t="n">
        <v>8.21898450944851</v>
      </c>
      <c r="E60" s="8" t="n">
        <v>8.5808609227636</v>
      </c>
      <c r="F60" s="8" t="n">
        <v>8.59355582548804</v>
      </c>
      <c r="G60" s="8" t="n">
        <v>8.24871310285134</v>
      </c>
      <c r="H60" s="8" t="n">
        <v>7.64533714343606</v>
      </c>
    </row>
    <row r="61" customFormat="false" ht="17.15" hidden="false" customHeight="false" outlineLevel="0" collapsed="false">
      <c r="A61" s="7" t="s">
        <v>14</v>
      </c>
      <c r="B61" s="7" t="s">
        <v>23</v>
      </c>
      <c r="C61" s="0" t="s">
        <v>25</v>
      </c>
      <c r="D61" s="8" t="n">
        <v>8.11382745599041</v>
      </c>
      <c r="E61" s="8" t="n">
        <v>8.25049212401025</v>
      </c>
      <c r="F61" s="8" t="n">
        <v>8.2403744073878</v>
      </c>
      <c r="G61" s="8" t="n">
        <v>7.92870344487834</v>
      </c>
      <c r="H61" s="8" t="n">
        <v>7.33712416747983</v>
      </c>
    </row>
    <row r="62" customFormat="false" ht="17.15" hidden="false" customHeight="false" outlineLevel="0" collapsed="false">
      <c r="A62" s="7" t="s">
        <v>14</v>
      </c>
      <c r="B62" s="7" t="s">
        <v>26</v>
      </c>
      <c r="C62" s="0" t="s">
        <v>24</v>
      </c>
      <c r="D62" s="8" t="n">
        <v>0.672768</v>
      </c>
      <c r="E62" s="8" t="n">
        <v>0.672768</v>
      </c>
      <c r="F62" s="8" t="n">
        <v>0.672768</v>
      </c>
      <c r="G62" s="8" t="n">
        <v>0.672768</v>
      </c>
      <c r="H62" s="8" t="n">
        <v>0.672768</v>
      </c>
    </row>
    <row r="63" customFormat="false" ht="17.15" hidden="false" customHeight="false" outlineLevel="0" collapsed="false">
      <c r="A63" s="7" t="s">
        <v>14</v>
      </c>
      <c r="B63" s="7" t="s">
        <v>26</v>
      </c>
      <c r="C63" s="0" t="s">
        <v>25</v>
      </c>
      <c r="D63" s="8" t="n">
        <v>0.672768</v>
      </c>
      <c r="E63" s="8" t="n">
        <v>0.672768</v>
      </c>
      <c r="F63" s="8" t="n">
        <v>0.672768</v>
      </c>
      <c r="G63" s="8" t="n">
        <v>0.672768</v>
      </c>
      <c r="H63" s="8" t="n">
        <v>0.672768</v>
      </c>
    </row>
    <row r="64" customFormat="false" ht="17.15" hidden="false" customHeight="false" outlineLevel="0" collapsed="false">
      <c r="A64" s="7" t="s">
        <v>14</v>
      </c>
      <c r="B64" s="0" t="s">
        <v>27</v>
      </c>
      <c r="C64" s="0" t="s">
        <v>24</v>
      </c>
      <c r="D64" s="8" t="n">
        <v>0.936206901352657</v>
      </c>
      <c r="E64" s="8" t="n">
        <v>0.991538286572</v>
      </c>
      <c r="F64" s="8" t="n">
        <v>1.03978541019888</v>
      </c>
      <c r="G64" s="8" t="n">
        <v>1.06833631784692</v>
      </c>
      <c r="H64" s="8" t="n">
        <v>1.09003468943576</v>
      </c>
    </row>
    <row r="65" customFormat="false" ht="17.15" hidden="false" customHeight="false" outlineLevel="0" collapsed="false">
      <c r="A65" s="7" t="s">
        <v>14</v>
      </c>
      <c r="B65" s="0" t="s">
        <v>27</v>
      </c>
      <c r="C65" s="0" t="s">
        <v>25</v>
      </c>
      <c r="D65" s="8" t="n">
        <v>0.184804918429672</v>
      </c>
      <c r="E65" s="8" t="n">
        <v>0.216090700452404</v>
      </c>
      <c r="F65" s="8" t="n">
        <v>0.268463816802364</v>
      </c>
      <c r="G65" s="8" t="n">
        <v>0.349815679753734</v>
      </c>
      <c r="H65" s="8" t="n">
        <v>0.417268174547427</v>
      </c>
    </row>
    <row r="66" customFormat="false" ht="17.15" hidden="false" customHeight="false" outlineLevel="0" collapsed="false">
      <c r="A66" s="7" t="s">
        <v>14</v>
      </c>
      <c r="B66" s="7" t="s">
        <v>28</v>
      </c>
      <c r="C66" s="0" t="s">
        <v>24</v>
      </c>
      <c r="D66" s="8" t="n">
        <v>0.325</v>
      </c>
      <c r="E66" s="8" t="n">
        <v>0.325</v>
      </c>
      <c r="F66" s="8" t="n">
        <v>0.325</v>
      </c>
      <c r="G66" s="8" t="n">
        <v>0.325</v>
      </c>
      <c r="H66" s="8" t="n">
        <v>0.325</v>
      </c>
    </row>
    <row r="67" customFormat="false" ht="17.15" hidden="false" customHeight="false" outlineLevel="0" collapsed="false">
      <c r="A67" s="7" t="s">
        <v>14</v>
      </c>
      <c r="B67" s="7" t="s">
        <v>28</v>
      </c>
      <c r="C67" s="0" t="s">
        <v>25</v>
      </c>
      <c r="D67" s="8" t="n">
        <v>0.325</v>
      </c>
      <c r="E67" s="8" t="n">
        <v>0.325</v>
      </c>
      <c r="F67" s="8" t="n">
        <v>0.325</v>
      </c>
      <c r="G67" s="8" t="n">
        <v>0.325</v>
      </c>
      <c r="H67" s="8" t="n">
        <v>0.325</v>
      </c>
    </row>
    <row r="68" customFormat="false" ht="17.15" hidden="false" customHeight="false" outlineLevel="0" collapsed="false">
      <c r="A68" s="7" t="s">
        <v>14</v>
      </c>
      <c r="B68" s="7" t="s">
        <v>29</v>
      </c>
      <c r="C68" s="0" t="s">
        <v>24</v>
      </c>
      <c r="D68" s="8" t="n">
        <v>0.156034483558776</v>
      </c>
      <c r="E68" s="8" t="n">
        <v>0.165256381095333</v>
      </c>
      <c r="F68" s="8" t="n">
        <v>0.173297568366481</v>
      </c>
      <c r="G68" s="8" t="n">
        <v>0.178056052974486</v>
      </c>
      <c r="H68" s="8" t="n">
        <v>0.181672448239294</v>
      </c>
    </row>
    <row r="69" customFormat="false" ht="17.15" hidden="false" customHeight="false" outlineLevel="0" collapsed="false">
      <c r="A69" s="7" t="s">
        <v>14</v>
      </c>
      <c r="B69" s="7" t="s">
        <v>29</v>
      </c>
      <c r="C69" s="0" t="s">
        <v>25</v>
      </c>
      <c r="D69" s="8" t="n">
        <v>0.143744513016328</v>
      </c>
      <c r="E69" s="8" t="n">
        <v>0.152177821839333</v>
      </c>
      <c r="F69" s="8" t="n">
        <v>0.162776173130481</v>
      </c>
      <c r="G69" s="8" t="n">
        <v>0.170623507716028</v>
      </c>
      <c r="H69" s="8" t="n">
        <v>0.176007081573755</v>
      </c>
    </row>
    <row r="70" customFormat="false" ht="17.15" hidden="false" customHeight="false" outlineLevel="0" collapsed="false">
      <c r="A70" s="7" t="s">
        <v>14</v>
      </c>
      <c r="B70" s="7" t="s">
        <v>30</v>
      </c>
      <c r="C70" s="0" t="s">
        <v>24</v>
      </c>
      <c r="D70" s="8" t="n">
        <v>0.453241087511335</v>
      </c>
      <c r="E70" s="8" t="n">
        <v>0.473196990692206</v>
      </c>
      <c r="F70" s="8" t="n">
        <v>0.473897059114292</v>
      </c>
      <c r="G70" s="8" t="n">
        <v>0.454880489555297</v>
      </c>
      <c r="H70" s="8" t="n">
        <v>0.421606941502105</v>
      </c>
    </row>
    <row r="71" customFormat="false" ht="17.15" hidden="false" customHeight="false" outlineLevel="0" collapsed="false">
      <c r="A71" s="7" t="s">
        <v>14</v>
      </c>
      <c r="B71" s="7" t="s">
        <v>30</v>
      </c>
      <c r="C71" s="0" t="s">
        <v>25</v>
      </c>
      <c r="D71" s="8" t="n">
        <v>0.447442135437141</v>
      </c>
      <c r="E71" s="8" t="n">
        <v>0.454978594799789</v>
      </c>
      <c r="F71" s="8" t="n">
        <v>0.454420646931677</v>
      </c>
      <c r="G71" s="8" t="n">
        <v>0.437233355018534</v>
      </c>
      <c r="H71" s="8" t="n">
        <v>0.404610342439664</v>
      </c>
    </row>
    <row r="72" customFormat="false" ht="17.15" hidden="false" customHeight="false" outlineLevel="0" collapsed="false">
      <c r="A72" s="7" t="s">
        <v>14</v>
      </c>
      <c r="B72" s="7" t="s">
        <v>31</v>
      </c>
      <c r="C72" s="0" t="s">
        <v>24</v>
      </c>
      <c r="D72" s="8" t="n">
        <v>1.6</v>
      </c>
      <c r="E72" s="8" t="n">
        <v>1.59151515151515</v>
      </c>
      <c r="F72" s="8" t="n">
        <v>1.37818181818182</v>
      </c>
      <c r="G72" s="8" t="n">
        <v>1.16935779816514</v>
      </c>
      <c r="H72" s="8" t="n">
        <v>0.963496503496503</v>
      </c>
    </row>
    <row r="73" customFormat="false" ht="17.15" hidden="false" customHeight="false" outlineLevel="0" collapsed="false">
      <c r="A73" s="7" t="s">
        <v>14</v>
      </c>
      <c r="B73" s="7" t="s">
        <v>31</v>
      </c>
      <c r="C73" s="0" t="s">
        <v>25</v>
      </c>
      <c r="D73" s="8" t="n">
        <v>1.6</v>
      </c>
      <c r="E73" s="8" t="n">
        <v>1.59151515151515</v>
      </c>
      <c r="F73" s="8" t="n">
        <v>1.37818181818182</v>
      </c>
      <c r="G73" s="8" t="n">
        <v>1.16935779816514</v>
      </c>
      <c r="H73" s="8" t="n">
        <v>0.963496503496503</v>
      </c>
    </row>
    <row r="74" customFormat="false" ht="17.15" hidden="false" customHeight="false" outlineLevel="0" collapsed="false">
      <c r="A74" s="7" t="s">
        <v>14</v>
      </c>
      <c r="B74" s="7" t="s">
        <v>32</v>
      </c>
      <c r="C74" s="0" t="s">
        <v>24</v>
      </c>
      <c r="D74" s="8" t="n">
        <v>4.14325047242277</v>
      </c>
      <c r="E74" s="8" t="n">
        <v>4.21927480987469</v>
      </c>
      <c r="F74" s="8" t="n">
        <v>4.06292985586147</v>
      </c>
      <c r="G74" s="8" t="n">
        <v>3.86839865854184</v>
      </c>
      <c r="H74" s="8" t="n">
        <v>3.65457858267367</v>
      </c>
    </row>
    <row r="75" customFormat="false" ht="17.15" hidden="false" customHeight="false" outlineLevel="0" collapsed="false">
      <c r="A75" s="7" t="s">
        <v>14</v>
      </c>
      <c r="B75" s="7" t="s">
        <v>32</v>
      </c>
      <c r="C75" s="0" t="s">
        <v>25</v>
      </c>
      <c r="D75" s="8" t="n">
        <v>3.37375956688314</v>
      </c>
      <c r="E75" s="8" t="n">
        <v>3.41253026860668</v>
      </c>
      <c r="F75" s="8" t="n">
        <v>3.26161045504634</v>
      </c>
      <c r="G75" s="8" t="n">
        <v>3.12479834065343</v>
      </c>
      <c r="H75" s="8" t="n">
        <v>2.95915010205735</v>
      </c>
    </row>
    <row r="76" customFormat="false" ht="17.15" hidden="false" customHeight="false" outlineLevel="0" collapsed="false">
      <c r="A76" s="7" t="s">
        <v>14</v>
      </c>
      <c r="B76" s="0" t="s">
        <v>33</v>
      </c>
      <c r="C76" s="0" t="s">
        <v>24</v>
      </c>
      <c r="D76" s="8" t="n">
        <v>4.07573403702574</v>
      </c>
      <c r="E76" s="8" t="n">
        <v>4.36158611288891</v>
      </c>
      <c r="F76" s="8" t="n">
        <v>4.53062596962656</v>
      </c>
      <c r="G76" s="8" t="n">
        <v>4.3803144443095</v>
      </c>
      <c r="H76" s="8" t="n">
        <v>3.9907585607624</v>
      </c>
    </row>
    <row r="77" customFormat="false" ht="17.15" hidden="false" customHeight="false" outlineLevel="0" collapsed="false">
      <c r="A77" s="7" t="s">
        <v>14</v>
      </c>
      <c r="B77" s="0" t="s">
        <v>33</v>
      </c>
      <c r="C77" s="0" t="s">
        <v>25</v>
      </c>
      <c r="D77" s="8" t="n">
        <v>4.74006788910727</v>
      </c>
      <c r="E77" s="8" t="n">
        <v>4.83796185540358</v>
      </c>
      <c r="F77" s="8" t="n">
        <v>4.97876395234146</v>
      </c>
      <c r="G77" s="8" t="n">
        <v>4.80390510422491</v>
      </c>
      <c r="H77" s="8" t="n">
        <v>4.37797406542248</v>
      </c>
    </row>
    <row r="78" customFormat="false" ht="17.15" hidden="false" customHeight="false" outlineLevel="0" collapsed="false">
      <c r="A78" s="7" t="s">
        <v>14</v>
      </c>
      <c r="B78" s="0" t="s">
        <v>34</v>
      </c>
      <c r="C78" s="0" t="s">
        <v>24</v>
      </c>
      <c r="D78" s="8" t="n">
        <v>5.72805417039801</v>
      </c>
      <c r="E78" s="8" t="n">
        <v>6.29539836195286</v>
      </c>
      <c r="F78" s="8" t="n">
        <v>6.41042116212121</v>
      </c>
      <c r="G78" s="8" t="n">
        <v>6.4077802558104</v>
      </c>
      <c r="H78" s="8" t="n">
        <v>6.2663609474359</v>
      </c>
    </row>
    <row r="79" customFormat="false" ht="17.15" hidden="false" customHeight="false" outlineLevel="0" collapsed="false">
      <c r="A79" s="7" t="s">
        <v>14</v>
      </c>
      <c r="B79" s="0" t="s">
        <v>34</v>
      </c>
      <c r="C79" s="0" t="s">
        <v>25</v>
      </c>
      <c r="D79" s="8" t="n">
        <v>5.58870646766169</v>
      </c>
      <c r="E79" s="8" t="n">
        <v>5.98951233838384</v>
      </c>
      <c r="F79" s="8" t="n">
        <v>6.13838973030303</v>
      </c>
      <c r="G79" s="8" t="n">
        <v>6.21561126269113</v>
      </c>
      <c r="H79" s="8" t="n">
        <v>6.11988248414918</v>
      </c>
    </row>
    <row r="80" customFormat="false" ht="17.15" hidden="false" customHeight="false" outlineLevel="0" collapsed="false">
      <c r="A80" s="7" t="s">
        <v>14</v>
      </c>
      <c r="B80" s="7" t="s">
        <v>35</v>
      </c>
      <c r="C80" s="0" t="s">
        <v>24</v>
      </c>
      <c r="D80" s="8" t="n">
        <v>2.96061978504094</v>
      </c>
      <c r="E80" s="8" t="n">
        <v>3.19530273199776</v>
      </c>
      <c r="F80" s="8" t="n">
        <v>3.29840251709354</v>
      </c>
      <c r="G80" s="8" t="n">
        <v>3.24447876948831</v>
      </c>
      <c r="H80" s="8" t="n">
        <v>3.07401335862025</v>
      </c>
    </row>
    <row r="81" customFormat="false" ht="17.15" hidden="false" customHeight="false" outlineLevel="0" collapsed="false">
      <c r="A81" s="7" t="s">
        <v>14</v>
      </c>
      <c r="B81" s="7" t="s">
        <v>35</v>
      </c>
      <c r="C81" s="0" t="s">
        <v>25</v>
      </c>
      <c r="D81" s="8" t="n">
        <v>2.78441054587726</v>
      </c>
      <c r="E81" s="8" t="n">
        <v>3.06632121793268</v>
      </c>
      <c r="F81" s="8" t="n">
        <v>3.151073931561</v>
      </c>
      <c r="G81" s="8" t="n">
        <v>3.07655498134027</v>
      </c>
      <c r="H81" s="8" t="n">
        <v>2.8767978784307</v>
      </c>
    </row>
    <row r="82" customFormat="false" ht="17.15" hidden="false" customHeight="false" outlineLevel="0" collapsed="false">
      <c r="A82" s="7" t="s">
        <v>14</v>
      </c>
      <c r="B82" s="7" t="s">
        <v>36</v>
      </c>
      <c r="C82" s="0" t="s">
        <v>24</v>
      </c>
      <c r="D82" s="8" t="n">
        <v>-4.61293991841321</v>
      </c>
      <c r="E82" s="8" t="n">
        <v>-5.12911498106172</v>
      </c>
      <c r="F82" s="8" t="n">
        <v>-5.17819770958819</v>
      </c>
      <c r="G82" s="8" t="n">
        <v>-5.27194458098921</v>
      </c>
      <c r="H82" s="8" t="n">
        <v>-5.34961574529375</v>
      </c>
    </row>
    <row r="83" customFormat="false" ht="17.15" hidden="false" customHeight="false" outlineLevel="0" collapsed="false">
      <c r="A83" s="7" t="s">
        <v>14</v>
      </c>
      <c r="B83" s="7" t="s">
        <v>36</v>
      </c>
      <c r="C83" s="0" t="s">
        <v>25</v>
      </c>
      <c r="D83" s="8" t="n">
        <v>-3.63304912443169</v>
      </c>
      <c r="E83" s="8" t="n">
        <v>-4.21787170091294</v>
      </c>
      <c r="F83" s="8" t="n">
        <v>-4.31069970952257</v>
      </c>
      <c r="G83" s="8" t="n">
        <v>-4.48826113980649</v>
      </c>
      <c r="H83" s="8" t="n">
        <v>-4.61870629715741</v>
      </c>
    </row>
    <row r="84" customFormat="false" ht="17.15" hidden="false" customHeight="false" outlineLevel="0" collapsed="false">
      <c r="A84" s="7" t="s">
        <v>14</v>
      </c>
      <c r="B84" s="7" t="s">
        <v>37</v>
      </c>
      <c r="C84" s="0" t="s">
        <v>24</v>
      </c>
      <c r="D84" s="8" t="n">
        <v>34.759438</v>
      </c>
      <c r="E84" s="8" t="n">
        <v>37.515928</v>
      </c>
      <c r="F84" s="8" t="n">
        <v>37.586352</v>
      </c>
      <c r="G84" s="8" t="n">
        <v>37.586352</v>
      </c>
      <c r="H84" s="8" t="n">
        <v>37.586352</v>
      </c>
    </row>
    <row r="85" customFormat="false" ht="17.15" hidden="false" customHeight="false" outlineLevel="0" collapsed="false">
      <c r="A85" s="7" t="s">
        <v>14</v>
      </c>
      <c r="B85" s="7" t="s">
        <v>37</v>
      </c>
      <c r="C85" s="0" t="s">
        <v>25</v>
      </c>
      <c r="D85" s="8" t="n">
        <v>30.592814</v>
      </c>
      <c r="E85" s="8" t="n">
        <v>34.911788</v>
      </c>
      <c r="F85" s="8" t="n">
        <v>37.586352</v>
      </c>
      <c r="G85" s="8" t="n">
        <v>37.586352</v>
      </c>
      <c r="H85" s="8" t="n">
        <v>37.586352</v>
      </c>
    </row>
    <row r="86" customFormat="false" ht="17.15" hidden="false" customHeight="false" outlineLevel="0" collapsed="false">
      <c r="A86" s="7" t="s">
        <v>14</v>
      </c>
      <c r="B86" s="0" t="s">
        <v>38</v>
      </c>
      <c r="C86" s="0" t="s">
        <v>24</v>
      </c>
      <c r="D86" s="9" t="n">
        <v>0.495892653446456</v>
      </c>
      <c r="E86" s="9" t="n">
        <v>0.508292367414829</v>
      </c>
      <c r="F86" s="9" t="n">
        <v>0.527212025107112</v>
      </c>
      <c r="G86" s="9" t="n">
        <v>0.53103003943674</v>
      </c>
      <c r="H86" s="9" t="n">
        <v>0.521985948544948</v>
      </c>
    </row>
    <row r="87" customFormat="false" ht="17.15" hidden="false" customHeight="false" outlineLevel="0" collapsed="false">
      <c r="A87" s="7" t="s">
        <v>14</v>
      </c>
      <c r="B87" s="0" t="s">
        <v>38</v>
      </c>
      <c r="C87" s="0" t="s">
        <v>25</v>
      </c>
      <c r="D87" s="9" t="n">
        <v>0.584196288966891</v>
      </c>
      <c r="E87" s="9" t="n">
        <v>0.586384640174897</v>
      </c>
      <c r="F87" s="9" t="n">
        <v>0.604191473129888</v>
      </c>
      <c r="G87" s="9" t="n">
        <v>0.605887852613287</v>
      </c>
      <c r="H87" s="9" t="n">
        <v>0.596688016379343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1" t="s">
        <v>39</v>
      </c>
    </row>
    <row r="3" customFormat="false" ht="17.15" hidden="false" customHeight="false" outlineLevel="0" collapsed="false">
      <c r="A3" s="3" t="s">
        <v>2</v>
      </c>
      <c r="B3" s="3" t="s">
        <v>16</v>
      </c>
      <c r="C3" s="3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7.15" hidden="false" customHeight="false" outlineLevel="0" collapsed="false">
      <c r="A4" s="7" t="s">
        <v>11</v>
      </c>
      <c r="B4" s="7" t="s">
        <v>40</v>
      </c>
      <c r="C4" s="0" t="s">
        <v>24</v>
      </c>
      <c r="D4" s="8" t="n">
        <v>0.936206901352657</v>
      </c>
      <c r="E4" s="8" t="n">
        <v>0.991538286572</v>
      </c>
      <c r="F4" s="8" t="n">
        <v>1.02960510297557</v>
      </c>
      <c r="G4" s="8" t="n">
        <v>1.04685665506643</v>
      </c>
      <c r="H4" s="8" t="n">
        <v>1.06365616130136</v>
      </c>
    </row>
    <row r="5" customFormat="false" ht="17.15" hidden="false" customHeight="false" outlineLevel="0" collapsed="false">
      <c r="A5" s="7" t="s">
        <v>11</v>
      </c>
      <c r="B5" s="7" t="s">
        <v>41</v>
      </c>
      <c r="C5" s="0" t="s">
        <v>25</v>
      </c>
      <c r="D5" s="9" t="n">
        <v>0.940297910447761</v>
      </c>
      <c r="E5" s="9" t="n">
        <v>0.907070303030303</v>
      </c>
      <c r="F5" s="9" t="n">
        <v>0.82463768115942</v>
      </c>
      <c r="G5" s="9" t="n">
        <v>0.65625</v>
      </c>
      <c r="H5" s="9" t="n">
        <v>0.465476190476191</v>
      </c>
    </row>
    <row r="6" customFormat="false" ht="17.15" hidden="false" customHeight="false" outlineLevel="0" collapsed="false">
      <c r="A6" s="7" t="s">
        <v>11</v>
      </c>
      <c r="B6" s="7" t="s">
        <v>40</v>
      </c>
      <c r="C6" s="0" t="s">
        <v>25</v>
      </c>
      <c r="D6" s="8" t="n">
        <v>0.184804918429672</v>
      </c>
      <c r="E6" s="8" t="n">
        <v>0.216090700452404</v>
      </c>
      <c r="F6" s="8" t="n">
        <v>0.277800866866406</v>
      </c>
      <c r="G6" s="8" t="n">
        <v>0.408498600664463</v>
      </c>
      <c r="H6" s="8" t="n">
        <v>0.578349703812881</v>
      </c>
    </row>
    <row r="7" customFormat="false" ht="17.15" hidden="false" customHeight="false" outlineLevel="0" collapsed="false">
      <c r="A7" s="7" t="s">
        <v>11</v>
      </c>
      <c r="B7" s="7" t="s">
        <v>42</v>
      </c>
      <c r="C7" s="0" t="s">
        <v>25</v>
      </c>
      <c r="D7" s="8" t="n">
        <v>0.13553243193366</v>
      </c>
      <c r="E7" s="8" t="n">
        <v>0.139395246116719</v>
      </c>
      <c r="F7" s="8" t="n">
        <v>0.136271326644928</v>
      </c>
      <c r="G7" s="8" t="n">
        <v>0.115519399382813</v>
      </c>
      <c r="H7" s="8" t="n">
        <v>0.0854877567380952</v>
      </c>
    </row>
    <row r="8" customFormat="false" ht="17.15" hidden="false" customHeight="false" outlineLevel="0" collapsed="false">
      <c r="A8" s="7" t="s">
        <v>11</v>
      </c>
      <c r="B8" s="7" t="s">
        <v>43</v>
      </c>
      <c r="C8" s="0" t="s">
        <v>25</v>
      </c>
      <c r="D8" s="8" t="n">
        <v>0.049272486496012</v>
      </c>
      <c r="E8" s="8" t="n">
        <v>0.0766954543356849</v>
      </c>
      <c r="F8" s="8" t="n">
        <v>0.141529540221478</v>
      </c>
      <c r="G8" s="8" t="n">
        <v>0.29297920128165</v>
      </c>
      <c r="H8" s="8" t="n">
        <v>0.492861947074786</v>
      </c>
    </row>
    <row r="9" customFormat="false" ht="17.15" hidden="false" customHeight="false" outlineLevel="0" collapsed="false">
      <c r="A9" s="7" t="s">
        <v>11</v>
      </c>
      <c r="B9" s="7" t="s">
        <v>44</v>
      </c>
      <c r="C9" s="0" t="s">
        <v>25</v>
      </c>
      <c r="D9" s="8" t="n">
        <v>0.452076801768641</v>
      </c>
      <c r="E9" s="8" t="n">
        <v>0.478599576106458</v>
      </c>
      <c r="F9" s="8" t="n">
        <v>0.502758732530204</v>
      </c>
      <c r="G9" s="8" t="n">
        <v>0.516878794926939</v>
      </c>
      <c r="H9" s="8" t="n">
        <v>0.527201158436087</v>
      </c>
    </row>
    <row r="10" customFormat="false" ht="17.15" hidden="false" customHeight="false" outlineLevel="0" collapsed="false">
      <c r="A10" s="7" t="s">
        <v>11</v>
      </c>
      <c r="B10" s="7" t="s">
        <v>45</v>
      </c>
      <c r="C10" s="0" t="s">
        <v>25</v>
      </c>
      <c r="D10" s="8" t="n">
        <v>10.0131711659833</v>
      </c>
      <c r="E10" s="8" t="n">
        <v>10.435397238472</v>
      </c>
      <c r="F10" s="8" t="n">
        <v>10.8199959837434</v>
      </c>
      <c r="G10" s="8" t="n">
        <v>11.0447785955898</v>
      </c>
      <c r="H10" s="8" t="n">
        <v>11.2091042030001</v>
      </c>
    </row>
    <row r="11" customFormat="false" ht="17.15" hidden="false" customHeight="false" outlineLevel="0" collapsed="false">
      <c r="A11" s="7" t="s">
        <v>11</v>
      </c>
      <c r="B11" s="7" t="s">
        <v>46</v>
      </c>
      <c r="C11" s="0" t="s">
        <v>25</v>
      </c>
      <c r="D11" s="9" t="n">
        <v>0.895501175501442</v>
      </c>
      <c r="E11" s="9" t="n">
        <v>0.8517028157434</v>
      </c>
      <c r="F11" s="9" t="n">
        <v>0.825786802598526</v>
      </c>
      <c r="G11" s="9" t="n">
        <v>0.814849746666521</v>
      </c>
      <c r="H11" s="9" t="n">
        <v>0.805753154854832</v>
      </c>
    </row>
    <row r="12" customFormat="false" ht="17.15" hidden="false" customHeight="false" outlineLevel="0" collapsed="false">
      <c r="A12" s="7" t="s">
        <v>13</v>
      </c>
      <c r="B12" s="7" t="s">
        <v>40</v>
      </c>
      <c r="C12" s="0" t="s">
        <v>24</v>
      </c>
      <c r="D12" s="8" t="n">
        <v>0.936206901352657</v>
      </c>
      <c r="E12" s="8" t="n">
        <v>0.991538286572</v>
      </c>
      <c r="F12" s="8" t="n">
        <v>1.03236525669456</v>
      </c>
      <c r="G12" s="8" t="n">
        <v>1.05419610096948</v>
      </c>
      <c r="H12" s="8" t="n">
        <v>1.07595123797417</v>
      </c>
    </row>
    <row r="13" customFormat="false" ht="17.15" hidden="false" customHeight="false" outlineLevel="0" collapsed="false">
      <c r="A13" s="7" t="s">
        <v>13</v>
      </c>
      <c r="B13" s="7" t="s">
        <v>41</v>
      </c>
      <c r="C13" s="0" t="s">
        <v>25</v>
      </c>
      <c r="D13" s="9" t="n">
        <v>0.940297910447761</v>
      </c>
      <c r="E13" s="9" t="n">
        <v>0.907070303030303</v>
      </c>
      <c r="F13" s="9" t="n">
        <v>0.829577464788732</v>
      </c>
      <c r="G13" s="9" t="n">
        <v>0.6875</v>
      </c>
      <c r="H13" s="9" t="n">
        <v>0.568269230769231</v>
      </c>
    </row>
    <row r="14" customFormat="false" ht="17.15" hidden="false" customHeight="false" outlineLevel="0" collapsed="false">
      <c r="A14" s="7" t="s">
        <v>13</v>
      </c>
      <c r="B14" s="7" t="s">
        <v>40</v>
      </c>
      <c r="C14" s="0" t="s">
        <v>25</v>
      </c>
      <c r="D14" s="8" t="n">
        <v>0.184804918429672</v>
      </c>
      <c r="E14" s="8" t="n">
        <v>0.216090700452404</v>
      </c>
      <c r="F14" s="8" t="n">
        <v>0.275269342729324</v>
      </c>
      <c r="G14" s="8" t="n">
        <v>0.388447069694966</v>
      </c>
      <c r="H14" s="8" t="n">
        <v>0.503269330002712</v>
      </c>
    </row>
    <row r="15" customFormat="false" ht="17.15" hidden="false" customHeight="false" outlineLevel="0" collapsed="false">
      <c r="A15" s="7" t="s">
        <v>13</v>
      </c>
      <c r="B15" s="7" t="s">
        <v>42</v>
      </c>
      <c r="C15" s="0" t="s">
        <v>25</v>
      </c>
      <c r="D15" s="8" t="n">
        <v>0.13553243193366</v>
      </c>
      <c r="E15" s="8" t="n">
        <v>0.139395246116719</v>
      </c>
      <c r="F15" s="8" t="n">
        <v>0.137726550119718</v>
      </c>
      <c r="G15" s="8" t="n">
        <v>0.122102341257102</v>
      </c>
      <c r="H15" s="8" t="n">
        <v>0.105188526596154</v>
      </c>
    </row>
    <row r="16" customFormat="false" ht="17.15" hidden="false" customHeight="false" outlineLevel="0" collapsed="false">
      <c r="A16" s="7" t="s">
        <v>13</v>
      </c>
      <c r="B16" s="7" t="s">
        <v>43</v>
      </c>
      <c r="C16" s="0" t="s">
        <v>25</v>
      </c>
      <c r="D16" s="8" t="n">
        <v>0.049272486496012</v>
      </c>
      <c r="E16" s="8" t="n">
        <v>0.0766954543356849</v>
      </c>
      <c r="F16" s="8" t="n">
        <v>0.137542792609606</v>
      </c>
      <c r="G16" s="8" t="n">
        <v>0.266344728437864</v>
      </c>
      <c r="H16" s="8" t="n">
        <v>0.398080803406558</v>
      </c>
    </row>
    <row r="17" customFormat="false" ht="17.15" hidden="false" customHeight="false" outlineLevel="0" collapsed="false">
      <c r="A17" s="7" t="s">
        <v>13</v>
      </c>
      <c r="B17" s="7" t="s">
        <v>44</v>
      </c>
      <c r="C17" s="0" t="s">
        <v>25</v>
      </c>
      <c r="D17" s="8" t="n">
        <v>0.452076801768641</v>
      </c>
      <c r="E17" s="8" t="n">
        <v>0.478599576106458</v>
      </c>
      <c r="F17" s="8" t="n">
        <v>0.505245691848059</v>
      </c>
      <c r="G17" s="8" t="n">
        <v>0.52362124887122</v>
      </c>
      <c r="H17" s="8" t="n">
        <v>0.539478971874152</v>
      </c>
    </row>
    <row r="18" customFormat="false" ht="17.15" hidden="false" customHeight="false" outlineLevel="0" collapsed="false">
      <c r="A18" s="7" t="s">
        <v>13</v>
      </c>
      <c r="B18" s="7" t="s">
        <v>45</v>
      </c>
      <c r="C18" s="0" t="s">
        <v>25</v>
      </c>
      <c r="D18" s="8" t="n">
        <v>10.0131711659833</v>
      </c>
      <c r="E18" s="8" t="n">
        <v>10.435397238472</v>
      </c>
      <c r="F18" s="8" t="n">
        <v>10.8595868294008</v>
      </c>
      <c r="G18" s="8" t="n">
        <v>11.1521142691348</v>
      </c>
      <c r="H18" s="8" t="n">
        <v>11.4045593571509</v>
      </c>
    </row>
    <row r="19" customFormat="false" ht="17.15" hidden="false" customHeight="false" outlineLevel="0" collapsed="false">
      <c r="A19" s="7" t="s">
        <v>13</v>
      </c>
      <c r="B19" s="7" t="s">
        <v>46</v>
      </c>
      <c r="C19" s="0" t="s">
        <v>25</v>
      </c>
      <c r="D19" s="9" t="n">
        <v>0.895501175501442</v>
      </c>
      <c r="E19" s="9" t="n">
        <v>0.8517028157434</v>
      </c>
      <c r="F19" s="9" t="n">
        <v>0.823933653229554</v>
      </c>
      <c r="G19" s="9" t="n">
        <v>0.809863406060474</v>
      </c>
      <c r="H19" s="9" t="n">
        <v>0.796954471228903</v>
      </c>
    </row>
    <row r="20" customFormat="false" ht="17.15" hidden="false" customHeight="false" outlineLevel="0" collapsed="false">
      <c r="A20" s="7" t="s">
        <v>14</v>
      </c>
      <c r="B20" s="7" t="s">
        <v>40</v>
      </c>
      <c r="C20" s="0" t="s">
        <v>24</v>
      </c>
      <c r="D20" s="8" t="n">
        <v>0.936206901352657</v>
      </c>
      <c r="E20" s="8" t="n">
        <v>0.991538286572</v>
      </c>
      <c r="F20" s="8" t="n">
        <v>1.03978541019888</v>
      </c>
      <c r="G20" s="8" t="n">
        <v>1.06833631784692</v>
      </c>
      <c r="H20" s="8" t="n">
        <v>1.09003468943576</v>
      </c>
    </row>
    <row r="21" customFormat="false" ht="17.15" hidden="false" customHeight="false" outlineLevel="0" collapsed="false">
      <c r="A21" s="7" t="s">
        <v>14</v>
      </c>
      <c r="B21" s="7" t="s">
        <v>41</v>
      </c>
      <c r="C21" s="0" t="s">
        <v>25</v>
      </c>
      <c r="D21" s="9" t="n">
        <v>0.940297910447761</v>
      </c>
      <c r="E21" s="9" t="n">
        <v>0.907070303030303</v>
      </c>
      <c r="F21" s="9" t="n">
        <v>0.842857142857143</v>
      </c>
      <c r="G21" s="9" t="n">
        <v>0.747706422018349</v>
      </c>
      <c r="H21" s="9" t="n">
        <v>0.686013986013986</v>
      </c>
    </row>
    <row r="22" customFormat="false" ht="17.15" hidden="false" customHeight="false" outlineLevel="0" collapsed="false">
      <c r="A22" s="7" t="s">
        <v>14</v>
      </c>
      <c r="B22" s="7" t="s">
        <v>40</v>
      </c>
      <c r="C22" s="0" t="s">
        <v>25</v>
      </c>
      <c r="D22" s="8" t="n">
        <v>0.184804918429672</v>
      </c>
      <c r="E22" s="8" t="n">
        <v>0.216090700452404</v>
      </c>
      <c r="F22" s="8" t="n">
        <v>0.268463816802364</v>
      </c>
      <c r="G22" s="8" t="n">
        <v>0.349815679753734</v>
      </c>
      <c r="H22" s="8" t="n">
        <v>0.417268174547427</v>
      </c>
    </row>
    <row r="23" customFormat="false" ht="17.15" hidden="false" customHeight="false" outlineLevel="0" collapsed="false">
      <c r="A23" s="7" t="s">
        <v>14</v>
      </c>
      <c r="B23" s="7" t="s">
        <v>42</v>
      </c>
      <c r="C23" s="0" t="s">
        <v>25</v>
      </c>
      <c r="D23" s="8" t="n">
        <v>0.13553243193366</v>
      </c>
      <c r="E23" s="8" t="n">
        <v>0.139395246116719</v>
      </c>
      <c r="F23" s="8" t="n">
        <v>0.141638644396104</v>
      </c>
      <c r="G23" s="8" t="n">
        <v>0.134785073308486</v>
      </c>
      <c r="H23" s="8" t="n">
        <v>0.127754862979021</v>
      </c>
    </row>
    <row r="24" customFormat="false" ht="17.15" hidden="false" customHeight="false" outlineLevel="0" collapsed="false">
      <c r="A24" s="7" t="s">
        <v>14</v>
      </c>
      <c r="B24" s="7" t="s">
        <v>43</v>
      </c>
      <c r="C24" s="0" t="s">
        <v>25</v>
      </c>
      <c r="D24" s="8" t="n">
        <v>0.049272486496012</v>
      </c>
      <c r="E24" s="8" t="n">
        <v>0.0766954543356849</v>
      </c>
      <c r="F24" s="8" t="n">
        <v>0.12682517240626</v>
      </c>
      <c r="G24" s="8" t="n">
        <v>0.215030606445248</v>
      </c>
      <c r="H24" s="8" t="n">
        <v>0.289513311568406</v>
      </c>
    </row>
    <row r="25" customFormat="false" ht="17.15" hidden="false" customHeight="false" outlineLevel="0" collapsed="false">
      <c r="A25" s="7" t="s">
        <v>14</v>
      </c>
      <c r="B25" s="7" t="s">
        <v>44</v>
      </c>
      <c r="C25" s="0" t="s">
        <v>25</v>
      </c>
      <c r="D25" s="8" t="n">
        <v>0.452076801768641</v>
      </c>
      <c r="E25" s="8" t="n">
        <v>0.478599576106458</v>
      </c>
      <c r="F25" s="8" t="n">
        <v>0.511931413650602</v>
      </c>
      <c r="G25" s="8" t="n">
        <v>0.536611297754696</v>
      </c>
      <c r="H25" s="8" t="n">
        <v>0.553542649085028</v>
      </c>
    </row>
    <row r="26" customFormat="false" ht="17.15" hidden="false" customHeight="false" outlineLevel="0" collapsed="false">
      <c r="A26" s="7" t="s">
        <v>14</v>
      </c>
      <c r="B26" s="7" t="s">
        <v>45</v>
      </c>
      <c r="C26" s="0" t="s">
        <v>25</v>
      </c>
      <c r="D26" s="8" t="n">
        <v>10.0131711659833</v>
      </c>
      <c r="E26" s="8" t="n">
        <v>10.435397238472</v>
      </c>
      <c r="F26" s="8" t="n">
        <v>10.966019362532</v>
      </c>
      <c r="G26" s="8" t="n">
        <v>11.358907768625</v>
      </c>
      <c r="H26" s="8" t="n">
        <v>11.6284443519054</v>
      </c>
    </row>
    <row r="27" customFormat="false" ht="17.15" hidden="false" customHeight="false" outlineLevel="0" collapsed="false">
      <c r="A27" s="7" t="s">
        <v>14</v>
      </c>
      <c r="B27" s="7" t="s">
        <v>46</v>
      </c>
      <c r="C27" s="0" t="s">
        <v>25</v>
      </c>
      <c r="D27" s="9" t="n">
        <v>0.895501175501442</v>
      </c>
      <c r="E27" s="9" t="n">
        <v>0.8517028157434</v>
      </c>
      <c r="F27" s="9" t="n">
        <v>0.818951810120757</v>
      </c>
      <c r="G27" s="9" t="n">
        <v>0.800256694801117</v>
      </c>
      <c r="H27" s="9" t="n">
        <v>0.786875979075566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6" t="s">
        <v>47</v>
      </c>
    </row>
    <row r="3" customFormat="false" ht="17.15" hidden="false" customHeight="false" outlineLevel="0" collapsed="false">
      <c r="A3" s="3" t="s">
        <v>48</v>
      </c>
      <c r="B3" s="3" t="s">
        <v>49</v>
      </c>
      <c r="C3" s="4" t="s">
        <v>50</v>
      </c>
      <c r="D3" s="4" t="s">
        <v>51</v>
      </c>
      <c r="E3" s="3" t="s">
        <v>52</v>
      </c>
      <c r="F3" s="3" t="s">
        <v>53</v>
      </c>
      <c r="G3" s="3" t="s">
        <v>54</v>
      </c>
      <c r="H3" s="4" t="s">
        <v>55</v>
      </c>
      <c r="I3" s="4" t="s">
        <v>56</v>
      </c>
      <c r="J3" s="3" t="s">
        <v>57</v>
      </c>
      <c r="K3" s="3" t="s">
        <v>58</v>
      </c>
      <c r="L3" s="3" t="s">
        <v>59</v>
      </c>
    </row>
    <row r="4" customFormat="false" ht="17.15" hidden="false" customHeight="false" outlineLevel="0" collapsed="false">
      <c r="A4" s="7" t="s">
        <v>60</v>
      </c>
    </row>
    <row r="5" customFormat="false" ht="17.15" hidden="false" customHeight="false" outlineLevel="0" collapsed="false">
      <c r="A5" s="0" t="s">
        <v>61</v>
      </c>
      <c r="B5" s="0" t="s">
        <v>62</v>
      </c>
      <c r="C5" s="0" t="n">
        <v>16.139</v>
      </c>
      <c r="H5" s="0" t="s">
        <v>63</v>
      </c>
    </row>
    <row r="6" customFormat="false" ht="17.15" hidden="false" customHeight="false" outlineLevel="0" collapsed="false">
      <c r="A6" s="0" t="s">
        <v>64</v>
      </c>
      <c r="B6" s="0" t="s">
        <v>65</v>
      </c>
      <c r="C6" s="0" t="n">
        <v>850</v>
      </c>
      <c r="H6" s="0" t="s">
        <v>66</v>
      </c>
    </row>
    <row r="7" customFormat="false" ht="17.15" hidden="false" customHeight="false" outlineLevel="0" collapsed="false">
      <c r="A7" s="0" t="s">
        <v>67</v>
      </c>
      <c r="B7" s="0" t="s">
        <v>65</v>
      </c>
      <c r="C7" s="0" t="n">
        <v>1500</v>
      </c>
      <c r="H7" s="7" t="s">
        <v>68</v>
      </c>
    </row>
    <row r="8" customFormat="false" ht="17.15" hidden="false" customHeight="false" outlineLevel="0" collapsed="false">
      <c r="A8" s="7" t="s">
        <v>69</v>
      </c>
      <c r="B8" s="0" t="s">
        <v>62</v>
      </c>
      <c r="C8" s="0" t="n">
        <v>20.903</v>
      </c>
      <c r="H8" s="0" t="s">
        <v>70</v>
      </c>
    </row>
    <row r="9" customFormat="false" ht="17.15" hidden="false" customHeight="false" outlineLevel="0" collapsed="false">
      <c r="A9" s="7" t="s">
        <v>71</v>
      </c>
      <c r="B9" s="0" t="s">
        <v>62</v>
      </c>
      <c r="C9" s="0" t="n">
        <v>33.823</v>
      </c>
      <c r="H9" s="7" t="s">
        <v>68</v>
      </c>
    </row>
    <row r="10" customFormat="false" ht="17.15" hidden="false" customHeight="false" outlineLevel="0" collapsed="false">
      <c r="A10" s="7" t="s">
        <v>72</v>
      </c>
      <c r="B10" s="0" t="s">
        <v>62</v>
      </c>
      <c r="C10" s="0" t="n">
        <v>1.51</v>
      </c>
      <c r="H10" s="0" t="s">
        <v>73</v>
      </c>
    </row>
    <row r="11" customFormat="false" ht="17.15" hidden="false" customHeight="false" outlineLevel="0" collapsed="false">
      <c r="A11" s="0" t="s">
        <v>74</v>
      </c>
      <c r="B11" s="7" t="s">
        <v>75</v>
      </c>
      <c r="C11" s="0" t="n">
        <v>6</v>
      </c>
      <c r="H11" s="0" t="s">
        <v>76</v>
      </c>
    </row>
    <row r="12" customFormat="false" ht="17.15" hidden="false" customHeight="false" outlineLevel="0" collapsed="false">
      <c r="A12" s="7" t="s">
        <v>77</v>
      </c>
    </row>
    <row r="13" customFormat="false" ht="17.15" hidden="false" customHeight="false" outlineLevel="0" collapsed="false">
      <c r="A13" s="7" t="s">
        <v>78</v>
      </c>
      <c r="B13" s="7" t="s">
        <v>79</v>
      </c>
      <c r="C13" s="0" t="n">
        <v>0.76</v>
      </c>
      <c r="D13" s="0" t="n">
        <v>0.827779947935384</v>
      </c>
      <c r="E13" s="0" t="n">
        <v>0.0891841420202426</v>
      </c>
      <c r="F13" s="0" t="n">
        <v>0.827779947935384</v>
      </c>
      <c r="G13" s="0" t="s">
        <v>80</v>
      </c>
      <c r="H13" s="0" t="s">
        <v>81</v>
      </c>
      <c r="I13" s="0" t="s">
        <v>82</v>
      </c>
      <c r="J13" s="7" t="s">
        <v>83</v>
      </c>
      <c r="K13" s="7" t="s">
        <v>84</v>
      </c>
      <c r="L13" s="0" t="s">
        <v>85</v>
      </c>
    </row>
    <row r="14" customFormat="false" ht="17.15" hidden="false" customHeight="false" outlineLevel="0" collapsed="false">
      <c r="A14" s="7" t="s">
        <v>86</v>
      </c>
      <c r="B14" s="7" t="s">
        <v>79</v>
      </c>
      <c r="C14" s="0" t="n">
        <v>0.76</v>
      </c>
      <c r="D14" s="7" t="s">
        <v>87</v>
      </c>
      <c r="E14" s="7" t="s">
        <v>87</v>
      </c>
      <c r="F14" s="0" t="n">
        <v>0.76</v>
      </c>
      <c r="G14" s="0" t="s">
        <v>88</v>
      </c>
      <c r="H14" s="0" t="s">
        <v>89</v>
      </c>
      <c r="I14" s="0" t="s">
        <v>90</v>
      </c>
      <c r="J14" s="7" t="s">
        <v>91</v>
      </c>
      <c r="K14" s="7" t="s">
        <v>92</v>
      </c>
      <c r="L14" s="0" t="s">
        <v>93</v>
      </c>
    </row>
    <row r="15" customFormat="false" ht="17.15" hidden="false" customHeight="false" outlineLevel="0" collapsed="false">
      <c r="A15" s="7" t="s">
        <v>94</v>
      </c>
      <c r="B15" s="0" t="s">
        <v>95</v>
      </c>
      <c r="C15" s="0" t="n">
        <v>0</v>
      </c>
      <c r="D15" s="7" t="s">
        <v>87</v>
      </c>
      <c r="E15" s="7" t="s">
        <v>87</v>
      </c>
      <c r="F15" s="0" t="n">
        <v>0</v>
      </c>
      <c r="G15" s="0" t="s">
        <v>88</v>
      </c>
      <c r="H15" s="7" t="s">
        <v>96</v>
      </c>
      <c r="I15" s="7" t="s">
        <v>97</v>
      </c>
      <c r="J15" s="7" t="s">
        <v>98</v>
      </c>
      <c r="K15" s="7" t="s">
        <v>99</v>
      </c>
      <c r="L15" s="0" t="s">
        <v>100</v>
      </c>
    </row>
    <row r="16" customFormat="false" ht="17.15" hidden="false" customHeight="false" outlineLevel="0" collapsed="false">
      <c r="A16" s="7" t="s">
        <v>101</v>
      </c>
      <c r="B16" s="0" t="s">
        <v>102</v>
      </c>
      <c r="C16" s="0" t="n">
        <v>0.672768</v>
      </c>
      <c r="D16" s="7" t="s">
        <v>87</v>
      </c>
      <c r="E16" s="7" t="s">
        <v>87</v>
      </c>
      <c r="F16" s="0" t="n">
        <v>0.672768</v>
      </c>
      <c r="G16" s="0" t="s">
        <v>103</v>
      </c>
      <c r="H16" s="0" t="s">
        <v>104</v>
      </c>
      <c r="I16" s="7" t="s">
        <v>105</v>
      </c>
      <c r="J16" s="0" t="s">
        <v>106</v>
      </c>
      <c r="K16" s="7" t="s">
        <v>107</v>
      </c>
      <c r="L16" s="0" t="s">
        <v>108</v>
      </c>
    </row>
    <row r="17" customFormat="false" ht="17.15" hidden="false" customHeight="false" outlineLevel="0" collapsed="false">
      <c r="A17" s="0" t="s">
        <v>109</v>
      </c>
      <c r="B17" s="0" t="s">
        <v>102</v>
      </c>
      <c r="C17" s="0" t="n">
        <v>0.936206901352657</v>
      </c>
      <c r="D17" s="7" t="s">
        <v>87</v>
      </c>
      <c r="E17" s="7" t="s">
        <v>87</v>
      </c>
      <c r="F17" s="0" t="n">
        <v>0.936206901352657</v>
      </c>
      <c r="G17" s="0" t="s">
        <v>88</v>
      </c>
      <c r="H17" s="0" t="s">
        <v>110</v>
      </c>
      <c r="I17" s="7" t="s">
        <v>111</v>
      </c>
      <c r="J17" s="7" t="s">
        <v>112</v>
      </c>
      <c r="K17" s="7" t="s">
        <v>113</v>
      </c>
      <c r="L17" s="0" t="s">
        <v>114</v>
      </c>
    </row>
    <row r="18" customFormat="false" ht="17.15" hidden="false" customHeight="false" outlineLevel="0" collapsed="false">
      <c r="A18" s="7" t="s">
        <v>115</v>
      </c>
      <c r="B18" s="0" t="s">
        <v>102</v>
      </c>
      <c r="C18" s="0" t="n">
        <v>0.325</v>
      </c>
      <c r="D18" s="7" t="s">
        <v>87</v>
      </c>
      <c r="E18" s="7" t="s">
        <v>87</v>
      </c>
      <c r="F18" s="0" t="n">
        <v>0.325</v>
      </c>
      <c r="G18" s="0" t="s">
        <v>103</v>
      </c>
      <c r="H18" s="0" t="s">
        <v>116</v>
      </c>
      <c r="I18" s="7" t="s">
        <v>117</v>
      </c>
      <c r="J18" s="7" t="s">
        <v>118</v>
      </c>
      <c r="K18" s="7" t="s">
        <v>119</v>
      </c>
      <c r="L18" s="0" t="s">
        <v>120</v>
      </c>
    </row>
    <row r="19" customFormat="false" ht="17.15" hidden="false" customHeight="false" outlineLevel="0" collapsed="false">
      <c r="A19" s="7" t="s">
        <v>121</v>
      </c>
      <c r="B19" s="0" t="s">
        <v>102</v>
      </c>
      <c r="C19" s="0" t="n">
        <v>0.156034483558776</v>
      </c>
      <c r="D19" s="7" t="s">
        <v>87</v>
      </c>
      <c r="E19" s="7" t="s">
        <v>87</v>
      </c>
      <c r="F19" s="0" t="n">
        <v>0.156034483558776</v>
      </c>
      <c r="G19" s="0" t="s">
        <v>103</v>
      </c>
      <c r="H19" s="0" t="s">
        <v>122</v>
      </c>
      <c r="I19" s="7" t="s">
        <v>123</v>
      </c>
      <c r="J19" s="7" t="s">
        <v>124</v>
      </c>
      <c r="K19" s="7" t="s">
        <v>119</v>
      </c>
    </row>
    <row r="20" customFormat="false" ht="17.15" hidden="false" customHeight="false" outlineLevel="0" collapsed="false">
      <c r="A20" s="7" t="s">
        <v>125</v>
      </c>
      <c r="B20" s="0" t="s">
        <v>102</v>
      </c>
      <c r="C20" s="0" t="n">
        <v>2.09000938491143</v>
      </c>
      <c r="D20" s="0" t="n">
        <v>1.3568</v>
      </c>
      <c r="E20" s="0" t="n">
        <v>-0.350816312215987</v>
      </c>
      <c r="F20" s="0" t="n">
        <v>2.09000938491143</v>
      </c>
      <c r="G20" s="0" t="s">
        <v>88</v>
      </c>
      <c r="H20" s="7" t="s">
        <v>126</v>
      </c>
      <c r="I20" s="0" t="s">
        <v>127</v>
      </c>
      <c r="J20" s="7" t="s">
        <v>128</v>
      </c>
      <c r="K20" s="7" t="s">
        <v>129</v>
      </c>
      <c r="L20" s="0" t="s">
        <v>130</v>
      </c>
    </row>
    <row r="21" customFormat="false" ht="17.15" hidden="false" customHeight="false" outlineLevel="0" collapsed="false">
      <c r="A21" s="7" t="s">
        <v>131</v>
      </c>
      <c r="B21" s="0" t="s">
        <v>102</v>
      </c>
      <c r="C21" s="0" t="n">
        <v>1.6</v>
      </c>
      <c r="D21" s="0" t="n">
        <v>1.6</v>
      </c>
      <c r="E21" s="0" t="n">
        <v>0</v>
      </c>
      <c r="F21" s="0" t="n">
        <v>1.6</v>
      </c>
      <c r="G21" s="0" t="s">
        <v>132</v>
      </c>
      <c r="H21" s="7" t="s">
        <v>133</v>
      </c>
      <c r="I21" s="0" t="s">
        <v>134</v>
      </c>
      <c r="J21" s="0" t="s">
        <v>135</v>
      </c>
      <c r="K21" s="7" t="s">
        <v>136</v>
      </c>
      <c r="L21" s="0" t="s">
        <v>137</v>
      </c>
    </row>
    <row r="22" customFormat="false" ht="17.15" hidden="false" customHeight="false" outlineLevel="0" collapsed="false">
      <c r="A22" s="7" t="s">
        <v>138</v>
      </c>
      <c r="B22" s="0" t="s">
        <v>102</v>
      </c>
      <c r="C22" s="0" t="n">
        <v>34.759438</v>
      </c>
      <c r="D22" s="0" t="n">
        <v>24.8292307692308</v>
      </c>
      <c r="E22" s="0" t="n">
        <v>-0.285683768269477</v>
      </c>
      <c r="F22" s="0" t="n">
        <v>34.759438</v>
      </c>
      <c r="G22" s="0" t="s">
        <v>88</v>
      </c>
      <c r="H22" s="0" t="s">
        <v>139</v>
      </c>
      <c r="I22" s="0" t="s">
        <v>140</v>
      </c>
      <c r="J22" s="7" t="s">
        <v>141</v>
      </c>
      <c r="K22" s="7" t="s">
        <v>142</v>
      </c>
      <c r="L22" s="0" t="s">
        <v>143</v>
      </c>
    </row>
    <row r="23" customFormat="false" ht="17.15" hidden="false" customHeight="false" outlineLevel="0" collapsed="false">
      <c r="A23" s="7" t="s">
        <v>144</v>
      </c>
      <c r="B23" s="0" t="s">
        <v>102</v>
      </c>
      <c r="C23" s="0" t="n">
        <v>34.759438</v>
      </c>
      <c r="D23" s="0" t="n">
        <v>19.8769230769231</v>
      </c>
      <c r="E23" s="0" t="n">
        <v>-0.428157524384512</v>
      </c>
      <c r="H23" s="0" t="s">
        <v>145</v>
      </c>
      <c r="I23" s="0" t="s">
        <v>146</v>
      </c>
      <c r="J23" s="7" t="s">
        <v>147</v>
      </c>
      <c r="K23" s="7" t="s">
        <v>148</v>
      </c>
      <c r="L23" s="0" t="s">
        <v>149</v>
      </c>
    </row>
    <row r="24" customFormat="false" ht="17.15" hidden="false" customHeight="false" outlineLevel="0" collapsed="false">
      <c r="A24" s="7" t="s">
        <v>150</v>
      </c>
      <c r="B24" s="7" t="s">
        <v>75</v>
      </c>
      <c r="C24" s="0" t="n">
        <v>6</v>
      </c>
      <c r="D24" s="0" t="n">
        <v>6</v>
      </c>
      <c r="E24" s="0" t="n">
        <v>0</v>
      </c>
      <c r="F24" s="0" t="n">
        <v>6</v>
      </c>
      <c r="G24" s="0" t="s">
        <v>132</v>
      </c>
      <c r="H24" s="0" t="s">
        <v>151</v>
      </c>
      <c r="I24" s="7" t="s">
        <v>152</v>
      </c>
      <c r="J24" s="7" t="s">
        <v>153</v>
      </c>
      <c r="K24" s="7" t="s">
        <v>154</v>
      </c>
      <c r="L24" s="0" t="s">
        <v>155</v>
      </c>
    </row>
    <row r="25" customFormat="false" ht="17.15" hidden="false" customHeight="false" outlineLevel="0" collapsed="false">
      <c r="A25" s="7" t="s">
        <v>156</v>
      </c>
    </row>
    <row r="26" customFormat="false" ht="17.15" hidden="false" customHeight="false" outlineLevel="0" collapsed="false">
      <c r="A26" s="7" t="s">
        <v>157</v>
      </c>
      <c r="B26" s="0" t="s">
        <v>102</v>
      </c>
      <c r="C26" s="0" t="n">
        <v>2.0755031746511</v>
      </c>
      <c r="H26" s="0" t="s">
        <v>158</v>
      </c>
    </row>
    <row r="27" customFormat="false" ht="17.15" hidden="false" customHeight="false" outlineLevel="0" collapsed="false">
      <c r="A27" s="7" t="s">
        <v>159</v>
      </c>
      <c r="B27" s="7" t="s">
        <v>79</v>
      </c>
      <c r="C27" s="0" t="n">
        <v>0.653720994779053</v>
      </c>
      <c r="H27" s="7" t="s">
        <v>160</v>
      </c>
    </row>
    <row r="28" customFormat="false" ht="17.15" hidden="false" customHeight="false" outlineLevel="0" collapsed="false">
      <c r="A28" s="7" t="s">
        <v>161</v>
      </c>
      <c r="B28" s="0" t="s">
        <v>102</v>
      </c>
      <c r="C28" s="0" t="n">
        <v>34.759438</v>
      </c>
      <c r="H28" s="0" t="s">
        <v>162</v>
      </c>
    </row>
    <row r="29" customFormat="false" ht="17.15" hidden="false" customHeight="false" outlineLevel="0" collapsed="false">
      <c r="A29" s="7" t="s">
        <v>163</v>
      </c>
      <c r="B29" s="7" t="s">
        <v>79</v>
      </c>
      <c r="C29" s="0" t="n">
        <v>0.714316231730524</v>
      </c>
      <c r="H29" s="7" t="s">
        <v>164</v>
      </c>
    </row>
    <row r="30" customFormat="false" ht="17.15" hidden="false" customHeight="false" outlineLevel="0" collapsed="false">
      <c r="A30" s="7" t="s">
        <v>165</v>
      </c>
      <c r="B30" s="7" t="s">
        <v>79</v>
      </c>
      <c r="C30" s="0" t="n">
        <v>3.14348112575638</v>
      </c>
      <c r="H30" s="0" t="s">
        <v>166</v>
      </c>
    </row>
    <row r="31" customFormat="false" ht="17.15" hidden="false" customHeight="false" outlineLevel="0" collapsed="false">
      <c r="A31" s="0" t="s">
        <v>167</v>
      </c>
    </row>
    <row r="32" customFormat="false" ht="17.15" hidden="false" customHeight="false" outlineLevel="0" collapsed="false">
      <c r="A32" s="0" t="s">
        <v>168</v>
      </c>
      <c r="B32" s="0" t="s">
        <v>102</v>
      </c>
      <c r="C32" s="0" t="n">
        <v>8.21898450944851</v>
      </c>
      <c r="D32" s="0" t="n">
        <v>8.24</v>
      </c>
      <c r="E32" s="0" t="n">
        <v>0.00255694490327074</v>
      </c>
      <c r="J32" s="7" t="s">
        <v>169</v>
      </c>
    </row>
    <row r="33" customFormat="false" ht="17.15" hidden="false" customHeight="false" outlineLevel="0" collapsed="false">
      <c r="A33" s="0" t="s">
        <v>170</v>
      </c>
      <c r="B33" s="0" t="s">
        <v>102</v>
      </c>
      <c r="C33" s="0" t="n">
        <v>2.09000938491143</v>
      </c>
      <c r="D33" s="0" t="n">
        <v>1.3568</v>
      </c>
      <c r="E33" s="0" t="n">
        <v>-0.350816312215987</v>
      </c>
      <c r="J33" s="7" t="s">
        <v>171</v>
      </c>
    </row>
    <row r="34" customFormat="false" ht="17.15" hidden="false" customHeight="false" outlineLevel="0" collapsed="false">
      <c r="A34" s="0" t="s">
        <v>172</v>
      </c>
      <c r="B34" s="0" t="s">
        <v>102</v>
      </c>
      <c r="C34" s="0" t="n">
        <v>1.6</v>
      </c>
      <c r="D34" s="0" t="n">
        <v>1.6</v>
      </c>
      <c r="E34" s="0" t="n">
        <v>0</v>
      </c>
      <c r="J34" s="0" t="s">
        <v>173</v>
      </c>
    </row>
    <row r="35" customFormat="false" ht="17.15" hidden="false" customHeight="false" outlineLevel="0" collapsed="false">
      <c r="A35" s="0" t="s">
        <v>174</v>
      </c>
      <c r="B35" s="0" t="s">
        <v>102</v>
      </c>
      <c r="C35" s="0" t="n">
        <v>0.453241087511335</v>
      </c>
      <c r="D35" s="0" t="n">
        <v>0.4544</v>
      </c>
      <c r="E35" s="0" t="n">
        <v>0.00255694490327074</v>
      </c>
      <c r="J35" s="7" t="s">
        <v>175</v>
      </c>
    </row>
    <row r="36" customFormat="false" ht="17.15" hidden="false" customHeight="false" outlineLevel="0" collapsed="false">
      <c r="A36" s="0" t="s">
        <v>176</v>
      </c>
      <c r="B36" s="0" t="s">
        <v>102</v>
      </c>
      <c r="C36" s="0" t="n">
        <v>4.07573403702574</v>
      </c>
      <c r="D36" s="0" t="n">
        <v>4.832</v>
      </c>
      <c r="E36" s="0" t="n">
        <v>0.1855533153302</v>
      </c>
      <c r="J36" s="7" t="s">
        <v>177</v>
      </c>
    </row>
    <row r="37" customFormat="false" ht="17.15" hidden="false" customHeight="false" outlineLevel="0" collapsed="false">
      <c r="A37" s="0" t="s">
        <v>178</v>
      </c>
      <c r="B37" s="0" t="s">
        <v>95</v>
      </c>
      <c r="C37" s="0" t="n">
        <v>0.495892653446456</v>
      </c>
      <c r="D37" s="0" t="n">
        <v>0.586407766990291</v>
      </c>
      <c r="E37" s="0" t="n">
        <v>-0.0905151135438352</v>
      </c>
      <c r="J37" s="7" t="s">
        <v>179</v>
      </c>
    </row>
    <row r="38" customFormat="false" ht="17.15" hidden="false" customHeight="false" outlineLevel="0" collapsed="false">
      <c r="A38" s="7" t="s">
        <v>180</v>
      </c>
    </row>
    <row r="39" customFormat="false" ht="17.15" hidden="false" customHeight="false" outlineLevel="0" collapsed="false">
      <c r="A39" s="7" t="s">
        <v>181</v>
      </c>
      <c r="H39" s="0" t="s">
        <v>182</v>
      </c>
    </row>
    <row r="40" customFormat="false" ht="17.15" hidden="false" customHeight="false" outlineLevel="0" collapsed="false">
      <c r="A40" s="7" t="s">
        <v>183</v>
      </c>
      <c r="H40" s="0" t="s">
        <v>184</v>
      </c>
    </row>
    <row r="41" customFormat="false" ht="17.15" hidden="false" customHeight="false" outlineLevel="0" collapsed="false">
      <c r="A41" s="7" t="s">
        <v>185</v>
      </c>
      <c r="H41" s="7" t="s">
        <v>186</v>
      </c>
    </row>
    <row r="42" customFormat="false" ht="17.15" hidden="false" customHeight="false" outlineLevel="0" collapsed="false">
      <c r="A42" s="7" t="s">
        <v>187</v>
      </c>
      <c r="H42" s="7" t="s">
        <v>188</v>
      </c>
    </row>
    <row r="43" customFormat="false" ht="17.15" hidden="false" customHeight="false" outlineLevel="0" collapsed="false">
      <c r="A43" s="7" t="s">
        <v>189</v>
      </c>
      <c r="H43" s="7" t="s">
        <v>190</v>
      </c>
    </row>
    <row r="44" customFormat="false" ht="17.15" hidden="false" customHeight="false" outlineLevel="0" collapsed="false">
      <c r="A44" s="7" t="s">
        <v>191</v>
      </c>
      <c r="H44" s="0" t="s">
        <v>192</v>
      </c>
    </row>
    <row r="45" customFormat="false" ht="17.15" hidden="false" customHeight="false" outlineLevel="0" collapsed="false">
      <c r="A45" s="7" t="s">
        <v>193</v>
      </c>
      <c r="H45" s="7" t="s">
        <v>194</v>
      </c>
    </row>
    <row r="46" customFormat="false" ht="17.15" hidden="false" customHeight="false" outlineLevel="0" collapsed="false">
      <c r="A46" s="7" t="s">
        <v>195</v>
      </c>
      <c r="H46" s="7" t="s">
        <v>196</v>
      </c>
    </row>
    <row r="47" customFormat="false" ht="17.15" hidden="false" customHeight="false" outlineLevel="0" collapsed="false">
      <c r="A47" s="7" t="s">
        <v>197</v>
      </c>
      <c r="H47" s="0" t="s">
        <v>198</v>
      </c>
    </row>
    <row r="48" customFormat="false" ht="17.15" hidden="false" customHeight="false" outlineLevel="0" collapsed="false">
      <c r="A48" s="7" t="s">
        <v>199</v>
      </c>
      <c r="H48" s="0" t="s">
        <v>200</v>
      </c>
    </row>
    <row r="49" customFormat="false" ht="17.15" hidden="false" customHeight="false" outlineLevel="0" collapsed="false">
      <c r="A49" s="7" t="s">
        <v>201</v>
      </c>
      <c r="H49" s="0" t="s">
        <v>202</v>
      </c>
    </row>
    <row r="50" customFormat="false" ht="17.15" hidden="false" customHeight="false" outlineLevel="0" collapsed="false">
      <c r="A50" s="7" t="s">
        <v>203</v>
      </c>
      <c r="H50" s="0" t="s">
        <v>204</v>
      </c>
    </row>
    <row r="51" customFormat="false" ht="17.15" hidden="false" customHeight="false" outlineLevel="0" collapsed="false">
      <c r="A51" s="7" t="s">
        <v>205</v>
      </c>
      <c r="H51" s="0" t="s">
        <v>206</v>
      </c>
    </row>
    <row r="52" customFormat="false" ht="17.15" hidden="false" customHeight="false" outlineLevel="0" collapsed="false">
      <c r="A52" s="7" t="s">
        <v>207</v>
      </c>
      <c r="H52" s="7" t="s">
        <v>208</v>
      </c>
    </row>
    <row r="53" customFormat="false" ht="17.15" hidden="false" customHeight="false" outlineLevel="0" collapsed="false">
      <c r="A53" s="7" t="s">
        <v>209</v>
      </c>
      <c r="H53" s="0" t="s">
        <v>210</v>
      </c>
    </row>
    <row r="54" customFormat="false" ht="17.15" hidden="false" customHeight="false" outlineLevel="0" collapsed="false">
      <c r="A54" s="7" t="s">
        <v>211</v>
      </c>
      <c r="H54" s="0" t="s">
        <v>212</v>
      </c>
    </row>
    <row r="55" customFormat="false" ht="17.15" hidden="false" customHeight="false" outlineLevel="0" collapsed="false">
      <c r="A55" s="7" t="s">
        <v>213</v>
      </c>
      <c r="H55" s="7" t="s">
        <v>214</v>
      </c>
    </row>
    <row r="56" customFormat="false" ht="17.15" hidden="false" customHeight="false" outlineLevel="0" collapsed="false">
      <c r="A56" s="7" t="s">
        <v>215</v>
      </c>
      <c r="H56" s="0" t="s">
        <v>216</v>
      </c>
    </row>
    <row r="57" customFormat="false" ht="17.15" hidden="false" customHeight="false" outlineLevel="0" collapsed="false">
      <c r="A57" s="7" t="s">
        <v>217</v>
      </c>
      <c r="H57" s="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6" t="s">
        <v>219</v>
      </c>
    </row>
    <row r="3" customFormat="false" ht="17.15" hidden="false" customHeight="false" outlineLevel="0" collapsed="false">
      <c r="A3" s="3" t="s">
        <v>48</v>
      </c>
      <c r="B3" s="3" t="s">
        <v>49</v>
      </c>
      <c r="C3" s="4" t="s">
        <v>50</v>
      </c>
      <c r="D3" s="4" t="s">
        <v>51</v>
      </c>
      <c r="E3" s="3" t="s">
        <v>52</v>
      </c>
      <c r="F3" s="3" t="s">
        <v>53</v>
      </c>
      <c r="G3" s="3" t="s">
        <v>54</v>
      </c>
      <c r="H3" s="4" t="s">
        <v>55</v>
      </c>
      <c r="I3" s="4" t="s">
        <v>56</v>
      </c>
      <c r="J3" s="3" t="s">
        <v>57</v>
      </c>
      <c r="K3" s="3" t="s">
        <v>58</v>
      </c>
      <c r="L3" s="3" t="s">
        <v>59</v>
      </c>
    </row>
    <row r="4" customFormat="false" ht="17.15" hidden="false" customHeight="false" outlineLevel="0" collapsed="false">
      <c r="A4" s="7" t="s">
        <v>60</v>
      </c>
    </row>
    <row r="5" customFormat="false" ht="17.15" hidden="false" customHeight="false" outlineLevel="0" collapsed="false">
      <c r="A5" s="0" t="s">
        <v>61</v>
      </c>
      <c r="B5" s="0" t="s">
        <v>62</v>
      </c>
      <c r="C5" s="0" t="n">
        <v>16.139</v>
      </c>
      <c r="H5" s="0" t="s">
        <v>63</v>
      </c>
    </row>
    <row r="6" customFormat="false" ht="17.15" hidden="false" customHeight="false" outlineLevel="0" collapsed="false">
      <c r="A6" s="0" t="s">
        <v>64</v>
      </c>
      <c r="B6" s="0" t="s">
        <v>65</v>
      </c>
      <c r="C6" s="0" t="n">
        <v>850</v>
      </c>
      <c r="H6" s="0" t="s">
        <v>66</v>
      </c>
    </row>
    <row r="7" customFormat="false" ht="17.15" hidden="false" customHeight="false" outlineLevel="0" collapsed="false">
      <c r="A7" s="0" t="s">
        <v>67</v>
      </c>
      <c r="B7" s="0" t="s">
        <v>65</v>
      </c>
      <c r="C7" s="0" t="n">
        <v>1500</v>
      </c>
      <c r="H7" s="7" t="s">
        <v>68</v>
      </c>
    </row>
    <row r="8" customFormat="false" ht="17.15" hidden="false" customHeight="false" outlineLevel="0" collapsed="false">
      <c r="A8" s="7" t="s">
        <v>69</v>
      </c>
      <c r="B8" s="0" t="s">
        <v>62</v>
      </c>
      <c r="C8" s="0" t="n">
        <v>20.903</v>
      </c>
      <c r="H8" s="0" t="s">
        <v>70</v>
      </c>
    </row>
    <row r="9" customFormat="false" ht="17.15" hidden="false" customHeight="false" outlineLevel="0" collapsed="false">
      <c r="A9" s="7" t="s">
        <v>71</v>
      </c>
      <c r="B9" s="0" t="s">
        <v>62</v>
      </c>
      <c r="C9" s="0" t="n">
        <v>33.823</v>
      </c>
      <c r="H9" s="7" t="s">
        <v>68</v>
      </c>
    </row>
    <row r="10" customFormat="false" ht="17.15" hidden="false" customHeight="false" outlineLevel="0" collapsed="false">
      <c r="A10" s="7" t="s">
        <v>72</v>
      </c>
      <c r="B10" s="0" t="s">
        <v>62</v>
      </c>
      <c r="C10" s="0" t="n">
        <v>1.51</v>
      </c>
      <c r="H10" s="0" t="s">
        <v>73</v>
      </c>
    </row>
    <row r="11" customFormat="false" ht="17.15" hidden="false" customHeight="false" outlineLevel="0" collapsed="false">
      <c r="A11" s="0" t="s">
        <v>74</v>
      </c>
      <c r="B11" s="7" t="s">
        <v>75</v>
      </c>
      <c r="C11" s="0" t="n">
        <v>6</v>
      </c>
      <c r="H11" s="0" t="s">
        <v>76</v>
      </c>
    </row>
    <row r="12" customFormat="false" ht="17.15" hidden="false" customHeight="false" outlineLevel="0" collapsed="false">
      <c r="A12" s="7" t="s">
        <v>77</v>
      </c>
    </row>
    <row r="13" customFormat="false" ht="17.15" hidden="false" customHeight="false" outlineLevel="0" collapsed="false">
      <c r="A13" s="7" t="s">
        <v>78</v>
      </c>
      <c r="B13" s="7" t="s">
        <v>79</v>
      </c>
      <c r="C13" s="0" t="n">
        <v>0.76</v>
      </c>
      <c r="D13" s="0" t="n">
        <v>0.91130964597661</v>
      </c>
      <c r="E13" s="0" t="n">
        <v>0.199091639442908</v>
      </c>
      <c r="F13" s="0" t="n">
        <v>0.91130964597661</v>
      </c>
      <c r="G13" s="0" t="s">
        <v>80</v>
      </c>
      <c r="H13" s="0" t="s">
        <v>81</v>
      </c>
      <c r="I13" s="0" t="s">
        <v>82</v>
      </c>
      <c r="J13" s="7" t="s">
        <v>83</v>
      </c>
      <c r="K13" s="7" t="s">
        <v>84</v>
      </c>
      <c r="L13" s="0" t="s">
        <v>85</v>
      </c>
    </row>
    <row r="14" customFormat="false" ht="17.15" hidden="false" customHeight="false" outlineLevel="0" collapsed="false">
      <c r="A14" s="7" t="s">
        <v>86</v>
      </c>
      <c r="B14" s="7" t="s">
        <v>79</v>
      </c>
      <c r="C14" s="0" t="n">
        <v>0.76</v>
      </c>
      <c r="D14" s="7" t="s">
        <v>87</v>
      </c>
      <c r="E14" s="7" t="s">
        <v>87</v>
      </c>
      <c r="F14" s="0" t="n">
        <v>0.76</v>
      </c>
      <c r="G14" s="0" t="s">
        <v>88</v>
      </c>
      <c r="H14" s="0" t="s">
        <v>89</v>
      </c>
      <c r="I14" s="0" t="s">
        <v>90</v>
      </c>
      <c r="J14" s="7" t="s">
        <v>91</v>
      </c>
      <c r="K14" s="7" t="s">
        <v>92</v>
      </c>
      <c r="L14" s="0" t="s">
        <v>93</v>
      </c>
    </row>
    <row r="15" customFormat="false" ht="17.15" hidden="false" customHeight="false" outlineLevel="0" collapsed="false">
      <c r="A15" s="7" t="s">
        <v>94</v>
      </c>
      <c r="B15" s="0" t="s">
        <v>95</v>
      </c>
      <c r="C15" s="0" t="n">
        <v>0</v>
      </c>
      <c r="D15" s="7" t="s">
        <v>87</v>
      </c>
      <c r="E15" s="7" t="s">
        <v>87</v>
      </c>
      <c r="F15" s="0" t="n">
        <v>0</v>
      </c>
      <c r="G15" s="0" t="s">
        <v>88</v>
      </c>
      <c r="H15" s="7" t="s">
        <v>96</v>
      </c>
      <c r="I15" s="7" t="s">
        <v>97</v>
      </c>
      <c r="J15" s="7" t="s">
        <v>98</v>
      </c>
      <c r="K15" s="7" t="s">
        <v>99</v>
      </c>
      <c r="L15" s="0" t="s">
        <v>100</v>
      </c>
    </row>
    <row r="16" customFormat="false" ht="17.15" hidden="false" customHeight="false" outlineLevel="0" collapsed="false">
      <c r="A16" s="7" t="s">
        <v>101</v>
      </c>
      <c r="B16" s="0" t="s">
        <v>102</v>
      </c>
      <c r="C16" s="0" t="n">
        <v>0.672768</v>
      </c>
      <c r="D16" s="7" t="s">
        <v>87</v>
      </c>
      <c r="E16" s="7" t="s">
        <v>87</v>
      </c>
      <c r="F16" s="0" t="n">
        <v>0.672768</v>
      </c>
      <c r="G16" s="0" t="s">
        <v>103</v>
      </c>
      <c r="H16" s="0" t="s">
        <v>104</v>
      </c>
      <c r="I16" s="7" t="s">
        <v>105</v>
      </c>
      <c r="J16" s="0" t="s">
        <v>106</v>
      </c>
      <c r="K16" s="7" t="s">
        <v>107</v>
      </c>
      <c r="L16" s="0" t="s">
        <v>108</v>
      </c>
    </row>
    <row r="17" customFormat="false" ht="17.15" hidden="false" customHeight="false" outlineLevel="0" collapsed="false">
      <c r="A17" s="0" t="s">
        <v>109</v>
      </c>
      <c r="B17" s="0" t="s">
        <v>102</v>
      </c>
      <c r="C17" s="0" t="n">
        <v>0.184804918429672</v>
      </c>
      <c r="D17" s="7" t="s">
        <v>87</v>
      </c>
      <c r="E17" s="7" t="s">
        <v>87</v>
      </c>
      <c r="F17" s="0" t="n">
        <v>0.184804918429672</v>
      </c>
      <c r="G17" s="0" t="s">
        <v>103</v>
      </c>
      <c r="H17" s="0" t="s">
        <v>220</v>
      </c>
      <c r="I17" s="7" t="s">
        <v>111</v>
      </c>
      <c r="J17" s="0" t="s">
        <v>221</v>
      </c>
      <c r="K17" s="7" t="s">
        <v>222</v>
      </c>
      <c r="L17" s="0" t="s">
        <v>114</v>
      </c>
    </row>
    <row r="18" customFormat="false" ht="17.15" hidden="false" customHeight="false" outlineLevel="0" collapsed="false">
      <c r="A18" s="7" t="s">
        <v>115</v>
      </c>
      <c r="B18" s="0" t="s">
        <v>102</v>
      </c>
      <c r="C18" s="0" t="n">
        <v>0.325</v>
      </c>
      <c r="D18" s="7" t="s">
        <v>87</v>
      </c>
      <c r="E18" s="7" t="s">
        <v>87</v>
      </c>
      <c r="F18" s="0" t="n">
        <v>0.325</v>
      </c>
      <c r="G18" s="0" t="s">
        <v>103</v>
      </c>
      <c r="H18" s="0" t="s">
        <v>116</v>
      </c>
      <c r="I18" s="7" t="s">
        <v>117</v>
      </c>
      <c r="J18" s="7" t="s">
        <v>118</v>
      </c>
      <c r="K18" s="7" t="s">
        <v>119</v>
      </c>
      <c r="L18" s="0" t="s">
        <v>120</v>
      </c>
    </row>
    <row r="19" customFormat="false" ht="17.15" hidden="false" customHeight="false" outlineLevel="0" collapsed="false">
      <c r="A19" s="7" t="s">
        <v>121</v>
      </c>
      <c r="B19" s="0" t="s">
        <v>102</v>
      </c>
      <c r="C19" s="0" t="n">
        <v>0.143744513016328</v>
      </c>
      <c r="D19" s="7" t="s">
        <v>87</v>
      </c>
      <c r="E19" s="7" t="s">
        <v>87</v>
      </c>
      <c r="F19" s="0" t="n">
        <v>0.143744513016328</v>
      </c>
      <c r="G19" s="0" t="s">
        <v>103</v>
      </c>
      <c r="H19" s="0" t="s">
        <v>122</v>
      </c>
      <c r="I19" s="7" t="s">
        <v>123</v>
      </c>
      <c r="J19" s="7" t="s">
        <v>124</v>
      </c>
      <c r="K19" s="7" t="s">
        <v>119</v>
      </c>
    </row>
    <row r="20" customFormat="false" ht="17.15" hidden="false" customHeight="false" outlineLevel="0" collapsed="false">
      <c r="A20" s="7" t="s">
        <v>125</v>
      </c>
      <c r="B20" s="0" t="s">
        <v>102</v>
      </c>
      <c r="C20" s="0" t="n">
        <v>1.326317431446</v>
      </c>
      <c r="D20" s="0" t="n">
        <v>1.3568</v>
      </c>
      <c r="E20" s="0" t="n">
        <v>0.0229828605364608</v>
      </c>
      <c r="F20" s="0" t="n">
        <v>1.326317431446</v>
      </c>
      <c r="G20" s="0" t="s">
        <v>132</v>
      </c>
      <c r="H20" s="7" t="s">
        <v>126</v>
      </c>
      <c r="I20" s="0" t="s">
        <v>127</v>
      </c>
      <c r="J20" s="0" t="s">
        <v>223</v>
      </c>
      <c r="K20" s="7" t="s">
        <v>224</v>
      </c>
      <c r="L20" s="0" t="s">
        <v>130</v>
      </c>
    </row>
    <row r="21" customFormat="false" ht="17.15" hidden="false" customHeight="false" outlineLevel="0" collapsed="false">
      <c r="A21" s="7" t="s">
        <v>131</v>
      </c>
      <c r="B21" s="0" t="s">
        <v>102</v>
      </c>
      <c r="C21" s="0" t="n">
        <v>1.6</v>
      </c>
      <c r="D21" s="0" t="n">
        <v>1.6</v>
      </c>
      <c r="E21" s="0" t="n">
        <v>0</v>
      </c>
      <c r="F21" s="0" t="n">
        <v>1.6</v>
      </c>
      <c r="G21" s="0" t="s">
        <v>132</v>
      </c>
      <c r="H21" s="7" t="s">
        <v>133</v>
      </c>
      <c r="I21" s="0" t="s">
        <v>134</v>
      </c>
      <c r="J21" s="0" t="s">
        <v>135</v>
      </c>
      <c r="K21" s="7" t="s">
        <v>136</v>
      </c>
      <c r="L21" s="0" t="s">
        <v>137</v>
      </c>
    </row>
    <row r="22" customFormat="false" ht="17.15" hidden="false" customHeight="false" outlineLevel="0" collapsed="false">
      <c r="A22" s="7" t="s">
        <v>138</v>
      </c>
      <c r="B22" s="0" t="s">
        <v>102</v>
      </c>
      <c r="C22" s="0" t="n">
        <v>30.592814</v>
      </c>
      <c r="D22" s="0" t="n">
        <v>24.8292307692308</v>
      </c>
      <c r="E22" s="0" t="n">
        <v>-0.188396635587992</v>
      </c>
      <c r="F22" s="0" t="n">
        <v>30.592814</v>
      </c>
      <c r="G22" s="0" t="s">
        <v>88</v>
      </c>
      <c r="H22" s="0" t="s">
        <v>139</v>
      </c>
      <c r="I22" s="0" t="s">
        <v>140</v>
      </c>
      <c r="J22" s="7" t="s">
        <v>225</v>
      </c>
      <c r="K22" s="7" t="s">
        <v>142</v>
      </c>
      <c r="L22" s="0" t="s">
        <v>143</v>
      </c>
    </row>
    <row r="23" customFormat="false" ht="17.15" hidden="false" customHeight="false" outlineLevel="0" collapsed="false">
      <c r="A23" s="7" t="s">
        <v>144</v>
      </c>
      <c r="B23" s="0" t="s">
        <v>102</v>
      </c>
      <c r="C23" s="0" t="n">
        <v>30.592814</v>
      </c>
      <c r="D23" s="0" t="n">
        <v>19.8769230769231</v>
      </c>
      <c r="E23" s="0" t="n">
        <v>-0.350274771162827</v>
      </c>
      <c r="H23" s="0" t="s">
        <v>145</v>
      </c>
      <c r="I23" s="0" t="s">
        <v>146</v>
      </c>
      <c r="J23" s="7" t="s">
        <v>147</v>
      </c>
      <c r="K23" s="7" t="s">
        <v>148</v>
      </c>
      <c r="L23" s="0" t="s">
        <v>149</v>
      </c>
    </row>
    <row r="24" customFormat="false" ht="17.15" hidden="false" customHeight="false" outlineLevel="0" collapsed="false">
      <c r="A24" s="7" t="s">
        <v>150</v>
      </c>
      <c r="B24" s="7" t="s">
        <v>75</v>
      </c>
      <c r="C24" s="0" t="n">
        <v>6</v>
      </c>
      <c r="D24" s="0" t="n">
        <v>6</v>
      </c>
      <c r="E24" s="0" t="n">
        <v>0</v>
      </c>
      <c r="F24" s="0" t="n">
        <v>6</v>
      </c>
      <c r="G24" s="0" t="s">
        <v>132</v>
      </c>
      <c r="H24" s="0" t="s">
        <v>151</v>
      </c>
      <c r="I24" s="7" t="s">
        <v>152</v>
      </c>
      <c r="J24" s="7" t="s">
        <v>153</v>
      </c>
      <c r="K24" s="7" t="s">
        <v>154</v>
      </c>
      <c r="L24" s="0" t="s">
        <v>155</v>
      </c>
    </row>
    <row r="25" customFormat="false" ht="17.15" hidden="false" customHeight="false" outlineLevel="0" collapsed="false">
      <c r="A25" s="7" t="s">
        <v>156</v>
      </c>
    </row>
    <row r="26" customFormat="false" ht="17.15" hidden="false" customHeight="false" outlineLevel="0" collapsed="false">
      <c r="A26" s="7" t="s">
        <v>226</v>
      </c>
      <c r="B26" s="0" t="s">
        <v>95</v>
      </c>
      <c r="C26" s="0" t="n">
        <v>0.933333333333333</v>
      </c>
      <c r="H26" s="0" t="s">
        <v>227</v>
      </c>
    </row>
    <row r="27" customFormat="false" ht="17.15" hidden="false" customHeight="false" outlineLevel="0" collapsed="false">
      <c r="A27" s="7" t="s">
        <v>157</v>
      </c>
      <c r="B27" s="0" t="s">
        <v>102</v>
      </c>
      <c r="C27" s="0" t="n">
        <v>1.32895604482763</v>
      </c>
      <c r="H27" s="0" t="s">
        <v>228</v>
      </c>
    </row>
    <row r="28" customFormat="false" ht="17.15" hidden="false" customHeight="false" outlineLevel="0" collapsed="false">
      <c r="A28" s="7" t="s">
        <v>159</v>
      </c>
      <c r="B28" s="7" t="s">
        <v>79</v>
      </c>
      <c r="C28" s="0" t="n">
        <v>1.020951750271</v>
      </c>
      <c r="H28" s="7" t="s">
        <v>160</v>
      </c>
    </row>
    <row r="29" customFormat="false" ht="17.15" hidden="false" customHeight="false" outlineLevel="0" collapsed="false">
      <c r="A29" s="7" t="s">
        <v>161</v>
      </c>
      <c r="B29" s="0" t="s">
        <v>102</v>
      </c>
      <c r="C29" s="0" t="n">
        <v>30.592814</v>
      </c>
      <c r="H29" s="0" t="s">
        <v>162</v>
      </c>
    </row>
    <row r="30" customFormat="false" ht="17.15" hidden="false" customHeight="false" outlineLevel="0" collapsed="false">
      <c r="A30" s="7" t="s">
        <v>163</v>
      </c>
      <c r="B30" s="7" t="s">
        <v>79</v>
      </c>
      <c r="C30" s="0" t="n">
        <v>0.811603364412008</v>
      </c>
      <c r="H30" s="7" t="s">
        <v>164</v>
      </c>
    </row>
    <row r="31" customFormat="false" ht="17.15" hidden="false" customHeight="false" outlineLevel="0" collapsed="false">
      <c r="A31" s="7" t="s">
        <v>165</v>
      </c>
      <c r="B31" s="7" t="s">
        <v>79</v>
      </c>
      <c r="C31" s="0" t="n">
        <v>3.67430551650556</v>
      </c>
      <c r="H31" s="0" t="s">
        <v>166</v>
      </c>
    </row>
    <row r="32" customFormat="false" ht="17.15" hidden="false" customHeight="false" outlineLevel="0" collapsed="false">
      <c r="A32" s="0" t="s">
        <v>167</v>
      </c>
    </row>
    <row r="33" customFormat="false" ht="17.15" hidden="false" customHeight="false" outlineLevel="0" collapsed="false">
      <c r="A33" s="0" t="s">
        <v>168</v>
      </c>
      <c r="B33" s="0" t="s">
        <v>102</v>
      </c>
      <c r="C33" s="0" t="n">
        <v>8.11382745599041</v>
      </c>
      <c r="D33" s="0" t="n">
        <v>8.24</v>
      </c>
      <c r="E33" s="0" t="n">
        <v>0.0155503114521425</v>
      </c>
      <c r="J33" s="7" t="s">
        <v>169</v>
      </c>
    </row>
    <row r="34" customFormat="false" ht="17.15" hidden="false" customHeight="false" outlineLevel="0" collapsed="false">
      <c r="A34" s="0" t="s">
        <v>170</v>
      </c>
      <c r="B34" s="0" t="s">
        <v>102</v>
      </c>
      <c r="C34" s="0" t="n">
        <v>1.326317431446</v>
      </c>
      <c r="D34" s="0" t="n">
        <v>1.3568</v>
      </c>
      <c r="E34" s="0" t="n">
        <v>0.0229828605364608</v>
      </c>
      <c r="J34" s="0" t="s">
        <v>229</v>
      </c>
    </row>
    <row r="35" customFormat="false" ht="17.15" hidden="false" customHeight="false" outlineLevel="0" collapsed="false">
      <c r="A35" s="0" t="s">
        <v>172</v>
      </c>
      <c r="B35" s="0" t="s">
        <v>102</v>
      </c>
      <c r="C35" s="0" t="n">
        <v>1.6</v>
      </c>
      <c r="D35" s="0" t="n">
        <v>1.6</v>
      </c>
      <c r="E35" s="0" t="n">
        <v>0</v>
      </c>
      <c r="J35" s="0" t="s">
        <v>173</v>
      </c>
    </row>
    <row r="36" customFormat="false" ht="17.15" hidden="false" customHeight="false" outlineLevel="0" collapsed="false">
      <c r="A36" s="0" t="s">
        <v>174</v>
      </c>
      <c r="B36" s="0" t="s">
        <v>102</v>
      </c>
      <c r="C36" s="0" t="n">
        <v>0.447442135437141</v>
      </c>
      <c r="D36" s="0" t="n">
        <v>0.4544</v>
      </c>
      <c r="E36" s="0" t="n">
        <v>0.0155503114521423</v>
      </c>
      <c r="J36" s="7" t="s">
        <v>175</v>
      </c>
    </row>
    <row r="37" customFormat="false" ht="17.15" hidden="false" customHeight="false" outlineLevel="0" collapsed="false">
      <c r="A37" s="0" t="s">
        <v>176</v>
      </c>
      <c r="B37" s="0" t="s">
        <v>102</v>
      </c>
      <c r="C37" s="0" t="n">
        <v>4.74006788910727</v>
      </c>
      <c r="D37" s="0" t="n">
        <v>4.832</v>
      </c>
      <c r="E37" s="0" t="n">
        <v>0.0193946823217441</v>
      </c>
      <c r="J37" s="0" t="s">
        <v>230</v>
      </c>
    </row>
    <row r="38" customFormat="false" ht="17.15" hidden="false" customHeight="false" outlineLevel="0" collapsed="false">
      <c r="A38" s="0" t="s">
        <v>178</v>
      </c>
      <c r="B38" s="0" t="s">
        <v>95</v>
      </c>
      <c r="C38" s="0" t="n">
        <v>0.584196288966891</v>
      </c>
      <c r="D38" s="0" t="n">
        <v>0.586407766990291</v>
      </c>
      <c r="E38" s="0" t="n">
        <v>-0.00221147802340016</v>
      </c>
      <c r="J38" s="7" t="s">
        <v>179</v>
      </c>
    </row>
    <row r="39" customFormat="false" ht="17.15" hidden="false" customHeight="false" outlineLevel="0" collapsed="false">
      <c r="A39" s="7" t="s">
        <v>180</v>
      </c>
    </row>
    <row r="40" customFormat="false" ht="17.15" hidden="false" customHeight="false" outlineLevel="0" collapsed="false">
      <c r="A40" s="7" t="s">
        <v>181</v>
      </c>
      <c r="H40" s="0" t="s">
        <v>182</v>
      </c>
    </row>
    <row r="41" customFormat="false" ht="17.15" hidden="false" customHeight="false" outlineLevel="0" collapsed="false">
      <c r="A41" s="7" t="s">
        <v>183</v>
      </c>
      <c r="H41" s="0" t="s">
        <v>184</v>
      </c>
    </row>
    <row r="42" customFormat="false" ht="17.15" hidden="false" customHeight="false" outlineLevel="0" collapsed="false">
      <c r="A42" s="7" t="s">
        <v>185</v>
      </c>
      <c r="H42" s="7" t="s">
        <v>186</v>
      </c>
    </row>
    <row r="43" customFormat="false" ht="17.15" hidden="false" customHeight="false" outlineLevel="0" collapsed="false">
      <c r="A43" s="7" t="s">
        <v>187</v>
      </c>
      <c r="H43" s="7" t="s">
        <v>188</v>
      </c>
    </row>
    <row r="44" customFormat="false" ht="17.15" hidden="false" customHeight="false" outlineLevel="0" collapsed="false">
      <c r="A44" s="7" t="s">
        <v>189</v>
      </c>
      <c r="H44" s="7" t="s">
        <v>190</v>
      </c>
    </row>
    <row r="45" customFormat="false" ht="17.15" hidden="false" customHeight="false" outlineLevel="0" collapsed="false">
      <c r="A45" s="7" t="s">
        <v>191</v>
      </c>
      <c r="H45" s="0" t="s">
        <v>192</v>
      </c>
    </row>
    <row r="46" customFormat="false" ht="17.15" hidden="false" customHeight="false" outlineLevel="0" collapsed="false">
      <c r="A46" s="7" t="s">
        <v>193</v>
      </c>
      <c r="H46" s="7" t="s">
        <v>194</v>
      </c>
    </row>
    <row r="47" customFormat="false" ht="17.15" hidden="false" customHeight="false" outlineLevel="0" collapsed="false">
      <c r="A47" s="7" t="s">
        <v>195</v>
      </c>
      <c r="H47" s="7" t="s">
        <v>196</v>
      </c>
    </row>
    <row r="48" customFormat="false" ht="17.15" hidden="false" customHeight="false" outlineLevel="0" collapsed="false">
      <c r="A48" s="7" t="s">
        <v>197</v>
      </c>
      <c r="H48" s="0" t="s">
        <v>198</v>
      </c>
    </row>
    <row r="49" customFormat="false" ht="17.15" hidden="false" customHeight="false" outlineLevel="0" collapsed="false">
      <c r="A49" s="7" t="s">
        <v>199</v>
      </c>
      <c r="H49" s="0" t="s">
        <v>200</v>
      </c>
    </row>
    <row r="50" customFormat="false" ht="17.15" hidden="false" customHeight="false" outlineLevel="0" collapsed="false">
      <c r="A50" s="7" t="s">
        <v>201</v>
      </c>
      <c r="H50" s="0" t="s">
        <v>202</v>
      </c>
    </row>
    <row r="51" customFormat="false" ht="17.15" hidden="false" customHeight="false" outlineLevel="0" collapsed="false">
      <c r="A51" s="7" t="s">
        <v>203</v>
      </c>
      <c r="H51" s="0" t="s">
        <v>204</v>
      </c>
    </row>
    <row r="52" customFormat="false" ht="17.15" hidden="false" customHeight="false" outlineLevel="0" collapsed="false">
      <c r="A52" s="7" t="s">
        <v>205</v>
      </c>
      <c r="H52" s="0" t="s">
        <v>206</v>
      </c>
    </row>
    <row r="53" customFormat="false" ht="17.15" hidden="false" customHeight="false" outlineLevel="0" collapsed="false">
      <c r="A53" s="7" t="s">
        <v>207</v>
      </c>
      <c r="H53" s="7" t="s">
        <v>208</v>
      </c>
    </row>
    <row r="54" customFormat="false" ht="17.15" hidden="false" customHeight="false" outlineLevel="0" collapsed="false">
      <c r="A54" s="7" t="s">
        <v>209</v>
      </c>
      <c r="H54" s="0" t="s">
        <v>210</v>
      </c>
    </row>
    <row r="55" customFormat="false" ht="17.15" hidden="false" customHeight="false" outlineLevel="0" collapsed="false">
      <c r="A55" s="7" t="s">
        <v>211</v>
      </c>
      <c r="H55" s="0" t="s">
        <v>212</v>
      </c>
    </row>
    <row r="56" customFormat="false" ht="17.15" hidden="false" customHeight="false" outlineLevel="0" collapsed="false">
      <c r="A56" s="7" t="s">
        <v>213</v>
      </c>
      <c r="H56" s="7" t="s">
        <v>214</v>
      </c>
    </row>
    <row r="57" customFormat="false" ht="17.15" hidden="false" customHeight="false" outlineLevel="0" collapsed="false">
      <c r="A57" s="7" t="s">
        <v>215</v>
      </c>
      <c r="H57" s="0" t="s">
        <v>216</v>
      </c>
    </row>
    <row r="58" customFormat="false" ht="17.15" hidden="false" customHeight="false" outlineLevel="0" collapsed="false">
      <c r="A58" s="7" t="s">
        <v>217</v>
      </c>
      <c r="H58" s="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1" t="s">
        <v>231</v>
      </c>
    </row>
    <row r="3" customFormat="false" ht="15" hidden="false" customHeight="false" outlineLevel="0" collapsed="false">
      <c r="A3" s="3" t="s">
        <v>232</v>
      </c>
      <c r="B3" s="3" t="s">
        <v>233</v>
      </c>
      <c r="C3" s="3" t="s">
        <v>234</v>
      </c>
      <c r="D3" s="4" t="s">
        <v>235</v>
      </c>
      <c r="E3" s="4" t="s">
        <v>236</v>
      </c>
      <c r="F3" s="3" t="s">
        <v>5</v>
      </c>
    </row>
    <row r="4" customFormat="false" ht="15" hidden="false" customHeight="false" outlineLevel="0" collapsed="false">
      <c r="A4" s="0" t="s">
        <v>237</v>
      </c>
      <c r="B4" s="0" t="s">
        <v>238</v>
      </c>
      <c r="C4" s="7" t="s">
        <v>239</v>
      </c>
      <c r="D4" s="0" t="n">
        <v>22439</v>
      </c>
      <c r="E4" s="0" t="n">
        <v>22439</v>
      </c>
      <c r="F4" s="9" t="n">
        <v>0</v>
      </c>
    </row>
    <row r="5" customFormat="false" ht="15" hidden="false" customHeight="false" outlineLevel="0" collapsed="false">
      <c r="A5" s="0" t="s">
        <v>237</v>
      </c>
      <c r="B5" s="0" t="s">
        <v>238</v>
      </c>
      <c r="C5" s="7" t="s">
        <v>240</v>
      </c>
      <c r="D5" s="0" t="n">
        <v>22439</v>
      </c>
      <c r="E5" s="0" t="n">
        <v>22439</v>
      </c>
      <c r="F5" s="9" t="n">
        <v>0</v>
      </c>
    </row>
    <row r="6" customFormat="false" ht="15" hidden="false" customHeight="false" outlineLevel="0" collapsed="false">
      <c r="A6" s="0" t="s">
        <v>237</v>
      </c>
      <c r="B6" s="0" t="s">
        <v>238</v>
      </c>
      <c r="C6" s="7" t="s">
        <v>241</v>
      </c>
      <c r="D6" s="0" t="n">
        <v>22439</v>
      </c>
      <c r="E6" s="0" t="n">
        <v>22439</v>
      </c>
      <c r="F6" s="9" t="n">
        <v>0</v>
      </c>
    </row>
    <row r="7" customFormat="false" ht="15" hidden="false" customHeight="false" outlineLevel="0" collapsed="false">
      <c r="A7" s="0" t="s">
        <v>237</v>
      </c>
      <c r="B7" s="0" t="s">
        <v>242</v>
      </c>
      <c r="C7" s="7" t="s">
        <v>239</v>
      </c>
      <c r="D7" s="0" t="n">
        <v>6969</v>
      </c>
      <c r="E7" s="0" t="n">
        <v>6969</v>
      </c>
      <c r="F7" s="9" t="n">
        <v>0</v>
      </c>
    </row>
    <row r="8" customFormat="false" ht="15" hidden="false" customHeight="false" outlineLevel="0" collapsed="false">
      <c r="A8" s="0" t="s">
        <v>237</v>
      </c>
      <c r="B8" s="0" t="s">
        <v>242</v>
      </c>
      <c r="C8" s="7" t="s">
        <v>240</v>
      </c>
      <c r="D8" s="0" t="n">
        <v>6969</v>
      </c>
      <c r="E8" s="0" t="n">
        <v>6969</v>
      </c>
      <c r="F8" s="9" t="n">
        <v>0</v>
      </c>
    </row>
    <row r="9" customFormat="false" ht="15" hidden="false" customHeight="false" outlineLevel="0" collapsed="false">
      <c r="A9" s="0" t="s">
        <v>237</v>
      </c>
      <c r="B9" s="0" t="s">
        <v>242</v>
      </c>
      <c r="C9" s="7" t="s">
        <v>241</v>
      </c>
      <c r="D9" s="0" t="n">
        <v>6969</v>
      </c>
      <c r="E9" s="0" t="n">
        <v>6969</v>
      </c>
      <c r="F9" s="9" t="n">
        <v>0</v>
      </c>
    </row>
    <row r="10" customFormat="false" ht="15" hidden="false" customHeight="false" outlineLevel="0" collapsed="false">
      <c r="A10" s="0" t="s">
        <v>237</v>
      </c>
      <c r="B10" s="0" t="s">
        <v>243</v>
      </c>
      <c r="C10" s="7" t="s">
        <v>239</v>
      </c>
      <c r="D10" s="0" t="n">
        <v>6764</v>
      </c>
      <c r="E10" s="0" t="n">
        <v>6764</v>
      </c>
      <c r="F10" s="9" t="n">
        <v>0</v>
      </c>
    </row>
    <row r="11" customFormat="false" ht="15" hidden="false" customHeight="false" outlineLevel="0" collapsed="false">
      <c r="A11" s="0" t="s">
        <v>237</v>
      </c>
      <c r="B11" s="0" t="s">
        <v>243</v>
      </c>
      <c r="C11" s="7" t="s">
        <v>240</v>
      </c>
      <c r="D11" s="0" t="n">
        <v>6764</v>
      </c>
      <c r="E11" s="0" t="n">
        <v>6764</v>
      </c>
      <c r="F11" s="9" t="n">
        <v>0</v>
      </c>
    </row>
    <row r="12" customFormat="false" ht="15" hidden="false" customHeight="false" outlineLevel="0" collapsed="false">
      <c r="A12" s="0" t="s">
        <v>237</v>
      </c>
      <c r="B12" s="0" t="s">
        <v>243</v>
      </c>
      <c r="C12" s="7" t="s">
        <v>241</v>
      </c>
      <c r="D12" s="0" t="n">
        <v>6764</v>
      </c>
      <c r="E12" s="0" t="n">
        <v>6764</v>
      </c>
      <c r="F12" s="9" t="n">
        <v>0</v>
      </c>
    </row>
    <row r="13" customFormat="false" ht="15" hidden="false" customHeight="false" outlineLevel="0" collapsed="false">
      <c r="A13" s="0" t="s">
        <v>237</v>
      </c>
      <c r="B13" s="0" t="s">
        <v>244</v>
      </c>
      <c r="C13" s="7" t="s">
        <v>239</v>
      </c>
      <c r="D13" s="0" t="n">
        <v>4052</v>
      </c>
      <c r="E13" s="0" t="n">
        <v>4052</v>
      </c>
      <c r="F13" s="9" t="n">
        <v>0</v>
      </c>
    </row>
    <row r="14" customFormat="false" ht="15" hidden="false" customHeight="false" outlineLevel="0" collapsed="false">
      <c r="A14" s="0" t="s">
        <v>237</v>
      </c>
      <c r="B14" s="0" t="s">
        <v>244</v>
      </c>
      <c r="C14" s="7" t="s">
        <v>240</v>
      </c>
      <c r="D14" s="0" t="n">
        <v>4052</v>
      </c>
      <c r="E14" s="0" t="n">
        <v>4052</v>
      </c>
      <c r="F14" s="9" t="n">
        <v>0</v>
      </c>
    </row>
    <row r="15" customFormat="false" ht="15" hidden="false" customHeight="false" outlineLevel="0" collapsed="false">
      <c r="A15" s="0" t="s">
        <v>237</v>
      </c>
      <c r="B15" s="0" t="s">
        <v>244</v>
      </c>
      <c r="C15" s="7" t="s">
        <v>241</v>
      </c>
      <c r="D15" s="0" t="n">
        <v>4052</v>
      </c>
      <c r="E15" s="0" t="n">
        <v>4052</v>
      </c>
      <c r="F15" s="9" t="n">
        <v>0</v>
      </c>
    </row>
    <row r="16" customFormat="false" ht="17.15" hidden="false" customHeight="false" outlineLevel="0" collapsed="false">
      <c r="A16" s="0" t="s">
        <v>237</v>
      </c>
      <c r="B16" s="0" t="s">
        <v>245</v>
      </c>
      <c r="C16" s="7" t="s">
        <v>239</v>
      </c>
      <c r="D16" s="0" t="n">
        <v>2705</v>
      </c>
      <c r="E16" s="0" t="n">
        <v>2705</v>
      </c>
      <c r="F16" s="9" t="n">
        <v>0</v>
      </c>
    </row>
    <row r="17" customFormat="false" ht="17.15" hidden="false" customHeight="false" outlineLevel="0" collapsed="false">
      <c r="A17" s="0" t="s">
        <v>237</v>
      </c>
      <c r="B17" s="0" t="s">
        <v>245</v>
      </c>
      <c r="C17" s="7" t="s">
        <v>240</v>
      </c>
      <c r="D17" s="0" t="n">
        <v>2705</v>
      </c>
      <c r="E17" s="0" t="n">
        <v>2705</v>
      </c>
      <c r="F17" s="9" t="n">
        <v>0</v>
      </c>
    </row>
    <row r="18" customFormat="false" ht="17.15" hidden="false" customHeight="false" outlineLevel="0" collapsed="false">
      <c r="A18" s="0" t="s">
        <v>237</v>
      </c>
      <c r="B18" s="0" t="s">
        <v>245</v>
      </c>
      <c r="C18" s="7" t="s">
        <v>241</v>
      </c>
      <c r="D18" s="0" t="n">
        <v>2705</v>
      </c>
      <c r="E18" s="0" t="n">
        <v>2705</v>
      </c>
      <c r="F18" s="9" t="n">
        <v>0</v>
      </c>
    </row>
    <row r="19" customFormat="false" ht="15" hidden="false" customHeight="false" outlineLevel="0" collapsed="false">
      <c r="A19" s="0" t="s">
        <v>246</v>
      </c>
      <c r="B19" s="0" t="s">
        <v>238</v>
      </c>
      <c r="C19" s="7" t="s">
        <v>239</v>
      </c>
      <c r="D19" s="0" t="n">
        <v>718048</v>
      </c>
      <c r="E19" s="0" t="n">
        <v>718048</v>
      </c>
      <c r="F19" s="9" t="n">
        <v>0</v>
      </c>
    </row>
    <row r="20" customFormat="false" ht="15" hidden="false" customHeight="false" outlineLevel="0" collapsed="false">
      <c r="A20" s="0" t="s">
        <v>246</v>
      </c>
      <c r="B20" s="0" t="s">
        <v>238</v>
      </c>
      <c r="C20" s="7" t="s">
        <v>240</v>
      </c>
      <c r="D20" s="0" t="n">
        <v>718048</v>
      </c>
      <c r="E20" s="0" t="n">
        <v>718048</v>
      </c>
      <c r="F20" s="9" t="n">
        <v>0</v>
      </c>
    </row>
    <row r="21" customFormat="false" ht="15" hidden="false" customHeight="false" outlineLevel="0" collapsed="false">
      <c r="A21" s="0" t="s">
        <v>246</v>
      </c>
      <c r="B21" s="0" t="s">
        <v>238</v>
      </c>
      <c r="C21" s="7" t="s">
        <v>241</v>
      </c>
      <c r="D21" s="0" t="n">
        <v>718048</v>
      </c>
      <c r="E21" s="0" t="n">
        <v>718048</v>
      </c>
      <c r="F21" s="9" t="n">
        <v>0</v>
      </c>
    </row>
    <row r="22" customFormat="false" ht="15" hidden="false" customHeight="false" outlineLevel="0" collapsed="false">
      <c r="A22" s="0" t="s">
        <v>246</v>
      </c>
      <c r="B22" s="0" t="s">
        <v>242</v>
      </c>
      <c r="C22" s="7" t="s">
        <v>239</v>
      </c>
      <c r="D22" s="0" t="n">
        <v>501768</v>
      </c>
      <c r="E22" s="0" t="n">
        <v>501768</v>
      </c>
      <c r="F22" s="9" t="n">
        <v>0</v>
      </c>
    </row>
    <row r="23" customFormat="false" ht="15" hidden="false" customHeight="false" outlineLevel="0" collapsed="false">
      <c r="A23" s="0" t="s">
        <v>246</v>
      </c>
      <c r="B23" s="0" t="s">
        <v>242</v>
      </c>
      <c r="C23" s="7" t="s">
        <v>240</v>
      </c>
      <c r="D23" s="0" t="n">
        <v>501768</v>
      </c>
      <c r="E23" s="0" t="n">
        <v>501768</v>
      </c>
      <c r="F23" s="9" t="n">
        <v>0</v>
      </c>
    </row>
    <row r="24" customFormat="false" ht="15" hidden="false" customHeight="false" outlineLevel="0" collapsed="false">
      <c r="A24" s="0" t="s">
        <v>246</v>
      </c>
      <c r="B24" s="0" t="s">
        <v>242</v>
      </c>
      <c r="C24" s="7" t="s">
        <v>241</v>
      </c>
      <c r="D24" s="0" t="n">
        <v>501768</v>
      </c>
      <c r="E24" s="0" t="n">
        <v>501768</v>
      </c>
      <c r="F24" s="9" t="n">
        <v>0</v>
      </c>
    </row>
    <row r="25" customFormat="false" ht="15" hidden="false" customHeight="false" outlineLevel="0" collapsed="false">
      <c r="A25" s="0" t="s">
        <v>246</v>
      </c>
      <c r="B25" s="0" t="s">
        <v>243</v>
      </c>
      <c r="C25" s="7" t="s">
        <v>239</v>
      </c>
      <c r="D25" s="0" t="n">
        <v>487008</v>
      </c>
      <c r="E25" s="0" t="n">
        <v>487008</v>
      </c>
      <c r="F25" s="9" t="n">
        <v>0</v>
      </c>
    </row>
    <row r="26" customFormat="false" ht="15" hidden="false" customHeight="false" outlineLevel="0" collapsed="false">
      <c r="A26" s="0" t="s">
        <v>246</v>
      </c>
      <c r="B26" s="0" t="s">
        <v>243</v>
      </c>
      <c r="C26" s="7" t="s">
        <v>240</v>
      </c>
      <c r="D26" s="0" t="n">
        <v>487008</v>
      </c>
      <c r="E26" s="0" t="n">
        <v>487008</v>
      </c>
      <c r="F26" s="9" t="n">
        <v>0</v>
      </c>
    </row>
    <row r="27" customFormat="false" ht="15" hidden="false" customHeight="false" outlineLevel="0" collapsed="false">
      <c r="A27" s="0" t="s">
        <v>246</v>
      </c>
      <c r="B27" s="0" t="s">
        <v>243</v>
      </c>
      <c r="C27" s="7" t="s">
        <v>241</v>
      </c>
      <c r="D27" s="0" t="n">
        <v>487008</v>
      </c>
      <c r="E27" s="0" t="n">
        <v>487008</v>
      </c>
      <c r="F27" s="9" t="n">
        <v>0</v>
      </c>
    </row>
    <row r="28" customFormat="false" ht="15" hidden="false" customHeight="false" outlineLevel="0" collapsed="false">
      <c r="A28" s="0" t="s">
        <v>246</v>
      </c>
      <c r="B28" s="0" t="s">
        <v>244</v>
      </c>
      <c r="C28" s="7" t="s">
        <v>239</v>
      </c>
      <c r="D28" s="0" t="n">
        <v>291744</v>
      </c>
      <c r="E28" s="0" t="n">
        <v>291744</v>
      </c>
      <c r="F28" s="9" t="n">
        <v>0</v>
      </c>
    </row>
    <row r="29" customFormat="false" ht="15" hidden="false" customHeight="false" outlineLevel="0" collapsed="false">
      <c r="A29" s="0" t="s">
        <v>246</v>
      </c>
      <c r="B29" s="0" t="s">
        <v>244</v>
      </c>
      <c r="C29" s="7" t="s">
        <v>240</v>
      </c>
      <c r="D29" s="0" t="n">
        <v>291744</v>
      </c>
      <c r="E29" s="0" t="n">
        <v>291744</v>
      </c>
      <c r="F29" s="9" t="n">
        <v>0</v>
      </c>
    </row>
    <row r="30" customFormat="false" ht="15" hidden="false" customHeight="false" outlineLevel="0" collapsed="false">
      <c r="A30" s="0" t="s">
        <v>246</v>
      </c>
      <c r="B30" s="0" t="s">
        <v>244</v>
      </c>
      <c r="C30" s="7" t="s">
        <v>241</v>
      </c>
      <c r="D30" s="0" t="n">
        <v>291744</v>
      </c>
      <c r="E30" s="0" t="n">
        <v>291744</v>
      </c>
      <c r="F30" s="9" t="n">
        <v>0</v>
      </c>
    </row>
    <row r="31" customFormat="false" ht="17.15" hidden="false" customHeight="false" outlineLevel="0" collapsed="false">
      <c r="A31" s="0" t="s">
        <v>246</v>
      </c>
      <c r="B31" s="0" t="s">
        <v>245</v>
      </c>
      <c r="C31" s="7" t="s">
        <v>239</v>
      </c>
      <c r="D31" s="0" t="n">
        <v>194760</v>
      </c>
      <c r="E31" s="0" t="n">
        <v>194760</v>
      </c>
      <c r="F31" s="9" t="n">
        <v>0</v>
      </c>
    </row>
    <row r="32" customFormat="false" ht="17.15" hidden="false" customHeight="false" outlineLevel="0" collapsed="false">
      <c r="A32" s="0" t="s">
        <v>246</v>
      </c>
      <c r="B32" s="0" t="s">
        <v>245</v>
      </c>
      <c r="C32" s="7" t="s">
        <v>240</v>
      </c>
      <c r="D32" s="0" t="n">
        <v>194760</v>
      </c>
      <c r="E32" s="0" t="n">
        <v>194760</v>
      </c>
      <c r="F32" s="9" t="n">
        <v>0</v>
      </c>
    </row>
    <row r="33" customFormat="false" ht="17.15" hidden="false" customHeight="false" outlineLevel="0" collapsed="false">
      <c r="A33" s="0" t="s">
        <v>246</v>
      </c>
      <c r="B33" s="0" t="s">
        <v>245</v>
      </c>
      <c r="C33" s="7" t="s">
        <v>241</v>
      </c>
      <c r="D33" s="0" t="n">
        <v>194760</v>
      </c>
      <c r="E33" s="0" t="n">
        <v>194760</v>
      </c>
      <c r="F33" s="9" t="n">
        <v>0</v>
      </c>
    </row>
    <row r="34" customFormat="false" ht="15" hidden="false" customHeight="false" outlineLevel="0" collapsed="false">
      <c r="A34" s="0" t="s">
        <v>247</v>
      </c>
      <c r="B34" s="0" t="s">
        <v>238</v>
      </c>
      <c r="C34" s="7" t="s">
        <v>239</v>
      </c>
      <c r="D34" s="0" t="n">
        <v>1.1</v>
      </c>
      <c r="E34" s="0" t="n">
        <v>1.1</v>
      </c>
      <c r="F34" s="9" t="n">
        <v>0</v>
      </c>
    </row>
    <row r="35" customFormat="false" ht="15" hidden="false" customHeight="false" outlineLevel="0" collapsed="false">
      <c r="A35" s="0" t="s">
        <v>247</v>
      </c>
      <c r="B35" s="0" t="s">
        <v>238</v>
      </c>
      <c r="C35" s="7" t="s">
        <v>240</v>
      </c>
      <c r="D35" s="0" t="n">
        <v>1.2</v>
      </c>
      <c r="E35" s="0" t="n">
        <v>1.2</v>
      </c>
      <c r="F35" s="9" t="n">
        <v>0</v>
      </c>
    </row>
    <row r="36" customFormat="false" ht="15" hidden="false" customHeight="false" outlineLevel="0" collapsed="false">
      <c r="A36" s="0" t="s">
        <v>247</v>
      </c>
      <c r="B36" s="0" t="s">
        <v>238</v>
      </c>
      <c r="C36" s="7" t="s">
        <v>241</v>
      </c>
      <c r="D36" s="0" t="n">
        <v>1.3</v>
      </c>
      <c r="E36" s="0" t="n">
        <v>1.3</v>
      </c>
      <c r="F36" s="9" t="n">
        <v>0</v>
      </c>
    </row>
    <row r="37" customFormat="false" ht="15" hidden="false" customHeight="false" outlineLevel="0" collapsed="false">
      <c r="A37" s="0" t="s">
        <v>247</v>
      </c>
      <c r="B37" s="0" t="s">
        <v>242</v>
      </c>
      <c r="C37" s="7" t="s">
        <v>239</v>
      </c>
      <c r="D37" s="0" t="n">
        <v>1.1</v>
      </c>
      <c r="E37" s="0" t="n">
        <v>1.1</v>
      </c>
      <c r="F37" s="9" t="n">
        <v>0</v>
      </c>
    </row>
    <row r="38" customFormat="false" ht="15" hidden="false" customHeight="false" outlineLevel="0" collapsed="false">
      <c r="A38" s="0" t="s">
        <v>247</v>
      </c>
      <c r="B38" s="0" t="s">
        <v>242</v>
      </c>
      <c r="C38" s="7" t="s">
        <v>240</v>
      </c>
      <c r="D38" s="0" t="n">
        <v>1.2</v>
      </c>
      <c r="E38" s="0" t="n">
        <v>1.2</v>
      </c>
      <c r="F38" s="9" t="n">
        <v>0</v>
      </c>
    </row>
    <row r="39" customFormat="false" ht="15" hidden="false" customHeight="false" outlineLevel="0" collapsed="false">
      <c r="A39" s="0" t="s">
        <v>247</v>
      </c>
      <c r="B39" s="0" t="s">
        <v>242</v>
      </c>
      <c r="C39" s="7" t="s">
        <v>241</v>
      </c>
      <c r="D39" s="0" t="n">
        <v>1.3</v>
      </c>
      <c r="E39" s="0" t="n">
        <v>1.3</v>
      </c>
      <c r="F39" s="9" t="n">
        <v>0</v>
      </c>
    </row>
    <row r="40" customFormat="false" ht="15" hidden="false" customHeight="false" outlineLevel="0" collapsed="false">
      <c r="A40" s="0" t="s">
        <v>247</v>
      </c>
      <c r="B40" s="0" t="s">
        <v>243</v>
      </c>
      <c r="C40" s="7" t="s">
        <v>239</v>
      </c>
      <c r="D40" s="0" t="n">
        <v>1.1</v>
      </c>
      <c r="E40" s="0" t="n">
        <v>1.1</v>
      </c>
      <c r="F40" s="9" t="n">
        <v>0</v>
      </c>
    </row>
    <row r="41" customFormat="false" ht="15" hidden="false" customHeight="false" outlineLevel="0" collapsed="false">
      <c r="A41" s="0" t="s">
        <v>247</v>
      </c>
      <c r="B41" s="0" t="s">
        <v>243</v>
      </c>
      <c r="C41" s="7" t="s">
        <v>240</v>
      </c>
      <c r="D41" s="0" t="n">
        <v>1.2</v>
      </c>
      <c r="E41" s="0" t="n">
        <v>1.2</v>
      </c>
      <c r="F41" s="9" t="n">
        <v>0</v>
      </c>
    </row>
    <row r="42" customFormat="false" ht="15" hidden="false" customHeight="false" outlineLevel="0" collapsed="false">
      <c r="A42" s="0" t="s">
        <v>247</v>
      </c>
      <c r="B42" s="0" t="s">
        <v>243</v>
      </c>
      <c r="C42" s="7" t="s">
        <v>241</v>
      </c>
      <c r="D42" s="0" t="n">
        <v>1.3</v>
      </c>
      <c r="E42" s="0" t="n">
        <v>1.3</v>
      </c>
      <c r="F42" s="9" t="n">
        <v>0</v>
      </c>
    </row>
    <row r="43" customFormat="false" ht="15" hidden="false" customHeight="false" outlineLevel="0" collapsed="false">
      <c r="A43" s="0" t="s">
        <v>247</v>
      </c>
      <c r="B43" s="0" t="s">
        <v>244</v>
      </c>
      <c r="C43" s="7" t="s">
        <v>239</v>
      </c>
      <c r="D43" s="0" t="n">
        <v>1.1</v>
      </c>
      <c r="E43" s="0" t="n">
        <v>1.1</v>
      </c>
      <c r="F43" s="9" t="n">
        <v>0</v>
      </c>
    </row>
    <row r="44" customFormat="false" ht="15" hidden="false" customHeight="false" outlineLevel="0" collapsed="false">
      <c r="A44" s="0" t="s">
        <v>247</v>
      </c>
      <c r="B44" s="0" t="s">
        <v>244</v>
      </c>
      <c r="C44" s="7" t="s">
        <v>240</v>
      </c>
      <c r="D44" s="0" t="n">
        <v>1.2</v>
      </c>
      <c r="E44" s="0" t="n">
        <v>1.2</v>
      </c>
      <c r="F44" s="9" t="n">
        <v>0</v>
      </c>
    </row>
    <row r="45" customFormat="false" ht="15" hidden="false" customHeight="false" outlineLevel="0" collapsed="false">
      <c r="A45" s="0" t="s">
        <v>247</v>
      </c>
      <c r="B45" s="0" t="s">
        <v>244</v>
      </c>
      <c r="C45" s="7" t="s">
        <v>241</v>
      </c>
      <c r="D45" s="0" t="n">
        <v>1.3</v>
      </c>
      <c r="E45" s="0" t="n">
        <v>1.3</v>
      </c>
      <c r="F45" s="9" t="n">
        <v>0</v>
      </c>
    </row>
    <row r="46" customFormat="false" ht="17.15" hidden="false" customHeight="false" outlineLevel="0" collapsed="false">
      <c r="A46" s="0" t="s">
        <v>247</v>
      </c>
      <c r="B46" s="0" t="s">
        <v>245</v>
      </c>
      <c r="C46" s="7" t="s">
        <v>239</v>
      </c>
      <c r="D46" s="0" t="n">
        <v>1.1</v>
      </c>
      <c r="E46" s="0" t="n">
        <v>1.1</v>
      </c>
      <c r="F46" s="9" t="n">
        <v>0</v>
      </c>
    </row>
    <row r="47" customFormat="false" ht="17.15" hidden="false" customHeight="false" outlineLevel="0" collapsed="false">
      <c r="A47" s="0" t="s">
        <v>247</v>
      </c>
      <c r="B47" s="0" t="s">
        <v>245</v>
      </c>
      <c r="C47" s="7" t="s">
        <v>240</v>
      </c>
      <c r="D47" s="0" t="n">
        <v>1.2</v>
      </c>
      <c r="E47" s="0" t="n">
        <v>1.2</v>
      </c>
      <c r="F47" s="9" t="n">
        <v>0</v>
      </c>
    </row>
    <row r="48" customFormat="false" ht="17.15" hidden="false" customHeight="false" outlineLevel="0" collapsed="false">
      <c r="A48" s="0" t="s">
        <v>247</v>
      </c>
      <c r="B48" s="0" t="s">
        <v>245</v>
      </c>
      <c r="C48" s="7" t="s">
        <v>241</v>
      </c>
      <c r="D48" s="0" t="n">
        <v>1.3</v>
      </c>
      <c r="E48" s="0" t="n">
        <v>1.3</v>
      </c>
      <c r="F48" s="9" t="n">
        <v>0</v>
      </c>
    </row>
    <row r="49" customFormat="false" ht="15" hidden="false" customHeight="false" outlineLevel="0" collapsed="false">
      <c r="A49" s="0" t="s">
        <v>248</v>
      </c>
      <c r="B49" s="0" t="s">
        <v>238</v>
      </c>
      <c r="C49" s="7" t="s">
        <v>239</v>
      </c>
      <c r="D49" s="0" t="n">
        <v>21.4202694</v>
      </c>
      <c r="E49" s="0" t="n">
        <v>21.4202694</v>
      </c>
      <c r="F49" s="9" t="n">
        <v>0</v>
      </c>
    </row>
    <row r="50" customFormat="false" ht="15" hidden="false" customHeight="false" outlineLevel="0" collapsed="false">
      <c r="A50" s="0" t="s">
        <v>248</v>
      </c>
      <c r="B50" s="0" t="s">
        <v>238</v>
      </c>
      <c r="C50" s="7" t="s">
        <v>240</v>
      </c>
      <c r="D50" s="0" t="n">
        <v>27.510214</v>
      </c>
      <c r="E50" s="0" t="n">
        <v>27.510214</v>
      </c>
      <c r="F50" s="9" t="n">
        <v>0</v>
      </c>
    </row>
    <row r="51" customFormat="false" ht="15" hidden="false" customHeight="false" outlineLevel="0" collapsed="false">
      <c r="A51" s="0" t="s">
        <v>248</v>
      </c>
      <c r="B51" s="0" t="s">
        <v>238</v>
      </c>
      <c r="C51" s="7" t="s">
        <v>241</v>
      </c>
      <c r="D51" s="0" t="n">
        <v>34.1207434</v>
      </c>
      <c r="E51" s="0" t="n">
        <v>34.1207434</v>
      </c>
      <c r="F51" s="9" t="n">
        <v>0</v>
      </c>
    </row>
    <row r="52" customFormat="false" ht="15" hidden="false" customHeight="false" outlineLevel="0" collapsed="false">
      <c r="A52" s="0" t="s">
        <v>248</v>
      </c>
      <c r="B52" s="0" t="s">
        <v>242</v>
      </c>
      <c r="C52" s="7" t="s">
        <v>239</v>
      </c>
      <c r="D52" s="0" t="n">
        <v>20.6393904</v>
      </c>
      <c r="E52" s="0" t="n">
        <v>20.6393904</v>
      </c>
      <c r="F52" s="9" t="n">
        <v>0</v>
      </c>
    </row>
    <row r="53" customFormat="false" ht="15" hidden="false" customHeight="false" outlineLevel="0" collapsed="false">
      <c r="A53" s="0" t="s">
        <v>248</v>
      </c>
      <c r="B53" s="0" t="s">
        <v>242</v>
      </c>
      <c r="C53" s="7" t="s">
        <v>240</v>
      </c>
      <c r="D53" s="0" t="n">
        <v>24.015174</v>
      </c>
      <c r="E53" s="0" t="n">
        <v>24.015174</v>
      </c>
      <c r="F53" s="9" t="n">
        <v>0</v>
      </c>
    </row>
    <row r="54" customFormat="false" ht="15" hidden="false" customHeight="false" outlineLevel="0" collapsed="false">
      <c r="A54" s="0" t="s">
        <v>248</v>
      </c>
      <c r="B54" s="0" t="s">
        <v>242</v>
      </c>
      <c r="C54" s="7" t="s">
        <v>241</v>
      </c>
      <c r="D54" s="0" t="n">
        <v>27.6502044</v>
      </c>
      <c r="E54" s="0" t="n">
        <v>27.6502044</v>
      </c>
      <c r="F54" s="9" t="n">
        <v>0</v>
      </c>
    </row>
    <row r="55" customFormat="false" ht="15" hidden="false" customHeight="false" outlineLevel="0" collapsed="false">
      <c r="A55" s="0" t="s">
        <v>248</v>
      </c>
      <c r="B55" s="0" t="s">
        <v>243</v>
      </c>
      <c r="C55" s="7" t="s">
        <v>239</v>
      </c>
      <c r="D55" s="0" t="n">
        <v>28.5549024</v>
      </c>
      <c r="E55" s="0" t="n">
        <v>28.5549024</v>
      </c>
      <c r="F55" s="9" t="n">
        <v>0</v>
      </c>
    </row>
    <row r="56" customFormat="false" ht="15" hidden="false" customHeight="false" outlineLevel="0" collapsed="false">
      <c r="A56" s="0" t="s">
        <v>248</v>
      </c>
      <c r="B56" s="0" t="s">
        <v>243</v>
      </c>
      <c r="C56" s="7" t="s">
        <v>240</v>
      </c>
      <c r="D56" s="0" t="n">
        <v>37.445504</v>
      </c>
      <c r="E56" s="0" t="n">
        <v>32.237224</v>
      </c>
      <c r="F56" s="9" t="n">
        <v>-0.139089595375723</v>
      </c>
    </row>
    <row r="57" customFormat="false" ht="15" hidden="false" customHeight="false" outlineLevel="0" collapsed="false">
      <c r="A57" s="0" t="s">
        <v>248</v>
      </c>
      <c r="B57" s="0" t="s">
        <v>243</v>
      </c>
      <c r="C57" s="7" t="s">
        <v>241</v>
      </c>
      <c r="D57" s="0" t="n">
        <v>50.9505064</v>
      </c>
      <c r="E57" s="0" t="n">
        <v>39.2826064</v>
      </c>
      <c r="F57" s="9" t="n">
        <v>-0.229004593367496</v>
      </c>
    </row>
    <row r="58" customFormat="false" ht="15" hidden="false" customHeight="false" outlineLevel="0" collapsed="false">
      <c r="A58" s="0" t="s">
        <v>248</v>
      </c>
      <c r="B58" s="0" t="s">
        <v>244</v>
      </c>
      <c r="C58" s="7" t="s">
        <v>239</v>
      </c>
      <c r="D58" s="0" t="n">
        <v>33.2734032</v>
      </c>
      <c r="E58" s="0" t="n">
        <v>33.2734032</v>
      </c>
      <c r="F58" s="9" t="n">
        <v>0</v>
      </c>
    </row>
    <row r="59" customFormat="false" ht="15" hidden="false" customHeight="false" outlineLevel="0" collapsed="false">
      <c r="A59" s="0" t="s">
        <v>248</v>
      </c>
      <c r="B59" s="0" t="s">
        <v>244</v>
      </c>
      <c r="C59" s="7" t="s">
        <v>240</v>
      </c>
      <c r="D59" s="0" t="n">
        <v>37.586352</v>
      </c>
      <c r="E59" s="0" t="n">
        <v>37.586352</v>
      </c>
      <c r="F59" s="9" t="n">
        <v>0</v>
      </c>
    </row>
    <row r="60" customFormat="false" ht="15" hidden="false" customHeight="false" outlineLevel="0" collapsed="false">
      <c r="A60" s="0" t="s">
        <v>248</v>
      </c>
      <c r="B60" s="0" t="s">
        <v>244</v>
      </c>
      <c r="C60" s="7" t="s">
        <v>241</v>
      </c>
      <c r="D60" s="0" t="n">
        <v>42.6375752</v>
      </c>
      <c r="E60" s="0" t="n">
        <v>42.6375752</v>
      </c>
      <c r="F60" s="9" t="n">
        <v>0</v>
      </c>
    </row>
    <row r="61" customFormat="false" ht="17.15" hidden="false" customHeight="false" outlineLevel="0" collapsed="false">
      <c r="A61" s="0" t="s">
        <v>248</v>
      </c>
      <c r="B61" s="0" t="s">
        <v>245</v>
      </c>
      <c r="C61" s="7" t="s">
        <v>239</v>
      </c>
      <c r="D61" s="0" t="n">
        <v>35.845578</v>
      </c>
      <c r="E61" s="0" t="n">
        <v>35.845578</v>
      </c>
      <c r="F61" s="9" t="n">
        <v>0</v>
      </c>
    </row>
    <row r="62" customFormat="false" ht="17.15" hidden="false" customHeight="false" outlineLevel="0" collapsed="false">
      <c r="A62" s="0" t="s">
        <v>248</v>
      </c>
      <c r="B62" s="0" t="s">
        <v>245</v>
      </c>
      <c r="C62" s="7" t="s">
        <v>240</v>
      </c>
      <c r="D62" s="0" t="n">
        <v>50.08578</v>
      </c>
      <c r="E62" s="0" t="n">
        <v>50.08578</v>
      </c>
      <c r="F62" s="9" t="n">
        <v>0</v>
      </c>
    </row>
    <row r="63" customFormat="false" ht="17.15" hidden="false" customHeight="false" outlineLevel="0" collapsed="false">
      <c r="A63" s="0" t="s">
        <v>248</v>
      </c>
      <c r="B63" s="0" t="s">
        <v>245</v>
      </c>
      <c r="C63" s="7" t="s">
        <v>241</v>
      </c>
      <c r="D63" s="0" t="n">
        <v>65.481558</v>
      </c>
      <c r="E63" s="0" t="n">
        <v>65.481558</v>
      </c>
      <c r="F63" s="9" t="n">
        <v>0</v>
      </c>
    </row>
    <row r="64" customFormat="false" ht="15" hidden="false" customHeight="false" outlineLevel="0" collapsed="false">
      <c r="A64" s="0" t="s">
        <v>249</v>
      </c>
      <c r="B64" s="0" t="s">
        <v>238</v>
      </c>
      <c r="C64" s="7" t="s">
        <v>239</v>
      </c>
      <c r="D64" s="0" t="n">
        <v>10.212</v>
      </c>
      <c r="E64" s="0" t="n">
        <v>10.212</v>
      </c>
      <c r="F64" s="9" t="n">
        <v>0</v>
      </c>
    </row>
    <row r="65" customFormat="false" ht="15" hidden="false" customHeight="false" outlineLevel="0" collapsed="false">
      <c r="A65" s="0" t="s">
        <v>249</v>
      </c>
      <c r="B65" s="0" t="s">
        <v>238</v>
      </c>
      <c r="C65" s="7" t="s">
        <v>240</v>
      </c>
      <c r="D65" s="0" t="n">
        <v>12.67</v>
      </c>
      <c r="E65" s="0" t="n">
        <v>12.67</v>
      </c>
      <c r="F65" s="9" t="n">
        <v>0</v>
      </c>
    </row>
    <row r="66" customFormat="false" ht="15" hidden="false" customHeight="false" outlineLevel="0" collapsed="false">
      <c r="A66" s="0" t="s">
        <v>249</v>
      </c>
      <c r="B66" s="0" t="s">
        <v>238</v>
      </c>
      <c r="C66" s="7" t="s">
        <v>241</v>
      </c>
      <c r="D66" s="0" t="n">
        <v>16.186</v>
      </c>
      <c r="E66" s="0" t="n">
        <v>16.186</v>
      </c>
      <c r="F66" s="9" t="n">
        <v>0</v>
      </c>
    </row>
    <row r="67" customFormat="false" ht="15" hidden="false" customHeight="false" outlineLevel="0" collapsed="false">
      <c r="A67" s="0" t="s">
        <v>249</v>
      </c>
      <c r="B67" s="0" t="s">
        <v>242</v>
      </c>
      <c r="C67" s="7" t="s">
        <v>239</v>
      </c>
      <c r="D67" s="0" t="n">
        <v>10.212</v>
      </c>
      <c r="E67" s="0" t="n">
        <v>10.212</v>
      </c>
      <c r="F67" s="9" t="n">
        <v>0</v>
      </c>
    </row>
    <row r="68" customFormat="false" ht="15" hidden="false" customHeight="false" outlineLevel="0" collapsed="false">
      <c r="A68" s="0" t="s">
        <v>249</v>
      </c>
      <c r="B68" s="0" t="s">
        <v>242</v>
      </c>
      <c r="C68" s="7" t="s">
        <v>240</v>
      </c>
      <c r="D68" s="0" t="n">
        <v>12.67</v>
      </c>
      <c r="E68" s="0" t="n">
        <v>12.67</v>
      </c>
      <c r="F68" s="9" t="n">
        <v>0</v>
      </c>
    </row>
    <row r="69" customFormat="false" ht="15" hidden="false" customHeight="false" outlineLevel="0" collapsed="false">
      <c r="A69" s="0" t="s">
        <v>249</v>
      </c>
      <c r="B69" s="0" t="s">
        <v>242</v>
      </c>
      <c r="C69" s="7" t="s">
        <v>241</v>
      </c>
      <c r="D69" s="0" t="n">
        <v>16.186</v>
      </c>
      <c r="E69" s="0" t="n">
        <v>16.186</v>
      </c>
      <c r="F69" s="9" t="n">
        <v>0</v>
      </c>
    </row>
    <row r="70" customFormat="false" ht="15" hidden="false" customHeight="false" outlineLevel="0" collapsed="false">
      <c r="A70" s="0" t="s">
        <v>249</v>
      </c>
      <c r="B70" s="0" t="s">
        <v>243</v>
      </c>
      <c r="C70" s="7" t="s">
        <v>239</v>
      </c>
      <c r="D70" s="0" t="n">
        <v>10.212</v>
      </c>
      <c r="E70" s="0" t="n">
        <v>10.212</v>
      </c>
      <c r="F70" s="9" t="n">
        <v>0</v>
      </c>
    </row>
    <row r="71" customFormat="false" ht="15" hidden="false" customHeight="false" outlineLevel="0" collapsed="false">
      <c r="A71" s="0" t="s">
        <v>249</v>
      </c>
      <c r="B71" s="0" t="s">
        <v>243</v>
      </c>
      <c r="C71" s="7" t="s">
        <v>240</v>
      </c>
      <c r="D71" s="0" t="n">
        <v>12.67</v>
      </c>
      <c r="E71" s="0" t="n">
        <v>12.67</v>
      </c>
      <c r="F71" s="9" t="n">
        <v>0</v>
      </c>
    </row>
    <row r="72" customFormat="false" ht="15" hidden="false" customHeight="false" outlineLevel="0" collapsed="false">
      <c r="A72" s="0" t="s">
        <v>249</v>
      </c>
      <c r="B72" s="0" t="s">
        <v>243</v>
      </c>
      <c r="C72" s="7" t="s">
        <v>241</v>
      </c>
      <c r="D72" s="0" t="n">
        <v>16.186</v>
      </c>
      <c r="E72" s="0" t="n">
        <v>16.186</v>
      </c>
      <c r="F72" s="9" t="n">
        <v>0</v>
      </c>
    </row>
    <row r="73" customFormat="false" ht="15" hidden="false" customHeight="false" outlineLevel="0" collapsed="false">
      <c r="A73" s="0" t="s">
        <v>249</v>
      </c>
      <c r="B73" s="0" t="s">
        <v>244</v>
      </c>
      <c r="C73" s="7" t="s">
        <v>239</v>
      </c>
      <c r="D73" s="0" t="n">
        <v>10.212</v>
      </c>
      <c r="E73" s="0" t="n">
        <v>10.212</v>
      </c>
      <c r="F73" s="9" t="n">
        <v>0</v>
      </c>
    </row>
    <row r="74" customFormat="false" ht="15" hidden="false" customHeight="false" outlineLevel="0" collapsed="false">
      <c r="A74" s="0" t="s">
        <v>249</v>
      </c>
      <c r="B74" s="0" t="s">
        <v>244</v>
      </c>
      <c r="C74" s="7" t="s">
        <v>240</v>
      </c>
      <c r="D74" s="0" t="n">
        <v>12.67</v>
      </c>
      <c r="E74" s="0" t="n">
        <v>12.67</v>
      </c>
      <c r="F74" s="9" t="n">
        <v>0</v>
      </c>
    </row>
    <row r="75" customFormat="false" ht="15" hidden="false" customHeight="false" outlineLevel="0" collapsed="false">
      <c r="A75" s="0" t="s">
        <v>249</v>
      </c>
      <c r="B75" s="0" t="s">
        <v>244</v>
      </c>
      <c r="C75" s="7" t="s">
        <v>241</v>
      </c>
      <c r="D75" s="0" t="n">
        <v>16.186</v>
      </c>
      <c r="E75" s="0" t="n">
        <v>16.186</v>
      </c>
      <c r="F75" s="9" t="n">
        <v>0</v>
      </c>
    </row>
    <row r="76" customFormat="false" ht="17.15" hidden="false" customHeight="false" outlineLevel="0" collapsed="false">
      <c r="A76" s="0" t="s">
        <v>249</v>
      </c>
      <c r="B76" s="0" t="s">
        <v>245</v>
      </c>
      <c r="C76" s="7" t="s">
        <v>239</v>
      </c>
      <c r="D76" s="0" t="n">
        <v>10.212</v>
      </c>
      <c r="E76" s="0" t="n">
        <v>10.212</v>
      </c>
      <c r="F76" s="9" t="n">
        <v>0</v>
      </c>
    </row>
    <row r="77" customFormat="false" ht="17.15" hidden="false" customHeight="false" outlineLevel="0" collapsed="false">
      <c r="A77" s="0" t="s">
        <v>249</v>
      </c>
      <c r="B77" s="0" t="s">
        <v>245</v>
      </c>
      <c r="C77" s="7" t="s">
        <v>240</v>
      </c>
      <c r="D77" s="0" t="n">
        <v>12.67</v>
      </c>
      <c r="E77" s="0" t="n">
        <v>12.67</v>
      </c>
      <c r="F77" s="9" t="n">
        <v>0</v>
      </c>
    </row>
    <row r="78" customFormat="false" ht="17.15" hidden="false" customHeight="false" outlineLevel="0" collapsed="false">
      <c r="A78" s="0" t="s">
        <v>249</v>
      </c>
      <c r="B78" s="0" t="s">
        <v>245</v>
      </c>
      <c r="C78" s="7" t="s">
        <v>241</v>
      </c>
      <c r="D78" s="0" t="n">
        <v>16.186</v>
      </c>
      <c r="E78" s="0" t="n">
        <v>16.186</v>
      </c>
      <c r="F78" s="9" t="n">
        <v>0</v>
      </c>
    </row>
    <row r="79" customFormat="false" ht="15" hidden="false" customHeight="false" outlineLevel="0" collapsed="false">
      <c r="A79" s="0" t="s">
        <v>250</v>
      </c>
      <c r="B79" s="0" t="s">
        <v>238</v>
      </c>
      <c r="C79" s="7" t="s">
        <v>239</v>
      </c>
      <c r="D79" s="0" t="n">
        <v>31.6322694</v>
      </c>
      <c r="E79" s="0" t="n">
        <v>31.6322694</v>
      </c>
      <c r="F79" s="9" t="n">
        <v>0</v>
      </c>
    </row>
    <row r="80" customFormat="false" ht="15" hidden="false" customHeight="false" outlineLevel="0" collapsed="false">
      <c r="A80" s="0" t="s">
        <v>250</v>
      </c>
      <c r="B80" s="0" t="s">
        <v>238</v>
      </c>
      <c r="C80" s="7" t="s">
        <v>240</v>
      </c>
      <c r="D80" s="0" t="n">
        <v>40.180214</v>
      </c>
      <c r="E80" s="0" t="n">
        <v>40.180214</v>
      </c>
      <c r="F80" s="9" t="n">
        <v>0</v>
      </c>
    </row>
    <row r="81" customFormat="false" ht="15" hidden="false" customHeight="false" outlineLevel="0" collapsed="false">
      <c r="A81" s="0" t="s">
        <v>250</v>
      </c>
      <c r="B81" s="0" t="s">
        <v>238</v>
      </c>
      <c r="C81" s="7" t="s">
        <v>241</v>
      </c>
      <c r="D81" s="0" t="n">
        <v>50.3067434</v>
      </c>
      <c r="E81" s="0" t="n">
        <v>50.3067434</v>
      </c>
      <c r="F81" s="9" t="n">
        <v>0</v>
      </c>
    </row>
    <row r="82" customFormat="false" ht="15" hidden="false" customHeight="false" outlineLevel="0" collapsed="false">
      <c r="A82" s="0" t="s">
        <v>250</v>
      </c>
      <c r="B82" s="0" t="s">
        <v>242</v>
      </c>
      <c r="C82" s="7" t="s">
        <v>239</v>
      </c>
      <c r="D82" s="0" t="n">
        <v>30.8513904</v>
      </c>
      <c r="E82" s="0" t="n">
        <v>30.8513904</v>
      </c>
      <c r="F82" s="9" t="n">
        <v>0</v>
      </c>
    </row>
    <row r="83" customFormat="false" ht="15" hidden="false" customHeight="false" outlineLevel="0" collapsed="false">
      <c r="A83" s="0" t="s">
        <v>250</v>
      </c>
      <c r="B83" s="0" t="s">
        <v>242</v>
      </c>
      <c r="C83" s="7" t="s">
        <v>240</v>
      </c>
      <c r="D83" s="0" t="n">
        <v>36.685174</v>
      </c>
      <c r="E83" s="0" t="n">
        <v>36.685174</v>
      </c>
      <c r="F83" s="9" t="n">
        <v>0</v>
      </c>
    </row>
    <row r="84" customFormat="false" ht="15" hidden="false" customHeight="false" outlineLevel="0" collapsed="false">
      <c r="A84" s="0" t="s">
        <v>250</v>
      </c>
      <c r="B84" s="0" t="s">
        <v>242</v>
      </c>
      <c r="C84" s="7" t="s">
        <v>241</v>
      </c>
      <c r="D84" s="0" t="n">
        <v>43.8362044</v>
      </c>
      <c r="E84" s="0" t="n">
        <v>43.8362044</v>
      </c>
      <c r="F84" s="9" t="n">
        <v>0</v>
      </c>
    </row>
    <row r="85" customFormat="false" ht="15" hidden="false" customHeight="false" outlineLevel="0" collapsed="false">
      <c r="A85" s="0" t="s">
        <v>250</v>
      </c>
      <c r="B85" s="0" t="s">
        <v>243</v>
      </c>
      <c r="C85" s="7" t="s">
        <v>239</v>
      </c>
      <c r="D85" s="0" t="n">
        <v>38.7669024</v>
      </c>
      <c r="E85" s="0" t="n">
        <v>38.7669024</v>
      </c>
      <c r="F85" s="9" t="n">
        <v>0</v>
      </c>
    </row>
    <row r="86" customFormat="false" ht="15" hidden="false" customHeight="false" outlineLevel="0" collapsed="false">
      <c r="A86" s="0" t="s">
        <v>250</v>
      </c>
      <c r="B86" s="0" t="s">
        <v>243</v>
      </c>
      <c r="C86" s="7" t="s">
        <v>240</v>
      </c>
      <c r="D86" s="0" t="n">
        <v>50.115504</v>
      </c>
      <c r="E86" s="0" t="n">
        <v>44.907224</v>
      </c>
      <c r="F86" s="9" t="n">
        <v>-0.103925523726151</v>
      </c>
    </row>
    <row r="87" customFormat="false" ht="15" hidden="false" customHeight="false" outlineLevel="0" collapsed="false">
      <c r="A87" s="0" t="s">
        <v>250</v>
      </c>
      <c r="B87" s="0" t="s">
        <v>243</v>
      </c>
      <c r="C87" s="7" t="s">
        <v>241</v>
      </c>
      <c r="D87" s="0" t="n">
        <v>67.1365064</v>
      </c>
      <c r="E87" s="0" t="n">
        <v>55.4686064</v>
      </c>
      <c r="F87" s="9" t="n">
        <v>-0.173793672409502</v>
      </c>
    </row>
    <row r="88" customFormat="false" ht="15" hidden="false" customHeight="false" outlineLevel="0" collapsed="false">
      <c r="A88" s="0" t="s">
        <v>250</v>
      </c>
      <c r="B88" s="0" t="s">
        <v>244</v>
      </c>
      <c r="C88" s="7" t="s">
        <v>239</v>
      </c>
      <c r="D88" s="0" t="n">
        <v>43.4854032</v>
      </c>
      <c r="E88" s="0" t="n">
        <v>43.4854032</v>
      </c>
      <c r="F88" s="9" t="n">
        <v>0</v>
      </c>
    </row>
    <row r="89" customFormat="false" ht="15" hidden="false" customHeight="false" outlineLevel="0" collapsed="false">
      <c r="A89" s="0" t="s">
        <v>250</v>
      </c>
      <c r="B89" s="0" t="s">
        <v>244</v>
      </c>
      <c r="C89" s="7" t="s">
        <v>240</v>
      </c>
      <c r="D89" s="0" t="n">
        <v>50.256352</v>
      </c>
      <c r="E89" s="0" t="n">
        <v>50.256352</v>
      </c>
      <c r="F89" s="9" t="n">
        <v>0</v>
      </c>
    </row>
    <row r="90" customFormat="false" ht="15" hidden="false" customHeight="false" outlineLevel="0" collapsed="false">
      <c r="A90" s="0" t="s">
        <v>250</v>
      </c>
      <c r="B90" s="0" t="s">
        <v>244</v>
      </c>
      <c r="C90" s="7" t="s">
        <v>241</v>
      </c>
      <c r="D90" s="0" t="n">
        <v>58.8235752</v>
      </c>
      <c r="E90" s="0" t="n">
        <v>58.8235752</v>
      </c>
      <c r="F90" s="9" t="n">
        <v>0</v>
      </c>
    </row>
    <row r="91" customFormat="false" ht="17.15" hidden="false" customHeight="false" outlineLevel="0" collapsed="false">
      <c r="A91" s="0" t="s">
        <v>250</v>
      </c>
      <c r="B91" s="0" t="s">
        <v>245</v>
      </c>
      <c r="C91" s="7" t="s">
        <v>239</v>
      </c>
      <c r="D91" s="0" t="n">
        <v>46.057578</v>
      </c>
      <c r="E91" s="0" t="n">
        <v>46.057578</v>
      </c>
      <c r="F91" s="9" t="n">
        <v>0</v>
      </c>
    </row>
    <row r="92" customFormat="false" ht="17.15" hidden="false" customHeight="false" outlineLevel="0" collapsed="false">
      <c r="A92" s="0" t="s">
        <v>250</v>
      </c>
      <c r="B92" s="0" t="s">
        <v>245</v>
      </c>
      <c r="C92" s="7" t="s">
        <v>240</v>
      </c>
      <c r="D92" s="0" t="n">
        <v>62.75578</v>
      </c>
      <c r="E92" s="0" t="n">
        <v>62.75578</v>
      </c>
      <c r="F92" s="9" t="n">
        <v>0</v>
      </c>
    </row>
    <row r="93" customFormat="false" ht="17.15" hidden="false" customHeight="false" outlineLevel="0" collapsed="false">
      <c r="A93" s="0" t="s">
        <v>250</v>
      </c>
      <c r="B93" s="0" t="s">
        <v>245</v>
      </c>
      <c r="C93" s="7" t="s">
        <v>241</v>
      </c>
      <c r="D93" s="0" t="n">
        <v>81.667558</v>
      </c>
      <c r="E93" s="0" t="n">
        <v>81.667558</v>
      </c>
      <c r="F93" s="9" t="n">
        <v>0</v>
      </c>
    </row>
    <row r="94" customFormat="false" ht="15" hidden="false" customHeight="false" outlineLevel="0" collapsed="false">
      <c r="A94" s="0" t="s">
        <v>251</v>
      </c>
      <c r="B94" s="0" t="s">
        <v>238</v>
      </c>
      <c r="C94" s="7" t="s">
        <v>239</v>
      </c>
      <c r="D94" s="0" t="n">
        <v>5.39897242953333</v>
      </c>
      <c r="E94" s="0" t="n">
        <v>5.19000377241587</v>
      </c>
      <c r="F94" s="9" t="n">
        <v>-0.038705264723036</v>
      </c>
    </row>
    <row r="95" customFormat="false" ht="15" hidden="false" customHeight="false" outlineLevel="0" collapsed="false">
      <c r="A95" s="0" t="s">
        <v>251</v>
      </c>
      <c r="B95" s="0" t="s">
        <v>238</v>
      </c>
      <c r="C95" s="7" t="s">
        <v>240</v>
      </c>
      <c r="D95" s="0" t="n">
        <v>7.49682782333333</v>
      </c>
      <c r="E95" s="0" t="n">
        <v>7.10411981353067</v>
      </c>
      <c r="F95" s="9" t="n">
        <v>-0.0523832238190645</v>
      </c>
    </row>
    <row r="96" customFormat="false" ht="15" hidden="false" customHeight="false" outlineLevel="0" collapsed="false">
      <c r="A96" s="0" t="s">
        <v>251</v>
      </c>
      <c r="B96" s="0" t="s">
        <v>238</v>
      </c>
      <c r="C96" s="7" t="s">
        <v>241</v>
      </c>
      <c r="D96" s="0" t="n">
        <v>12.9492728665333</v>
      </c>
      <c r="E96" s="0" t="n">
        <v>12.2070705365445</v>
      </c>
      <c r="F96" s="9" t="n">
        <v>-0.0573161394959082</v>
      </c>
    </row>
    <row r="97" customFormat="false" ht="15" hidden="false" customHeight="false" outlineLevel="0" collapsed="false">
      <c r="A97" s="0" t="s">
        <v>251</v>
      </c>
      <c r="B97" s="0" t="s">
        <v>242</v>
      </c>
      <c r="C97" s="7" t="s">
        <v>239</v>
      </c>
      <c r="D97" s="0" t="n">
        <v>5.25086571253333</v>
      </c>
      <c r="E97" s="0" t="n">
        <v>5.04951503784896</v>
      </c>
      <c r="F97" s="9" t="n">
        <v>-0.0383461862686308</v>
      </c>
    </row>
    <row r="98" customFormat="false" ht="15" hidden="false" customHeight="false" outlineLevel="0" collapsed="false">
      <c r="A98" s="0" t="s">
        <v>251</v>
      </c>
      <c r="B98" s="0" t="s">
        <v>242</v>
      </c>
      <c r="C98" s="7" t="s">
        <v>240</v>
      </c>
      <c r="D98" s="0" t="n">
        <v>6.79199475666667</v>
      </c>
      <c r="E98" s="0" t="n">
        <v>6.44917840537967</v>
      </c>
      <c r="F98" s="9" t="n">
        <v>-0.0504735889188531</v>
      </c>
    </row>
    <row r="99" customFormat="false" ht="15" hidden="false" customHeight="false" outlineLevel="0" collapsed="false">
      <c r="A99" s="0" t="s">
        <v>251</v>
      </c>
      <c r="B99" s="0" t="s">
        <v>242</v>
      </c>
      <c r="C99" s="7" t="s">
        <v>241</v>
      </c>
      <c r="D99" s="0" t="n">
        <v>11.0210522445333</v>
      </c>
      <c r="E99" s="0" t="n">
        <v>10.4195985807088</v>
      </c>
      <c r="F99" s="9" t="n">
        <v>-0.054573161480369</v>
      </c>
    </row>
    <row r="100" customFormat="false" ht="15" hidden="false" customHeight="false" outlineLevel="0" collapsed="false">
      <c r="A100" s="0" t="s">
        <v>251</v>
      </c>
      <c r="B100" s="0" t="s">
        <v>243</v>
      </c>
      <c r="C100" s="7" t="s">
        <v>239</v>
      </c>
      <c r="D100" s="0" t="n">
        <v>6.75217448853333</v>
      </c>
      <c r="E100" s="0" t="n">
        <v>6.47360284700915</v>
      </c>
      <c r="F100" s="9" t="n">
        <v>-0.0412565821569416</v>
      </c>
    </row>
    <row r="101" customFormat="false" ht="15" hidden="false" customHeight="false" outlineLevel="0" collapsed="false">
      <c r="A101" s="0" t="s">
        <v>251</v>
      </c>
      <c r="B101" s="0" t="s">
        <v>243</v>
      </c>
      <c r="C101" s="7" t="s">
        <v>240</v>
      </c>
      <c r="D101" s="0" t="n">
        <v>9.50044464</v>
      </c>
      <c r="E101" s="0" t="n">
        <v>7.98992214647791</v>
      </c>
      <c r="F101" s="9" t="n">
        <v>-0.158994926107173</v>
      </c>
    </row>
    <row r="102" customFormat="false" ht="15" hidden="false" customHeight="false" outlineLevel="0" collapsed="false">
      <c r="A102" s="0" t="s">
        <v>251</v>
      </c>
      <c r="B102" s="0" t="s">
        <v>243</v>
      </c>
      <c r="C102" s="7" t="s">
        <v>241</v>
      </c>
      <c r="D102" s="0" t="n">
        <v>17.9645422405333</v>
      </c>
      <c r="E102" s="0" t="n">
        <v>13.6330236684808</v>
      </c>
      <c r="F102" s="9" t="n">
        <v>-0.241114886984391</v>
      </c>
    </row>
    <row r="103" customFormat="false" ht="15" hidden="false" customHeight="false" outlineLevel="0" collapsed="false">
      <c r="A103" s="0" t="s">
        <v>251</v>
      </c>
      <c r="B103" s="0" t="s">
        <v>244</v>
      </c>
      <c r="C103" s="7" t="s">
        <v>239</v>
      </c>
      <c r="D103" s="0" t="n">
        <v>7.64711680693333</v>
      </c>
      <c r="E103" s="0" t="n">
        <v>7.32251312176997</v>
      </c>
      <c r="F103" s="9" t="n">
        <v>-0.0424478523551589</v>
      </c>
    </row>
    <row r="104" customFormat="false" ht="15" hidden="false" customHeight="false" outlineLevel="0" collapsed="false">
      <c r="A104" s="0" t="s">
        <v>251</v>
      </c>
      <c r="B104" s="0" t="s">
        <v>244</v>
      </c>
      <c r="C104" s="7" t="s">
        <v>240</v>
      </c>
      <c r="D104" s="0" t="n">
        <v>9.52884898666667</v>
      </c>
      <c r="E104" s="0" t="n">
        <v>8.9923042149807</v>
      </c>
      <c r="F104" s="9" t="n">
        <v>-0.0563074063233382</v>
      </c>
    </row>
    <row r="105" customFormat="false" ht="15" hidden="false" customHeight="false" outlineLevel="0" collapsed="false">
      <c r="A105" s="0" t="s">
        <v>251</v>
      </c>
      <c r="B105" s="0" t="s">
        <v>244</v>
      </c>
      <c r="C105" s="7" t="s">
        <v>241</v>
      </c>
      <c r="D105" s="0" t="n">
        <v>15.4872887429333</v>
      </c>
      <c r="E105" s="0" t="n">
        <v>14.5598263108425</v>
      </c>
      <c r="F105" s="9" t="n">
        <v>-0.0598853968235075</v>
      </c>
    </row>
    <row r="106" customFormat="false" ht="17.15" hidden="false" customHeight="false" outlineLevel="0" collapsed="false">
      <c r="A106" s="0" t="s">
        <v>251</v>
      </c>
      <c r="B106" s="0" t="s">
        <v>245</v>
      </c>
      <c r="C106" s="7" t="s">
        <v>239</v>
      </c>
      <c r="D106" s="0" t="n">
        <v>8.13497262733334</v>
      </c>
      <c r="E106" s="0" t="n">
        <v>7.78527570436843</v>
      </c>
      <c r="F106" s="9" t="n">
        <v>-0.0429868592046562</v>
      </c>
    </row>
    <row r="107" customFormat="false" ht="17.15" hidden="false" customHeight="false" outlineLevel="0" collapsed="false">
      <c r="A107" s="0" t="s">
        <v>251</v>
      </c>
      <c r="B107" s="0" t="s">
        <v>245</v>
      </c>
      <c r="C107" s="7" t="s">
        <v>240</v>
      </c>
      <c r="D107" s="0" t="n">
        <v>12.0495669666667</v>
      </c>
      <c r="E107" s="0" t="n">
        <v>11.3345929943372</v>
      </c>
      <c r="F107" s="9" t="n">
        <v>-0.0593360719358104</v>
      </c>
    </row>
    <row r="108" customFormat="false" ht="17.15" hidden="false" customHeight="false" outlineLevel="0" collapsed="false">
      <c r="A108" s="0" t="s">
        <v>251</v>
      </c>
      <c r="B108" s="0" t="s">
        <v>245</v>
      </c>
      <c r="C108" s="7" t="s">
        <v>241</v>
      </c>
      <c r="D108" s="0" t="n">
        <v>22.2947956173333</v>
      </c>
      <c r="E108" s="0" t="n">
        <v>20.8704255692031</v>
      </c>
      <c r="F108" s="9" t="n">
        <v>-0.0638880065365035</v>
      </c>
    </row>
    <row r="109" customFormat="false" ht="15" hidden="false" customHeight="false" outlineLevel="0" collapsed="false">
      <c r="A109" s="0" t="s">
        <v>252</v>
      </c>
      <c r="B109" s="0" t="s">
        <v>238</v>
      </c>
      <c r="C109" s="7" t="s">
        <v>239</v>
      </c>
      <c r="D109" s="0" t="n">
        <v>7.0000433103819</v>
      </c>
      <c r="E109" s="0" t="n">
        <v>6.79107465326444</v>
      </c>
      <c r="F109" s="9" t="n">
        <v>-0.0298524805993036</v>
      </c>
    </row>
    <row r="110" customFormat="false" ht="15" hidden="false" customHeight="false" outlineLevel="0" collapsed="false">
      <c r="A110" s="0" t="s">
        <v>252</v>
      </c>
      <c r="B110" s="0" t="s">
        <v>238</v>
      </c>
      <c r="C110" s="7" t="s">
        <v>240</v>
      </c>
      <c r="D110" s="0" t="n">
        <v>10.0957952959174</v>
      </c>
      <c r="E110" s="0" t="n">
        <v>9.70308728611469</v>
      </c>
      <c r="F110" s="9" t="n">
        <v>-0.0388981747640541</v>
      </c>
    </row>
    <row r="111" customFormat="false" ht="15" hidden="false" customHeight="false" outlineLevel="0" collapsed="false">
      <c r="A111" s="0" t="s">
        <v>252</v>
      </c>
      <c r="B111" s="0" t="s">
        <v>238</v>
      </c>
      <c r="C111" s="7" t="s">
        <v>241</v>
      </c>
      <c r="D111" s="0" t="n">
        <v>17.4059720636914</v>
      </c>
      <c r="E111" s="0" t="n">
        <v>16.6637697337026</v>
      </c>
      <c r="F111" s="9" t="n">
        <v>-0.0426406711025937</v>
      </c>
    </row>
    <row r="112" customFormat="false" ht="15" hidden="false" customHeight="false" outlineLevel="0" collapsed="false">
      <c r="A112" s="0" t="s">
        <v>252</v>
      </c>
      <c r="B112" s="0" t="s">
        <v>242</v>
      </c>
      <c r="C112" s="7" t="s">
        <v>239</v>
      </c>
      <c r="D112" s="0" t="n">
        <v>6.81316695089878</v>
      </c>
      <c r="E112" s="0" t="n">
        <v>6.6118162762144</v>
      </c>
      <c r="F112" s="9" t="n">
        <v>-0.0295531690527293</v>
      </c>
    </row>
    <row r="113" customFormat="false" ht="15" hidden="false" customHeight="false" outlineLevel="0" collapsed="false">
      <c r="A113" s="0" t="s">
        <v>252</v>
      </c>
      <c r="B113" s="0" t="s">
        <v>242</v>
      </c>
      <c r="C113" s="7" t="s">
        <v>240</v>
      </c>
      <c r="D113" s="0" t="n">
        <v>9.17098191725462</v>
      </c>
      <c r="E113" s="0" t="n">
        <v>8.82816556596761</v>
      </c>
      <c r="F113" s="9" t="n">
        <v>-0.0373805503467434</v>
      </c>
    </row>
    <row r="114" customFormat="false" ht="15" hidden="false" customHeight="false" outlineLevel="0" collapsed="false">
      <c r="A114" s="0" t="s">
        <v>252</v>
      </c>
      <c r="B114" s="0" t="s">
        <v>242</v>
      </c>
      <c r="C114" s="7" t="s">
        <v>241</v>
      </c>
      <c r="D114" s="0" t="n">
        <v>14.9200285257983</v>
      </c>
      <c r="E114" s="0" t="n">
        <v>14.3185748619737</v>
      </c>
      <c r="F114" s="9" t="n">
        <v>-0.0403118306901775</v>
      </c>
    </row>
    <row r="115" customFormat="false" ht="15" hidden="false" customHeight="false" outlineLevel="0" collapsed="false">
      <c r="A115" s="0" t="s">
        <v>252</v>
      </c>
      <c r="B115" s="0" t="s">
        <v>243</v>
      </c>
      <c r="C115" s="7" t="s">
        <v>239</v>
      </c>
      <c r="D115" s="0" t="n">
        <v>8.70747076237914</v>
      </c>
      <c r="E115" s="0" t="n">
        <v>8.42889912085495</v>
      </c>
      <c r="F115" s="9" t="n">
        <v>-0.0319922568936741</v>
      </c>
    </row>
    <row r="116" customFormat="false" ht="15" hidden="false" customHeight="false" outlineLevel="0" collapsed="false">
      <c r="A116" s="0" t="s">
        <v>252</v>
      </c>
      <c r="B116" s="0" t="s">
        <v>243</v>
      </c>
      <c r="C116" s="7" t="s">
        <v>240</v>
      </c>
      <c r="D116" s="0" t="n">
        <v>12.7247463559608</v>
      </c>
      <c r="E116" s="0" t="n">
        <v>10.8864110021101</v>
      </c>
      <c r="F116" s="9" t="n">
        <v>-0.144469312191009</v>
      </c>
    </row>
    <row r="117" customFormat="false" ht="15" hidden="false" customHeight="false" outlineLevel="0" collapsed="false">
      <c r="A117" s="0" t="s">
        <v>252</v>
      </c>
      <c r="B117" s="0" t="s">
        <v>243</v>
      </c>
      <c r="C117" s="7" t="s">
        <v>241</v>
      </c>
      <c r="D117" s="0" t="n">
        <v>23.87186935202</v>
      </c>
      <c r="E117" s="0" t="n">
        <v>18.5346455040469</v>
      </c>
      <c r="F117" s="9" t="n">
        <v>-0.223577959868546</v>
      </c>
    </row>
    <row r="118" customFormat="false" ht="15" hidden="false" customHeight="false" outlineLevel="0" collapsed="false">
      <c r="A118" s="0" t="s">
        <v>252</v>
      </c>
      <c r="B118" s="0" t="s">
        <v>244</v>
      </c>
      <c r="C118" s="7" t="s">
        <v>239</v>
      </c>
      <c r="D118" s="0" t="n">
        <v>9.83668060375303</v>
      </c>
      <c r="E118" s="0" t="n">
        <v>9.51207691858967</v>
      </c>
      <c r="F118" s="9" t="n">
        <v>-0.032999311275748</v>
      </c>
    </row>
    <row r="119" customFormat="false" ht="15" hidden="false" customHeight="false" outlineLevel="0" collapsed="false">
      <c r="A119" s="0" t="s">
        <v>252</v>
      </c>
      <c r="B119" s="0" t="s">
        <v>244</v>
      </c>
      <c r="C119" s="7" t="s">
        <v>240</v>
      </c>
      <c r="D119" s="0" t="n">
        <v>12.7620157762701</v>
      </c>
      <c r="E119" s="0" t="n">
        <v>12.2254710045841</v>
      </c>
      <c r="F119" s="9" t="n">
        <v>-0.0420423216122065</v>
      </c>
    </row>
    <row r="120" customFormat="false" ht="15" hidden="false" customHeight="false" outlineLevel="0" collapsed="false">
      <c r="A120" s="0" t="s">
        <v>252</v>
      </c>
      <c r="B120" s="0" t="s">
        <v>244</v>
      </c>
      <c r="C120" s="7" t="s">
        <v>241</v>
      </c>
      <c r="D120" s="0" t="n">
        <v>20.6780894215396</v>
      </c>
      <c r="E120" s="0" t="n">
        <v>19.7506269894487</v>
      </c>
      <c r="F120" s="9" t="n">
        <v>-0.0448524238958361</v>
      </c>
    </row>
    <row r="121" customFormat="false" ht="17.15" hidden="false" customHeight="false" outlineLevel="0" collapsed="false">
      <c r="A121" s="0" t="s">
        <v>252</v>
      </c>
      <c r="B121" s="0" t="s">
        <v>245</v>
      </c>
      <c r="C121" s="7" t="s">
        <v>239</v>
      </c>
      <c r="D121" s="0" t="n">
        <v>10.4522416094636</v>
      </c>
      <c r="E121" s="0" t="n">
        <v>10.1025446864987</v>
      </c>
      <c r="F121" s="9" t="n">
        <v>-0.0334566436589334</v>
      </c>
    </row>
    <row r="122" customFormat="false" ht="17.15" hidden="false" customHeight="false" outlineLevel="0" collapsed="false">
      <c r="A122" s="0" t="s">
        <v>252</v>
      </c>
      <c r="B122" s="0" t="s">
        <v>245</v>
      </c>
      <c r="C122" s="7" t="s">
        <v>240</v>
      </c>
      <c r="D122" s="0" t="n">
        <v>16.0694566753819</v>
      </c>
      <c r="E122" s="0" t="n">
        <v>15.3544827030524</v>
      </c>
      <c r="F122" s="9" t="n">
        <v>-0.0444927284582576</v>
      </c>
    </row>
    <row r="123" customFormat="false" ht="17.15" hidden="false" customHeight="false" outlineLevel="0" collapsed="false">
      <c r="A123" s="0" t="s">
        <v>252</v>
      </c>
      <c r="B123" s="0" t="s">
        <v>245</v>
      </c>
      <c r="C123" s="7" t="s">
        <v>241</v>
      </c>
      <c r="D123" s="0" t="n">
        <v>29.454615058956</v>
      </c>
      <c r="E123" s="0" t="n">
        <v>28.0302450108258</v>
      </c>
      <c r="F123" s="9" t="n">
        <v>-0.0483581280990839</v>
      </c>
    </row>
    <row r="124" customFormat="false" ht="15" hidden="false" customHeight="false" outlineLevel="0" collapsed="false">
      <c r="A124" s="0" t="s">
        <v>253</v>
      </c>
      <c r="B124" s="0" t="s">
        <v>238</v>
      </c>
      <c r="C124" s="7" t="s">
        <v>239</v>
      </c>
      <c r="D124" s="0" t="n">
        <v>1.11286669150028</v>
      </c>
      <c r="E124" s="0" t="n">
        <v>1.07964486018265</v>
      </c>
      <c r="F124" s="9" t="n">
        <v>-0.0298524805993097</v>
      </c>
    </row>
    <row r="125" customFormat="false" ht="15" hidden="false" customHeight="false" outlineLevel="0" collapsed="false">
      <c r="A125" s="0" t="s">
        <v>253</v>
      </c>
      <c r="B125" s="0" t="s">
        <v>238</v>
      </c>
      <c r="C125" s="7" t="s">
        <v>240</v>
      </c>
      <c r="D125" s="0" t="n">
        <v>1.60502925637165</v>
      </c>
      <c r="E125" s="0" t="n">
        <v>1.54259654785589</v>
      </c>
      <c r="F125" s="9" t="n">
        <v>-0.0388981747640514</v>
      </c>
    </row>
    <row r="126" customFormat="false" ht="15" hidden="false" customHeight="false" outlineLevel="0" collapsed="false">
      <c r="A126" s="0" t="s">
        <v>253</v>
      </c>
      <c r="B126" s="0" t="s">
        <v>238</v>
      </c>
      <c r="C126" s="7" t="s">
        <v>241</v>
      </c>
      <c r="D126" s="0" t="n">
        <v>2.76720095633376</v>
      </c>
      <c r="E126" s="0" t="n">
        <v>2.64920565047995</v>
      </c>
      <c r="F126" s="9" t="n">
        <v>-0.0426406711025934</v>
      </c>
    </row>
    <row r="127" customFormat="false" ht="15" hidden="false" customHeight="false" outlineLevel="0" collapsed="false">
      <c r="A127" s="0" t="s">
        <v>253</v>
      </c>
      <c r="B127" s="0" t="s">
        <v>242</v>
      </c>
      <c r="C127" s="7" t="s">
        <v>239</v>
      </c>
      <c r="D127" s="0" t="n">
        <v>1.55003663914234</v>
      </c>
      <c r="E127" s="0" t="n">
        <v>1.50422814430785</v>
      </c>
      <c r="F127" s="9" t="n">
        <v>-0.0295531690527241</v>
      </c>
    </row>
    <row r="128" customFormat="false" ht="15" hidden="false" customHeight="false" outlineLevel="0" collapsed="false">
      <c r="A128" s="0" t="s">
        <v>253</v>
      </c>
      <c r="B128" s="0" t="s">
        <v>242</v>
      </c>
      <c r="C128" s="7" t="s">
        <v>240</v>
      </c>
      <c r="D128" s="0" t="n">
        <v>2.08645378736555</v>
      </c>
      <c r="E128" s="0" t="n">
        <v>2.00846099652078</v>
      </c>
      <c r="F128" s="9" t="n">
        <v>-0.0373805503467428</v>
      </c>
    </row>
    <row r="129" customFormat="false" ht="15" hidden="false" customHeight="false" outlineLevel="0" collapsed="false">
      <c r="A129" s="0" t="s">
        <v>253</v>
      </c>
      <c r="B129" s="0" t="s">
        <v>242</v>
      </c>
      <c r="C129" s="7" t="s">
        <v>241</v>
      </c>
      <c r="D129" s="0" t="n">
        <v>3.39439662035368</v>
      </c>
      <c r="E129" s="0" t="n">
        <v>3.25756227849869</v>
      </c>
      <c r="F129" s="9" t="n">
        <v>-0.0403118306901721</v>
      </c>
    </row>
    <row r="130" customFormat="false" ht="15" hidden="false" customHeight="false" outlineLevel="0" collapsed="false">
      <c r="A130" s="0" t="s">
        <v>253</v>
      </c>
      <c r="B130" s="0" t="s">
        <v>243</v>
      </c>
      <c r="C130" s="7" t="s">
        <v>239</v>
      </c>
      <c r="D130" s="0" t="n">
        <v>2.04104144426194</v>
      </c>
      <c r="E130" s="0" t="n">
        <v>1.97574392204647</v>
      </c>
      <c r="F130" s="9" t="n">
        <v>-0.0319922568936772</v>
      </c>
    </row>
    <row r="131" customFormat="false" ht="15" hidden="false" customHeight="false" outlineLevel="0" collapsed="false">
      <c r="A131" s="0" t="s">
        <v>253</v>
      </c>
      <c r="B131" s="0" t="s">
        <v>243</v>
      </c>
      <c r="C131" s="7" t="s">
        <v>240</v>
      </c>
      <c r="D131" s="0" t="n">
        <v>2.98269559427618</v>
      </c>
      <c r="E131" s="0" t="n">
        <v>2.55178761329595</v>
      </c>
      <c r="F131" s="9" t="n">
        <v>-0.144469312191008</v>
      </c>
    </row>
    <row r="132" customFormat="false" ht="15" hidden="false" customHeight="false" outlineLevel="0" collapsed="false">
      <c r="A132" s="0" t="s">
        <v>253</v>
      </c>
      <c r="B132" s="0" t="s">
        <v>243</v>
      </c>
      <c r="C132" s="7" t="s">
        <v>241</v>
      </c>
      <c r="D132" s="0" t="n">
        <v>5.59559440727497</v>
      </c>
      <c r="E132" s="0" t="n">
        <v>4.34454282544458</v>
      </c>
      <c r="F132" s="9" t="n">
        <v>-0.223577959868547</v>
      </c>
    </row>
    <row r="133" customFormat="false" ht="15" hidden="false" customHeight="false" outlineLevel="0" collapsed="false">
      <c r="A133" s="0" t="s">
        <v>253</v>
      </c>
      <c r="B133" s="0" t="s">
        <v>244</v>
      </c>
      <c r="C133" s="7" t="s">
        <v>239</v>
      </c>
      <c r="D133" s="0" t="n">
        <v>3.84895231682799</v>
      </c>
      <c r="E133" s="0" t="n">
        <v>3.72193954123947</v>
      </c>
      <c r="F133" s="9" t="n">
        <v>-0.0329993112757485</v>
      </c>
    </row>
    <row r="134" customFormat="false" ht="15" hidden="false" customHeight="false" outlineLevel="0" collapsed="false">
      <c r="A134" s="0" t="s">
        <v>253</v>
      </c>
      <c r="B134" s="0" t="s">
        <v>244</v>
      </c>
      <c r="C134" s="7" t="s">
        <v>240</v>
      </c>
      <c r="D134" s="0" t="n">
        <v>4.99359409623699</v>
      </c>
      <c r="E134" s="0" t="n">
        <v>4.78365180724219</v>
      </c>
      <c r="F134" s="9" t="n">
        <v>-0.0420423216122041</v>
      </c>
    </row>
    <row r="135" customFormat="false" ht="15" hidden="false" customHeight="false" outlineLevel="0" collapsed="false">
      <c r="A135" s="0" t="s">
        <v>253</v>
      </c>
      <c r="B135" s="0" t="s">
        <v>244</v>
      </c>
      <c r="C135" s="7" t="s">
        <v>241</v>
      </c>
      <c r="D135" s="0" t="n">
        <v>8.09104040200768</v>
      </c>
      <c r="E135" s="0" t="n">
        <v>7.72813762813851</v>
      </c>
      <c r="F135" s="9" t="n">
        <v>-0.0448524238958342</v>
      </c>
    </row>
    <row r="136" customFormat="false" ht="17.15" hidden="false" customHeight="false" outlineLevel="0" collapsed="false">
      <c r="A136" s="0" t="s">
        <v>253</v>
      </c>
      <c r="B136" s="0" t="s">
        <v>245</v>
      </c>
      <c r="C136" s="7" t="s">
        <v>239</v>
      </c>
      <c r="D136" s="0" t="n">
        <v>6.12640309057557</v>
      </c>
      <c r="E136" s="0" t="n">
        <v>5.92143420546319</v>
      </c>
      <c r="F136" s="9" t="n">
        <v>-0.0334566436589342</v>
      </c>
    </row>
    <row r="137" customFormat="false" ht="17.15" hidden="false" customHeight="false" outlineLevel="0" collapsed="false">
      <c r="A137" s="0" t="s">
        <v>253</v>
      </c>
      <c r="B137" s="0" t="s">
        <v>245</v>
      </c>
      <c r="C137" s="7" t="s">
        <v>240</v>
      </c>
      <c r="D137" s="0" t="n">
        <v>9.41883786448199</v>
      </c>
      <c r="E137" s="0" t="n">
        <v>8.99976806898525</v>
      </c>
      <c r="F137" s="9" t="n">
        <v>-0.0444927284582563</v>
      </c>
    </row>
    <row r="138" customFormat="false" ht="17.15" hidden="false" customHeight="false" outlineLevel="0" collapsed="false">
      <c r="A138" s="0" t="s">
        <v>253</v>
      </c>
      <c r="B138" s="0" t="s">
        <v>245</v>
      </c>
      <c r="C138" s="7" t="s">
        <v>241</v>
      </c>
      <c r="D138" s="0" t="n">
        <v>17.2643200828347</v>
      </c>
      <c r="E138" s="0" t="n">
        <v>16.4294498807254</v>
      </c>
      <c r="F138" s="9" t="n">
        <v>-0.0483581280990835</v>
      </c>
    </row>
    <row r="139" customFormat="false" ht="15" hidden="false" customHeight="false" outlineLevel="0" collapsed="false">
      <c r="A139" s="0" t="s">
        <v>254</v>
      </c>
      <c r="B139" s="0" t="s">
        <v>238</v>
      </c>
      <c r="C139" s="7" t="s">
        <v>239</v>
      </c>
      <c r="D139" s="0" t="n">
        <v>0.404712</v>
      </c>
      <c r="E139" s="0" t="n">
        <v>0.404712</v>
      </c>
      <c r="F139" s="9" t="n">
        <v>0</v>
      </c>
    </row>
    <row r="140" customFormat="false" ht="15" hidden="false" customHeight="false" outlineLevel="0" collapsed="false">
      <c r="A140" s="0" t="s">
        <v>254</v>
      </c>
      <c r="B140" s="0" t="s">
        <v>238</v>
      </c>
      <c r="C140" s="7" t="s">
        <v>240</v>
      </c>
      <c r="D140" s="0" t="n">
        <v>0.672768</v>
      </c>
      <c r="E140" s="0" t="n">
        <v>0.672768</v>
      </c>
      <c r="F140" s="9" t="n">
        <v>0</v>
      </c>
    </row>
    <row r="141" customFormat="false" ht="15" hidden="false" customHeight="false" outlineLevel="0" collapsed="false">
      <c r="A141" s="0" t="s">
        <v>254</v>
      </c>
      <c r="B141" s="0" t="s">
        <v>238</v>
      </c>
      <c r="C141" s="7" t="s">
        <v>241</v>
      </c>
      <c r="D141" s="0" t="n">
        <v>1.02492</v>
      </c>
      <c r="E141" s="0" t="n">
        <v>1.02492</v>
      </c>
      <c r="F141" s="9" t="n">
        <v>0</v>
      </c>
    </row>
    <row r="142" customFormat="false" ht="15" hidden="false" customHeight="false" outlineLevel="0" collapsed="false">
      <c r="A142" s="0" t="s">
        <v>254</v>
      </c>
      <c r="B142" s="0" t="s">
        <v>242</v>
      </c>
      <c r="C142" s="7" t="s">
        <v>239</v>
      </c>
      <c r="D142" s="0" t="n">
        <v>0.404712</v>
      </c>
      <c r="E142" s="0" t="n">
        <v>0.404712</v>
      </c>
      <c r="F142" s="9" t="n">
        <v>0</v>
      </c>
    </row>
    <row r="143" customFormat="false" ht="15" hidden="false" customHeight="false" outlineLevel="0" collapsed="false">
      <c r="A143" s="0" t="s">
        <v>254</v>
      </c>
      <c r="B143" s="0" t="s">
        <v>242</v>
      </c>
      <c r="C143" s="7" t="s">
        <v>240</v>
      </c>
      <c r="D143" s="0" t="n">
        <v>0.672768</v>
      </c>
      <c r="E143" s="0" t="n">
        <v>0.672768</v>
      </c>
      <c r="F143" s="9" t="n">
        <v>0</v>
      </c>
    </row>
    <row r="144" customFormat="false" ht="15" hidden="false" customHeight="false" outlineLevel="0" collapsed="false">
      <c r="A144" s="0" t="s">
        <v>254</v>
      </c>
      <c r="B144" s="0" t="s">
        <v>242</v>
      </c>
      <c r="C144" s="7" t="s">
        <v>241</v>
      </c>
      <c r="D144" s="0" t="n">
        <v>1.02492</v>
      </c>
      <c r="E144" s="0" t="n">
        <v>1.02492</v>
      </c>
      <c r="F144" s="9" t="n">
        <v>0</v>
      </c>
    </row>
    <row r="145" customFormat="false" ht="15" hidden="false" customHeight="false" outlineLevel="0" collapsed="false">
      <c r="A145" s="0" t="s">
        <v>254</v>
      </c>
      <c r="B145" s="0" t="s">
        <v>243</v>
      </c>
      <c r="C145" s="7" t="s">
        <v>239</v>
      </c>
      <c r="D145" s="0" t="n">
        <v>0.404712</v>
      </c>
      <c r="E145" s="0" t="n">
        <v>0.404712</v>
      </c>
      <c r="F145" s="9" t="n">
        <v>0</v>
      </c>
    </row>
    <row r="146" customFormat="false" ht="15" hidden="false" customHeight="false" outlineLevel="0" collapsed="false">
      <c r="A146" s="0" t="s">
        <v>254</v>
      </c>
      <c r="B146" s="0" t="s">
        <v>243</v>
      </c>
      <c r="C146" s="7" t="s">
        <v>240</v>
      </c>
      <c r="D146" s="0" t="n">
        <v>0.672768</v>
      </c>
      <c r="E146" s="0" t="n">
        <v>0.672768</v>
      </c>
      <c r="F146" s="9" t="n">
        <v>0</v>
      </c>
    </row>
    <row r="147" customFormat="false" ht="15" hidden="false" customHeight="false" outlineLevel="0" collapsed="false">
      <c r="A147" s="0" t="s">
        <v>254</v>
      </c>
      <c r="B147" s="0" t="s">
        <v>243</v>
      </c>
      <c r="C147" s="7" t="s">
        <v>241</v>
      </c>
      <c r="D147" s="0" t="n">
        <v>1.02492</v>
      </c>
      <c r="E147" s="0" t="n">
        <v>1.02492</v>
      </c>
      <c r="F147" s="9" t="n">
        <v>0</v>
      </c>
    </row>
    <row r="148" customFormat="false" ht="15" hidden="false" customHeight="false" outlineLevel="0" collapsed="false">
      <c r="A148" s="0" t="s">
        <v>254</v>
      </c>
      <c r="B148" s="0" t="s">
        <v>244</v>
      </c>
      <c r="C148" s="7" t="s">
        <v>239</v>
      </c>
      <c r="D148" s="0" t="n">
        <v>0.404712</v>
      </c>
      <c r="E148" s="0" t="n">
        <v>0.404712</v>
      </c>
      <c r="F148" s="9" t="n">
        <v>0</v>
      </c>
    </row>
    <row r="149" customFormat="false" ht="15" hidden="false" customHeight="false" outlineLevel="0" collapsed="false">
      <c r="A149" s="0" t="s">
        <v>254</v>
      </c>
      <c r="B149" s="0" t="s">
        <v>244</v>
      </c>
      <c r="C149" s="7" t="s">
        <v>240</v>
      </c>
      <c r="D149" s="0" t="n">
        <v>0.672768</v>
      </c>
      <c r="E149" s="0" t="n">
        <v>0.672768</v>
      </c>
      <c r="F149" s="9" t="n">
        <v>0</v>
      </c>
    </row>
    <row r="150" customFormat="false" ht="15" hidden="false" customHeight="false" outlineLevel="0" collapsed="false">
      <c r="A150" s="0" t="s">
        <v>254</v>
      </c>
      <c r="B150" s="0" t="s">
        <v>244</v>
      </c>
      <c r="C150" s="7" t="s">
        <v>241</v>
      </c>
      <c r="D150" s="0" t="n">
        <v>1.02492</v>
      </c>
      <c r="E150" s="0" t="n">
        <v>1.02492</v>
      </c>
      <c r="F150" s="9" t="n">
        <v>0</v>
      </c>
    </row>
    <row r="151" customFormat="false" ht="17.15" hidden="false" customHeight="false" outlineLevel="0" collapsed="false">
      <c r="A151" s="0" t="s">
        <v>254</v>
      </c>
      <c r="B151" s="0" t="s">
        <v>245</v>
      </c>
      <c r="C151" s="7" t="s">
        <v>239</v>
      </c>
      <c r="D151" s="0" t="n">
        <v>0.404712</v>
      </c>
      <c r="E151" s="0" t="n">
        <v>0.404712</v>
      </c>
      <c r="F151" s="9" t="n">
        <v>0</v>
      </c>
    </row>
    <row r="152" customFormat="false" ht="17.15" hidden="false" customHeight="false" outlineLevel="0" collapsed="false">
      <c r="A152" s="0" t="s">
        <v>254</v>
      </c>
      <c r="B152" s="0" t="s">
        <v>245</v>
      </c>
      <c r="C152" s="7" t="s">
        <v>240</v>
      </c>
      <c r="D152" s="0" t="n">
        <v>0.672768</v>
      </c>
      <c r="E152" s="0" t="n">
        <v>0.672768</v>
      </c>
      <c r="F152" s="9" t="n">
        <v>0</v>
      </c>
    </row>
    <row r="153" customFormat="false" ht="17.15" hidden="false" customHeight="false" outlineLevel="0" collapsed="false">
      <c r="A153" s="0" t="s">
        <v>254</v>
      </c>
      <c r="B153" s="0" t="s">
        <v>245</v>
      </c>
      <c r="C153" s="7" t="s">
        <v>241</v>
      </c>
      <c r="D153" s="0" t="n">
        <v>1.02492</v>
      </c>
      <c r="E153" s="0" t="n">
        <v>1.02492</v>
      </c>
      <c r="F153" s="9" t="n">
        <v>0</v>
      </c>
    </row>
    <row r="154" customFormat="false" ht="15" hidden="false" customHeight="false" outlineLevel="0" collapsed="false">
      <c r="A154" s="0" t="s">
        <v>255</v>
      </c>
      <c r="B154" s="0" t="s">
        <v>103</v>
      </c>
      <c r="C154" s="7" t="s">
        <v>240</v>
      </c>
      <c r="D154" s="0" t="n">
        <v>0.6</v>
      </c>
      <c r="E154" s="0" t="n">
        <v>0.6</v>
      </c>
      <c r="F154" s="9" t="n">
        <v>0</v>
      </c>
    </row>
    <row r="155" customFormat="false" ht="15" hidden="false" customHeight="false" outlineLevel="0" collapsed="false">
      <c r="A155" s="0" t="s">
        <v>256</v>
      </c>
      <c r="B155" s="0" t="s">
        <v>103</v>
      </c>
      <c r="C155" s="7" t="s">
        <v>240</v>
      </c>
      <c r="D155" s="0" t="n">
        <v>12.67</v>
      </c>
      <c r="E155" s="0" t="n">
        <v>12.67</v>
      </c>
      <c r="F155" s="9" t="n">
        <v>0</v>
      </c>
    </row>
    <row r="156" customFormat="false" ht="15" hidden="false" customHeight="false" outlineLevel="0" collapsed="false">
      <c r="A156" s="0" t="s">
        <v>257</v>
      </c>
      <c r="B156" s="0" t="s">
        <v>103</v>
      </c>
      <c r="C156" s="7" t="s">
        <v>240</v>
      </c>
      <c r="D156" s="0" t="n">
        <v>2.08645378736555</v>
      </c>
      <c r="E156" s="0" t="n">
        <v>2.00846099652078</v>
      </c>
      <c r="F156" s="9" t="n">
        <v>-0.0373805503467428</v>
      </c>
    </row>
    <row r="157" customFormat="false" ht="15" hidden="false" customHeight="false" outlineLevel="0" collapsed="false">
      <c r="A157" s="0" t="s">
        <v>258</v>
      </c>
      <c r="B157" s="0" t="s">
        <v>103</v>
      </c>
      <c r="C157" s="7" t="s">
        <v>240</v>
      </c>
      <c r="D157" s="0" t="n">
        <v>2.98269559427618</v>
      </c>
      <c r="E157" s="0" t="n">
        <v>2.55178761329595</v>
      </c>
      <c r="F157" s="9" t="n">
        <v>-0.144469312191008</v>
      </c>
    </row>
    <row r="158" customFormat="false" ht="15" hidden="false" customHeight="false" outlineLevel="0" collapsed="false">
      <c r="A158" s="0" t="s">
        <v>259</v>
      </c>
      <c r="B158" s="0" t="s">
        <v>103</v>
      </c>
      <c r="C158" s="7" t="s">
        <v>240</v>
      </c>
      <c r="D158" s="0" t="n">
        <v>48.7237019639935</v>
      </c>
      <c r="E158" s="0" t="n">
        <v>48.7237019639935</v>
      </c>
      <c r="F158" s="9" t="n">
        <v>0</v>
      </c>
    </row>
    <row r="159" customFormat="false" ht="15" hidden="false" customHeight="false" outlineLevel="0" collapsed="false">
      <c r="A159" s="0" t="s">
        <v>260</v>
      </c>
      <c r="B159" s="0" t="s">
        <v>238</v>
      </c>
      <c r="C159" s="7" t="s">
        <v>239</v>
      </c>
      <c r="D159" s="0" t="n">
        <v>6</v>
      </c>
      <c r="E159" s="0" t="n">
        <v>6</v>
      </c>
      <c r="F159" s="9" t="n">
        <v>0</v>
      </c>
    </row>
    <row r="160" customFormat="false" ht="15" hidden="false" customHeight="false" outlineLevel="0" collapsed="false">
      <c r="A160" s="0" t="s">
        <v>260</v>
      </c>
      <c r="B160" s="0" t="s">
        <v>238</v>
      </c>
      <c r="C160" s="7" t="s">
        <v>240</v>
      </c>
      <c r="D160" s="0" t="n">
        <v>6</v>
      </c>
      <c r="E160" s="0" t="n">
        <v>6</v>
      </c>
      <c r="F160" s="9" t="n">
        <v>0</v>
      </c>
    </row>
    <row r="161" customFormat="false" ht="15" hidden="false" customHeight="false" outlineLevel="0" collapsed="false">
      <c r="A161" s="0" t="s">
        <v>260</v>
      </c>
      <c r="B161" s="0" t="s">
        <v>238</v>
      </c>
      <c r="C161" s="7" t="s">
        <v>241</v>
      </c>
      <c r="D161" s="0" t="n">
        <v>4</v>
      </c>
      <c r="E161" s="0" t="n">
        <v>4</v>
      </c>
      <c r="F161" s="9" t="n">
        <v>0</v>
      </c>
    </row>
    <row r="162" customFormat="false" ht="15" hidden="false" customHeight="false" outlineLevel="0" collapsed="false">
      <c r="A162" s="0" t="s">
        <v>260</v>
      </c>
      <c r="B162" s="0" t="s">
        <v>242</v>
      </c>
      <c r="C162" s="7" t="s">
        <v>239</v>
      </c>
      <c r="D162" s="0" t="n">
        <v>6</v>
      </c>
      <c r="E162" s="0" t="n">
        <v>6</v>
      </c>
      <c r="F162" s="9" t="n">
        <v>0</v>
      </c>
    </row>
    <row r="163" customFormat="false" ht="15" hidden="false" customHeight="false" outlineLevel="0" collapsed="false">
      <c r="A163" s="0" t="s">
        <v>260</v>
      </c>
      <c r="B163" s="0" t="s">
        <v>242</v>
      </c>
      <c r="C163" s="7" t="s">
        <v>240</v>
      </c>
      <c r="D163" s="0" t="n">
        <v>6</v>
      </c>
      <c r="E163" s="0" t="n">
        <v>6</v>
      </c>
      <c r="F163" s="9" t="n">
        <v>0</v>
      </c>
    </row>
    <row r="164" customFormat="false" ht="15" hidden="false" customHeight="false" outlineLevel="0" collapsed="false">
      <c r="A164" s="0" t="s">
        <v>260</v>
      </c>
      <c r="B164" s="0" t="s">
        <v>242</v>
      </c>
      <c r="C164" s="7" t="s">
        <v>241</v>
      </c>
      <c r="D164" s="0" t="n">
        <v>4</v>
      </c>
      <c r="E164" s="0" t="n">
        <v>4</v>
      </c>
      <c r="F164" s="9" t="n">
        <v>0</v>
      </c>
    </row>
    <row r="165" customFormat="false" ht="15" hidden="false" customHeight="false" outlineLevel="0" collapsed="false">
      <c r="A165" s="0" t="s">
        <v>260</v>
      </c>
      <c r="B165" s="0" t="s">
        <v>243</v>
      </c>
      <c r="C165" s="7" t="s">
        <v>239</v>
      </c>
      <c r="D165" s="0" t="n">
        <v>6</v>
      </c>
      <c r="E165" s="0" t="n">
        <v>6</v>
      </c>
      <c r="F165" s="9" t="n">
        <v>0</v>
      </c>
    </row>
    <row r="166" customFormat="false" ht="15" hidden="false" customHeight="false" outlineLevel="0" collapsed="false">
      <c r="A166" s="0" t="s">
        <v>260</v>
      </c>
      <c r="B166" s="0" t="s">
        <v>243</v>
      </c>
      <c r="C166" s="7" t="s">
        <v>240</v>
      </c>
      <c r="D166" s="0" t="n">
        <v>6</v>
      </c>
      <c r="E166" s="0" t="n">
        <v>6</v>
      </c>
      <c r="F166" s="9" t="n">
        <v>0</v>
      </c>
    </row>
    <row r="167" customFormat="false" ht="15" hidden="false" customHeight="false" outlineLevel="0" collapsed="false">
      <c r="A167" s="0" t="s">
        <v>260</v>
      </c>
      <c r="B167" s="0" t="s">
        <v>243</v>
      </c>
      <c r="C167" s="7" t="s">
        <v>241</v>
      </c>
      <c r="D167" s="0" t="n">
        <v>4</v>
      </c>
      <c r="E167" s="0" t="n">
        <v>4</v>
      </c>
      <c r="F167" s="9" t="n">
        <v>0</v>
      </c>
    </row>
    <row r="168" customFormat="false" ht="15" hidden="false" customHeight="false" outlineLevel="0" collapsed="false">
      <c r="A168" s="0" t="s">
        <v>260</v>
      </c>
      <c r="B168" s="0" t="s">
        <v>244</v>
      </c>
      <c r="C168" s="7" t="s">
        <v>239</v>
      </c>
      <c r="D168" s="0" t="n">
        <v>6</v>
      </c>
      <c r="E168" s="0" t="n">
        <v>6</v>
      </c>
      <c r="F168" s="9" t="n">
        <v>0</v>
      </c>
    </row>
    <row r="169" customFormat="false" ht="15" hidden="false" customHeight="false" outlineLevel="0" collapsed="false">
      <c r="A169" s="0" t="s">
        <v>260</v>
      </c>
      <c r="B169" s="0" t="s">
        <v>244</v>
      </c>
      <c r="C169" s="7" t="s">
        <v>240</v>
      </c>
      <c r="D169" s="0" t="n">
        <v>6</v>
      </c>
      <c r="E169" s="0" t="n">
        <v>6</v>
      </c>
      <c r="F169" s="9" t="n">
        <v>0</v>
      </c>
    </row>
    <row r="170" customFormat="false" ht="15" hidden="false" customHeight="false" outlineLevel="0" collapsed="false">
      <c r="A170" s="0" t="s">
        <v>260</v>
      </c>
      <c r="B170" s="0" t="s">
        <v>244</v>
      </c>
      <c r="C170" s="7" t="s">
        <v>241</v>
      </c>
      <c r="D170" s="0" t="n">
        <v>4</v>
      </c>
      <c r="E170" s="0" t="n">
        <v>4</v>
      </c>
      <c r="F170" s="9" t="n">
        <v>0</v>
      </c>
    </row>
    <row r="171" customFormat="false" ht="17.15" hidden="false" customHeight="false" outlineLevel="0" collapsed="false">
      <c r="A171" s="0" t="s">
        <v>260</v>
      </c>
      <c r="B171" s="0" t="s">
        <v>245</v>
      </c>
      <c r="C171" s="7" t="s">
        <v>239</v>
      </c>
      <c r="D171" s="0" t="n">
        <v>6</v>
      </c>
      <c r="E171" s="0" t="n">
        <v>6</v>
      </c>
      <c r="F171" s="9" t="n">
        <v>0</v>
      </c>
    </row>
    <row r="172" customFormat="false" ht="17.15" hidden="false" customHeight="false" outlineLevel="0" collapsed="false">
      <c r="A172" s="0" t="s">
        <v>260</v>
      </c>
      <c r="B172" s="0" t="s">
        <v>245</v>
      </c>
      <c r="C172" s="7" t="s">
        <v>240</v>
      </c>
      <c r="D172" s="0" t="n">
        <v>6</v>
      </c>
      <c r="E172" s="0" t="n">
        <v>6</v>
      </c>
      <c r="F172" s="9" t="n">
        <v>0</v>
      </c>
    </row>
    <row r="173" customFormat="false" ht="17.15" hidden="false" customHeight="false" outlineLevel="0" collapsed="false">
      <c r="A173" s="0" t="s">
        <v>260</v>
      </c>
      <c r="B173" s="0" t="s">
        <v>245</v>
      </c>
      <c r="C173" s="7" t="s">
        <v>241</v>
      </c>
      <c r="D173" s="0" t="n">
        <v>4</v>
      </c>
      <c r="E173" s="0" t="n">
        <v>4</v>
      </c>
      <c r="F173" s="9" t="n">
        <v>0</v>
      </c>
    </row>
    <row r="174" customFormat="false" ht="15" hidden="false" customHeight="false" outlineLevel="0" collapsed="false">
      <c r="A174" s="0" t="s">
        <v>261</v>
      </c>
      <c r="B174" s="0" t="s">
        <v>238</v>
      </c>
      <c r="C174" s="7" t="s">
        <v>239</v>
      </c>
      <c r="D174" s="0" t="n">
        <v>3.5700449</v>
      </c>
      <c r="E174" s="0" t="n">
        <v>3.5700449</v>
      </c>
      <c r="F174" s="9" t="n">
        <v>0</v>
      </c>
    </row>
    <row r="175" customFormat="false" ht="15" hidden="false" customHeight="false" outlineLevel="0" collapsed="false">
      <c r="A175" s="0" t="s">
        <v>261</v>
      </c>
      <c r="B175" s="0" t="s">
        <v>238</v>
      </c>
      <c r="C175" s="7" t="s">
        <v>240</v>
      </c>
      <c r="D175" s="0" t="n">
        <v>4.58503566666667</v>
      </c>
      <c r="E175" s="0" t="n">
        <v>4.58503566666667</v>
      </c>
      <c r="F175" s="9" t="n">
        <v>0</v>
      </c>
    </row>
    <row r="176" customFormat="false" ht="15" hidden="false" customHeight="false" outlineLevel="0" collapsed="false">
      <c r="A176" s="0" t="s">
        <v>261</v>
      </c>
      <c r="B176" s="0" t="s">
        <v>238</v>
      </c>
      <c r="C176" s="7" t="s">
        <v>241</v>
      </c>
      <c r="D176" s="0" t="n">
        <v>8.53018585</v>
      </c>
      <c r="E176" s="0" t="n">
        <v>8.53018585</v>
      </c>
      <c r="F176" s="9" t="n">
        <v>0</v>
      </c>
    </row>
    <row r="177" customFormat="false" ht="15" hidden="false" customHeight="false" outlineLevel="0" collapsed="false">
      <c r="A177" s="0" t="s">
        <v>261</v>
      </c>
      <c r="B177" s="0" t="s">
        <v>242</v>
      </c>
      <c r="C177" s="7" t="s">
        <v>239</v>
      </c>
      <c r="D177" s="0" t="n">
        <v>3.4398984</v>
      </c>
      <c r="E177" s="0" t="n">
        <v>3.4398984</v>
      </c>
      <c r="F177" s="9" t="n">
        <v>0</v>
      </c>
    </row>
    <row r="178" customFormat="false" ht="15" hidden="false" customHeight="false" outlineLevel="0" collapsed="false">
      <c r="A178" s="0" t="s">
        <v>261</v>
      </c>
      <c r="B178" s="0" t="s">
        <v>242</v>
      </c>
      <c r="C178" s="7" t="s">
        <v>240</v>
      </c>
      <c r="D178" s="0" t="n">
        <v>4.002529</v>
      </c>
      <c r="E178" s="0" t="n">
        <v>4.002529</v>
      </c>
      <c r="F178" s="9" t="n">
        <v>0</v>
      </c>
    </row>
    <row r="179" customFormat="false" ht="15" hidden="false" customHeight="false" outlineLevel="0" collapsed="false">
      <c r="A179" s="0" t="s">
        <v>261</v>
      </c>
      <c r="B179" s="0" t="s">
        <v>242</v>
      </c>
      <c r="C179" s="7" t="s">
        <v>241</v>
      </c>
      <c r="D179" s="0" t="n">
        <v>6.9125511</v>
      </c>
      <c r="E179" s="0" t="n">
        <v>6.9125511</v>
      </c>
      <c r="F179" s="9" t="n">
        <v>0</v>
      </c>
    </row>
    <row r="180" customFormat="false" ht="15" hidden="false" customHeight="false" outlineLevel="0" collapsed="false">
      <c r="A180" s="0" t="s">
        <v>261</v>
      </c>
      <c r="B180" s="0" t="s">
        <v>243</v>
      </c>
      <c r="C180" s="7" t="s">
        <v>239</v>
      </c>
      <c r="D180" s="0" t="n">
        <v>4.7591504</v>
      </c>
      <c r="E180" s="0" t="n">
        <v>4.7591504</v>
      </c>
      <c r="F180" s="9" t="n">
        <v>0</v>
      </c>
    </row>
    <row r="181" customFormat="false" ht="15" hidden="false" customHeight="false" outlineLevel="0" collapsed="false">
      <c r="A181" s="0" t="s">
        <v>261</v>
      </c>
      <c r="B181" s="0" t="s">
        <v>243</v>
      </c>
      <c r="C181" s="7" t="s">
        <v>240</v>
      </c>
      <c r="D181" s="0" t="n">
        <v>6.24091733333333</v>
      </c>
      <c r="E181" s="0" t="n">
        <v>5.37287066666667</v>
      </c>
      <c r="F181" s="9" t="n">
        <v>-0.139089595375722</v>
      </c>
    </row>
    <row r="182" customFormat="false" ht="15" hidden="false" customHeight="false" outlineLevel="0" collapsed="false">
      <c r="A182" s="0" t="s">
        <v>261</v>
      </c>
      <c r="B182" s="0" t="s">
        <v>243</v>
      </c>
      <c r="C182" s="7" t="s">
        <v>241</v>
      </c>
      <c r="D182" s="0" t="n">
        <v>12.7376266</v>
      </c>
      <c r="E182" s="0" t="n">
        <v>9.8206516</v>
      </c>
      <c r="F182" s="9" t="n">
        <v>-0.229004593367496</v>
      </c>
    </row>
    <row r="183" customFormat="false" ht="15" hidden="false" customHeight="false" outlineLevel="0" collapsed="false">
      <c r="A183" s="0" t="s">
        <v>261</v>
      </c>
      <c r="B183" s="0" t="s">
        <v>244</v>
      </c>
      <c r="C183" s="7" t="s">
        <v>239</v>
      </c>
      <c r="D183" s="0" t="n">
        <v>5.5455672</v>
      </c>
      <c r="E183" s="0" t="n">
        <v>5.5455672</v>
      </c>
      <c r="F183" s="9" t="n">
        <v>0</v>
      </c>
    </row>
    <row r="184" customFormat="false" ht="15" hidden="false" customHeight="false" outlineLevel="0" collapsed="false">
      <c r="A184" s="0" t="s">
        <v>261</v>
      </c>
      <c r="B184" s="0" t="s">
        <v>244</v>
      </c>
      <c r="C184" s="7" t="s">
        <v>240</v>
      </c>
      <c r="D184" s="0" t="n">
        <v>6.264392</v>
      </c>
      <c r="E184" s="0" t="n">
        <v>6.264392</v>
      </c>
      <c r="F184" s="9" t="n">
        <v>0</v>
      </c>
    </row>
    <row r="185" customFormat="false" ht="15" hidden="false" customHeight="false" outlineLevel="0" collapsed="false">
      <c r="A185" s="0" t="s">
        <v>261</v>
      </c>
      <c r="B185" s="0" t="s">
        <v>244</v>
      </c>
      <c r="C185" s="7" t="s">
        <v>241</v>
      </c>
      <c r="D185" s="0" t="n">
        <v>10.6593938</v>
      </c>
      <c r="E185" s="0" t="n">
        <v>10.6593938</v>
      </c>
      <c r="F185" s="9" t="n">
        <v>0</v>
      </c>
    </row>
    <row r="186" customFormat="false" ht="17.15" hidden="false" customHeight="false" outlineLevel="0" collapsed="false">
      <c r="A186" s="0" t="s">
        <v>261</v>
      </c>
      <c r="B186" s="0" t="s">
        <v>245</v>
      </c>
      <c r="C186" s="7" t="s">
        <v>239</v>
      </c>
      <c r="D186" s="0" t="n">
        <v>5.974263</v>
      </c>
      <c r="E186" s="0" t="n">
        <v>5.974263</v>
      </c>
      <c r="F186" s="9" t="n">
        <v>0</v>
      </c>
    </row>
    <row r="187" customFormat="false" ht="17.15" hidden="false" customHeight="false" outlineLevel="0" collapsed="false">
      <c r="A187" s="0" t="s">
        <v>261</v>
      </c>
      <c r="B187" s="0" t="s">
        <v>245</v>
      </c>
      <c r="C187" s="7" t="s">
        <v>240</v>
      </c>
      <c r="D187" s="0" t="n">
        <v>8.34763</v>
      </c>
      <c r="E187" s="0" t="n">
        <v>8.34763</v>
      </c>
      <c r="F187" s="9" t="n">
        <v>0</v>
      </c>
    </row>
    <row r="188" customFormat="false" ht="17.15" hidden="false" customHeight="false" outlineLevel="0" collapsed="false">
      <c r="A188" s="0" t="s">
        <v>261</v>
      </c>
      <c r="B188" s="0" t="s">
        <v>245</v>
      </c>
      <c r="C188" s="7" t="s">
        <v>241</v>
      </c>
      <c r="D188" s="0" t="n">
        <v>16.3703895</v>
      </c>
      <c r="E188" s="0" t="n">
        <v>16.3703895</v>
      </c>
      <c r="F188" s="9" t="n">
        <v>0</v>
      </c>
    </row>
    <row r="189" customFormat="false" ht="15" hidden="false" customHeight="false" outlineLevel="0" collapsed="false">
      <c r="A189" s="0" t="s">
        <v>262</v>
      </c>
      <c r="B189" s="0" t="s">
        <v>238</v>
      </c>
      <c r="C189" s="7" t="s">
        <v>239</v>
      </c>
      <c r="D189" s="0" t="n">
        <v>0.507733333333333</v>
      </c>
      <c r="E189" s="0" t="n">
        <v>0.507733333333333</v>
      </c>
      <c r="F189" s="9" t="n">
        <v>0</v>
      </c>
    </row>
    <row r="190" customFormat="false" ht="15" hidden="false" customHeight="false" outlineLevel="0" collapsed="false">
      <c r="A190" s="0" t="s">
        <v>262</v>
      </c>
      <c r="B190" s="0" t="s">
        <v>238</v>
      </c>
      <c r="C190" s="7" t="s">
        <v>240</v>
      </c>
      <c r="D190" s="0" t="n">
        <v>0.634416666666667</v>
      </c>
      <c r="E190" s="0" t="n">
        <v>0.634416666666667</v>
      </c>
      <c r="F190" s="9" t="n">
        <v>0</v>
      </c>
    </row>
    <row r="191" customFormat="false" ht="15" hidden="false" customHeight="false" outlineLevel="0" collapsed="false">
      <c r="A191" s="0" t="s">
        <v>262</v>
      </c>
      <c r="B191" s="0" t="s">
        <v>238</v>
      </c>
      <c r="C191" s="7" t="s">
        <v>241</v>
      </c>
      <c r="D191" s="0" t="n">
        <v>0.812233333333334</v>
      </c>
      <c r="E191" s="0" t="n">
        <v>0.812233333333334</v>
      </c>
      <c r="F191" s="9" t="n">
        <v>0</v>
      </c>
    </row>
    <row r="192" customFormat="false" ht="15" hidden="false" customHeight="false" outlineLevel="0" collapsed="false">
      <c r="A192" s="0" t="s">
        <v>262</v>
      </c>
      <c r="B192" s="0" t="s">
        <v>242</v>
      </c>
      <c r="C192" s="7" t="s">
        <v>239</v>
      </c>
      <c r="D192" s="0" t="n">
        <v>0.507733333333333</v>
      </c>
      <c r="E192" s="0" t="n">
        <v>0.507733333333333</v>
      </c>
      <c r="F192" s="9" t="n">
        <v>0</v>
      </c>
    </row>
    <row r="193" customFormat="false" ht="15" hidden="false" customHeight="false" outlineLevel="0" collapsed="false">
      <c r="A193" s="0" t="s">
        <v>262</v>
      </c>
      <c r="B193" s="0" t="s">
        <v>242</v>
      </c>
      <c r="C193" s="7" t="s">
        <v>240</v>
      </c>
      <c r="D193" s="0" t="n">
        <v>0.634416666666667</v>
      </c>
      <c r="E193" s="0" t="n">
        <v>0.634416666666667</v>
      </c>
      <c r="F193" s="9" t="n">
        <v>0</v>
      </c>
    </row>
    <row r="194" customFormat="false" ht="15" hidden="false" customHeight="false" outlineLevel="0" collapsed="false">
      <c r="A194" s="0" t="s">
        <v>262</v>
      </c>
      <c r="B194" s="0" t="s">
        <v>242</v>
      </c>
      <c r="C194" s="7" t="s">
        <v>241</v>
      </c>
      <c r="D194" s="0" t="n">
        <v>0.812233333333334</v>
      </c>
      <c r="E194" s="0" t="n">
        <v>0.812233333333334</v>
      </c>
      <c r="F194" s="9" t="n">
        <v>0</v>
      </c>
    </row>
    <row r="195" customFormat="false" ht="15" hidden="false" customHeight="false" outlineLevel="0" collapsed="false">
      <c r="A195" s="0" t="s">
        <v>262</v>
      </c>
      <c r="B195" s="0" t="s">
        <v>243</v>
      </c>
      <c r="C195" s="7" t="s">
        <v>239</v>
      </c>
      <c r="D195" s="0" t="n">
        <v>0.507733333333333</v>
      </c>
      <c r="E195" s="0" t="n">
        <v>0.507733333333333</v>
      </c>
      <c r="F195" s="9" t="n">
        <v>0</v>
      </c>
    </row>
    <row r="196" customFormat="false" ht="15" hidden="false" customHeight="false" outlineLevel="0" collapsed="false">
      <c r="A196" s="0" t="s">
        <v>262</v>
      </c>
      <c r="B196" s="0" t="s">
        <v>243</v>
      </c>
      <c r="C196" s="7" t="s">
        <v>240</v>
      </c>
      <c r="D196" s="0" t="n">
        <v>0.634416666666667</v>
      </c>
      <c r="E196" s="0" t="n">
        <v>0.634416666666667</v>
      </c>
      <c r="F196" s="9" t="n">
        <v>0</v>
      </c>
    </row>
    <row r="197" customFormat="false" ht="15" hidden="false" customHeight="false" outlineLevel="0" collapsed="false">
      <c r="A197" s="0" t="s">
        <v>262</v>
      </c>
      <c r="B197" s="0" t="s">
        <v>243</v>
      </c>
      <c r="C197" s="7" t="s">
        <v>241</v>
      </c>
      <c r="D197" s="0" t="n">
        <v>0.812233333333334</v>
      </c>
      <c r="E197" s="0" t="n">
        <v>0.812233333333334</v>
      </c>
      <c r="F197" s="9" t="n">
        <v>0</v>
      </c>
    </row>
    <row r="198" customFormat="false" ht="15" hidden="false" customHeight="false" outlineLevel="0" collapsed="false">
      <c r="A198" s="0" t="s">
        <v>262</v>
      </c>
      <c r="B198" s="0" t="s">
        <v>244</v>
      </c>
      <c r="C198" s="7" t="s">
        <v>239</v>
      </c>
      <c r="D198" s="0" t="n">
        <v>0.507733333333333</v>
      </c>
      <c r="E198" s="0" t="n">
        <v>0.507733333333333</v>
      </c>
      <c r="F198" s="9" t="n">
        <v>0</v>
      </c>
    </row>
    <row r="199" customFormat="false" ht="15" hidden="false" customHeight="false" outlineLevel="0" collapsed="false">
      <c r="A199" s="0" t="s">
        <v>262</v>
      </c>
      <c r="B199" s="0" t="s">
        <v>244</v>
      </c>
      <c r="C199" s="7" t="s">
        <v>240</v>
      </c>
      <c r="D199" s="0" t="n">
        <v>0.634416666666667</v>
      </c>
      <c r="E199" s="0" t="n">
        <v>0.634416666666667</v>
      </c>
      <c r="F199" s="9" t="n">
        <v>0</v>
      </c>
    </row>
    <row r="200" customFormat="false" ht="15" hidden="false" customHeight="false" outlineLevel="0" collapsed="false">
      <c r="A200" s="0" t="s">
        <v>262</v>
      </c>
      <c r="B200" s="0" t="s">
        <v>244</v>
      </c>
      <c r="C200" s="7" t="s">
        <v>241</v>
      </c>
      <c r="D200" s="0" t="n">
        <v>0.812233333333334</v>
      </c>
      <c r="E200" s="0" t="n">
        <v>0.812233333333334</v>
      </c>
      <c r="F200" s="9" t="n">
        <v>0</v>
      </c>
    </row>
    <row r="201" customFormat="false" ht="17.15" hidden="false" customHeight="false" outlineLevel="0" collapsed="false">
      <c r="A201" s="0" t="s">
        <v>262</v>
      </c>
      <c r="B201" s="0" t="s">
        <v>245</v>
      </c>
      <c r="C201" s="7" t="s">
        <v>239</v>
      </c>
      <c r="D201" s="0" t="n">
        <v>0.507733333333333</v>
      </c>
      <c r="E201" s="0" t="n">
        <v>0.507733333333333</v>
      </c>
      <c r="F201" s="9" t="n">
        <v>0</v>
      </c>
    </row>
    <row r="202" customFormat="false" ht="17.15" hidden="false" customHeight="false" outlineLevel="0" collapsed="false">
      <c r="A202" s="0" t="s">
        <v>262</v>
      </c>
      <c r="B202" s="0" t="s">
        <v>245</v>
      </c>
      <c r="C202" s="7" t="s">
        <v>240</v>
      </c>
      <c r="D202" s="0" t="n">
        <v>0.634416666666667</v>
      </c>
      <c r="E202" s="0" t="n">
        <v>0.634416666666667</v>
      </c>
      <c r="F202" s="9" t="n">
        <v>0</v>
      </c>
    </row>
    <row r="203" customFormat="false" ht="17.15" hidden="false" customHeight="false" outlineLevel="0" collapsed="false">
      <c r="A203" s="0" t="s">
        <v>262</v>
      </c>
      <c r="B203" s="0" t="s">
        <v>245</v>
      </c>
      <c r="C203" s="7" t="s">
        <v>241</v>
      </c>
      <c r="D203" s="0" t="n">
        <v>0.812233333333334</v>
      </c>
      <c r="E203" s="0" t="n">
        <v>0.812233333333334</v>
      </c>
      <c r="F203" s="9" t="n">
        <v>0</v>
      </c>
    </row>
    <row r="204" customFormat="false" ht="15" hidden="false" customHeight="false" outlineLevel="0" collapsed="false">
      <c r="A204" s="0" t="s">
        <v>263</v>
      </c>
      <c r="B204" s="0" t="s">
        <v>238</v>
      </c>
      <c r="C204" s="7" t="s">
        <v>239</v>
      </c>
      <c r="D204" s="0" t="n">
        <v>0.7</v>
      </c>
      <c r="E204" s="0" t="n">
        <v>0.7</v>
      </c>
      <c r="F204" s="9" t="n">
        <v>0</v>
      </c>
    </row>
    <row r="205" customFormat="false" ht="15" hidden="false" customHeight="false" outlineLevel="0" collapsed="false">
      <c r="A205" s="0" t="s">
        <v>263</v>
      </c>
      <c r="B205" s="0" t="s">
        <v>238</v>
      </c>
      <c r="C205" s="7" t="s">
        <v>240</v>
      </c>
      <c r="D205" s="0" t="n">
        <v>0.8</v>
      </c>
      <c r="E205" s="0" t="n">
        <v>0.8</v>
      </c>
      <c r="F205" s="9" t="n">
        <v>0</v>
      </c>
    </row>
    <row r="206" customFormat="false" ht="15" hidden="false" customHeight="false" outlineLevel="0" collapsed="false">
      <c r="A206" s="0" t="s">
        <v>263</v>
      </c>
      <c r="B206" s="0" t="s">
        <v>238</v>
      </c>
      <c r="C206" s="7" t="s">
        <v>241</v>
      </c>
      <c r="D206" s="0" t="n">
        <v>0.9</v>
      </c>
      <c r="E206" s="0" t="n">
        <v>0.9</v>
      </c>
      <c r="F206" s="9" t="n">
        <v>0</v>
      </c>
    </row>
    <row r="207" customFormat="false" ht="15" hidden="false" customHeight="false" outlineLevel="0" collapsed="false">
      <c r="A207" s="0" t="s">
        <v>263</v>
      </c>
      <c r="B207" s="0" t="s">
        <v>242</v>
      </c>
      <c r="C207" s="7" t="s">
        <v>239</v>
      </c>
      <c r="D207" s="0" t="n">
        <v>0.7</v>
      </c>
      <c r="E207" s="0" t="n">
        <v>0.7</v>
      </c>
      <c r="F207" s="9" t="n">
        <v>0</v>
      </c>
    </row>
    <row r="208" customFormat="false" ht="15" hidden="false" customHeight="false" outlineLevel="0" collapsed="false">
      <c r="A208" s="0" t="s">
        <v>263</v>
      </c>
      <c r="B208" s="0" t="s">
        <v>242</v>
      </c>
      <c r="C208" s="7" t="s">
        <v>240</v>
      </c>
      <c r="D208" s="0" t="n">
        <v>0.8</v>
      </c>
      <c r="E208" s="0" t="n">
        <v>0.8</v>
      </c>
      <c r="F208" s="9" t="n">
        <v>0</v>
      </c>
    </row>
    <row r="209" customFormat="false" ht="15" hidden="false" customHeight="false" outlineLevel="0" collapsed="false">
      <c r="A209" s="0" t="s">
        <v>263</v>
      </c>
      <c r="B209" s="0" t="s">
        <v>242</v>
      </c>
      <c r="C209" s="7" t="s">
        <v>241</v>
      </c>
      <c r="D209" s="0" t="n">
        <v>0.9</v>
      </c>
      <c r="E209" s="0" t="n">
        <v>0.9</v>
      </c>
      <c r="F209" s="9" t="n">
        <v>0</v>
      </c>
    </row>
    <row r="210" customFormat="false" ht="15" hidden="false" customHeight="false" outlineLevel="0" collapsed="false">
      <c r="A210" s="0" t="s">
        <v>263</v>
      </c>
      <c r="B210" s="0" t="s">
        <v>243</v>
      </c>
      <c r="C210" s="7" t="s">
        <v>239</v>
      </c>
      <c r="D210" s="0" t="n">
        <v>0.7</v>
      </c>
      <c r="E210" s="0" t="n">
        <v>0.7</v>
      </c>
      <c r="F210" s="9" t="n">
        <v>0</v>
      </c>
    </row>
    <row r="211" customFormat="false" ht="15" hidden="false" customHeight="false" outlineLevel="0" collapsed="false">
      <c r="A211" s="0" t="s">
        <v>263</v>
      </c>
      <c r="B211" s="0" t="s">
        <v>243</v>
      </c>
      <c r="C211" s="7" t="s">
        <v>240</v>
      </c>
      <c r="D211" s="0" t="n">
        <v>0.8</v>
      </c>
      <c r="E211" s="0" t="n">
        <v>0.8</v>
      </c>
      <c r="F211" s="9" t="n">
        <v>0</v>
      </c>
    </row>
    <row r="212" customFormat="false" ht="15" hidden="false" customHeight="false" outlineLevel="0" collapsed="false">
      <c r="A212" s="0" t="s">
        <v>263</v>
      </c>
      <c r="B212" s="0" t="s">
        <v>243</v>
      </c>
      <c r="C212" s="7" t="s">
        <v>241</v>
      </c>
      <c r="D212" s="0" t="n">
        <v>0.9</v>
      </c>
      <c r="E212" s="0" t="n">
        <v>0.9</v>
      </c>
      <c r="F212" s="9" t="n">
        <v>0</v>
      </c>
    </row>
    <row r="213" customFormat="false" ht="15" hidden="false" customHeight="false" outlineLevel="0" collapsed="false">
      <c r="A213" s="0" t="s">
        <v>263</v>
      </c>
      <c r="B213" s="0" t="s">
        <v>244</v>
      </c>
      <c r="C213" s="7" t="s">
        <v>239</v>
      </c>
      <c r="D213" s="0" t="n">
        <v>0.7</v>
      </c>
      <c r="E213" s="0" t="n">
        <v>0.7</v>
      </c>
      <c r="F213" s="9" t="n">
        <v>0</v>
      </c>
    </row>
    <row r="214" customFormat="false" ht="15" hidden="false" customHeight="false" outlineLevel="0" collapsed="false">
      <c r="A214" s="0" t="s">
        <v>263</v>
      </c>
      <c r="B214" s="0" t="s">
        <v>244</v>
      </c>
      <c r="C214" s="7" t="s">
        <v>240</v>
      </c>
      <c r="D214" s="0" t="n">
        <v>0.8</v>
      </c>
      <c r="E214" s="0" t="n">
        <v>0.8</v>
      </c>
      <c r="F214" s="9" t="n">
        <v>0</v>
      </c>
    </row>
    <row r="215" customFormat="false" ht="15" hidden="false" customHeight="false" outlineLevel="0" collapsed="false">
      <c r="A215" s="0" t="s">
        <v>263</v>
      </c>
      <c r="B215" s="0" t="s">
        <v>244</v>
      </c>
      <c r="C215" s="7" t="s">
        <v>241</v>
      </c>
      <c r="D215" s="0" t="n">
        <v>0.9</v>
      </c>
      <c r="E215" s="0" t="n">
        <v>0.9</v>
      </c>
      <c r="F215" s="9" t="n">
        <v>0</v>
      </c>
    </row>
    <row r="216" customFormat="false" ht="17.15" hidden="false" customHeight="false" outlineLevel="0" collapsed="false">
      <c r="A216" s="0" t="s">
        <v>263</v>
      </c>
      <c r="B216" s="0" t="s">
        <v>245</v>
      </c>
      <c r="C216" s="7" t="s">
        <v>239</v>
      </c>
      <c r="D216" s="0" t="n">
        <v>0.7</v>
      </c>
      <c r="E216" s="0" t="n">
        <v>0.7</v>
      </c>
      <c r="F216" s="9" t="n">
        <v>0</v>
      </c>
    </row>
    <row r="217" customFormat="false" ht="17.15" hidden="false" customHeight="false" outlineLevel="0" collapsed="false">
      <c r="A217" s="0" t="s">
        <v>263</v>
      </c>
      <c r="B217" s="0" t="s">
        <v>245</v>
      </c>
      <c r="C217" s="7" t="s">
        <v>240</v>
      </c>
      <c r="D217" s="0" t="n">
        <v>0.8</v>
      </c>
      <c r="E217" s="0" t="n">
        <v>0.8</v>
      </c>
      <c r="F217" s="9" t="n">
        <v>0</v>
      </c>
    </row>
    <row r="218" customFormat="false" ht="17.15" hidden="false" customHeight="false" outlineLevel="0" collapsed="false">
      <c r="A218" s="0" t="s">
        <v>263</v>
      </c>
      <c r="B218" s="0" t="s">
        <v>245</v>
      </c>
      <c r="C218" s="7" t="s">
        <v>241</v>
      </c>
      <c r="D218" s="0" t="n">
        <v>0.9</v>
      </c>
      <c r="E218" s="0" t="n">
        <v>0.9</v>
      </c>
      <c r="F218" s="9" t="n">
        <v>0</v>
      </c>
    </row>
    <row r="219" customFormat="false" ht="15" hidden="false" customHeight="false" outlineLevel="0" collapsed="false">
      <c r="A219" s="0" t="s">
        <v>264</v>
      </c>
      <c r="B219" s="0" t="s">
        <v>238</v>
      </c>
      <c r="C219" s="7" t="s">
        <v>239</v>
      </c>
      <c r="D219" s="0" t="n">
        <v>0.06</v>
      </c>
      <c r="E219" s="0" t="n">
        <v>0.06</v>
      </c>
      <c r="F219" s="9" t="n">
        <v>0</v>
      </c>
    </row>
    <row r="220" customFormat="false" ht="15" hidden="false" customHeight="false" outlineLevel="0" collapsed="false">
      <c r="A220" s="0" t="s">
        <v>264</v>
      </c>
      <c r="B220" s="0" t="s">
        <v>238</v>
      </c>
      <c r="C220" s="7" t="s">
        <v>240</v>
      </c>
      <c r="D220" s="0" t="n">
        <v>0.08</v>
      </c>
      <c r="E220" s="0" t="n">
        <v>0.08</v>
      </c>
      <c r="F220" s="9" t="n">
        <v>0</v>
      </c>
    </row>
    <row r="221" customFormat="false" ht="15" hidden="false" customHeight="false" outlineLevel="0" collapsed="false">
      <c r="A221" s="0" t="s">
        <v>264</v>
      </c>
      <c r="B221" s="0" t="s">
        <v>238</v>
      </c>
      <c r="C221" s="7" t="s">
        <v>241</v>
      </c>
      <c r="D221" s="0" t="n">
        <v>0.1</v>
      </c>
      <c r="E221" s="0" t="n">
        <v>0.1</v>
      </c>
      <c r="F221" s="9" t="n">
        <v>0</v>
      </c>
    </row>
    <row r="222" customFormat="false" ht="15" hidden="false" customHeight="false" outlineLevel="0" collapsed="false">
      <c r="A222" s="0" t="s">
        <v>264</v>
      </c>
      <c r="B222" s="0" t="s">
        <v>242</v>
      </c>
      <c r="C222" s="7" t="s">
        <v>239</v>
      </c>
      <c r="D222" s="0" t="n">
        <v>0.06</v>
      </c>
      <c r="E222" s="0" t="n">
        <v>0.06</v>
      </c>
      <c r="F222" s="9" t="n">
        <v>0</v>
      </c>
    </row>
    <row r="223" customFormat="false" ht="15" hidden="false" customHeight="false" outlineLevel="0" collapsed="false">
      <c r="A223" s="0" t="s">
        <v>264</v>
      </c>
      <c r="B223" s="0" t="s">
        <v>242</v>
      </c>
      <c r="C223" s="7" t="s">
        <v>240</v>
      </c>
      <c r="D223" s="0" t="n">
        <v>0.08</v>
      </c>
      <c r="E223" s="0" t="n">
        <v>0.08</v>
      </c>
      <c r="F223" s="9" t="n">
        <v>0</v>
      </c>
    </row>
    <row r="224" customFormat="false" ht="15" hidden="false" customHeight="false" outlineLevel="0" collapsed="false">
      <c r="A224" s="0" t="s">
        <v>264</v>
      </c>
      <c r="B224" s="0" t="s">
        <v>242</v>
      </c>
      <c r="C224" s="7" t="s">
        <v>241</v>
      </c>
      <c r="D224" s="0" t="n">
        <v>0.1</v>
      </c>
      <c r="E224" s="0" t="n">
        <v>0.1</v>
      </c>
      <c r="F224" s="9" t="n">
        <v>0</v>
      </c>
    </row>
    <row r="225" customFormat="false" ht="15" hidden="false" customHeight="false" outlineLevel="0" collapsed="false">
      <c r="A225" s="0" t="s">
        <v>264</v>
      </c>
      <c r="B225" s="0" t="s">
        <v>243</v>
      </c>
      <c r="C225" s="7" t="s">
        <v>239</v>
      </c>
      <c r="D225" s="0" t="n">
        <v>0.06</v>
      </c>
      <c r="E225" s="0" t="n">
        <v>0.06</v>
      </c>
      <c r="F225" s="9" t="n">
        <v>0</v>
      </c>
    </row>
    <row r="226" customFormat="false" ht="15" hidden="false" customHeight="false" outlineLevel="0" collapsed="false">
      <c r="A226" s="0" t="s">
        <v>264</v>
      </c>
      <c r="B226" s="0" t="s">
        <v>243</v>
      </c>
      <c r="C226" s="7" t="s">
        <v>240</v>
      </c>
      <c r="D226" s="0" t="n">
        <v>0.08</v>
      </c>
      <c r="E226" s="0" t="n">
        <v>0.08</v>
      </c>
      <c r="F226" s="9" t="n">
        <v>0</v>
      </c>
    </row>
    <row r="227" customFormat="false" ht="15" hidden="false" customHeight="false" outlineLevel="0" collapsed="false">
      <c r="A227" s="0" t="s">
        <v>264</v>
      </c>
      <c r="B227" s="0" t="s">
        <v>243</v>
      </c>
      <c r="C227" s="7" t="s">
        <v>241</v>
      </c>
      <c r="D227" s="0" t="n">
        <v>0.1</v>
      </c>
      <c r="E227" s="0" t="n">
        <v>0.1</v>
      </c>
      <c r="F227" s="9" t="n">
        <v>0</v>
      </c>
    </row>
    <row r="228" customFormat="false" ht="15" hidden="false" customHeight="false" outlineLevel="0" collapsed="false">
      <c r="A228" s="0" t="s">
        <v>264</v>
      </c>
      <c r="B228" s="0" t="s">
        <v>244</v>
      </c>
      <c r="C228" s="7" t="s">
        <v>239</v>
      </c>
      <c r="D228" s="0" t="n">
        <v>0.06</v>
      </c>
      <c r="E228" s="0" t="n">
        <v>0.06</v>
      </c>
      <c r="F228" s="9" t="n">
        <v>0</v>
      </c>
    </row>
    <row r="229" customFormat="false" ht="15" hidden="false" customHeight="false" outlineLevel="0" collapsed="false">
      <c r="A229" s="0" t="s">
        <v>264</v>
      </c>
      <c r="B229" s="0" t="s">
        <v>244</v>
      </c>
      <c r="C229" s="7" t="s">
        <v>240</v>
      </c>
      <c r="D229" s="0" t="n">
        <v>0.08</v>
      </c>
      <c r="E229" s="0" t="n">
        <v>0.08</v>
      </c>
      <c r="F229" s="9" t="n">
        <v>0</v>
      </c>
    </row>
    <row r="230" customFormat="false" ht="15" hidden="false" customHeight="false" outlineLevel="0" collapsed="false">
      <c r="A230" s="0" t="s">
        <v>264</v>
      </c>
      <c r="B230" s="0" t="s">
        <v>244</v>
      </c>
      <c r="C230" s="7" t="s">
        <v>241</v>
      </c>
      <c r="D230" s="0" t="n">
        <v>0.1</v>
      </c>
      <c r="E230" s="0" t="n">
        <v>0.1</v>
      </c>
      <c r="F230" s="9" t="n">
        <v>0</v>
      </c>
    </row>
    <row r="231" customFormat="false" ht="17.15" hidden="false" customHeight="false" outlineLevel="0" collapsed="false">
      <c r="A231" s="0" t="s">
        <v>264</v>
      </c>
      <c r="B231" s="0" t="s">
        <v>245</v>
      </c>
      <c r="C231" s="7" t="s">
        <v>239</v>
      </c>
      <c r="D231" s="0" t="n">
        <v>0.06</v>
      </c>
      <c r="E231" s="0" t="n">
        <v>0.06</v>
      </c>
      <c r="F231" s="9" t="n">
        <v>0</v>
      </c>
    </row>
    <row r="232" customFormat="false" ht="17.15" hidden="false" customHeight="false" outlineLevel="0" collapsed="false">
      <c r="A232" s="0" t="s">
        <v>264</v>
      </c>
      <c r="B232" s="0" t="s">
        <v>245</v>
      </c>
      <c r="C232" s="7" t="s">
        <v>240</v>
      </c>
      <c r="D232" s="0" t="n">
        <v>0.08</v>
      </c>
      <c r="E232" s="0" t="n">
        <v>0.08</v>
      </c>
      <c r="F232" s="9" t="n">
        <v>0</v>
      </c>
    </row>
    <row r="233" customFormat="false" ht="17.15" hidden="false" customHeight="false" outlineLevel="0" collapsed="false">
      <c r="A233" s="0" t="s">
        <v>264</v>
      </c>
      <c r="B233" s="0" t="s">
        <v>245</v>
      </c>
      <c r="C233" s="7" t="s">
        <v>241</v>
      </c>
      <c r="D233" s="0" t="n">
        <v>0.1</v>
      </c>
      <c r="E233" s="0" t="n">
        <v>0.1</v>
      </c>
      <c r="F233" s="9" t="n">
        <v>0</v>
      </c>
    </row>
    <row r="234" customFormat="false" ht="15" hidden="false" customHeight="false" outlineLevel="0" collapsed="false">
      <c r="A234" s="0" t="s">
        <v>265</v>
      </c>
      <c r="B234" s="0" t="s">
        <v>238</v>
      </c>
      <c r="C234" s="7" t="s">
        <v>239</v>
      </c>
      <c r="D234" s="0" t="n">
        <v>0.428405388</v>
      </c>
      <c r="E234" s="0" t="n">
        <v>0.219436730882534</v>
      </c>
      <c r="F234" s="9" t="n">
        <v>-0.487782513877874</v>
      </c>
    </row>
    <row r="235" customFormat="false" ht="15" hidden="false" customHeight="false" outlineLevel="0" collapsed="false">
      <c r="A235" s="0" t="s">
        <v>265</v>
      </c>
      <c r="B235" s="0" t="s">
        <v>238</v>
      </c>
      <c r="C235" s="7" t="s">
        <v>240</v>
      </c>
      <c r="D235" s="0" t="n">
        <v>0.82530642</v>
      </c>
      <c r="E235" s="0" t="n">
        <v>0.43259841019734</v>
      </c>
      <c r="F235" s="9" t="n">
        <v>-0.475832975832976</v>
      </c>
    </row>
    <row r="236" customFormat="false" ht="15" hidden="false" customHeight="false" outlineLevel="0" collapsed="false">
      <c r="A236" s="0" t="s">
        <v>265</v>
      </c>
      <c r="B236" s="0" t="s">
        <v>238</v>
      </c>
      <c r="C236" s="7" t="s">
        <v>241</v>
      </c>
      <c r="D236" s="0" t="n">
        <v>1.364829736</v>
      </c>
      <c r="E236" s="0" t="n">
        <v>0.6226274060112</v>
      </c>
      <c r="F236" s="9" t="n">
        <v>-0.543805802593387</v>
      </c>
    </row>
    <row r="237" customFormat="false" ht="15" hidden="false" customHeight="false" outlineLevel="0" collapsed="false">
      <c r="A237" s="0" t="s">
        <v>265</v>
      </c>
      <c r="B237" s="0" t="s">
        <v>242</v>
      </c>
      <c r="C237" s="7" t="s">
        <v>239</v>
      </c>
      <c r="D237" s="0" t="n">
        <v>0.412787808</v>
      </c>
      <c r="E237" s="0" t="n">
        <v>0.211437133315623</v>
      </c>
      <c r="F237" s="9" t="n">
        <v>-0.487782513877874</v>
      </c>
    </row>
    <row r="238" customFormat="false" ht="15" hidden="false" customHeight="false" outlineLevel="0" collapsed="false">
      <c r="A238" s="0" t="s">
        <v>265</v>
      </c>
      <c r="B238" s="0" t="s">
        <v>242</v>
      </c>
      <c r="C238" s="7" t="s">
        <v>240</v>
      </c>
      <c r="D238" s="0" t="n">
        <v>0.72045522</v>
      </c>
      <c r="E238" s="0" t="n">
        <v>0.377638868712999</v>
      </c>
      <c r="F238" s="9" t="n">
        <v>-0.475832975832975</v>
      </c>
    </row>
    <row r="239" customFormat="false" ht="15" hidden="false" customHeight="false" outlineLevel="0" collapsed="false">
      <c r="A239" s="0" t="s">
        <v>265</v>
      </c>
      <c r="B239" s="0" t="s">
        <v>242</v>
      </c>
      <c r="C239" s="7" t="s">
        <v>241</v>
      </c>
      <c r="D239" s="0" t="n">
        <v>1.106008176</v>
      </c>
      <c r="E239" s="0" t="n">
        <v>0.504554512175472</v>
      </c>
      <c r="F239" s="9" t="n">
        <v>-0.543805802593387</v>
      </c>
    </row>
    <row r="240" customFormat="false" ht="15" hidden="false" customHeight="false" outlineLevel="0" collapsed="false">
      <c r="A240" s="0" t="s">
        <v>265</v>
      </c>
      <c r="B240" s="0" t="s">
        <v>243</v>
      </c>
      <c r="C240" s="7" t="s">
        <v>239</v>
      </c>
      <c r="D240" s="0" t="n">
        <v>0.571098048</v>
      </c>
      <c r="E240" s="0" t="n">
        <v>0.292526406475813</v>
      </c>
      <c r="F240" s="9" t="n">
        <v>-0.487782513877874</v>
      </c>
    </row>
    <row r="241" customFormat="false" ht="15" hidden="false" customHeight="false" outlineLevel="0" collapsed="false">
      <c r="A241" s="0" t="s">
        <v>265</v>
      </c>
      <c r="B241" s="0" t="s">
        <v>243</v>
      </c>
      <c r="C241" s="7" t="s">
        <v>240</v>
      </c>
      <c r="D241" s="0" t="n">
        <v>1.12336512</v>
      </c>
      <c r="E241" s="0" t="n">
        <v>0.506930693144573</v>
      </c>
      <c r="F241" s="9" t="n">
        <v>-0.548739155133664</v>
      </c>
    </row>
    <row r="242" customFormat="false" ht="15" hidden="false" customHeight="false" outlineLevel="0" collapsed="false">
      <c r="A242" s="0" t="s">
        <v>265</v>
      </c>
      <c r="B242" s="0" t="s">
        <v>243</v>
      </c>
      <c r="C242" s="7" t="s">
        <v>241</v>
      </c>
      <c r="D242" s="0" t="n">
        <v>2.038020256</v>
      </c>
      <c r="E242" s="0" t="n">
        <v>0.716819883947515</v>
      </c>
      <c r="F242" s="9" t="n">
        <v>-0.6482763692671</v>
      </c>
    </row>
    <row r="243" customFormat="false" ht="15" hidden="false" customHeight="false" outlineLevel="0" collapsed="false">
      <c r="A243" s="0" t="s">
        <v>265</v>
      </c>
      <c r="B243" s="0" t="s">
        <v>244</v>
      </c>
      <c r="C243" s="7" t="s">
        <v>239</v>
      </c>
      <c r="D243" s="0" t="n">
        <v>0.665468064</v>
      </c>
      <c r="E243" s="0" t="n">
        <v>0.340864378836638</v>
      </c>
      <c r="F243" s="9" t="n">
        <v>-0.487782513877874</v>
      </c>
    </row>
    <row r="244" customFormat="false" ht="15" hidden="false" customHeight="false" outlineLevel="0" collapsed="false">
      <c r="A244" s="0" t="s">
        <v>265</v>
      </c>
      <c r="B244" s="0" t="s">
        <v>244</v>
      </c>
      <c r="C244" s="7" t="s">
        <v>240</v>
      </c>
      <c r="D244" s="0" t="n">
        <v>1.12759056</v>
      </c>
      <c r="E244" s="0" t="n">
        <v>0.591045788314028</v>
      </c>
      <c r="F244" s="9" t="n">
        <v>-0.475832975832976</v>
      </c>
    </row>
    <row r="245" customFormat="false" ht="15" hidden="false" customHeight="false" outlineLevel="0" collapsed="false">
      <c r="A245" s="0" t="s">
        <v>265</v>
      </c>
      <c r="B245" s="0" t="s">
        <v>244</v>
      </c>
      <c r="C245" s="7" t="s">
        <v>241</v>
      </c>
      <c r="D245" s="0" t="n">
        <v>1.705503008</v>
      </c>
      <c r="E245" s="0" t="n">
        <v>0.778040575909124</v>
      </c>
      <c r="F245" s="9" t="n">
        <v>-0.543805802593387</v>
      </c>
    </row>
    <row r="246" customFormat="false" ht="17.15" hidden="false" customHeight="false" outlineLevel="0" collapsed="false">
      <c r="A246" s="0" t="s">
        <v>265</v>
      </c>
      <c r="B246" s="0" t="s">
        <v>245</v>
      </c>
      <c r="C246" s="7" t="s">
        <v>239</v>
      </c>
      <c r="D246" s="0" t="n">
        <v>0.71691156</v>
      </c>
      <c r="E246" s="0" t="n">
        <v>0.367214637035091</v>
      </c>
      <c r="F246" s="9" t="n">
        <v>-0.487782513877875</v>
      </c>
    </row>
    <row r="247" customFormat="false" ht="17.15" hidden="false" customHeight="false" outlineLevel="0" collapsed="false">
      <c r="A247" s="0" t="s">
        <v>265</v>
      </c>
      <c r="B247" s="0" t="s">
        <v>245</v>
      </c>
      <c r="C247" s="7" t="s">
        <v>240</v>
      </c>
      <c r="D247" s="0" t="n">
        <v>1.5025734</v>
      </c>
      <c r="E247" s="0" t="n">
        <v>0.787599427670528</v>
      </c>
      <c r="F247" s="9" t="n">
        <v>-0.475832975832976</v>
      </c>
    </row>
    <row r="248" customFormat="false" ht="17.15" hidden="false" customHeight="false" outlineLevel="0" collapsed="false">
      <c r="A248" s="0" t="s">
        <v>265</v>
      </c>
      <c r="B248" s="0" t="s">
        <v>245</v>
      </c>
      <c r="C248" s="7" t="s">
        <v>241</v>
      </c>
      <c r="D248" s="0" t="n">
        <v>2.61926232</v>
      </c>
      <c r="E248" s="0" t="n">
        <v>1.19489227186978</v>
      </c>
      <c r="F248" s="9" t="n">
        <v>-0.543805802593388</v>
      </c>
    </row>
    <row r="249" customFormat="false" ht="15" hidden="false" customHeight="false" outlineLevel="0" collapsed="false">
      <c r="A249" s="0" t="s">
        <v>266</v>
      </c>
      <c r="B249" s="0" t="s">
        <v>238</v>
      </c>
      <c r="C249" s="7" t="s">
        <v>239</v>
      </c>
      <c r="D249" s="0" t="n">
        <v>0.15318</v>
      </c>
      <c r="E249" s="0" t="n">
        <v>0.15318</v>
      </c>
      <c r="F249" s="9" t="n">
        <v>0</v>
      </c>
    </row>
    <row r="250" customFormat="false" ht="15" hidden="false" customHeight="false" outlineLevel="0" collapsed="false">
      <c r="A250" s="0" t="s">
        <v>266</v>
      </c>
      <c r="B250" s="0" t="s">
        <v>238</v>
      </c>
      <c r="C250" s="7" t="s">
        <v>240</v>
      </c>
      <c r="D250" s="0" t="n">
        <v>0.2534</v>
      </c>
      <c r="E250" s="0" t="n">
        <v>0.2534</v>
      </c>
      <c r="F250" s="9" t="n">
        <v>0</v>
      </c>
    </row>
    <row r="251" customFormat="false" ht="15" hidden="false" customHeight="false" outlineLevel="0" collapsed="false">
      <c r="A251" s="0" t="s">
        <v>266</v>
      </c>
      <c r="B251" s="0" t="s">
        <v>238</v>
      </c>
      <c r="C251" s="7" t="s">
        <v>241</v>
      </c>
      <c r="D251" s="0" t="n">
        <v>0.40465</v>
      </c>
      <c r="E251" s="0" t="n">
        <v>0.40465</v>
      </c>
      <c r="F251" s="9" t="n">
        <v>0</v>
      </c>
    </row>
    <row r="252" customFormat="false" ht="15" hidden="false" customHeight="false" outlineLevel="0" collapsed="false">
      <c r="A252" s="0" t="s">
        <v>266</v>
      </c>
      <c r="B252" s="0" t="s">
        <v>242</v>
      </c>
      <c r="C252" s="7" t="s">
        <v>239</v>
      </c>
      <c r="D252" s="0" t="n">
        <v>0.15318</v>
      </c>
      <c r="E252" s="0" t="n">
        <v>0.15318</v>
      </c>
      <c r="F252" s="9" t="n">
        <v>0</v>
      </c>
    </row>
    <row r="253" customFormat="false" ht="15" hidden="false" customHeight="false" outlineLevel="0" collapsed="false">
      <c r="A253" s="0" t="s">
        <v>266</v>
      </c>
      <c r="B253" s="0" t="s">
        <v>242</v>
      </c>
      <c r="C253" s="7" t="s">
        <v>240</v>
      </c>
      <c r="D253" s="0" t="n">
        <v>0.2534</v>
      </c>
      <c r="E253" s="0" t="n">
        <v>0.2534</v>
      </c>
      <c r="F253" s="9" t="n">
        <v>0</v>
      </c>
    </row>
    <row r="254" customFormat="false" ht="15" hidden="false" customHeight="false" outlineLevel="0" collapsed="false">
      <c r="A254" s="0" t="s">
        <v>266</v>
      </c>
      <c r="B254" s="0" t="s">
        <v>242</v>
      </c>
      <c r="C254" s="7" t="s">
        <v>241</v>
      </c>
      <c r="D254" s="0" t="n">
        <v>0.40465</v>
      </c>
      <c r="E254" s="0" t="n">
        <v>0.40465</v>
      </c>
      <c r="F254" s="9" t="n">
        <v>0</v>
      </c>
    </row>
    <row r="255" customFormat="false" ht="15" hidden="false" customHeight="false" outlineLevel="0" collapsed="false">
      <c r="A255" s="0" t="s">
        <v>266</v>
      </c>
      <c r="B255" s="0" t="s">
        <v>243</v>
      </c>
      <c r="C255" s="7" t="s">
        <v>239</v>
      </c>
      <c r="D255" s="0" t="n">
        <v>0.15318</v>
      </c>
      <c r="E255" s="0" t="n">
        <v>0.15318</v>
      </c>
      <c r="F255" s="9" t="n">
        <v>0</v>
      </c>
    </row>
    <row r="256" customFormat="false" ht="15" hidden="false" customHeight="false" outlineLevel="0" collapsed="false">
      <c r="A256" s="0" t="s">
        <v>266</v>
      </c>
      <c r="B256" s="0" t="s">
        <v>243</v>
      </c>
      <c r="C256" s="7" t="s">
        <v>240</v>
      </c>
      <c r="D256" s="0" t="n">
        <v>0.2534</v>
      </c>
      <c r="E256" s="0" t="n">
        <v>0.2534</v>
      </c>
      <c r="F256" s="9" t="n">
        <v>0</v>
      </c>
    </row>
    <row r="257" customFormat="false" ht="15" hidden="false" customHeight="false" outlineLevel="0" collapsed="false">
      <c r="A257" s="0" t="s">
        <v>266</v>
      </c>
      <c r="B257" s="0" t="s">
        <v>243</v>
      </c>
      <c r="C257" s="7" t="s">
        <v>241</v>
      </c>
      <c r="D257" s="0" t="n">
        <v>0.40465</v>
      </c>
      <c r="E257" s="0" t="n">
        <v>0.40465</v>
      </c>
      <c r="F257" s="9" t="n">
        <v>0</v>
      </c>
    </row>
    <row r="258" customFormat="false" ht="15" hidden="false" customHeight="false" outlineLevel="0" collapsed="false">
      <c r="A258" s="0" t="s">
        <v>266</v>
      </c>
      <c r="B258" s="0" t="s">
        <v>244</v>
      </c>
      <c r="C258" s="7" t="s">
        <v>239</v>
      </c>
      <c r="D258" s="0" t="n">
        <v>0.15318</v>
      </c>
      <c r="E258" s="0" t="n">
        <v>0.15318</v>
      </c>
      <c r="F258" s="9" t="n">
        <v>0</v>
      </c>
    </row>
    <row r="259" customFormat="false" ht="15" hidden="false" customHeight="false" outlineLevel="0" collapsed="false">
      <c r="A259" s="0" t="s">
        <v>266</v>
      </c>
      <c r="B259" s="0" t="s">
        <v>244</v>
      </c>
      <c r="C259" s="7" t="s">
        <v>240</v>
      </c>
      <c r="D259" s="0" t="n">
        <v>0.2534</v>
      </c>
      <c r="E259" s="0" t="n">
        <v>0.2534</v>
      </c>
      <c r="F259" s="9" t="n">
        <v>0</v>
      </c>
    </row>
    <row r="260" customFormat="false" ht="15" hidden="false" customHeight="false" outlineLevel="0" collapsed="false">
      <c r="A260" s="0" t="s">
        <v>266</v>
      </c>
      <c r="B260" s="0" t="s">
        <v>244</v>
      </c>
      <c r="C260" s="7" t="s">
        <v>241</v>
      </c>
      <c r="D260" s="0" t="n">
        <v>0.40465</v>
      </c>
      <c r="E260" s="0" t="n">
        <v>0.40465</v>
      </c>
      <c r="F260" s="9" t="n">
        <v>0</v>
      </c>
    </row>
    <row r="261" customFormat="false" ht="17.15" hidden="false" customHeight="false" outlineLevel="0" collapsed="false">
      <c r="A261" s="0" t="s">
        <v>266</v>
      </c>
      <c r="B261" s="0" t="s">
        <v>245</v>
      </c>
      <c r="C261" s="7" t="s">
        <v>239</v>
      </c>
      <c r="D261" s="0" t="n">
        <v>0.15318</v>
      </c>
      <c r="E261" s="0" t="n">
        <v>0.15318</v>
      </c>
      <c r="F261" s="9" t="n">
        <v>0</v>
      </c>
    </row>
    <row r="262" customFormat="false" ht="17.15" hidden="false" customHeight="false" outlineLevel="0" collapsed="false">
      <c r="A262" s="0" t="s">
        <v>266</v>
      </c>
      <c r="B262" s="0" t="s">
        <v>245</v>
      </c>
      <c r="C262" s="7" t="s">
        <v>240</v>
      </c>
      <c r="D262" s="0" t="n">
        <v>0.2534</v>
      </c>
      <c r="E262" s="0" t="n">
        <v>0.2534</v>
      </c>
      <c r="F262" s="9" t="n">
        <v>0</v>
      </c>
    </row>
    <row r="263" customFormat="false" ht="17.15" hidden="false" customHeight="false" outlineLevel="0" collapsed="false">
      <c r="A263" s="0" t="s">
        <v>266</v>
      </c>
      <c r="B263" s="0" t="s">
        <v>245</v>
      </c>
      <c r="C263" s="7" t="s">
        <v>241</v>
      </c>
      <c r="D263" s="0" t="n">
        <v>0.40465</v>
      </c>
      <c r="E263" s="0" t="n">
        <v>0.40465</v>
      </c>
      <c r="F263" s="9" t="n">
        <v>0</v>
      </c>
    </row>
    <row r="264" customFormat="false" ht="15" hidden="false" customHeight="false" outlineLevel="0" collapsed="false">
      <c r="A264" s="0" t="s">
        <v>116</v>
      </c>
      <c r="B264" s="0" t="s">
        <v>238</v>
      </c>
      <c r="C264" s="7" t="s">
        <v>239</v>
      </c>
      <c r="D264" s="0" t="n">
        <v>0.24</v>
      </c>
      <c r="E264" s="0" t="n">
        <v>0.24</v>
      </c>
      <c r="F264" s="9" t="n">
        <v>0</v>
      </c>
    </row>
    <row r="265" customFormat="false" ht="15" hidden="false" customHeight="false" outlineLevel="0" collapsed="false">
      <c r="A265" s="0" t="s">
        <v>116</v>
      </c>
      <c r="B265" s="0" t="s">
        <v>238</v>
      </c>
      <c r="C265" s="7" t="s">
        <v>240</v>
      </c>
      <c r="D265" s="0" t="n">
        <v>0.325</v>
      </c>
      <c r="E265" s="0" t="n">
        <v>0.325</v>
      </c>
      <c r="F265" s="9" t="n">
        <v>0</v>
      </c>
    </row>
    <row r="266" customFormat="false" ht="15" hidden="false" customHeight="false" outlineLevel="0" collapsed="false">
      <c r="A266" s="0" t="s">
        <v>116</v>
      </c>
      <c r="B266" s="0" t="s">
        <v>238</v>
      </c>
      <c r="C266" s="7" t="s">
        <v>241</v>
      </c>
      <c r="D266" s="0" t="n">
        <v>0.41</v>
      </c>
      <c r="E266" s="0" t="n">
        <v>0.41</v>
      </c>
      <c r="F266" s="9" t="n">
        <v>0</v>
      </c>
    </row>
    <row r="267" customFormat="false" ht="15" hidden="false" customHeight="false" outlineLevel="0" collapsed="false">
      <c r="A267" s="0" t="s">
        <v>116</v>
      </c>
      <c r="B267" s="0" t="s">
        <v>242</v>
      </c>
      <c r="C267" s="7" t="s">
        <v>239</v>
      </c>
      <c r="D267" s="0" t="n">
        <v>0.24</v>
      </c>
      <c r="E267" s="0" t="n">
        <v>0.24</v>
      </c>
      <c r="F267" s="9" t="n">
        <v>0</v>
      </c>
    </row>
    <row r="268" customFormat="false" ht="15" hidden="false" customHeight="false" outlineLevel="0" collapsed="false">
      <c r="A268" s="0" t="s">
        <v>116</v>
      </c>
      <c r="B268" s="0" t="s">
        <v>242</v>
      </c>
      <c r="C268" s="7" t="s">
        <v>240</v>
      </c>
      <c r="D268" s="0" t="n">
        <v>0.325</v>
      </c>
      <c r="E268" s="0" t="n">
        <v>0.325</v>
      </c>
      <c r="F268" s="9" t="n">
        <v>0</v>
      </c>
    </row>
    <row r="269" customFormat="false" ht="15" hidden="false" customHeight="false" outlineLevel="0" collapsed="false">
      <c r="A269" s="0" t="s">
        <v>116</v>
      </c>
      <c r="B269" s="0" t="s">
        <v>242</v>
      </c>
      <c r="C269" s="7" t="s">
        <v>241</v>
      </c>
      <c r="D269" s="0" t="n">
        <v>0.41</v>
      </c>
      <c r="E269" s="0" t="n">
        <v>0.41</v>
      </c>
      <c r="F269" s="9" t="n">
        <v>0</v>
      </c>
    </row>
    <row r="270" customFormat="false" ht="15" hidden="false" customHeight="false" outlineLevel="0" collapsed="false">
      <c r="A270" s="0" t="s">
        <v>116</v>
      </c>
      <c r="B270" s="0" t="s">
        <v>243</v>
      </c>
      <c r="C270" s="7" t="s">
        <v>239</v>
      </c>
      <c r="D270" s="0" t="n">
        <v>0.24</v>
      </c>
      <c r="E270" s="0" t="n">
        <v>0.24</v>
      </c>
      <c r="F270" s="9" t="n">
        <v>0</v>
      </c>
    </row>
    <row r="271" customFormat="false" ht="15" hidden="false" customHeight="false" outlineLevel="0" collapsed="false">
      <c r="A271" s="0" t="s">
        <v>116</v>
      </c>
      <c r="B271" s="0" t="s">
        <v>243</v>
      </c>
      <c r="C271" s="7" t="s">
        <v>240</v>
      </c>
      <c r="D271" s="0" t="n">
        <v>0.325</v>
      </c>
      <c r="E271" s="0" t="n">
        <v>0.325</v>
      </c>
      <c r="F271" s="9" t="n">
        <v>0</v>
      </c>
    </row>
    <row r="272" customFormat="false" ht="15" hidden="false" customHeight="false" outlineLevel="0" collapsed="false">
      <c r="A272" s="0" t="s">
        <v>116</v>
      </c>
      <c r="B272" s="0" t="s">
        <v>243</v>
      </c>
      <c r="C272" s="7" t="s">
        <v>241</v>
      </c>
      <c r="D272" s="0" t="n">
        <v>0.41</v>
      </c>
      <c r="E272" s="0" t="n">
        <v>0.41</v>
      </c>
      <c r="F272" s="9" t="n">
        <v>0</v>
      </c>
    </row>
    <row r="273" customFormat="false" ht="15" hidden="false" customHeight="false" outlineLevel="0" collapsed="false">
      <c r="A273" s="0" t="s">
        <v>116</v>
      </c>
      <c r="B273" s="0" t="s">
        <v>244</v>
      </c>
      <c r="C273" s="7" t="s">
        <v>239</v>
      </c>
      <c r="D273" s="0" t="n">
        <v>0.24</v>
      </c>
      <c r="E273" s="0" t="n">
        <v>0.24</v>
      </c>
      <c r="F273" s="9" t="n">
        <v>0</v>
      </c>
    </row>
    <row r="274" customFormat="false" ht="15" hidden="false" customHeight="false" outlineLevel="0" collapsed="false">
      <c r="A274" s="0" t="s">
        <v>116</v>
      </c>
      <c r="B274" s="0" t="s">
        <v>244</v>
      </c>
      <c r="C274" s="7" t="s">
        <v>240</v>
      </c>
      <c r="D274" s="0" t="n">
        <v>0.325</v>
      </c>
      <c r="E274" s="0" t="n">
        <v>0.325</v>
      </c>
      <c r="F274" s="9" t="n">
        <v>0</v>
      </c>
    </row>
    <row r="275" customFormat="false" ht="15" hidden="false" customHeight="false" outlineLevel="0" collapsed="false">
      <c r="A275" s="0" t="s">
        <v>116</v>
      </c>
      <c r="B275" s="0" t="s">
        <v>244</v>
      </c>
      <c r="C275" s="7" t="s">
        <v>241</v>
      </c>
      <c r="D275" s="0" t="n">
        <v>0.41</v>
      </c>
      <c r="E275" s="0" t="n">
        <v>0.41</v>
      </c>
      <c r="F275" s="9" t="n">
        <v>0</v>
      </c>
    </row>
    <row r="276" customFormat="false" ht="17.15" hidden="false" customHeight="false" outlineLevel="0" collapsed="false">
      <c r="A276" s="0" t="s">
        <v>116</v>
      </c>
      <c r="B276" s="0" t="s">
        <v>245</v>
      </c>
      <c r="C276" s="7" t="s">
        <v>239</v>
      </c>
      <c r="D276" s="0" t="n">
        <v>0.24</v>
      </c>
      <c r="E276" s="0" t="n">
        <v>0.24</v>
      </c>
      <c r="F276" s="9" t="n">
        <v>0</v>
      </c>
    </row>
    <row r="277" customFormat="false" ht="17.15" hidden="false" customHeight="false" outlineLevel="0" collapsed="false">
      <c r="A277" s="0" t="s">
        <v>116</v>
      </c>
      <c r="B277" s="0" t="s">
        <v>245</v>
      </c>
      <c r="C277" s="7" t="s">
        <v>240</v>
      </c>
      <c r="D277" s="0" t="n">
        <v>0.325</v>
      </c>
      <c r="E277" s="0" t="n">
        <v>0.325</v>
      </c>
      <c r="F277" s="9" t="n">
        <v>0</v>
      </c>
    </row>
    <row r="278" customFormat="false" ht="17.15" hidden="false" customHeight="false" outlineLevel="0" collapsed="false">
      <c r="A278" s="0" t="s">
        <v>116</v>
      </c>
      <c r="B278" s="0" t="s">
        <v>245</v>
      </c>
      <c r="C278" s="7" t="s">
        <v>241</v>
      </c>
      <c r="D278" s="0" t="n">
        <v>0.41</v>
      </c>
      <c r="E278" s="0" t="n">
        <v>0.41</v>
      </c>
      <c r="F278" s="9" t="n">
        <v>0</v>
      </c>
    </row>
    <row r="279" customFormat="false" ht="15" hidden="false" customHeight="false" outlineLevel="0" collapsed="false">
      <c r="A279" s="0" t="s">
        <v>267</v>
      </c>
      <c r="B279" s="0" t="s">
        <v>238</v>
      </c>
      <c r="C279" s="7" t="s">
        <v>239</v>
      </c>
      <c r="D279" s="0" t="n">
        <v>0.0948968082</v>
      </c>
      <c r="E279" s="0" t="n">
        <v>0.0948968082</v>
      </c>
      <c r="F279" s="9" t="n">
        <v>0</v>
      </c>
    </row>
    <row r="280" customFormat="false" ht="15" hidden="false" customHeight="false" outlineLevel="0" collapsed="false">
      <c r="A280" s="0" t="s">
        <v>267</v>
      </c>
      <c r="B280" s="0" t="s">
        <v>238</v>
      </c>
      <c r="C280" s="7" t="s">
        <v>240</v>
      </c>
      <c r="D280" s="0" t="n">
        <v>0.20090107</v>
      </c>
      <c r="E280" s="0" t="n">
        <v>0.20090107</v>
      </c>
      <c r="F280" s="9" t="n">
        <v>0</v>
      </c>
    </row>
    <row r="281" customFormat="false" ht="15" hidden="false" customHeight="false" outlineLevel="0" collapsed="false">
      <c r="A281" s="0" t="s">
        <v>267</v>
      </c>
      <c r="B281" s="0" t="s">
        <v>238</v>
      </c>
      <c r="C281" s="7" t="s">
        <v>241</v>
      </c>
      <c r="D281" s="0" t="n">
        <v>0.4024539472</v>
      </c>
      <c r="E281" s="0" t="n">
        <v>0.4024539472</v>
      </c>
      <c r="F281" s="9" t="n">
        <v>0</v>
      </c>
    </row>
    <row r="282" customFormat="false" ht="15" hidden="false" customHeight="false" outlineLevel="0" collapsed="false">
      <c r="A282" s="0" t="s">
        <v>267</v>
      </c>
      <c r="B282" s="0" t="s">
        <v>242</v>
      </c>
      <c r="C282" s="7" t="s">
        <v>239</v>
      </c>
      <c r="D282" s="0" t="n">
        <v>0.0925541712</v>
      </c>
      <c r="E282" s="0" t="n">
        <v>0.0925541712</v>
      </c>
      <c r="F282" s="9" t="n">
        <v>0</v>
      </c>
    </row>
    <row r="283" customFormat="false" ht="15" hidden="false" customHeight="false" outlineLevel="0" collapsed="false">
      <c r="A283" s="0" t="s">
        <v>267</v>
      </c>
      <c r="B283" s="0" t="s">
        <v>242</v>
      </c>
      <c r="C283" s="7" t="s">
        <v>240</v>
      </c>
      <c r="D283" s="0" t="n">
        <v>0.18342587</v>
      </c>
      <c r="E283" s="0" t="n">
        <v>0.18342587</v>
      </c>
      <c r="F283" s="9" t="n">
        <v>0</v>
      </c>
    </row>
    <row r="284" customFormat="false" ht="15" hidden="false" customHeight="false" outlineLevel="0" collapsed="false">
      <c r="A284" s="0" t="s">
        <v>267</v>
      </c>
      <c r="B284" s="0" t="s">
        <v>242</v>
      </c>
      <c r="C284" s="7" t="s">
        <v>241</v>
      </c>
      <c r="D284" s="0" t="n">
        <v>0.3506896352</v>
      </c>
      <c r="E284" s="0" t="n">
        <v>0.3506896352</v>
      </c>
      <c r="F284" s="9" t="n">
        <v>0</v>
      </c>
    </row>
    <row r="285" customFormat="false" ht="15" hidden="false" customHeight="false" outlineLevel="0" collapsed="false">
      <c r="A285" s="0" t="s">
        <v>267</v>
      </c>
      <c r="B285" s="0" t="s">
        <v>243</v>
      </c>
      <c r="C285" s="7" t="s">
        <v>239</v>
      </c>
      <c r="D285" s="0" t="n">
        <v>0.1163007072</v>
      </c>
      <c r="E285" s="0" t="n">
        <v>0.1163007072</v>
      </c>
      <c r="F285" s="9" t="n">
        <v>0</v>
      </c>
    </row>
    <row r="286" customFormat="false" ht="15" hidden="false" customHeight="false" outlineLevel="0" collapsed="false">
      <c r="A286" s="0" t="s">
        <v>267</v>
      </c>
      <c r="B286" s="0" t="s">
        <v>243</v>
      </c>
      <c r="C286" s="7" t="s">
        <v>240</v>
      </c>
      <c r="D286" s="0" t="n">
        <v>0.25057752</v>
      </c>
      <c r="E286" s="0" t="n">
        <v>0.22453612</v>
      </c>
      <c r="F286" s="9" t="n">
        <v>-0.103925523726151</v>
      </c>
    </row>
    <row r="287" customFormat="false" ht="15" hidden="false" customHeight="false" outlineLevel="0" collapsed="false">
      <c r="A287" s="0" t="s">
        <v>267</v>
      </c>
      <c r="B287" s="0" t="s">
        <v>243</v>
      </c>
      <c r="C287" s="7" t="s">
        <v>241</v>
      </c>
      <c r="D287" s="0" t="n">
        <v>0.5370920512</v>
      </c>
      <c r="E287" s="0" t="n">
        <v>0.4437488512</v>
      </c>
      <c r="F287" s="9" t="n">
        <v>-0.173793672409502</v>
      </c>
    </row>
    <row r="288" customFormat="false" ht="15" hidden="false" customHeight="false" outlineLevel="0" collapsed="false">
      <c r="A288" s="0" t="s">
        <v>267</v>
      </c>
      <c r="B288" s="0" t="s">
        <v>244</v>
      </c>
      <c r="C288" s="7" t="s">
        <v>239</v>
      </c>
      <c r="D288" s="0" t="n">
        <v>0.1304562096</v>
      </c>
      <c r="E288" s="0" t="n">
        <v>0.1304562096</v>
      </c>
      <c r="F288" s="9" t="n">
        <v>0</v>
      </c>
    </row>
    <row r="289" customFormat="false" ht="15" hidden="false" customHeight="false" outlineLevel="0" collapsed="false">
      <c r="A289" s="0" t="s">
        <v>267</v>
      </c>
      <c r="B289" s="0" t="s">
        <v>244</v>
      </c>
      <c r="C289" s="7" t="s">
        <v>240</v>
      </c>
      <c r="D289" s="0" t="n">
        <v>0.25128176</v>
      </c>
      <c r="E289" s="0" t="n">
        <v>0.25128176</v>
      </c>
      <c r="F289" s="9" t="n">
        <v>0</v>
      </c>
    </row>
    <row r="290" customFormat="false" ht="15" hidden="false" customHeight="false" outlineLevel="0" collapsed="false">
      <c r="A290" s="0" t="s">
        <v>267</v>
      </c>
      <c r="B290" s="0" t="s">
        <v>244</v>
      </c>
      <c r="C290" s="7" t="s">
        <v>241</v>
      </c>
      <c r="D290" s="0" t="n">
        <v>0.4705886016</v>
      </c>
      <c r="E290" s="0" t="n">
        <v>0.4705886016</v>
      </c>
      <c r="F290" s="9" t="n">
        <v>0</v>
      </c>
    </row>
    <row r="291" customFormat="false" ht="17.15" hidden="false" customHeight="false" outlineLevel="0" collapsed="false">
      <c r="A291" s="0" t="s">
        <v>267</v>
      </c>
      <c r="B291" s="0" t="s">
        <v>245</v>
      </c>
      <c r="C291" s="7" t="s">
        <v>239</v>
      </c>
      <c r="D291" s="0" t="n">
        <v>0.138172734</v>
      </c>
      <c r="E291" s="0" t="n">
        <v>0.138172734</v>
      </c>
      <c r="F291" s="9" t="n">
        <v>0</v>
      </c>
    </row>
    <row r="292" customFormat="false" ht="17.15" hidden="false" customHeight="false" outlineLevel="0" collapsed="false">
      <c r="A292" s="0" t="s">
        <v>267</v>
      </c>
      <c r="B292" s="0" t="s">
        <v>245</v>
      </c>
      <c r="C292" s="7" t="s">
        <v>240</v>
      </c>
      <c r="D292" s="0" t="n">
        <v>0.3137789</v>
      </c>
      <c r="E292" s="0" t="n">
        <v>0.3137789</v>
      </c>
      <c r="F292" s="9" t="n">
        <v>0</v>
      </c>
    </row>
    <row r="293" customFormat="false" ht="17.15" hidden="false" customHeight="false" outlineLevel="0" collapsed="false">
      <c r="A293" s="0" t="s">
        <v>267</v>
      </c>
      <c r="B293" s="0" t="s">
        <v>245</v>
      </c>
      <c r="C293" s="7" t="s">
        <v>241</v>
      </c>
      <c r="D293" s="0" t="n">
        <v>0.653340464</v>
      </c>
      <c r="E293" s="0" t="n">
        <v>0.653340464</v>
      </c>
      <c r="F293" s="9" t="n">
        <v>0</v>
      </c>
    </row>
    <row r="294" customFormat="false" ht="15" hidden="false" customHeight="false" outlineLevel="0" collapsed="false">
      <c r="A294" s="0" t="s">
        <v>268</v>
      </c>
      <c r="B294" s="0" t="s">
        <v>238</v>
      </c>
      <c r="C294" s="7" t="s">
        <v>239</v>
      </c>
      <c r="D294" s="0" t="n">
        <v>1.3211941962</v>
      </c>
      <c r="E294" s="0" t="n">
        <v>1.11222553908253</v>
      </c>
      <c r="F294" s="9" t="n">
        <v>-0.158166496430656</v>
      </c>
    </row>
    <row r="295" customFormat="false" ht="15" hidden="false" customHeight="false" outlineLevel="0" collapsed="false">
      <c r="A295" s="0" t="s">
        <v>268</v>
      </c>
      <c r="B295" s="0" t="s">
        <v>238</v>
      </c>
      <c r="C295" s="7" t="s">
        <v>240</v>
      </c>
      <c r="D295" s="0" t="n">
        <v>2.27737549</v>
      </c>
      <c r="E295" s="0" t="n">
        <v>1.88466748019734</v>
      </c>
      <c r="F295" s="9" t="n">
        <v>-0.172438849687743</v>
      </c>
    </row>
    <row r="296" customFormat="false" ht="15" hidden="false" customHeight="false" outlineLevel="0" collapsed="false">
      <c r="A296" s="0" t="s">
        <v>268</v>
      </c>
      <c r="B296" s="0" t="s">
        <v>238</v>
      </c>
      <c r="C296" s="7" t="s">
        <v>241</v>
      </c>
      <c r="D296" s="0" t="n">
        <v>3.6068536832</v>
      </c>
      <c r="E296" s="0" t="n">
        <v>2.8646513532112</v>
      </c>
      <c r="F296" s="9" t="n">
        <v>-0.205775558195174</v>
      </c>
    </row>
    <row r="297" customFormat="false" ht="15" hidden="false" customHeight="false" outlineLevel="0" collapsed="false">
      <c r="A297" s="0" t="s">
        <v>268</v>
      </c>
      <c r="B297" s="0" t="s">
        <v>242</v>
      </c>
      <c r="C297" s="7" t="s">
        <v>239</v>
      </c>
      <c r="D297" s="0" t="n">
        <v>1.3032339792</v>
      </c>
      <c r="E297" s="0" t="n">
        <v>1.10188330451562</v>
      </c>
      <c r="F297" s="9" t="n">
        <v>-0.154500786426687</v>
      </c>
    </row>
    <row r="298" customFormat="false" ht="15" hidden="false" customHeight="false" outlineLevel="0" collapsed="false">
      <c r="A298" s="0" t="s">
        <v>268</v>
      </c>
      <c r="B298" s="0" t="s">
        <v>242</v>
      </c>
      <c r="C298" s="7" t="s">
        <v>240</v>
      </c>
      <c r="D298" s="0" t="n">
        <v>2.15504909</v>
      </c>
      <c r="E298" s="0" t="n">
        <v>1.812232738713</v>
      </c>
      <c r="F298" s="9" t="n">
        <v>-0.159075889675905</v>
      </c>
    </row>
    <row r="299" customFormat="false" ht="15" hidden="false" customHeight="false" outlineLevel="0" collapsed="false">
      <c r="A299" s="0" t="s">
        <v>268</v>
      </c>
      <c r="B299" s="0" t="s">
        <v>242</v>
      </c>
      <c r="C299" s="7" t="s">
        <v>241</v>
      </c>
      <c r="D299" s="0" t="n">
        <v>3.2962678112</v>
      </c>
      <c r="E299" s="0" t="n">
        <v>2.69481414737547</v>
      </c>
      <c r="F299" s="9" t="n">
        <v>-0.182465047828008</v>
      </c>
    </row>
    <row r="300" customFormat="false" ht="15" hidden="false" customHeight="false" outlineLevel="0" collapsed="false">
      <c r="A300" s="0" t="s">
        <v>268</v>
      </c>
      <c r="B300" s="0" t="s">
        <v>243</v>
      </c>
      <c r="C300" s="7" t="s">
        <v>239</v>
      </c>
      <c r="D300" s="0" t="n">
        <v>1.4852907552</v>
      </c>
      <c r="E300" s="0" t="n">
        <v>1.20671911367581</v>
      </c>
      <c r="F300" s="9" t="n">
        <v>-0.187553608981212</v>
      </c>
    </row>
    <row r="301" customFormat="false" ht="15" hidden="false" customHeight="false" outlineLevel="0" collapsed="false">
      <c r="A301" s="0" t="s">
        <v>268</v>
      </c>
      <c r="B301" s="0" t="s">
        <v>243</v>
      </c>
      <c r="C301" s="7" t="s">
        <v>240</v>
      </c>
      <c r="D301" s="0" t="n">
        <v>2.62511064</v>
      </c>
      <c r="E301" s="0" t="n">
        <v>1.98263481314457</v>
      </c>
      <c r="F301" s="9" t="n">
        <v>-0.244742380403224</v>
      </c>
    </row>
    <row r="302" customFormat="false" ht="15" hidden="false" customHeight="false" outlineLevel="0" collapsed="false">
      <c r="A302" s="0" t="s">
        <v>268</v>
      </c>
      <c r="B302" s="0" t="s">
        <v>243</v>
      </c>
      <c r="C302" s="7" t="s">
        <v>241</v>
      </c>
      <c r="D302" s="0" t="n">
        <v>4.4146823072</v>
      </c>
      <c r="E302" s="0" t="n">
        <v>3.00013873514752</v>
      </c>
      <c r="F302" s="9" t="n">
        <v>-0.320417976565487</v>
      </c>
    </row>
    <row r="303" customFormat="false" ht="15" hidden="false" customHeight="false" outlineLevel="0" collapsed="false">
      <c r="A303" s="0" t="s">
        <v>268</v>
      </c>
      <c r="B303" s="0" t="s">
        <v>244</v>
      </c>
      <c r="C303" s="7" t="s">
        <v>239</v>
      </c>
      <c r="D303" s="0" t="n">
        <v>1.5938162736</v>
      </c>
      <c r="E303" s="0" t="n">
        <v>1.26921258843664</v>
      </c>
      <c r="F303" s="9" t="n">
        <v>-0.203664431427951</v>
      </c>
    </row>
    <row r="304" customFormat="false" ht="15" hidden="false" customHeight="false" outlineLevel="0" collapsed="false">
      <c r="A304" s="0" t="s">
        <v>268</v>
      </c>
      <c r="B304" s="0" t="s">
        <v>244</v>
      </c>
      <c r="C304" s="7" t="s">
        <v>240</v>
      </c>
      <c r="D304" s="0" t="n">
        <v>2.63004032</v>
      </c>
      <c r="E304" s="0" t="n">
        <v>2.09349554831403</v>
      </c>
      <c r="F304" s="9" t="n">
        <v>-0.204006291312663</v>
      </c>
    </row>
    <row r="305" customFormat="false" ht="15" hidden="false" customHeight="false" outlineLevel="0" collapsed="false">
      <c r="A305" s="0" t="s">
        <v>268</v>
      </c>
      <c r="B305" s="0" t="s">
        <v>244</v>
      </c>
      <c r="C305" s="7" t="s">
        <v>241</v>
      </c>
      <c r="D305" s="0" t="n">
        <v>4.0156616096</v>
      </c>
      <c r="E305" s="0" t="n">
        <v>3.08819917750912</v>
      </c>
      <c r="F305" s="9" t="n">
        <v>-0.230961301588175</v>
      </c>
    </row>
    <row r="306" customFormat="false" ht="17.15" hidden="false" customHeight="false" outlineLevel="0" collapsed="false">
      <c r="A306" s="0" t="s">
        <v>268</v>
      </c>
      <c r="B306" s="0" t="s">
        <v>245</v>
      </c>
      <c r="C306" s="7" t="s">
        <v>239</v>
      </c>
      <c r="D306" s="0" t="n">
        <v>1.652976294</v>
      </c>
      <c r="E306" s="0" t="n">
        <v>1.30327937103509</v>
      </c>
      <c r="F306" s="9" t="n">
        <v>-0.211555921421405</v>
      </c>
    </row>
    <row r="307" customFormat="false" ht="17.15" hidden="false" customHeight="false" outlineLevel="0" collapsed="false">
      <c r="A307" s="0" t="s">
        <v>268</v>
      </c>
      <c r="B307" s="0" t="s">
        <v>245</v>
      </c>
      <c r="C307" s="7" t="s">
        <v>240</v>
      </c>
      <c r="D307" s="0" t="n">
        <v>3.0675203</v>
      </c>
      <c r="E307" s="0" t="n">
        <v>2.35254632767053</v>
      </c>
      <c r="F307" s="9" t="n">
        <v>-0.233078807116442</v>
      </c>
    </row>
    <row r="308" customFormat="false" ht="17.15" hidden="false" customHeight="false" outlineLevel="0" collapsed="false">
      <c r="A308" s="0" t="s">
        <v>268</v>
      </c>
      <c r="B308" s="0" t="s">
        <v>245</v>
      </c>
      <c r="C308" s="7" t="s">
        <v>241</v>
      </c>
      <c r="D308" s="0" t="n">
        <v>5.112172784</v>
      </c>
      <c r="E308" s="0" t="n">
        <v>3.68780273586978</v>
      </c>
      <c r="F308" s="9" t="n">
        <v>-0.278623221145457</v>
      </c>
    </row>
    <row r="309" customFormat="false" ht="15" hidden="false" customHeight="false" outlineLevel="0" collapsed="false">
      <c r="A309" s="0" t="s">
        <v>269</v>
      </c>
      <c r="B309" s="0" t="s">
        <v>238</v>
      </c>
      <c r="C309" s="7" t="s">
        <v>239</v>
      </c>
      <c r="D309" s="0" t="n">
        <v>4.00488774987164</v>
      </c>
      <c r="E309" s="0" t="n">
        <v>4.00488774987164</v>
      </c>
      <c r="F309" s="9" t="n">
        <v>0</v>
      </c>
    </row>
    <row r="310" customFormat="false" ht="15" hidden="false" customHeight="false" outlineLevel="0" collapsed="false">
      <c r="A310" s="0" t="s">
        <v>269</v>
      </c>
      <c r="B310" s="0" t="s">
        <v>238</v>
      </c>
      <c r="C310" s="7" t="s">
        <v>240</v>
      </c>
      <c r="D310" s="0" t="n">
        <v>4.00488774987164</v>
      </c>
      <c r="E310" s="0" t="n">
        <v>4.00488774987164</v>
      </c>
      <c r="F310" s="9" t="n">
        <v>0</v>
      </c>
    </row>
    <row r="311" customFormat="false" ht="15" hidden="false" customHeight="false" outlineLevel="0" collapsed="false">
      <c r="A311" s="0" t="s">
        <v>269</v>
      </c>
      <c r="B311" s="0" t="s">
        <v>238</v>
      </c>
      <c r="C311" s="7" t="s">
        <v>241</v>
      </c>
      <c r="D311" s="0" t="n">
        <v>4.00488774987164</v>
      </c>
      <c r="E311" s="0" t="n">
        <v>4.00488774987164</v>
      </c>
      <c r="F311" s="9" t="n">
        <v>0</v>
      </c>
    </row>
    <row r="312" customFormat="false" ht="15" hidden="false" customHeight="false" outlineLevel="0" collapsed="false">
      <c r="A312" s="0" t="s">
        <v>269</v>
      </c>
      <c r="B312" s="0" t="s">
        <v>242</v>
      </c>
      <c r="C312" s="7" t="s">
        <v>239</v>
      </c>
      <c r="D312" s="0" t="n">
        <v>20.1746158611128</v>
      </c>
      <c r="E312" s="0" t="n">
        <v>20.1746158611128</v>
      </c>
      <c r="F312" s="9" t="n">
        <v>0</v>
      </c>
    </row>
    <row r="313" customFormat="false" ht="15" hidden="false" customHeight="false" outlineLevel="0" collapsed="false">
      <c r="A313" s="0" t="s">
        <v>269</v>
      </c>
      <c r="B313" s="0" t="s">
        <v>242</v>
      </c>
      <c r="C313" s="7" t="s">
        <v>240</v>
      </c>
      <c r="D313" s="0" t="n">
        <v>20.1746158611128</v>
      </c>
      <c r="E313" s="0" t="n">
        <v>20.1746158611128</v>
      </c>
      <c r="F313" s="9" t="n">
        <v>0</v>
      </c>
    </row>
    <row r="314" customFormat="false" ht="15" hidden="false" customHeight="false" outlineLevel="0" collapsed="false">
      <c r="A314" s="0" t="s">
        <v>269</v>
      </c>
      <c r="B314" s="0" t="s">
        <v>242</v>
      </c>
      <c r="C314" s="7" t="s">
        <v>241</v>
      </c>
      <c r="D314" s="0" t="n">
        <v>20.1746158611128</v>
      </c>
      <c r="E314" s="0" t="n">
        <v>20.1746158611128</v>
      </c>
      <c r="F314" s="9" t="n">
        <v>0</v>
      </c>
    </row>
    <row r="315" customFormat="false" ht="15" hidden="false" customHeight="false" outlineLevel="0" collapsed="false">
      <c r="A315" s="0" t="s">
        <v>269</v>
      </c>
      <c r="B315" s="0" t="s">
        <v>243</v>
      </c>
      <c r="C315" s="7" t="s">
        <v>239</v>
      </c>
      <c r="D315" s="0" t="n">
        <v>26.2652356996766</v>
      </c>
      <c r="E315" s="0" t="n">
        <v>26.2652356996766</v>
      </c>
      <c r="F315" s="9" t="n">
        <v>0</v>
      </c>
    </row>
    <row r="316" customFormat="false" ht="15" hidden="false" customHeight="false" outlineLevel="0" collapsed="false">
      <c r="A316" s="0" t="s">
        <v>269</v>
      </c>
      <c r="B316" s="0" t="s">
        <v>243</v>
      </c>
      <c r="C316" s="7" t="s">
        <v>240</v>
      </c>
      <c r="D316" s="0" t="n">
        <v>26.2652356996766</v>
      </c>
      <c r="E316" s="0" t="n">
        <v>26.2652356996766</v>
      </c>
      <c r="F316" s="9" t="n">
        <v>0</v>
      </c>
    </row>
    <row r="317" customFormat="false" ht="15" hidden="false" customHeight="false" outlineLevel="0" collapsed="false">
      <c r="A317" s="0" t="s">
        <v>269</v>
      </c>
      <c r="B317" s="0" t="s">
        <v>243</v>
      </c>
      <c r="C317" s="7" t="s">
        <v>241</v>
      </c>
      <c r="D317" s="0" t="n">
        <v>26.2652356996766</v>
      </c>
      <c r="E317" s="0" t="n">
        <v>26.2652356996766</v>
      </c>
      <c r="F317" s="9" t="n">
        <v>0</v>
      </c>
    </row>
    <row r="318" customFormat="false" ht="15" hidden="false" customHeight="false" outlineLevel="0" collapsed="false">
      <c r="A318" s="0" t="s">
        <v>269</v>
      </c>
      <c r="B318" s="0" t="s">
        <v>244</v>
      </c>
      <c r="C318" s="7" t="s">
        <v>239</v>
      </c>
      <c r="D318" s="0" t="n">
        <v>48.7237019639935</v>
      </c>
      <c r="E318" s="0" t="n">
        <v>48.7237019639935</v>
      </c>
      <c r="F318" s="9" t="n">
        <v>0</v>
      </c>
    </row>
    <row r="319" customFormat="false" ht="15" hidden="false" customHeight="false" outlineLevel="0" collapsed="false">
      <c r="A319" s="0" t="s">
        <v>269</v>
      </c>
      <c r="B319" s="0" t="s">
        <v>244</v>
      </c>
      <c r="C319" s="7" t="s">
        <v>240</v>
      </c>
      <c r="D319" s="0" t="n">
        <v>48.7237019639935</v>
      </c>
      <c r="E319" s="0" t="n">
        <v>48.7237019639935</v>
      </c>
      <c r="F319" s="9" t="n">
        <v>0</v>
      </c>
    </row>
    <row r="320" customFormat="false" ht="15" hidden="false" customHeight="false" outlineLevel="0" collapsed="false">
      <c r="A320" s="0" t="s">
        <v>269</v>
      </c>
      <c r="B320" s="0" t="s">
        <v>244</v>
      </c>
      <c r="C320" s="7" t="s">
        <v>241</v>
      </c>
      <c r="D320" s="0" t="n">
        <v>48.7237019639935</v>
      </c>
      <c r="E320" s="0" t="n">
        <v>48.7237019639935</v>
      </c>
      <c r="F320" s="9" t="n">
        <v>0</v>
      </c>
    </row>
    <row r="321" customFormat="false" ht="17.15" hidden="false" customHeight="false" outlineLevel="0" collapsed="false">
      <c r="A321" s="0" t="s">
        <v>269</v>
      </c>
      <c r="B321" s="0" t="s">
        <v>245</v>
      </c>
      <c r="C321" s="7" t="s">
        <v>239</v>
      </c>
      <c r="D321" s="0" t="n">
        <v>68.9276257152094</v>
      </c>
      <c r="E321" s="0" t="n">
        <v>68.9276257152094</v>
      </c>
      <c r="F321" s="9" t="n">
        <v>0</v>
      </c>
    </row>
    <row r="322" customFormat="false" ht="17.15" hidden="false" customHeight="false" outlineLevel="0" collapsed="false">
      <c r="A322" s="0" t="s">
        <v>269</v>
      </c>
      <c r="B322" s="0" t="s">
        <v>245</v>
      </c>
      <c r="C322" s="7" t="s">
        <v>240</v>
      </c>
      <c r="D322" s="0" t="n">
        <v>68.9276257152094</v>
      </c>
      <c r="E322" s="0" t="n">
        <v>68.9276257152094</v>
      </c>
      <c r="F322" s="9" t="n">
        <v>0</v>
      </c>
    </row>
    <row r="323" customFormat="false" ht="17.15" hidden="false" customHeight="false" outlineLevel="0" collapsed="false">
      <c r="A323" s="0" t="s">
        <v>269</v>
      </c>
      <c r="B323" s="0" t="s">
        <v>245</v>
      </c>
      <c r="C323" s="7" t="s">
        <v>241</v>
      </c>
      <c r="D323" s="0" t="n">
        <v>68.9276257152094</v>
      </c>
      <c r="E323" s="0" t="n">
        <v>68.9276257152094</v>
      </c>
      <c r="F323" s="9" t="n">
        <v>0</v>
      </c>
    </row>
    <row r="324" customFormat="false" ht="15" hidden="false" customHeight="false" outlineLevel="0" collapsed="false">
      <c r="A324" s="0" t="s">
        <v>270</v>
      </c>
      <c r="B324" s="0" t="s">
        <v>238</v>
      </c>
      <c r="C324" s="7" t="s">
        <v>239</v>
      </c>
      <c r="E324" s="0" t="n">
        <v>0.0535506735</v>
      </c>
    </row>
    <row r="325" customFormat="false" ht="15" hidden="false" customHeight="false" outlineLevel="0" collapsed="false">
      <c r="A325" s="0" t="s">
        <v>270</v>
      </c>
      <c r="B325" s="0" t="s">
        <v>238</v>
      </c>
      <c r="C325" s="7" t="s">
        <v>240</v>
      </c>
      <c r="E325" s="0" t="n">
        <v>0.13755107</v>
      </c>
    </row>
    <row r="326" customFormat="false" ht="15" hidden="false" customHeight="false" outlineLevel="0" collapsed="false">
      <c r="A326" s="0" t="s">
        <v>270</v>
      </c>
      <c r="B326" s="0" t="s">
        <v>238</v>
      </c>
      <c r="C326" s="7" t="s">
        <v>241</v>
      </c>
      <c r="E326" s="0" t="n">
        <v>0.341207434</v>
      </c>
    </row>
    <row r="327" customFormat="false" ht="15" hidden="false" customHeight="false" outlineLevel="0" collapsed="false">
      <c r="A327" s="0" t="s">
        <v>270</v>
      </c>
      <c r="B327" s="0" t="s">
        <v>242</v>
      </c>
      <c r="C327" s="7" t="s">
        <v>239</v>
      </c>
      <c r="E327" s="0" t="n">
        <v>0.051598476</v>
      </c>
    </row>
    <row r="328" customFormat="false" ht="15" hidden="false" customHeight="false" outlineLevel="0" collapsed="false">
      <c r="A328" s="0" t="s">
        <v>270</v>
      </c>
      <c r="B328" s="0" t="s">
        <v>242</v>
      </c>
      <c r="C328" s="7" t="s">
        <v>240</v>
      </c>
      <c r="E328" s="0" t="n">
        <v>0.12007587</v>
      </c>
    </row>
    <row r="329" customFormat="false" ht="15" hidden="false" customHeight="false" outlineLevel="0" collapsed="false">
      <c r="A329" s="0" t="s">
        <v>270</v>
      </c>
      <c r="B329" s="0" t="s">
        <v>242</v>
      </c>
      <c r="C329" s="7" t="s">
        <v>241</v>
      </c>
      <c r="E329" s="0" t="n">
        <v>0.276502044</v>
      </c>
    </row>
    <row r="330" customFormat="false" ht="15" hidden="false" customHeight="false" outlineLevel="0" collapsed="false">
      <c r="A330" s="0" t="s">
        <v>270</v>
      </c>
      <c r="B330" s="0" t="s">
        <v>243</v>
      </c>
      <c r="C330" s="7" t="s">
        <v>239</v>
      </c>
      <c r="E330" s="0" t="n">
        <v>0.071387256</v>
      </c>
    </row>
    <row r="331" customFormat="false" ht="15" hidden="false" customHeight="false" outlineLevel="0" collapsed="false">
      <c r="A331" s="0" t="s">
        <v>270</v>
      </c>
      <c r="B331" s="0" t="s">
        <v>243</v>
      </c>
      <c r="C331" s="7" t="s">
        <v>240</v>
      </c>
      <c r="E331" s="0" t="n">
        <v>0.16118612</v>
      </c>
    </row>
    <row r="332" customFormat="false" ht="15" hidden="false" customHeight="false" outlineLevel="0" collapsed="false">
      <c r="A332" s="0" t="s">
        <v>270</v>
      </c>
      <c r="B332" s="0" t="s">
        <v>243</v>
      </c>
      <c r="C332" s="7" t="s">
        <v>241</v>
      </c>
      <c r="E332" s="0" t="n">
        <v>0.392826064</v>
      </c>
    </row>
    <row r="333" customFormat="false" ht="15" hidden="false" customHeight="false" outlineLevel="0" collapsed="false">
      <c r="A333" s="0" t="s">
        <v>270</v>
      </c>
      <c r="B333" s="0" t="s">
        <v>244</v>
      </c>
      <c r="C333" s="7" t="s">
        <v>239</v>
      </c>
      <c r="E333" s="0" t="n">
        <v>0.083183508</v>
      </c>
    </row>
    <row r="334" customFormat="false" ht="15" hidden="false" customHeight="false" outlineLevel="0" collapsed="false">
      <c r="A334" s="0" t="s">
        <v>270</v>
      </c>
      <c r="B334" s="0" t="s">
        <v>244</v>
      </c>
      <c r="C334" s="7" t="s">
        <v>240</v>
      </c>
      <c r="E334" s="0" t="n">
        <v>0.18793176</v>
      </c>
    </row>
    <row r="335" customFormat="false" ht="15" hidden="false" customHeight="false" outlineLevel="0" collapsed="false">
      <c r="A335" s="0" t="s">
        <v>270</v>
      </c>
      <c r="B335" s="0" t="s">
        <v>244</v>
      </c>
      <c r="C335" s="7" t="s">
        <v>241</v>
      </c>
      <c r="E335" s="0" t="n">
        <v>0.426375752</v>
      </c>
    </row>
    <row r="336" customFormat="false" ht="17.15" hidden="false" customHeight="false" outlineLevel="0" collapsed="false">
      <c r="A336" s="0" t="s">
        <v>270</v>
      </c>
      <c r="B336" s="0" t="s">
        <v>245</v>
      </c>
      <c r="C336" s="7" t="s">
        <v>239</v>
      </c>
      <c r="E336" s="0" t="n">
        <v>0.089613945</v>
      </c>
    </row>
    <row r="337" customFormat="false" ht="17.15" hidden="false" customHeight="false" outlineLevel="0" collapsed="false">
      <c r="A337" s="0" t="s">
        <v>270</v>
      </c>
      <c r="B337" s="0" t="s">
        <v>245</v>
      </c>
      <c r="C337" s="7" t="s">
        <v>240</v>
      </c>
      <c r="E337" s="0" t="n">
        <v>0.2504289</v>
      </c>
    </row>
    <row r="338" customFormat="false" ht="17.15" hidden="false" customHeight="false" outlineLevel="0" collapsed="false">
      <c r="A338" s="0" t="s">
        <v>270</v>
      </c>
      <c r="B338" s="0" t="s">
        <v>245</v>
      </c>
      <c r="C338" s="7" t="s">
        <v>241</v>
      </c>
      <c r="E338" s="0" t="n">
        <v>0.65481558</v>
      </c>
    </row>
    <row r="339" customFormat="false" ht="15" hidden="false" customHeight="false" outlineLevel="0" collapsed="false">
      <c r="A339" s="0" t="s">
        <v>271</v>
      </c>
      <c r="B339" s="0" t="s">
        <v>238</v>
      </c>
      <c r="C339" s="7" t="s">
        <v>239</v>
      </c>
      <c r="E339" s="0" t="n">
        <v>0.428405388</v>
      </c>
    </row>
    <row r="340" customFormat="false" ht="15" hidden="false" customHeight="false" outlineLevel="0" collapsed="false">
      <c r="A340" s="0" t="s">
        <v>271</v>
      </c>
      <c r="B340" s="0" t="s">
        <v>238</v>
      </c>
      <c r="C340" s="7" t="s">
        <v>240</v>
      </c>
      <c r="E340" s="0" t="n">
        <v>0.82530642</v>
      </c>
    </row>
    <row r="341" customFormat="false" ht="15" hidden="false" customHeight="false" outlineLevel="0" collapsed="false">
      <c r="A341" s="0" t="s">
        <v>271</v>
      </c>
      <c r="B341" s="0" t="s">
        <v>238</v>
      </c>
      <c r="C341" s="7" t="s">
        <v>241</v>
      </c>
      <c r="E341" s="0" t="n">
        <v>1.70603717</v>
      </c>
    </row>
    <row r="342" customFormat="false" ht="15" hidden="false" customHeight="false" outlineLevel="0" collapsed="false">
      <c r="A342" s="0" t="s">
        <v>271</v>
      </c>
      <c r="B342" s="0" t="s">
        <v>242</v>
      </c>
      <c r="C342" s="7" t="s">
        <v>239</v>
      </c>
      <c r="E342" s="0" t="n">
        <v>0.412787808</v>
      </c>
    </row>
    <row r="343" customFormat="false" ht="15" hidden="false" customHeight="false" outlineLevel="0" collapsed="false">
      <c r="A343" s="0" t="s">
        <v>271</v>
      </c>
      <c r="B343" s="0" t="s">
        <v>242</v>
      </c>
      <c r="C343" s="7" t="s">
        <v>240</v>
      </c>
      <c r="E343" s="0" t="n">
        <v>0.72045522</v>
      </c>
    </row>
    <row r="344" customFormat="false" ht="15" hidden="false" customHeight="false" outlineLevel="0" collapsed="false">
      <c r="A344" s="0" t="s">
        <v>271</v>
      </c>
      <c r="B344" s="0" t="s">
        <v>242</v>
      </c>
      <c r="C344" s="7" t="s">
        <v>241</v>
      </c>
      <c r="E344" s="0" t="n">
        <v>1.38251022</v>
      </c>
    </row>
    <row r="345" customFormat="false" ht="15" hidden="false" customHeight="false" outlineLevel="0" collapsed="false">
      <c r="A345" s="0" t="s">
        <v>271</v>
      </c>
      <c r="B345" s="0" t="s">
        <v>243</v>
      </c>
      <c r="C345" s="7" t="s">
        <v>239</v>
      </c>
      <c r="E345" s="0" t="n">
        <v>0.571098048</v>
      </c>
    </row>
    <row r="346" customFormat="false" ht="15" hidden="false" customHeight="false" outlineLevel="0" collapsed="false">
      <c r="A346" s="0" t="s">
        <v>271</v>
      </c>
      <c r="B346" s="0" t="s">
        <v>243</v>
      </c>
      <c r="C346" s="7" t="s">
        <v>240</v>
      </c>
      <c r="E346" s="0" t="n">
        <v>0.96711672</v>
      </c>
    </row>
    <row r="347" customFormat="false" ht="15" hidden="false" customHeight="false" outlineLevel="0" collapsed="false">
      <c r="A347" s="0" t="s">
        <v>271</v>
      </c>
      <c r="B347" s="0" t="s">
        <v>243</v>
      </c>
      <c r="C347" s="7" t="s">
        <v>241</v>
      </c>
      <c r="E347" s="0" t="n">
        <v>1.96413032</v>
      </c>
    </row>
    <row r="348" customFormat="false" ht="15" hidden="false" customHeight="false" outlineLevel="0" collapsed="false">
      <c r="A348" s="0" t="s">
        <v>271</v>
      </c>
      <c r="B348" s="0" t="s">
        <v>244</v>
      </c>
      <c r="C348" s="7" t="s">
        <v>239</v>
      </c>
      <c r="E348" s="0" t="n">
        <v>0.665468064</v>
      </c>
    </row>
    <row r="349" customFormat="false" ht="15" hidden="false" customHeight="false" outlineLevel="0" collapsed="false">
      <c r="A349" s="0" t="s">
        <v>271</v>
      </c>
      <c r="B349" s="0" t="s">
        <v>244</v>
      </c>
      <c r="C349" s="7" t="s">
        <v>240</v>
      </c>
      <c r="E349" s="0" t="n">
        <v>1.12759056</v>
      </c>
    </row>
    <row r="350" customFormat="false" ht="15" hidden="false" customHeight="false" outlineLevel="0" collapsed="false">
      <c r="A350" s="0" t="s">
        <v>271</v>
      </c>
      <c r="B350" s="0" t="s">
        <v>244</v>
      </c>
      <c r="C350" s="7" t="s">
        <v>241</v>
      </c>
      <c r="E350" s="0" t="n">
        <v>2.13187876</v>
      </c>
    </row>
    <row r="351" customFormat="false" ht="17.15" hidden="false" customHeight="false" outlineLevel="0" collapsed="false">
      <c r="A351" s="0" t="s">
        <v>271</v>
      </c>
      <c r="B351" s="0" t="s">
        <v>245</v>
      </c>
      <c r="C351" s="7" t="s">
        <v>239</v>
      </c>
      <c r="E351" s="0" t="n">
        <v>0.71691156</v>
      </c>
    </row>
    <row r="352" customFormat="false" ht="17.15" hidden="false" customHeight="false" outlineLevel="0" collapsed="false">
      <c r="A352" s="0" t="s">
        <v>271</v>
      </c>
      <c r="B352" s="0" t="s">
        <v>245</v>
      </c>
      <c r="C352" s="7" t="s">
        <v>240</v>
      </c>
      <c r="E352" s="0" t="n">
        <v>1.5025734</v>
      </c>
    </row>
    <row r="353" customFormat="false" ht="17.15" hidden="false" customHeight="false" outlineLevel="0" collapsed="false">
      <c r="A353" s="0" t="s">
        <v>271</v>
      </c>
      <c r="B353" s="0" t="s">
        <v>245</v>
      </c>
      <c r="C353" s="7" t="s">
        <v>241</v>
      </c>
      <c r="E353" s="0" t="n">
        <v>3.2740779</v>
      </c>
    </row>
    <row r="354" customFormat="false" ht="15" hidden="false" customHeight="false" outlineLevel="0" collapsed="false">
      <c r="A354" s="0" t="s">
        <v>272</v>
      </c>
      <c r="B354" s="0" t="s">
        <v>103</v>
      </c>
      <c r="C354" s="7" t="s">
        <v>240</v>
      </c>
      <c r="E354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6" t="s">
        <v>273</v>
      </c>
    </row>
    <row r="3" customFormat="false" ht="15" hidden="false" customHeight="false" outlineLevel="0" collapsed="false">
      <c r="A3" s="3" t="s">
        <v>274</v>
      </c>
      <c r="B3" s="3" t="s">
        <v>17</v>
      </c>
      <c r="C3" s="3" t="s">
        <v>275</v>
      </c>
      <c r="D3" s="3" t="s">
        <v>276</v>
      </c>
      <c r="E3" s="3" t="s">
        <v>277</v>
      </c>
      <c r="F3" s="3" t="s">
        <v>278</v>
      </c>
      <c r="G3" s="3" t="s">
        <v>279</v>
      </c>
      <c r="H3" s="3" t="s">
        <v>280</v>
      </c>
    </row>
    <row r="4" customFormat="false" ht="15" hidden="false" customHeight="false" outlineLevel="0" collapsed="false">
      <c r="A4" s="7" t="s">
        <v>281</v>
      </c>
      <c r="B4" s="0" t="s">
        <v>24</v>
      </c>
      <c r="C4" s="0" t="n">
        <v>18.4389160784888</v>
      </c>
      <c r="D4" s="0" t="n">
        <v>51.013578305205</v>
      </c>
      <c r="E4" s="0" t="n">
        <v>13.2946559274427</v>
      </c>
      <c r="F4" s="0" t="n">
        <v>100.928227629337</v>
      </c>
      <c r="G4" s="0" t="n">
        <v>0</v>
      </c>
      <c r="H4" s="0" t="n">
        <v>179.634002446844</v>
      </c>
    </row>
    <row r="5" customFormat="false" ht="15" hidden="false" customHeight="false" outlineLevel="0" collapsed="false">
      <c r="A5" s="7" t="s">
        <v>281</v>
      </c>
      <c r="B5" s="0" t="s">
        <v>25</v>
      </c>
      <c r="C5" s="0" t="n">
        <v>29.3181542946211</v>
      </c>
      <c r="D5" s="0" t="n">
        <v>40.6837030341992</v>
      </c>
      <c r="E5" s="0" t="n">
        <v>18.5333004436762</v>
      </c>
      <c r="F5" s="0" t="n">
        <v>89.4072913196021</v>
      </c>
      <c r="G5" s="0" t="n">
        <v>0</v>
      </c>
      <c r="H5" s="0" t="n">
        <v>165.385125098764</v>
      </c>
    </row>
    <row r="6" customFormat="false" ht="17.15" hidden="false" customHeight="false" outlineLevel="0" collapsed="false">
      <c r="A6" s="0" t="s">
        <v>282</v>
      </c>
      <c r="B6" s="0" t="s">
        <v>24</v>
      </c>
      <c r="C6" s="0" t="n">
        <v>73.1128329626341</v>
      </c>
      <c r="D6" s="0" t="n">
        <v>19.4567044345491</v>
      </c>
      <c r="E6" s="0" t="n">
        <v>44.8400569152071</v>
      </c>
      <c r="F6" s="0" t="n">
        <v>60.4081939871548</v>
      </c>
      <c r="G6" s="0" t="n">
        <v>30.1169261142938</v>
      </c>
      <c r="H6" s="0" t="n">
        <v>122.792472065229</v>
      </c>
    </row>
    <row r="7" customFormat="false" ht="17.15" hidden="false" customHeight="false" outlineLevel="0" collapsed="false">
      <c r="A7" s="0" t="s">
        <v>282</v>
      </c>
      <c r="B7" s="0" t="s">
        <v>25</v>
      </c>
      <c r="C7" s="0" t="n">
        <v>59.3759198319985</v>
      </c>
      <c r="D7" s="0" t="n">
        <v>22.4643124182484</v>
      </c>
      <c r="E7" s="0" t="n">
        <v>38.0907432888378</v>
      </c>
      <c r="F7" s="0" t="n">
        <v>64.0871592914773</v>
      </c>
      <c r="G7" s="0" t="n">
        <v>23.0607724030104</v>
      </c>
      <c r="H7" s="0" t="n">
        <v>127.998914422528</v>
      </c>
    </row>
    <row r="8" customFormat="false" ht="17.15" hidden="false" customHeight="false" outlineLevel="0" collapsed="false">
      <c r="A8" s="0" t="s">
        <v>283</v>
      </c>
      <c r="B8" s="0" t="s">
        <v>24</v>
      </c>
      <c r="C8" s="0" t="n">
        <v>0</v>
      </c>
      <c r="D8" s="0" t="n">
        <v>100.940249149713</v>
      </c>
      <c r="E8" s="0" t="n">
        <v>0</v>
      </c>
      <c r="F8" s="0" t="n">
        <v>161.511133569667</v>
      </c>
      <c r="G8" s="0" t="n">
        <v>0</v>
      </c>
      <c r="H8" s="0" t="n">
        <v>259.754317919494</v>
      </c>
    </row>
    <row r="9" customFormat="false" ht="17.15" hidden="false" customHeight="false" outlineLevel="0" collapsed="false">
      <c r="A9" s="0" t="s">
        <v>283</v>
      </c>
      <c r="B9" s="0" t="s">
        <v>25</v>
      </c>
      <c r="C9" s="0" t="n">
        <v>1.67596299946592</v>
      </c>
      <c r="D9" s="0" t="n">
        <v>73.6220207728507</v>
      </c>
      <c r="E9" s="0" t="n">
        <v>0</v>
      </c>
      <c r="F9" s="0" t="n">
        <v>131.441343167283</v>
      </c>
      <c r="G9" s="0" t="n">
        <v>0</v>
      </c>
      <c r="H9" s="0" t="n">
        <v>223.347359908264</v>
      </c>
    </row>
    <row r="10" customFormat="false" ht="17.15" hidden="false" customHeight="false" outlineLevel="0" collapsed="false">
      <c r="A10" s="0" t="s">
        <v>284</v>
      </c>
      <c r="B10" s="0" t="s">
        <v>24</v>
      </c>
      <c r="C10" s="7" t="s">
        <v>87</v>
      </c>
      <c r="D10" s="7" t="s">
        <v>87</v>
      </c>
      <c r="E10" s="7" t="s">
        <v>87</v>
      </c>
      <c r="F10" s="7" t="s">
        <v>87</v>
      </c>
      <c r="G10" s="7" t="s">
        <v>87</v>
      </c>
      <c r="H10" s="7" t="s">
        <v>87</v>
      </c>
    </row>
    <row r="11" customFormat="false" ht="17.15" hidden="false" customHeight="false" outlineLevel="0" collapsed="false">
      <c r="A11" s="0" t="s">
        <v>284</v>
      </c>
      <c r="B11" s="0" t="s">
        <v>25</v>
      </c>
      <c r="C11" s="7" t="s">
        <v>87</v>
      </c>
      <c r="D11" s="7" t="s">
        <v>87</v>
      </c>
      <c r="E11" s="7" t="s">
        <v>87</v>
      </c>
      <c r="F11" s="7" t="s">
        <v>87</v>
      </c>
      <c r="G11" s="7" t="s">
        <v>87</v>
      </c>
      <c r="H11" s="7" t="s">
        <v>87</v>
      </c>
    </row>
    <row r="12" customFormat="false" ht="17.15" hidden="false" customHeight="false" outlineLevel="0" collapsed="false">
      <c r="A12" s="0" t="s">
        <v>285</v>
      </c>
      <c r="B12" s="0" t="s">
        <v>24</v>
      </c>
      <c r="C12" s="7" t="s">
        <v>87</v>
      </c>
      <c r="D12" s="7" t="s">
        <v>87</v>
      </c>
      <c r="E12" s="7" t="s">
        <v>87</v>
      </c>
      <c r="F12" s="7" t="s">
        <v>87</v>
      </c>
      <c r="G12" s="7" t="s">
        <v>87</v>
      </c>
      <c r="H12" s="7" t="s">
        <v>87</v>
      </c>
    </row>
    <row r="13" customFormat="false" ht="17.15" hidden="false" customHeight="false" outlineLevel="0" collapsed="false">
      <c r="A13" s="0" t="s">
        <v>285</v>
      </c>
      <c r="B13" s="0" t="s">
        <v>25</v>
      </c>
      <c r="C13" s="7" t="s">
        <v>87</v>
      </c>
      <c r="D13" s="7" t="s">
        <v>87</v>
      </c>
      <c r="E13" s="7" t="s">
        <v>87</v>
      </c>
      <c r="F13" s="7" t="s">
        <v>87</v>
      </c>
      <c r="G13" s="7" t="s">
        <v>87</v>
      </c>
      <c r="H13" s="7" t="s">
        <v>87</v>
      </c>
    </row>
    <row r="14" customFormat="false" ht="17.15" hidden="false" customHeight="false" outlineLevel="0" collapsed="false">
      <c r="A14" s="7" t="s">
        <v>286</v>
      </c>
      <c r="B14" s="0" t="s">
        <v>24</v>
      </c>
      <c r="C14" s="0" t="n">
        <v>18.4520351321708</v>
      </c>
      <c r="D14" s="0" t="n">
        <v>57.0283483172874</v>
      </c>
      <c r="E14" s="0" t="n">
        <v>6.73849538386266</v>
      </c>
      <c r="F14" s="0" t="n">
        <v>119.903343275336</v>
      </c>
      <c r="G14" s="0" t="n">
        <v>0</v>
      </c>
      <c r="H14" s="0" t="n">
        <v>215.474682205569</v>
      </c>
    </row>
    <row r="15" customFormat="false" ht="17.15" hidden="false" customHeight="false" outlineLevel="0" collapsed="false">
      <c r="A15" s="7" t="s">
        <v>286</v>
      </c>
      <c r="B15" s="0" t="s">
        <v>25</v>
      </c>
      <c r="C15" s="0" t="n">
        <v>28.9478728721375</v>
      </c>
      <c r="D15" s="0" t="n">
        <v>46.4587473501892</v>
      </c>
      <c r="E15" s="0" t="n">
        <v>15.369612104278</v>
      </c>
      <c r="F15" s="0" t="n">
        <v>107.886966936021</v>
      </c>
      <c r="G15" s="0" t="n">
        <v>0</v>
      </c>
      <c r="H15" s="0" t="n">
        <v>200.295601984497</v>
      </c>
    </row>
    <row r="16" customFormat="false" ht="17.15" hidden="false" customHeight="false" outlineLevel="0" collapsed="false">
      <c r="A16" s="7" t="s">
        <v>287</v>
      </c>
      <c r="B16" s="0" t="s">
        <v>24</v>
      </c>
      <c r="C16" s="0" t="n">
        <v>12.5495094645663</v>
      </c>
      <c r="D16" s="0" t="n">
        <v>55.7313397838137</v>
      </c>
      <c r="E16" s="0" t="n">
        <v>1.87999603336139</v>
      </c>
      <c r="F16" s="0" t="n">
        <v>106.027090019816</v>
      </c>
      <c r="G16" s="0" t="n">
        <v>0</v>
      </c>
      <c r="H16" s="0" t="n">
        <v>185.577286943356</v>
      </c>
    </row>
    <row r="17" customFormat="false" ht="17.15" hidden="false" customHeight="false" outlineLevel="0" collapsed="false">
      <c r="A17" s="7" t="s">
        <v>287</v>
      </c>
      <c r="B17" s="0" t="s">
        <v>25</v>
      </c>
      <c r="C17" s="0" t="n">
        <v>23.1820369485176</v>
      </c>
      <c r="D17" s="0" t="n">
        <v>45.2199002083101</v>
      </c>
      <c r="E17" s="0" t="n">
        <v>22.7200316111757</v>
      </c>
      <c r="F17" s="0" t="n">
        <v>94.3099634137179</v>
      </c>
      <c r="G17" s="0" t="n">
        <v>0</v>
      </c>
      <c r="H17" s="0" t="n">
        <v>171.098987787857</v>
      </c>
    </row>
    <row r="18" customFormat="false" ht="17.15" hidden="false" customHeight="false" outlineLevel="0" collapsed="false">
      <c r="A18" s="0" t="s">
        <v>288</v>
      </c>
      <c r="B18" s="0" t="s">
        <v>24</v>
      </c>
      <c r="C18" s="0" t="n">
        <v>12.891881571153</v>
      </c>
      <c r="D18" s="0" t="n">
        <v>55.3114248281113</v>
      </c>
      <c r="E18" s="0" t="n">
        <v>1.81133659033968</v>
      </c>
      <c r="F18" s="0" t="n">
        <v>105.976883527869</v>
      </c>
      <c r="G18" s="0" t="n">
        <v>0</v>
      </c>
      <c r="H18" s="0" t="n">
        <v>186.352741115638</v>
      </c>
    </row>
    <row r="19" customFormat="false" ht="17.15" hidden="false" customHeight="false" outlineLevel="0" collapsed="false">
      <c r="A19" s="0" t="s">
        <v>288</v>
      </c>
      <c r="B19" s="0" t="s">
        <v>25</v>
      </c>
      <c r="C19" s="0" t="n">
        <v>23.8096044663599</v>
      </c>
      <c r="D19" s="0" t="n">
        <v>44.6102152292373</v>
      </c>
      <c r="E19" s="0" t="n">
        <v>23.1511957531321</v>
      </c>
      <c r="F19" s="0" t="n">
        <v>94.0446881769054</v>
      </c>
      <c r="G19" s="0" t="n">
        <v>0</v>
      </c>
      <c r="H19" s="0" t="n">
        <v>171.608975875627</v>
      </c>
    </row>
    <row r="20" customFormat="false" ht="17.15" hidden="false" customHeight="false" outlineLevel="0" collapsed="false">
      <c r="A20" s="0" t="s">
        <v>289</v>
      </c>
      <c r="B20" s="0" t="s">
        <v>24</v>
      </c>
      <c r="C20" s="0" t="n">
        <v>31.2720628633824</v>
      </c>
      <c r="D20" s="0" t="n">
        <v>41.7018389308786</v>
      </c>
      <c r="E20" s="0" t="n">
        <v>21.2246639700842</v>
      </c>
      <c r="F20" s="0" t="n">
        <v>89.989800427742</v>
      </c>
      <c r="G20" s="0" t="n">
        <v>3.23914345842727</v>
      </c>
      <c r="H20" s="0" t="n">
        <v>165.077175410664</v>
      </c>
    </row>
    <row r="21" customFormat="false" ht="17.15" hidden="false" customHeight="false" outlineLevel="0" collapsed="false">
      <c r="A21" s="0" t="s">
        <v>289</v>
      </c>
      <c r="B21" s="0" t="s">
        <v>25</v>
      </c>
      <c r="C21" s="0" t="n">
        <v>42.0533986767359</v>
      </c>
      <c r="D21" s="0" t="n">
        <v>32.1764443362143</v>
      </c>
      <c r="E21" s="0" t="n">
        <v>31.3999379112654</v>
      </c>
      <c r="F21" s="0" t="n">
        <v>79.3598252645416</v>
      </c>
      <c r="G21" s="0" t="n">
        <v>14.0953236265844</v>
      </c>
      <c r="H21" s="0" t="n">
        <v>151.900412765808</v>
      </c>
    </row>
    <row r="22" customFormat="false" ht="17.15" hidden="false" customHeight="false" outlineLevel="0" collapsed="false">
      <c r="A22" s="0" t="s">
        <v>290</v>
      </c>
      <c r="B22" s="0" t="s">
        <v>24</v>
      </c>
      <c r="C22" s="0" t="n">
        <v>43.6304787176249</v>
      </c>
      <c r="D22" s="0" t="n">
        <v>33.8229055784466</v>
      </c>
      <c r="E22" s="0" t="n">
        <v>32.4397286432563</v>
      </c>
      <c r="F22" s="0" t="n">
        <v>80.7344911432363</v>
      </c>
      <c r="G22" s="0" t="n">
        <v>17.8712035431941</v>
      </c>
      <c r="H22" s="0" t="n">
        <v>152.760229842268</v>
      </c>
    </row>
    <row r="23" customFormat="false" ht="17.15" hidden="false" customHeight="false" outlineLevel="0" collapsed="false">
      <c r="A23" s="0" t="s">
        <v>290</v>
      </c>
      <c r="B23" s="0" t="s">
        <v>25</v>
      </c>
      <c r="C23" s="0" t="n">
        <v>66.2968296952018</v>
      </c>
      <c r="D23" s="0" t="n">
        <v>24.97815859716</v>
      </c>
      <c r="E23" s="0" t="n">
        <v>42.1485558476493</v>
      </c>
      <c r="F23" s="0" t="n">
        <v>70.858320897079</v>
      </c>
      <c r="G23" s="0" t="n">
        <v>28.6920480373452</v>
      </c>
      <c r="H23" s="0" t="n">
        <v>140.490522982048</v>
      </c>
    </row>
    <row r="24" customFormat="false" ht="17.15" hidden="false" customHeight="false" outlineLevel="0" collapsed="false">
      <c r="A24" s="7" t="s">
        <v>291</v>
      </c>
      <c r="B24" s="0" t="s">
        <v>24</v>
      </c>
      <c r="C24" s="0" t="n">
        <v>28.3842952365478</v>
      </c>
      <c r="D24" s="0" t="n">
        <v>43.8506733242618</v>
      </c>
      <c r="E24" s="0" t="n">
        <v>17.9675425049054</v>
      </c>
      <c r="F24" s="0" t="n">
        <v>92.5140175608113</v>
      </c>
      <c r="G24" s="0" t="n">
        <v>0</v>
      </c>
      <c r="H24" s="0" t="n">
        <v>168.436396528637</v>
      </c>
    </row>
    <row r="25" customFormat="false" ht="17.15" hidden="false" customHeight="false" outlineLevel="0" collapsed="false">
      <c r="A25" s="7" t="s">
        <v>291</v>
      </c>
      <c r="B25" s="0" t="s">
        <v>25</v>
      </c>
      <c r="C25" s="0" t="n">
        <v>38.97521417996</v>
      </c>
      <c r="D25" s="0" t="n">
        <v>34.1396376674474</v>
      </c>
      <c r="E25" s="0" t="n">
        <v>28.4090792775149</v>
      </c>
      <c r="F25" s="0" t="n">
        <v>81.6784466841414</v>
      </c>
      <c r="G25" s="0" t="n">
        <v>10.1143910898168</v>
      </c>
      <c r="H25" s="0" t="n">
        <v>155.01223779137</v>
      </c>
    </row>
    <row r="26" customFormat="false" ht="17.15" hidden="false" customHeight="false" outlineLevel="0" collapsed="false">
      <c r="A26" s="7" t="s">
        <v>292</v>
      </c>
      <c r="B26" s="0" t="s">
        <v>24</v>
      </c>
      <c r="C26" s="0" t="n">
        <v>38.5909292708748</v>
      </c>
      <c r="D26" s="0" t="n">
        <v>36.6879506883419</v>
      </c>
      <c r="E26" s="0" t="n">
        <v>28.7600906381339</v>
      </c>
      <c r="F26" s="0" t="n">
        <v>84.1000320598724</v>
      </c>
      <c r="G26" s="0" t="n">
        <v>12.4982129296062</v>
      </c>
      <c r="H26" s="0" t="n">
        <v>157.239085688497</v>
      </c>
    </row>
    <row r="27" customFormat="false" ht="17.15" hidden="false" customHeight="false" outlineLevel="0" collapsed="false">
      <c r="A27" s="7" t="s">
        <v>292</v>
      </c>
      <c r="B27" s="0" t="s">
        <v>25</v>
      </c>
      <c r="C27" s="0" t="n">
        <v>55.6569346462762</v>
      </c>
      <c r="D27" s="0" t="n">
        <v>27.595701654582</v>
      </c>
      <c r="E27" s="0" t="n">
        <v>38.0900247122983</v>
      </c>
      <c r="F27" s="0" t="n">
        <v>73.9497587226922</v>
      </c>
      <c r="G27" s="0" t="n">
        <v>23.3841530582107</v>
      </c>
      <c r="H27" s="0" t="n">
        <v>144.639550975324</v>
      </c>
    </row>
    <row r="28" customFormat="false" ht="17.15" hidden="false" customHeight="false" outlineLevel="0" collapsed="false">
      <c r="A28" s="7" t="s">
        <v>293</v>
      </c>
      <c r="B28" s="0" t="s">
        <v>24</v>
      </c>
      <c r="C28" s="0" t="n">
        <v>13.9805355188478</v>
      </c>
      <c r="D28" s="0" t="n">
        <v>54.8411224358677</v>
      </c>
      <c r="E28" s="0" t="n">
        <v>5.24785180769839</v>
      </c>
      <c r="F28" s="0" t="n">
        <v>104.768016723937</v>
      </c>
      <c r="G28" s="0" t="n">
        <v>0</v>
      </c>
      <c r="H28" s="0" t="n">
        <v>183.494127989618</v>
      </c>
    </row>
    <row r="29" customFormat="false" ht="17.15" hidden="false" customHeight="false" outlineLevel="0" collapsed="false">
      <c r="A29" s="7" t="s">
        <v>293</v>
      </c>
      <c r="B29" s="0" t="s">
        <v>25</v>
      </c>
      <c r="C29" s="0" t="n">
        <v>19.631852075254</v>
      </c>
      <c r="D29" s="0" t="n">
        <v>48.536489397631</v>
      </c>
      <c r="E29" s="0" t="n">
        <v>17.2508451615994</v>
      </c>
      <c r="F29" s="0" t="n">
        <v>97.2318261128388</v>
      </c>
      <c r="G29" s="0" t="n">
        <v>0</v>
      </c>
      <c r="H29" s="0" t="n">
        <v>173.286743179448</v>
      </c>
    </row>
    <row r="30" customFormat="false" ht="17.15" hidden="false" customHeight="false" outlineLevel="0" collapsed="false">
      <c r="A30" s="7" t="s">
        <v>294</v>
      </c>
      <c r="B30" s="0" t="s">
        <v>24</v>
      </c>
      <c r="C30" s="0" t="n">
        <v>37.4278074598333</v>
      </c>
      <c r="D30" s="0" t="n">
        <v>37.4042156784592</v>
      </c>
      <c r="E30" s="0" t="n">
        <v>27.7388941461366</v>
      </c>
      <c r="F30" s="0" t="n">
        <v>84.9414217656364</v>
      </c>
      <c r="G30" s="0" t="n">
        <v>11.1643725609859</v>
      </c>
      <c r="H30" s="0" t="n">
        <v>158.358805359117</v>
      </c>
    </row>
    <row r="31" customFormat="false" ht="17.15" hidden="false" customHeight="false" outlineLevel="0" collapsed="false">
      <c r="A31" s="7" t="s">
        <v>294</v>
      </c>
      <c r="B31" s="0" t="s">
        <v>25</v>
      </c>
      <c r="C31" s="0" t="n">
        <v>53.1327148381051</v>
      </c>
      <c r="D31" s="0" t="n">
        <v>28.2500900726785</v>
      </c>
      <c r="E31" s="0" t="n">
        <v>37.1431840028499</v>
      </c>
      <c r="F31" s="0" t="n">
        <v>74.722621323387</v>
      </c>
      <c r="G31" s="0" t="n">
        <v>22.0571784879102</v>
      </c>
      <c r="H31" s="0" t="n">
        <v>145.676811875061</v>
      </c>
    </row>
    <row r="32" customFormat="false" ht="17.15" hidden="false" customHeight="false" outlineLevel="0" collapsed="false">
      <c r="A32" s="7" t="s">
        <v>295</v>
      </c>
      <c r="B32" s="0" t="s">
        <v>24</v>
      </c>
      <c r="C32" s="0" t="n">
        <v>43.4174003627282</v>
      </c>
      <c r="D32" s="0" t="n">
        <v>33.9412234209607</v>
      </c>
      <c r="E32" s="0" t="n">
        <v>32.2789793019021</v>
      </c>
      <c r="F32" s="0" t="n">
        <v>80.8734779614107</v>
      </c>
      <c r="G32" s="0" t="n">
        <v>17.6481141797275</v>
      </c>
      <c r="H32" s="0" t="n">
        <v>152.945193285054</v>
      </c>
    </row>
    <row r="33" customFormat="false" ht="17.15" hidden="false" customHeight="false" outlineLevel="0" collapsed="false">
      <c r="A33" s="7" t="s">
        <v>296</v>
      </c>
      <c r="B33" s="0" t="s">
        <v>25</v>
      </c>
      <c r="C33" s="0" t="n">
        <v>79.956061333637</v>
      </c>
      <c r="D33" s="0" t="n">
        <v>21.6126400917217</v>
      </c>
      <c r="E33" s="0" t="n">
        <v>48.5839857186112</v>
      </c>
      <c r="F33" s="0" t="n">
        <v>66.8834898550481</v>
      </c>
      <c r="G33" s="0" t="n">
        <v>35.5167399162536</v>
      </c>
      <c r="H33" s="0" t="n">
        <v>135.155887210051</v>
      </c>
    </row>
    <row r="34" customFormat="false" ht="17.15" hidden="false" customHeight="false" outlineLevel="0" collapsed="false">
      <c r="A34" s="7" t="s">
        <v>297</v>
      </c>
      <c r="B34" s="0" t="s">
        <v>24</v>
      </c>
      <c r="C34" s="0" t="n">
        <v>33.6671718148054</v>
      </c>
      <c r="D34" s="0" t="n">
        <v>39.6975461042426</v>
      </c>
      <c r="E34" s="0" t="n">
        <v>22.4718350633592</v>
      </c>
      <c r="F34" s="0" t="n">
        <v>88.4241920829774</v>
      </c>
      <c r="G34" s="0" t="n">
        <v>2.22460321997095</v>
      </c>
      <c r="H34" s="0" t="n">
        <v>164.515896683873</v>
      </c>
    </row>
    <row r="35" customFormat="false" ht="17.15" hidden="false" customHeight="false" outlineLevel="0" collapsed="false">
      <c r="A35" s="7" t="s">
        <v>298</v>
      </c>
      <c r="B35" s="0" t="s">
        <v>25</v>
      </c>
      <c r="C35" s="0" t="n">
        <v>28.6686491093053</v>
      </c>
      <c r="D35" s="0" t="n">
        <v>41.1626167560806</v>
      </c>
      <c r="E35" s="0" t="n">
        <v>17.9048503109729</v>
      </c>
      <c r="F35" s="0" t="n">
        <v>89.9288782526563</v>
      </c>
      <c r="G35" s="0" t="n">
        <v>0</v>
      </c>
      <c r="H35" s="0" t="n">
        <v>166.000617705248</v>
      </c>
    </row>
    <row r="36" customFormat="false" ht="17.15" hidden="false" customHeight="false" outlineLevel="0" collapsed="false">
      <c r="A36" s="7" t="s">
        <v>299</v>
      </c>
      <c r="B36" s="0" t="s">
        <v>24</v>
      </c>
      <c r="C36" s="0" t="n">
        <v>32.383870139115</v>
      </c>
      <c r="D36" s="0" t="n">
        <v>26.0067935772364</v>
      </c>
      <c r="E36" s="0" t="n">
        <v>26.0029572486868</v>
      </c>
      <c r="F36" s="0" t="n">
        <v>60.3636508966861</v>
      </c>
      <c r="G36" s="0" t="n">
        <v>13.3185654617766</v>
      </c>
      <c r="H36" s="0" t="n">
        <v>113.635439215025</v>
      </c>
    </row>
    <row r="37" customFormat="false" ht="17.15" hidden="false" customHeight="false" outlineLevel="0" collapsed="false">
      <c r="A37" s="7" t="s">
        <v>300</v>
      </c>
      <c r="B37" s="0" t="s">
        <v>25</v>
      </c>
      <c r="C37" s="0" t="n">
        <v>37.9888188051891</v>
      </c>
      <c r="D37" s="0" t="n">
        <v>26.3693826516689</v>
      </c>
      <c r="E37" s="0" t="n">
        <v>30.0075470835581</v>
      </c>
      <c r="F37" s="0" t="n">
        <v>64.8648455996717</v>
      </c>
      <c r="G37" s="0" t="n">
        <v>15.4568152853614</v>
      </c>
      <c r="H37" s="0" t="n">
        <v>124.164802758546</v>
      </c>
    </row>
    <row r="38" customFormat="false" ht="15" hidden="false" customHeight="false" outlineLevel="0" collapsed="false">
      <c r="A38" s="7" t="s">
        <v>301</v>
      </c>
      <c r="B38" s="0" t="s">
        <v>24</v>
      </c>
      <c r="C38" s="0" t="n">
        <v>67.978469943865</v>
      </c>
      <c r="D38" s="0" t="n">
        <v>14.6907613762739</v>
      </c>
      <c r="E38" s="0" t="n">
        <v>43.3002212064175</v>
      </c>
      <c r="F38" s="0" t="n">
        <v>47.8596153503264</v>
      </c>
      <c r="G38" s="0" t="n">
        <v>31.6598800172389</v>
      </c>
      <c r="H38" s="0" t="n">
        <v>98.5173334520539</v>
      </c>
    </row>
    <row r="39" customFormat="false" ht="15" hidden="false" customHeight="false" outlineLevel="0" collapsed="false">
      <c r="A39" s="7" t="s">
        <v>301</v>
      </c>
      <c r="B39" s="0" t="s">
        <v>25</v>
      </c>
      <c r="C39" s="0" t="n">
        <v>37.272159199947</v>
      </c>
      <c r="D39" s="0" t="n">
        <v>26.8482963735504</v>
      </c>
      <c r="E39" s="0" t="n">
        <v>29.3753820814155</v>
      </c>
      <c r="F39" s="0" t="n">
        <v>65.3864325327258</v>
      </c>
      <c r="G39" s="0" t="n">
        <v>14.7138236052813</v>
      </c>
      <c r="H39" s="0" t="n">
        <v>124.78029536503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6" t="s">
        <v>302</v>
      </c>
    </row>
    <row r="3" customFormat="false" ht="15" hidden="false" customHeight="false" outlineLevel="0" collapsed="false">
      <c r="A3" s="3" t="s">
        <v>303</v>
      </c>
      <c r="B3" s="3" t="s">
        <v>304</v>
      </c>
      <c r="C3" s="3" t="s">
        <v>240</v>
      </c>
      <c r="D3" s="3" t="s">
        <v>305</v>
      </c>
    </row>
    <row r="4" customFormat="false" ht="17.15" hidden="false" customHeight="false" outlineLevel="0" collapsed="false">
      <c r="A4" s="0" t="s">
        <v>306</v>
      </c>
      <c r="B4" s="10" t="n">
        <v>3.85958443326141</v>
      </c>
      <c r="C4" s="10" t="n">
        <v>6.83574980535934</v>
      </c>
      <c r="D4" s="10" t="n">
        <v>0</v>
      </c>
    </row>
    <row r="5" customFormat="false" ht="17.15" hidden="false" customHeight="false" outlineLevel="0" collapsed="false">
      <c r="A5" s="0" t="s">
        <v>307</v>
      </c>
      <c r="B5" s="10" t="n">
        <v>-5.88534447757876</v>
      </c>
      <c r="C5" s="10" t="n">
        <v>-11.1413968293039</v>
      </c>
      <c r="D5" s="10" t="n">
        <v>0</v>
      </c>
    </row>
    <row r="6" customFormat="false" ht="17.15" hidden="false" customHeight="false" outlineLevel="0" collapsed="false">
      <c r="A6" s="0" t="s">
        <v>308</v>
      </c>
      <c r="B6" s="10" t="n">
        <v>12.9049982604497</v>
      </c>
      <c r="C6" s="10" t="n">
        <v>9.54429154017814</v>
      </c>
      <c r="D6" s="10" t="n">
        <v>0</v>
      </c>
    </row>
    <row r="7" customFormat="false" ht="17.15" hidden="false" customHeight="false" outlineLevel="0" collapsed="false">
      <c r="A7" s="0" t="s">
        <v>309</v>
      </c>
      <c r="B7" s="10" t="n">
        <v>0</v>
      </c>
      <c r="C7" s="10" t="n">
        <v>0</v>
      </c>
      <c r="D7" s="10" t="n">
        <v>0</v>
      </c>
    </row>
    <row r="8" customFormat="false" ht="15" hidden="false" customHeight="false" outlineLevel="0" collapsed="false">
      <c r="A8" s="7" t="s">
        <v>310</v>
      </c>
      <c r="B8" s="10" t="n">
        <f aca="false">SUM(B4:B7)</f>
        <v>10.8792382161324</v>
      </c>
      <c r="C8" s="10" t="n">
        <f aca="false">SUM(C4:C7)</f>
        <v>5.23864451623356</v>
      </c>
      <c r="D8" s="10" t="n">
        <f aca="false">SUM(D4:D7)</f>
        <v>0</v>
      </c>
    </row>
    <row r="9" customFormat="false" ht="17.15" hidden="false" customHeight="false" outlineLevel="0" collapsed="false">
      <c r="A9" s="7" t="s">
        <v>311</v>
      </c>
      <c r="B9" s="10" t="n">
        <v>10.8792382161324</v>
      </c>
      <c r="C9" s="10" t="n">
        <v>5.23864451623356</v>
      </c>
      <c r="D9" s="10" t="n">
        <v>0</v>
      </c>
    </row>
    <row r="10" customFormat="false" ht="17.15" hidden="false" customHeight="false" outlineLevel="0" collapsed="false">
      <c r="A10" s="7" t="s">
        <v>312</v>
      </c>
      <c r="B10" s="0" t="str">
        <f aca="false">IF(ABS(B8-B9)&lt;0.01,"通過","不通過")</f>
        <v>通過</v>
      </c>
      <c r="C10" s="0" t="str">
        <f aca="false">IF(ABS(C8-C9)&lt;0.01,"通過","不通過")</f>
        <v>通過</v>
      </c>
      <c r="D10" s="0" t="str">
        <f aca="false">IF(ABS(D8-D9)&lt;0.01,"通過","不通過")</f>
        <v>通過</v>
      </c>
    </row>
    <row r="12" customFormat="false" ht="17.15" hidden="false" customHeight="false" outlineLevel="0" collapsed="false">
      <c r="A12" s="0" t="s">
        <v>313</v>
      </c>
      <c r="B12" s="10" t="n">
        <v>0</v>
      </c>
      <c r="C12" s="10" t="n">
        <v>0</v>
      </c>
      <c r="D12" s="10" t="n">
        <v>0</v>
      </c>
    </row>
    <row r="13" customFormat="false" ht="17.15" hidden="false" customHeight="false" outlineLevel="0" collapsed="false">
      <c r="A13" s="0" t="s">
        <v>314</v>
      </c>
      <c r="B13" s="10" t="n">
        <v>0</v>
      </c>
      <c r="C13" s="10" t="n">
        <v>0</v>
      </c>
      <c r="D13" s="10" t="n">
        <v>0</v>
      </c>
    </row>
    <row r="14" customFormat="false" ht="17.15" hidden="false" customHeight="false" outlineLevel="0" collapsed="false">
      <c r="A14" s="0" t="s">
        <v>315</v>
      </c>
      <c r="B14" s="10" t="n">
        <v>-2.02576004431734</v>
      </c>
      <c r="C14" s="10" t="n">
        <v>-4.30564702394458</v>
      </c>
      <c r="D14" s="10" t="n">
        <v>0</v>
      </c>
    </row>
    <row r="15" customFormat="false" ht="17.15" hidden="false" customHeight="false" outlineLevel="0" collapsed="false">
      <c r="A15" s="0" t="s">
        <v>316</v>
      </c>
      <c r="B15" s="10" t="n">
        <v>12.9049982604497</v>
      </c>
      <c r="C15" s="10" t="n">
        <v>9.54429154017814</v>
      </c>
      <c r="D15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2026-10-08T19:34:53Z</dcterms:created>
  <dc:creator>openpyxl</dc:creator>
  <dc:description/>
  <dc:language>en-US</dc:language>
  <cp:lastModifiedBy/>
  <dcterms:modified xsi:type="dcterms:W3CDTF">2026-10-08T19:34:53Z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