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每MW_三版" sheetId="2" state="visible" r:id="rId2"/>
    <sheet xmlns:r="http://schemas.openxmlformats.org/officeDocument/2006/relationships" name="公司實況驗證" sheetId="3" state="visible" r:id="rId3"/>
    <sheet xmlns:r="http://schemas.openxmlformats.org/officeDocument/2006/relationships" name="敏感度" sheetId="4" state="visible" r:id="rId4"/>
    <sheet xmlns:r="http://schemas.openxmlformats.org/officeDocument/2006/relationships" name="變動拆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+0.00;-0.00"/>
  </numFmts>
  <fonts count="5">
    <font>
      <name val="Calibri"/>
      <family val="2"/>
      <color theme="1"/>
      <sz val="11"/>
      <scheme val="minor"/>
    </font>
    <font>
      <b val="1"/>
      <sz val="13"/>
    </font>
    <font>
      <color rgb="0055555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CoreWeave v4.6 → v4.7 W4 → v4.7 W5（公司實況驗證）三版對照</t>
        </is>
      </c>
    </row>
    <row r="2">
      <c r="A2" s="2" t="inlineStr">
        <is>
          <t>公司調整只採用有證據的機制（既有合約以 Q2 實現單價）；營運成本與每 MW 資本支出差距 &gt; 10% 但找不到機制：Tokenomics 為基準、公司實際為敏感度</t>
        </is>
      </c>
    </row>
    <row r="4">
      <c r="A4" s="3" t="inlineStr">
        <is>
          <t>情境</t>
        </is>
      </c>
      <c r="B4" s="3" t="inlineStr">
        <is>
          <t>v4.6 目標價</t>
        </is>
      </c>
      <c r="C4" s="3" t="inlineStr">
        <is>
          <t>v4.7 W4</t>
        </is>
      </c>
      <c r="D4" s="3" t="inlineStr">
        <is>
          <t>v4.7 W5</t>
        </is>
      </c>
      <c r="E4" s="3" t="inlineStr">
        <is>
          <t>W5 − W4</t>
        </is>
      </c>
      <c r="F4" s="3" t="inlineStr">
        <is>
          <t>v4.6 評等</t>
        </is>
      </c>
      <c r="G4" s="3" t="inlineStr">
        <is>
          <t>W4 評等</t>
        </is>
      </c>
      <c r="H4" s="3" t="inlineStr">
        <is>
          <t>W5 評等</t>
        </is>
      </c>
      <c r="I4" s="3" t="inlineStr">
        <is>
          <t>v4.6 融資缺口</t>
        </is>
      </c>
      <c r="J4" s="3" t="inlineStr">
        <is>
          <t>W4 融資缺口</t>
        </is>
      </c>
      <c r="K4" s="3" t="inlineStr">
        <is>
          <t>W5 融資缺口</t>
        </is>
      </c>
    </row>
    <row r="5">
      <c r="A5" s="4" t="inlineStr">
        <is>
          <t>保守 4.2 GW</t>
        </is>
      </c>
      <c r="B5" s="4" t="n">
        <v>43.99277321070669</v>
      </c>
      <c r="C5" s="4" t="n">
        <v>13.98053551884776</v>
      </c>
      <c r="D5" s="4" t="n">
        <v>18.43891607848876</v>
      </c>
      <c r="E5" s="4">
        <f>D5-C5</f>
        <v/>
      </c>
      <c r="F5" s="4" t="inlineStr">
        <is>
          <t>賣出</t>
        </is>
      </c>
      <c r="G5" s="4" t="inlineStr">
        <is>
          <t>賣出</t>
        </is>
      </c>
      <c r="H5" s="4" t="inlineStr">
        <is>
          <t>賣出</t>
        </is>
      </c>
      <c r="I5" s="4" t="n">
        <v>32.65413078809556</v>
      </c>
      <c r="J5" s="4" t="n">
        <v>54.8411224358677</v>
      </c>
      <c r="K5" s="4" t="n">
        <v>51.01357830520501</v>
      </c>
    </row>
    <row r="6">
      <c r="A6" s="4" t="inlineStr">
        <is>
          <t>基準 5.6 GW</t>
        </is>
      </c>
      <c r="B6" s="4" t="n">
        <v>29.67847249688441</v>
      </c>
      <c r="C6" s="4" t="n">
        <v>5.247851807698387</v>
      </c>
      <c r="D6" s="4" t="n">
        <v>13.29465592744266</v>
      </c>
      <c r="E6" s="4">
        <f>D6-C6</f>
        <v/>
      </c>
      <c r="F6" s="4" t="inlineStr">
        <is>
          <t>賣出</t>
        </is>
      </c>
      <c r="G6" s="4" t="inlineStr">
        <is>
          <t>賣出</t>
        </is>
      </c>
      <c r="H6" s="4" t="inlineStr">
        <is>
          <t>賣出</t>
        </is>
      </c>
      <c r="I6" s="4" t="n">
        <v>81.57178002806313</v>
      </c>
      <c r="J6" s="4" t="n">
        <v>104.768016723937</v>
      </c>
      <c r="K6" s="4" t="n">
        <v>100.928227629337</v>
      </c>
    </row>
    <row r="7">
      <c r="A7" s="4" t="inlineStr">
        <is>
          <t>積極 8 GW</t>
        </is>
      </c>
      <c r="B7" s="4" t="n">
        <v>19.94892030414661</v>
      </c>
      <c r="C7" s="4" t="n">
        <v>0</v>
      </c>
      <c r="D7" s="4" t="n">
        <v>0</v>
      </c>
      <c r="E7" s="4">
        <f>D7-C7</f>
        <v/>
      </c>
      <c r="F7" s="4" t="inlineStr">
        <is>
          <t>賣出</t>
        </is>
      </c>
      <c r="G7" s="4" t="inlineStr">
        <is>
          <t>賣出</t>
        </is>
      </c>
      <c r="H7" s="4" t="inlineStr">
        <is>
          <t>賣出</t>
        </is>
      </c>
      <c r="I7" s="4" t="n">
        <v>157.9462801857403</v>
      </c>
      <c r="J7" s="4" t="n">
        <v>183.4941279896183</v>
      </c>
      <c r="K7" s="4" t="n">
        <v>179.6340024468437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基準情境每 MW（US$m／平均在役 MW／年）：v4.6／v4.7 W4／v4.7 W5</t>
        </is>
      </c>
    </row>
    <row r="3">
      <c r="A3" s="3" t="inlineStr">
        <is>
          <t>項目</t>
        </is>
      </c>
      <c r="B3" s="3" t="inlineStr">
        <is>
          <t>版本</t>
        </is>
      </c>
      <c r="C3" s="3" t="inlineStr">
        <is>
          <t>FY26（2H）</t>
        </is>
      </c>
      <c r="D3" s="3" t="inlineStr">
        <is>
          <t>FY27</t>
        </is>
      </c>
      <c r="E3" s="3" t="inlineStr">
        <is>
          <t>FY28</t>
        </is>
      </c>
      <c r="F3" s="3" t="inlineStr">
        <is>
          <t>FY29</t>
        </is>
      </c>
      <c r="G3" s="3" t="inlineStr">
        <is>
          <t>FY30</t>
        </is>
      </c>
    </row>
    <row r="4">
      <c r="A4" t="inlineStr">
        <is>
          <t>每 MW 年收入（算力＋服務）</t>
        </is>
      </c>
      <c r="B4" t="inlineStr">
        <is>
          <t>v4.6</t>
        </is>
      </c>
      <c r="C4" s="5" t="n">
        <v>10.04537313432836</v>
      </c>
      <c r="D4" s="5" t="n">
        <v>10.55656565656566</v>
      </c>
      <c r="E4" s="5" t="n">
        <v>10.32941281690141</v>
      </c>
      <c r="F4" s="5" t="n">
        <v>9.628147386363638</v>
      </c>
      <c r="G4" s="5" t="n">
        <v>8.652678846153847</v>
      </c>
    </row>
    <row r="5">
      <c r="A5" t="inlineStr">
        <is>
          <t>每 MW 年收入（算力＋服務）</t>
        </is>
      </c>
      <c r="B5" t="inlineStr">
        <is>
          <t>v4.7 W4</t>
        </is>
      </c>
      <c r="C5" s="5" t="n">
        <v>7.637605355106333</v>
      </c>
      <c r="D5" s="5" t="n">
        <v>8.161559306105135</v>
      </c>
      <c r="E5" s="5" t="n">
        <v>8.399835850271302</v>
      </c>
      <c r="F5" s="5" t="n">
        <v>8.302047266308726</v>
      </c>
      <c r="G5" s="5" t="n">
        <v>7.861636522826436</v>
      </c>
    </row>
    <row r="6">
      <c r="A6" t="inlineStr">
        <is>
          <t>每 MW 年收入（算力＋服務）</t>
        </is>
      </c>
      <c r="B6" t="inlineStr">
        <is>
          <t>v4.7 W5</t>
        </is>
      </c>
      <c r="C6" s="5" t="n">
        <v>8.218984509448505</v>
      </c>
      <c r="D6" s="5" t="n">
        <v>8.580860922763595</v>
      </c>
      <c r="E6" s="5" t="n">
        <v>8.669940318523823</v>
      </c>
      <c r="F6" s="5" t="n">
        <v>8.502198283249797</v>
      </c>
      <c r="G6" s="5" t="n">
        <v>8.002132550190391</v>
      </c>
    </row>
    <row r="7">
      <c r="A7" t="inlineStr">
        <is>
          <t>電費</t>
        </is>
      </c>
      <c r="B7" t="inlineStr">
        <is>
          <t>v4.6</t>
        </is>
      </c>
      <c r="C7" s="5" t="n">
        <v>0.672768</v>
      </c>
      <c r="D7" s="5" t="n">
        <v>0.6727680000000001</v>
      </c>
      <c r="E7" s="5" t="n">
        <v>0.672768</v>
      </c>
      <c r="F7" s="5" t="n">
        <v>0.672768</v>
      </c>
      <c r="G7" s="5" t="n">
        <v>0.6727680000000001</v>
      </c>
    </row>
    <row r="8">
      <c r="A8" t="inlineStr">
        <is>
          <t>電費</t>
        </is>
      </c>
      <c r="B8" t="inlineStr">
        <is>
          <t>v4.7 W4</t>
        </is>
      </c>
      <c r="C8" s="5" t="n">
        <v>0.672768</v>
      </c>
      <c r="D8" s="5" t="n">
        <v>0.6727680000000001</v>
      </c>
      <c r="E8" s="5" t="n">
        <v>0.672768</v>
      </c>
      <c r="F8" s="5" t="n">
        <v>0.672768</v>
      </c>
      <c r="G8" s="5" t="n">
        <v>0.6727680000000001</v>
      </c>
    </row>
    <row r="9">
      <c r="A9" t="inlineStr">
        <is>
          <t>電費</t>
        </is>
      </c>
      <c r="B9" t="inlineStr">
        <is>
          <t>v4.7 W5</t>
        </is>
      </c>
      <c r="C9" s="5" t="n">
        <v>0.672768</v>
      </c>
      <c r="D9" s="5" t="n">
        <v>0.6727680000000001</v>
      </c>
      <c r="E9" s="5" t="n">
        <v>0.672768</v>
      </c>
      <c r="F9" s="5" t="n">
        <v>0.672768</v>
      </c>
      <c r="G9" s="5" t="n">
        <v>0.6727680000000001</v>
      </c>
    </row>
    <row r="10">
      <c r="A10" t="inlineStr">
        <is>
          <t>IT 維護</t>
        </is>
      </c>
      <c r="B10" t="inlineStr">
        <is>
          <t>v4.6</t>
        </is>
      </c>
      <c r="C10" s="5" t="n">
        <v>0.9362069013526568</v>
      </c>
      <c r="D10" s="5" t="n">
        <v>0.991538286572</v>
      </c>
      <c r="E10" s="5" t="n">
        <v>1.032365256694563</v>
      </c>
      <c r="F10" s="5" t="n">
        <v>1.054196100969477</v>
      </c>
      <c r="G10" s="5" t="n">
        <v>1.075951237974173</v>
      </c>
    </row>
    <row r="11">
      <c r="A11" t="inlineStr">
        <is>
          <t>IT 維護</t>
        </is>
      </c>
      <c r="B11" t="inlineStr">
        <is>
          <t>v4.7 W4</t>
        </is>
      </c>
      <c r="C11" s="5" t="n">
        <v>0.9362069013526568</v>
      </c>
      <c r="D11" s="5" t="n">
        <v>0.991538286572</v>
      </c>
      <c r="E11" s="5" t="n">
        <v>1.032365256694563</v>
      </c>
      <c r="F11" s="5" t="n">
        <v>1.054196100969477</v>
      </c>
      <c r="G11" s="5" t="n">
        <v>1.075951237974173</v>
      </c>
    </row>
    <row r="12">
      <c r="A12" t="inlineStr">
        <is>
          <t>IT 維護</t>
        </is>
      </c>
      <c r="B12" t="inlineStr">
        <is>
          <t>v4.7 W5</t>
        </is>
      </c>
      <c r="C12" s="5" t="n">
        <v>0.9362069013526568</v>
      </c>
      <c r="D12" s="5" t="n">
        <v>0.991538286572</v>
      </c>
      <c r="E12" s="5" t="n">
        <v>1.032365256694563</v>
      </c>
      <c r="F12" s="5" t="n">
        <v>1.054196100969477</v>
      </c>
      <c r="G12" s="5" t="n">
        <v>1.075951237974173</v>
      </c>
    </row>
    <row r="13">
      <c r="A13" t="inlineStr">
        <is>
          <t>人員、軟體、水與耗材</t>
        </is>
      </c>
      <c r="B13" t="inlineStr">
        <is>
          <t>v4.6</t>
        </is>
      </c>
      <c r="C13" s="5" t="n">
        <v>0.3250000000000001</v>
      </c>
      <c r="D13" s="5" t="n">
        <v>0.3250000000000001</v>
      </c>
      <c r="E13" s="5" t="n">
        <v>0.3250000000000001</v>
      </c>
      <c r="F13" s="5" t="n">
        <v>0.325</v>
      </c>
      <c r="G13" s="5" t="n">
        <v>0.325</v>
      </c>
    </row>
    <row r="14">
      <c r="A14" t="inlineStr">
        <is>
          <t>人員、軟體、水與耗材</t>
        </is>
      </c>
      <c r="B14" t="inlineStr">
        <is>
          <t>v4.7 W4</t>
        </is>
      </c>
      <c r="C14" s="5" t="n">
        <v>0.3250000000000001</v>
      </c>
      <c r="D14" s="5" t="n">
        <v>0.3250000000000001</v>
      </c>
      <c r="E14" s="5" t="n">
        <v>0.3250000000000001</v>
      </c>
      <c r="F14" s="5" t="n">
        <v>0.325</v>
      </c>
      <c r="G14" s="5" t="n">
        <v>0.325</v>
      </c>
    </row>
    <row r="15">
      <c r="A15" t="inlineStr">
        <is>
          <t>人員、軟體、水與耗材</t>
        </is>
      </c>
      <c r="B15" t="inlineStr">
        <is>
          <t>v4.7 W5</t>
        </is>
      </c>
      <c r="C15" s="5" t="n">
        <v>0.3250000000000001</v>
      </c>
      <c r="D15" s="5" t="n">
        <v>0.3250000000000001</v>
      </c>
      <c r="E15" s="5" t="n">
        <v>0.3250000000000001</v>
      </c>
      <c r="F15" s="5" t="n">
        <v>0.325</v>
      </c>
      <c r="G15" s="5" t="n">
        <v>0.325</v>
      </c>
    </row>
    <row r="16">
      <c r="A16" t="inlineStr">
        <is>
          <t>財產稅與保險</t>
        </is>
      </c>
      <c r="B16" t="inlineStr">
        <is>
          <t>v4.6</t>
        </is>
      </c>
      <c r="C16" s="5" t="n">
        <v>0.1560344835587761</v>
      </c>
      <c r="D16" s="5" t="n">
        <v>0.1652563810953333</v>
      </c>
      <c r="E16" s="5" t="n">
        <v>0.1720608761157605</v>
      </c>
      <c r="F16" s="5" t="n">
        <v>0.1756993501615796</v>
      </c>
      <c r="G16" s="5" t="n">
        <v>0.1793252063290288</v>
      </c>
    </row>
    <row r="17">
      <c r="A17" t="inlineStr">
        <is>
          <t>財產稅與保險</t>
        </is>
      </c>
      <c r="B17" t="inlineStr">
        <is>
          <t>v4.7 W4</t>
        </is>
      </c>
      <c r="C17" s="5" t="n">
        <v>0.1560344835587761</v>
      </c>
      <c r="D17" s="5" t="n">
        <v>0.1652563810953333</v>
      </c>
      <c r="E17" s="5" t="n">
        <v>0.1720608761157605</v>
      </c>
      <c r="F17" s="5" t="n">
        <v>0.1756993501615796</v>
      </c>
      <c r="G17" s="5" t="n">
        <v>0.1793252063290288</v>
      </c>
    </row>
    <row r="18">
      <c r="A18" t="inlineStr">
        <is>
          <t>財產稅與保險</t>
        </is>
      </c>
      <c r="B18" t="inlineStr">
        <is>
          <t>v4.7 W5</t>
        </is>
      </c>
      <c r="C18" s="5" t="n">
        <v>0.1560344835587761</v>
      </c>
      <c r="D18" s="5" t="n">
        <v>0.1652563810953333</v>
      </c>
      <c r="E18" s="5" t="n">
        <v>0.1720608761157605</v>
      </c>
      <c r="F18" s="5" t="n">
        <v>0.1756993501615796</v>
      </c>
      <c r="G18" s="5" t="n">
        <v>0.1793252063290288</v>
      </c>
    </row>
    <row r="19">
      <c r="A19" t="inlineStr">
        <is>
          <t>公司管銷與其他</t>
        </is>
      </c>
      <c r="B19" t="inlineStr">
        <is>
          <t>v4.6</t>
        </is>
      </c>
      <c r="C19" s="5" t="n">
        <v>0.5539584408056801</v>
      </c>
      <c r="D19" s="5" t="n">
        <v>0.5821484750416787</v>
      </c>
      <c r="E19" s="5" t="n">
        <v>0.5696219883495143</v>
      </c>
      <c r="F19" s="5" t="n">
        <v>0.5309502636363634</v>
      </c>
      <c r="G19" s="5" t="n">
        <v>0.4771574353995519</v>
      </c>
    </row>
    <row r="20">
      <c r="A20" t="inlineStr">
        <is>
          <t>公司管銷與其他</t>
        </is>
      </c>
      <c r="B20" t="inlineStr">
        <is>
          <t>v4.7 W4</t>
        </is>
      </c>
      <c r="C20" s="5" t="n">
        <v>0.4211805671553782</v>
      </c>
      <c r="D20" s="5" t="n">
        <v>0.4500743384337587</v>
      </c>
      <c r="E20" s="5" t="n">
        <v>0.4632142488304949</v>
      </c>
      <c r="F20" s="5" t="n">
        <v>0.4578216356566364</v>
      </c>
      <c r="G20" s="5" t="n">
        <v>0.4335349072781956</v>
      </c>
    </row>
    <row r="21">
      <c r="A21" t="inlineStr">
        <is>
          <t>公司管銷與其他</t>
        </is>
      </c>
      <c r="B21" t="inlineStr">
        <is>
          <t>v4.7 W5</t>
        </is>
      </c>
      <c r="C21" s="5" t="n">
        <v>0.4532410875113349</v>
      </c>
      <c r="D21" s="5" t="n">
        <v>0.4731969906922059</v>
      </c>
      <c r="E21" s="5" t="n">
        <v>0.4781093301865563</v>
      </c>
      <c r="F21" s="5" t="n">
        <v>0.4688590897947459</v>
      </c>
      <c r="G21" s="5" t="n">
        <v>0.4412826493697223</v>
      </c>
    </row>
    <row r="22">
      <c r="A22" t="inlineStr">
        <is>
          <t>租金</t>
        </is>
      </c>
      <c r="B22" t="inlineStr">
        <is>
          <t>v4.6</t>
        </is>
      </c>
      <c r="C22" s="5" t="n">
        <v>1.6</v>
      </c>
      <c r="D22" s="5" t="n">
        <v>1.591515151515152</v>
      </c>
      <c r="E22" s="5" t="n">
        <v>1.331085870059064</v>
      </c>
      <c r="F22" s="5" t="n">
        <v>1.164318181818182</v>
      </c>
      <c r="G22" s="5" t="n">
        <v>0.998180473372781</v>
      </c>
    </row>
    <row r="23">
      <c r="A23" t="inlineStr">
        <is>
          <t>租金</t>
        </is>
      </c>
      <c r="B23" t="inlineStr">
        <is>
          <t>v4.7 W4</t>
        </is>
      </c>
      <c r="C23" s="5" t="n">
        <v>1.6</v>
      </c>
      <c r="D23" s="5" t="n">
        <v>1.591515151515152</v>
      </c>
      <c r="E23" s="5" t="n">
        <v>1.331085870059064</v>
      </c>
      <c r="F23" s="5" t="n">
        <v>1.164318181818182</v>
      </c>
      <c r="G23" s="5" t="n">
        <v>0.998180473372781</v>
      </c>
    </row>
    <row r="24">
      <c r="A24" t="inlineStr">
        <is>
          <t>租金</t>
        </is>
      </c>
      <c r="B24" t="inlineStr">
        <is>
          <t>v4.7 W5</t>
        </is>
      </c>
      <c r="C24" s="5" t="n">
        <v>1.6</v>
      </c>
      <c r="D24" s="5" t="n">
        <v>1.591515151515152</v>
      </c>
      <c r="E24" s="5" t="n">
        <v>1.331085870059064</v>
      </c>
      <c r="F24" s="5" t="n">
        <v>1.164318181818182</v>
      </c>
      <c r="G24" s="5" t="n">
        <v>0.998180473372781</v>
      </c>
    </row>
    <row r="25">
      <c r="A25" t="inlineStr">
        <is>
          <t>現金成本合計（含租金）</t>
        </is>
      </c>
      <c r="B25" t="inlineStr">
        <is>
          <t>v4.6</t>
        </is>
      </c>
      <c r="C25" s="5" t="n">
        <v>4.243967825717113</v>
      </c>
      <c r="D25" s="5" t="n">
        <v>4.328226294224164</v>
      </c>
      <c r="E25" s="5" t="n">
        <v>4.102901991218902</v>
      </c>
      <c r="F25" s="5" t="n">
        <v>3.922931896585601</v>
      </c>
      <c r="G25" s="5" t="n">
        <v>3.728382353075535</v>
      </c>
    </row>
    <row r="26">
      <c r="A26" t="inlineStr">
        <is>
          <t>現金成本合計（含租金）</t>
        </is>
      </c>
      <c r="B26" t="inlineStr">
        <is>
          <t>v4.7 W4</t>
        </is>
      </c>
      <c r="C26" s="5" t="n">
        <v>4.111189952066812</v>
      </c>
      <c r="D26" s="5" t="n">
        <v>4.196152157616243</v>
      </c>
      <c r="E26" s="5" t="n">
        <v>3.996494251699883</v>
      </c>
      <c r="F26" s="5" t="n">
        <v>3.849803268605875</v>
      </c>
      <c r="G26" s="5" t="n">
        <v>3.684759824954179</v>
      </c>
    </row>
    <row r="27">
      <c r="A27" t="inlineStr">
        <is>
          <t>現金成本合計（含租金）</t>
        </is>
      </c>
      <c r="B27" t="inlineStr">
        <is>
          <t>v4.7 W5</t>
        </is>
      </c>
      <c r="C27" s="5" t="n">
        <v>4.143250472422768</v>
      </c>
      <c r="D27" s="5" t="n">
        <v>4.21927480987469</v>
      </c>
      <c r="E27" s="5" t="n">
        <v>4.011389333055944</v>
      </c>
      <c r="F27" s="5" t="n">
        <v>3.860840722743985</v>
      </c>
      <c r="G27" s="5" t="n">
        <v>3.692507567045705</v>
      </c>
    </row>
    <row r="28">
      <c r="A28" t="inlineStr">
        <is>
          <t>EBITDA</t>
        </is>
      </c>
      <c r="B28" t="inlineStr">
        <is>
          <t>v4.6</t>
        </is>
      </c>
      <c r="C28" s="5" t="n">
        <v>5.801405308611245</v>
      </c>
      <c r="D28" s="5" t="n">
        <v>6.228339362341491</v>
      </c>
      <c r="E28" s="5" t="n">
        <v>6.226510825682507</v>
      </c>
      <c r="F28" s="5" t="n">
        <v>5.705215489778037</v>
      </c>
      <c r="G28" s="5" t="n">
        <v>4.924296493078312</v>
      </c>
    </row>
    <row r="29">
      <c r="A29" t="inlineStr">
        <is>
          <t>EBITDA</t>
        </is>
      </c>
      <c r="B29" t="inlineStr">
        <is>
          <t>v4.7 W4</t>
        </is>
      </c>
      <c r="C29" s="5" t="n">
        <v>3.526415403039522</v>
      </c>
      <c r="D29" s="5" t="n">
        <v>3.965407148488892</v>
      </c>
      <c r="E29" s="5" t="n">
        <v>4.403341598571419</v>
      </c>
      <c r="F29" s="5" t="n">
        <v>4.452243997702851</v>
      </c>
      <c r="G29" s="5" t="n">
        <v>4.176876697872258</v>
      </c>
    </row>
    <row r="30">
      <c r="A30" t="inlineStr">
        <is>
          <t>EBITDA</t>
        </is>
      </c>
      <c r="B30" t="inlineStr">
        <is>
          <t>v4.7 W5</t>
        </is>
      </c>
      <c r="C30" s="5" t="n">
        <v>4.075734037025737</v>
      </c>
      <c r="D30" s="5" t="n">
        <v>4.361586112888906</v>
      </c>
      <c r="E30" s="5" t="n">
        <v>4.658550985467879</v>
      </c>
      <c r="F30" s="5" t="n">
        <v>4.641357560505813</v>
      </c>
      <c r="G30" s="5" t="n">
        <v>4.309624983144685</v>
      </c>
    </row>
    <row r="31">
      <c r="A31" t="inlineStr">
        <is>
          <t>D&amp;A（模型車隊折舊）</t>
        </is>
      </c>
      <c r="B31" t="inlineStr">
        <is>
          <t>v4.6</t>
        </is>
      </c>
      <c r="C31" s="5" t="n">
        <v>5.72805417039801</v>
      </c>
      <c r="D31" s="5" t="n">
        <v>6.030134224579124</v>
      </c>
      <c r="E31" s="5" t="n">
        <v>5.960243891314553</v>
      </c>
      <c r="F31" s="5" t="n">
        <v>5.994084580492424</v>
      </c>
      <c r="G31" s="5" t="n">
        <v>5.972424071955128</v>
      </c>
    </row>
    <row r="32">
      <c r="A32" t="inlineStr">
        <is>
          <t>D&amp;A（模型車隊折舊）</t>
        </is>
      </c>
      <c r="B32" t="inlineStr">
        <is>
          <t>v4.7 W4</t>
        </is>
      </c>
      <c r="C32" s="5" t="n">
        <v>5.72805417039801</v>
      </c>
      <c r="D32" s="5" t="n">
        <v>6.030134224579124</v>
      </c>
      <c r="E32" s="5" t="n">
        <v>5.960243891314553</v>
      </c>
      <c r="F32" s="5" t="n">
        <v>5.994084580492424</v>
      </c>
      <c r="G32" s="5" t="n">
        <v>5.972424071955128</v>
      </c>
    </row>
    <row r="33">
      <c r="A33" t="inlineStr">
        <is>
          <t>D&amp;A（模型車隊折舊）</t>
        </is>
      </c>
      <c r="B33" t="inlineStr">
        <is>
          <t>v4.7 W5</t>
        </is>
      </c>
      <c r="C33" s="5" t="n">
        <v>5.72805417039801</v>
      </c>
      <c r="D33" s="5" t="n">
        <v>6.030134224579124</v>
      </c>
      <c r="E33" s="5" t="n">
        <v>5.960243891314553</v>
      </c>
      <c r="F33" s="5" t="n">
        <v>5.994084580492424</v>
      </c>
      <c r="G33" s="5" t="n">
        <v>5.972424071955128</v>
      </c>
    </row>
    <row r="34">
      <c r="A34" t="inlineStr">
        <is>
          <t>利息</t>
        </is>
      </c>
      <c r="B34" t="inlineStr">
        <is>
          <t>v4.6</t>
        </is>
      </c>
      <c r="C34" s="5" t="n">
        <v>2.87950676687743</v>
      </c>
      <c r="D34" s="5" t="n">
        <v>2.838643996785027</v>
      </c>
      <c r="E34" s="5" t="n">
        <v>2.390971149718023</v>
      </c>
      <c r="F34" s="5" t="n">
        <v>2.066705691817276</v>
      </c>
      <c r="G34" s="5" t="n">
        <v>1.948120969715921</v>
      </c>
    </row>
    <row r="35">
      <c r="A35" t="inlineStr">
        <is>
          <t>利息</t>
        </is>
      </c>
      <c r="B35" t="inlineStr">
        <is>
          <t>v4.7 W4</t>
        </is>
      </c>
      <c r="C35" s="5" t="n">
        <v>2.986440015649282</v>
      </c>
      <c r="D35" s="5" t="n">
        <v>3.140869750164619</v>
      </c>
      <c r="E35" s="5" t="n">
        <v>2.674689192184376</v>
      </c>
      <c r="F35" s="5" t="n">
        <v>2.496012635249928</v>
      </c>
      <c r="G35" s="5" t="n">
        <v>2.40179001756256</v>
      </c>
    </row>
    <row r="36">
      <c r="A36" t="inlineStr">
        <is>
          <t>利息</t>
        </is>
      </c>
      <c r="B36" t="inlineStr">
        <is>
          <t>v4.7 W5</t>
        </is>
      </c>
      <c r="C36" s="5" t="n">
        <v>2.960619785040941</v>
      </c>
      <c r="D36" s="5" t="n">
        <v>3.082678025817891</v>
      </c>
      <c r="E36" s="5" t="n">
        <v>2.594042087741424</v>
      </c>
      <c r="F36" s="5" t="n">
        <v>2.396536424902051</v>
      </c>
      <c r="G36" s="5" t="n">
        <v>2.270667829366435</v>
      </c>
    </row>
    <row r="37">
      <c r="A37" t="inlineStr">
        <is>
          <t>稅前</t>
        </is>
      </c>
      <c r="B37" t="inlineStr">
        <is>
          <t>v4.6</t>
        </is>
      </c>
      <c r="C37" s="5" t="n">
        <v>-2.806155628664194</v>
      </c>
      <c r="D37" s="5" t="n">
        <v>-2.640438859022659</v>
      </c>
      <c r="E37" s="5" t="n">
        <v>-2.12470421535007</v>
      </c>
      <c r="F37" s="5" t="n">
        <v>-2.355574782531663</v>
      </c>
      <c r="G37" s="5" t="n">
        <v>-2.996248548592737</v>
      </c>
    </row>
    <row r="38">
      <c r="A38" t="inlineStr">
        <is>
          <t>稅前</t>
        </is>
      </c>
      <c r="B38" t="inlineStr">
        <is>
          <t>v4.7 W4</t>
        </is>
      </c>
      <c r="C38" s="5" t="n">
        <v>-5.18807878300777</v>
      </c>
      <c r="D38" s="5" t="n">
        <v>-5.205596826254851</v>
      </c>
      <c r="E38" s="5" t="n">
        <v>-4.23159148492751</v>
      </c>
      <c r="F38" s="5" t="n">
        <v>-4.0378532180395</v>
      </c>
      <c r="G38" s="5" t="n">
        <v>-4.197337391645431</v>
      </c>
    </row>
    <row r="39">
      <c r="A39" t="inlineStr">
        <is>
          <t>稅前</t>
        </is>
      </c>
      <c r="B39" t="inlineStr">
        <is>
          <t>v4.7 W5</t>
        </is>
      </c>
      <c r="C39" s="5" t="n">
        <v>-4.612939918413213</v>
      </c>
      <c r="D39" s="5" t="n">
        <v>-4.751226137508109</v>
      </c>
      <c r="E39" s="5" t="n">
        <v>-3.895734993588098</v>
      </c>
      <c r="F39" s="5" t="n">
        <v>-3.749263444888661</v>
      </c>
      <c r="G39" s="5" t="n">
        <v>-3.933466918176878</v>
      </c>
    </row>
    <row r="40">
      <c r="A40" t="inlineStr">
        <is>
          <t>每 MW 資本支出（新增 MW 的建置成本）</t>
        </is>
      </c>
      <c r="B40" t="inlineStr">
        <is>
          <t>v4.6</t>
        </is>
      </c>
      <c r="C40" s="5" t="n">
        <v>34.759438</v>
      </c>
      <c r="D40" s="5" t="n">
        <v>37.515928</v>
      </c>
      <c r="E40" s="5" t="n">
        <v>37.586352</v>
      </c>
      <c r="F40" s="5" t="n">
        <v>37.586352</v>
      </c>
      <c r="G40" s="5" t="n">
        <v>37.586352</v>
      </c>
    </row>
    <row r="41">
      <c r="A41" t="inlineStr">
        <is>
          <t>每 MW 資本支出（新增 MW 的建置成本）</t>
        </is>
      </c>
      <c r="B41" t="inlineStr">
        <is>
          <t>v4.7 W4</t>
        </is>
      </c>
      <c r="C41" s="5" t="n">
        <v>34.759438</v>
      </c>
      <c r="D41" s="5" t="n">
        <v>37.515928</v>
      </c>
      <c r="E41" s="5" t="n">
        <v>37.586352</v>
      </c>
      <c r="F41" s="5" t="n">
        <v>37.586352</v>
      </c>
      <c r="G41" s="5" t="n">
        <v>37.586352</v>
      </c>
    </row>
    <row r="42">
      <c r="A42" t="inlineStr">
        <is>
          <t>每 MW 資本支出（新增 MW 的建置成本）</t>
        </is>
      </c>
      <c r="B42" t="inlineStr">
        <is>
          <t>v4.7 W5</t>
        </is>
      </c>
      <c r="C42" s="5" t="n">
        <v>34.759438</v>
      </c>
      <c r="D42" s="5" t="n">
        <v>37.515928</v>
      </c>
      <c r="E42" s="5" t="n">
        <v>37.586352</v>
      </c>
      <c r="F42" s="5" t="n">
        <v>37.586352</v>
      </c>
      <c r="G42" s="5" t="n">
        <v>37.586352</v>
      </c>
    </row>
    <row r="43">
      <c r="A43" t="inlineStr">
        <is>
          <t>EBITDA 率（模型採用）</t>
        </is>
      </c>
      <c r="B43" t="inlineStr">
        <is>
          <t>v4.6</t>
        </is>
      </c>
      <c r="C43" s="6" t="n">
        <v>0.5775201409677782</v>
      </c>
      <c r="D43" s="6" t="n">
        <v>0.5899967437296026</v>
      </c>
      <c r="E43" s="6" t="n">
        <v>0.6027942668236121</v>
      </c>
      <c r="F43" s="6" t="n">
        <v>0.5925558947984473</v>
      </c>
      <c r="G43" s="6" t="n">
        <v>0.5691065831325963</v>
      </c>
    </row>
    <row r="44">
      <c r="A44" t="inlineStr">
        <is>
          <t>EBITDA 率（模型採用）</t>
        </is>
      </c>
      <c r="B44" t="inlineStr">
        <is>
          <t>v4.7 W4</t>
        </is>
      </c>
      <c r="C44" s="6" t="n">
        <v>0.4617174152212301</v>
      </c>
      <c r="D44" s="6" t="n">
        <v>0.4858639139609788</v>
      </c>
      <c r="E44" s="6" t="n">
        <v>0.5242175772314881</v>
      </c>
      <c r="F44" s="6" t="n">
        <v>0.5362826607565699</v>
      </c>
      <c r="G44" s="6" t="n">
        <v>0.5312986279312969</v>
      </c>
    </row>
    <row r="45">
      <c r="A45" t="inlineStr">
        <is>
          <t>EBITDA 率（模型採用）</t>
        </is>
      </c>
      <c r="B45" t="inlineStr">
        <is>
          <t>v4.7 W5</t>
        </is>
      </c>
      <c r="C45" s="6" t="n">
        <v>0.4958926534464559</v>
      </c>
      <c r="D45" s="6" t="n">
        <v>0.5082923674148294</v>
      </c>
      <c r="E45" s="6" t="n">
        <v>0.5373221515163857</v>
      </c>
      <c r="F45" s="6" t="n">
        <v>0.5459008842042373</v>
      </c>
      <c r="G45" s="6" t="n">
        <v>0.5385595597316304</v>
      </c>
    </row>
    <row r="47">
      <c r="A47" s="7" t="inlineStr">
        <is>
          <t>定價倍數 k 與既有合約（基準；v4.7 W5）</t>
        </is>
      </c>
    </row>
    <row r="48">
      <c r="A48" t="inlineStr">
        <is>
          <t>定價倍數 k（既有占比 × k_既有 ＋（1 − 既有占比）× k_新約）</t>
        </is>
      </c>
      <c r="C48" s="5" t="n">
        <v>0.8206984608376576</v>
      </c>
      <c r="D48" s="5" t="n">
        <v>0.8010787563244754</v>
      </c>
      <c r="E48" s="5" t="n">
        <v>0.7886394146205848</v>
      </c>
      <c r="F48" s="5" t="n">
        <v>0.7823365737514334</v>
      </c>
      <c r="G48" s="5" t="n">
        <v>0.7765539488226804</v>
      </c>
    </row>
    <row r="49">
      <c r="A49" t="inlineStr">
        <is>
          <t>既有合約占比（平均既有 MW ÷ 平均在役 MW × 開關）</t>
        </is>
      </c>
      <c r="C49" s="5" t="n">
        <v>0.8955223880597015</v>
      </c>
      <c r="D49" s="5" t="n">
        <v>0.6060606060606061</v>
      </c>
      <c r="E49" s="5" t="n">
        <v>0.4225352112676056</v>
      </c>
      <c r="F49" s="5" t="n">
        <v>0.3295454545454545</v>
      </c>
      <c r="G49" s="5" t="n">
        <v>0.2442307692307692</v>
      </c>
    </row>
    <row r="50">
      <c r="A50" t="inlineStr">
        <is>
          <t>k_既有（Q2 實現單價 ÷ Q2 錨；合約期內固定）</t>
        </is>
      </c>
      <c r="C50" s="5" t="n">
        <v>0.8277799479353843</v>
      </c>
      <c r="D50" s="5" t="n">
        <v>0.8277799479353843</v>
      </c>
      <c r="E50" s="5" t="n">
        <v>0.8277799479353843</v>
      </c>
      <c r="F50" s="5" t="n">
        <v>0.8277799479353843</v>
      </c>
      <c r="G50" s="5" t="n">
        <v>0.8277799479353843</v>
      </c>
    </row>
    <row r="51">
      <c r="A51" t="inlineStr">
        <is>
          <t>k_新約（隨需占比 × k_現貨 ＋（1 − 隨需占比）× k_長約 ×（1＋新約價格調整））</t>
        </is>
      </c>
      <c r="C51" s="5" t="n">
        <v>0.76</v>
      </c>
      <c r="D51" s="5" t="n">
        <v>0.76</v>
      </c>
      <c r="E51" s="5" t="n">
        <v>0.76</v>
      </c>
      <c r="F51" s="5" t="n">
        <v>0.76</v>
      </c>
      <c r="G51" s="5" t="n">
        <v>0.76</v>
      </c>
    </row>
    <row r="52">
      <c r="A52" t="inlineStr">
        <is>
          <t>錨｜每 MW 經濟持有成本（IF_HoldEcon，在役世代加權）</t>
        </is>
      </c>
      <c r="C52" s="5" t="n">
        <v>11.0739648243069</v>
      </c>
      <c r="D52" s="5" t="n">
        <v>11.56200125413116</v>
      </c>
      <c r="E52" s="5" t="n">
        <v>11.92210517454038</v>
      </c>
      <c r="F52" s="5" t="n">
        <v>12.11465859169672</v>
      </c>
      <c r="G52" s="5" t="n">
        <v>12.30654425210483</v>
      </c>
    </row>
    <row r="53">
      <c r="A53" t="inlineStr">
        <is>
          <t>Tokenomics 錨 × k：每 MW 年收入（100% 計費時數）</t>
        </is>
      </c>
      <c r="C53" s="5" t="n">
        <v>9.088385886679031</v>
      </c>
      <c r="D53" s="5" t="n">
        <v>9.262073585281419</v>
      </c>
      <c r="E53" s="5" t="n">
        <v>9.402242045894567</v>
      </c>
      <c r="F53" s="5" t="n">
        <v>9.477740494796375</v>
      </c>
      <c r="G53" s="5" t="n">
        <v>9.556695535333064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公司實況驗證（v4.7 W5 Excel「公司實況驗證」頁的讀值；基準情境）</t>
        </is>
      </c>
    </row>
    <row r="3">
      <c r="A3" s="3" t="inlineStr">
        <is>
          <t>參數</t>
        </is>
      </c>
      <c r="B3" s="3" t="inlineStr">
        <is>
          <t>單位</t>
        </is>
      </c>
      <c r="C3" s="3" t="inlineStr">
        <is>
          <t>Tokenomics 值</t>
        </is>
      </c>
      <c r="D3" s="3" t="inlineStr">
        <is>
          <t>CRWV 實際</t>
        </is>
      </c>
      <c r="E3" s="3" t="inlineStr">
        <is>
          <t>差距</t>
        </is>
      </c>
      <c r="F3" s="3" t="inlineStr">
        <is>
          <t>採用值</t>
        </is>
      </c>
      <c r="G3" s="3" t="inlineStr">
        <is>
          <t>規則</t>
        </is>
      </c>
      <c r="H3" s="3" t="inlineStr">
        <is>
          <t>Tokenomics 名稱</t>
        </is>
      </c>
      <c r="I3" s="3" t="inlineStr">
        <is>
          <t>CRWV 實際與標記</t>
        </is>
      </c>
      <c r="J3" s="3" t="inlineStr">
        <is>
          <t>差距原因（機制與證據）</t>
        </is>
      </c>
      <c r="K3" s="3" t="inlineStr">
        <is>
          <t>公司調整</t>
        </is>
      </c>
      <c r="L3" s="3" t="inlineStr">
        <is>
          <t>證據</t>
        </is>
      </c>
    </row>
    <row r="4">
      <c r="A4" t="inlineStr">
        <is>
          <t>▸ 驗證用輸入（10-Q／10-K 實際數；company.json → companyAdjust.capexActual、latestQuarter）</t>
        </is>
      </c>
    </row>
    <row r="5">
      <c r="A5" t="inlineStr">
        <is>
          <t>1H26 資本支出</t>
        </is>
      </c>
      <c r="B5" t="inlineStr">
        <is>
          <t>US$bn</t>
        </is>
      </c>
      <c r="C5" t="n">
        <v>16.139</v>
      </c>
      <c r="H5" t="inlineStr">
        <is>
          <t>latestQuarter.capexH1 [Verified]</t>
        </is>
      </c>
    </row>
    <row r="6">
      <c r="A6" t="inlineStr">
        <is>
          <t>1H26 期初主動電力</t>
        </is>
      </c>
      <c r="B6" t="inlineStr">
        <is>
          <t>MW</t>
        </is>
      </c>
      <c r="C6" t="n">
        <v>850</v>
      </c>
      <c r="H6" t="inlineStr">
        <is>
          <t>10-Q Q2 2026 附註 5（PP&amp;E 毛額：技術設備、資料中心設備與租賃改良、在建工程；2025-12-31 → 2026-06-30）；新增主動電力 850 → 1,500 MW（10-K／法說）；資本支出 1H26＝latestQuarter.capexH1 [Verified]</t>
        </is>
      </c>
    </row>
    <row r="7">
      <c r="A7" t="inlineStr">
        <is>
          <t>1H26 期末主動電力</t>
        </is>
      </c>
      <c r="B7" t="inlineStr">
        <is>
          <t>MW</t>
        </is>
      </c>
      <c r="C7" t="n">
        <v>1500</v>
      </c>
      <c r="H7" t="inlineStr">
        <is>
          <t>同上</t>
        </is>
      </c>
    </row>
    <row r="8">
      <c r="A8" t="inlineStr">
        <is>
          <t>技術設備毛額（1H26 期初）</t>
        </is>
      </c>
      <c r="B8" t="inlineStr">
        <is>
          <t>US$bn</t>
        </is>
      </c>
      <c r="C8" t="n">
        <v>20.903</v>
      </c>
      <c r="H8" t="inlineStr">
        <is>
          <t>10-Q 附註 5 [Verified]</t>
        </is>
      </c>
    </row>
    <row r="9">
      <c r="A9" t="inlineStr">
        <is>
          <t>技術設備毛額（1H26 期末）</t>
        </is>
      </c>
      <c r="B9" t="inlineStr">
        <is>
          <t>US$bn</t>
        </is>
      </c>
      <c r="C9" t="n">
        <v>33.823</v>
      </c>
      <c r="H9" t="inlineStr">
        <is>
          <t>同上</t>
        </is>
      </c>
    </row>
    <row r="10">
      <c r="A10" t="inlineStr">
        <is>
          <t>最近一季調整後 EBITDA</t>
        </is>
      </c>
      <c r="B10" t="inlineStr">
        <is>
          <t>US$bn</t>
        </is>
      </c>
      <c r="C10" t="n">
        <v>1.51</v>
      </c>
      <c r="H10" t="inlineStr">
        <is>
          <t>latestQuarter.adjEbitda（公司公布）[Verified]</t>
        </is>
      </c>
    </row>
    <row r="11">
      <c r="A11" t="inlineStr">
        <is>
          <t>CRWV 技術設備折舊年限</t>
        </is>
      </c>
      <c r="B11" t="inlineStr">
        <is>
          <t>年</t>
        </is>
      </c>
      <c r="C11" t="n">
        <v>6</v>
      </c>
      <c r="H11" t="inlineStr">
        <is>
          <t>10-K FY2025 會計政策 [Verified]</t>
        </is>
      </c>
    </row>
    <row r="12">
      <c r="A12" t="inlineStr">
        <is>
          <t>▸ 參數驗證（模型首期；Tokenomics 主值為目前成本情境）</t>
        </is>
      </c>
    </row>
    <row r="13">
      <c r="A13" t="inlineStr">
        <is>
          <t>定價倍數 k｜既有合約（最新季末在役）</t>
        </is>
      </c>
      <c r="B13" t="inlineStr">
        <is>
          <t>倍</t>
        </is>
      </c>
      <c r="C13" t="n">
        <v>0.76</v>
      </c>
      <c r="D13" t="n">
        <v>0.827779947935384</v>
      </c>
      <c r="E13" t="n">
        <v>0.08918414202024259</v>
      </c>
      <c r="F13" t="n">
        <v>0.827779947935384</v>
      </c>
      <c r="G13" t="inlineStr">
        <is>
          <t>4a</t>
        </is>
      </c>
      <c r="H13" t="inlineStr">
        <is>
          <t>k_長約（W4 市場長約證據；Tokenomics 錨的公司因素）</t>
        </is>
      </c>
      <c r="I13" t="inlineStr">
        <is>
          <t>Q2 2026 實現單價 ÷ Q2 錨（10-Q 營收 2.575；季末在役 1,500 MW、Billable 1,350 MW） [Derived]</t>
        </is>
      </c>
      <c r="J13" t="inlineStr">
        <is>
          <t>既有合約在 6/30 前已簽訂、合約期內價格固定（已承諾合約加權平均約 5 年 [Verified]）；Q2 已實現單價是這批 MW 的直接證據（工作單 W5 第 4(a) 項）</t>
        </is>
      </c>
      <c r="K13" t="inlineStr">
        <is>
          <t>既有合約 MW（6/30 在役 1,500 MW，汰換由最舊世代先出）按 k_既有；該批汰換後回到 k_新約</t>
        </is>
      </c>
      <c r="L13" t="inlineStr">
        <is>
          <t>CoreWeave Form 10-Q（2026-06-30）（2026-08-12）[Verified]；CoreWeave Form 10-K FY2025（2025-12-31（期末））[Verified]</t>
        </is>
      </c>
    </row>
    <row r="14">
      <c r="A14" t="inlineStr">
        <is>
          <t>定價倍數 k｜新合約（季末後新增與汰換補回）</t>
        </is>
      </c>
      <c r="B14" t="inlineStr">
        <is>
          <t>倍</t>
        </is>
      </c>
      <c r="C14" t="n">
        <v>0.76</v>
      </c>
      <c r="D14" t="inlineStr">
        <is>
          <t>不適用</t>
        </is>
      </c>
      <c r="E14" t="inlineStr">
        <is>
          <t>不適用</t>
        </is>
      </c>
      <c r="F14" t="n">
        <v>0.76</v>
      </c>
      <c r="G14" t="inlineStr">
        <is>
          <t>3</t>
        </is>
      </c>
      <c r="H14" t="inlineStr">
        <is>
          <t>k_長約（IREN–Microsoft GB300 五年約 ÷ IF_HoldEcon）</t>
        </is>
      </c>
      <c r="I14" t="inlineStr">
        <is>
          <t>CRWV 未揭露新長約每 MW 價格（找不到）；公司說法 7 月各 SKU 漲價約 25%（轉述）；Q3 短天期 3–6 個月合約約 $40m/MW 年化（新聞稿） [Interested-party]</t>
        </is>
      </c>
      <c r="J14" t="inlineStr">
        <is>
          <t>找不到可換算的 CRWV 新長約金額與 MW；25% 只有轉述來源、基期不明；$40m/MW 為 3–6 個月短約（屬隨需／短天期，不是長約證據）</t>
        </is>
      </c>
      <c r="K14" t="inlineStr">
        <is>
          <t>無（沿用市場長約證據）；敏感度 k_長約 ×（1＋25%）、隨需 10% × CRWV 短天期 k</t>
        </is>
      </c>
      <c r="L14" t="inlineStr">
        <is>
          <t>Trefis（轉述 Q2 2026 法說）（2026-08-13）[Interested-party]；CoreWeave 新聞稿「Continues to Contract New Compute Capacity at Higher Prices」（2026-09-16）[Interested-party]</t>
        </is>
      </c>
    </row>
    <row r="15">
      <c r="A15" t="inlineStr">
        <is>
          <t>隨需／短天期占比</t>
        </is>
      </c>
      <c r="B15" t="inlineStr">
        <is>
          <t>%</t>
        </is>
      </c>
      <c r="C15" t="n">
        <v>0</v>
      </c>
      <c r="D15" t="inlineStr">
        <is>
          <t>不適用</t>
        </is>
      </c>
      <c r="E15" t="inlineStr">
        <is>
          <t>不適用</t>
        </is>
      </c>
      <c r="F15" t="n">
        <v>0</v>
      </c>
      <c r="G15" t="inlineStr">
        <is>
          <t>3</t>
        </is>
      </c>
      <c r="H15" t="inlineStr">
        <is>
          <t>—（公司因素，W4 預設 0%）</t>
        </is>
      </c>
      <c r="I15" t="inlineStr">
        <is>
          <t>公司未揭露比例（找不到）；Q3 已簽 3–6 個月短天期合約（新聞稿），證明短天期存在但無比例 [Interested-party]</t>
        </is>
      </c>
      <c r="J15" t="inlineStr">
        <is>
          <t>找不到比例</t>
        </is>
      </c>
      <c r="K15" t="inlineStr">
        <is>
          <t>無（0%）；敏感度 10%／20%、10% × CRWV 短天期 k</t>
        </is>
      </c>
      <c r="L15" t="inlineStr">
        <is>
          <t>CoreWeave 新聞稿「Continues to Contract New Compute Capacity at Higher Prices」（2026-09-16）[Interested-party]</t>
        </is>
      </c>
    </row>
    <row r="16">
      <c r="A16" t="inlineStr">
        <is>
          <t>電費（每 MW 年）</t>
        </is>
      </c>
      <c r="B16" t="inlineStr">
        <is>
          <t>US$m/MW</t>
        </is>
      </c>
      <c r="C16" t="n">
        <v>0.672768</v>
      </c>
      <c r="D16" t="inlineStr">
        <is>
          <t>不適用</t>
        </is>
      </c>
      <c r="E16" t="inlineStr">
        <is>
          <t>不適用</t>
        </is>
      </c>
      <c r="F16" t="n">
        <v>0.672768</v>
      </c>
      <c r="G16" t="inlineStr">
        <is>
          <t>—</t>
        </is>
      </c>
      <c r="H16" t="inlineStr">
        <is>
          <t>IF_PowerCost（在役世代加權）</t>
        </is>
      </c>
      <c r="I16" t="inlineStr">
        <is>
          <t>未單獨揭露（不存在於 10-Q 列項）：電費含在營收成本（直接購電）與變動租賃（轉付房東的水電） [Verified]</t>
        </is>
      </c>
      <c r="J16" t="inlineStr">
        <is>
          <t>CRWV 自付電費（10-K 營收成本含 utilities including power；Core Scientific：客戶付 power and utilities；10-Q 電力交換合約認列於營收成本）；變動租賃含轉付房東的水電——模型租金只含固定租金，無重複計算</t>
        </is>
      </c>
      <c r="K16" t="inlineStr">
        <is>
          <t>無（單項無法量測；併入下方「營運成本合計」驗證）</t>
        </is>
      </c>
      <c r="L16" t="inlineStr">
        <is>
          <t>CoreWeave Form 10-K FY2025 會計政策（R28）（2025-12-31（期末））[Verified]；CoreWeave Form 10-Q 附註 8（2026-06-30）；10-K FY2025 附註（R16）（2026-08-12）[Verified]；Core Scientific Q2 FY26 法說簡報（交易對手）（2026-07-28）[Interested-party]；CoreWeave Form 10-Q（2026-06-30）（2026-08-12）[Verified]</t>
        </is>
      </c>
    </row>
    <row r="17">
      <c r="A17" t="inlineStr">
        <is>
          <t>IT 維護（每 MW 年）</t>
        </is>
      </c>
      <c r="B17" t="inlineStr">
        <is>
          <t>US$m/MW</t>
        </is>
      </c>
      <c r="C17" t="n">
        <v>0.9362069013526571</v>
      </c>
      <c r="D17" t="inlineStr">
        <is>
          <t>不適用</t>
        </is>
      </c>
      <c r="E17" t="inlineStr">
        <is>
          <t>不適用</t>
        </is>
      </c>
      <c r="F17" t="n">
        <v>0.9362069013526571</v>
      </c>
      <c r="G17" t="inlineStr">
        <is>
          <t>3</t>
        </is>
      </c>
      <c r="H17" t="inlineStr">
        <is>
          <t>IF_MaintIT（約 IT 資本 3%／年，在役世代加權）</t>
        </is>
      </c>
      <c r="I17" t="inlineStr">
        <is>
          <t>未單獨揭露（不存在於 10-Q 列項）；CRWV 伺服器保固條款找不到（10-K、10-Q、S-1 未見） [Verified]</t>
        </is>
      </c>
      <c r="J17" t="inlineStr">
        <is>
          <t>技術與基礎設施費用含「維護運算基礎設施的人員」（10-K）；OEM 標準保固（例：Supermicro GPU 系統人工 3 年、零件 1 年）只是廠商通則，不是 CRWV 合約證據 → 保固機制未證實</t>
        </is>
      </c>
      <c r="K17" t="inlineStr">
        <is>
          <t>無；保固期內維護較低的可能性以「營運成本＝Q2 實際比率」敏感度呈現</t>
        </is>
      </c>
      <c r="L17" t="inlineStr">
        <is>
          <t>CoreWeave Form 10-K FY2025 會計政策（R28）（2025-12-31（期末））[Verified]；Supermicro Warranty 頁面（廠商通則，非 CRWV 合約）（2026-10-08）[Analogy]</t>
        </is>
      </c>
    </row>
    <row r="18">
      <c r="A18" t="inlineStr">
        <is>
          <t>人員、軟體、水與耗材（每 MW 年）</t>
        </is>
      </c>
      <c r="B18" t="inlineStr">
        <is>
          <t>US$m/MW</t>
        </is>
      </c>
      <c r="C18" t="n">
        <v>0.325</v>
      </c>
      <c r="D18" t="inlineStr">
        <is>
          <t>不適用</t>
        </is>
      </c>
      <c r="E18" t="inlineStr">
        <is>
          <t>不適用</t>
        </is>
      </c>
      <c r="F18" t="n">
        <v>0.325</v>
      </c>
      <c r="G18" t="inlineStr">
        <is>
          <t>—</t>
        </is>
      </c>
      <c r="H18" t="inlineStr">
        <is>
          <t>IF_StaffSW</t>
        </is>
      </c>
      <c r="I18" t="inlineStr">
        <is>
          <t>未單獨揭露；技術與基礎設施含研發與基礎設施人員、軟體訂閱（Q2 研發 $117m）；員工 2,189 人（2025-12-31） [Verified]</t>
        </is>
      </c>
      <c r="J18" t="inlineStr">
        <is>
          <t>模型管銷率只含銷售行銷與一般管理（扣 SBC），不含技術與基礎設施人員 → 與 IF_StaffSW 無重複；研發在 Q2 實際數內、Tokenomics 無對應項</t>
        </is>
      </c>
      <c r="K18" t="inlineStr">
        <is>
          <t>無（併入營運成本合計驗證）</t>
        </is>
      </c>
      <c r="L18" t="inlineStr">
        <is>
          <t>CoreWeave Form 10-K FY2025 會計政策（R28）（2025-12-31（期末））[Verified]；CoreWeave Form 10-Q（2026-06-30）（2026-08-12）[Verified]；CoreWeave Form 10-K FY2025（2025-12-31（期末））[Verified]</t>
        </is>
      </c>
    </row>
    <row r="19">
      <c r="A19" t="inlineStr">
        <is>
          <t>財產稅與保險（只算 IT 部分）</t>
        </is>
      </c>
      <c r="B19" t="inlineStr">
        <is>
          <t>US$m/MW</t>
        </is>
      </c>
      <c r="C19" t="n">
        <v>0.156034483558776</v>
      </c>
      <c r="D19" t="inlineStr">
        <is>
          <t>不適用</t>
        </is>
      </c>
      <c r="E19" t="inlineStr">
        <is>
          <t>不適用</t>
        </is>
      </c>
      <c r="F19" t="n">
        <v>0.156034483558776</v>
      </c>
      <c r="G19" t="inlineStr">
        <is>
          <t>—</t>
        </is>
      </c>
      <c r="H19" t="inlineStr">
        <is>
          <t>IF_TaxIns × IT 資本占比</t>
        </is>
      </c>
      <c r="I19" t="inlineStr">
        <is>
          <t>未單獨揭露（10-K、10-Q 找不到財產稅或保險金額） 找不到</t>
        </is>
      </c>
      <c r="J19" t="inlineStr">
        <is>
          <t>找不到</t>
        </is>
      </c>
      <c r="K19" t="inlineStr">
        <is>
          <t>無（併入營運成本合計驗證）</t>
        </is>
      </c>
    </row>
    <row r="20">
      <c r="A20" t="inlineStr">
        <is>
          <t>營運成本合計（電費＋IT 維護＋人員軟體＋稅險；租金前、不含管銷）</t>
        </is>
      </c>
      <c r="B20" t="inlineStr">
        <is>
          <t>US$m/MW</t>
        </is>
      </c>
      <c r="C20" t="n">
        <v>2.09000938491143</v>
      </c>
      <c r="D20" t="n">
        <v>1.3568</v>
      </c>
      <c r="E20" t="n">
        <v>-0.350816312215987</v>
      </c>
      <c r="F20" t="n">
        <v>2.09000938491143</v>
      </c>
      <c r="G20" t="inlineStr">
        <is>
          <t>3</t>
        </is>
      </c>
      <c r="H20" t="inlineStr">
        <is>
          <t>上列四項 Tokenomics 值合計（模型首期）</t>
        </is>
      </c>
      <c r="I20" t="inlineStr">
        <is>
          <t>Q2 2026：營收成本＋技術與基礎設施 − D&amp;A − SBC − 營業租賃成本（含變動租賃＝轉付房東的水電），年化 ÷ Q2 平均在役 MW [Derived]</t>
        </is>
      </c>
      <c r="J20" t="inlineStr">
        <is>
          <t>找不到可證實的機制：可能原因（未證實）——多數機隊仍在 OEM 保固期（CRWV 條款找不到）、Q2 平均在役 MW 含 6 月才上線的 300 MW（爬坡期用電低）、單項未揭露；Q2 實際另含研發</t>
        </is>
      </c>
      <c r="K20" t="inlineStr">
        <is>
          <t>無（Tokenomics 為基準）；敏感度＝營運成本倍數 Q2 實際 ÷ 模型首期</t>
        </is>
      </c>
      <c r="L20" t="inlineStr">
        <is>
          <t>CoreWeave Form 10-K FY2025 會計政策（R28）（2025-12-31（期末））[Verified]；CoreWeave Form 10-K FY2025 會計政策（R28）（2025-12-31（期末））[Verified]；CoreWeave Form 10-Q 附註 8（2026-06-30）；10-K FY2025 附註（R16）（2026-08-12）[Verified]；CoreWeave Form 10-Q（2026-06-30）（2026-08-12）[Verified]</t>
        </is>
      </c>
    </row>
    <row r="21">
      <c r="A21" t="inlineStr">
        <is>
          <t>租金（固定，每 MW 年）</t>
        </is>
      </c>
      <c r="B21" t="inlineStr">
        <is>
          <t>US$m/MW</t>
        </is>
      </c>
      <c r="C21" t="n">
        <v>1.6</v>
      </c>
      <c r="D21" t="n">
        <v>1.6</v>
      </c>
      <c r="E21" t="n">
        <v>0</v>
      </c>
      <c r="F21" t="n">
        <v>1.6</v>
      </c>
      <c r="G21" t="inlineStr">
        <is>
          <t>1</t>
        </is>
      </c>
      <c r="H21" t="inlineStr">
        <is>
          <t>—（公司租約路徑；Tokenomics 不含，CRWV 廠房以租約取得）</t>
        </is>
      </c>
      <c r="I21" t="inlineStr">
        <is>
          <t>Q2 2026 營業租賃成本 0.500 年化 ÷ Q2 平均在役 MW；變動租賃 0.150（共同區域維護、轉付房東的水電、保全）歸入營運成本 [Verified]</t>
        </is>
      </c>
      <c r="J21" t="inlineStr">
        <is>
          <t>v4.6–v4.7 W4 的對照把變動租賃算進租金（2.08）；變動租賃是水電與共同區域維護，不是固定租金。固定租金對照後差距在 10% 內</t>
        </is>
      </c>
      <c r="K21" t="inlineStr">
        <is>
          <t>無（模型租金不變）；Q2 對照改為固定租金對固定租金</t>
        </is>
      </c>
      <c r="L21" t="inlineStr">
        <is>
          <t>CoreWeave Form 10-Q 附註 8（2026-06-30）；10-K FY2025 附註（R16）（2026-08-12）[Verified]；Core Scientific Q2 FY26 法說簡報（交易對手）（2026-07-28）[Interested-party]</t>
        </is>
      </c>
    </row>
    <row r="22">
      <c r="A22" t="inlineStr">
        <is>
          <t>每 MW 資本支出（新增 MW）</t>
        </is>
      </c>
      <c r="B22" t="inlineStr">
        <is>
          <t>US$m/MW</t>
        </is>
      </c>
      <c r="C22" t="n">
        <v>34.759438</v>
      </c>
      <c r="D22" t="n">
        <v>24.8292307692308</v>
      </c>
      <c r="E22" t="n">
        <v>-0.285683768269477</v>
      </c>
      <c r="F22" t="n">
        <v>34.759438</v>
      </c>
      <c r="G22" t="inlineStr">
        <is>
          <t>3</t>
        </is>
      </c>
      <c r="H22" t="inlineStr">
        <is>
          <t>IF_CapexIT（新增世代加權，模型首期）</t>
        </is>
      </c>
      <c r="I22" t="inlineStr">
        <is>
          <t>1H26 資本支出 16.139 ÷ 新增主動電力 650 MW（850 → 1,500）；另列技術設備毛額增加 ÷ 新增 MW [Derived]</t>
        </is>
      </c>
      <c r="J22" t="inlineStr">
        <is>
          <t>找不到可證實的機制：可能原因（未證實）——MW 口徑（主動電力若為設施口徑，換成 IT MW 後差距縮小約 1/6）、議價（未揭露）、Tokenomics IT 單價偏高；預建（1H 支出含 2H 上線的 MW）只會使實際偏高，方向相反</t>
        </is>
      </c>
      <c r="K22" t="inlineStr">
        <is>
          <t>無（Tokenomics 為基準）；敏感度＝每 MW 建置成本倍數 1H26 實際 ÷ 模型首期</t>
        </is>
      </c>
      <c r="L22" t="inlineStr">
        <is>
          <t>CoreWeave Form 10-Q 附註 5（2026-06-30）（2026-08-12）[Verified]；CoreWeave 10-Q／法說（company.json latestQuarter、defaults.mwYearEnd、fleet.openMix）（2026-08-12）[Verified]</t>
        </is>
      </c>
    </row>
    <row r="23">
      <c r="A23" t="inlineStr">
        <is>
          <t>每 MW 資本支出｜技術設備毛額增加 ÷ 新增 MW（對照）</t>
        </is>
      </c>
      <c r="B23" t="inlineStr">
        <is>
          <t>US$m/MW</t>
        </is>
      </c>
      <c r="C23" t="n">
        <v>34.759438</v>
      </c>
      <c r="D23" t="n">
        <v>19.8769230769231</v>
      </c>
      <c r="E23" t="n">
        <v>-0.428157524384512</v>
      </c>
      <c r="H23" t="inlineStr">
        <is>
          <t>IF_CapexIT（同上）</t>
        </is>
      </c>
      <c r="I23" t="inlineStr">
        <is>
          <t>10-Q 附註 5 技術設備（伺服器、網路、儲存）毛額增加 ÷ 新增主動電力 [Derived]</t>
        </is>
      </c>
      <c r="J23" t="inlineStr">
        <is>
          <t>不含資料中心設備與租賃改良、在建工程；最接近 IF_CapexIT 的口徑</t>
        </is>
      </c>
      <c r="K23" t="inlineStr">
        <is>
          <t>只作對照</t>
        </is>
      </c>
      <c r="L23" t="inlineStr">
        <is>
          <t>CoreWeave Form 10-Q 附註 5（2026-06-30）（2026-08-12）[Verified]</t>
        </is>
      </c>
    </row>
    <row r="24">
      <c r="A24" t="inlineStr">
        <is>
          <t>折舊年限（IT 設備）</t>
        </is>
      </c>
      <c r="B24" t="inlineStr">
        <is>
          <t>年</t>
        </is>
      </c>
      <c r="C24" t="n">
        <v>6</v>
      </c>
      <c r="D24" t="n">
        <v>6</v>
      </c>
      <c r="E24" t="n">
        <v>0</v>
      </c>
      <c r="F24" t="n">
        <v>6</v>
      </c>
      <c r="G24" t="inlineStr">
        <is>
          <t>1</t>
        </is>
      </c>
      <c r="H24" t="inlineStr">
        <is>
          <t>IF_DeprLifeIT（期初在役世代加權）</t>
        </is>
      </c>
      <c r="I24" t="inlineStr">
        <is>
          <t>技術設備 6 年（10-K FY2025 會計政策） [Verified]</t>
        </is>
      </c>
      <c r="J24" t="inlineStr">
        <is>
          <t>一致</t>
        </is>
      </c>
      <c r="K24" t="inlineStr">
        <is>
          <t>無</t>
        </is>
      </c>
      <c r="L24" t="inlineStr">
        <is>
          <t>CoreWeave Form 10-K FY2025（edgar.tools 轉載會計政策表）（2025-12-31（期末））[Verified]</t>
        </is>
      </c>
    </row>
    <row r="25">
      <c r="A25" t="inlineStr">
        <is>
          <t>▸ 敏感度輸入（公司實際比率；Q2 季末世代與首期新增世代、基準成本情境；scripts/permw_sens.py 讀取）</t>
        </is>
      </c>
    </row>
    <row r="26">
      <c r="A26" t="inlineStr">
        <is>
          <t>敏感度輸入｜Q2 季末世代 Tokenomics 營運成本合計（基準成本情境）</t>
        </is>
      </c>
      <c r="B26" t="inlineStr">
        <is>
          <t>US$m/MW</t>
        </is>
      </c>
      <c r="C26" t="n">
        <v>2.0755031746511</v>
      </c>
      <c r="H26" t="inlineStr">
        <is>
          <t>Σ 季末在役占比 ×（IF_PowerCost＋IF_MaintIT＋IF_StaffSW＋IF_TaxIns × IT 資本占比），基準成本情境</t>
        </is>
      </c>
    </row>
    <row r="27">
      <c r="A27" t="inlineStr">
        <is>
          <t>敏感度輸入｜營運成本倍數＝Q2 實際 ÷ Q2 季末世代 Tokenomics 合計</t>
        </is>
      </c>
      <c r="B27" t="inlineStr">
        <is>
          <t>倍</t>
        </is>
      </c>
      <c r="C27" t="n">
        <v>0.653720994779053</v>
      </c>
      <c r="H27" t="inlineStr">
        <is>
          <t>敏感度「營運成本＝Q2 實際比率」把輸入頁『由下而上營運成本倍數』設為本值</t>
        </is>
      </c>
    </row>
    <row r="28">
      <c r="A28" t="inlineStr">
        <is>
          <t>敏感度輸入｜首期新增世代 Tokenomics IT 資本（基準成本情境）</t>
        </is>
      </c>
      <c r="B28" t="inlineStr">
        <is>
          <t>US$m/MW</t>
        </is>
      </c>
      <c r="C28" t="n">
        <v>34.759438</v>
      </c>
      <c r="H28" t="inlineStr">
        <is>
          <t>Σ 首期新增占比（基準組合）× IF_CapexIT，基準成本情境</t>
        </is>
      </c>
    </row>
    <row r="29">
      <c r="A29" t="inlineStr">
        <is>
          <t>敏感度輸入｜每 MW 建置成本倍數＝1H26 實際 ÷ 首期新增世代 Tokenomics</t>
        </is>
      </c>
      <c r="B29" t="inlineStr">
        <is>
          <t>倍</t>
        </is>
      </c>
      <c r="C29" t="n">
        <v>0.7143162317305241</v>
      </c>
      <c r="H29" t="inlineStr">
        <is>
          <t>敏感度「每 MW 建置成本＝實際比率」把輸入頁『每 MW 建置成本倍數』設為本值</t>
        </is>
      </c>
    </row>
    <row r="30">
      <c r="A30" t="inlineStr">
        <is>
          <t>敏感度輸入｜CRWV 短天期 k（短天期合約價 ÷ 同世代 Tokenomics，基準）</t>
        </is>
      </c>
      <c r="B30" t="inlineStr">
        <is>
          <t>倍</t>
        </is>
      </c>
      <c r="C30" t="n">
        <v>3.14348112575638</v>
      </c>
      <c r="H30" t="inlineStr">
        <is>
          <t>CoreWeave Q3 短天期合約（3–6 個月，公司新聞稿）：40 US$m/MW/年 ÷ IF_HoldEcon｜GB300 NVL72（基準）[Interested-party]；敏感度「隨需 10% × CRWV 短天期 k」</t>
        </is>
      </c>
    </row>
    <row r="31">
      <c r="A31" t="inlineStr">
        <is>
          <t>▸ Q2 逐項對帳（模型首期 vs 最近一季實際，每平均在役 MW、年化；差距＝實際 ÷ 模型 − 1）</t>
        </is>
      </c>
    </row>
    <row r="32">
      <c r="A32" t="inlineStr">
        <is>
          <t>Q2 對帳｜每 MW 年收入（算力＋服務）</t>
        </is>
      </c>
      <c r="B32" t="inlineStr">
        <is>
          <t>US$m/MW</t>
        </is>
      </c>
      <c r="C32" t="n">
        <v>8.218984509448511</v>
      </c>
      <c r="D32" t="n">
        <v>8.24</v>
      </c>
      <c r="E32" t="n">
        <v>0.00255694490327074</v>
      </c>
      <c r="J32" t="inlineStr">
        <is>
          <t>模型首期：既有合約 MW 按 Q2 實現單價（k_既有），新增 MW 按市場長約 k；分母都是平均在役 MW（含爬坡中尚未計費的 MW）</t>
        </is>
      </c>
    </row>
    <row r="33">
      <c r="A33" t="inlineStr">
        <is>
          <t>Q2 對帳｜每 MW 營運成本（租金前、不含管銷；Q2 含變動租賃）</t>
        </is>
      </c>
      <c r="B33" t="inlineStr">
        <is>
          <t>US$m/MW</t>
        </is>
      </c>
      <c r="C33" t="n">
        <v>2.09000938491143</v>
      </c>
      <c r="D33" t="n">
        <v>1.3568</v>
      </c>
      <c r="E33" t="n">
        <v>-0.350816312215987</v>
      </c>
      <c r="J33" t="inlineStr">
        <is>
          <t>差距 &gt; 10% 且找不到可證實的機制（單項未揭露、保固條款找不到）：依規則 3 以 Tokenomics 為基準，Q2 實際比率列為敏感度，需要 Andy 決定；Q2 實際另含研發（Q2 $117m）</t>
        </is>
      </c>
    </row>
    <row r="34">
      <c r="A34" t="inlineStr">
        <is>
          <t>Q2 對帳｜每 MW 固定租金</t>
        </is>
      </c>
      <c r="B34" t="inlineStr">
        <is>
          <t>US$m/MW</t>
        </is>
      </c>
      <c r="C34" t="n">
        <v>1.6</v>
      </c>
      <c r="D34" t="n">
        <v>1.6</v>
      </c>
      <c r="E34" t="n">
        <v>0</v>
      </c>
      <c r="J34" t="inlineStr">
        <is>
          <t>Q2 營業租賃成本年化（固定租金）對模型在帳＋表外現金租金；變動租賃（水電、共同區域維護、保全）歸入營運成本</t>
        </is>
      </c>
    </row>
    <row r="35">
      <c r="A35" t="inlineStr">
        <is>
          <t>Q2 對帳｜每 MW 管銷（扣 SBC）</t>
        </is>
      </c>
      <c r="B35" t="inlineStr">
        <is>
          <t>US$m/MW</t>
        </is>
      </c>
      <c r="C35" t="n">
        <v>0.453241087511335</v>
      </c>
      <c r="D35" t="n">
        <v>0.4544</v>
      </c>
      <c r="E35" t="n">
        <v>0.00255694490327074</v>
      </c>
      <c r="J35" t="inlineStr">
        <is>
          <t>模型管銷率＝Q2 實際（扣 SBC）× 營收；每 MW 差距只來自每 MW 營收差距</t>
        </is>
      </c>
    </row>
    <row r="36">
      <c r="A36" t="inlineStr">
        <is>
          <t>Q2 對帳｜每 MW EBITDA（Q2＝調整後 EBITDA）</t>
        </is>
      </c>
      <c r="B36" t="inlineStr">
        <is>
          <t>US$m/MW</t>
        </is>
      </c>
      <c r="C36" t="n">
        <v>4.07573403702574</v>
      </c>
      <c r="D36" t="n">
        <v>4.832</v>
      </c>
      <c r="E36" t="n">
        <v>0.1855533153302</v>
      </c>
      <c r="J36" t="inlineStr">
        <is>
          <t>差距主要來自營運成本（Tokenomics 滿載穩態 vs Q2 實際）；Q2 調整後 EBITDA＝營收 − 現金成本（扣 D&amp;A、SBC），與模型 EBITDA 同口徑</t>
        </is>
      </c>
    </row>
    <row r="37">
      <c r="A37" t="inlineStr">
        <is>
          <t>Q2 對帳｜EBITDA 率（差距＝百分點）</t>
        </is>
      </c>
      <c r="B37" t="inlineStr">
        <is>
          <t>%</t>
        </is>
      </c>
      <c r="C37" t="n">
        <v>0.495892653446456</v>
      </c>
      <c r="D37" t="n">
        <v>0.586407766990291</v>
      </c>
      <c r="E37" t="n">
        <v>-0.09051511354383519</v>
      </c>
      <c r="J37" t="inlineStr">
        <is>
          <t>同上；模型首期為 2H 模型值</t>
        </is>
      </c>
    </row>
    <row r="38">
      <c r="A38" t="inlineStr">
        <is>
          <t>證據清單（company.json → companyAdjust.evidence）</t>
        </is>
      </c>
    </row>
    <row r="39">
      <c r="A39" t="inlineStr">
        <is>
          <t>證據｜crwvQ2Rev</t>
        </is>
      </c>
      <c r="H39" t="inlineStr">
        <is>
          <t>Q2 2026 營收 2,575（百萬美元）；營收成本 879、技術與基礎設施 1,507（三個月）｜CoreWeave Form 10-Q（2026-06-30）（2026-08-12，擷取 2026-10-08）[Verified]｜https://www.sec.gov/Archives/edgar/data/0001769628/000176962826000366/crwv-20260630.htm</t>
        </is>
      </c>
    </row>
    <row r="40">
      <c r="A40" t="inlineStr">
        <is>
          <t>證據｜crwvContractDur</t>
        </is>
      </c>
      <c r="H40" t="inlineStr">
        <is>
          <t>As of December 31, 2025, our committed contracts had a weighted-average contract duration of approximately five years｜CoreWeave Form 10-K FY2025（2025-12-31（期末），擷取 2026-10-08）[Verified]｜https://www.sec.gov/Archives/edgar/data/1769628/000176962826000104/crwv-20251231.htm</t>
        </is>
      </c>
    </row>
    <row r="41">
      <c r="A41" t="inlineStr">
        <is>
          <t>證據｜crwvCostRevPolicy</t>
        </is>
      </c>
      <c r="H41" t="inlineStr">
        <is>
          <t>營收成本：資料中心直接成本——租金、utilities including power、資料中心資產（含電力安裝與配電系統）折舊、資料中心營運與客戶成功人員；非租賃的 colocation 費用｜CoreWeave Form 10-K FY2025 會計政策（R28）（2025-12-31（期末），擷取 2026-10-08）[Verified]｜https://www.sec.gov/Archives/edgar/data/1769628/000176962826000104/R28.htm</t>
        </is>
      </c>
    </row>
    <row r="42">
      <c r="A42" t="inlineStr">
        <is>
          <t>證據｜crwvTiPolicy</t>
        </is>
      </c>
      <c r="H42" t="inlineStr">
        <is>
          <t>技術與基礎設施：伺服器、交換器、網路設備與自建軟體的折舊攤銷；研發與「維護運算基礎設施」人員；軟體訂閱；2025 研發 $352m｜CoreWeave Form 10-K FY2025 會計政策（R28）（2025-12-31（期末），擷取 2026-10-08）[Verified]｜https://www.sec.gov/Archives/edgar/data/1769628/000176962826000104/R28.htm</t>
        </is>
      </c>
    </row>
    <row r="43">
      <c r="A43" t="inlineStr">
        <is>
          <t>證據｜crwvVarLease</t>
        </is>
      </c>
      <c r="H43" t="inlineStr">
        <is>
          <t>變動租賃成本（common area maintenance, utilities reimbursed to the landlord, physical security）不含在營業／融資租賃成本、發生時費用化；Q2 營業租賃成本 500、6M 888（百萬美元）；FY2025 變動租賃 252、營業租賃 825｜CoreWeave Form 10-Q 附註 8（2026-06-30）；10-K FY2025 附註（R16）（2026-08-12，擷取 2026-10-08）[Verified]｜https://www.sec.gov/Archives/edgar/data/0001769628/000176962826000366/crwv-20260630.htm</t>
        </is>
      </c>
    </row>
    <row r="44">
      <c r="A44" t="inlineStr">
        <is>
          <t>證據｜corzPower</t>
        </is>
      </c>
      <c r="H44" t="inlineStr">
        <is>
          <t>CoreWeave 合約摘要：「Client pays for capex, power, and utilities」；約 590 MW、年化 colocation 營收約 $850M、12 年 take-or-pay｜Core Scientific Q2 FY26 法說簡報（交易對手）（2026-07-28，擷取 2026-10-08）[Interested-party]｜https://investors.corescientific.com/sec-filings/all-sec-filings/content/0001839341-26-000012/q2fy26earningsdeck728am.htm</t>
        </is>
      </c>
    </row>
    <row r="45">
      <c r="A45" t="inlineStr">
        <is>
          <t>證據｜crwvPowerSwap</t>
        </is>
      </c>
      <c r="H45" t="inlineStr">
        <is>
          <t>電力交換合約名目 $104m，未指定避險、損益認列於營收成本｜CoreWeave Form 10-Q（2026-06-30）（2026-08-12，擷取 2026-10-08）[Verified]｜https://www.sec.gov/Archives/edgar/data/0001769628/000176962826000366/crwv-20260630.htm</t>
        </is>
      </c>
    </row>
    <row r="46">
      <c r="A46" t="inlineStr">
        <is>
          <t>證據｜crwvRd</t>
        </is>
      </c>
      <c r="H46" t="inlineStr">
        <is>
          <t>研發費用 Q2 $117m、6M $221m，含在技術與基礎設施｜CoreWeave Form 10-Q（2026-06-30）（2026-08-12，擷取 2026-10-08）[Verified]｜https://www.sec.gov/Archives/edgar/data/0001769628/000176962826000366/crwv-20260630.htm</t>
        </is>
      </c>
    </row>
    <row r="47">
      <c r="A47" t="inlineStr">
        <is>
          <t>證據｜crwvEmployees</t>
        </is>
      </c>
      <c r="H47" t="inlineStr">
        <is>
          <t>As of December 31, 2025, we had 2,189 employees｜CoreWeave Form 10-K FY2025（2025-12-31（期末），擷取 2026-10-08）[Verified]｜https://www.sec.gov/Archives/edgar/data/1769628/000176962826000104/crwv-20251231.htm</t>
        </is>
      </c>
    </row>
    <row r="48">
      <c r="A48" t="inlineStr">
        <is>
          <t>證據｜smcWarranty</t>
        </is>
      </c>
      <c r="H48" t="inlineStr">
        <is>
          <t>Supermicro 標準保固（發票無特別條款時）：GPU Systems 人工 3 年、零件 1 年｜Supermicro Warranty 頁面（廠商通則，非 CRWV 合約）（2026-10-08，擷取 2026-10-08）[Analogy]｜https://www.supermicro.com/en/support/warranty</t>
        </is>
      </c>
    </row>
    <row r="49">
      <c r="A49" t="inlineStr">
        <is>
          <t>證據｜crwvPPE</t>
        </is>
      </c>
      <c r="H49" t="inlineStr">
        <is>
          <t>PP&amp;E 毛額（百萬美元，2025-12-31 → 2026-06-30）：技術設備 20,903 → 33,823；資料中心設備與租賃改良 2,842 → 5,997；在建工程 9,376 → 11,918｜CoreWeave Form 10-Q 附註 5（2026-06-30）（2026-08-12，擷取 2026-10-08）[Verified]｜https://www.sec.gov/Archives/edgar/data/0001769628/000176962826000366/crwv-20260630.htm</t>
        </is>
      </c>
    </row>
    <row r="50">
      <c r="A50" t="inlineStr">
        <is>
          <t>證據｜crwvCapex</t>
        </is>
      </c>
      <c r="H50" t="inlineStr">
        <is>
          <t>1H26 資本支出 16.139bn（latestQuarter.capexH1）；主動電力 2025 年底 850 MW、2026-06-30 1.5 GW｜CoreWeave 10-Q／法說（company.json latestQuarter、defaults.mwYearEnd、fleet.openMix）（2026-08-12，擷取 2026-10-08）[Verified]｜https://www.sec.gov/Archives/edgar/data/0001769628/000176962826000366/crwv-20260630.htm</t>
        </is>
      </c>
    </row>
    <row r="51">
      <c r="A51" t="inlineStr">
        <is>
          <t>證據｜crwvLife</t>
        </is>
      </c>
      <c r="H51" t="inlineStr">
        <is>
          <t>Technology equipment：6 years（PP&amp;E 耐用年限表）｜CoreWeave Form 10-K FY2025（edgar.tools 轉載會計政策表）（2025-12-31（期末），擷取 2026-10-08）[Verified]｜https://app.edgar.tools/companies/CRWV/disclosures/property-plant-equipment</t>
        </is>
      </c>
    </row>
    <row r="52">
      <c r="A52" t="inlineStr">
        <is>
          <t>證據｜crwvPriceUp</t>
        </is>
      </c>
      <c r="H52" t="inlineStr">
        <is>
          <t>「in July the company pushed through an approximately 25% price increase across SKUs」；新簽合約貢獻率預期高 5–10 個百分點（轉述，非逐字稿）｜Trefis（轉述 Q2 2026 法說）（2026-08-13，擷取 2026-10-08）[Interested-party]｜https://www.trefis.com/stock/crwv/articles2/611369/coreweave-is-winning-on-price-and-racing-its-own-interest-bill/2026-08-13</t>
        </is>
      </c>
    </row>
    <row r="53">
      <c r="A53" t="inlineStr">
        <is>
          <t>證據｜crwvShortDated</t>
        </is>
      </c>
      <c r="H53" t="inlineStr">
        <is>
          <t>In the third quarter of 2026, CoreWeave has signed short-dated customer contracts of approximately three to six months, with pricing of approximately $40 million per megawatt（annualized revenue ÷ power required to service the related clusters）；&gt;$25bn 新增承諾｜CoreWeave 新聞稿「Continues to Contract New Compute Capacity at Higher Prices」（2026-09-16，擷取 2026-10-08）[Interested-party]｜https://investors.coreweave.com/news/news-details/2026/CoreWeave-Continues-to-Contract-New-Compute-Capacity-at-Higher-Prices/default.aspx</t>
        </is>
      </c>
    </row>
    <row r="54">
      <c r="A54" t="inlineStr">
        <is>
          <t>找不到｜第 1 項</t>
        </is>
      </c>
      <c r="H54" t="inlineStr">
        <is>
          <t>CRWV 伺服器／GPU 保固或維護合約條款：10-K FY2025（Item 1、1A、會計政策）、10-Q Q2 2026、搜尋皆未見（找不到，不代表不存在）</t>
        </is>
      </c>
    </row>
    <row r="55">
      <c r="A55" t="inlineStr">
        <is>
          <t>找不到｜第 2 項</t>
        </is>
      </c>
      <c r="H55" t="inlineStr">
        <is>
          <t>電費、維護、財產稅、保險的金額：10-Q／10-K 損益只到營收成本與技術與基礎設施兩列，未拆項（不存在於列項）</t>
        </is>
      </c>
    </row>
    <row r="56">
      <c r="A56" t="inlineStr">
        <is>
          <t>找不到｜第 3 項</t>
        </is>
      </c>
      <c r="H56" t="inlineStr">
        <is>
          <t>CRWV 新長約的每 MW 價格或合約金額 ÷ MW：$25bn 新增承諾未揭露 MW；Q2 法說逐字稿原文未取得（只有轉述）</t>
        </is>
      </c>
    </row>
    <row r="57">
      <c r="A57" t="inlineStr">
        <is>
          <t>找不到｜第 4 項</t>
        </is>
      </c>
      <c r="H57" t="inlineStr">
        <is>
          <t>主動電力（active power）的 IT／設施口徑定義：10-K、10-Q 未見（找不到）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敏感度（建置時快照 permw_sens.json；加權目標價 US$／融資缺口 US$bn）</t>
        </is>
      </c>
    </row>
    <row r="3">
      <c r="A3" s="3" t="inlineStr">
        <is>
          <t>設定</t>
        </is>
      </c>
      <c r="B3" s="3" t="inlineStr">
        <is>
          <t>保守 目標價</t>
        </is>
      </c>
      <c r="C3" s="3" t="inlineStr">
        <is>
          <t>保守 缺口</t>
        </is>
      </c>
      <c r="D3" s="3" t="inlineStr">
        <is>
          <t>基準 目標價</t>
        </is>
      </c>
      <c r="E3" s="3" t="inlineStr">
        <is>
          <t>基準 缺口</t>
        </is>
      </c>
      <c r="F3" s="3" t="inlineStr">
        <is>
          <t>積極 目標價</t>
        </is>
      </c>
      <c r="G3" s="3" t="inlineStr">
        <is>
          <t>積極 缺口</t>
        </is>
      </c>
    </row>
    <row r="4">
      <c r="A4" t="inlineStr">
        <is>
          <t>基準（目前輸入）</t>
        </is>
      </c>
      <c r="B4" t="n">
        <v>18.43891607848876</v>
      </c>
      <c r="C4" t="n">
        <v>51.01357830520501</v>
      </c>
      <c r="D4" t="n">
        <v>13.29465592744266</v>
      </c>
      <c r="E4" t="n">
        <v>100.928227629337</v>
      </c>
      <c r="F4" t="n">
        <v>0</v>
      </c>
      <c r="G4" t="n">
        <v>179.6340024468437</v>
      </c>
    </row>
    <row r="5">
      <c r="A5" t="inlineStr">
        <is>
          <t>Tokenomics 低成本</t>
        </is>
      </c>
      <c r="B5" t="n">
        <v>73.11283296263414</v>
      </c>
      <c r="C5" t="n">
        <v>19.45670443454913</v>
      </c>
      <c r="D5" t="n">
        <v>44.8400569152071</v>
      </c>
      <c r="E5" t="n">
        <v>60.4081939871548</v>
      </c>
      <c r="F5" t="n">
        <v>30.11692611429382</v>
      </c>
      <c r="G5" t="n">
        <v>122.7924720652285</v>
      </c>
    </row>
    <row r="6">
      <c r="A6" t="inlineStr">
        <is>
          <t>Tokenomics 高成本</t>
        </is>
      </c>
      <c r="B6" t="n">
        <v>0</v>
      </c>
      <c r="C6" t="n">
        <v>100.9402491497127</v>
      </c>
      <c r="D6" t="n">
        <v>0</v>
      </c>
      <c r="E6" t="n">
        <v>161.5111335696673</v>
      </c>
      <c r="F6" t="n">
        <v>0</v>
      </c>
      <c r="G6" t="n">
        <v>259.7543179194937</v>
      </c>
    </row>
    <row r="7">
      <c r="A7" t="inlineStr">
        <is>
          <t>GPU 小時價格 低</t>
        </is>
      </c>
      <c r="B7" t="inlineStr">
        <is>
          <t>不適用</t>
        </is>
      </c>
      <c r="C7" t="inlineStr">
        <is>
          <t>不適用</t>
        </is>
      </c>
      <c r="D7" t="inlineStr">
        <is>
          <t>不適用</t>
        </is>
      </c>
      <c r="E7" t="inlineStr">
        <is>
          <t>不適用</t>
        </is>
      </c>
      <c r="F7" t="inlineStr">
        <is>
          <t>不適用</t>
        </is>
      </c>
      <c r="G7" t="inlineStr">
        <is>
          <t>不適用</t>
        </is>
      </c>
    </row>
    <row r="8">
      <c r="A8" t="inlineStr">
        <is>
          <t>GPU 小時價格 高</t>
        </is>
      </c>
      <c r="B8" t="inlineStr">
        <is>
          <t>不適用</t>
        </is>
      </c>
      <c r="C8" t="inlineStr">
        <is>
          <t>不適用</t>
        </is>
      </c>
      <c r="D8" t="inlineStr">
        <is>
          <t>不適用</t>
        </is>
      </c>
      <c r="E8" t="inlineStr">
        <is>
          <t>不適用</t>
        </is>
      </c>
      <c r="F8" t="inlineStr">
        <is>
          <t>不適用</t>
        </is>
      </c>
      <c r="G8" t="inlineStr">
        <is>
          <t>不適用</t>
        </is>
      </c>
    </row>
    <row r="9">
      <c r="A9" t="inlineStr">
        <is>
          <t>世代組合 Rubin Ultra 版</t>
        </is>
      </c>
      <c r="B9" t="n">
        <v>18.4520351321708</v>
      </c>
      <c r="C9" t="n">
        <v>57.0283483172874</v>
      </c>
      <c r="D9" t="n">
        <v>6.738495383862656</v>
      </c>
      <c r="E9" t="n">
        <v>119.9033432753359</v>
      </c>
      <c r="F9" t="n">
        <v>0</v>
      </c>
      <c r="G9" t="n">
        <v>215.4746822055689</v>
      </c>
    </row>
    <row r="10">
      <c r="A10" t="inlineStr">
        <is>
          <t>管銷率 GAAP（含 SBC）</t>
        </is>
      </c>
      <c r="B10" t="n">
        <v>12.54950946456627</v>
      </c>
      <c r="C10" t="n">
        <v>55.73133978381367</v>
      </c>
      <c r="D10" t="n">
        <v>1.879996033361393</v>
      </c>
      <c r="E10" t="n">
        <v>106.0270900198157</v>
      </c>
      <c r="F10" t="n">
        <v>0</v>
      </c>
      <c r="G10" t="n">
        <v>185.5772869433561</v>
      </c>
    </row>
    <row r="11">
      <c r="A11" t="inlineStr">
        <is>
          <t>k_長約 0.70</t>
        </is>
      </c>
      <c r="B11" t="n">
        <v>12.89188157115298</v>
      </c>
      <c r="C11" t="n">
        <v>55.31142482811133</v>
      </c>
      <c r="D11" t="n">
        <v>1.811336590339682</v>
      </c>
      <c r="E11" t="n">
        <v>105.9768835278689</v>
      </c>
      <c r="F11" t="n">
        <v>0</v>
      </c>
      <c r="G11" t="n">
        <v>186.3527411156381</v>
      </c>
    </row>
    <row r="12">
      <c r="A12" t="inlineStr">
        <is>
          <t>k_長約 0.89（三筆長約中位數）</t>
        </is>
      </c>
      <c r="B12" t="n">
        <v>31.27206286338236</v>
      </c>
      <c r="C12" t="n">
        <v>41.70183893087859</v>
      </c>
      <c r="D12" t="n">
        <v>21.22466397008423</v>
      </c>
      <c r="E12" t="n">
        <v>89.98980042774201</v>
      </c>
      <c r="F12" t="n">
        <v>3.239143458427273</v>
      </c>
      <c r="G12" t="n">
        <v>165.0771754106643</v>
      </c>
    </row>
    <row r="13">
      <c r="A13" t="inlineStr">
        <is>
          <t>k_長約 1.00</t>
        </is>
      </c>
      <c r="B13" t="n">
        <v>43.63047871762488</v>
      </c>
      <c r="C13" t="n">
        <v>33.82290557844657</v>
      </c>
      <c r="D13" t="n">
        <v>32.4397286432563</v>
      </c>
      <c r="E13" t="n">
        <v>80.73449114323634</v>
      </c>
      <c r="F13" t="n">
        <v>17.87120354319406</v>
      </c>
      <c r="G13" t="n">
        <v>152.7602298422676</v>
      </c>
    </row>
    <row r="14">
      <c r="A14" t="inlineStr">
        <is>
          <t>隨需占比 10%（k_現貨 1.76）</t>
        </is>
      </c>
      <c r="B14" t="n">
        <v>28.38429523654782</v>
      </c>
      <c r="C14" t="n">
        <v>43.85067332426183</v>
      </c>
      <c r="D14" t="n">
        <v>17.9675425049054</v>
      </c>
      <c r="E14" t="n">
        <v>92.51401756081134</v>
      </c>
      <c r="F14" t="n">
        <v>0</v>
      </c>
      <c r="G14" t="n">
        <v>168.4363965286369</v>
      </c>
    </row>
    <row r="15">
      <c r="A15" t="inlineStr">
        <is>
          <t>隨需占比 20%（k_現貨 1.76）</t>
        </is>
      </c>
      <c r="B15" t="n">
        <v>38.59092927087478</v>
      </c>
      <c r="C15" t="n">
        <v>36.68795068834187</v>
      </c>
      <c r="D15" t="n">
        <v>28.76009063813389</v>
      </c>
      <c r="E15" t="n">
        <v>84.10003205987238</v>
      </c>
      <c r="F15" t="n">
        <v>12.49821292960623</v>
      </c>
      <c r="G15" t="n">
        <v>157.2390856884966</v>
      </c>
    </row>
    <row r="16">
      <c r="A16" t="inlineStr">
        <is>
          <t>既有合約 k 不套用（全部按 k_新約）</t>
        </is>
      </c>
      <c r="B16" t="n">
        <v>13.98053551884776</v>
      </c>
      <c r="C16" t="n">
        <v>54.8411224358677</v>
      </c>
      <c r="D16" t="n">
        <v>5.247851807698387</v>
      </c>
      <c r="E16" t="n">
        <v>104.768016723937</v>
      </c>
      <c r="F16" t="n">
        <v>0</v>
      </c>
      <c r="G16" t="n">
        <v>183.4941279896183</v>
      </c>
    </row>
    <row r="17">
      <c r="A17" t="inlineStr">
        <is>
          <t>新約價格 +25%（公司說法，只作用於長約）</t>
        </is>
      </c>
      <c r="B17" t="n">
        <v>37.42780745983326</v>
      </c>
      <c r="C17" t="n">
        <v>37.40421567845915</v>
      </c>
      <c r="D17" t="n">
        <v>27.73889414613658</v>
      </c>
      <c r="E17" t="n">
        <v>84.94142176563639</v>
      </c>
      <c r="F17" t="n">
        <v>11.16437256098586</v>
      </c>
      <c r="G17" t="n">
        <v>158.3588053591167</v>
      </c>
    </row>
    <row r="18">
      <c r="A18" t="inlineStr">
        <is>
          <t>隨需 10% × CRWV 短天期 k 3.14</t>
        </is>
      </c>
      <c r="B18" t="n">
        <v>43.41740036272819</v>
      </c>
      <c r="C18" t="n">
        <v>33.94122342096074</v>
      </c>
      <c r="D18" t="n">
        <v>32.27897930190208</v>
      </c>
      <c r="E18" t="n">
        <v>80.87347796141066</v>
      </c>
      <c r="F18" t="n">
        <v>17.64811417972749</v>
      </c>
      <c r="G18" t="n">
        <v>152.945193285054</v>
      </c>
    </row>
    <row r="19">
      <c r="A19" t="inlineStr">
        <is>
          <t>營運成本＝Q2 實際比率（× 0.65）</t>
        </is>
      </c>
      <c r="B19" t="n">
        <v>33.66717181480543</v>
      </c>
      <c r="C19" t="n">
        <v>39.69754610424255</v>
      </c>
      <c r="D19" t="n">
        <v>22.47183506335923</v>
      </c>
      <c r="E19" t="n">
        <v>88.42419208297738</v>
      </c>
      <c r="F19" t="n">
        <v>2.224603219970951</v>
      </c>
      <c r="G19" t="n">
        <v>164.5158966838731</v>
      </c>
    </row>
    <row r="20">
      <c r="A20" t="inlineStr">
        <is>
          <t>每 MW 建置成本＝1H26 實際比率（× 0.71）</t>
        </is>
      </c>
      <c r="B20" t="n">
        <v>32.383870139115</v>
      </c>
      <c r="C20" t="n">
        <v>26.00679357723641</v>
      </c>
      <c r="D20" t="n">
        <v>26.00295724868684</v>
      </c>
      <c r="E20" t="n">
        <v>60.36365089668607</v>
      </c>
      <c r="F20" t="n">
        <v>13.31856546177661</v>
      </c>
      <c r="G20" t="n">
        <v>113.6354392150245</v>
      </c>
    </row>
    <row r="21">
      <c r="A21" t="inlineStr">
        <is>
          <t>營運成本與建置成本皆用公司實際比率</t>
        </is>
      </c>
      <c r="B21" t="n">
        <v>67.97846994386501</v>
      </c>
      <c r="C21" t="n">
        <v>14.69076137627394</v>
      </c>
      <c r="D21" t="n">
        <v>43.30022120641751</v>
      </c>
      <c r="E21" t="n">
        <v>47.85961535032643</v>
      </c>
      <c r="F21" t="n">
        <v>31.65988001723891</v>
      </c>
      <c r="G21" t="n">
        <v>98.51733345205392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目標價變動拆解（v4.6 → v4.7 W5；0 截斷口徑，US$／股；scripts/attrib_w5.py）</t>
        </is>
      </c>
    </row>
    <row r="3">
      <c r="A3" s="3" t="inlineStr">
        <is>
          <t>(d) 逐項</t>
        </is>
      </c>
      <c r="B3" s="3" t="inlineStr">
        <is>
          <t>保守</t>
        </is>
      </c>
      <c r="C3" s="3" t="inlineStr">
        <is>
          <t>基準</t>
        </is>
      </c>
      <c r="D3" s="3" t="inlineStr">
        <is>
          <t>積極</t>
        </is>
      </c>
    </row>
    <row r="4">
      <c r="A4" t="inlineStr">
        <is>
          <t>① 錨取代舊輸入（k＝1：每 MW 年收入＝在役世代 IF_HoldEcon）</t>
        </is>
      </c>
      <c r="B4" s="8" t="n">
        <v>30.15838120312642</v>
      </c>
      <c r="C4" s="8" t="n">
        <v>15.46357531760988</v>
      </c>
      <c r="D4" s="8" t="n">
        <v>8.818890839551241</v>
      </c>
    </row>
    <row r="5">
      <c r="A5" t="inlineStr">
        <is>
          <t>② 套用定價倍數 k（隨需占比 0%：k＝k_長約 0.76）</t>
        </is>
      </c>
      <c r="B5" s="8" t="n">
        <v>-60.17061889498535</v>
      </c>
      <c r="C5" s="8" t="n">
        <v>-39.89419600679589</v>
      </c>
      <c r="D5" s="8" t="n">
        <v>-28.76781114369786</v>
      </c>
    </row>
    <row r="6">
      <c r="A6" t="inlineStr">
        <is>
          <t>③ 上限檢查（只新增檢查列）</t>
        </is>
      </c>
      <c r="B6" s="8" t="n">
        <v>0</v>
      </c>
      <c r="C6" s="8" t="n">
        <v>0</v>
      </c>
      <c r="D6" s="8" t="n">
        <v>0</v>
      </c>
    </row>
    <row r="7">
      <c r="A7" t="inlineStr">
        <is>
          <t>④-1 公司調整：既有合約 k（Q2 實現單價 ÷ Q2 錨）</t>
        </is>
      </c>
      <c r="B7" s="8" t="n">
        <v>4.458380559641004</v>
      </c>
      <c r="C7" s="8" t="n">
        <v>8.046804119744269</v>
      </c>
      <c r="D7" s="8" t="n">
        <v>0</v>
      </c>
    </row>
    <row r="8">
      <c r="A8" t="inlineStr">
        <is>
          <t>④-2 公司調整：營運成本（驗證後未調整，規則 3）</t>
        </is>
      </c>
      <c r="B8" s="8" t="n">
        <v>0</v>
      </c>
      <c r="C8" s="8" t="n">
        <v>0</v>
      </c>
      <c r="D8" s="8" t="n">
        <v>0</v>
      </c>
    </row>
    <row r="9">
      <c r="A9" t="inlineStr">
        <is>
          <t>④-3 公司調整：每 MW 資本支出（驗證後未調整，規則 3）</t>
        </is>
      </c>
      <c r="B9" s="8" t="n">
        <v>0</v>
      </c>
      <c r="C9" s="8" t="n">
        <v>0</v>
      </c>
      <c r="D9" s="8" t="n">
        <v>0</v>
      </c>
    </row>
    <row r="10">
      <c r="A10" t="inlineStr">
        <is>
          <t>④-4 公司調整：租金（差距 ≤ 10%，規則 1）</t>
        </is>
      </c>
      <c r="B10" s="8" t="n">
        <v>0</v>
      </c>
      <c r="C10" s="8" t="n">
        <v>0</v>
      </c>
      <c r="D10" s="8" t="n">
        <v>0</v>
      </c>
    </row>
    <row r="11">
      <c r="A11" t="inlineStr">
        <is>
          <t>④-5 公司調整：折舊年限（一致，規則 1）</t>
        </is>
      </c>
      <c r="B11" s="8" t="n">
        <v>0</v>
      </c>
      <c r="C11" s="8" t="n">
        <v>0</v>
      </c>
      <c r="D11" s="8" t="n">
        <v>0</v>
      </c>
    </row>
    <row r="12">
      <c r="A12" t="inlineStr">
        <is>
          <t>合計（＝總變動）</t>
        </is>
      </c>
      <c r="B12" s="8">
        <f>SUM(B4:B11)</f>
        <v/>
      </c>
      <c r="C12" s="8">
        <f>SUM(C4:C11)</f>
        <v/>
      </c>
      <c r="D12" s="8">
        <f>SUM(D4:D11)</f>
        <v/>
      </c>
    </row>
    <row r="13">
      <c r="A13" t="inlineStr">
        <is>
          <t>總變動（v4.7 W5 − v4.6，讀值）</t>
        </is>
      </c>
      <c r="B13" s="8" t="n">
        <v>-25.55385713221793</v>
      </c>
      <c r="C13" s="8" t="n">
        <v>-16.38381656944175</v>
      </c>
      <c r="D13" s="8" t="n">
        <v>-19.94892030414661</v>
      </c>
    </row>
    <row r="14">
      <c r="A14" t="inlineStr">
        <is>
          <t>檢查（合計 − 總變動，應為 0）</t>
        </is>
      </c>
      <c r="B14">
        <f>IF(ABS(B12-B13)&lt;0.01,"通過","不通過")</f>
        <v/>
      </c>
      <c r="C14">
        <f>IF(ABS(C12-C13)&lt;0.01,"通過","不通過")</f>
        <v/>
      </c>
      <c r="D14">
        <f>IF(ABS(D12-D13)&lt;0.01,"通過","不通過")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2026-10-08T12:14:20Z</dcterms:created>
  <dcterms:modified xmlns:dcterms="http://purl.org/dc/terms/" xmlns:xsi="http://www.w3.org/2001/XMLSchema-instance" xsi:type="dcterms:W3CDTF">2026-10-08T12:14:20Z</dcterms:modified>
</cp:coreProperties>
</file>