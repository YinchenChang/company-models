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摘要" sheetId="1" state="visible" r:id="rId3"/>
    <sheet name="每MW_前後" sheetId="2" state="visible" r:id="rId4"/>
    <sheet name="參數對照" sheetId="3" state="visible" r:id="rId5"/>
    <sheet name="變動拆解" sheetId="4" state="visible" r:id="rId6"/>
    <sheet name="Tokenomics參考線" sheetId="5" state="visible" r:id="rId7"/>
    <sheet name="已知限制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<sst xmlns="http://schemas.openxmlformats.org/spreadsheetml/2006/main" count="947" uniqueCount="372">
  <si>
    <r>
      <rPr>
        <b val="true"/>
        <sz val="13"/>
        <rFont val="Arial"/>
        <family val="0"/>
        <charset val="1"/>
      </rPr>
      <t xml:space="preserve">CoreWeave v4.5 → v4.6 </t>
    </r>
    <r>
      <rPr>
        <b val="true"/>
        <sz val="13"/>
        <rFont val="Noto Sans CJK SC"/>
        <family val="2"/>
      </rPr>
      <t xml:space="preserve">前後對照（每 </t>
    </r>
    <r>
      <rPr>
        <b val="true"/>
        <sz val="13"/>
        <rFont val="Arial"/>
        <family val="0"/>
        <charset val="1"/>
      </rPr>
      <t xml:space="preserve">MW </t>
    </r>
    <r>
      <rPr>
        <b val="true"/>
        <sz val="13"/>
        <rFont val="Noto Sans CJK SC"/>
        <family val="2"/>
      </rPr>
      <t xml:space="preserve">改接 </t>
    </r>
    <r>
      <rPr>
        <b val="true"/>
        <sz val="13"/>
        <rFont val="Arial"/>
        <family val="0"/>
        <charset val="1"/>
      </rPr>
      <t xml:space="preserve">Tokenomics v5.26</t>
    </r>
    <r>
      <rPr>
        <b val="true"/>
        <sz val="13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</si>
  <si>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結論：每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年收入不變（收入採備案，仍為 </t>
    </r>
    <r>
      <rPr>
        <b val="true"/>
        <sz val="10"/>
        <rFont val="Arial"/>
        <family val="0"/>
        <charset val="1"/>
      </rPr>
      <t xml:space="preserve">v4.5 </t>
    </r>
    <r>
      <rPr>
        <b val="true"/>
        <sz val="10"/>
        <rFont val="Noto Sans CJK SC"/>
        <family val="2"/>
      </rPr>
      <t xml:space="preserve">輸入）；每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現金成本（含租金）</t>
    </r>
    <r>
      <rPr>
        <b val="true"/>
        <sz val="10"/>
        <rFont val="Arial"/>
        <family val="0"/>
        <charset val="1"/>
      </rPr>
      <t xml:space="preserve">FY27 4.17 → 4.33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FY30 3.03 → 3.73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／年），每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資本支出 </t>
    </r>
    <r>
      <rPr>
        <b val="true"/>
        <sz val="10"/>
        <rFont val="Arial"/>
        <family val="0"/>
        <charset val="1"/>
      </rPr>
      <t xml:space="preserve">34 → 37.5–37.6</t>
    </r>
    <r>
      <rPr>
        <b val="true"/>
        <sz val="10"/>
        <rFont val="Noto Sans CJK SC"/>
        <family val="2"/>
      </rPr>
      <t xml:space="preserve">；主因是營運成本改由下而上（</t>
    </r>
    <r>
      <rPr>
        <b val="true"/>
        <sz val="10"/>
        <rFont val="Arial"/>
        <family val="0"/>
        <charset val="1"/>
      </rPr>
      <t xml:space="preserve">Tokenomics IT </t>
    </r>
    <r>
      <rPr>
        <b val="true"/>
        <sz val="10"/>
        <rFont val="Noto Sans CJK SC"/>
        <family val="2"/>
      </rPr>
      <t xml:space="preserve">維護約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、人員軟體 </t>
    </r>
    <r>
      <rPr>
        <b val="true"/>
        <sz val="10"/>
        <rFont val="Arial"/>
        <family val="0"/>
        <charset val="1"/>
      </rPr>
      <t xml:space="preserve">0.33</t>
    </r>
    <r>
      <rPr>
        <b val="true"/>
        <sz val="10"/>
        <rFont val="Noto Sans CJK SC"/>
        <family val="2"/>
      </rPr>
      <t xml:space="preserve">、稅險 </t>
    </r>
    <r>
      <rPr>
        <b val="true"/>
        <sz val="10"/>
        <rFont val="Arial"/>
        <family val="0"/>
        <charset val="1"/>
      </rPr>
      <t xml:space="preserve">0.17 </t>
    </r>
    <r>
      <rPr>
        <b val="true"/>
        <sz val="10"/>
        <rFont val="Noto Sans CJK SC"/>
        <family val="2"/>
      </rPr>
      <t xml:space="preserve">加電費 </t>
    </r>
    <r>
      <rPr>
        <b val="true"/>
        <sz val="10"/>
        <rFont val="Arial"/>
        <family val="0"/>
        <charset val="1"/>
      </rPr>
      <t xml:space="preserve">0.67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IF_CapexIT </t>
    </r>
    <r>
      <rPr>
        <b val="true"/>
        <sz val="10"/>
        <rFont val="Noto Sans CJK SC"/>
        <family val="2"/>
      </rPr>
      <t xml:space="preserve">建置成本，基準目標價 </t>
    </r>
    <r>
      <rPr>
        <b val="true"/>
        <sz val="10"/>
        <rFont val="Arial"/>
        <family val="0"/>
        <charset val="1"/>
      </rPr>
      <t xml:space="preserve">$45.50 → $29.68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-15.82</t>
    </r>
    <r>
      <rPr>
        <b val="true"/>
        <sz val="10"/>
        <rFont val="Noto Sans CJK SC"/>
        <family val="2"/>
      </rPr>
      <t xml:space="preserve">），三情境皆賣出。</t>
    </r>
  </si>
  <si>
    <r>
      <rPr>
        <sz val="9"/>
        <color rgb="FF666666"/>
        <rFont val="Noto Sans CJK SC"/>
        <family val="2"/>
      </rPr>
      <t xml:space="preserve">藍字＝建置時取自兩版成品（</t>
    </r>
    <r>
      <rPr>
        <sz val="9"/>
        <color rgb="FF666666"/>
        <rFont val="Arial"/>
        <family val="0"/>
        <charset val="1"/>
      </rPr>
      <t xml:space="preserve">v4.5</t>
    </r>
    <r>
      <rPr>
        <sz val="9"/>
        <color rgb="FF666666"/>
        <rFont val="Noto Sans CJK SC"/>
        <family val="2"/>
      </rPr>
      <t xml:space="preserve">：</t>
    </r>
    <r>
      <rPr>
        <sz val="9"/>
        <color rgb="FF666666"/>
        <rFont val="Arial"/>
        <family val="0"/>
        <charset val="1"/>
      </rPr>
      <t xml:space="preserve">dist v4.5 </t>
    </r>
    <r>
      <rPr>
        <sz val="9"/>
        <color rgb="FF666666"/>
        <rFont val="Noto Sans CJK SC"/>
        <family val="2"/>
      </rPr>
      <t xml:space="preserve">與舊方法副本，逐格相同；</t>
    </r>
    <r>
      <rPr>
        <sz val="9"/>
        <color rgb="FF666666"/>
        <rFont val="Arial"/>
        <family val="0"/>
        <charset val="1"/>
      </rPr>
      <t xml:space="preserve">v4.6</t>
    </r>
    <r>
      <rPr>
        <sz val="9"/>
        <color rgb="FF666666"/>
        <rFont val="Noto Sans CJK SC"/>
        <family val="2"/>
      </rPr>
      <t xml:space="preserve">：</t>
    </r>
    <r>
      <rPr>
        <sz val="9"/>
        <color rgb="FF666666"/>
        <rFont val="Arial"/>
        <family val="0"/>
        <charset val="1"/>
      </rPr>
      <t xml:space="preserve">dist v4.6</t>
    </r>
    <r>
      <rPr>
        <sz val="9"/>
        <color rgb="FF666666"/>
        <rFont val="Noto Sans CJK SC"/>
        <family val="2"/>
      </rPr>
      <t xml:space="preserve">），黑字＝公式。基準情境；每 </t>
    </r>
    <r>
      <rPr>
        <sz val="9"/>
        <color rgb="FF666666"/>
        <rFont val="Arial"/>
        <family val="0"/>
        <charset val="1"/>
      </rPr>
      <t xml:space="preserve">MW</t>
    </r>
    <r>
      <rPr>
        <sz val="9"/>
        <color rgb="FF666666"/>
        <rFont val="Noto Sans CJK SC"/>
        <family val="2"/>
      </rPr>
      <t xml:space="preserve">＝每平均在役 </t>
    </r>
    <r>
      <rPr>
        <sz val="9"/>
        <color rgb="FF666666"/>
        <rFont val="Arial"/>
        <family val="0"/>
        <charset val="1"/>
      </rPr>
      <t xml:space="preserve">MW</t>
    </r>
    <r>
      <rPr>
        <sz val="9"/>
        <color rgb="FF666666"/>
        <rFont val="Noto Sans CJK SC"/>
        <family val="2"/>
      </rPr>
      <t xml:space="preserve">（</t>
    </r>
    <r>
      <rPr>
        <sz val="9"/>
        <color rgb="FF666666"/>
        <rFont val="Arial"/>
        <family val="0"/>
        <charset val="1"/>
      </rPr>
      <t xml:space="preserve">IT </t>
    </r>
    <r>
      <rPr>
        <sz val="9"/>
        <color rgb="FF666666"/>
        <rFont val="Noto Sans CJK SC"/>
        <family val="2"/>
      </rPr>
      <t xml:space="preserve">關鍵電力）、年化。</t>
    </r>
  </si>
  <si>
    <t xml:space="preserve">項目</t>
  </si>
  <si>
    <t xml:space="preserve">單位</t>
  </si>
  <si>
    <t xml:space="preserve">年度</t>
  </si>
  <si>
    <t xml:space="preserve">v4.5</t>
  </si>
  <si>
    <t xml:space="preserve">v4.6</t>
  </si>
  <si>
    <t xml:space="preserve">差異</t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</si>
  <si>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%</t>
    </r>
  </si>
  <si>
    <t xml:space="preserve">主要原因（一句）</t>
  </si>
  <si>
    <t xml:space="preserve">來源（成品工作表｜列名稱）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</si>
  <si>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年收入（算力＋服務）</t>
    </r>
  </si>
  <si>
    <t xml:space="preserve">US$m/MW</t>
  </si>
  <si>
    <t xml:space="preserve">FY27</t>
  </si>
  <si>
    <r>
      <rPr>
        <sz val="10"/>
        <rFont val="Noto Sans CJK SC"/>
        <family val="2"/>
      </rPr>
      <t xml:space="preserve">未改：收入採備案（每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年收入仍為 </t>
    </r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輸入 </t>
    </r>
    <r>
      <rPr>
        <sz val="10"/>
        <rFont val="Arial"/>
        <family val="0"/>
        <charset val="1"/>
      </rPr>
      <t xml:space="preserve">11.2–10.5 × </t>
    </r>
    <r>
      <rPr>
        <sz val="10"/>
        <rFont val="Noto Sans CJK SC"/>
        <family val="2"/>
      </rPr>
      <t xml:space="preserve">利用率；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小時長約價不足兩個獨立來源）</t>
    </r>
  </si>
  <si>
    <r>
      <rPr>
        <sz val="9"/>
        <color rgb="FF666666"/>
        <rFont val="Noto Sans CJK SC"/>
        <family val="2"/>
      </rPr>
      <t xml:space="preserve">每</t>
    </r>
    <r>
      <rPr>
        <sz val="9"/>
        <color rgb="FF666666"/>
        <rFont val="Arial"/>
        <family val="0"/>
        <charset val="1"/>
      </rPr>
      <t xml:space="preserve">MW</t>
    </r>
    <r>
      <rPr>
        <sz val="9"/>
        <color rgb="FF666666"/>
        <rFont val="Noto Sans CJK SC"/>
        <family val="2"/>
      </rPr>
      <t xml:space="preserve">經濟性｜每 </t>
    </r>
    <r>
      <rPr>
        <sz val="9"/>
        <color rgb="FF666666"/>
        <rFont val="Arial"/>
        <family val="0"/>
        <charset val="1"/>
      </rPr>
      <t xml:space="preserve">MW </t>
    </r>
    <r>
      <rPr>
        <sz val="9"/>
        <color rgb="FF666666"/>
        <rFont val="Noto Sans CJK SC"/>
        <family val="2"/>
      </rPr>
      <t xml:space="preserve">年收入（算力＋服務）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</si>
  <si>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現金成本（含租金）</t>
    </r>
  </si>
  <si>
    <r>
      <rPr>
        <sz val="10"/>
        <rFont val="Noto Sans CJK SC"/>
        <family val="2"/>
      </rPr>
      <t xml:space="preserve">由下而上（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電費、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維護、人員軟體、稅險＋管銷＋租金）取代 </t>
    </r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率線性路徑（</t>
    </r>
    <r>
      <rPr>
        <sz val="10"/>
        <rFont val="Arial"/>
        <family val="0"/>
        <charset val="1"/>
      </rPr>
      <t xml:space="preserve">59% → 65%</t>
    </r>
    <r>
      <rPr>
        <sz val="10"/>
        <rFont val="Noto Sans CJK SC"/>
        <family val="2"/>
      </rPr>
      <t xml:space="preserve">）</t>
    </r>
  </si>
  <si>
    <r>
      <rPr>
        <sz val="9"/>
        <color rgb="FF666666"/>
        <rFont val="Arial"/>
        <family val="0"/>
        <charset val="1"/>
      </rPr>
      <t xml:space="preserve">v4.5</t>
    </r>
    <r>
      <rPr>
        <sz val="9"/>
        <color rgb="FF666666"/>
        <rFont val="Noto Sans CJK SC"/>
        <family val="2"/>
      </rPr>
      <t xml:space="preserve">＝收入 − </t>
    </r>
    <r>
      <rPr>
        <sz val="9"/>
        <color rgb="FF666666"/>
        <rFont val="Arial"/>
        <family val="0"/>
        <charset val="1"/>
      </rPr>
      <t xml:space="preserve">EBITDA</t>
    </r>
    <r>
      <rPr>
        <sz val="9"/>
        <color rgb="FF666666"/>
        <rFont val="Noto Sans CJK SC"/>
        <family val="2"/>
      </rPr>
      <t xml:space="preserve">（隱含）；</t>
    </r>
    <r>
      <rPr>
        <sz val="9"/>
        <color rgb="FF666666"/>
        <rFont val="Arial"/>
        <family val="0"/>
        <charset val="1"/>
      </rPr>
      <t xml:space="preserve">v4.6</t>
    </r>
    <r>
      <rPr>
        <sz val="9"/>
        <color rgb="FF666666"/>
        <rFont val="Noto Sans CJK SC"/>
        <family val="2"/>
      </rPr>
      <t xml:space="preserve">＝每</t>
    </r>
    <r>
      <rPr>
        <sz val="9"/>
        <color rgb="FF666666"/>
        <rFont val="Arial"/>
        <family val="0"/>
        <charset val="1"/>
      </rPr>
      <t xml:space="preserve">MW</t>
    </r>
    <r>
      <rPr>
        <sz val="9"/>
        <color rgb="FF666666"/>
        <rFont val="Noto Sans CJK SC"/>
        <family val="2"/>
      </rPr>
      <t xml:space="preserve">經濟性｜現金成本合計（含租金）</t>
    </r>
  </si>
  <si>
    <t xml:space="preserve">　非租金現金成本</t>
  </si>
  <si>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隱含（未拆項）；</t>
    </r>
    <r>
      <rPr>
        <sz val="10"/>
        <rFont val="Arial"/>
        <family val="0"/>
        <charset val="1"/>
      </rPr>
      <t xml:space="preserve">v4.6</t>
    </r>
    <r>
      <rPr>
        <sz val="10"/>
        <rFont val="Noto Sans CJK SC"/>
        <family val="2"/>
      </rPr>
      <t xml:space="preserve">＝下列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項合計</t>
    </r>
  </si>
  <si>
    <t xml:space="preserve">＝現金成本合計 − 租金</t>
  </si>
  <si>
    <t xml:space="preserve">　電費</t>
  </si>
  <si>
    <r>
      <rPr>
        <sz val="9"/>
        <color rgb="FF666666"/>
        <rFont val="Noto Sans CJK SC"/>
        <family val="2"/>
      </rPr>
      <t xml:space="preserve">—（</t>
    </r>
    <r>
      <rPr>
        <sz val="9"/>
        <color rgb="FF666666"/>
        <rFont val="Arial"/>
        <family val="0"/>
        <charset val="1"/>
      </rPr>
      <t xml:space="preserve">v4.5 </t>
    </r>
    <r>
      <rPr>
        <sz val="9"/>
        <color rgb="FF666666"/>
        <rFont val="Noto Sans CJK SC"/>
        <family val="2"/>
      </rPr>
      <t xml:space="preserve">未拆項）</t>
    </r>
  </si>
  <si>
    <r>
      <rPr>
        <sz val="10"/>
        <rFont val="Arial"/>
        <family val="0"/>
        <charset val="1"/>
      </rPr>
      <t xml:space="preserve">IF_PowerCost</t>
    </r>
    <r>
      <rPr>
        <sz val="10"/>
        <rFont val="Noto Sans CJK SC"/>
        <family val="2"/>
      </rPr>
      <t xml:space="preserve">（含平均用電比與 </t>
    </r>
    <r>
      <rPr>
        <sz val="10"/>
        <rFont val="Arial"/>
        <family val="0"/>
        <charset val="1"/>
      </rPr>
      <t xml:space="preserve">PUE</t>
    </r>
    <r>
      <rPr>
        <sz val="10"/>
        <rFont val="Noto Sans CJK SC"/>
        <family val="2"/>
      </rPr>
      <t xml:space="preserve">）</t>
    </r>
  </si>
  <si>
    <r>
      <rPr>
        <sz val="9"/>
        <color rgb="FF666666"/>
        <rFont val="Noto Sans CJK SC"/>
        <family val="2"/>
      </rPr>
      <t xml:space="preserve">每</t>
    </r>
    <r>
      <rPr>
        <sz val="9"/>
        <color rgb="FF666666"/>
        <rFont val="Arial"/>
        <family val="0"/>
        <charset val="1"/>
      </rPr>
      <t xml:space="preserve">MW</t>
    </r>
    <r>
      <rPr>
        <sz val="9"/>
        <color rgb="FF666666"/>
        <rFont val="Noto Sans CJK SC"/>
        <family val="2"/>
      </rPr>
      <t xml:space="preserve">經濟性｜電費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</si>
  <si>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</t>
    </r>
  </si>
  <si>
    <r>
      <rPr>
        <sz val="10"/>
        <rFont val="Arial"/>
        <family val="0"/>
        <charset val="1"/>
      </rPr>
      <t xml:space="preserve">IF_MaintIT </t>
    </r>
    <r>
      <rPr>
        <sz val="10"/>
        <rFont val="Noto Sans CJK SC"/>
        <family val="2"/>
      </rPr>
      <t xml:space="preserve">世代加權（</t>
    </r>
    <r>
      <rPr>
        <sz val="10"/>
        <rFont val="Arial"/>
        <family val="0"/>
        <charset val="1"/>
      </rPr>
      <t xml:space="preserve">GB300 1.12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VR200 1.13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W2 </t>
    </r>
    <r>
      <rPr>
        <sz val="10"/>
        <rFont val="Noto Sans CJK SC"/>
        <family val="2"/>
      </rPr>
      <t xml:space="preserve">暫代 </t>
    </r>
    <r>
      <rPr>
        <sz val="10"/>
        <rFont val="Arial"/>
        <family val="0"/>
        <charset val="1"/>
      </rPr>
      <t xml:space="preserve">0.15</t>
    </r>
    <r>
      <rPr>
        <sz val="10"/>
        <rFont val="Noto Sans CJK SC"/>
        <family val="2"/>
      </rPr>
      <t xml:space="preserve">）</t>
    </r>
  </si>
  <si>
    <r>
      <rPr>
        <sz val="9"/>
        <color rgb="FF666666"/>
        <rFont val="Noto Sans CJK SC"/>
        <family val="2"/>
      </rPr>
      <t xml:space="preserve">每</t>
    </r>
    <r>
      <rPr>
        <sz val="9"/>
        <color rgb="FF666666"/>
        <rFont val="Arial"/>
        <family val="0"/>
        <charset val="1"/>
      </rPr>
      <t xml:space="preserve">MW</t>
    </r>
    <r>
      <rPr>
        <sz val="9"/>
        <color rgb="FF666666"/>
        <rFont val="Noto Sans CJK SC"/>
        <family val="2"/>
      </rPr>
      <t xml:space="preserve">經濟性｜</t>
    </r>
    <r>
      <rPr>
        <sz val="9"/>
        <color rgb="FF666666"/>
        <rFont val="Arial"/>
        <family val="0"/>
        <charset val="1"/>
      </rPr>
      <t xml:space="preserve">IT </t>
    </r>
    <r>
      <rPr>
        <sz val="9"/>
        <color rgb="FF666666"/>
        <rFont val="Noto Sans CJK SC"/>
        <family val="2"/>
      </rPr>
      <t xml:space="preserve">維護</t>
    </r>
  </si>
  <si>
    <t xml:space="preserve">　人員、軟體、水與耗材</t>
  </si>
  <si>
    <r>
      <rPr>
        <sz val="10"/>
        <rFont val="Arial"/>
        <family val="0"/>
        <charset val="1"/>
      </rPr>
      <t xml:space="preserve">IF_StaffSW 0.325</t>
    </r>
    <r>
      <rPr>
        <sz val="10"/>
        <rFont val="Noto Sans CJK SC"/>
        <family val="2"/>
      </rPr>
      <t xml:space="preserve">（全額）</t>
    </r>
  </si>
  <si>
    <r>
      <rPr>
        <sz val="9"/>
        <color rgb="FF666666"/>
        <rFont val="Noto Sans CJK SC"/>
        <family val="2"/>
      </rPr>
      <t xml:space="preserve">每</t>
    </r>
    <r>
      <rPr>
        <sz val="9"/>
        <color rgb="FF666666"/>
        <rFont val="Arial"/>
        <family val="0"/>
        <charset val="1"/>
      </rPr>
      <t xml:space="preserve">MW</t>
    </r>
    <r>
      <rPr>
        <sz val="9"/>
        <color rgb="FF666666"/>
        <rFont val="Noto Sans CJK SC"/>
        <family val="2"/>
      </rPr>
      <t xml:space="preserve">經濟性｜人員、軟體、水與耗材</t>
    </r>
  </si>
  <si>
    <t xml:space="preserve">　財產稅與保險</t>
  </si>
  <si>
    <r>
      <rPr>
        <sz val="10"/>
        <rFont val="Arial"/>
        <family val="0"/>
        <charset val="1"/>
      </rPr>
      <t xml:space="preserve">IF_TaxIns × IT </t>
    </r>
    <r>
      <rPr>
        <sz val="10"/>
        <rFont val="Noto Sans CJK SC"/>
        <family val="2"/>
      </rPr>
      <t xml:space="preserve">資本占比（只算 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擁有的 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</si>
  <si>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r>
      <rPr>
        <sz val="9"/>
        <color rgb="FF666666"/>
        <rFont val="Noto Sans CJK SC"/>
        <family val="2"/>
      </rPr>
      <t xml:space="preserve">每</t>
    </r>
    <r>
      <rPr>
        <sz val="9"/>
        <color rgb="FF666666"/>
        <rFont val="Arial"/>
        <family val="0"/>
        <charset val="1"/>
      </rPr>
      <t xml:space="preserve">MW</t>
    </r>
    <r>
      <rPr>
        <sz val="9"/>
        <color rgb="FF666666"/>
        <rFont val="Noto Sans CJK SC"/>
        <family val="2"/>
      </rPr>
      <t xml:space="preserve">經濟性｜財產稅與保險</t>
    </r>
  </si>
  <si>
    <t xml:space="preserve">　公司管銷與其他</t>
  </si>
  <si>
    <r>
      <rPr>
        <sz val="10"/>
        <rFont val="Noto Sans CJK SC"/>
        <family val="2"/>
      </rPr>
      <t xml:space="preserve">管銷率 </t>
    </r>
    <r>
      <rPr>
        <sz val="10"/>
        <rFont val="Arial"/>
        <family val="0"/>
        <charset val="1"/>
      </rPr>
      <t xml:space="preserve">5.51%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10-Q</t>
    </r>
    <r>
      <rPr>
        <sz val="10"/>
        <rFont val="Noto Sans CJK SC"/>
        <family val="2"/>
      </rPr>
      <t xml:space="preserve">，扣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營收</t>
    </r>
  </si>
  <si>
    <r>
      <rPr>
        <sz val="9"/>
        <color rgb="FF666666"/>
        <rFont val="Noto Sans CJK SC"/>
        <family val="2"/>
      </rPr>
      <t xml:space="preserve">每</t>
    </r>
    <r>
      <rPr>
        <sz val="9"/>
        <color rgb="FF666666"/>
        <rFont val="Arial"/>
        <family val="0"/>
        <charset val="1"/>
      </rPr>
      <t xml:space="preserve">MW</t>
    </r>
    <r>
      <rPr>
        <sz val="9"/>
        <color rgb="FF666666"/>
        <rFont val="Noto Sans CJK SC"/>
        <family val="2"/>
      </rPr>
      <t xml:space="preserve">經濟性｜公司管銷與其他</t>
    </r>
  </si>
  <si>
    <t xml:space="preserve">　租金</t>
  </si>
  <si>
    <r>
      <rPr>
        <sz val="10"/>
        <rFont val="Noto Sans CJK SC"/>
        <family val="2"/>
      </rPr>
      <t xml:space="preserve">未改（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租約到期表＋表外租金路徑）</t>
    </r>
  </si>
  <si>
    <r>
      <rPr>
        <sz val="9"/>
        <color rgb="FF666666"/>
        <rFont val="Noto Sans CJK SC"/>
        <family val="2"/>
      </rPr>
      <t xml:space="preserve">每</t>
    </r>
    <r>
      <rPr>
        <sz val="9"/>
        <color rgb="FF666666"/>
        <rFont val="Arial"/>
        <family val="0"/>
        <charset val="1"/>
      </rPr>
      <t xml:space="preserve">MW</t>
    </r>
    <r>
      <rPr>
        <sz val="9"/>
        <color rgb="FF666666"/>
        <rFont val="Noto Sans CJK SC"/>
        <family val="2"/>
      </rPr>
      <t xml:space="preserve">經濟性｜租金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</si>
  <si>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EBITDA</t>
    </r>
  </si>
  <si>
    <r>
      <rPr>
        <sz val="10"/>
        <rFont val="Noto Sans CJK SC"/>
        <family val="2"/>
      </rPr>
      <t xml:space="preserve">＝收入 − 現金成本（含租金）；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60.5% → 59.0%</t>
    </r>
  </si>
  <si>
    <r>
      <rPr>
        <sz val="9"/>
        <color rgb="FF666666"/>
        <rFont val="Noto Sans CJK SC"/>
        <family val="2"/>
      </rPr>
      <t xml:space="preserve">每</t>
    </r>
    <r>
      <rPr>
        <sz val="9"/>
        <color rgb="FF666666"/>
        <rFont val="Arial"/>
        <family val="0"/>
        <charset val="1"/>
      </rPr>
      <t xml:space="preserve">MW</t>
    </r>
    <r>
      <rPr>
        <sz val="9"/>
        <color rgb="FF666666"/>
        <rFont val="Noto Sans CJK SC"/>
        <family val="2"/>
      </rPr>
      <t xml:space="preserve">經濟性｜</t>
    </r>
    <r>
      <rPr>
        <sz val="9"/>
        <color rgb="FF666666"/>
        <rFont val="Arial"/>
        <family val="0"/>
        <charset val="1"/>
      </rPr>
      <t xml:space="preserve">EBITDA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</si>
  <si>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D&amp;A</t>
    </r>
  </si>
  <si>
    <r>
      <rPr>
        <sz val="10"/>
        <rFont val="Noto Sans CJK SC"/>
        <family val="2"/>
      </rPr>
      <t xml:space="preserve">建置成本提高 → 成長型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增加；折舊年限 </t>
    </r>
    <r>
      <rPr>
        <sz val="10"/>
        <rFont val="Arial"/>
        <family val="0"/>
        <charset val="1"/>
      </rPr>
      <t xml:space="preserve">IF_DeprLifeIT </t>
    </r>
    <r>
      <rPr>
        <sz val="10"/>
        <rFont val="Noto Sans CJK SC"/>
        <family val="2"/>
      </rPr>
      <t xml:space="preserve">加權仍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年（不變）</t>
    </r>
  </si>
  <si>
    <r>
      <rPr>
        <sz val="9"/>
        <color rgb="FF666666"/>
        <rFont val="Noto Sans CJK SC"/>
        <family val="2"/>
      </rPr>
      <t xml:space="preserve">每</t>
    </r>
    <r>
      <rPr>
        <sz val="9"/>
        <color rgb="FF666666"/>
        <rFont val="Arial"/>
        <family val="0"/>
        <charset val="1"/>
      </rPr>
      <t xml:space="preserve">MW</t>
    </r>
    <r>
      <rPr>
        <sz val="9"/>
        <color rgb="FF666666"/>
        <rFont val="Noto Sans CJK SC"/>
        <family val="2"/>
      </rPr>
      <t xml:space="preserve">經濟性｜</t>
    </r>
    <r>
      <rPr>
        <sz val="9"/>
        <color rgb="FF666666"/>
        <rFont val="Arial"/>
        <family val="0"/>
        <charset val="1"/>
      </rPr>
      <t xml:space="preserve">D&amp;A</t>
    </r>
    <r>
      <rPr>
        <sz val="9"/>
        <color rgb="FF666666"/>
        <rFont val="Noto Sans CJK SC"/>
        <family val="2"/>
      </rPr>
      <t xml:space="preserve">（模型車隊折舊）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</si>
  <si>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資本支出（新增 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</si>
  <si>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新增世代占比 </t>
    </r>
    <r>
      <rPr>
        <sz val="10"/>
        <rFont val="Arial"/>
        <family val="0"/>
        <charset val="1"/>
      </rPr>
      <t xml:space="preserve">× IF_CapexIT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GB300 37.4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VR200 37.6</t>
    </r>
    <r>
      <rPr>
        <sz val="10"/>
        <rFont val="Noto Sans CJK SC"/>
        <family val="2"/>
      </rPr>
      <t xml:space="preserve">；不含廠房）取代以 </t>
    </r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指引校準的 </t>
    </r>
    <r>
      <rPr>
        <sz val="10"/>
        <rFont val="Arial"/>
        <family val="0"/>
        <charset val="1"/>
      </rPr>
      <t xml:space="preserve">34</t>
    </r>
  </si>
  <si>
    <r>
      <rPr>
        <sz val="9"/>
        <color rgb="FF666666"/>
        <rFont val="Noto Sans CJK SC"/>
        <family val="2"/>
      </rPr>
      <t xml:space="preserve">輸入與假設｜每 </t>
    </r>
    <r>
      <rPr>
        <sz val="9"/>
        <color rgb="FF666666"/>
        <rFont val="Arial"/>
        <family val="0"/>
        <charset val="1"/>
      </rPr>
      <t xml:space="preserve">MW </t>
    </r>
    <r>
      <rPr>
        <sz val="9"/>
        <color rgb="FF666666"/>
        <rFont val="Noto Sans CJK SC"/>
        <family val="2"/>
      </rPr>
      <t xml:space="preserve">建置成本</t>
    </r>
  </si>
  <si>
    <t xml:space="preserve">FY30</t>
  </si>
  <si>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65% </t>
    </r>
    <r>
      <rPr>
        <sz val="10"/>
        <rFont val="Noto Sans CJK SC"/>
        <family val="2"/>
      </rPr>
      <t xml:space="preserve">讓隱含成本隨收入下降；由下而上每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成本隨世代略升（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維護、稅險），差距擴大</t>
    </r>
  </si>
  <si>
    <r>
      <rPr>
        <sz val="10"/>
        <rFont val="Noto Sans CJK SC"/>
        <family val="2"/>
      </rPr>
      <t xml:space="preserve">＝收入 − 現金成本（含租金）；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65.0% → 56.9%</t>
    </r>
  </si>
  <si>
    <r>
      <rPr>
        <b val="true"/>
        <sz val="10"/>
        <rFont val="Noto Sans CJK SC"/>
        <family val="2"/>
      </rPr>
      <t xml:space="preserve">加權目標價｜保守 </t>
    </r>
    <r>
      <rPr>
        <b val="true"/>
        <sz val="10"/>
        <rFont val="Arial"/>
        <family val="0"/>
        <charset val="1"/>
      </rPr>
      <t xml:space="preserve">4.2 GW</t>
    </r>
  </si>
  <si>
    <t xml:space="preserve">US$</t>
  </si>
  <si>
    <t xml:space="preserve">—</t>
  </si>
  <si>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方法變更：①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-16.57</t>
    </r>
    <r>
      <rPr>
        <sz val="10"/>
        <rFont val="Noto Sans CJK SC"/>
        <family val="2"/>
      </rPr>
      <t xml:space="preserve">、③ 營運成本由下而上 </t>
    </r>
    <r>
      <rPr>
        <sz val="10"/>
        <rFont val="Arial"/>
        <family val="0"/>
        <charset val="1"/>
      </rPr>
      <t xml:space="preserve">-9.18</t>
    </r>
    <r>
      <rPr>
        <sz val="10"/>
        <rFont val="Noto Sans CJK SC"/>
        <family val="2"/>
      </rPr>
      <t xml:space="preserve">（② 折舊年限、④ 收入、⑤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口徑皆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</si>
  <si>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r>
      <rPr>
        <sz val="9"/>
        <color rgb="FF666666"/>
        <rFont val="Noto Sans CJK SC"/>
        <family val="2"/>
      </rPr>
      <t xml:space="preserve">評價</t>
    </r>
    <r>
      <rPr>
        <sz val="9"/>
        <color rgb="FF666666"/>
        <rFont val="Arial"/>
        <family val="0"/>
        <charset val="1"/>
      </rPr>
      <t xml:space="preserve">_DCF</t>
    </r>
    <r>
      <rPr>
        <sz val="9"/>
        <color rgb="FF666666"/>
        <rFont val="Noto Sans CJK SC"/>
        <family val="2"/>
      </rPr>
      <t xml:space="preserve">與目標價｜加權目標價</t>
    </r>
  </si>
  <si>
    <r>
      <rPr>
        <b val="true"/>
        <sz val="10"/>
        <rFont val="Noto Sans CJK SC"/>
        <family val="2"/>
      </rPr>
      <t xml:space="preserve">加權目標價｜基準 </t>
    </r>
    <r>
      <rPr>
        <b val="true"/>
        <sz val="10"/>
        <rFont val="Arial"/>
        <family val="0"/>
        <charset val="1"/>
      </rPr>
      <t xml:space="preserve">5.6 GW</t>
    </r>
  </si>
  <si>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方法變更：①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-7.62</t>
    </r>
    <r>
      <rPr>
        <sz val="10"/>
        <rFont val="Noto Sans CJK SC"/>
        <family val="2"/>
      </rPr>
      <t xml:space="preserve">、③ 營運成本由下而上 </t>
    </r>
    <r>
      <rPr>
        <sz val="10"/>
        <rFont val="Arial"/>
        <family val="0"/>
        <charset val="1"/>
      </rPr>
      <t xml:space="preserve">-8.21</t>
    </r>
    <r>
      <rPr>
        <sz val="10"/>
        <rFont val="Noto Sans CJK SC"/>
        <family val="2"/>
      </rPr>
      <t xml:space="preserve">（② 折舊年限、④ 收入、⑤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口徑皆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</si>
  <si>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加權目標價｜積極 </t>
    </r>
    <r>
      <rPr>
        <b val="true"/>
        <sz val="10"/>
        <rFont val="Arial"/>
        <family val="0"/>
        <charset val="1"/>
      </rPr>
      <t xml:space="preserve">8 GW</t>
    </r>
  </si>
  <si>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方法變更：①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-9.13</t>
    </r>
    <r>
      <rPr>
        <sz val="10"/>
        <rFont val="Noto Sans CJK SC"/>
        <family val="2"/>
      </rPr>
      <t xml:space="preserve">、③ 營運成本由下而上 </t>
    </r>
    <r>
      <rPr>
        <sz val="10"/>
        <rFont val="Arial"/>
        <family val="0"/>
        <charset val="1"/>
      </rPr>
      <t xml:space="preserve">-1.88</t>
    </r>
    <r>
      <rPr>
        <sz val="10"/>
        <rFont val="Noto Sans CJK SC"/>
        <family val="2"/>
      </rPr>
      <t xml:space="preserve">（② 折舊年限、④ 收入、⑤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口徑皆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</si>
  <si>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融資缺口（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累積）｜保守 </t>
    </r>
    <r>
      <rPr>
        <b val="true"/>
        <sz val="10"/>
        <rFont val="Arial"/>
        <family val="0"/>
        <charset val="1"/>
      </rPr>
      <t xml:space="preserve">4.2 GW</t>
    </r>
  </si>
  <si>
    <t xml:space="preserve">US$bn</t>
  </si>
  <si>
    <r>
      <rPr>
        <sz val="10"/>
        <rFont val="Noto Sans CJK SC"/>
        <family val="2"/>
      </rPr>
      <t xml:space="preserve">模型期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增加（建置成本 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）且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減少（由下而上成本）</t>
    </r>
  </si>
  <si>
    <r>
      <rPr>
        <sz val="9"/>
        <color rgb="FF666666"/>
        <rFont val="Noto Sans CJK SC"/>
        <family val="2"/>
      </rPr>
      <t xml:space="preserve">各期收支｜融資前累積現金（</t>
    </r>
    <r>
      <rPr>
        <sz val="9"/>
        <color rgb="FF666666"/>
        <rFont val="Arial"/>
        <family val="0"/>
        <charset val="1"/>
      </rPr>
      <t xml:space="preserve">FY30</t>
    </r>
    <r>
      <rPr>
        <sz val="9"/>
        <color rgb="FF666666"/>
        <rFont val="Noto Sans CJK SC"/>
        <family val="2"/>
      </rPr>
      <t xml:space="preserve">，取負值）</t>
    </r>
  </si>
  <si>
    <r>
      <rPr>
        <b val="true"/>
        <sz val="10"/>
        <rFont val="Noto Sans CJK SC"/>
        <family val="2"/>
      </rPr>
      <t xml:space="preserve">融資缺口（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累積）｜基準 </t>
    </r>
    <r>
      <rPr>
        <b val="true"/>
        <sz val="10"/>
        <rFont val="Arial"/>
        <family val="0"/>
        <charset val="1"/>
      </rPr>
      <t xml:space="preserve">5.6 GW</t>
    </r>
  </si>
  <si>
    <r>
      <rPr>
        <b val="true"/>
        <sz val="10"/>
        <rFont val="Noto Sans CJK SC"/>
        <family val="2"/>
      </rPr>
      <t xml:space="preserve">融資缺口（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累積）｜積極 </t>
    </r>
    <r>
      <rPr>
        <b val="true"/>
        <sz val="10"/>
        <rFont val="Arial"/>
        <family val="0"/>
        <charset val="1"/>
      </rPr>
      <t xml:space="preserve">8 GW</t>
    </r>
  </si>
  <si>
    <t xml:space="preserve">累計新股（基準）</t>
  </si>
  <si>
    <r>
      <rPr>
        <sz val="9"/>
        <color rgb="FF666666"/>
        <rFont val="Arial"/>
        <family val="0"/>
        <charset val="1"/>
      </rPr>
      <t xml:space="preserve">bn </t>
    </r>
    <r>
      <rPr>
        <sz val="9"/>
        <color rgb="FF666666"/>
        <rFont val="Noto Sans CJK SC"/>
        <family val="2"/>
      </rPr>
      <t xml:space="preserve">股</t>
    </r>
  </si>
  <si>
    <r>
      <rPr>
        <sz val="10"/>
        <rFont val="Noto Sans CJK SC"/>
        <family val="2"/>
      </rPr>
      <t xml:space="preserve">融資缺口擴大 → 股權募資（每年上限＝現市值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）提早觸頂，其餘以高息債補足</t>
    </r>
  </si>
  <si>
    <t xml:space="preserve">各期收支｜累計新股</t>
  </si>
  <si>
    <r>
      <rPr>
        <b val="true"/>
        <sz val="10"/>
        <rFont val="Arial"/>
        <family val="0"/>
        <charset val="1"/>
      </rPr>
      <t xml:space="preserve">Q2 2026 </t>
    </r>
    <r>
      <rPr>
        <b val="true"/>
        <sz val="10"/>
        <rFont val="Noto Sans CJK SC"/>
        <family val="2"/>
      </rPr>
      <t xml:space="preserve">實際對帳：模型 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（下半年，基準）</t>
    </r>
    <r>
      <rPr>
        <b val="true"/>
        <sz val="10"/>
        <rFont val="Arial"/>
        <family val="0"/>
        <charset val="1"/>
      </rPr>
      <t xml:space="preserve">vs 10-Q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2026-06-30 </t>
    </r>
    <r>
      <rPr>
        <b val="true"/>
        <sz val="10"/>
        <rFont val="Noto Sans CJK SC"/>
        <family val="2"/>
      </rPr>
      <t xml:space="preserve">季度；每平均在役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年化）</t>
    </r>
  </si>
  <si>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Noto Sans CJK SC"/>
        <family val="2"/>
      </rPr>
      <t xml:space="preserve">輸入（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Noto Sans CJK SC"/>
        <family val="2"/>
      </rPr>
      <t xml:space="preserve">，三個月；</t>
    </r>
    <r>
      <rPr>
        <b val="true"/>
        <sz val="10"/>
        <rFont val="Arial"/>
        <family val="0"/>
        <charset val="1"/>
      </rPr>
      <t xml:space="preserve">2026-08-12 </t>
    </r>
    <r>
      <rPr>
        <b val="true"/>
        <sz val="10"/>
        <rFont val="Noto Sans CJK SC"/>
        <family val="2"/>
      </rPr>
      <t xml:space="preserve">申報）</t>
    </r>
  </si>
  <si>
    <t xml:space="preserve">營收</t>
  </si>
  <si>
    <t xml:space="preserve">營收成本</t>
  </si>
  <si>
    <t xml:space="preserve">技術與基礎設施</t>
  </si>
  <si>
    <t xml:space="preserve">銷售行銷</t>
  </si>
  <si>
    <r>
      <rPr>
        <sz val="10"/>
        <rFont val="Noto Sans CJK SC"/>
        <family val="2"/>
      </rPr>
      <t xml:space="preserve">　其中 </t>
    </r>
    <r>
      <rPr>
        <sz val="10"/>
        <rFont val="Arial"/>
        <family val="0"/>
        <charset val="1"/>
      </rPr>
      <t xml:space="preserve">SBC</t>
    </r>
  </si>
  <si>
    <t xml:space="preserve">一般管理</t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</si>
  <si>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合計（未依列別揭露；全數視為在營收成本與技術基礎設施）</t>
    </r>
  </si>
  <si>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（營收成本＋技術與基礎設施）</t>
    </r>
  </si>
  <si>
    <t xml:space="preserve">營業租賃成本</t>
  </si>
  <si>
    <t xml:space="preserve">變動租賃成本</t>
  </si>
  <si>
    <r>
      <rPr>
        <sz val="10"/>
        <rFont val="Arial"/>
        <family val="0"/>
        <charset val="1"/>
      </rPr>
      <t xml:space="preserve">Adj. EBITDA</t>
    </r>
    <r>
      <rPr>
        <sz val="10"/>
        <rFont val="Noto Sans CJK SC"/>
        <family val="2"/>
      </rPr>
      <t xml:space="preserve">（公司揭露）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</si>
  <si>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主動電力 </t>
    </r>
    <r>
      <rPr>
        <sz val="10"/>
        <rFont val="Arial"/>
        <family val="0"/>
        <charset val="1"/>
      </rPr>
      <t xml:space="preserve">1,500 − Q2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500 ÷ 2</t>
    </r>
    <r>
      <rPr>
        <sz val="10"/>
        <rFont val="Noto Sans CJK SC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</si>
  <si>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Q2 </t>
    </r>
    <r>
      <rPr>
        <b val="true"/>
        <sz val="10"/>
        <color rgb="FFFFFFFF"/>
        <rFont val="Noto Sans CJK SC"/>
        <family val="2"/>
      </rPr>
      <t xml:space="preserve">實際（年化）</t>
    </r>
  </si>
  <si>
    <r>
      <rPr>
        <b val="true"/>
        <sz val="10"/>
        <color rgb="FFFFFFFF"/>
        <rFont val="Noto Sans CJK SC"/>
        <family val="2"/>
      </rPr>
      <t xml:space="preserve">模型 </t>
    </r>
    <r>
      <rPr>
        <b val="true"/>
        <sz val="10"/>
        <color rgb="FFFFFFFF"/>
        <rFont val="Arial"/>
        <family val="0"/>
        <charset val="1"/>
      </rPr>
      <t xml:space="preserve">FY26</t>
    </r>
  </si>
  <si>
    <t xml:space="preserve">差距（模型 − 實際）</t>
  </si>
  <si>
    <r>
      <rPr>
        <b val="true"/>
        <sz val="10"/>
        <color rgb="FFFFFFFF"/>
        <rFont val="Noto Sans CJK SC"/>
        <family val="2"/>
      </rPr>
      <t xml:space="preserve">差距 </t>
    </r>
    <r>
      <rPr>
        <b val="true"/>
        <sz val="10"/>
        <color rgb="FFFFFFFF"/>
        <rFont val="Arial"/>
        <family val="0"/>
        <charset val="1"/>
      </rPr>
      <t xml:space="preserve">%</t>
    </r>
  </si>
  <si>
    <t xml:space="preserve">差距原因</t>
  </si>
  <si>
    <r>
      <rPr>
        <b val="true"/>
        <sz val="10"/>
        <color rgb="FFFFFFFF"/>
        <rFont val="Arial"/>
        <family val="0"/>
        <charset val="1"/>
      </rPr>
      <t xml:space="preserve">Q2 </t>
    </r>
    <r>
      <rPr>
        <b val="true"/>
        <sz val="10"/>
        <color rgb="FFFFFFFF"/>
        <rFont val="Noto Sans CJK SC"/>
        <family val="2"/>
      </rPr>
      <t xml:space="preserve">算式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</si>
  <si>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</t>
    </r>
  </si>
  <si>
    <r>
      <rPr>
        <sz val="10"/>
        <rFont val="Noto Sans CJK SC"/>
        <family val="2"/>
      </rPr>
      <t xml:space="preserve">屬 </t>
    </r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既有假設、非本次改動：模型收入以「平均在役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11.2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95%</t>
    </r>
    <r>
      <rPr>
        <sz val="10"/>
        <rFont val="Noto Sans CJK SC"/>
        <family val="2"/>
      </rPr>
      <t xml:space="preserve">」＋服務計；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分母含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新增、尚在爬坡未計費的 </t>
    </r>
    <r>
      <rPr>
        <sz val="10"/>
        <rFont val="Arial"/>
        <family val="0"/>
        <charset val="1"/>
      </rPr>
      <t xml:space="preserve">MW</t>
    </r>
  </si>
  <si>
    <r>
      <rPr>
        <sz val="9"/>
        <color rgb="FF666666"/>
        <rFont val="Noto Sans CJK SC"/>
        <family val="2"/>
      </rPr>
      <t xml:space="preserve">營收 </t>
    </r>
    <r>
      <rPr>
        <sz val="9"/>
        <color rgb="FF666666"/>
        <rFont val="Arial"/>
        <family val="0"/>
        <charset val="1"/>
      </rPr>
      <t xml:space="preserve">× 4 ÷ </t>
    </r>
    <r>
      <rPr>
        <sz val="9"/>
        <color rgb="FF666666"/>
        <rFont val="Noto Sans CJK SC"/>
        <family val="2"/>
      </rPr>
      <t xml:space="preserve">平均在役 </t>
    </r>
    <r>
      <rPr>
        <sz val="9"/>
        <color rgb="FF666666"/>
        <rFont val="Arial"/>
        <family val="0"/>
        <charset val="1"/>
      </rPr>
      <t xml:space="preserve">MW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</si>
  <si>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現金成本（含租金、含管銷）</t>
    </r>
  </si>
  <si>
    <t xml:space="preserve">下列三項合計：營運成本高、租金低、管銷略高</t>
  </si>
  <si>
    <r>
      <rPr>
        <sz val="9"/>
        <color rgb="FF666666"/>
        <rFont val="Noto Sans CJK SC"/>
        <family val="2"/>
      </rPr>
      <t xml:space="preserve">（營收 − </t>
    </r>
    <r>
      <rPr>
        <sz val="9"/>
        <color rgb="FF666666"/>
        <rFont val="Arial"/>
        <family val="0"/>
        <charset val="1"/>
      </rPr>
      <t xml:space="preserve">Adj. EBITDA</t>
    </r>
    <r>
      <rPr>
        <sz val="9"/>
        <color rgb="FF666666"/>
        <rFont val="Noto Sans CJK SC"/>
        <family val="2"/>
      </rPr>
      <t xml:space="preserve">）</t>
    </r>
    <r>
      <rPr>
        <sz val="9"/>
        <color rgb="FF666666"/>
        <rFont val="Arial"/>
        <family val="0"/>
        <charset val="1"/>
      </rPr>
      <t xml:space="preserve">× 4 ÷ MW</t>
    </r>
  </si>
  <si>
    <t xml:space="preserve">　營運成本（租金前、不含管銷）</t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</si>
  <si>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是滿載穩態口徑（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維護約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 </t>
    </r>
    <r>
      <rPr>
        <sz val="10"/>
        <rFont val="Arial"/>
        <family val="0"/>
        <charset val="1"/>
      </rPr>
      <t xml:space="preserve">3%</t>
    </r>
    <r>
      <rPr>
        <sz val="10"/>
        <rFont val="Noto Sans CJK SC"/>
        <family val="2"/>
      </rPr>
      <t xml:space="preserve">／年、人員軟體 </t>
    </r>
    <r>
      <rPr>
        <sz val="10"/>
        <rFont val="Arial"/>
        <family val="0"/>
        <charset val="1"/>
      </rPr>
      <t xml:space="preserve">0.33</t>
    </r>
    <r>
      <rPr>
        <sz val="10"/>
        <rFont val="Noto Sans CJK SC"/>
        <family val="2"/>
      </rPr>
      <t xml:space="preserve">、稅險 </t>
    </r>
    <r>
      <rPr>
        <sz val="10"/>
        <rFont val="Arial"/>
        <family val="0"/>
        <charset val="1"/>
      </rPr>
      <t xml:space="preserve">0.16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機隊多在原廠保固期、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分母含爬坡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、部分電費可能含在變動租賃（房東轉嫁）、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列別未揭露（假設全在此兩列）</t>
    </r>
  </si>
  <si>
    <r>
      <rPr>
        <sz val="9"/>
        <color rgb="FF666666"/>
        <rFont val="Noto Sans CJK SC"/>
        <family val="2"/>
      </rPr>
      <t xml:space="preserve">（營收成本＋技術與基礎設施 − </t>
    </r>
    <r>
      <rPr>
        <sz val="9"/>
        <color rgb="FF666666"/>
        <rFont val="Arial"/>
        <family val="0"/>
        <charset val="1"/>
      </rPr>
      <t xml:space="preserve">D&amp;A − SBC − </t>
    </r>
    <r>
      <rPr>
        <sz val="9"/>
        <color rgb="FF666666"/>
        <rFont val="Noto Sans CJK SC"/>
        <family val="2"/>
      </rPr>
      <t xml:space="preserve">營業與變動租賃）</t>
    </r>
    <r>
      <rPr>
        <sz val="9"/>
        <color rgb="FF666666"/>
        <rFont val="Arial"/>
        <family val="0"/>
        <charset val="1"/>
      </rPr>
      <t xml:space="preserve">× 4 ÷ MW</t>
    </r>
  </si>
  <si>
    <t xml:space="preserve">　租金（營業＋變動）</t>
  </si>
  <si>
    <r>
      <rPr>
        <sz val="10"/>
        <rFont val="Noto Sans CJK SC"/>
        <family val="2"/>
      </rPr>
      <t xml:space="preserve">屬 </t>
    </r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既有租金路徑、非本次改動：模型用 </t>
    </r>
    <r>
      <rPr>
        <sz val="10"/>
        <rFont val="Arial"/>
        <family val="0"/>
        <charset val="1"/>
      </rPr>
      <t xml:space="preserve">10-Q </t>
    </r>
    <r>
      <rPr>
        <sz val="10"/>
        <rFont val="Noto Sans CJK SC"/>
        <family val="2"/>
      </rPr>
      <t xml:space="preserve">租約到期表＋表外租金；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含變動租賃 </t>
    </r>
    <r>
      <rPr>
        <sz val="10"/>
        <rFont val="Arial"/>
        <family val="0"/>
        <charset val="1"/>
      </rPr>
      <t xml:space="preserve">0.15</t>
    </r>
    <r>
      <rPr>
        <sz val="10"/>
        <rFont val="Noto Sans CJK SC"/>
        <family val="2"/>
      </rPr>
      <t xml:space="preserve">（可能含電費轉嫁）</t>
    </r>
  </si>
  <si>
    <r>
      <rPr>
        <sz val="9"/>
        <color rgb="FF666666"/>
        <rFont val="Noto Sans CJK SC"/>
        <family val="2"/>
      </rPr>
      <t xml:space="preserve">（營業＋變動租賃成本）</t>
    </r>
    <r>
      <rPr>
        <sz val="9"/>
        <color rgb="FF666666"/>
        <rFont val="Arial"/>
        <family val="0"/>
        <charset val="1"/>
      </rPr>
      <t xml:space="preserve">× 4 ÷ MW</t>
    </r>
  </si>
  <si>
    <r>
      <rPr>
        <sz val="10"/>
        <rFont val="Noto Sans CJK SC"/>
        <family val="2"/>
      </rPr>
      <t xml:space="preserve">　管銷（扣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</si>
  <si>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同一管銷率 </t>
    </r>
    <r>
      <rPr>
        <sz val="10"/>
        <rFont val="Arial"/>
        <family val="0"/>
        <charset val="1"/>
      </rPr>
      <t xml:space="preserve">5.51%</t>
    </r>
    <r>
      <rPr>
        <sz val="10"/>
        <rFont val="Noto Sans CJK SC"/>
        <family val="2"/>
      </rPr>
      <t xml:space="preserve">，模型每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收入較高故金額較高</t>
    </r>
  </si>
  <si>
    <r>
      <rPr>
        <sz val="9"/>
        <color rgb="FF666666"/>
        <rFont val="Noto Sans CJK SC"/>
        <family val="2"/>
      </rPr>
      <t xml:space="preserve">（銷售行銷 − </t>
    </r>
    <r>
      <rPr>
        <sz val="9"/>
        <color rgb="FF666666"/>
        <rFont val="Arial"/>
        <family val="0"/>
        <charset val="1"/>
      </rPr>
      <t xml:space="preserve">SBC </t>
    </r>
    <r>
      <rPr>
        <sz val="9"/>
        <color rgb="FF666666"/>
        <rFont val="Noto Sans CJK SC"/>
        <family val="2"/>
      </rPr>
      <t xml:space="preserve">＋ 一般管理 − </t>
    </r>
    <r>
      <rPr>
        <sz val="9"/>
        <color rgb="FF666666"/>
        <rFont val="Arial"/>
        <family val="0"/>
        <charset val="1"/>
      </rPr>
      <t xml:space="preserve">SBC</t>
    </r>
    <r>
      <rPr>
        <sz val="9"/>
        <color rgb="FF666666"/>
        <rFont val="Noto Sans CJK SC"/>
        <family val="2"/>
      </rPr>
      <t xml:space="preserve">）</t>
    </r>
    <r>
      <rPr>
        <sz val="9"/>
        <color rgb="FF666666"/>
        <rFont val="Arial"/>
        <family val="0"/>
        <charset val="1"/>
      </rPr>
      <t xml:space="preserve">× 4 ÷ MW</t>
    </r>
  </si>
  <si>
    <r>
      <rPr>
        <sz val="10"/>
        <rFont val="Noto Sans CJK SC"/>
        <family val="2"/>
      </rPr>
      <t xml:space="preserve">收入高 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、成本高 </t>
    </r>
    <r>
      <rPr>
        <sz val="10"/>
        <rFont val="Arial"/>
        <family val="0"/>
        <charset val="1"/>
      </rPr>
      <t xml:space="preserve">0.8 → EBITDA </t>
    </r>
    <r>
      <rPr>
        <sz val="10"/>
        <rFont val="Noto Sans CJK SC"/>
        <family val="2"/>
      </rPr>
      <t xml:space="preserve">高 </t>
    </r>
    <r>
      <rPr>
        <sz val="10"/>
        <rFont val="Arial"/>
        <family val="0"/>
        <charset val="1"/>
      </rPr>
      <t xml:space="preserve">1.0</t>
    </r>
  </si>
  <si>
    <t xml:space="preserve">Adj. EBITDA × 4 ÷ MW</t>
  </si>
  <si>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</t>
    </r>
  </si>
  <si>
    <t xml:space="preserve">%</t>
  </si>
  <si>
    <r>
      <rPr>
        <sz val="10"/>
        <rFont val="Noto Sans CJK SC"/>
        <family val="2"/>
      </rPr>
      <t xml:space="preserve">兩者接近（−</t>
    </r>
    <r>
      <rPr>
        <sz val="10"/>
        <rFont val="Arial"/>
        <family val="0"/>
        <charset val="1"/>
      </rPr>
      <t xml:space="preserve">0.9pt</t>
    </r>
    <r>
      <rPr>
        <sz val="10"/>
        <rFont val="Noto Sans CJK SC"/>
        <family val="2"/>
      </rPr>
      <t xml:space="preserve">）是組成互相抵銷的結果：收入與營運成本都高於 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、租金低於 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；不代表各項已校準</t>
    </r>
  </si>
  <si>
    <r>
      <rPr>
        <sz val="9"/>
        <color rgb="FF666666"/>
        <rFont val="Arial"/>
        <family val="0"/>
        <charset val="1"/>
      </rPr>
      <t xml:space="preserve">Adj. EBITDA ÷ </t>
    </r>
    <r>
      <rPr>
        <sz val="9"/>
        <color rgb="FF666666"/>
        <rFont val="Noto Sans CJK SC"/>
        <family val="2"/>
      </rPr>
      <t xml:space="preserve">營收</t>
    </r>
  </si>
  <si>
    <r>
      <rPr>
        <sz val="9"/>
        <color rgb="FF666666"/>
        <rFont val="Noto Sans CJK SC"/>
        <family val="2"/>
      </rPr>
      <t xml:space="preserve">讀法：模型 </t>
    </r>
    <r>
      <rPr>
        <sz val="9"/>
        <color rgb="FF666666"/>
        <rFont val="Arial"/>
        <family val="0"/>
        <charset val="1"/>
      </rPr>
      <t xml:space="preserve">FY26 EBITDA </t>
    </r>
    <r>
      <rPr>
        <sz val="9"/>
        <color rgb="FF666666"/>
        <rFont val="Noto Sans CJK SC"/>
        <family val="2"/>
      </rPr>
      <t xml:space="preserve">率與 </t>
    </r>
    <r>
      <rPr>
        <sz val="9"/>
        <color rgb="FF666666"/>
        <rFont val="Arial"/>
        <family val="0"/>
        <charset val="1"/>
      </rPr>
      <t xml:space="preserve">Q2 </t>
    </r>
    <r>
      <rPr>
        <sz val="9"/>
        <color rgb="FF666666"/>
        <rFont val="Noto Sans CJK SC"/>
        <family val="2"/>
      </rPr>
      <t xml:space="preserve">實際相近，但每 </t>
    </r>
    <r>
      <rPr>
        <sz val="9"/>
        <color rgb="FF666666"/>
        <rFont val="Arial"/>
        <family val="0"/>
        <charset val="1"/>
      </rPr>
      <t xml:space="preserve">MW </t>
    </r>
    <r>
      <rPr>
        <sz val="9"/>
        <color rgb="FF666666"/>
        <rFont val="Noto Sans CJK SC"/>
        <family val="2"/>
      </rPr>
      <t xml:space="preserve">收入、營運成本、租金三項各自差距大，方向相反而抵銷；本次（</t>
    </r>
    <r>
      <rPr>
        <sz val="9"/>
        <color rgb="FF666666"/>
        <rFont val="Arial"/>
        <family val="0"/>
        <charset val="1"/>
      </rPr>
      <t xml:space="preserve">W3</t>
    </r>
    <r>
      <rPr>
        <sz val="9"/>
        <color rgb="FF666666"/>
        <rFont val="Noto Sans CJK SC"/>
        <family val="2"/>
      </rPr>
      <t xml:space="preserve">）改動的只有營運成本一項，收入與租金差距屬 </t>
    </r>
    <r>
      <rPr>
        <sz val="9"/>
        <color rgb="FF666666"/>
        <rFont val="Arial"/>
        <family val="0"/>
        <charset val="1"/>
      </rPr>
      <t xml:space="preserve">v4.5 </t>
    </r>
    <r>
      <rPr>
        <sz val="9"/>
        <color rgb="FF666666"/>
        <rFont val="Noto Sans CJK SC"/>
        <family val="2"/>
      </rPr>
      <t xml:space="preserve">既有假設。</t>
    </r>
  </si>
  <si>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MW </t>
    </r>
    <r>
      <rPr>
        <b val="true"/>
        <sz val="13"/>
        <rFont val="Noto Sans CJK SC"/>
        <family val="2"/>
      </rPr>
      <t xml:space="preserve">經濟性 </t>
    </r>
    <r>
      <rPr>
        <b val="true"/>
        <sz val="13"/>
        <rFont val="Arial"/>
        <family val="0"/>
        <charset val="1"/>
      </rPr>
      <t xml:space="preserve">v4.5 vs v4.6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FY26–FY30 × </t>
    </r>
    <r>
      <rPr>
        <b val="true"/>
        <sz val="13"/>
        <rFont val="Noto Sans CJK SC"/>
        <family val="2"/>
      </rPr>
      <t xml:space="preserve">三情境；</t>
    </r>
    <r>
      <rPr>
        <b val="true"/>
        <sz val="13"/>
        <rFont val="Arial"/>
        <family val="0"/>
        <charset val="1"/>
      </rPr>
      <t xml:space="preserve">US$m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MW</t>
    </r>
    <r>
      <rPr>
        <b val="true"/>
        <sz val="13"/>
        <rFont val="Noto Sans CJK SC"/>
        <family val="2"/>
      </rPr>
      <t xml:space="preserve">／年；</t>
    </r>
    <r>
      <rPr>
        <b val="true"/>
        <sz val="13"/>
        <rFont val="Arial"/>
        <family val="0"/>
        <charset val="1"/>
      </rPr>
      <t xml:space="preserve">W2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7 </t>
    </r>
    <r>
      <rPr>
        <b val="true"/>
        <sz val="13"/>
        <rFont val="Noto Sans CJK SC"/>
        <family val="2"/>
      </rPr>
      <t xml:space="preserve">步彙總表各列）</t>
    </r>
  </si>
  <si>
    <r>
      <rPr>
        <sz val="9"/>
        <color rgb="FF666666"/>
        <rFont val="Arial"/>
        <family val="0"/>
        <charset val="1"/>
      </rPr>
      <t xml:space="preserve">v4.5 </t>
    </r>
    <r>
      <rPr>
        <sz val="9"/>
        <color rgb="FF666666"/>
        <rFont val="Noto Sans CJK SC"/>
        <family val="2"/>
      </rPr>
      <t xml:space="preserve">欄取自舊方法副本的「每</t>
    </r>
    <r>
      <rPr>
        <sz val="9"/>
        <color rgb="FF666666"/>
        <rFont val="Arial"/>
        <family val="0"/>
        <charset val="1"/>
      </rPr>
      <t xml:space="preserve">MW</t>
    </r>
    <r>
      <rPr>
        <sz val="9"/>
        <color rgb="FF666666"/>
        <rFont val="Noto Sans CJK SC"/>
        <family val="2"/>
      </rPr>
      <t xml:space="preserve">經濟性」頁（與 </t>
    </r>
    <r>
      <rPr>
        <sz val="9"/>
        <color rgb="FF666666"/>
        <rFont val="Arial"/>
        <family val="0"/>
        <charset val="1"/>
      </rPr>
      <t xml:space="preserve">v4.5 </t>
    </r>
    <r>
      <rPr>
        <sz val="9"/>
        <color rgb="FF666666"/>
        <rFont val="Noto Sans CJK SC"/>
        <family val="2"/>
      </rPr>
      <t xml:space="preserve">成品逐格相同，見 </t>
    </r>
    <r>
      <rPr>
        <sz val="9"/>
        <color rgb="FF666666"/>
        <rFont val="Arial"/>
        <family val="0"/>
        <charset val="1"/>
      </rPr>
      <t xml:space="preserve">compare_gather </t>
    </r>
    <r>
      <rPr>
        <sz val="9"/>
        <color rgb="FF666666"/>
        <rFont val="Noto Sans CJK SC"/>
        <family val="2"/>
      </rPr>
      <t xml:space="preserve">檢查）；電費、</t>
    </r>
    <r>
      <rPr>
        <sz val="9"/>
        <color rgb="FF666666"/>
        <rFont val="Arial"/>
        <family val="0"/>
        <charset val="1"/>
      </rPr>
      <t xml:space="preserve">IT </t>
    </r>
    <r>
      <rPr>
        <sz val="9"/>
        <color rgb="FF666666"/>
        <rFont val="Noto Sans CJK SC"/>
        <family val="2"/>
      </rPr>
      <t xml:space="preserve">維護、人員軟體、稅險、管銷在 </t>
    </r>
    <r>
      <rPr>
        <sz val="9"/>
        <color rgb="FF666666"/>
        <rFont val="Arial"/>
        <family val="0"/>
        <charset val="1"/>
      </rPr>
      <t xml:space="preserve">v4.5 </t>
    </r>
    <r>
      <rPr>
        <sz val="9"/>
        <color rgb="FF666666"/>
        <rFont val="Noto Sans CJK SC"/>
        <family val="2"/>
      </rPr>
      <t xml:space="preserve">不入損益（</t>
    </r>
    <r>
      <rPr>
        <sz val="9"/>
        <color rgb="FF666666"/>
        <rFont val="Arial"/>
        <family val="0"/>
        <charset val="1"/>
      </rPr>
      <t xml:space="preserve">EBITDA </t>
    </r>
    <r>
      <rPr>
        <sz val="9"/>
        <color rgb="FF666666"/>
        <rFont val="Noto Sans CJK SC"/>
        <family val="2"/>
      </rPr>
      <t xml:space="preserve">率為輸入），列為「—」。設施口徑區＝</t>
    </r>
    <r>
      <rPr>
        <sz val="9"/>
        <color rgb="FF666666"/>
        <rFont val="Arial"/>
        <family val="0"/>
        <charset val="1"/>
      </rPr>
      <t xml:space="preserve">IT </t>
    </r>
    <r>
      <rPr>
        <sz val="9"/>
        <color rgb="FF666666"/>
        <rFont val="Noto Sans CJK SC"/>
        <family val="2"/>
      </rPr>
      <t xml:space="preserve">口徑值 </t>
    </r>
    <r>
      <rPr>
        <sz val="9"/>
        <color rgb="FF666666"/>
        <rFont val="Arial"/>
        <family val="0"/>
        <charset val="1"/>
      </rPr>
      <t xml:space="preserve">× IT MW ÷ </t>
    </r>
    <r>
      <rPr>
        <sz val="9"/>
        <color rgb="FF666666"/>
        <rFont val="Noto Sans CJK SC"/>
        <family val="2"/>
      </rPr>
      <t xml:space="preserve">設施 </t>
    </r>
    <r>
      <rPr>
        <sz val="9"/>
        <color rgb="FF666666"/>
        <rFont val="Arial"/>
        <family val="0"/>
        <charset val="1"/>
      </rPr>
      <t xml:space="preserve">MW</t>
    </r>
    <r>
      <rPr>
        <sz val="9"/>
        <color rgb="FF666666"/>
        <rFont val="Noto Sans CJK SC"/>
        <family val="2"/>
      </rPr>
      <t xml:space="preserve">（公式）。</t>
    </r>
  </si>
  <si>
    <r>
      <rPr>
        <b val="true"/>
        <sz val="10"/>
        <rFont val="Noto Sans CJK SC"/>
        <family val="2"/>
      </rPr>
      <t xml:space="preserve">保守 </t>
    </r>
    <r>
      <rPr>
        <b val="true"/>
        <sz val="10"/>
        <rFont val="Arial"/>
        <family val="0"/>
        <charset val="1"/>
      </rPr>
      <t xml:space="preserve">4.2 GW</t>
    </r>
  </si>
  <si>
    <r>
      <rPr>
        <b val="true"/>
        <sz val="10"/>
        <color rgb="FFFFFFFF"/>
        <rFont val="Noto Sans CJK SC"/>
        <family val="2"/>
      </rPr>
      <t xml:space="preserve">項目（</t>
    </r>
    <r>
      <rPr>
        <b val="true"/>
        <sz val="10"/>
        <color rgb="FFFFFFFF"/>
        <rFont val="Arial"/>
        <family val="0"/>
        <charset val="1"/>
      </rPr>
      <t xml:space="preserve">IT </t>
    </r>
    <r>
      <rPr>
        <b val="true"/>
        <sz val="10"/>
        <color rgb="FFFFFFFF"/>
        <rFont val="Noto Sans CJK SC"/>
        <family val="2"/>
      </rPr>
      <t xml:space="preserve">口徑）</t>
    </r>
  </si>
  <si>
    <t xml:space="preserve">v4.5 FY26</t>
  </si>
  <si>
    <t xml:space="preserve">v4.5 FY27</t>
  </si>
  <si>
    <t xml:space="preserve">v4.5 FY28</t>
  </si>
  <si>
    <t xml:space="preserve">v4.5 FY29</t>
  </si>
  <si>
    <t xml:space="preserve">v4.5 FY30</t>
  </si>
  <si>
    <t xml:space="preserve">v4.6 FY26</t>
  </si>
  <si>
    <t xml:space="preserve">v4.6 FY27</t>
  </si>
  <si>
    <t xml:space="preserve">v4.6 FY28</t>
  </si>
  <si>
    <t xml:space="preserve">v4.6 FY29</t>
  </si>
  <si>
    <t xml:space="preserve">v4.6 FY30</t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</si>
  <si>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FY26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</si>
  <si>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FY27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</si>
  <si>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FY28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</si>
  <si>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FY29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</si>
  <si>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FY30</t>
    </r>
  </si>
  <si>
    <t xml:space="preserve">說明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</si>
  <si>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關鍵電力）</t>
    </r>
  </si>
  <si>
    <t xml:space="preserve">MW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</si>
  <si>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（設施＝</t>
    </r>
    <r>
      <rPr>
        <sz val="10"/>
        <rFont val="Arial"/>
        <family val="0"/>
        <charset val="1"/>
      </rPr>
      <t xml:space="preserve">IT × IF_FacilityGW</t>
    </r>
    <r>
      <rPr>
        <sz val="10"/>
        <rFont val="Noto Sans CJK SC"/>
        <family val="2"/>
      </rPr>
      <t xml:space="preserve">）</t>
    </r>
  </si>
  <si>
    <t xml:space="preserve">　其中：算力收入</t>
  </si>
  <si>
    <t xml:space="preserve">電費</t>
  </si>
  <si>
    <r>
      <rPr>
        <sz val="9"/>
        <color rgb="FF666666"/>
        <rFont val="Arial"/>
        <family val="0"/>
        <charset val="1"/>
      </rPr>
      <t xml:space="preserve">v4.5 </t>
    </r>
    <r>
      <rPr>
        <sz val="9"/>
        <color rgb="FF666666"/>
        <rFont val="Noto Sans CJK SC"/>
        <family val="2"/>
      </rPr>
      <t xml:space="preserve">未拆項（</t>
    </r>
    <r>
      <rPr>
        <sz val="9"/>
        <color rgb="FF666666"/>
        <rFont val="Arial"/>
        <family val="0"/>
        <charset val="1"/>
      </rPr>
      <t xml:space="preserve">EBITDA </t>
    </r>
    <r>
      <rPr>
        <sz val="9"/>
        <color rgb="FF666666"/>
        <rFont val="Noto Sans CJK SC"/>
        <family val="2"/>
      </rPr>
      <t xml:space="preserve">率為輸入；現金成本＝收入 − </t>
    </r>
    <r>
      <rPr>
        <sz val="9"/>
        <color rgb="FF666666"/>
        <rFont val="Arial"/>
        <family val="0"/>
        <charset val="1"/>
      </rPr>
      <t xml:space="preserve">EBITDA</t>
    </r>
    <r>
      <rPr>
        <sz val="9"/>
        <color rgb="FF666666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</si>
  <si>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</t>
    </r>
  </si>
  <si>
    <t xml:space="preserve">人員、軟體、水與耗材</t>
  </si>
  <si>
    <t xml:space="preserve">財產稅與保險</t>
  </si>
  <si>
    <t xml:space="preserve">公司管銷與其他</t>
  </si>
  <si>
    <t xml:space="preserve">租金</t>
  </si>
  <si>
    <t xml:space="preserve">現金成本合計（含租金）</t>
  </si>
  <si>
    <r>
      <rPr>
        <sz val="9"/>
        <color rgb="FF666666"/>
        <rFont val="Arial"/>
        <family val="0"/>
        <charset val="1"/>
      </rPr>
      <t xml:space="preserve">v4.5</t>
    </r>
    <r>
      <rPr>
        <sz val="9"/>
        <color rgb="FF666666"/>
        <rFont val="Noto Sans CJK SC"/>
        <family val="2"/>
      </rPr>
      <t xml:space="preserve">＝收入 − </t>
    </r>
    <r>
      <rPr>
        <sz val="9"/>
        <color rgb="FF666666"/>
        <rFont val="Arial"/>
        <family val="0"/>
        <charset val="1"/>
      </rPr>
      <t xml:space="preserve">EBITDA</t>
    </r>
    <r>
      <rPr>
        <sz val="9"/>
        <color rgb="FF666666"/>
        <rFont val="Noto Sans CJK SC"/>
        <family val="2"/>
      </rPr>
      <t xml:space="preserve">（隱含）</t>
    </r>
  </si>
  <si>
    <t xml:space="preserve">EBITDA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</si>
  <si>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（模型車隊折舊）</t>
    </r>
  </si>
  <si>
    <t xml:space="preserve">利息</t>
  </si>
  <si>
    <t xml:space="preserve">稅前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</si>
  <si>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資本支出（新增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的建置成本）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</si>
  <si>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</si>
  <si>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 EBITDA</t>
    </r>
  </si>
  <si>
    <r>
      <rPr>
        <b val="true"/>
        <sz val="10"/>
        <color rgb="FFFFFFFF"/>
        <rFont val="Noto Sans CJK SC"/>
        <family val="2"/>
      </rPr>
      <t xml:space="preserve">設施口徑（每設施 </t>
    </r>
    <r>
      <rPr>
        <b val="true"/>
        <sz val="10"/>
        <color rgb="FFFFFFFF"/>
        <rFont val="Arial"/>
        <family val="0"/>
        <charset val="1"/>
      </rPr>
      <t xml:space="preserve">MW</t>
    </r>
    <r>
      <rPr>
        <b val="true"/>
        <sz val="10"/>
        <color rgb="FFFFFFFF"/>
        <rFont val="Noto Sans CJK SC"/>
        <family val="2"/>
      </rPr>
      <t xml:space="preserve">；＝</t>
    </r>
    <r>
      <rPr>
        <b val="true"/>
        <sz val="10"/>
        <color rgb="FFFFFFFF"/>
        <rFont val="Arial"/>
        <family val="0"/>
        <charset val="1"/>
      </rPr>
      <t xml:space="preserve">IT </t>
    </r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× IT MW ÷ </t>
    </r>
    <r>
      <rPr>
        <b val="true"/>
        <sz val="10"/>
        <color rgb="FFFFFFFF"/>
        <rFont val="Noto Sans CJK SC"/>
        <family val="2"/>
      </rPr>
      <t xml:space="preserve">設施 </t>
    </r>
    <r>
      <rPr>
        <b val="true"/>
        <sz val="10"/>
        <color rgb="FFFFFFFF"/>
        <rFont val="Arial"/>
        <family val="0"/>
        <charset val="1"/>
      </rPr>
      <t xml:space="preserve">MW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</si>
  <si>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年收入（算力＋服務）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</si>
  <si>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｜現金成本合計（含租金）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</si>
  <si>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</si>
  <si>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（模型車隊折舊）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</si>
  <si>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｜利息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</si>
  <si>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｜稅前</t>
    </r>
  </si>
  <si>
    <r>
      <rPr>
        <sz val="10"/>
        <rFont val="Noto Sans CJK SC"/>
        <family val="2"/>
      </rPr>
      <t xml:space="preserve">每設施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資本支出（新增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的建置成本）</t>
    </r>
  </si>
  <si>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5.6 GW</t>
    </r>
  </si>
  <si>
    <r>
      <rPr>
        <b val="true"/>
        <sz val="10"/>
        <rFont val="Noto Sans CJK SC"/>
        <family val="2"/>
      </rPr>
      <t xml:space="preserve">積極 </t>
    </r>
    <r>
      <rPr>
        <b val="true"/>
        <sz val="10"/>
        <rFont val="Arial"/>
        <family val="0"/>
        <charset val="1"/>
      </rPr>
      <t xml:space="preserve">8 GW</t>
    </r>
  </si>
  <si>
    <r>
      <rPr>
        <b val="true"/>
        <sz val="13"/>
        <rFont val="Noto Sans CJK SC"/>
        <family val="2"/>
      </rPr>
      <t xml:space="preserve">參數對照：</t>
    </r>
    <r>
      <rPr>
        <b val="true"/>
        <sz val="13"/>
        <rFont val="Arial"/>
        <family val="0"/>
        <charset val="1"/>
      </rPr>
      <t xml:space="preserve">v4.6 </t>
    </r>
    <r>
      <rPr>
        <b val="true"/>
        <sz val="13"/>
        <rFont val="Noto Sans CJK SC"/>
        <family val="2"/>
      </rPr>
      <t xml:space="preserve">改動的每一個參數（舊值｜新值｜來源｜標記）</t>
    </r>
  </si>
  <si>
    <r>
      <rPr>
        <sz val="9"/>
        <color rgb="FF666666"/>
        <rFont val="Arial"/>
        <family val="0"/>
        <charset val="1"/>
      </rPr>
      <t xml:space="preserve">Tokenomics </t>
    </r>
    <r>
      <rPr>
        <sz val="9"/>
        <color rgb="FF666666"/>
        <rFont val="Noto Sans CJK SC"/>
        <family val="2"/>
      </rPr>
      <t xml:space="preserve">值取自快照 </t>
    </r>
    <r>
      <rPr>
        <sz val="9"/>
        <color rgb="FF666666"/>
        <rFont val="Arial"/>
        <family val="0"/>
        <charset val="1"/>
      </rPr>
      <t xml:space="preserve">data/tokenomics_snapshot_v5.26.json</t>
    </r>
    <r>
      <rPr>
        <sz val="9"/>
        <color rgb="FF666666"/>
        <rFont val="Noto Sans CJK SC"/>
        <family val="2"/>
      </rPr>
      <t xml:space="preserve">（</t>
    </r>
    <r>
      <rPr>
        <sz val="9"/>
        <color rgb="FF666666"/>
        <rFont val="Arial"/>
        <family val="0"/>
        <charset val="1"/>
      </rPr>
      <t xml:space="preserve">20261007_Tokenomics_v5.26.xlsx</t>
    </r>
    <r>
      <rPr>
        <sz val="9"/>
        <color rgb="FF666666"/>
        <rFont val="Noto Sans CJK SC"/>
        <family val="2"/>
      </rPr>
      <t xml:space="preserve">，</t>
    </r>
    <r>
      <rPr>
        <sz val="9"/>
        <color rgb="FF666666"/>
        <rFont val="Arial"/>
        <family val="0"/>
        <charset val="1"/>
      </rPr>
      <t xml:space="preserve">commit 4074684</t>
    </r>
    <r>
      <rPr>
        <sz val="9"/>
        <color rgb="FF666666"/>
        <rFont val="Noto Sans CJK SC"/>
        <family val="2"/>
      </rPr>
      <t xml:space="preserve">，擷取 </t>
    </r>
    <r>
      <rPr>
        <sz val="9"/>
        <color rgb="FF666666"/>
        <rFont val="Arial"/>
        <family val="0"/>
        <charset val="1"/>
      </rPr>
      <t xml:space="preserve">2026-10-07</t>
    </r>
    <r>
      <rPr>
        <sz val="9"/>
        <color rgb="FF666666"/>
        <rFont val="Noto Sans CJK SC"/>
        <family val="2"/>
      </rPr>
      <t xml:space="preserve">）；主值＝基準成本情境，低／高只作敏感度。每 </t>
    </r>
    <r>
      <rPr>
        <sz val="9"/>
        <color rgb="FF666666"/>
        <rFont val="Arial"/>
        <family val="0"/>
        <charset val="1"/>
      </rPr>
      <t xml:space="preserve">GW </t>
    </r>
    <r>
      <rPr>
        <sz val="9"/>
        <color rgb="FF666666"/>
        <rFont val="Noto Sans CJK SC"/>
        <family val="2"/>
      </rPr>
      <t xml:space="preserve">值＝每 </t>
    </r>
    <r>
      <rPr>
        <sz val="9"/>
        <color rgb="FF666666"/>
        <rFont val="Arial"/>
        <family val="0"/>
        <charset val="1"/>
      </rPr>
      <t xml:space="preserve">IT MW </t>
    </r>
    <r>
      <rPr>
        <sz val="9"/>
        <color rgb="FF666666"/>
        <rFont val="Noto Sans CJK SC"/>
        <family val="2"/>
      </rPr>
      <t xml:space="preserve">百萬美元。</t>
    </r>
  </si>
  <si>
    <t xml:space="preserve">參數</t>
  </si>
  <si>
    <r>
      <rPr>
        <b val="true"/>
        <sz val="10"/>
        <color rgb="FFFFFFFF"/>
        <rFont val="Noto Sans CJK SC"/>
        <family val="2"/>
      </rPr>
      <t xml:space="preserve">舊值（</t>
    </r>
    <r>
      <rPr>
        <b val="true"/>
        <sz val="10"/>
        <color rgb="FFFFFFFF"/>
        <rFont val="Arial"/>
        <family val="0"/>
        <charset val="1"/>
      </rPr>
      <t xml:space="preserve">v4.5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</si>
  <si>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新值（</t>
    </r>
    <r>
      <rPr>
        <b val="true"/>
        <sz val="10"/>
        <color rgb="FFFFFFFF"/>
        <rFont val="Arial"/>
        <family val="0"/>
        <charset val="1"/>
      </rPr>
      <t xml:space="preserve">v4.6</t>
    </r>
    <r>
      <rPr>
        <b val="true"/>
        <sz val="10"/>
        <color rgb="FFFFFFFF"/>
        <rFont val="Noto Sans CJK SC"/>
        <family val="2"/>
      </rPr>
      <t xml:space="preserve">，基準）</t>
    </r>
  </si>
  <si>
    <t xml:space="preserve">低／高（敏感度區間）</t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</si>
  <si>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名稱或公司來源</t>
    </r>
  </si>
  <si>
    <t xml:space="preserve">標記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</si>
  <si>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建置成本（新增 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</si>
  <si>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（各期）</t>
    </r>
  </si>
  <si>
    <r>
      <rPr>
        <sz val="10"/>
        <rFont val="Arial"/>
        <family val="0"/>
        <charset val="1"/>
      </rPr>
      <t xml:space="preserve">34.76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37.52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37.59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37.59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37.59</t>
    </r>
  </si>
  <si>
    <r>
      <rPr>
        <sz val="10"/>
        <rFont val="Arial"/>
        <family val="0"/>
        <charset val="1"/>
      </rPr>
      <t xml:space="preserve">H100 21.4–34.1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GB200 20.6–27.7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GB300 28.6–51.0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VR200 33.3–42.6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RU 35.8–65.5</t>
    </r>
  </si>
  <si>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新增世代占比 </t>
    </r>
    <r>
      <rPr>
        <sz val="10"/>
        <rFont val="Arial"/>
        <family val="0"/>
        <charset val="1"/>
      </rPr>
      <t xml:space="preserve">× IF_CapexIT</t>
    </r>
    <r>
      <rPr>
        <sz val="10"/>
        <rFont val="Noto Sans CJK SC"/>
        <family val="2"/>
      </rPr>
      <t xml:space="preserve">（不含廠房 </t>
    </r>
    <r>
      <rPr>
        <sz val="10"/>
        <rFont val="Arial"/>
        <family val="0"/>
        <charset val="1"/>
      </rPr>
      <t xml:space="preserve">IF_CapexFacility</t>
    </r>
    <r>
      <rPr>
        <sz val="10"/>
        <rFont val="Noto Sans CJK SC"/>
        <family val="2"/>
      </rPr>
      <t xml:space="preserve">；廠房在租金）</t>
    </r>
  </si>
  <si>
    <t xml:space="preserve">[Derived]</t>
  </si>
  <si>
    <r>
      <rPr>
        <sz val="10"/>
        <rFont val="Arial"/>
        <family val="0"/>
        <charset val="1"/>
      </rPr>
      <t xml:space="preserve">IF_CapexIT </t>
    </r>
    <r>
      <rPr>
        <sz val="10"/>
        <rFont val="Noto Sans CJK SC"/>
        <family val="2"/>
      </rPr>
      <t xml:space="preserve">基準：</t>
    </r>
    <r>
      <rPr>
        <sz val="10"/>
        <rFont val="Arial"/>
        <family val="0"/>
        <charset val="1"/>
      </rPr>
      <t xml:space="preserve">H100 27.5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GB200 24.0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GB300 37.4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VR200 37.6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RU 50.1</t>
    </r>
    <r>
      <rPr>
        <sz val="10"/>
        <rFont val="Noto Sans CJK SC"/>
        <family val="2"/>
      </rPr>
      <t xml:space="preserve">。舊值以 </t>
    </r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指引回推（</t>
    </r>
    <r>
      <rPr>
        <sz val="10"/>
        <rFont val="Arial"/>
        <family val="0"/>
        <charset val="1"/>
      </rPr>
      <t xml:space="preserve">W2 </t>
    </r>
    <r>
      <rPr>
        <sz val="10"/>
        <rFont val="Noto Sans CJK SC"/>
        <family val="2"/>
      </rPr>
      <t xml:space="preserve">起只作對照）</t>
    </r>
  </si>
  <si>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經濟壽命（折舊年限）</t>
    </r>
  </si>
  <si>
    <t xml:space="preserve">年</t>
  </si>
  <si>
    <t xml:space="preserve">6</t>
  </si>
  <si>
    <r>
      <rPr>
        <sz val="10"/>
        <rFont val="Noto Sans CJK SC"/>
        <family val="2"/>
      </rPr>
      <t xml:space="preserve">高成本 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</si>
  <si>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IF_DeprLifeIT </t>
    </r>
    <r>
      <rPr>
        <sz val="10"/>
        <rFont val="Noto Sans CJK SC"/>
        <family val="2"/>
      </rPr>
      <t xml:space="preserve">依期初在役世代加權、取整數</t>
    </r>
  </si>
  <si>
    <r>
      <rPr>
        <sz val="10"/>
        <rFont val="Noto Sans CJK SC"/>
        <family val="2"/>
      </rPr>
      <t xml:space="preserve">基準各世代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年；與舊值相同，數字不變（拆解 ② ＝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</si>
  <si>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率路徑</t>
    </r>
  </si>
  <si>
    <r>
      <rPr>
        <sz val="10"/>
        <rFont val="Arial"/>
        <family val="0"/>
        <charset val="1"/>
      </rPr>
      <t xml:space="preserve">59% → 65%</t>
    </r>
    <r>
      <rPr>
        <sz val="10"/>
        <rFont val="Noto Sans CJK SC"/>
        <family val="2"/>
      </rPr>
      <t xml:space="preserve">（線性）</t>
    </r>
  </si>
  <si>
    <r>
      <rPr>
        <sz val="10"/>
        <rFont val="Arial"/>
        <family val="0"/>
        <charset val="1"/>
      </rPr>
      <t xml:space="preserve">57.8%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59.0%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60.3%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59.3%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56.9%</t>
    </r>
  </si>
  <si>
    <r>
      <rPr>
        <sz val="10"/>
        <rFont val="Arial"/>
        <family val="0"/>
        <charset val="1"/>
      </rPr>
      <t xml:space="preserve">methodology.perMw.cost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bottomUp</t>
    </r>
    <r>
      <rPr>
        <sz val="10"/>
        <rFont val="Noto Sans CJK SC"/>
        <family val="2"/>
      </rPr>
      <t xml:space="preserve">（每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經濟性頁由下而上推導）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</si>
  <si>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實際）與穩態 </t>
    </r>
    <r>
      <rPr>
        <sz val="10"/>
        <rFont val="Arial"/>
        <family val="0"/>
        <charset val="1"/>
      </rPr>
      <t xml:space="preserve">65% </t>
    </r>
    <r>
      <rPr>
        <sz val="10"/>
        <rFont val="Noto Sans CJK SC"/>
        <family val="2"/>
      </rPr>
      <t xml:space="preserve">改為對照；穩態格預設＝由下而上 </t>
    </r>
    <r>
      <rPr>
        <sz val="10"/>
        <rFont val="Arial"/>
        <family val="0"/>
        <charset val="1"/>
      </rPr>
      <t xml:space="preserve">FY30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</si>
  <si>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電費</t>
    </r>
  </si>
  <si>
    <r>
      <rPr>
        <sz val="10"/>
        <rFont val="Arial"/>
        <family val="0"/>
        <charset val="1"/>
      </rPr>
      <t xml:space="preserve">US$m/MW/</t>
    </r>
    <r>
      <rPr>
        <sz val="10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</si>
  <si>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—（</t>
    </r>
    <r>
      <rPr>
        <sz val="10"/>
        <rFont val="Arial"/>
        <family val="0"/>
        <charset val="1"/>
      </rPr>
      <t xml:space="preserve">overlay </t>
    </r>
    <r>
      <rPr>
        <sz val="10"/>
        <rFont val="Noto Sans CJK SC"/>
        <family val="2"/>
      </rPr>
      <t xml:space="preserve">預設關閉）</t>
    </r>
  </si>
  <si>
    <t xml:space="preserve">0.673</t>
  </si>
  <si>
    <t xml:space="preserve">0.405–1.025</t>
  </si>
  <si>
    <r>
      <rPr>
        <sz val="10"/>
        <rFont val="Arial"/>
        <family val="0"/>
        <charset val="1"/>
      </rPr>
      <t xml:space="preserve">IF_PowerCost</t>
    </r>
    <r>
      <rPr>
        <sz val="10"/>
        <rFont val="Noto Sans CJK SC"/>
        <family val="2"/>
      </rPr>
      <t xml:space="preserve">（已含平均用電比與 </t>
    </r>
    <r>
      <rPr>
        <sz val="10"/>
        <rFont val="Arial"/>
        <family val="0"/>
        <charset val="1"/>
      </rPr>
      <t xml:space="preserve">PUE</t>
    </r>
    <r>
      <rPr>
        <sz val="10"/>
        <rFont val="Noto Sans CJK SC"/>
        <family val="2"/>
      </rPr>
      <t xml:space="preserve">；與世代無關）</t>
    </r>
  </si>
  <si>
    <t xml:space="preserve">[Analogy]</t>
  </si>
  <si>
    <r>
      <rPr>
        <sz val="10"/>
        <rFont val="Noto Sans CJK SC"/>
        <family val="2"/>
      </rPr>
      <t xml:space="preserve">電價、</t>
    </r>
    <r>
      <rPr>
        <sz val="10"/>
        <rFont val="Arial"/>
        <family val="0"/>
        <charset val="1"/>
      </rPr>
      <t xml:space="preserve">PUE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產業值；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站點電價找不到（</t>
    </r>
    <r>
      <rPr>
        <sz val="10"/>
        <rFont val="Arial"/>
        <family val="0"/>
        <charset val="1"/>
      </rPr>
      <t xml:space="preserve">W1 6e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</si>
  <si>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IT </t>
    </r>
    <r>
      <rPr>
        <b val="true"/>
        <sz val="10"/>
        <rFont val="Noto Sans CJK SC"/>
        <family val="2"/>
      </rPr>
      <t xml:space="preserve">維護</t>
    </r>
  </si>
  <si>
    <r>
      <rPr>
        <sz val="10"/>
        <rFont val="Arial"/>
        <family val="0"/>
        <charset val="1"/>
      </rPr>
      <t xml:space="preserve">overlay 0.15–0.17</t>
    </r>
    <r>
      <rPr>
        <sz val="10"/>
        <rFont val="Noto Sans CJK SC"/>
        <family val="2"/>
      </rPr>
      <t xml:space="preserve">（預設關閉）</t>
    </r>
  </si>
  <si>
    <r>
      <rPr>
        <sz val="10"/>
        <rFont val="Arial"/>
        <family val="0"/>
        <charset val="1"/>
      </rPr>
      <t xml:space="preserve">H100 0.825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GB200 0.720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GB300 1.123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VR200 1.128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RU 1.503</t>
    </r>
  </si>
  <si>
    <r>
      <rPr>
        <sz val="10"/>
        <rFont val="Arial"/>
        <family val="0"/>
        <charset val="1"/>
      </rPr>
      <t xml:space="preserve">H100 0.428–1.365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GB200 0.413–1.106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GB300 0.571–2.038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VR200 0.665–1.706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RU 0.717–2.619</t>
    </r>
  </si>
  <si>
    <r>
      <rPr>
        <sz val="10"/>
        <rFont val="Arial"/>
        <family val="0"/>
        <charset val="1"/>
      </rPr>
      <t xml:space="preserve">IF_MaintIT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v5.26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W2 </t>
    </r>
    <r>
      <rPr>
        <sz val="10"/>
        <rFont val="Noto Sans CJK SC"/>
        <family val="2"/>
      </rPr>
      <t xml:space="preserve">暫代 </t>
    </r>
    <r>
      <rPr>
        <sz val="10"/>
        <rFont val="Arial"/>
        <family val="0"/>
        <charset val="1"/>
      </rPr>
      <t xml:space="preserve">0.15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</si>
  <si>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在役世代加權；</t>
    </r>
    <r>
      <rPr>
        <sz val="10"/>
        <rFont val="Arial"/>
        <family val="0"/>
        <charset val="1"/>
      </rPr>
      <t xml:space="preserve">FY26 0.94 → FY30 1.08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</si>
  <si>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人員、軟體、水與耗材</t>
    </r>
  </si>
  <si>
    <t xml:space="preserve">0.325</t>
  </si>
  <si>
    <t xml:space="preserve">0.24–0.41</t>
  </si>
  <si>
    <r>
      <rPr>
        <sz val="10"/>
        <rFont val="Arial"/>
        <family val="0"/>
        <charset val="1"/>
      </rPr>
      <t xml:space="preserve">IF_StaffSW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v5.26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W2 </t>
    </r>
    <r>
      <rPr>
        <sz val="10"/>
        <rFont val="Noto Sans CJK SC"/>
        <family val="2"/>
      </rPr>
      <t xml:space="preserve">暫代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</si>
  <si>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t xml:space="preserve">全額計入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</si>
  <si>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財產稅與保險</t>
    </r>
  </si>
  <si>
    <r>
      <rPr>
        <sz val="10"/>
        <rFont val="Arial"/>
        <family val="0"/>
        <charset val="1"/>
      </rPr>
      <t xml:space="preserve">H100 0.201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GB200 0.183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GB300 0.251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VR200 0.251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RU 0.314</t>
    </r>
  </si>
  <si>
    <r>
      <rPr>
        <sz val="10"/>
        <rFont val="Arial"/>
        <family val="0"/>
        <charset val="1"/>
      </rPr>
      <t xml:space="preserve">H100 0.095–0.402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GB200 0.093–0.351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GB300 0.116–0.537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VR200 0.130–0.471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RU 0.138–0.653</t>
    </r>
  </si>
  <si>
    <r>
      <rPr>
        <sz val="10"/>
        <rFont val="Arial"/>
        <family val="0"/>
        <charset val="1"/>
      </rPr>
      <t xml:space="preserve">IF_TaxIns × IF_CapexIT ÷ IF_CapexTotal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v5.26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W2 </t>
    </r>
    <r>
      <rPr>
        <sz val="10"/>
        <rFont val="Noto Sans CJK SC"/>
        <family val="2"/>
      </rPr>
      <t xml:space="preserve">暫代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</si>
  <si>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只算 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擁有的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部分（廠房屬房東）；</t>
    </r>
    <r>
      <rPr>
        <sz val="10"/>
        <rFont val="Arial"/>
        <family val="0"/>
        <charset val="1"/>
      </rPr>
      <t xml:space="preserve">GB300 0.251 × 74.7%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0.187</t>
    </r>
  </si>
  <si>
    <r>
      <rPr>
        <b val="true"/>
        <sz val="10"/>
        <rFont val="Noto Sans CJK SC"/>
        <family val="2"/>
      </rPr>
      <t xml:space="preserve">公司管銷率（扣 </t>
    </r>
    <r>
      <rPr>
        <b val="true"/>
        <sz val="10"/>
        <rFont val="Arial"/>
        <family val="0"/>
        <charset val="1"/>
      </rPr>
      <t xml:space="preserve">D&amp;A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SBC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</si>
  <si>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% </t>
    </r>
    <r>
      <rPr>
        <sz val="10"/>
        <rFont val="Noto Sans CJK SC"/>
        <family val="2"/>
      </rPr>
      <t xml:space="preserve">營收</t>
    </r>
  </si>
  <si>
    <r>
      <rPr>
        <sz val="10"/>
        <rFont val="Noto Sans CJK SC"/>
        <family val="2"/>
      </rPr>
      <t xml:space="preserve">—（含在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</si>
  <si>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t xml:space="preserve">5.51%</t>
  </si>
  <si>
    <r>
      <rPr>
        <sz val="10"/>
        <rFont val="Arial"/>
        <family val="0"/>
        <charset val="1"/>
      </rPr>
      <t xml:space="preserve">5.51%–9.24%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</si>
  <si>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10-Q 2026-06-30</t>
    </r>
    <r>
      <rPr>
        <sz val="10"/>
        <rFont val="Noto Sans CJK SC"/>
        <family val="2"/>
      </rPr>
      <t xml:space="preserve">：（銷售行銷 </t>
    </r>
    <r>
      <rPr>
        <sz val="10"/>
        <rFont val="Arial"/>
        <family val="0"/>
        <charset val="1"/>
      </rPr>
      <t xml:space="preserve">0.06 − SBC 0.012 </t>
    </r>
    <r>
      <rPr>
        <sz val="10"/>
        <rFont val="Noto Sans CJK SC"/>
        <family val="2"/>
      </rPr>
      <t xml:space="preserve">＋ 一般管理 </t>
    </r>
    <r>
      <rPr>
        <sz val="10"/>
        <rFont val="Arial"/>
        <family val="0"/>
        <charset val="1"/>
      </rPr>
      <t xml:space="preserve">0.178 − SBC 0.084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2.575</t>
    </r>
  </si>
  <si>
    <r>
      <rPr>
        <sz val="10"/>
        <rFont val="Noto Sans CJK SC"/>
        <family val="2"/>
      </rPr>
      <t xml:space="preserve">各期持平；</t>
    </r>
    <r>
      <rPr>
        <sz val="10"/>
        <rFont val="Arial"/>
        <family val="0"/>
        <charset val="1"/>
      </rPr>
      <t xml:space="preserve">S&amp;M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G&amp;A </t>
    </r>
    <r>
      <rPr>
        <sz val="10"/>
        <rFont val="Noto Sans CJK SC"/>
        <family val="2"/>
      </rPr>
      <t xml:space="preserve">內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視為 </t>
    </r>
    <r>
      <rPr>
        <sz val="10"/>
        <rFont val="Arial"/>
        <family val="0"/>
        <charset val="1"/>
      </rPr>
      <t xml:space="preserve">0 [Assumed]</t>
    </r>
  </si>
  <si>
    <r>
      <rPr>
        <b val="true"/>
        <sz val="10"/>
        <rFont val="Noto Sans CJK SC"/>
        <family val="2"/>
      </rPr>
      <t xml:space="preserve">期初在役世代組合（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1,500 MW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</si>
  <si>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H100 27.3%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GB200 29.4%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GB300 43.4%</t>
    </r>
  </si>
  <si>
    <r>
      <rPr>
        <sz val="10"/>
        <rFont val="Arial"/>
        <family val="0"/>
        <charset val="1"/>
      </rPr>
      <t xml:space="preserve">Hopper 24–31%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GB200 20–42%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GB300 30–53%</t>
    </r>
  </si>
  <si>
    <r>
      <rPr>
        <sz val="10"/>
        <rFont val="Arial"/>
        <family val="0"/>
        <charset val="1"/>
      </rPr>
      <t xml:space="preserve">W1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6b </t>
    </r>
    <r>
      <rPr>
        <sz val="10"/>
        <rFont val="Noto Sans CJK SC"/>
        <family val="2"/>
      </rPr>
      <t xml:space="preserve">步年份分層（</t>
    </r>
    <r>
      <rPr>
        <sz val="10"/>
        <rFont val="Arial"/>
        <family val="0"/>
        <charset val="1"/>
      </rPr>
      <t xml:space="preserve">data/permw_inputs_20261007.json</t>
    </r>
    <r>
      <rPr>
        <sz val="10"/>
        <rFont val="Noto Sans CJK SC"/>
        <family val="2"/>
      </rPr>
      <t xml:space="preserve">）</t>
    </r>
  </si>
  <si>
    <t xml:space="preserve">[Assumed]</t>
  </si>
  <si>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錨點 </t>
    </r>
    <r>
      <rPr>
        <sz val="10"/>
        <rFont val="Arial"/>
        <family val="0"/>
        <charset val="1"/>
      </rPr>
      <t xml:space="preserve">[Verified]</t>
    </r>
    <r>
      <rPr>
        <sz val="10"/>
        <rFont val="Noto Sans CJK SC"/>
        <family val="2"/>
      </rPr>
      <t xml:space="preserve">；各層占比公司未揭露</t>
    </r>
  </si>
  <si>
    <r>
      <rPr>
        <b val="true"/>
        <sz val="10"/>
        <rFont val="Noto Sans CJK SC"/>
        <family val="2"/>
      </rPr>
      <t xml:space="preserve">新增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世代組合</t>
    </r>
  </si>
  <si>
    <r>
      <rPr>
        <sz val="10"/>
        <rFont val="Arial"/>
        <family val="0"/>
        <charset val="1"/>
      </rPr>
      <t xml:space="preserve">2H26 GB300 80%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GB200 20%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FY27 GB300 50%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VR200 50%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FY28–30 VR200 100%</t>
    </r>
  </si>
  <si>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版（</t>
    </r>
    <r>
      <rPr>
        <sz val="10"/>
        <rFont val="Arial"/>
        <family val="0"/>
        <charset val="1"/>
      </rPr>
      <t xml:space="preserve">FY29–30</t>
    </r>
    <r>
      <rPr>
        <sz val="10"/>
        <rFont val="Noto Sans CJK SC"/>
        <family val="2"/>
      </rPr>
      <t xml:space="preserve">）只作敏感度</t>
    </r>
  </si>
  <si>
    <r>
      <rPr>
        <sz val="10"/>
        <rFont val="Arial"/>
        <family val="0"/>
        <charset val="1"/>
      </rPr>
      <t xml:space="preserve">W2 </t>
    </r>
    <r>
      <rPr>
        <sz val="10"/>
        <rFont val="Noto Sans CJK SC"/>
        <family val="2"/>
      </rPr>
      <t xml:space="preserve">工作單預設（</t>
    </r>
    <r>
      <rPr>
        <sz val="10"/>
        <rFont val="Arial"/>
        <family val="0"/>
        <charset val="1"/>
      </rPr>
      <t xml:space="preserve">fleet.newMix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</si>
  <si>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主力、</t>
    </r>
    <r>
      <rPr>
        <sz val="10"/>
        <rFont val="Arial"/>
        <family val="0"/>
        <charset val="1"/>
      </rPr>
      <t xml:space="preserve">VR 2026 Q2 </t>
    </r>
    <r>
      <rPr>
        <sz val="10"/>
        <rFont val="Noto Sans CJK SC"/>
        <family val="2"/>
      </rPr>
      <t xml:space="preserve">首套驗證</t>
    </r>
  </si>
  <si>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口徑</t>
    </r>
  </si>
  <si>
    <t xml:space="preserve">未定義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</si>
  <si>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關鍵電力（</t>
    </r>
    <r>
      <rPr>
        <sz val="10"/>
        <rFont val="Arial"/>
        <family val="0"/>
        <charset val="1"/>
      </rPr>
      <t xml:space="preserve">meta.mwBasis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</si>
  <si>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設施口徑：每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數字 </t>
    </r>
    <r>
      <rPr>
        <sz val="10"/>
        <rFont val="Arial"/>
        <family val="0"/>
        <charset val="1"/>
      </rPr>
      <t xml:space="preserve">× 1.2</t>
    </r>
  </si>
  <si>
    <r>
      <rPr>
        <sz val="10"/>
        <rFont val="Arial"/>
        <family val="0"/>
        <charset val="1"/>
      </rPr>
      <t xml:space="preserve">W1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6a </t>
    </r>
    <r>
      <rPr>
        <sz val="10"/>
        <rFont val="Noto Sans CJK SC"/>
        <family val="2"/>
      </rPr>
      <t xml:space="preserve">步：房東以 </t>
    </r>
    <r>
      <rPr>
        <sz val="10"/>
        <rFont val="Arial"/>
        <family val="0"/>
        <charset val="1"/>
      </rPr>
      <t xml:space="preserve">critical IT </t>
    </r>
    <r>
      <rPr>
        <sz val="10"/>
        <rFont val="Noto Sans CJK SC"/>
        <family val="2"/>
      </rPr>
      <t xml:space="preserve">計、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密度接近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口徑</t>
    </r>
  </si>
  <si>
    <r>
      <rPr>
        <sz val="10"/>
        <rFont val="Noto Sans CJK SC"/>
        <family val="2"/>
      </rPr>
      <t xml:space="preserve">公司未定義 </t>
    </r>
    <r>
      <rPr>
        <sz val="10"/>
        <rFont val="Arial"/>
        <family val="0"/>
        <charset val="1"/>
      </rPr>
      <t xml:space="preserve">active power </t>
    </r>
    <r>
      <rPr>
        <sz val="10"/>
        <rFont val="Noto Sans CJK SC"/>
        <family val="2"/>
      </rPr>
      <t xml:space="preserve">口徑；換算已實作、本次不採（拆解 ⑤ ＝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</si>
  <si>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計費）</t>
    </r>
  </si>
  <si>
    <r>
      <rPr>
        <sz val="10"/>
        <rFont val="Arial"/>
        <family val="0"/>
        <charset val="1"/>
      </rPr>
      <t xml:space="preserve">11.2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11.5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11.5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11.0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10.5</t>
    </r>
  </si>
  <si>
    <t xml:space="preserve">同左（未改）</t>
  </si>
  <si>
    <r>
      <rPr>
        <sz val="10"/>
        <rFont val="Arial"/>
        <family val="0"/>
        <charset val="1"/>
      </rPr>
      <t xml:space="preserve">defaults.m.revMW</t>
    </r>
    <r>
      <rPr>
        <sz val="10"/>
        <rFont val="Noto Sans CJK SC"/>
        <family val="2"/>
      </rPr>
      <t xml:space="preserve">（備案 </t>
    </r>
    <r>
      <rPr>
        <sz val="10"/>
        <rFont val="Arial"/>
        <family val="0"/>
        <charset val="1"/>
      </rPr>
      <t xml:space="preserve">revenue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legacy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</si>
  <si>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[Assumed]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v4.5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</si>
  <si>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小時價格路線已實作、預設不啟用（拆解 ④ ＝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</si>
  <si>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電力／維護 </t>
    </r>
    <r>
      <rPr>
        <b val="true"/>
        <sz val="10"/>
        <rFont val="Arial"/>
        <family val="0"/>
        <charset val="1"/>
      </rPr>
      <t xml:space="preserve">overlay</t>
    </r>
  </si>
  <si>
    <t xml:space="preserve">可開啟（預設關閉）</t>
  </si>
  <si>
    <r>
      <rPr>
        <sz val="10"/>
        <rFont val="Arial"/>
        <family val="0"/>
        <charset val="1"/>
      </rPr>
      <t xml:space="preserve">bottomUp </t>
    </r>
    <r>
      <rPr>
        <sz val="10"/>
        <rFont val="Noto Sans CJK SC"/>
        <family val="2"/>
      </rPr>
      <t xml:space="preserve">下自動停用（公式改為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</si>
  <si>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build_xlsx</t>
    </r>
    <r>
      <rPr>
        <sz val="10"/>
        <rFont val="Noto Sans CJK SC"/>
        <family val="2"/>
      </rPr>
      <t xml:space="preserve">：避免與由下而上重複扣</t>
    </r>
  </si>
  <si>
    <t xml:space="preserve">舊方法組合維持原行為</t>
  </si>
  <si>
    <r>
      <rPr>
        <b val="true"/>
        <sz val="13"/>
        <rFont val="Noto Sans CJK SC"/>
        <family val="2"/>
      </rPr>
      <t xml:space="preserve">目標價變動拆解 </t>
    </r>
    <r>
      <rPr>
        <b val="true"/>
        <sz val="13"/>
        <rFont val="Arial"/>
        <family val="0"/>
        <charset val="1"/>
      </rPr>
      <t xml:space="preserve">v4.5 → v4.6</t>
    </r>
    <r>
      <rPr>
        <b val="true"/>
        <sz val="13"/>
        <rFont val="Noto Sans CJK SC"/>
        <family val="2"/>
      </rPr>
      <t xml:space="preserve">（已決定事項 </t>
    </r>
    <r>
      <rPr>
        <b val="true"/>
        <sz val="13"/>
        <rFont val="Arial"/>
        <family val="0"/>
        <charset val="1"/>
      </rPr>
      <t xml:space="preserve">12(3)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截斷口徑；</t>
    </r>
    <r>
      <rPr>
        <b val="true"/>
        <sz val="13"/>
        <rFont val="Arial"/>
        <family val="0"/>
        <charset val="1"/>
      </rPr>
      <t xml:space="preserve">US$</t>
    </r>
    <r>
      <rPr>
        <b val="true"/>
        <sz val="13"/>
        <rFont val="Noto Sans CJK SC"/>
        <family val="2"/>
      </rPr>
      <t xml:space="preserve">／股）</t>
    </r>
  </si>
  <si>
    <r>
      <rPr>
        <sz val="9"/>
        <color rgb="FF666666"/>
        <rFont val="Arial"/>
        <family val="0"/>
        <charset val="1"/>
      </rPr>
      <t xml:space="preserve">(a) </t>
    </r>
    <r>
      <rPr>
        <sz val="9"/>
        <color rgb="FF666666"/>
        <rFont val="Noto Sans CJK SC"/>
        <family val="2"/>
      </rPr>
      <t xml:space="preserve">時間推移＝</t>
    </r>
    <r>
      <rPr>
        <sz val="9"/>
        <color rgb="FF666666"/>
        <rFont val="Arial"/>
        <family val="0"/>
        <charset val="1"/>
      </rPr>
      <t xml:space="preserve">0</t>
    </r>
    <r>
      <rPr>
        <sz val="9"/>
        <color rgb="FF666666"/>
        <rFont val="Noto Sans CJK SC"/>
        <family val="2"/>
      </rPr>
      <t xml:space="preserve">（評價日 </t>
    </r>
    <r>
      <rPr>
        <sz val="9"/>
        <color rgb="FF666666"/>
        <rFont val="Arial"/>
        <family val="0"/>
        <charset val="1"/>
      </rPr>
      <t xml:space="preserve">2026-06-30 </t>
    </r>
    <r>
      <rPr>
        <sz val="9"/>
        <color rgb="FF666666"/>
        <rFont val="Noto Sans CJK SC"/>
        <family val="2"/>
      </rPr>
      <t xml:space="preserve">不變）、</t>
    </r>
    <r>
      <rPr>
        <sz val="9"/>
        <color rgb="FF666666"/>
        <rFont val="Arial"/>
        <family val="0"/>
        <charset val="1"/>
      </rPr>
      <t xml:space="preserve">(b) </t>
    </r>
    <r>
      <rPr>
        <sz val="9"/>
        <color rgb="FF666666"/>
        <rFont val="Noto Sans CJK SC"/>
        <family val="2"/>
      </rPr>
      <t xml:space="preserve">實際數更新＝</t>
    </r>
    <r>
      <rPr>
        <sz val="9"/>
        <color rgb="FF666666"/>
        <rFont val="Arial"/>
        <family val="0"/>
        <charset val="1"/>
      </rPr>
      <t xml:space="preserve">0</t>
    </r>
    <r>
      <rPr>
        <sz val="9"/>
        <color rgb="FF666666"/>
        <rFont val="Noto Sans CJK SC"/>
        <family val="2"/>
      </rPr>
      <t xml:space="preserve">、</t>
    </r>
    <r>
      <rPr>
        <sz val="9"/>
        <color rgb="FF666666"/>
        <rFont val="Arial"/>
        <family val="0"/>
        <charset val="1"/>
      </rPr>
      <t xml:space="preserve">(c) </t>
    </r>
    <r>
      <rPr>
        <sz val="9"/>
        <color rgb="FF666666"/>
        <rFont val="Noto Sans CJK SC"/>
        <family val="2"/>
      </rPr>
      <t xml:space="preserve">假設變更＝</t>
    </r>
    <r>
      <rPr>
        <sz val="9"/>
        <color rgb="FF666666"/>
        <rFont val="Arial"/>
        <family val="0"/>
        <charset val="1"/>
      </rPr>
      <t xml:space="preserve">0</t>
    </r>
    <r>
      <rPr>
        <sz val="9"/>
        <color rgb="FF666666"/>
        <rFont val="Noto Sans CJK SC"/>
        <family val="2"/>
      </rPr>
      <t xml:space="preserve">（共用輸入未改）、</t>
    </r>
    <r>
      <rPr>
        <sz val="9"/>
        <color rgb="FF666666"/>
        <rFont val="Arial"/>
        <family val="0"/>
        <charset val="1"/>
      </rPr>
      <t xml:space="preserve">(d) </t>
    </r>
    <r>
      <rPr>
        <sz val="9"/>
        <color rgb="FF666666"/>
        <rFont val="Noto Sans CJK SC"/>
        <family val="2"/>
      </rPr>
      <t xml:space="preserve">方法變更＝總變動。</t>
    </r>
    <r>
      <rPr>
        <sz val="9"/>
        <color rgb="FF666666"/>
        <rFont val="Arial"/>
        <family val="0"/>
        <charset val="1"/>
      </rPr>
      <t xml:space="preserve">(d) </t>
    </r>
    <r>
      <rPr>
        <sz val="9"/>
        <color rgb="FF666666"/>
        <rFont val="Noto Sans CJK SC"/>
        <family val="2"/>
      </rPr>
      <t xml:space="preserve">依 ① → ⑤ 逐項切換（每步只改一項、前一步為起點）；「單獨切換」＝只改該項、其他維持 </t>
    </r>
    <r>
      <rPr>
        <sz val="9"/>
        <color rgb="FF666666"/>
        <rFont val="Arial"/>
        <family val="0"/>
        <charset val="1"/>
      </rPr>
      <t xml:space="preserve">v4.5</t>
    </r>
    <r>
      <rPr>
        <sz val="9"/>
        <color rgb="FF666666"/>
        <rFont val="Noto Sans CJK SC"/>
        <family val="2"/>
      </rPr>
      <t xml:space="preserve">。數值由 </t>
    </r>
    <r>
      <rPr>
        <sz val="9"/>
        <color rgb="FF666666"/>
        <rFont val="Arial"/>
        <family val="0"/>
        <charset val="1"/>
      </rPr>
      <t xml:space="preserve">scripts/attrib_permw.py </t>
    </r>
    <r>
      <rPr>
        <sz val="9"/>
        <color rgb="FF666666"/>
        <rFont val="Noto Sans CJK SC"/>
        <family val="2"/>
      </rPr>
      <t xml:space="preserve">以 </t>
    </r>
    <r>
      <rPr>
        <sz val="9"/>
        <color rgb="FF666666"/>
        <rFont val="Arial"/>
        <family val="0"/>
        <charset val="1"/>
      </rPr>
      <t xml:space="preserve">Excel</t>
    </r>
    <r>
      <rPr>
        <sz val="9"/>
        <color rgb="FF666666"/>
        <rFont val="Noto Sans CJK SC"/>
        <family val="2"/>
      </rPr>
      <t xml:space="preserve">（</t>
    </r>
    <r>
      <rPr>
        <sz val="9"/>
        <color rgb="FF666666"/>
        <rFont val="Arial"/>
        <family val="0"/>
        <charset val="1"/>
      </rPr>
      <t xml:space="preserve">LibreOffice</t>
    </r>
    <r>
      <rPr>
        <sz val="9"/>
        <color rgb="FF666666"/>
        <rFont val="Noto Sans CJK SC"/>
        <family val="2"/>
      </rPr>
      <t xml:space="preserve">）重算各組合取得。</t>
    </r>
  </si>
  <si>
    <t xml:space="preserve">保守｜依序</t>
  </si>
  <si>
    <t xml:space="preserve">保守｜單獨</t>
  </si>
  <si>
    <t xml:space="preserve">保守｜順序依賴</t>
  </si>
  <si>
    <t xml:space="preserve">基準｜依序</t>
  </si>
  <si>
    <t xml:space="preserve">基準｜單獨</t>
  </si>
  <si>
    <t xml:space="preserve">基準｜順序依賴</t>
  </si>
  <si>
    <t xml:space="preserve">積極｜依序</t>
  </si>
  <si>
    <t xml:space="preserve">積極｜單獨</t>
  </si>
  <si>
    <t xml:space="preserve">積極｜順序依賴</t>
  </si>
  <si>
    <r>
      <rPr>
        <b val="true"/>
        <sz val="10"/>
        <rFont val="Arial"/>
        <family val="0"/>
        <charset val="1"/>
      </rPr>
      <t xml:space="preserve">v4.5 </t>
    </r>
    <r>
      <rPr>
        <b val="true"/>
        <sz val="10"/>
        <rFont val="Noto Sans CJK SC"/>
        <family val="2"/>
      </rPr>
      <t xml:space="preserve">加權目標價</t>
    </r>
  </si>
  <si>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</t>
    </r>
  </si>
  <si>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實際數更新</t>
    </r>
  </si>
  <si>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</t>
    </r>
  </si>
  <si>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方法變更（＝下列 ① 至 ⑤ 合計）</t>
    </r>
  </si>
  <si>
    <r>
      <rPr>
        <sz val="10"/>
        <rFont val="Noto Sans CJK SC"/>
        <family val="2"/>
      </rPr>
      <t xml:space="preserve">　①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資本支出（</t>
    </r>
    <r>
      <rPr>
        <sz val="10"/>
        <rFont val="Arial"/>
        <family val="0"/>
        <charset val="1"/>
      </rPr>
      <t xml:space="preserve">Tokenomics IF_CapexIT × </t>
    </r>
    <r>
      <rPr>
        <sz val="10"/>
        <rFont val="Noto Sans CJK SC"/>
        <family val="2"/>
      </rPr>
      <t xml:space="preserve">世代組合）</t>
    </r>
  </si>
  <si>
    <r>
      <rPr>
        <sz val="10"/>
        <rFont val="Noto Sans CJK SC"/>
        <family val="2"/>
      </rPr>
      <t xml:space="preserve">　② 折舊年限（</t>
    </r>
    <r>
      <rPr>
        <sz val="10"/>
        <rFont val="Arial"/>
        <family val="0"/>
        <charset val="1"/>
      </rPr>
      <t xml:space="preserve">IF_DeprLifeIT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</si>
  <si>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　③ 營運成本改由下而上（</t>
    </r>
    <r>
      <rPr>
        <sz val="10"/>
        <rFont val="Arial"/>
        <family val="0"/>
        <charset val="1"/>
      </rPr>
      <t xml:space="preserve">Tokenomics</t>
    </r>
    <r>
      <rPr>
        <sz val="10"/>
        <rFont val="Noto Sans CJK SC"/>
        <family val="2"/>
      </rPr>
      <t xml:space="preserve">＋管銷率）</t>
    </r>
  </si>
  <si>
    <r>
      <rPr>
        <sz val="10"/>
        <rFont val="Noto Sans CJK SC"/>
        <family val="2"/>
      </rPr>
      <t xml:space="preserve">　④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收入改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小時價格（採備案 </t>
    </r>
    <r>
      <rPr>
        <sz val="10"/>
        <rFont val="Arial"/>
        <family val="0"/>
        <charset val="1"/>
      </rPr>
      <t xml:space="preserve">legacy</t>
    </r>
    <r>
      <rPr>
        <sz val="10"/>
        <rFont val="Noto Sans CJK SC"/>
        <family val="2"/>
      </rPr>
      <t xml:space="preserve">：不切換）</t>
    </r>
  </si>
  <si>
    <r>
      <rPr>
        <sz val="10"/>
        <rFont val="Noto Sans CJK SC"/>
        <family val="2"/>
      </rPr>
      <t xml:space="preserve">　⑤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口徑換算（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口徑：無換算）</t>
    </r>
  </si>
  <si>
    <r>
      <rPr>
        <b val="true"/>
        <sz val="10"/>
        <rFont val="Arial"/>
        <family val="0"/>
        <charset val="1"/>
      </rPr>
      <t xml:space="preserve">v4.6 </t>
    </r>
    <r>
      <rPr>
        <b val="true"/>
        <sz val="10"/>
        <rFont val="Noto Sans CJK SC"/>
        <family val="2"/>
      </rPr>
      <t xml:space="preserve">加權目標價（＝</t>
    </r>
    <r>
      <rPr>
        <b val="true"/>
        <sz val="10"/>
        <rFont val="Arial"/>
        <family val="0"/>
        <charset val="1"/>
      </rPr>
      <t xml:space="preserve">v4.5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(b)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(c)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(d)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</si>
  <si>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v4.6 </t>
    </r>
    <r>
      <rPr>
        <sz val="10"/>
        <rFont val="Noto Sans CJK SC"/>
        <family val="2"/>
      </rPr>
      <t xml:space="preserve">成品加權目標價（取自成品）</t>
    </r>
  </si>
  <si>
    <r>
      <rPr>
        <b val="true"/>
        <sz val="10"/>
        <rFont val="Noto Sans CJK SC"/>
        <family val="2"/>
      </rPr>
      <t xml:space="preserve">檢查：拆解合計 − 成品（須 </t>
    </r>
    <r>
      <rPr>
        <b val="true"/>
        <sz val="10"/>
        <rFont val="Arial"/>
        <family val="0"/>
        <charset val="1"/>
      </rPr>
      <t xml:space="preserve">&lt; 0.01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</si>
  <si>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兩條腿的依序拆解（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腿推到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EV/EBITDA </t>
    </r>
    <r>
      <rPr>
        <b val="true"/>
        <sz val="10"/>
        <rFont val="Noto Sans CJK SC"/>
        <family val="2"/>
      </rPr>
      <t xml:space="preserve">腿錨定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、折回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；權重 </t>
    </r>
    <r>
      <rPr>
        <b val="true"/>
        <sz val="10"/>
        <rFont val="Arial"/>
        <family val="0"/>
        <charset val="1"/>
      </rPr>
      <t xml:space="preserve">DCF 45</t>
    </r>
    <r>
      <rPr>
        <b val="true"/>
        <sz val="10"/>
        <rFont val="Noto Sans CJK SC"/>
        <family val="2"/>
      </rPr>
      <t xml:space="preserve">％／</t>
    </r>
    <r>
      <rPr>
        <b val="true"/>
        <sz val="10"/>
        <rFont val="Arial"/>
        <family val="0"/>
        <charset val="1"/>
      </rPr>
      <t xml:space="preserve">EV 55</t>
    </r>
    <r>
      <rPr>
        <b val="true"/>
        <sz val="10"/>
        <rFont val="Noto Sans CJK SC"/>
        <family val="2"/>
      </rPr>
      <t xml:space="preserve">％，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失效時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100</t>
    </r>
    <r>
      <rPr>
        <b val="true"/>
        <sz val="10"/>
        <rFont val="Noto Sans CJK SC"/>
        <family val="2"/>
      </rPr>
      <t xml:space="preserve">％）</t>
    </r>
  </si>
  <si>
    <r>
      <rPr>
        <b val="true"/>
        <sz val="10"/>
        <color rgb="FFFFFFFF"/>
        <rFont val="Noto Sans CJK SC"/>
        <family val="2"/>
      </rPr>
      <t xml:space="preserve">保守｜</t>
    </r>
    <r>
      <rPr>
        <b val="true"/>
        <sz val="10"/>
        <color rgb="FFFFFFFF"/>
        <rFont val="Arial"/>
        <family val="0"/>
        <charset val="1"/>
      </rPr>
      <t xml:space="preserve">DCF </t>
    </r>
    <r>
      <rPr>
        <b val="true"/>
        <sz val="10"/>
        <color rgb="FFFFFFFF"/>
        <rFont val="Noto Sans CJK SC"/>
        <family val="2"/>
      </rPr>
      <t xml:space="preserve">腿</t>
    </r>
  </si>
  <si>
    <r>
      <rPr>
        <b val="true"/>
        <sz val="10"/>
        <color rgb="FFFFFFFF"/>
        <rFont val="Noto Sans CJK SC"/>
        <family val="2"/>
      </rPr>
      <t xml:space="preserve">保守｜</t>
    </r>
    <r>
      <rPr>
        <b val="true"/>
        <sz val="10"/>
        <color rgb="FFFFFFFF"/>
        <rFont val="Arial"/>
        <family val="0"/>
        <charset val="1"/>
      </rPr>
      <t xml:space="preserve">EV/EBITDA </t>
    </r>
    <r>
      <rPr>
        <b val="true"/>
        <sz val="10"/>
        <color rgb="FFFFFFFF"/>
        <rFont val="Noto Sans CJK SC"/>
        <family val="2"/>
      </rPr>
      <t xml:space="preserve">腿</t>
    </r>
  </si>
  <si>
    <t xml:space="preserve">保守｜加權</t>
  </si>
  <si>
    <r>
      <rPr>
        <b val="true"/>
        <sz val="10"/>
        <color rgb="FFFFFFFF"/>
        <rFont val="Noto Sans CJK SC"/>
        <family val="2"/>
      </rPr>
      <t xml:space="preserve">基準｜</t>
    </r>
    <r>
      <rPr>
        <b val="true"/>
        <sz val="10"/>
        <color rgb="FFFFFFFF"/>
        <rFont val="Arial"/>
        <family val="0"/>
        <charset val="1"/>
      </rPr>
      <t xml:space="preserve">DCF </t>
    </r>
    <r>
      <rPr>
        <b val="true"/>
        <sz val="10"/>
        <color rgb="FFFFFFFF"/>
        <rFont val="Noto Sans CJK SC"/>
        <family val="2"/>
      </rPr>
      <t xml:space="preserve">腿</t>
    </r>
  </si>
  <si>
    <r>
      <rPr>
        <b val="true"/>
        <sz val="10"/>
        <color rgb="FFFFFFFF"/>
        <rFont val="Noto Sans CJK SC"/>
        <family val="2"/>
      </rPr>
      <t xml:space="preserve">基準｜</t>
    </r>
    <r>
      <rPr>
        <b val="true"/>
        <sz val="10"/>
        <color rgb="FFFFFFFF"/>
        <rFont val="Arial"/>
        <family val="0"/>
        <charset val="1"/>
      </rPr>
      <t xml:space="preserve">EV/EBITDA </t>
    </r>
    <r>
      <rPr>
        <b val="true"/>
        <sz val="10"/>
        <color rgb="FFFFFFFF"/>
        <rFont val="Noto Sans CJK SC"/>
        <family val="2"/>
      </rPr>
      <t xml:space="preserve">腿</t>
    </r>
  </si>
  <si>
    <t xml:space="preserve">基準｜加權</t>
  </si>
  <si>
    <r>
      <rPr>
        <b val="true"/>
        <sz val="10"/>
        <color rgb="FFFFFFFF"/>
        <rFont val="Noto Sans CJK SC"/>
        <family val="2"/>
      </rPr>
      <t xml:space="preserve">積極｜</t>
    </r>
    <r>
      <rPr>
        <b val="true"/>
        <sz val="10"/>
        <color rgb="FFFFFFFF"/>
        <rFont val="Arial"/>
        <family val="0"/>
        <charset val="1"/>
      </rPr>
      <t xml:space="preserve">DCF </t>
    </r>
    <r>
      <rPr>
        <b val="true"/>
        <sz val="10"/>
        <color rgb="FFFFFFFF"/>
        <rFont val="Noto Sans CJK SC"/>
        <family val="2"/>
      </rPr>
      <t xml:space="preserve">腿</t>
    </r>
  </si>
  <si>
    <r>
      <rPr>
        <b val="true"/>
        <sz val="10"/>
        <color rgb="FFFFFFFF"/>
        <rFont val="Noto Sans CJK SC"/>
        <family val="2"/>
      </rPr>
      <t xml:space="preserve">積極｜</t>
    </r>
    <r>
      <rPr>
        <b val="true"/>
        <sz val="10"/>
        <color rgb="FFFFFFFF"/>
        <rFont val="Arial"/>
        <family val="0"/>
        <charset val="1"/>
      </rPr>
      <t xml:space="preserve">EV/EBITDA </t>
    </r>
    <r>
      <rPr>
        <b val="true"/>
        <sz val="10"/>
        <color rgb="FFFFFFFF"/>
        <rFont val="Noto Sans CJK SC"/>
        <family val="2"/>
      </rPr>
      <t xml:space="preserve">腿</t>
    </r>
  </si>
  <si>
    <t xml:space="preserve">積極｜加權</t>
  </si>
  <si>
    <r>
      <rPr>
        <sz val="9"/>
        <color rgb="FF666666"/>
        <rFont val="Noto Sans CJK SC"/>
        <family val="2"/>
      </rPr>
      <t xml:space="preserve">讀法：</t>
    </r>
    <r>
      <rPr>
        <sz val="9"/>
        <color rgb="FF666666"/>
        <rFont val="Arial"/>
        <family val="0"/>
        <charset val="1"/>
      </rPr>
      <t xml:space="preserve">v4.5</t>
    </r>
    <r>
      <rPr>
        <sz val="9"/>
        <color rgb="FF666666"/>
        <rFont val="Noto Sans CJK SC"/>
        <family val="2"/>
      </rPr>
      <t xml:space="preserve">、</t>
    </r>
    <r>
      <rPr>
        <sz val="9"/>
        <color rgb="FF666666"/>
        <rFont val="Arial"/>
        <family val="0"/>
        <charset val="1"/>
      </rPr>
      <t xml:space="preserve">v4.6 </t>
    </r>
    <r>
      <rPr>
        <sz val="9"/>
        <color rgb="FF666666"/>
        <rFont val="Noto Sans CJK SC"/>
        <family val="2"/>
      </rPr>
      <t xml:space="preserve">列為水準；中間各列為該步的變動。保守、積極情境的「順序依賴」大，是 </t>
    </r>
    <r>
      <rPr>
        <sz val="9"/>
        <color rgb="FF666666"/>
        <rFont val="Arial"/>
        <family val="0"/>
        <charset val="1"/>
      </rPr>
      <t xml:space="preserve">0 </t>
    </r>
    <r>
      <rPr>
        <sz val="9"/>
        <color rgb="FF666666"/>
        <rFont val="Noto Sans CJK SC"/>
        <family val="2"/>
      </rPr>
      <t xml:space="preserve">截斷與 </t>
    </r>
    <r>
      <rPr>
        <sz val="9"/>
        <color rgb="FF666666"/>
        <rFont val="Arial"/>
        <family val="0"/>
        <charset val="1"/>
      </rPr>
      <t xml:space="preserve">DCF </t>
    </r>
    <r>
      <rPr>
        <sz val="9"/>
        <color rgb="FF666666"/>
        <rFont val="Noto Sans CJK SC"/>
        <family val="2"/>
      </rPr>
      <t xml:space="preserve">失效（權重歸零）的非線性所致——先改建置成本後 </t>
    </r>
    <r>
      <rPr>
        <sz val="9"/>
        <color rgb="FF666666"/>
        <rFont val="Arial"/>
        <family val="0"/>
        <charset val="1"/>
      </rPr>
      <t xml:space="preserve">DCF </t>
    </r>
    <r>
      <rPr>
        <sz val="9"/>
        <color rgb="FF666666"/>
        <rFont val="Noto Sans CJK SC"/>
        <family val="2"/>
      </rPr>
      <t xml:space="preserve">腿已為 </t>
    </r>
    <r>
      <rPr>
        <sz val="9"/>
        <color rgb="FF666666"/>
        <rFont val="Arial"/>
        <family val="0"/>
        <charset val="1"/>
      </rPr>
      <t xml:space="preserve">0</t>
    </r>
    <r>
      <rPr>
        <sz val="9"/>
        <color rgb="FF666666"/>
        <rFont val="Noto Sans CJK SC"/>
        <family val="2"/>
      </rPr>
      <t xml:space="preserve">，營運成本再改只影響 </t>
    </r>
    <r>
      <rPr>
        <sz val="9"/>
        <color rgb="FF666666"/>
        <rFont val="Arial"/>
        <family val="0"/>
        <charset val="1"/>
      </rPr>
      <t xml:space="preserve">EV/EBITDA </t>
    </r>
    <r>
      <rPr>
        <sz val="9"/>
        <color rgb="FF666666"/>
        <rFont val="Noto Sans CJK SC"/>
        <family val="2"/>
      </rPr>
      <t xml:space="preserve">腿。</t>
    </r>
  </si>
  <si>
    <r>
      <rPr>
        <b val="true"/>
        <sz val="13"/>
        <rFont val="Arial"/>
        <family val="0"/>
        <charset val="1"/>
      </rPr>
      <t xml:space="preserve">Tokenomics </t>
    </r>
    <r>
      <rPr>
        <b val="true"/>
        <sz val="13"/>
        <rFont val="Noto Sans CJK SC"/>
        <family val="2"/>
      </rPr>
      <t xml:space="preserve">參考線（</t>
    </r>
    <r>
      <rPr>
        <b val="true"/>
        <sz val="13"/>
        <rFont val="Arial"/>
        <family val="0"/>
        <charset val="1"/>
      </rPr>
      <t xml:space="preserve">v4.6 </t>
    </r>
    <r>
      <rPr>
        <b val="true"/>
        <sz val="13"/>
        <rFont val="Noto Sans CJK SC"/>
        <family val="2"/>
      </rPr>
      <t xml:space="preserve">基準；只作對照，不入損益）</t>
    </r>
  </si>
  <si>
    <t xml:space="preserve">FY26</t>
  </si>
  <si>
    <t xml:space="preserve">FY28</t>
  </si>
  <si>
    <t xml:space="preserve">FY29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</si>
  <si>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經濟持有成本（不賠錢下限）</t>
    </r>
  </si>
  <si>
    <r>
      <rPr>
        <sz val="9"/>
        <color rgb="FF666666"/>
        <rFont val="Arial"/>
        <family val="0"/>
        <charset val="1"/>
      </rPr>
      <t xml:space="preserve">IF_HoldEcon </t>
    </r>
    <r>
      <rPr>
        <sz val="9"/>
        <color rgb="FF666666"/>
        <rFont val="Noto Sans CJK SC"/>
        <family val="2"/>
      </rPr>
      <t xml:space="preserve">在役世代加權（含廠房資本回收；</t>
    </r>
    <r>
      <rPr>
        <sz val="9"/>
        <color rgb="FF666666"/>
        <rFont val="Arial"/>
        <family val="0"/>
        <charset val="1"/>
      </rPr>
      <t xml:space="preserve">CRWV </t>
    </r>
    <r>
      <rPr>
        <sz val="9"/>
        <color rgb="FF666666"/>
        <rFont val="Noto Sans CJK SC"/>
        <family val="2"/>
      </rPr>
      <t xml:space="preserve">的廠房在租金，口徑較寬）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</si>
  <si>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年收入（模型採用，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計費時數）</t>
    </r>
  </si>
  <si>
    <r>
      <rPr>
        <sz val="9"/>
        <color rgb="FF666666"/>
        <rFont val="Noto Sans CJK SC"/>
        <family val="2"/>
      </rPr>
      <t xml:space="preserve">模型輸入（</t>
    </r>
    <r>
      <rPr>
        <sz val="9"/>
        <color rgb="FF666666"/>
        <rFont val="Arial"/>
        <family val="0"/>
        <charset val="1"/>
      </rPr>
      <t xml:space="preserve">v4.5 </t>
    </r>
    <r>
      <rPr>
        <sz val="9"/>
        <color rgb="FF666666"/>
        <rFont val="Noto Sans CJK SC"/>
        <family val="2"/>
      </rPr>
      <t xml:space="preserve">既有）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</si>
  <si>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經濟持有成本</t>
    </r>
  </si>
  <si>
    <t xml:space="preserve">倍</t>
  </si>
  <si>
    <r>
      <rPr>
        <sz val="9"/>
        <color rgb="FF666666"/>
        <rFont val="Arial"/>
        <family val="0"/>
        <charset val="1"/>
      </rPr>
      <t xml:space="preserve">&lt; 1</t>
    </r>
    <r>
      <rPr>
        <sz val="9"/>
        <color rgb="FF666666"/>
        <rFont val="Noto Sans CJK SC"/>
        <family val="2"/>
      </rPr>
      <t xml:space="preserve">：計費單價不足以回收含廠房的持有成本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</si>
  <si>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小時經濟持有成本（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數加權）</t>
    </r>
  </si>
  <si>
    <t xml:space="preserve">US$/GPU-hr</t>
  </si>
  <si>
    <r>
      <rPr>
        <sz val="9"/>
        <color rgb="FF666666"/>
        <rFont val="Arial"/>
        <family val="0"/>
        <charset val="1"/>
      </rPr>
      <t xml:space="preserve">IF_GPUhrEcon</t>
    </r>
    <r>
      <rPr>
        <sz val="9"/>
        <color rgb="FF666666"/>
        <rFont val="Noto Sans CJK SC"/>
        <family val="2"/>
      </rPr>
      <t xml:space="preserve">（</t>
    </r>
    <r>
      <rPr>
        <sz val="9"/>
        <color rgb="FF666666"/>
        <rFont val="Arial"/>
        <family val="0"/>
        <charset val="1"/>
      </rPr>
      <t xml:space="preserve">100% </t>
    </r>
    <r>
      <rPr>
        <sz val="9"/>
        <color rgb="FF666666"/>
        <rFont val="Noto Sans CJK SC"/>
        <family val="2"/>
      </rPr>
      <t xml:space="preserve">時數、不含利潤）</t>
    </r>
  </si>
  <si>
    <r>
      <rPr>
        <sz val="10"/>
        <rFont val="Noto Sans CJK SC"/>
        <family val="2"/>
      </rPr>
      <t xml:space="preserve">隱含每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小時價格（反算對照，不是輸入）</t>
    </r>
  </si>
  <si>
    <r>
      <rPr>
        <sz val="9"/>
        <color rgb="FF666666"/>
        <rFont val="Noto Sans CJK SC"/>
        <family val="2"/>
      </rPr>
      <t xml:space="preserve">＝每 </t>
    </r>
    <r>
      <rPr>
        <sz val="9"/>
        <color rgb="FF666666"/>
        <rFont val="Arial"/>
        <family val="0"/>
        <charset val="1"/>
      </rPr>
      <t xml:space="preserve">MW </t>
    </r>
    <r>
      <rPr>
        <sz val="9"/>
        <color rgb="FF666666"/>
        <rFont val="Noto Sans CJK SC"/>
        <family val="2"/>
      </rPr>
      <t xml:space="preserve">年收入 </t>
    </r>
    <r>
      <rPr>
        <sz val="9"/>
        <color rgb="FF666666"/>
        <rFont val="Arial"/>
        <family val="0"/>
        <charset val="1"/>
      </rPr>
      <t xml:space="preserve">÷</t>
    </r>
    <r>
      <rPr>
        <sz val="9"/>
        <color rgb="FF666666"/>
        <rFont val="Noto Sans CJK SC"/>
        <family val="2"/>
      </rPr>
      <t xml:space="preserve">（每 </t>
    </r>
    <r>
      <rPr>
        <sz val="9"/>
        <color rgb="FF666666"/>
        <rFont val="Arial"/>
        <family val="0"/>
        <charset val="1"/>
      </rPr>
      <t xml:space="preserve">MW GPU </t>
    </r>
    <r>
      <rPr>
        <sz val="9"/>
        <color rgb="FF666666"/>
        <rFont val="Noto Sans CJK SC"/>
        <family val="2"/>
      </rPr>
      <t xml:space="preserve">數 </t>
    </r>
    <r>
      <rPr>
        <sz val="9"/>
        <color rgb="FF666666"/>
        <rFont val="Arial"/>
        <family val="0"/>
        <charset val="1"/>
      </rPr>
      <t xml:space="preserve">× 8,760</t>
    </r>
    <r>
      <rPr>
        <sz val="9"/>
        <color rgb="FF666666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</si>
  <si>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隱含價格 </t>
    </r>
    <r>
      <rPr>
        <sz val="10"/>
        <rFont val="Arial"/>
        <family val="0"/>
        <charset val="1"/>
      </rPr>
      <t xml:space="preserve">÷ GPU </t>
    </r>
    <r>
      <rPr>
        <sz val="10"/>
        <rFont val="Noto Sans CJK SC"/>
        <family val="2"/>
      </rPr>
      <t xml:space="preserve">小時持有成本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</si>
  <si>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GPU </t>
    </r>
    <r>
      <rPr>
        <sz val="10"/>
        <rFont val="Noto Sans CJK SC"/>
        <family val="2"/>
      </rPr>
      <t xml:space="preserve">數（世代加權）</t>
    </r>
  </si>
  <si>
    <r>
      <rPr>
        <sz val="9"/>
        <color rgb="FF666666"/>
        <rFont val="Noto Sans CJK SC"/>
        <family val="2"/>
      </rPr>
      <t xml:space="preserve">顆</t>
    </r>
    <r>
      <rPr>
        <sz val="9"/>
        <color rgb="FF666666"/>
        <rFont val="Arial"/>
        <family val="0"/>
        <charset val="1"/>
      </rPr>
      <t xml:space="preserve">/MW</t>
    </r>
  </si>
  <si>
    <t xml:space="preserve">IF_GPUsPerGW ÷ 1000</t>
  </si>
  <si>
    <r>
      <rPr>
        <sz val="10"/>
        <rFont val="Noto Sans CJK SC"/>
        <family val="2"/>
      </rPr>
      <t xml:space="preserve">同業｜</t>
    </r>
    <r>
      <rPr>
        <sz val="10"/>
        <rFont val="Arial"/>
        <family val="0"/>
        <charset val="1"/>
      </rPr>
      <t xml:space="preserve">IREN–Microsoft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年合約）</t>
    </r>
  </si>
  <si>
    <r>
      <rPr>
        <sz val="9"/>
        <color rgb="FF666666"/>
        <rFont val="Arial"/>
        <family val="0"/>
        <charset val="1"/>
      </rPr>
      <t xml:space="preserve">[Derived]</t>
    </r>
    <r>
      <rPr>
        <sz val="9"/>
        <color rgb="FF666666"/>
        <rFont val="Noto Sans CJK SC"/>
        <family val="2"/>
      </rPr>
      <t xml:space="preserve">：</t>
    </r>
    <r>
      <rPr>
        <sz val="9"/>
        <color rgb="FF666666"/>
        <rFont val="Arial"/>
        <family val="0"/>
        <charset val="1"/>
      </rPr>
      <t xml:space="preserve">$9.7bn ÷ 5 </t>
    </r>
    <r>
      <rPr>
        <sz val="9"/>
        <color rgb="FF666666"/>
        <rFont val="Noto Sans CJK SC"/>
        <family val="2"/>
      </rPr>
      <t xml:space="preserve">年 </t>
    </r>
    <r>
      <rPr>
        <sz val="9"/>
        <color rgb="FF666666"/>
        <rFont val="Arial"/>
        <family val="0"/>
        <charset val="1"/>
      </rPr>
      <t xml:space="preserve">÷ 200 MW critical IT</t>
    </r>
  </si>
  <si>
    <r>
      <rPr>
        <sz val="9"/>
        <color rgb="FF666666"/>
        <rFont val="Noto Sans CJK SC"/>
        <family val="2"/>
      </rPr>
      <t xml:space="preserve">模型（每</t>
    </r>
    <r>
      <rPr>
        <sz val="9"/>
        <color rgb="FF666666"/>
        <rFont val="Arial"/>
        <family val="0"/>
        <charset val="1"/>
      </rPr>
      <t xml:space="preserve">MW</t>
    </r>
    <r>
      <rPr>
        <sz val="9"/>
        <color rgb="FF666666"/>
        <rFont val="Noto Sans CJK SC"/>
        <family val="2"/>
      </rPr>
      <t xml:space="preserve">經濟性彙總）</t>
    </r>
  </si>
  <si>
    <t xml:space="preserve">模型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</si>
  <si>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壽命（在役世代加權；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參考）</t>
    </r>
  </si>
  <si>
    <r>
      <rPr>
        <sz val="9"/>
        <color rgb="FF666666"/>
        <rFont val="Arial"/>
        <family val="0"/>
        <charset val="1"/>
      </rPr>
      <t xml:space="preserve">IF_CapexIT ÷ 6 </t>
    </r>
    <r>
      <rPr>
        <sz val="9"/>
        <color rgb="FF666666"/>
        <rFont val="Noto Sans CJK SC"/>
        <family val="2"/>
      </rPr>
      <t xml:space="preserve">年（在役世代加權）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</si>
  <si>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租金指數</t>
    </r>
  </si>
  <si>
    <r>
      <rPr>
        <sz val="9"/>
        <color rgb="FF666666"/>
        <rFont val="Noto Sans CJK SC"/>
        <family val="2"/>
      </rPr>
      <t xml:space="preserve">單點（</t>
    </r>
    <r>
      <rPr>
        <sz val="9"/>
        <color rgb="FF666666"/>
        <rFont val="Arial"/>
        <family val="0"/>
        <charset val="1"/>
      </rPr>
      <t xml:space="preserve">W1 </t>
    </r>
    <r>
      <rPr>
        <sz val="9"/>
        <color rgb="FF666666"/>
        <rFont val="Noto Sans CJK SC"/>
        <family val="2"/>
      </rPr>
      <t xml:space="preserve">第 </t>
    </r>
    <r>
      <rPr>
        <sz val="9"/>
        <color rgb="FF666666"/>
        <rFont val="Arial"/>
        <family val="0"/>
        <charset val="1"/>
      </rPr>
      <t xml:space="preserve">6c </t>
    </r>
    <r>
      <rPr>
        <sz val="9"/>
        <color rgb="FF666666"/>
        <rFont val="Noto Sans CJK SC"/>
        <family val="2"/>
      </rPr>
      <t xml:space="preserve">步；牌價為隨需、指數為市場現行租期）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</si>
  <si>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H100 CoreWeave </t>
    </r>
    <r>
      <rPr>
        <sz val="10"/>
        <rFont val="Noto Sans CJK SC"/>
        <family val="2"/>
      </rPr>
      <t xml:space="preserve">隨需牌價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</si>
  <si>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GB200 CoreWeave </t>
    </r>
    <r>
      <rPr>
        <sz val="10"/>
        <rFont val="Noto Sans CJK SC"/>
        <family val="2"/>
      </rPr>
      <t xml:space="preserve">隨需牌價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</si>
  <si>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租金指數（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</si>
  <si>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租金指數（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</si>
  <si>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10"/>
        <rFont val="Noto Sans CJK SC"/>
        <family val="2"/>
      </rPr>
      <t xml:space="preserve">市場價格｜</t>
    </r>
    <r>
      <rPr>
        <sz val="10"/>
        <rFont val="Arial"/>
        <family val="0"/>
        <charset val="1"/>
      </rPr>
      <t xml:space="preserve">B300 Nebius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</si>
  <si>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各世代值（基準；</t>
    </r>
    <r>
      <rPr>
        <b val="true"/>
        <sz val="10"/>
        <rFont val="Arial"/>
        <family val="0"/>
        <charset val="1"/>
      </rPr>
      <t xml:space="preserve">$B/GW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IT MW</t>
    </r>
    <r>
      <rPr>
        <b val="true"/>
        <sz val="10"/>
        <rFont val="Noto Sans CJK SC"/>
        <family val="2"/>
      </rPr>
      <t xml:space="preserve">）</t>
    </r>
  </si>
  <si>
    <t xml:space="preserve">名稱</t>
  </si>
  <si>
    <t xml:space="preserve">H100</t>
  </si>
  <si>
    <t xml:space="preserve">GB200</t>
  </si>
  <si>
    <t xml:space="preserve">GB300</t>
  </si>
  <si>
    <t xml:space="preserve">VR200</t>
  </si>
  <si>
    <t xml:space="preserve">RU</t>
  </si>
  <si>
    <r>
      <rPr>
        <sz val="10"/>
        <rFont val="Arial"/>
        <family val="0"/>
        <charset val="1"/>
      </rPr>
      <t xml:space="preserve">IF_CapexIT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設備）</t>
    </r>
  </si>
  <si>
    <t xml:space="preserve">$B</t>
  </si>
  <si>
    <r>
      <rPr>
        <sz val="10"/>
        <rFont val="Arial"/>
        <family val="0"/>
        <charset val="1"/>
      </rPr>
      <t xml:space="preserve">IF_CapexTotal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合計）</t>
    </r>
  </si>
  <si>
    <r>
      <rPr>
        <sz val="10"/>
        <rFont val="Arial"/>
        <family val="0"/>
        <charset val="1"/>
      </rPr>
      <t xml:space="preserve">IF_PowerCost</t>
    </r>
    <r>
      <rPr>
        <sz val="10"/>
        <rFont val="Noto Sans CJK SC"/>
        <family val="2"/>
      </rPr>
      <t xml:space="preserve">（其中：每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年電費）</t>
    </r>
  </si>
  <si>
    <r>
      <rPr>
        <sz val="9"/>
        <color rgb="FF666666"/>
        <rFont val="Arial"/>
        <family val="0"/>
        <charset val="1"/>
      </rPr>
      <t xml:space="preserve">$B/</t>
    </r>
    <r>
      <rPr>
        <sz val="9"/>
        <color rgb="FF666666"/>
        <rFont val="Noto Sans CJK SC"/>
        <family val="2"/>
      </rPr>
      <t xml:space="preserve">年</t>
    </r>
  </si>
  <si>
    <r>
      <rPr>
        <sz val="10"/>
        <rFont val="Arial"/>
        <family val="0"/>
        <charset val="1"/>
      </rPr>
      <t xml:space="preserve">IF_MaintIT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維護）</t>
    </r>
  </si>
  <si>
    <r>
      <rPr>
        <sz val="10"/>
        <rFont val="Arial"/>
        <family val="0"/>
        <charset val="1"/>
      </rPr>
      <t xml:space="preserve">IF_StaffSW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人員、軟體、水與耗材）</t>
    </r>
  </si>
  <si>
    <r>
      <rPr>
        <sz val="10"/>
        <rFont val="Arial"/>
        <family val="0"/>
        <charset val="1"/>
      </rPr>
      <t xml:space="preserve">IF_TaxIns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財產稅與保險）</t>
    </r>
  </si>
  <si>
    <r>
      <rPr>
        <sz val="10"/>
        <rFont val="Arial"/>
        <family val="0"/>
        <charset val="1"/>
      </rPr>
      <t xml:space="preserve">IF_DeprLifeIT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折舊年限）</t>
    </r>
  </si>
  <si>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經濟口徑）</t>
    </r>
  </si>
  <si>
    <r>
      <rPr>
        <sz val="10"/>
        <rFont val="Arial"/>
        <family val="0"/>
        <charset val="1"/>
      </rPr>
      <t xml:space="preserve">IF_GPUhrEcon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經濟）</t>
    </r>
  </si>
  <si>
    <t xml:space="preserve">$/GPU-hr</t>
  </si>
  <si>
    <r>
      <rPr>
        <sz val="10"/>
        <rFont val="Arial"/>
        <family val="0"/>
        <charset val="1"/>
      </rPr>
      <t xml:space="preserve">IF_GPUsPerGW</t>
    </r>
    <r>
      <rPr>
        <sz val="10"/>
        <rFont val="Noto Sans CJK SC"/>
        <family val="2"/>
      </rPr>
      <t xml:space="preserve">（每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數）</t>
    </r>
  </si>
  <si>
    <t xml:space="preserve">顆</t>
  </si>
  <si>
    <r>
      <rPr>
        <b val="true"/>
        <sz val="13"/>
        <rFont val="Noto Sans CJK SC"/>
        <family val="2"/>
      </rPr>
      <t xml:space="preserve">已知限制（</t>
    </r>
    <r>
      <rPr>
        <b val="true"/>
        <sz val="13"/>
        <rFont val="Arial"/>
        <family val="0"/>
        <charset val="1"/>
      </rPr>
      <t xml:space="preserve">v4.6</t>
    </r>
    <r>
      <rPr>
        <b val="true"/>
        <sz val="13"/>
        <rFont val="Noto Sans CJK SC"/>
        <family val="2"/>
      </rPr>
      <t xml:space="preserve">）</t>
    </r>
  </si>
  <si>
    <t xml:space="preserve">限制</t>
  </si>
  <si>
    <t xml:space="preserve">內容</t>
  </si>
  <si>
    <t xml:space="preserve">對結果的影響方向</t>
  </si>
  <si>
    <r>
      <rPr>
        <b val="true"/>
        <sz val="10"/>
        <rFont val="Noto Sans CJK SC"/>
        <family val="2"/>
      </rPr>
      <t xml:space="preserve">收入採備案（每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年收入為輸入）</t>
    </r>
  </si>
  <si>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小時價格不足兩個獨立來源，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完全找不到；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小時路線已實作未啟用</t>
    </r>
  </si>
  <si>
    <r>
      <rPr>
        <sz val="10"/>
        <rFont val="Noto Sans CJK SC"/>
        <family val="2"/>
      </rPr>
      <t xml:space="preserve">方向不定；模型每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10.0 </t>
    </r>
    <r>
      <rPr>
        <sz val="10"/>
        <rFont val="Noto Sans CJK SC"/>
        <family val="2"/>
      </rPr>
      <t xml:space="preserve">高於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年化 </t>
    </r>
    <r>
      <rPr>
        <sz val="10"/>
        <rFont val="Arial"/>
        <family val="0"/>
        <charset val="1"/>
      </rPr>
      <t xml:space="preserve">8.2</t>
    </r>
    <r>
      <rPr>
        <sz val="10"/>
        <rFont val="Noto Sans CJK SC"/>
        <family val="2"/>
      </rPr>
      <t xml:space="preserve">，若以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校準收入會下修、目標價下降</t>
    </r>
  </si>
  <si>
    <t xml:space="preserve">續約價格衰退未做</t>
  </si>
  <si>
    <r>
      <rPr>
        <sz val="10"/>
        <rFont val="Noto Sans CJK SC"/>
        <family val="2"/>
      </rPr>
      <t xml:space="preserve">合約到期後的續約單價下降未建模（範圍外：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原待辦）</t>
    </r>
  </si>
  <si>
    <r>
      <rPr>
        <sz val="10"/>
        <rFont val="Noto Sans CJK SC"/>
        <family val="2"/>
      </rPr>
      <t xml:space="preserve">目標價偏高（</t>
    </r>
    <r>
      <rPr>
        <sz val="10"/>
        <rFont val="Arial"/>
        <family val="0"/>
        <charset val="1"/>
      </rPr>
      <t xml:space="preserve">FY29–30 </t>
    </r>
    <r>
      <rPr>
        <sz val="10"/>
        <rFont val="Noto Sans CJK SC"/>
        <family val="2"/>
      </rPr>
      <t xml:space="preserve">收入高估）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</si>
  <si>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未接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</si>
  <si>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的價格隨時間衰減係數未引用</t>
    </r>
  </si>
  <si>
    <t xml:space="preserve">目標價偏高</t>
  </si>
  <si>
    <r>
      <rPr>
        <b val="true"/>
        <sz val="10"/>
        <rFont val="Noto Sans CJK SC"/>
        <family val="2"/>
      </rPr>
      <t xml:space="preserve">管銷率各期持平 </t>
    </r>
    <r>
      <rPr>
        <b val="true"/>
        <sz val="10"/>
        <rFont val="Arial"/>
        <family val="0"/>
        <charset val="1"/>
      </rPr>
      <t xml:space="preserve">5.51%</t>
    </r>
  </si>
  <si>
    <t xml:space="preserve">未反映規模經濟</t>
  </si>
  <si>
    <r>
      <rPr>
        <sz val="10"/>
        <rFont val="Noto Sans CJK SC"/>
        <family val="2"/>
      </rPr>
      <t xml:space="preserve">目標價偏低（若管銷率隨規模下降）；</t>
    </r>
    <r>
      <rPr>
        <sz val="10"/>
        <rFont val="Arial"/>
        <family val="0"/>
        <charset val="1"/>
      </rPr>
      <t xml:space="preserve">GAAP 9.24% </t>
    </r>
    <r>
      <rPr>
        <sz val="10"/>
        <rFont val="Noto Sans CJK SC"/>
        <family val="2"/>
      </rPr>
      <t xml:space="preserve">則基準 </t>
    </r>
    <r>
      <rPr>
        <sz val="10"/>
        <rFont val="Arial"/>
        <family val="0"/>
        <charset val="1"/>
      </rPr>
      <t xml:space="preserve">$21.25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$8.43</t>
    </r>
    <r>
      <rPr>
        <sz val="10"/>
        <rFont val="Noto Sans CJK SC"/>
        <family val="2"/>
      </rPr>
      <t xml:space="preserve">）</t>
    </r>
  </si>
  <si>
    <t xml:space="preserve">期初世代組合為估計</t>
  </si>
  <si>
    <r>
      <rPr>
        <sz val="10"/>
        <rFont val="Noto Sans CJK SC"/>
        <family val="2"/>
      </rPr>
      <t xml:space="preserve">公司未揭露機隊世代；年份分層 </t>
    </r>
    <r>
      <rPr>
        <sz val="10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</si>
  <si>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影響每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維護、稅險與參考線；</t>
    </r>
    <r>
      <rPr>
        <sz val="10"/>
        <rFont val="Arial"/>
        <family val="0"/>
        <charset val="1"/>
      </rPr>
      <t xml:space="preserve">Rubin Ultra </t>
    </r>
    <r>
      <rPr>
        <sz val="10"/>
        <rFont val="Noto Sans CJK SC"/>
        <family val="2"/>
      </rPr>
      <t xml:space="preserve">版敏感度基準 </t>
    </r>
    <r>
      <rPr>
        <sz val="10"/>
        <rFont val="Arial"/>
        <family val="0"/>
        <charset val="1"/>
      </rPr>
      <t xml:space="preserve">$22.09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</si>
  <si>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營運成本為滿載穩態口徑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</si>
  <si>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實際營運成本（租金前、不含管銷）</t>
    </r>
    <r>
      <rPr>
        <sz val="10"/>
        <rFont val="Arial"/>
        <family val="0"/>
        <charset val="1"/>
      </rPr>
      <t xml:space="preserve">0.88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，模型 </t>
    </r>
    <r>
      <rPr>
        <sz val="10"/>
        <rFont val="Arial"/>
        <family val="0"/>
        <charset val="1"/>
      </rPr>
      <t xml:space="preserve">FY26 2.09</t>
    </r>
    <r>
      <rPr>
        <sz val="10"/>
        <rFont val="Noto Sans CJK SC"/>
        <family val="2"/>
      </rPr>
      <t xml:space="preserve">（保固期、爬坡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、電費轉嫁可能使實際偏低）</t>
    </r>
  </si>
  <si>
    <r>
      <rPr>
        <sz val="10"/>
        <rFont val="Noto Sans CJK SC"/>
        <family val="2"/>
      </rPr>
      <t xml:space="preserve">若實際較低的狀態延續：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率上升、目標價上升（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低成本敏感度基準 </t>
    </r>
    <r>
      <rPr>
        <sz val="10"/>
        <rFont val="Arial"/>
        <family val="0"/>
        <charset val="1"/>
      </rPr>
      <t xml:space="preserve">$72.45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</si>
  <si>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租金路徑低於 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</si>
  <si>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 </t>
    </r>
    <r>
      <rPr>
        <sz val="10"/>
        <rFont val="Arial"/>
        <family val="0"/>
        <charset val="1"/>
      </rPr>
      <t xml:space="preserve">1.60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）對 </t>
    </r>
    <r>
      <rPr>
        <sz val="10"/>
        <rFont val="Arial"/>
        <family val="0"/>
        <charset val="1"/>
      </rPr>
      <t xml:space="preserve">Q2 2.08</t>
    </r>
    <r>
      <rPr>
        <sz val="10"/>
        <rFont val="Noto Sans CJK SC"/>
        <family val="2"/>
      </rPr>
      <t xml:space="preserve">；屬 </t>
    </r>
    <r>
      <rPr>
        <sz val="10"/>
        <rFont val="Arial"/>
        <family val="0"/>
        <charset val="1"/>
      </rPr>
      <t xml:space="preserve">v4.5 </t>
    </r>
    <r>
      <rPr>
        <sz val="10"/>
        <rFont val="Noto Sans CJK SC"/>
        <family val="2"/>
      </rPr>
      <t xml:space="preserve">既有（具名站點基準未做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驅動）</t>
    </r>
  </si>
  <si>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口徑未證實</t>
    </r>
  </si>
  <si>
    <r>
      <rPr>
        <sz val="10"/>
        <rFont val="Arial"/>
        <family val="0"/>
        <charset val="1"/>
      </rPr>
      <t xml:space="preserve">active power </t>
    </r>
    <r>
      <rPr>
        <sz val="10"/>
        <rFont val="Noto Sans CJK SC"/>
        <family val="2"/>
      </rPr>
      <t xml:space="preserve">是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或設施口徑公司未定義；預設 </t>
    </r>
    <r>
      <rPr>
        <sz val="10"/>
        <rFont val="Arial"/>
        <family val="0"/>
        <charset val="1"/>
      </rPr>
      <t xml:space="preserve">IT</t>
    </r>
  </si>
  <si>
    <r>
      <rPr>
        <sz val="10"/>
        <rFont val="Noto Sans CJK SC"/>
        <family val="2"/>
      </rPr>
      <t xml:space="preserve">設施口徑時每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數字 </t>
    </r>
    <r>
      <rPr>
        <sz val="10"/>
        <rFont val="Arial"/>
        <family val="0"/>
        <charset val="1"/>
      </rPr>
      <t xml:space="preserve">× 1.2</t>
    </r>
    <r>
      <rPr>
        <sz val="10"/>
        <rFont val="Noto Sans CJK SC"/>
        <family val="2"/>
      </rPr>
      <t xml:space="preserve">，利潤率不變</t>
    </r>
  </si>
  <si>
    <r>
      <rPr>
        <b val="true"/>
        <sz val="10"/>
        <rFont val="Noto Sans CJK SC"/>
        <family val="2"/>
      </rPr>
      <t xml:space="preserve">車隊折舊高於實際（待辦 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</si>
  <si>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高於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實際走勢（含 </t>
    </r>
    <r>
      <rPr>
        <sz val="10"/>
        <rFont val="Arial"/>
        <family val="0"/>
        <charset val="1"/>
      </rPr>
      <t xml:space="preserve">CIP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</si>
  <si>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 </t>
    </r>
    <r>
      <rPr>
        <sz val="10"/>
        <rFont val="Noto Sans CJK SC"/>
        <family val="2"/>
      </rPr>
      <t xml:space="preserve">偏低；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與目標價（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腿）不受影響</t>
    </r>
  </si>
  <si>
    <r>
      <rPr>
        <b val="true"/>
        <sz val="10"/>
        <rFont val="Arial"/>
        <family val="0"/>
        <charset val="1"/>
      </rPr>
      <t xml:space="preserve">LibreOffice </t>
    </r>
    <r>
      <rPr>
        <b val="true"/>
        <sz val="10"/>
        <rFont val="Noto Sans CJK SC"/>
        <family val="2"/>
      </rPr>
      <t xml:space="preserve">驗證限制</t>
    </r>
  </si>
  <si>
    <r>
      <rPr>
        <sz val="10"/>
        <rFont val="Noto Sans CJK SC"/>
        <family val="2"/>
      </rPr>
      <t xml:space="preserve">情境區間運算表在 </t>
    </r>
    <r>
      <rPr>
        <sz val="10"/>
        <rFont val="Arial"/>
        <family val="0"/>
        <charset val="1"/>
      </rPr>
      <t xml:space="preserve">LibreOffice </t>
    </r>
    <r>
      <rPr>
        <sz val="10"/>
        <rFont val="Noto Sans CJK SC"/>
        <family val="2"/>
      </rPr>
      <t xml:space="preserve">重算非基準情境時會殘留中間值；</t>
    </r>
    <r>
      <rPr>
        <sz val="10"/>
        <rFont val="Arial"/>
        <family val="0"/>
        <charset val="1"/>
      </rPr>
      <t xml:space="preserve">verify </t>
    </r>
    <r>
      <rPr>
        <sz val="10"/>
        <rFont val="Noto Sans CJK SC"/>
        <family val="2"/>
      </rPr>
      <t xml:space="preserve">已改以凍結運算表輸出的副本比對（成品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由真正的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開啟時不受影響）</t>
    </r>
  </si>
  <si>
    <r>
      <rPr>
        <sz val="10"/>
        <rFont val="Noto Sans CJK SC"/>
        <family val="2"/>
      </rPr>
      <t xml:space="preserve">無數字影響；需 </t>
    </r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以真正的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開啟確認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</si>
</sst>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0.0%;\(0.0%\);\-"/>
    <numFmt numFmtId="167" formatCode="\$#,##0.00;&quot;($&quot;#,##0.00\);\-"/>
    <numFmt numFmtId="168" formatCode="0.000"/>
    <numFmt numFmtId="169" formatCode="#,##0"/>
    <numFmt numFmtId="170" formatCode="#,##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1"/>
    <col collapsed="false" customWidth="true" hidden="false" outlineLevel="0" max="7" min="7" style="0" width="10"/>
    <col collapsed="false" customWidth="true" hidden="false" outlineLevel="0" max="8" min="8" style="0" width="70"/>
    <col collapsed="false" customWidth="true" hidden="false" outlineLevel="0" max="9" min="9" style="0" width="44"/>
  </cols>
  <sheetData>
    <row r="1" customFormat="false" ht="20.1" hidden="false" customHeight="fals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5" t="s">
        <v>6</v>
      </c>
      <c r="E5" s="5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29.85" hidden="false" customHeight="false" outlineLevel="0" collapsed="false">
      <c r="A6" s="6" t="s">
        <v>12</v>
      </c>
      <c r="B6" s="7" t="s">
        <v>13</v>
      </c>
      <c r="C6" s="8" t="s">
        <v>14</v>
      </c>
      <c r="D6" s="9" t="n">
        <v>10.5565656565657</v>
      </c>
      <c r="E6" s="9" t="n">
        <v>10.5565656565657</v>
      </c>
      <c r="F6" s="10" t="n">
        <f aca="false">E6-D6</f>
        <v>0</v>
      </c>
      <c r="G6" s="11" t="n">
        <f aca="false">IF(ABS(D6)&lt;0.000000001,"—",E6/D6-1)</f>
        <v>0</v>
      </c>
      <c r="H6" s="12" t="s">
        <v>15</v>
      </c>
      <c r="I6" s="13" t="s">
        <v>16</v>
      </c>
    </row>
    <row r="7" customFormat="false" ht="29.85" hidden="false" customHeight="false" outlineLevel="0" collapsed="false">
      <c r="A7" s="6" t="s">
        <v>17</v>
      </c>
      <c r="B7" s="7" t="s">
        <v>13</v>
      </c>
      <c r="C7" s="8" t="s">
        <v>14</v>
      </c>
      <c r="D7" s="9" t="n">
        <v>4.16984343434343</v>
      </c>
      <c r="E7" s="9" t="n">
        <v>4.32822629422416</v>
      </c>
      <c r="F7" s="10" t="n">
        <f aca="false">E7-D7</f>
        <v>0.15838285988073</v>
      </c>
      <c r="G7" s="11" t="n">
        <f aca="false">IF(ABS(D7)&lt;0.000000001,"—",E7/D7-1)</f>
        <v>0.0379829272668286</v>
      </c>
      <c r="H7" s="12" t="s">
        <v>18</v>
      </c>
      <c r="I7" s="14" t="s">
        <v>19</v>
      </c>
    </row>
    <row r="8" customFormat="false" ht="15" hidden="false" customHeight="false" outlineLevel="0" collapsed="false">
      <c r="A8" s="15" t="s">
        <v>20</v>
      </c>
      <c r="B8" s="7" t="s">
        <v>13</v>
      </c>
      <c r="C8" s="8" t="s">
        <v>14</v>
      </c>
      <c r="D8" s="9" t="n">
        <v>2.57832828282828</v>
      </c>
      <c r="E8" s="9" t="n">
        <v>2.73671114270901</v>
      </c>
      <c r="F8" s="10" t="n">
        <f aca="false">E8-D8</f>
        <v>0.15838285988073</v>
      </c>
      <c r="G8" s="11" t="n">
        <f aca="false">IF(ABS(D8)&lt;0.000000001,"—",E8/D8-1)</f>
        <v>0.0614285081289157</v>
      </c>
      <c r="H8" s="16" t="s">
        <v>21</v>
      </c>
      <c r="I8" s="13" t="s">
        <v>22</v>
      </c>
    </row>
    <row r="9" customFormat="false" ht="15" hidden="false" customHeight="false" outlineLevel="0" collapsed="false">
      <c r="A9" s="15" t="s">
        <v>23</v>
      </c>
      <c r="B9" s="7" t="s">
        <v>13</v>
      </c>
      <c r="C9" s="8" t="s">
        <v>14</v>
      </c>
      <c r="D9" s="17"/>
      <c r="E9" s="9" t="n">
        <v>0.672768</v>
      </c>
      <c r="F9" s="18" t="s">
        <v>24</v>
      </c>
      <c r="G9" s="8"/>
      <c r="H9" s="16" t="s">
        <v>25</v>
      </c>
      <c r="I9" s="13" t="s">
        <v>26</v>
      </c>
    </row>
    <row r="10" customFormat="false" ht="15" hidden="false" customHeight="false" outlineLevel="0" collapsed="false">
      <c r="A10" s="15" t="s">
        <v>27</v>
      </c>
      <c r="B10" s="7" t="s">
        <v>13</v>
      </c>
      <c r="C10" s="8" t="s">
        <v>14</v>
      </c>
      <c r="D10" s="17"/>
      <c r="E10" s="9" t="n">
        <v>0.991538286572</v>
      </c>
      <c r="F10" s="18" t="s">
        <v>24</v>
      </c>
      <c r="G10" s="8"/>
      <c r="H10" s="16" t="s">
        <v>28</v>
      </c>
      <c r="I10" s="13" t="s">
        <v>29</v>
      </c>
    </row>
    <row r="11" customFormat="false" ht="15" hidden="false" customHeight="false" outlineLevel="0" collapsed="false">
      <c r="A11" s="15" t="s">
        <v>30</v>
      </c>
      <c r="B11" s="7" t="s">
        <v>13</v>
      </c>
      <c r="C11" s="8" t="s">
        <v>14</v>
      </c>
      <c r="D11" s="17"/>
      <c r="E11" s="9" t="n">
        <v>0.325</v>
      </c>
      <c r="F11" s="18" t="s">
        <v>24</v>
      </c>
      <c r="G11" s="8"/>
      <c r="H11" s="16" t="s">
        <v>31</v>
      </c>
      <c r="I11" s="13" t="s">
        <v>32</v>
      </c>
    </row>
    <row r="12" customFormat="false" ht="15" hidden="false" customHeight="false" outlineLevel="0" collapsed="false">
      <c r="A12" s="15" t="s">
        <v>33</v>
      </c>
      <c r="B12" s="7" t="s">
        <v>13</v>
      </c>
      <c r="C12" s="8" t="s">
        <v>14</v>
      </c>
      <c r="D12" s="17"/>
      <c r="E12" s="9" t="n">
        <v>0.165256381095333</v>
      </c>
      <c r="F12" s="18" t="s">
        <v>24</v>
      </c>
      <c r="G12" s="8"/>
      <c r="H12" s="16" t="s">
        <v>34</v>
      </c>
      <c r="I12" s="13" t="s">
        <v>35</v>
      </c>
    </row>
    <row r="13" customFormat="false" ht="15" hidden="false" customHeight="false" outlineLevel="0" collapsed="false">
      <c r="A13" s="15" t="s">
        <v>36</v>
      </c>
      <c r="B13" s="7" t="s">
        <v>13</v>
      </c>
      <c r="C13" s="8" t="s">
        <v>14</v>
      </c>
      <c r="D13" s="17"/>
      <c r="E13" s="9" t="n">
        <v>0.582148475041679</v>
      </c>
      <c r="F13" s="18" t="s">
        <v>24</v>
      </c>
      <c r="G13" s="8"/>
      <c r="H13" s="12" t="s">
        <v>37</v>
      </c>
      <c r="I13" s="13" t="s">
        <v>38</v>
      </c>
    </row>
    <row r="14" customFormat="false" ht="15" hidden="false" customHeight="false" outlineLevel="0" collapsed="false">
      <c r="A14" s="15" t="s">
        <v>39</v>
      </c>
      <c r="B14" s="7" t="s">
        <v>13</v>
      </c>
      <c r="C14" s="8" t="s">
        <v>14</v>
      </c>
      <c r="D14" s="9" t="n">
        <v>1.59151515151515</v>
      </c>
      <c r="E14" s="9" t="n">
        <v>1.59151515151515</v>
      </c>
      <c r="F14" s="10" t="n">
        <f aca="false">E14-D14</f>
        <v>0</v>
      </c>
      <c r="G14" s="11" t="n">
        <f aca="false">IF(ABS(D14)&lt;0.000000001,"—",E14/D14-1)</f>
        <v>0</v>
      </c>
      <c r="H14" s="12" t="s">
        <v>40</v>
      </c>
      <c r="I14" s="13" t="s">
        <v>41</v>
      </c>
    </row>
    <row r="15" customFormat="false" ht="15" hidden="false" customHeight="false" outlineLevel="0" collapsed="false">
      <c r="A15" s="6" t="s">
        <v>42</v>
      </c>
      <c r="B15" s="7" t="s">
        <v>13</v>
      </c>
      <c r="C15" s="8" t="s">
        <v>14</v>
      </c>
      <c r="D15" s="9" t="n">
        <v>6.38672222222222</v>
      </c>
      <c r="E15" s="9" t="n">
        <v>6.22833936234149</v>
      </c>
      <c r="F15" s="10" t="n">
        <f aca="false">E15-D15</f>
        <v>-0.15838285988073</v>
      </c>
      <c r="G15" s="11" t="n">
        <f aca="false">IF(ABS(D15)&lt;0.000000001,"—",E15/D15-1)</f>
        <v>-0.0247987706948716</v>
      </c>
      <c r="H15" s="12" t="s">
        <v>43</v>
      </c>
      <c r="I15" s="13" t="s">
        <v>44</v>
      </c>
    </row>
    <row r="16" customFormat="false" ht="29.85" hidden="false" customHeight="false" outlineLevel="0" collapsed="false">
      <c r="A16" s="6" t="s">
        <v>45</v>
      </c>
      <c r="B16" s="7" t="s">
        <v>13</v>
      </c>
      <c r="C16" s="8" t="s">
        <v>14</v>
      </c>
      <c r="D16" s="9" t="n">
        <v>5.84104377104377</v>
      </c>
      <c r="E16" s="9" t="n">
        <v>6.03013422457912</v>
      </c>
      <c r="F16" s="10" t="n">
        <f aca="false">E16-D16</f>
        <v>0.18909045353535</v>
      </c>
      <c r="G16" s="11" t="n">
        <f aca="false">IF(ABS(D16)&lt;0.000000001,"—",E16/D16-1)</f>
        <v>0.0323727164094783</v>
      </c>
      <c r="H16" s="12" t="s">
        <v>46</v>
      </c>
      <c r="I16" s="13" t="s">
        <v>47</v>
      </c>
    </row>
    <row r="17" customFormat="false" ht="29.85" hidden="false" customHeight="false" outlineLevel="0" collapsed="false">
      <c r="A17" s="6" t="s">
        <v>48</v>
      </c>
      <c r="B17" s="7" t="s">
        <v>13</v>
      </c>
      <c r="C17" s="8" t="s">
        <v>14</v>
      </c>
      <c r="D17" s="9" t="n">
        <v>34</v>
      </c>
      <c r="E17" s="9" t="n">
        <v>37.515928</v>
      </c>
      <c r="F17" s="10" t="n">
        <f aca="false">E17-D17</f>
        <v>3.515928</v>
      </c>
      <c r="G17" s="11" t="n">
        <f aca="false">IF(ABS(D17)&lt;0.000000001,"—",E17/D17-1)</f>
        <v>0.103409647058824</v>
      </c>
      <c r="H17" s="16" t="s">
        <v>49</v>
      </c>
      <c r="I17" s="13" t="s">
        <v>50</v>
      </c>
    </row>
    <row r="18" customFormat="false" ht="29.85" hidden="false" customHeight="false" outlineLevel="0" collapsed="false">
      <c r="A18" s="6" t="s">
        <v>12</v>
      </c>
      <c r="B18" s="7" t="s">
        <v>13</v>
      </c>
      <c r="C18" s="8" t="s">
        <v>51</v>
      </c>
      <c r="D18" s="9" t="n">
        <v>8.65267884615385</v>
      </c>
      <c r="E18" s="9" t="n">
        <v>8.65267884615385</v>
      </c>
      <c r="F18" s="10" t="n">
        <f aca="false">E18-D18</f>
        <v>0</v>
      </c>
      <c r="G18" s="11" t="n">
        <f aca="false">IF(ABS(D18)&lt;0.000000001,"—",E18/D18-1)</f>
        <v>0</v>
      </c>
      <c r="H18" s="12" t="s">
        <v>15</v>
      </c>
      <c r="I18" s="13" t="s">
        <v>16</v>
      </c>
    </row>
    <row r="19" customFormat="false" ht="29.85" hidden="false" customHeight="false" outlineLevel="0" collapsed="false">
      <c r="A19" s="6" t="s">
        <v>17</v>
      </c>
      <c r="B19" s="7" t="s">
        <v>13</v>
      </c>
      <c r="C19" s="8" t="s">
        <v>51</v>
      </c>
      <c r="D19" s="9" t="n">
        <v>3.02843759615385</v>
      </c>
      <c r="E19" s="9" t="n">
        <v>3.72838235307554</v>
      </c>
      <c r="F19" s="10" t="n">
        <f aca="false">E19-D19</f>
        <v>0.69994475692169</v>
      </c>
      <c r="G19" s="11" t="n">
        <f aca="false">IF(ABS(D19)&lt;0.000000001,"—",E19/D19-1)</f>
        <v>0.231124048192582</v>
      </c>
      <c r="H19" s="16" t="s">
        <v>52</v>
      </c>
      <c r="I19" s="14" t="s">
        <v>19</v>
      </c>
    </row>
    <row r="20" customFormat="false" ht="15" hidden="false" customHeight="false" outlineLevel="0" collapsed="false">
      <c r="A20" s="15" t="s">
        <v>20</v>
      </c>
      <c r="B20" s="7" t="s">
        <v>13</v>
      </c>
      <c r="C20" s="8" t="s">
        <v>51</v>
      </c>
      <c r="D20" s="9" t="n">
        <v>2.03025712278107</v>
      </c>
      <c r="E20" s="9" t="n">
        <v>2.73020187970276</v>
      </c>
      <c r="F20" s="10" t="n">
        <f aca="false">E20-D20</f>
        <v>0.69994475692169</v>
      </c>
      <c r="G20" s="11" t="n">
        <f aca="false">IF(ABS(D20)&lt;0.000000001,"—",E20/D20-1)</f>
        <v>0.344756705477234</v>
      </c>
      <c r="H20" s="16" t="s">
        <v>21</v>
      </c>
      <c r="I20" s="13" t="s">
        <v>22</v>
      </c>
    </row>
    <row r="21" customFormat="false" ht="15" hidden="false" customHeight="false" outlineLevel="0" collapsed="false">
      <c r="A21" s="15" t="s">
        <v>23</v>
      </c>
      <c r="B21" s="7" t="s">
        <v>13</v>
      </c>
      <c r="C21" s="8" t="s">
        <v>51</v>
      </c>
      <c r="D21" s="17"/>
      <c r="E21" s="9" t="n">
        <v>0.672768</v>
      </c>
      <c r="F21" s="18" t="s">
        <v>24</v>
      </c>
      <c r="G21" s="8"/>
      <c r="H21" s="16" t="s">
        <v>25</v>
      </c>
      <c r="I21" s="13" t="s">
        <v>26</v>
      </c>
    </row>
    <row r="22" customFormat="false" ht="15" hidden="false" customHeight="false" outlineLevel="0" collapsed="false">
      <c r="A22" s="15" t="s">
        <v>27</v>
      </c>
      <c r="B22" s="7" t="s">
        <v>13</v>
      </c>
      <c r="C22" s="8" t="s">
        <v>51</v>
      </c>
      <c r="D22" s="17"/>
      <c r="E22" s="9" t="n">
        <v>1.07595123797417</v>
      </c>
      <c r="F22" s="18" t="s">
        <v>24</v>
      </c>
      <c r="G22" s="8"/>
      <c r="H22" s="16" t="s">
        <v>28</v>
      </c>
      <c r="I22" s="13" t="s">
        <v>29</v>
      </c>
    </row>
    <row r="23" customFormat="false" ht="15" hidden="false" customHeight="false" outlineLevel="0" collapsed="false">
      <c r="A23" s="15" t="s">
        <v>30</v>
      </c>
      <c r="B23" s="7" t="s">
        <v>13</v>
      </c>
      <c r="C23" s="8" t="s">
        <v>51</v>
      </c>
      <c r="D23" s="17"/>
      <c r="E23" s="9" t="n">
        <v>0.325</v>
      </c>
      <c r="F23" s="18" t="s">
        <v>24</v>
      </c>
      <c r="G23" s="8"/>
      <c r="H23" s="16" t="s">
        <v>31</v>
      </c>
      <c r="I23" s="13" t="s">
        <v>32</v>
      </c>
    </row>
    <row r="24" customFormat="false" ht="15" hidden="false" customHeight="false" outlineLevel="0" collapsed="false">
      <c r="A24" s="15" t="s">
        <v>33</v>
      </c>
      <c r="B24" s="7" t="s">
        <v>13</v>
      </c>
      <c r="C24" s="8" t="s">
        <v>51</v>
      </c>
      <c r="D24" s="17"/>
      <c r="E24" s="9" t="n">
        <v>0.179325206329029</v>
      </c>
      <c r="F24" s="18" t="s">
        <v>24</v>
      </c>
      <c r="G24" s="8"/>
      <c r="H24" s="16" t="s">
        <v>34</v>
      </c>
      <c r="I24" s="13" t="s">
        <v>35</v>
      </c>
    </row>
    <row r="25" customFormat="false" ht="15" hidden="false" customHeight="false" outlineLevel="0" collapsed="false">
      <c r="A25" s="15" t="s">
        <v>36</v>
      </c>
      <c r="B25" s="7" t="s">
        <v>13</v>
      </c>
      <c r="C25" s="8" t="s">
        <v>51</v>
      </c>
      <c r="D25" s="17"/>
      <c r="E25" s="9" t="n">
        <v>0.477157435399552</v>
      </c>
      <c r="F25" s="18" t="s">
        <v>24</v>
      </c>
      <c r="G25" s="8"/>
      <c r="H25" s="12" t="s">
        <v>37</v>
      </c>
      <c r="I25" s="13" t="s">
        <v>38</v>
      </c>
    </row>
    <row r="26" customFormat="false" ht="15" hidden="false" customHeight="false" outlineLevel="0" collapsed="false">
      <c r="A26" s="15" t="s">
        <v>39</v>
      </c>
      <c r="B26" s="7" t="s">
        <v>13</v>
      </c>
      <c r="C26" s="8" t="s">
        <v>51</v>
      </c>
      <c r="D26" s="9" t="n">
        <v>0.998180473372781</v>
      </c>
      <c r="E26" s="9" t="n">
        <v>0.998180473372781</v>
      </c>
      <c r="F26" s="10" t="n">
        <f aca="false">E26-D26</f>
        <v>0</v>
      </c>
      <c r="G26" s="11" t="n">
        <f aca="false">IF(ABS(D26)&lt;0.000000001,"—",E26/D26-1)</f>
        <v>0</v>
      </c>
      <c r="H26" s="12" t="s">
        <v>40</v>
      </c>
      <c r="I26" s="13" t="s">
        <v>41</v>
      </c>
    </row>
    <row r="27" customFormat="false" ht="15" hidden="false" customHeight="false" outlineLevel="0" collapsed="false">
      <c r="A27" s="6" t="s">
        <v>42</v>
      </c>
      <c r="B27" s="7" t="s">
        <v>13</v>
      </c>
      <c r="C27" s="8" t="s">
        <v>51</v>
      </c>
      <c r="D27" s="9" t="n">
        <v>5.62424125</v>
      </c>
      <c r="E27" s="9" t="n">
        <v>4.92429649307831</v>
      </c>
      <c r="F27" s="10" t="n">
        <f aca="false">E27-D27</f>
        <v>-0.69994475692169</v>
      </c>
      <c r="G27" s="11" t="n">
        <f aca="false">IF(ABS(D27)&lt;0.000000001,"—",E27/D27-1)</f>
        <v>-0.124451410565237</v>
      </c>
      <c r="H27" s="12" t="s">
        <v>53</v>
      </c>
      <c r="I27" s="13" t="s">
        <v>44</v>
      </c>
    </row>
    <row r="28" customFormat="false" ht="29.85" hidden="false" customHeight="false" outlineLevel="0" collapsed="false">
      <c r="A28" s="6" t="s">
        <v>45</v>
      </c>
      <c r="B28" s="7" t="s">
        <v>13</v>
      </c>
      <c r="C28" s="8" t="s">
        <v>51</v>
      </c>
      <c r="D28" s="9" t="n">
        <v>5.5875641025641</v>
      </c>
      <c r="E28" s="9" t="n">
        <v>5.97242407195513</v>
      </c>
      <c r="F28" s="10" t="n">
        <f aca="false">E28-D28</f>
        <v>0.38485996939103</v>
      </c>
      <c r="G28" s="11" t="n">
        <f aca="false">IF(ABS(D28)&lt;0.000000001,"—",E28/D28-1)</f>
        <v>0.0688779515235307</v>
      </c>
      <c r="H28" s="12" t="s">
        <v>46</v>
      </c>
      <c r="I28" s="13" t="s">
        <v>47</v>
      </c>
    </row>
    <row r="29" customFormat="false" ht="29.85" hidden="false" customHeight="false" outlineLevel="0" collapsed="false">
      <c r="A29" s="6" t="s">
        <v>48</v>
      </c>
      <c r="B29" s="7" t="s">
        <v>13</v>
      </c>
      <c r="C29" s="8" t="s">
        <v>51</v>
      </c>
      <c r="D29" s="9" t="n">
        <v>34</v>
      </c>
      <c r="E29" s="9" t="n">
        <v>37.586352</v>
      </c>
      <c r="F29" s="10" t="n">
        <f aca="false">E29-D29</f>
        <v>3.586352</v>
      </c>
      <c r="G29" s="11" t="n">
        <f aca="false">IF(ABS(D29)&lt;0.000000001,"—",E29/D29-1)</f>
        <v>0.105480941176471</v>
      </c>
      <c r="H29" s="16" t="s">
        <v>49</v>
      </c>
      <c r="I29" s="13" t="s">
        <v>50</v>
      </c>
    </row>
    <row r="30" customFormat="false" ht="29.85" hidden="false" customHeight="false" outlineLevel="0" collapsed="false">
      <c r="A30" s="6" t="s">
        <v>54</v>
      </c>
      <c r="B30" s="7" t="s">
        <v>55</v>
      </c>
      <c r="C30" s="8" t="s">
        <v>56</v>
      </c>
      <c r="D30" s="19" t="n">
        <v>69.741656925025</v>
      </c>
      <c r="E30" s="19" t="n">
        <v>43.9927732107067</v>
      </c>
      <c r="F30" s="20" t="n">
        <f aca="false">E30-D30</f>
        <v>-25.7488837143183</v>
      </c>
      <c r="G30" s="11" t="n">
        <f aca="false">IF(ABS(D30)&lt;0.000000001,"—",E30/D30-1)</f>
        <v>-0.369203785077825</v>
      </c>
      <c r="H30" s="16" t="s">
        <v>57</v>
      </c>
      <c r="I30" s="13" t="s">
        <v>58</v>
      </c>
    </row>
    <row r="31" customFormat="false" ht="29.85" hidden="false" customHeight="false" outlineLevel="0" collapsed="false">
      <c r="A31" s="6" t="s">
        <v>59</v>
      </c>
      <c r="B31" s="7" t="s">
        <v>55</v>
      </c>
      <c r="C31" s="8" t="s">
        <v>56</v>
      </c>
      <c r="D31" s="19" t="n">
        <v>45.501149936383</v>
      </c>
      <c r="E31" s="19" t="n">
        <v>29.6784724968844</v>
      </c>
      <c r="F31" s="20" t="n">
        <f aca="false">E31-D31</f>
        <v>-15.8226774394986</v>
      </c>
      <c r="G31" s="11" t="n">
        <f aca="false">IF(ABS(D31)&lt;0.000000001,"—",E31/D31-1)</f>
        <v>-0.347742363909944</v>
      </c>
      <c r="H31" s="16" t="s">
        <v>60</v>
      </c>
      <c r="I31" s="13" t="s">
        <v>58</v>
      </c>
    </row>
    <row r="32" customFormat="false" ht="29.85" hidden="false" customHeight="false" outlineLevel="0" collapsed="false">
      <c r="A32" s="6" t="s">
        <v>61</v>
      </c>
      <c r="B32" s="7" t="s">
        <v>55</v>
      </c>
      <c r="C32" s="8" t="s">
        <v>56</v>
      </c>
      <c r="D32" s="19" t="n">
        <v>30.953265648845</v>
      </c>
      <c r="E32" s="19" t="n">
        <v>19.9489203041466</v>
      </c>
      <c r="F32" s="20" t="n">
        <f aca="false">E32-D32</f>
        <v>-11.0043453446984</v>
      </c>
      <c r="G32" s="11" t="n">
        <f aca="false">IF(ABS(D32)&lt;0.000000001,"—",E32/D32-1)</f>
        <v>-0.355514841940725</v>
      </c>
      <c r="H32" s="16" t="s">
        <v>62</v>
      </c>
      <c r="I32" s="13" t="s">
        <v>58</v>
      </c>
    </row>
    <row r="33" customFormat="false" ht="15" hidden="false" customHeight="false" outlineLevel="0" collapsed="false">
      <c r="A33" s="6" t="s">
        <v>63</v>
      </c>
      <c r="B33" s="7" t="s">
        <v>64</v>
      </c>
      <c r="C33" s="8" t="s">
        <v>51</v>
      </c>
      <c r="D33" s="9" t="n">
        <v>19.6600691185388</v>
      </c>
      <c r="E33" s="9" t="n">
        <v>32.6541307880956</v>
      </c>
      <c r="F33" s="10" t="n">
        <f aca="false">E33-D33</f>
        <v>12.9940616695568</v>
      </c>
      <c r="G33" s="11" t="n">
        <f aca="false">IF(ABS(D33)&lt;0.000000001,"—",E33/D33-1)</f>
        <v>0.66093672363053</v>
      </c>
      <c r="H33" s="12" t="s">
        <v>65</v>
      </c>
      <c r="I33" s="13" t="s">
        <v>66</v>
      </c>
    </row>
    <row r="34" customFormat="false" ht="15" hidden="false" customHeight="false" outlineLevel="0" collapsed="false">
      <c r="A34" s="6" t="s">
        <v>67</v>
      </c>
      <c r="B34" s="7" t="s">
        <v>64</v>
      </c>
      <c r="C34" s="8" t="s">
        <v>51</v>
      </c>
      <c r="D34" s="9" t="n">
        <v>61.6897640019954</v>
      </c>
      <c r="E34" s="9" t="n">
        <v>81.5717800280631</v>
      </c>
      <c r="F34" s="10" t="n">
        <f aca="false">E34-D34</f>
        <v>19.8820160260677</v>
      </c>
      <c r="G34" s="11" t="n">
        <f aca="false">IF(ABS(D34)&lt;0.000000001,"—",E34/D34-1)</f>
        <v>0.322290356394046</v>
      </c>
      <c r="H34" s="12" t="s">
        <v>65</v>
      </c>
      <c r="I34" s="13" t="s">
        <v>66</v>
      </c>
    </row>
    <row r="35" customFormat="false" ht="15" hidden="false" customHeight="false" outlineLevel="0" collapsed="false">
      <c r="A35" s="6" t="s">
        <v>68</v>
      </c>
      <c r="B35" s="7" t="s">
        <v>64</v>
      </c>
      <c r="C35" s="8" t="s">
        <v>51</v>
      </c>
      <c r="D35" s="9" t="n">
        <v>126.155669823409</v>
      </c>
      <c r="E35" s="9" t="n">
        <v>157.94628018574</v>
      </c>
      <c r="F35" s="10" t="n">
        <f aca="false">E35-D35</f>
        <v>31.790610362331</v>
      </c>
      <c r="G35" s="11" t="n">
        <f aca="false">IF(ABS(D35)&lt;0.000000001,"—",E35/D35-1)</f>
        <v>0.251995097856728</v>
      </c>
      <c r="H35" s="12" t="s">
        <v>65</v>
      </c>
      <c r="I35" s="13" t="s">
        <v>66</v>
      </c>
    </row>
    <row r="36" customFormat="false" ht="15" hidden="false" customHeight="false" outlineLevel="0" collapsed="false">
      <c r="A36" s="6" t="s">
        <v>69</v>
      </c>
      <c r="B36" s="7" t="s">
        <v>70</v>
      </c>
      <c r="C36" s="8" t="s">
        <v>14</v>
      </c>
      <c r="D36" s="21" t="n">
        <v>0</v>
      </c>
      <c r="E36" s="21" t="n">
        <v>0</v>
      </c>
      <c r="F36" s="22" t="n">
        <f aca="false">E36-D36</f>
        <v>0</v>
      </c>
      <c r="G36" s="11" t="str">
        <f aca="false">IF(ABS(D36)&lt;0.000000001,"—",E36/D36-1)</f>
        <v>—</v>
      </c>
      <c r="H36" s="12" t="s">
        <v>71</v>
      </c>
      <c r="I36" s="13" t="s">
        <v>72</v>
      </c>
    </row>
    <row r="37" customFormat="false" ht="15" hidden="false" customHeight="false" outlineLevel="0" collapsed="false">
      <c r="A37" s="6" t="s">
        <v>69</v>
      </c>
      <c r="B37" s="7" t="s">
        <v>70</v>
      </c>
      <c r="C37" s="8" t="s">
        <v>51</v>
      </c>
      <c r="D37" s="21" t="n">
        <v>0.17143335111184</v>
      </c>
      <c r="E37" s="21" t="n">
        <v>0.260666666666667</v>
      </c>
      <c r="F37" s="22" t="n">
        <f aca="false">E37-D37</f>
        <v>0.089233315554827</v>
      </c>
      <c r="G37" s="11" t="n">
        <f aca="false">IF(ABS(D37)&lt;0.000000001,"—",E37/D37-1)</f>
        <v>0.520513161389541</v>
      </c>
      <c r="H37" s="12" t="s">
        <v>71</v>
      </c>
      <c r="I37" s="13" t="s">
        <v>72</v>
      </c>
    </row>
    <row r="39" customFormat="false" ht="15" hidden="false" customHeight="false" outlineLevel="0" collapsed="false">
      <c r="A39" s="23" t="s">
        <v>73</v>
      </c>
      <c r="B39" s="24"/>
      <c r="C39" s="24"/>
      <c r="D39" s="24"/>
      <c r="E39" s="24"/>
      <c r="F39" s="24"/>
      <c r="G39" s="24"/>
      <c r="H39" s="24"/>
      <c r="I39" s="24"/>
    </row>
    <row r="40" customFormat="false" ht="15" hidden="false" customHeight="false" outlineLevel="0" collapsed="false">
      <c r="A40" s="25" t="s">
        <v>74</v>
      </c>
    </row>
    <row r="41" customFormat="false" ht="15" hidden="false" customHeight="false" outlineLevel="0" collapsed="false">
      <c r="A41" s="15" t="s">
        <v>75</v>
      </c>
      <c r="D41" s="21" t="n">
        <v>2.575</v>
      </c>
    </row>
    <row r="42" customFormat="false" ht="15" hidden="false" customHeight="false" outlineLevel="0" collapsed="false">
      <c r="A42" s="15" t="s">
        <v>76</v>
      </c>
      <c r="D42" s="21" t="n">
        <v>0.879</v>
      </c>
    </row>
    <row r="43" customFormat="false" ht="15" hidden="false" customHeight="false" outlineLevel="0" collapsed="false">
      <c r="A43" s="15" t="s">
        <v>77</v>
      </c>
      <c r="D43" s="21" t="n">
        <v>1.507</v>
      </c>
    </row>
    <row r="44" customFormat="false" ht="15" hidden="false" customHeight="false" outlineLevel="0" collapsed="false">
      <c r="A44" s="15" t="s">
        <v>78</v>
      </c>
      <c r="D44" s="21" t="n">
        <v>0.06</v>
      </c>
    </row>
    <row r="45" customFormat="false" ht="15" hidden="false" customHeight="false" outlineLevel="0" collapsed="false">
      <c r="A45" s="15" t="s">
        <v>79</v>
      </c>
      <c r="D45" s="21" t="n">
        <v>0.012</v>
      </c>
    </row>
    <row r="46" customFormat="false" ht="15" hidden="false" customHeight="false" outlineLevel="0" collapsed="false">
      <c r="A46" s="15" t="s">
        <v>80</v>
      </c>
      <c r="D46" s="21" t="n">
        <v>0.178</v>
      </c>
    </row>
    <row r="47" customFormat="false" ht="15" hidden="false" customHeight="false" outlineLevel="0" collapsed="false">
      <c r="A47" s="15" t="s">
        <v>79</v>
      </c>
      <c r="D47" s="21" t="n">
        <v>0.084</v>
      </c>
    </row>
    <row r="48" customFormat="false" ht="15" hidden="false" customHeight="false" outlineLevel="0" collapsed="false">
      <c r="A48" s="8" t="s">
        <v>81</v>
      </c>
      <c r="D48" s="21" t="n">
        <v>1.393</v>
      </c>
    </row>
    <row r="49" customFormat="false" ht="15" hidden="false" customHeight="false" outlineLevel="0" collapsed="false">
      <c r="A49" s="8" t="s">
        <v>82</v>
      </c>
      <c r="D49" s="21" t="n">
        <v>0.069</v>
      </c>
    </row>
    <row r="50" customFormat="false" ht="15" hidden="false" customHeight="false" outlineLevel="0" collapsed="false">
      <c r="A50" s="15" t="s">
        <v>83</v>
      </c>
      <c r="D50" s="21" t="n">
        <v>0.5</v>
      </c>
    </row>
    <row r="51" customFormat="false" ht="15" hidden="false" customHeight="false" outlineLevel="0" collapsed="false">
      <c r="A51" s="15" t="s">
        <v>84</v>
      </c>
      <c r="D51" s="21" t="n">
        <v>0.15</v>
      </c>
    </row>
    <row r="52" customFormat="false" ht="15" hidden="false" customHeight="false" outlineLevel="0" collapsed="false">
      <c r="A52" s="8" t="s">
        <v>85</v>
      </c>
      <c r="D52" s="21" t="n">
        <v>1.51</v>
      </c>
    </row>
    <row r="53" customFormat="false" ht="15" hidden="false" customHeight="false" outlineLevel="0" collapsed="false">
      <c r="A53" s="15" t="s">
        <v>86</v>
      </c>
      <c r="D53" s="26" t="n">
        <v>1250</v>
      </c>
    </row>
    <row r="54" customFormat="false" ht="29.85" hidden="false" customHeight="false" outlineLevel="0" collapsed="false">
      <c r="A54" s="4" t="s">
        <v>3</v>
      </c>
      <c r="B54" s="4" t="s">
        <v>4</v>
      </c>
      <c r="C54" s="4"/>
      <c r="D54" s="5" t="s">
        <v>87</v>
      </c>
      <c r="E54" s="4" t="s">
        <v>88</v>
      </c>
      <c r="F54" s="4" t="s">
        <v>89</v>
      </c>
      <c r="G54" s="4" t="s">
        <v>90</v>
      </c>
      <c r="H54" s="4" t="s">
        <v>91</v>
      </c>
      <c r="I54" s="5" t="s">
        <v>92</v>
      </c>
    </row>
    <row r="55" customFormat="false" ht="29.85" hidden="false" customHeight="false" outlineLevel="0" collapsed="false">
      <c r="A55" s="6" t="s">
        <v>93</v>
      </c>
      <c r="B55" s="7" t="s">
        <v>13</v>
      </c>
      <c r="D55" s="10" t="n">
        <f aca="false">$D$41*4/$D$53*1000</f>
        <v>8.24</v>
      </c>
      <c r="E55" s="9" t="n">
        <v>10.0453731343284</v>
      </c>
      <c r="F55" s="10" t="n">
        <f aca="false">E55-D55</f>
        <v>1.8053731343284</v>
      </c>
      <c r="G55" s="11" t="n">
        <f aca="false">E55/D55-1</f>
        <v>0.219098681350534</v>
      </c>
      <c r="H55" s="12" t="s">
        <v>94</v>
      </c>
      <c r="I55" s="13" t="s">
        <v>95</v>
      </c>
    </row>
    <row r="56" customFormat="false" ht="15" hidden="false" customHeight="false" outlineLevel="0" collapsed="false">
      <c r="A56" s="6" t="s">
        <v>96</v>
      </c>
      <c r="B56" s="7" t="s">
        <v>13</v>
      </c>
      <c r="D56" s="10" t="n">
        <f aca="false">($D$41-$D$52)*4/$D$53*1000</f>
        <v>3.408</v>
      </c>
      <c r="E56" s="9" t="n">
        <v>4.24396782571711</v>
      </c>
      <c r="F56" s="10" t="n">
        <f aca="false">E56-D56</f>
        <v>0.83596782571711</v>
      </c>
      <c r="G56" s="11" t="n">
        <f aca="false">E56/D56-1</f>
        <v>0.245295723508542</v>
      </c>
      <c r="H56" s="12" t="s">
        <v>97</v>
      </c>
      <c r="I56" s="13" t="s">
        <v>98</v>
      </c>
    </row>
    <row r="57" customFormat="false" ht="44" hidden="false" customHeight="false" outlineLevel="0" collapsed="false">
      <c r="A57" s="15" t="s">
        <v>99</v>
      </c>
      <c r="B57" s="7" t="s">
        <v>13</v>
      </c>
      <c r="D57" s="10" t="n">
        <f aca="false">($D$42+$D$43-$D$48-$D$49-$D$50-$D$51)*4/$D$53*1000</f>
        <v>0.8768</v>
      </c>
      <c r="E57" s="9" t="n">
        <v>2.09000938491143</v>
      </c>
      <c r="F57" s="10" t="n">
        <f aca="false">E57-D57</f>
        <v>1.21320938491143</v>
      </c>
      <c r="G57" s="11" t="n">
        <f aca="false">E57/D57-1</f>
        <v>1.38367858680592</v>
      </c>
      <c r="H57" s="16" t="s">
        <v>100</v>
      </c>
      <c r="I57" s="13" t="s">
        <v>101</v>
      </c>
    </row>
    <row r="58" customFormat="false" ht="29.85" hidden="false" customHeight="false" outlineLevel="0" collapsed="false">
      <c r="A58" s="15" t="s">
        <v>102</v>
      </c>
      <c r="B58" s="7" t="s">
        <v>13</v>
      </c>
      <c r="D58" s="10" t="n">
        <f aca="false">($D$50+$D$51)*4/$D$53*1000</f>
        <v>2.08</v>
      </c>
      <c r="E58" s="9" t="n">
        <v>1.6</v>
      </c>
      <c r="F58" s="10" t="n">
        <f aca="false">E58-D58</f>
        <v>-0.48</v>
      </c>
      <c r="G58" s="11" t="n">
        <f aca="false">E58/D58-1</f>
        <v>-0.230769230769231</v>
      </c>
      <c r="H58" s="12" t="s">
        <v>103</v>
      </c>
      <c r="I58" s="13" t="s">
        <v>104</v>
      </c>
    </row>
    <row r="59" customFormat="false" ht="15" hidden="false" customHeight="false" outlineLevel="0" collapsed="false">
      <c r="A59" s="15" t="s">
        <v>105</v>
      </c>
      <c r="B59" s="7" t="s">
        <v>13</v>
      </c>
      <c r="D59" s="10" t="n">
        <f aca="false">($D$44-$D$45+$D$46-$D$47)*4/$D$53*1000</f>
        <v>0.4544</v>
      </c>
      <c r="E59" s="9" t="n">
        <v>0.55395844080568</v>
      </c>
      <c r="F59" s="10" t="n">
        <f aca="false">E59-D59</f>
        <v>0.0995584408056802</v>
      </c>
      <c r="G59" s="11" t="n">
        <f aca="false">E59/D59-1</f>
        <v>0.219098681350529</v>
      </c>
      <c r="H59" s="12" t="s">
        <v>106</v>
      </c>
      <c r="I59" s="13" t="s">
        <v>107</v>
      </c>
    </row>
    <row r="60" customFormat="false" ht="15" hidden="false" customHeight="false" outlineLevel="0" collapsed="false">
      <c r="A60" s="6" t="s">
        <v>42</v>
      </c>
      <c r="B60" s="7" t="s">
        <v>13</v>
      </c>
      <c r="D60" s="10" t="n">
        <f aca="false">$D$52*4/$D$53*1000</f>
        <v>4.832</v>
      </c>
      <c r="E60" s="9" t="n">
        <v>5.80140530861125</v>
      </c>
      <c r="F60" s="10" t="n">
        <f aca="false">E60-D60</f>
        <v>0.96940530861125</v>
      </c>
      <c r="G60" s="11" t="n">
        <f aca="false">E60/D60-1</f>
        <v>0.200621959563586</v>
      </c>
      <c r="H60" s="12" t="s">
        <v>108</v>
      </c>
      <c r="I60" s="14" t="s">
        <v>109</v>
      </c>
    </row>
    <row r="61" customFormat="false" ht="29.85" hidden="false" customHeight="false" outlineLevel="0" collapsed="false">
      <c r="A61" s="27" t="s">
        <v>110</v>
      </c>
      <c r="B61" s="7" t="s">
        <v>111</v>
      </c>
      <c r="D61" s="11" t="n">
        <f aca="false">$D$52/$D$41</f>
        <v>0.586407766990291</v>
      </c>
      <c r="E61" s="28" t="n">
        <v>0.577520140967776</v>
      </c>
      <c r="F61" s="11" t="n">
        <f aca="false">E61-D61</f>
        <v>-0.00888762602251492</v>
      </c>
      <c r="G61" s="8"/>
      <c r="H61" s="12" t="s">
        <v>112</v>
      </c>
      <c r="I61" s="14" t="s">
        <v>113</v>
      </c>
    </row>
    <row r="62" customFormat="false" ht="15" hidden="false" customHeight="false" outlineLevel="0" collapsed="false">
      <c r="A62" s="3" t="s">
        <v>114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17" min="3" style="0" width="9"/>
    <col collapsed="false" customWidth="true" hidden="false" outlineLevel="0" max="18" min="18" style="0" width="50"/>
  </cols>
  <sheetData>
    <row r="1" customFormat="false" ht="20.1" hidden="false" customHeight="false" outlineLevel="0" collapsed="false">
      <c r="A1" s="29" t="s">
        <v>115</v>
      </c>
    </row>
    <row r="2" customFormat="false" ht="15" hidden="false" customHeight="false" outlineLevel="0" collapsed="false">
      <c r="A2" s="30" t="s">
        <v>116</v>
      </c>
    </row>
    <row r="4" customFormat="false" ht="15" hidden="false" customHeight="false" outlineLevel="0" collapsed="false">
      <c r="A4" s="31" t="s">
        <v>117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customFormat="false" ht="15" hidden="false" customHeight="false" outlineLevel="0" collapsed="false">
      <c r="A5" s="4" t="s">
        <v>118</v>
      </c>
      <c r="B5" s="4" t="s">
        <v>4</v>
      </c>
      <c r="C5" s="5" t="s">
        <v>119</v>
      </c>
      <c r="D5" s="5" t="s">
        <v>120</v>
      </c>
      <c r="E5" s="5" t="s">
        <v>121</v>
      </c>
      <c r="F5" s="5" t="s">
        <v>122</v>
      </c>
      <c r="G5" s="5" t="s">
        <v>123</v>
      </c>
      <c r="H5" s="5" t="s">
        <v>124</v>
      </c>
      <c r="I5" s="5" t="s">
        <v>125</v>
      </c>
      <c r="J5" s="5" t="s">
        <v>126</v>
      </c>
      <c r="K5" s="5" t="s">
        <v>127</v>
      </c>
      <c r="L5" s="5" t="s">
        <v>128</v>
      </c>
      <c r="M5" s="4" t="s">
        <v>129</v>
      </c>
      <c r="N5" s="4" t="s">
        <v>130</v>
      </c>
      <c r="O5" s="4" t="s">
        <v>131</v>
      </c>
      <c r="P5" s="4" t="s">
        <v>132</v>
      </c>
      <c r="Q5" s="4" t="s">
        <v>133</v>
      </c>
      <c r="R5" s="4" t="s">
        <v>134</v>
      </c>
    </row>
    <row r="6" customFormat="false" ht="15" hidden="false" customHeight="false" outlineLevel="0" collapsed="false">
      <c r="A6" s="15" t="s">
        <v>135</v>
      </c>
      <c r="B6" s="7" t="s">
        <v>136</v>
      </c>
      <c r="C6" s="26" t="n">
        <v>1675</v>
      </c>
      <c r="D6" s="26" t="n">
        <v>2475</v>
      </c>
      <c r="E6" s="26" t="n">
        <v>3450</v>
      </c>
      <c r="F6" s="26" t="n">
        <v>4000</v>
      </c>
      <c r="G6" s="26" t="n">
        <v>4200</v>
      </c>
      <c r="H6" s="26" t="n">
        <v>1675</v>
      </c>
      <c r="I6" s="26" t="n">
        <v>2475</v>
      </c>
      <c r="J6" s="26" t="n">
        <v>3450</v>
      </c>
      <c r="K6" s="26" t="n">
        <v>4000</v>
      </c>
      <c r="L6" s="26" t="n">
        <v>4200</v>
      </c>
      <c r="M6" s="32" t="n">
        <f aca="false">H6-C6</f>
        <v>0</v>
      </c>
      <c r="N6" s="32" t="n">
        <f aca="false">I6-D6</f>
        <v>0</v>
      </c>
      <c r="O6" s="32" t="n">
        <f aca="false">J6-E6</f>
        <v>0</v>
      </c>
      <c r="P6" s="32" t="n">
        <f aca="false">K6-F6</f>
        <v>0</v>
      </c>
      <c r="Q6" s="32" t="n">
        <f aca="false">L6-G6</f>
        <v>0</v>
      </c>
    </row>
    <row r="7" customFormat="false" ht="15" hidden="false" customHeight="false" outlineLevel="0" collapsed="false">
      <c r="A7" s="15" t="s">
        <v>137</v>
      </c>
      <c r="B7" s="7" t="s">
        <v>136</v>
      </c>
      <c r="C7" s="26" t="n">
        <v>2010</v>
      </c>
      <c r="D7" s="26" t="n">
        <v>2970</v>
      </c>
      <c r="E7" s="26" t="n">
        <v>4140</v>
      </c>
      <c r="F7" s="26" t="n">
        <v>4800</v>
      </c>
      <c r="G7" s="26" t="n">
        <v>5040</v>
      </c>
      <c r="H7" s="26" t="n">
        <v>2010</v>
      </c>
      <c r="I7" s="26" t="n">
        <v>2970</v>
      </c>
      <c r="J7" s="26" t="n">
        <v>4140</v>
      </c>
      <c r="K7" s="26" t="n">
        <v>4800</v>
      </c>
      <c r="L7" s="26" t="n">
        <v>5040</v>
      </c>
      <c r="M7" s="32" t="n">
        <f aca="false">H7-C7</f>
        <v>0</v>
      </c>
      <c r="N7" s="32" t="n">
        <f aca="false">I7-D7</f>
        <v>0</v>
      </c>
      <c r="O7" s="32" t="n">
        <f aca="false">J7-E7</f>
        <v>0</v>
      </c>
      <c r="P7" s="32" t="n">
        <f aca="false">K7-F7</f>
        <v>0</v>
      </c>
      <c r="Q7" s="32" t="n">
        <f aca="false">L7-G7</f>
        <v>0</v>
      </c>
    </row>
    <row r="8" customFormat="false" ht="15" hidden="false" customHeight="false" outlineLevel="0" collapsed="false">
      <c r="A8" s="6" t="s">
        <v>12</v>
      </c>
      <c r="B8" s="7" t="s">
        <v>13</v>
      </c>
      <c r="C8" s="9" t="n">
        <v>10.0453731343284</v>
      </c>
      <c r="D8" s="9" t="n">
        <v>10.5565656565657</v>
      </c>
      <c r="E8" s="9" t="n">
        <v>10.3651460869565</v>
      </c>
      <c r="F8" s="9" t="n">
        <v>9.7768459375</v>
      </c>
      <c r="G8" s="9" t="n">
        <v>8.98876047619048</v>
      </c>
      <c r="H8" s="9" t="n">
        <v>10.0453731343284</v>
      </c>
      <c r="I8" s="9" t="n">
        <v>10.5565656565657</v>
      </c>
      <c r="J8" s="9" t="n">
        <v>10.3651460869565</v>
      </c>
      <c r="K8" s="9" t="n">
        <v>9.7768459375</v>
      </c>
      <c r="L8" s="9" t="n">
        <v>8.98876047619048</v>
      </c>
      <c r="M8" s="10" t="n">
        <f aca="false">H8-C8</f>
        <v>0</v>
      </c>
      <c r="N8" s="10" t="n">
        <f aca="false">I8-D8</f>
        <v>0</v>
      </c>
      <c r="O8" s="10" t="n">
        <f aca="false">J8-E8</f>
        <v>0</v>
      </c>
      <c r="P8" s="10" t="n">
        <f aca="false">K8-F8</f>
        <v>0</v>
      </c>
      <c r="Q8" s="10" t="n">
        <f aca="false">L8-G8</f>
        <v>0</v>
      </c>
    </row>
    <row r="9" customFormat="false" ht="15" hidden="false" customHeight="false" outlineLevel="0" collapsed="false">
      <c r="A9" s="15" t="s">
        <v>138</v>
      </c>
      <c r="B9" s="7" t="s">
        <v>13</v>
      </c>
      <c r="C9" s="9" t="n">
        <v>9.68716417910448</v>
      </c>
      <c r="D9" s="9" t="n">
        <v>10.1525252525253</v>
      </c>
      <c r="E9" s="9" t="n">
        <v>9.84340695652174</v>
      </c>
      <c r="F9" s="9" t="n">
        <v>9.0768459375</v>
      </c>
      <c r="G9" s="9" t="n">
        <v>8.08399857142857</v>
      </c>
      <c r="H9" s="9" t="n">
        <v>9.68716417910448</v>
      </c>
      <c r="I9" s="9" t="n">
        <v>10.1525252525253</v>
      </c>
      <c r="J9" s="9" t="n">
        <v>9.84340695652174</v>
      </c>
      <c r="K9" s="9" t="n">
        <v>9.0768459375</v>
      </c>
      <c r="L9" s="9" t="n">
        <v>8.08399857142857</v>
      </c>
      <c r="M9" s="10" t="n">
        <f aca="false">H9-C9</f>
        <v>0</v>
      </c>
      <c r="N9" s="10" t="n">
        <f aca="false">I9-D9</f>
        <v>0</v>
      </c>
      <c r="O9" s="10" t="n">
        <f aca="false">J9-E9</f>
        <v>0</v>
      </c>
      <c r="P9" s="10" t="n">
        <f aca="false">K9-F9</f>
        <v>0</v>
      </c>
      <c r="Q9" s="10" t="n">
        <f aca="false">L9-G9</f>
        <v>0</v>
      </c>
    </row>
    <row r="10" customFormat="false" ht="15" hidden="false" customHeight="false" outlineLevel="0" collapsed="false">
      <c r="A10" s="15" t="s">
        <v>139</v>
      </c>
      <c r="B10" s="7" t="s">
        <v>13</v>
      </c>
      <c r="C10" s="7" t="s">
        <v>56</v>
      </c>
      <c r="D10" s="7" t="s">
        <v>56</v>
      </c>
      <c r="E10" s="7" t="s">
        <v>56</v>
      </c>
      <c r="F10" s="7" t="s">
        <v>56</v>
      </c>
      <c r="G10" s="7" t="s">
        <v>56</v>
      </c>
      <c r="H10" s="9" t="n">
        <v>0.672768</v>
      </c>
      <c r="I10" s="9" t="n">
        <v>0.672768</v>
      </c>
      <c r="J10" s="9" t="n">
        <v>0.672768</v>
      </c>
      <c r="K10" s="9" t="n">
        <v>0.672768</v>
      </c>
      <c r="L10" s="9" t="n">
        <v>0.672768</v>
      </c>
      <c r="M10" s="17" t="s">
        <v>56</v>
      </c>
      <c r="N10" s="17" t="s">
        <v>56</v>
      </c>
      <c r="O10" s="17" t="s">
        <v>56</v>
      </c>
      <c r="P10" s="17" t="s">
        <v>56</v>
      </c>
      <c r="Q10" s="17" t="s">
        <v>56</v>
      </c>
      <c r="R10" s="7" t="s">
        <v>140</v>
      </c>
    </row>
    <row r="11" customFormat="false" ht="15" hidden="false" customHeight="false" outlineLevel="0" collapsed="false">
      <c r="A11" s="8" t="s">
        <v>141</v>
      </c>
      <c r="B11" s="7" t="s">
        <v>13</v>
      </c>
      <c r="C11" s="7" t="s">
        <v>56</v>
      </c>
      <c r="D11" s="7" t="s">
        <v>56</v>
      </c>
      <c r="E11" s="7" t="s">
        <v>56</v>
      </c>
      <c r="F11" s="7" t="s">
        <v>56</v>
      </c>
      <c r="G11" s="7" t="s">
        <v>56</v>
      </c>
      <c r="H11" s="9" t="n">
        <v>0.936206901352657</v>
      </c>
      <c r="I11" s="9" t="n">
        <v>0.991538286572</v>
      </c>
      <c r="J11" s="9" t="n">
        <v>1.02960510297557</v>
      </c>
      <c r="K11" s="9" t="n">
        <v>1.04685665506643</v>
      </c>
      <c r="L11" s="9" t="n">
        <v>1.06365616130136</v>
      </c>
      <c r="M11" s="17" t="s">
        <v>56</v>
      </c>
      <c r="N11" s="17" t="s">
        <v>56</v>
      </c>
      <c r="O11" s="17" t="s">
        <v>56</v>
      </c>
      <c r="P11" s="17" t="s">
        <v>56</v>
      </c>
      <c r="Q11" s="17" t="s">
        <v>56</v>
      </c>
      <c r="R11" s="7" t="s">
        <v>140</v>
      </c>
    </row>
    <row r="12" customFormat="false" ht="15" hidden="false" customHeight="false" outlineLevel="0" collapsed="false">
      <c r="A12" s="15" t="s">
        <v>142</v>
      </c>
      <c r="B12" s="7" t="s">
        <v>13</v>
      </c>
      <c r="C12" s="7" t="s">
        <v>56</v>
      </c>
      <c r="D12" s="7" t="s">
        <v>56</v>
      </c>
      <c r="E12" s="7" t="s">
        <v>56</v>
      </c>
      <c r="F12" s="7" t="s">
        <v>56</v>
      </c>
      <c r="G12" s="7" t="s">
        <v>56</v>
      </c>
      <c r="H12" s="9" t="n">
        <v>0.325</v>
      </c>
      <c r="I12" s="9" t="n">
        <v>0.325</v>
      </c>
      <c r="J12" s="9" t="n">
        <v>0.325</v>
      </c>
      <c r="K12" s="9" t="n">
        <v>0.325</v>
      </c>
      <c r="L12" s="9" t="n">
        <v>0.325</v>
      </c>
      <c r="M12" s="17" t="s">
        <v>56</v>
      </c>
      <c r="N12" s="17" t="s">
        <v>56</v>
      </c>
      <c r="O12" s="17" t="s">
        <v>56</v>
      </c>
      <c r="P12" s="17" t="s">
        <v>56</v>
      </c>
      <c r="Q12" s="17" t="s">
        <v>56</v>
      </c>
      <c r="R12" s="7" t="s">
        <v>140</v>
      </c>
    </row>
    <row r="13" customFormat="false" ht="15" hidden="false" customHeight="false" outlineLevel="0" collapsed="false">
      <c r="A13" s="15" t="s">
        <v>143</v>
      </c>
      <c r="B13" s="7" t="s">
        <v>13</v>
      </c>
      <c r="C13" s="7" t="s">
        <v>56</v>
      </c>
      <c r="D13" s="7" t="s">
        <v>56</v>
      </c>
      <c r="E13" s="7" t="s">
        <v>56</v>
      </c>
      <c r="F13" s="7" t="s">
        <v>56</v>
      </c>
      <c r="G13" s="7" t="s">
        <v>56</v>
      </c>
      <c r="H13" s="9" t="n">
        <v>0.156034483558776</v>
      </c>
      <c r="I13" s="9" t="n">
        <v>0.165256381095333</v>
      </c>
      <c r="J13" s="9" t="n">
        <v>0.171600850495928</v>
      </c>
      <c r="K13" s="9" t="n">
        <v>0.174476109177738</v>
      </c>
      <c r="L13" s="9" t="n">
        <v>0.17727602688356</v>
      </c>
      <c r="M13" s="17" t="s">
        <v>56</v>
      </c>
      <c r="N13" s="17" t="s">
        <v>56</v>
      </c>
      <c r="O13" s="17" t="s">
        <v>56</v>
      </c>
      <c r="P13" s="17" t="s">
        <v>56</v>
      </c>
      <c r="Q13" s="17" t="s">
        <v>56</v>
      </c>
      <c r="R13" s="7" t="s">
        <v>140</v>
      </c>
    </row>
    <row r="14" customFormat="false" ht="15" hidden="false" customHeight="false" outlineLevel="0" collapsed="false">
      <c r="A14" s="15" t="s">
        <v>144</v>
      </c>
      <c r="B14" s="7" t="s">
        <v>13</v>
      </c>
      <c r="C14" s="7" t="s">
        <v>56</v>
      </c>
      <c r="D14" s="7" t="s">
        <v>56</v>
      </c>
      <c r="E14" s="7" t="s">
        <v>56</v>
      </c>
      <c r="F14" s="7" t="s">
        <v>56</v>
      </c>
      <c r="G14" s="7" t="s">
        <v>56</v>
      </c>
      <c r="H14" s="9" t="n">
        <v>0.55395844080568</v>
      </c>
      <c r="I14" s="9" t="n">
        <v>0.582148475041679</v>
      </c>
      <c r="J14" s="9" t="n">
        <v>0.571592522076825</v>
      </c>
      <c r="K14" s="9" t="n">
        <v>0.53915033907767</v>
      </c>
      <c r="L14" s="9" t="n">
        <v>0.495690868978271</v>
      </c>
      <c r="M14" s="17" t="s">
        <v>56</v>
      </c>
      <c r="N14" s="17" t="s">
        <v>56</v>
      </c>
      <c r="O14" s="17" t="s">
        <v>56</v>
      </c>
      <c r="P14" s="17" t="s">
        <v>56</v>
      </c>
      <c r="Q14" s="17" t="s">
        <v>56</v>
      </c>
      <c r="R14" s="7" t="s">
        <v>140</v>
      </c>
    </row>
    <row r="15" customFormat="false" ht="15" hidden="false" customHeight="false" outlineLevel="0" collapsed="false">
      <c r="A15" s="15" t="s">
        <v>145</v>
      </c>
      <c r="B15" s="7" t="s">
        <v>13</v>
      </c>
      <c r="C15" s="9" t="n">
        <v>1.6</v>
      </c>
      <c r="D15" s="9" t="n">
        <v>1.59151515151515</v>
      </c>
      <c r="E15" s="9" t="n">
        <v>1.31356708742403</v>
      </c>
      <c r="F15" s="9" t="n">
        <v>1.15575</v>
      </c>
      <c r="G15" s="9" t="n">
        <v>0.999945054945055</v>
      </c>
      <c r="H15" s="9" t="n">
        <v>1.6</v>
      </c>
      <c r="I15" s="9" t="n">
        <v>1.59151515151515</v>
      </c>
      <c r="J15" s="9" t="n">
        <v>1.31356708742403</v>
      </c>
      <c r="K15" s="9" t="n">
        <v>1.15575</v>
      </c>
      <c r="L15" s="9" t="n">
        <v>0.999945054945055</v>
      </c>
      <c r="M15" s="10" t="n">
        <f aca="false">H15-C15</f>
        <v>0</v>
      </c>
      <c r="N15" s="10" t="n">
        <f aca="false">I15-D15</f>
        <v>0</v>
      </c>
      <c r="O15" s="10" t="n">
        <f aca="false">J15-E15</f>
        <v>0</v>
      </c>
      <c r="P15" s="10" t="n">
        <f aca="false">K15-F15</f>
        <v>0</v>
      </c>
      <c r="Q15" s="10" t="n">
        <f aca="false">L15-G15</f>
        <v>0</v>
      </c>
    </row>
    <row r="16" customFormat="false" ht="15" hidden="false" customHeight="false" outlineLevel="0" collapsed="false">
      <c r="A16" s="6" t="s">
        <v>146</v>
      </c>
      <c r="B16" s="7" t="s">
        <v>13</v>
      </c>
      <c r="C16" s="9" t="n">
        <v>4.11860298507463</v>
      </c>
      <c r="D16" s="9" t="n">
        <v>4.16984343434343</v>
      </c>
      <c r="E16" s="9" t="n">
        <v>3.93875551304348</v>
      </c>
      <c r="F16" s="9" t="n">
        <v>3.5685487671875</v>
      </c>
      <c r="G16" s="9" t="n">
        <v>3.14606616666667</v>
      </c>
      <c r="H16" s="9" t="n">
        <v>4.24396782571711</v>
      </c>
      <c r="I16" s="9" t="n">
        <v>4.32822629422416</v>
      </c>
      <c r="J16" s="9" t="n">
        <v>4.08413356297235</v>
      </c>
      <c r="K16" s="9" t="n">
        <v>3.91400110332183</v>
      </c>
      <c r="L16" s="9" t="n">
        <v>3.73433611210824</v>
      </c>
      <c r="M16" s="10" t="n">
        <f aca="false">H16-C16</f>
        <v>0.12536484064248</v>
      </c>
      <c r="N16" s="10" t="n">
        <f aca="false">I16-D16</f>
        <v>0.15838285988073</v>
      </c>
      <c r="O16" s="10" t="n">
        <f aca="false">J16-E16</f>
        <v>0.14537804992887</v>
      </c>
      <c r="P16" s="10" t="n">
        <f aca="false">K16-F16</f>
        <v>0.34545233613433</v>
      </c>
      <c r="Q16" s="10" t="n">
        <f aca="false">L16-G16</f>
        <v>0.58826994544157</v>
      </c>
      <c r="R16" s="7" t="s">
        <v>147</v>
      </c>
    </row>
    <row r="17" customFormat="false" ht="15" hidden="false" customHeight="false" outlineLevel="0" collapsed="false">
      <c r="A17" s="27" t="s">
        <v>148</v>
      </c>
      <c r="B17" s="7" t="s">
        <v>13</v>
      </c>
      <c r="C17" s="9" t="n">
        <v>5.92677014925373</v>
      </c>
      <c r="D17" s="9" t="n">
        <v>6.38672222222222</v>
      </c>
      <c r="E17" s="9" t="n">
        <v>6.42639057391304</v>
      </c>
      <c r="F17" s="9" t="n">
        <v>6.2082971703125</v>
      </c>
      <c r="G17" s="9" t="n">
        <v>5.84269430952381</v>
      </c>
      <c r="H17" s="9" t="n">
        <v>5.80140530861125</v>
      </c>
      <c r="I17" s="9" t="n">
        <v>6.22833936234149</v>
      </c>
      <c r="J17" s="9" t="n">
        <v>6.28101252398417</v>
      </c>
      <c r="K17" s="9" t="n">
        <v>5.86284483417817</v>
      </c>
      <c r="L17" s="9" t="n">
        <v>5.25442436408224</v>
      </c>
      <c r="M17" s="10" t="n">
        <f aca="false">H17-C17</f>
        <v>-0.125364840642479</v>
      </c>
      <c r="N17" s="10" t="n">
        <f aca="false">I17-D17</f>
        <v>-0.15838285988073</v>
      </c>
      <c r="O17" s="10" t="n">
        <f aca="false">J17-E17</f>
        <v>-0.14537804992887</v>
      </c>
      <c r="P17" s="10" t="n">
        <f aca="false">K17-F17</f>
        <v>-0.34545233613433</v>
      </c>
      <c r="Q17" s="10" t="n">
        <f aca="false">L17-G17</f>
        <v>-0.58826994544157</v>
      </c>
    </row>
    <row r="18" customFormat="false" ht="15" hidden="false" customHeight="false" outlineLevel="0" collapsed="false">
      <c r="A18" s="8" t="s">
        <v>149</v>
      </c>
      <c r="B18" s="7" t="s">
        <v>13</v>
      </c>
      <c r="C18" s="9" t="n">
        <v>5.68696517412935</v>
      </c>
      <c r="D18" s="9" t="n">
        <v>5.76090909090909</v>
      </c>
      <c r="E18" s="9" t="n">
        <v>5.48995169082126</v>
      </c>
      <c r="F18" s="9" t="n">
        <v>5.34070833333333</v>
      </c>
      <c r="G18" s="9" t="n">
        <v>5.26178571428572</v>
      </c>
      <c r="H18" s="9" t="n">
        <v>5.72805417039801</v>
      </c>
      <c r="I18" s="9" t="n">
        <v>5.94171284545455</v>
      </c>
      <c r="J18" s="9" t="n">
        <v>5.7610107442029</v>
      </c>
      <c r="K18" s="9" t="n">
        <v>5.638378661875</v>
      </c>
      <c r="L18" s="9" t="n">
        <v>5.5637822875</v>
      </c>
      <c r="M18" s="10" t="n">
        <f aca="false">H18-C18</f>
        <v>0.0410889962686598</v>
      </c>
      <c r="N18" s="10" t="n">
        <f aca="false">I18-D18</f>
        <v>0.18080375454546</v>
      </c>
      <c r="O18" s="10" t="n">
        <f aca="false">J18-E18</f>
        <v>0.27105905338164</v>
      </c>
      <c r="P18" s="10" t="n">
        <f aca="false">K18-F18</f>
        <v>0.29767032854167</v>
      </c>
      <c r="Q18" s="10" t="n">
        <f aca="false">L18-G18</f>
        <v>0.30199657321428</v>
      </c>
    </row>
    <row r="19" customFormat="false" ht="15" hidden="false" customHeight="false" outlineLevel="0" collapsed="false">
      <c r="A19" s="15" t="s">
        <v>150</v>
      </c>
      <c r="B19" s="7" t="s">
        <v>13</v>
      </c>
      <c r="C19" s="9" t="n">
        <v>2.83086399839935</v>
      </c>
      <c r="D19" s="9" t="n">
        <v>2.55364576741868</v>
      </c>
      <c r="E19" s="9" t="n">
        <v>1.90972070005146</v>
      </c>
      <c r="F19" s="9" t="n">
        <v>1.57523079158094</v>
      </c>
      <c r="G19" s="9" t="n">
        <v>1.44370956831953</v>
      </c>
      <c r="H19" s="9" t="n">
        <v>2.87950676687743</v>
      </c>
      <c r="I19" s="9" t="n">
        <v>2.74209951074307</v>
      </c>
      <c r="J19" s="9" t="n">
        <v>2.12884049903538</v>
      </c>
      <c r="K19" s="9" t="n">
        <v>1.76422161820457</v>
      </c>
      <c r="L19" s="9" t="n">
        <v>1.62370083177061</v>
      </c>
      <c r="M19" s="10" t="n">
        <f aca="false">H19-C19</f>
        <v>0.0486427684780799</v>
      </c>
      <c r="N19" s="10" t="n">
        <f aca="false">I19-D19</f>
        <v>0.18845374332439</v>
      </c>
      <c r="O19" s="10" t="n">
        <f aca="false">J19-E19</f>
        <v>0.21911979898392</v>
      </c>
      <c r="P19" s="10" t="n">
        <f aca="false">K19-F19</f>
        <v>0.18899082662363</v>
      </c>
      <c r="Q19" s="10" t="n">
        <f aca="false">L19-G19</f>
        <v>0.17999126345108</v>
      </c>
    </row>
    <row r="20" customFormat="false" ht="15" hidden="false" customHeight="false" outlineLevel="0" collapsed="false">
      <c r="A20" s="6" t="s">
        <v>151</v>
      </c>
      <c r="B20" s="7" t="s">
        <v>13</v>
      </c>
      <c r="C20" s="9" t="n">
        <v>-2.59105902327497</v>
      </c>
      <c r="D20" s="9" t="n">
        <v>-1.92783263610555</v>
      </c>
      <c r="E20" s="9" t="n">
        <v>-0.973281816959673</v>
      </c>
      <c r="F20" s="9" t="n">
        <v>-0.707641954601778</v>
      </c>
      <c r="G20" s="9" t="n">
        <v>-0.862800973081439</v>
      </c>
      <c r="H20" s="9" t="n">
        <v>-2.80615562866419</v>
      </c>
      <c r="I20" s="9" t="n">
        <v>-2.45547299385612</v>
      </c>
      <c r="J20" s="9" t="n">
        <v>-1.6088387192541</v>
      </c>
      <c r="K20" s="9" t="n">
        <v>-1.53975544590141</v>
      </c>
      <c r="L20" s="9" t="n">
        <v>-1.93305875518838</v>
      </c>
      <c r="M20" s="10" t="n">
        <f aca="false">H20-C20</f>
        <v>-0.21509660538922</v>
      </c>
      <c r="N20" s="10" t="n">
        <f aca="false">I20-D20</f>
        <v>-0.52764035775057</v>
      </c>
      <c r="O20" s="10" t="n">
        <f aca="false">J20-E20</f>
        <v>-0.635556902294427</v>
      </c>
      <c r="P20" s="10" t="n">
        <f aca="false">K20-F20</f>
        <v>-0.832113491299632</v>
      </c>
      <c r="Q20" s="10" t="n">
        <f aca="false">L20-G20</f>
        <v>-1.07025778210694</v>
      </c>
    </row>
    <row r="21" customFormat="false" ht="15" hidden="false" customHeight="false" outlineLevel="0" collapsed="false">
      <c r="A21" s="15" t="s">
        <v>152</v>
      </c>
      <c r="B21" s="7" t="s">
        <v>13</v>
      </c>
      <c r="C21" s="9" t="n">
        <v>34</v>
      </c>
      <c r="D21" s="9" t="n">
        <v>34</v>
      </c>
      <c r="E21" s="9" t="n">
        <v>34</v>
      </c>
      <c r="F21" s="9" t="n">
        <v>34</v>
      </c>
      <c r="G21" s="9" t="n">
        <v>34</v>
      </c>
      <c r="H21" s="9" t="n">
        <v>34.759438</v>
      </c>
      <c r="I21" s="9" t="n">
        <v>37.515928</v>
      </c>
      <c r="J21" s="9" t="n">
        <v>37.586352</v>
      </c>
      <c r="K21" s="9" t="n">
        <v>37.586352</v>
      </c>
      <c r="L21" s="9" t="n">
        <v>37.586352</v>
      </c>
      <c r="M21" s="10" t="n">
        <f aca="false">H21-C21</f>
        <v>0.759438000000003</v>
      </c>
      <c r="N21" s="10" t="n">
        <f aca="false">I21-D21</f>
        <v>3.515928</v>
      </c>
      <c r="O21" s="10" t="n">
        <f aca="false">J21-E21</f>
        <v>3.586352</v>
      </c>
      <c r="P21" s="10" t="n">
        <f aca="false">K21-F21</f>
        <v>3.586352</v>
      </c>
      <c r="Q21" s="10" t="n">
        <f aca="false">L21-G21</f>
        <v>3.586352</v>
      </c>
    </row>
    <row r="22" customFormat="false" ht="15" hidden="false" customHeight="false" outlineLevel="0" collapsed="false">
      <c r="A22" s="15" t="s">
        <v>153</v>
      </c>
      <c r="B22" s="7" t="s">
        <v>13</v>
      </c>
      <c r="C22" s="9" t="n">
        <v>8.37114427860697</v>
      </c>
      <c r="D22" s="9" t="n">
        <v>8.79713804713805</v>
      </c>
      <c r="E22" s="9" t="n">
        <v>8.63762173913043</v>
      </c>
      <c r="F22" s="9" t="n">
        <v>8.14737161458333</v>
      </c>
      <c r="G22" s="9" t="n">
        <v>7.49063373015873</v>
      </c>
      <c r="H22" s="9" t="n">
        <v>8.37114427860697</v>
      </c>
      <c r="I22" s="9" t="n">
        <v>8.79713804713805</v>
      </c>
      <c r="J22" s="9" t="n">
        <v>8.63762173913043</v>
      </c>
      <c r="K22" s="9" t="n">
        <v>8.14737161458333</v>
      </c>
      <c r="L22" s="9" t="n">
        <v>7.49063373015873</v>
      </c>
      <c r="M22" s="10" t="n">
        <f aca="false">H22-C22</f>
        <v>0</v>
      </c>
      <c r="N22" s="10" t="n">
        <f aca="false">I22-D22</f>
        <v>0</v>
      </c>
      <c r="O22" s="10" t="n">
        <f aca="false">J22-E22</f>
        <v>0</v>
      </c>
      <c r="P22" s="10" t="n">
        <f aca="false">K22-F22</f>
        <v>0</v>
      </c>
      <c r="Q22" s="10" t="n">
        <f aca="false">L22-G22</f>
        <v>0</v>
      </c>
    </row>
    <row r="23" customFormat="false" ht="15" hidden="false" customHeight="false" outlineLevel="0" collapsed="false">
      <c r="A23" s="15" t="s">
        <v>154</v>
      </c>
      <c r="B23" s="7" t="s">
        <v>13</v>
      </c>
      <c r="C23" s="9" t="n">
        <v>4.93897512437811</v>
      </c>
      <c r="D23" s="9" t="n">
        <v>5.32226851851852</v>
      </c>
      <c r="E23" s="9" t="n">
        <v>5.35532547826087</v>
      </c>
      <c r="F23" s="9" t="n">
        <v>5.17358097526042</v>
      </c>
      <c r="G23" s="9" t="n">
        <v>4.86891192460318</v>
      </c>
      <c r="H23" s="9" t="n">
        <v>4.8345044238427</v>
      </c>
      <c r="I23" s="9" t="n">
        <v>5.19028280195124</v>
      </c>
      <c r="J23" s="9" t="n">
        <v>5.23417710332014</v>
      </c>
      <c r="K23" s="9" t="n">
        <v>4.88570402848181</v>
      </c>
      <c r="L23" s="9" t="n">
        <v>4.37868697006853</v>
      </c>
      <c r="M23" s="10" t="n">
        <f aca="false">H23-C23</f>
        <v>-0.104470700535409</v>
      </c>
      <c r="N23" s="10" t="n">
        <f aca="false">I23-D23</f>
        <v>-0.13198571656728</v>
      </c>
      <c r="O23" s="10" t="n">
        <f aca="false">J23-E23</f>
        <v>-0.12114837494073</v>
      </c>
      <c r="P23" s="10" t="n">
        <f aca="false">K23-F23</f>
        <v>-0.28787694677861</v>
      </c>
      <c r="Q23" s="10" t="n">
        <f aca="false">L23-G23</f>
        <v>-0.49022495453465</v>
      </c>
    </row>
    <row r="24" customFormat="false" ht="29.85" hidden="false" customHeight="false" outlineLevel="0" collapsed="false">
      <c r="A24" s="4" t="s">
        <v>155</v>
      </c>
      <c r="B24" s="4" t="s">
        <v>4</v>
      </c>
      <c r="C24" s="5" t="s">
        <v>119</v>
      </c>
      <c r="D24" s="5" t="s">
        <v>120</v>
      </c>
      <c r="E24" s="5" t="s">
        <v>121</v>
      </c>
      <c r="F24" s="5" t="s">
        <v>122</v>
      </c>
      <c r="G24" s="5" t="s">
        <v>123</v>
      </c>
      <c r="H24" s="5" t="s">
        <v>124</v>
      </c>
      <c r="I24" s="5" t="s">
        <v>125</v>
      </c>
      <c r="J24" s="5" t="s">
        <v>126</v>
      </c>
      <c r="K24" s="5" t="s">
        <v>127</v>
      </c>
      <c r="L24" s="5" t="s">
        <v>128</v>
      </c>
      <c r="M24" s="4" t="s">
        <v>129</v>
      </c>
      <c r="N24" s="4" t="s">
        <v>130</v>
      </c>
      <c r="O24" s="4" t="s">
        <v>131</v>
      </c>
      <c r="P24" s="4" t="s">
        <v>132</v>
      </c>
      <c r="Q24" s="4" t="s">
        <v>133</v>
      </c>
      <c r="R24" s="4" t="s">
        <v>134</v>
      </c>
    </row>
    <row r="25" customFormat="false" ht="15" hidden="false" customHeight="false" outlineLevel="0" collapsed="false">
      <c r="A25" s="15" t="s">
        <v>156</v>
      </c>
      <c r="B25" s="7" t="s">
        <v>13</v>
      </c>
      <c r="C25" s="10" t="n">
        <f aca="false">C8*C6/C7</f>
        <v>8.371144278607</v>
      </c>
      <c r="D25" s="10" t="n">
        <f aca="false">D8*D6/D7</f>
        <v>8.79713804713808</v>
      </c>
      <c r="E25" s="10" t="n">
        <f aca="false">E8*E6/E7</f>
        <v>8.63762173913042</v>
      </c>
      <c r="F25" s="10" t="n">
        <f aca="false">F8*F6/F7</f>
        <v>8.14737161458333</v>
      </c>
      <c r="G25" s="10" t="n">
        <f aca="false">G8*G6/G7</f>
        <v>7.49063373015873</v>
      </c>
      <c r="H25" s="10" t="n">
        <f aca="false">H8*H6/H7</f>
        <v>8.371144278607</v>
      </c>
      <c r="I25" s="10" t="n">
        <f aca="false">I8*I6/I7</f>
        <v>8.79713804713808</v>
      </c>
      <c r="J25" s="10" t="n">
        <f aca="false">J8*J6/J7</f>
        <v>8.63762173913042</v>
      </c>
      <c r="K25" s="10" t="n">
        <f aca="false">K8*K6/K7</f>
        <v>8.14737161458333</v>
      </c>
      <c r="L25" s="10" t="n">
        <f aca="false">L8*L6/L7</f>
        <v>7.49063373015873</v>
      </c>
      <c r="M25" s="10" t="n">
        <f aca="false">H25-C25</f>
        <v>0</v>
      </c>
      <c r="N25" s="10" t="n">
        <f aca="false">I25-D25</f>
        <v>0</v>
      </c>
      <c r="O25" s="10" t="n">
        <f aca="false">J25-E25</f>
        <v>0</v>
      </c>
      <c r="P25" s="10" t="n">
        <f aca="false">K25-F25</f>
        <v>0</v>
      </c>
      <c r="Q25" s="10" t="n">
        <f aca="false">L25-G25</f>
        <v>0</v>
      </c>
    </row>
    <row r="26" customFormat="false" ht="15" hidden="false" customHeight="false" outlineLevel="0" collapsed="false">
      <c r="A26" s="15" t="s">
        <v>157</v>
      </c>
      <c r="B26" s="7" t="s">
        <v>13</v>
      </c>
      <c r="C26" s="10" t="n">
        <f aca="false">C16*C6/C7</f>
        <v>3.43216915422886</v>
      </c>
      <c r="D26" s="10" t="n">
        <f aca="false">D16*D6/D7</f>
        <v>3.47486952861952</v>
      </c>
      <c r="E26" s="10" t="n">
        <f aca="false">E16*E6/E7</f>
        <v>3.28229626086957</v>
      </c>
      <c r="F26" s="10" t="n">
        <f aca="false">F16*F6/F7</f>
        <v>2.97379063932292</v>
      </c>
      <c r="G26" s="10" t="n">
        <f aca="false">G16*G6/G7</f>
        <v>2.62172180555556</v>
      </c>
      <c r="H26" s="10" t="n">
        <f aca="false">H16*H6/H7</f>
        <v>3.53663985476426</v>
      </c>
      <c r="I26" s="10" t="n">
        <f aca="false">I16*I6/I7</f>
        <v>3.6068552451868</v>
      </c>
      <c r="J26" s="10" t="n">
        <f aca="false">J16*J6/J7</f>
        <v>3.40344463581029</v>
      </c>
      <c r="K26" s="10" t="n">
        <f aca="false">K16*K6/K7</f>
        <v>3.26166758610153</v>
      </c>
      <c r="L26" s="10" t="n">
        <f aca="false">L16*L6/L7</f>
        <v>3.1119467600902</v>
      </c>
      <c r="M26" s="10" t="n">
        <f aca="false">H26-C26</f>
        <v>0.1044707005354</v>
      </c>
      <c r="N26" s="10" t="n">
        <f aca="false">I26-D26</f>
        <v>0.131985716567275</v>
      </c>
      <c r="O26" s="10" t="n">
        <f aca="false">J26-E26</f>
        <v>0.121148374940725</v>
      </c>
      <c r="P26" s="10" t="n">
        <f aca="false">K26-F26</f>
        <v>0.287876946778609</v>
      </c>
      <c r="Q26" s="10" t="n">
        <f aca="false">L26-G26</f>
        <v>0.490224954534642</v>
      </c>
    </row>
    <row r="27" customFormat="false" ht="15" hidden="false" customHeight="false" outlineLevel="0" collapsed="false">
      <c r="A27" s="15" t="s">
        <v>158</v>
      </c>
      <c r="B27" s="7" t="s">
        <v>13</v>
      </c>
      <c r="C27" s="10" t="n">
        <f aca="false">C17*C6/C7</f>
        <v>4.93897512437811</v>
      </c>
      <c r="D27" s="10" t="n">
        <f aca="false">D17*D6/D7</f>
        <v>5.32226851851852</v>
      </c>
      <c r="E27" s="10" t="n">
        <f aca="false">E17*E6/E7</f>
        <v>5.35532547826087</v>
      </c>
      <c r="F27" s="10" t="n">
        <f aca="false">F17*F6/F7</f>
        <v>5.17358097526042</v>
      </c>
      <c r="G27" s="10" t="n">
        <f aca="false">G17*G6/G7</f>
        <v>4.86891192460318</v>
      </c>
      <c r="H27" s="10" t="n">
        <f aca="false">H17*H6/H7</f>
        <v>4.83450442384271</v>
      </c>
      <c r="I27" s="10" t="n">
        <f aca="false">I17*I6/I7</f>
        <v>5.19028280195124</v>
      </c>
      <c r="J27" s="10" t="n">
        <f aca="false">J17*J6/J7</f>
        <v>5.23417710332014</v>
      </c>
      <c r="K27" s="10" t="n">
        <f aca="false">K17*K6/K7</f>
        <v>4.88570402848181</v>
      </c>
      <c r="L27" s="10" t="n">
        <f aca="false">L17*L6/L7</f>
        <v>4.37868697006853</v>
      </c>
      <c r="M27" s="10" t="n">
        <f aca="false">H27-C27</f>
        <v>-0.1044707005354</v>
      </c>
      <c r="N27" s="10" t="n">
        <f aca="false">I27-D27</f>
        <v>-0.131985716567276</v>
      </c>
      <c r="O27" s="10" t="n">
        <f aca="false">J27-E27</f>
        <v>-0.121148374940725</v>
      </c>
      <c r="P27" s="10" t="n">
        <f aca="false">K27-F27</f>
        <v>-0.287876946778608</v>
      </c>
      <c r="Q27" s="10" t="n">
        <f aca="false">L27-G27</f>
        <v>-0.490224954534642</v>
      </c>
    </row>
    <row r="28" customFormat="false" ht="15" hidden="false" customHeight="false" outlineLevel="0" collapsed="false">
      <c r="A28" s="15" t="s">
        <v>159</v>
      </c>
      <c r="B28" s="7" t="s">
        <v>13</v>
      </c>
      <c r="C28" s="10" t="n">
        <f aca="false">C18*C6/C7</f>
        <v>4.73913764510779</v>
      </c>
      <c r="D28" s="10" t="n">
        <f aca="false">D18*D6/D7</f>
        <v>4.80075757575758</v>
      </c>
      <c r="E28" s="10" t="n">
        <f aca="false">E18*E6/E7</f>
        <v>4.57495974235105</v>
      </c>
      <c r="F28" s="10" t="n">
        <f aca="false">F18*F6/F7</f>
        <v>4.45059027777778</v>
      </c>
      <c r="G28" s="10" t="n">
        <f aca="false">G18*G6/G7</f>
        <v>4.38482142857143</v>
      </c>
      <c r="H28" s="10" t="n">
        <f aca="false">H18*H6/H7</f>
        <v>4.77337847533168</v>
      </c>
      <c r="I28" s="10" t="n">
        <f aca="false">I18*I6/I7</f>
        <v>4.95142737121213</v>
      </c>
      <c r="J28" s="10" t="n">
        <f aca="false">J18*J6/J7</f>
        <v>4.80084228683575</v>
      </c>
      <c r="K28" s="10" t="n">
        <f aca="false">K18*K6/K7</f>
        <v>4.69864888489583</v>
      </c>
      <c r="L28" s="10" t="n">
        <f aca="false">L18*L6/L7</f>
        <v>4.63648523958333</v>
      </c>
      <c r="M28" s="10" t="n">
        <f aca="false">H28-C28</f>
        <v>0.034240830223883</v>
      </c>
      <c r="N28" s="10" t="n">
        <f aca="false">I28-D28</f>
        <v>0.15066979545455</v>
      </c>
      <c r="O28" s="10" t="n">
        <f aca="false">J28-E28</f>
        <v>0.2258825444847</v>
      </c>
      <c r="P28" s="10" t="n">
        <f aca="false">K28-F28</f>
        <v>0.248058607118058</v>
      </c>
      <c r="Q28" s="10" t="n">
        <f aca="false">L28-G28</f>
        <v>0.251663811011898</v>
      </c>
    </row>
    <row r="29" customFormat="false" ht="15" hidden="false" customHeight="false" outlineLevel="0" collapsed="false">
      <c r="A29" s="15" t="s">
        <v>160</v>
      </c>
      <c r="B29" s="7" t="s">
        <v>13</v>
      </c>
      <c r="C29" s="10" t="n">
        <f aca="false">C19*C6/C7</f>
        <v>2.35905333199946</v>
      </c>
      <c r="D29" s="10" t="n">
        <f aca="false">D19*D6/D7</f>
        <v>2.12803813951557</v>
      </c>
      <c r="E29" s="10" t="n">
        <f aca="false">E19*E6/E7</f>
        <v>1.59143391670955</v>
      </c>
      <c r="F29" s="10" t="n">
        <f aca="false">F19*F6/F7</f>
        <v>1.31269232631745</v>
      </c>
      <c r="G29" s="10" t="n">
        <f aca="false">G19*G6/G7</f>
        <v>1.20309130693294</v>
      </c>
      <c r="H29" s="10" t="n">
        <f aca="false">H19*H6/H7</f>
        <v>2.39958897239786</v>
      </c>
      <c r="I29" s="10" t="n">
        <f aca="false">I19*I6/I7</f>
        <v>2.28508292561923</v>
      </c>
      <c r="J29" s="10" t="n">
        <f aca="false">J19*J6/J7</f>
        <v>1.77403374919615</v>
      </c>
      <c r="K29" s="10" t="n">
        <f aca="false">K19*K6/K7</f>
        <v>1.47018468183714</v>
      </c>
      <c r="L29" s="10" t="n">
        <f aca="false">L19*L6/L7</f>
        <v>1.35308402647551</v>
      </c>
      <c r="M29" s="10" t="n">
        <f aca="false">H29-C29</f>
        <v>0.0405356403983994</v>
      </c>
      <c r="N29" s="10" t="n">
        <f aca="false">I29-D29</f>
        <v>0.157044786103658</v>
      </c>
      <c r="O29" s="10" t="n">
        <f aca="false">J29-E29</f>
        <v>0.1825998324866</v>
      </c>
      <c r="P29" s="10" t="n">
        <f aca="false">K29-F29</f>
        <v>0.157492355519691</v>
      </c>
      <c r="Q29" s="10" t="n">
        <f aca="false">L29-G29</f>
        <v>0.149992719542567</v>
      </c>
    </row>
    <row r="30" customFormat="false" ht="15" hidden="false" customHeight="false" outlineLevel="0" collapsed="false">
      <c r="A30" s="15" t="s">
        <v>161</v>
      </c>
      <c r="B30" s="7" t="s">
        <v>13</v>
      </c>
      <c r="C30" s="10" t="n">
        <f aca="false">C20*C6/C7</f>
        <v>-2.15921585272914</v>
      </c>
      <c r="D30" s="10" t="n">
        <f aca="false">D20*D6/D7</f>
        <v>-1.60652719675463</v>
      </c>
      <c r="E30" s="10" t="n">
        <f aca="false">E20*E6/E7</f>
        <v>-0.811068180799727</v>
      </c>
      <c r="F30" s="10" t="n">
        <f aca="false">F20*F6/F7</f>
        <v>-0.589701628834815</v>
      </c>
      <c r="G30" s="10" t="n">
        <f aca="false">G20*G6/G7</f>
        <v>-0.719000810901199</v>
      </c>
      <c r="H30" s="10" t="n">
        <f aca="false">H20*H6/H7</f>
        <v>-2.33846302388683</v>
      </c>
      <c r="I30" s="10" t="n">
        <f aca="false">I20*I6/I7</f>
        <v>-2.0462274948801</v>
      </c>
      <c r="J30" s="10" t="n">
        <f aca="false">J20*J6/J7</f>
        <v>-1.34069893271175</v>
      </c>
      <c r="K30" s="10" t="n">
        <f aca="false">K20*K6/K7</f>
        <v>-1.28312953825118</v>
      </c>
      <c r="L30" s="10" t="n">
        <f aca="false">L20*L6/L7</f>
        <v>-1.61088229599032</v>
      </c>
      <c r="M30" s="10" t="n">
        <f aca="false">H30-C30</f>
        <v>-0.179247171157683</v>
      </c>
      <c r="N30" s="10" t="n">
        <f aca="false">I30-D30</f>
        <v>-0.439700298125475</v>
      </c>
      <c r="O30" s="10" t="n">
        <f aca="false">J30-E30</f>
        <v>-0.529630751912023</v>
      </c>
      <c r="P30" s="10" t="n">
        <f aca="false">K30-F30</f>
        <v>-0.69342790941636</v>
      </c>
      <c r="Q30" s="10" t="n">
        <f aca="false">L30-G30</f>
        <v>-0.891881485089118</v>
      </c>
    </row>
    <row r="31" customFormat="false" ht="15" hidden="false" customHeight="false" outlineLevel="0" collapsed="false">
      <c r="A31" s="15" t="s">
        <v>162</v>
      </c>
      <c r="B31" s="7" t="s">
        <v>13</v>
      </c>
      <c r="C31" s="10" t="n">
        <f aca="false">C21*C6/C7</f>
        <v>28.3333333333333</v>
      </c>
      <c r="D31" s="10" t="n">
        <f aca="false">D21*D6/D7</f>
        <v>28.3333333333333</v>
      </c>
      <c r="E31" s="10" t="n">
        <f aca="false">E21*E6/E7</f>
        <v>28.3333333333333</v>
      </c>
      <c r="F31" s="10" t="n">
        <f aca="false">F21*F6/F7</f>
        <v>28.3333333333333</v>
      </c>
      <c r="G31" s="10" t="n">
        <f aca="false">G21*G6/G7</f>
        <v>28.3333333333333</v>
      </c>
      <c r="H31" s="10" t="n">
        <f aca="false">H21*H6/H7</f>
        <v>28.9661983333333</v>
      </c>
      <c r="I31" s="10" t="n">
        <f aca="false">I21*I6/I7</f>
        <v>31.2632733333333</v>
      </c>
      <c r="J31" s="10" t="n">
        <f aca="false">J21*J6/J7</f>
        <v>31.32196</v>
      </c>
      <c r="K31" s="10" t="n">
        <f aca="false">K21*K6/K7</f>
        <v>31.32196</v>
      </c>
      <c r="L31" s="10" t="n">
        <f aca="false">L21*L6/L7</f>
        <v>31.32196</v>
      </c>
      <c r="M31" s="10" t="n">
        <f aca="false">H31-C31</f>
        <v>0.632865000000006</v>
      </c>
      <c r="N31" s="10" t="n">
        <f aca="false">I31-D31</f>
        <v>2.92994000000001</v>
      </c>
      <c r="O31" s="10" t="n">
        <f aca="false">J31-E31</f>
        <v>2.98862666666667</v>
      </c>
      <c r="P31" s="10" t="n">
        <f aca="false">K31-F31</f>
        <v>2.98862666666667</v>
      </c>
      <c r="Q31" s="10" t="n">
        <f aca="false">L31-G31</f>
        <v>2.98862666666667</v>
      </c>
    </row>
    <row r="33" customFormat="false" ht="15" hidden="false" customHeight="false" outlineLevel="0" collapsed="false">
      <c r="A33" s="31" t="s">
        <v>163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</row>
    <row r="34" customFormat="false" ht="15" hidden="false" customHeight="false" outlineLevel="0" collapsed="false">
      <c r="A34" s="4" t="s">
        <v>118</v>
      </c>
      <c r="B34" s="4" t="s">
        <v>4</v>
      </c>
      <c r="C34" s="5" t="s">
        <v>119</v>
      </c>
      <c r="D34" s="5" t="s">
        <v>120</v>
      </c>
      <c r="E34" s="5" t="s">
        <v>121</v>
      </c>
      <c r="F34" s="5" t="s">
        <v>122</v>
      </c>
      <c r="G34" s="5" t="s">
        <v>123</v>
      </c>
      <c r="H34" s="5" t="s">
        <v>124</v>
      </c>
      <c r="I34" s="5" t="s">
        <v>125</v>
      </c>
      <c r="J34" s="5" t="s">
        <v>126</v>
      </c>
      <c r="K34" s="5" t="s">
        <v>127</v>
      </c>
      <c r="L34" s="5" t="s">
        <v>128</v>
      </c>
      <c r="M34" s="4" t="s">
        <v>129</v>
      </c>
      <c r="N34" s="4" t="s">
        <v>130</v>
      </c>
      <c r="O34" s="4" t="s">
        <v>131</v>
      </c>
      <c r="P34" s="4" t="s">
        <v>132</v>
      </c>
      <c r="Q34" s="4" t="s">
        <v>133</v>
      </c>
      <c r="R34" s="4" t="s">
        <v>134</v>
      </c>
    </row>
    <row r="35" customFormat="false" ht="15" hidden="false" customHeight="false" outlineLevel="0" collapsed="false">
      <c r="A35" s="15" t="s">
        <v>135</v>
      </c>
      <c r="B35" s="7" t="s">
        <v>136</v>
      </c>
      <c r="C35" s="26" t="n">
        <v>1675</v>
      </c>
      <c r="D35" s="26" t="n">
        <v>2475</v>
      </c>
      <c r="E35" s="26" t="n">
        <v>3550</v>
      </c>
      <c r="F35" s="26" t="n">
        <v>4400</v>
      </c>
      <c r="G35" s="26" t="n">
        <v>5200</v>
      </c>
      <c r="H35" s="26" t="n">
        <v>1675</v>
      </c>
      <c r="I35" s="26" t="n">
        <v>2475</v>
      </c>
      <c r="J35" s="26" t="n">
        <v>3550</v>
      </c>
      <c r="K35" s="26" t="n">
        <v>4400</v>
      </c>
      <c r="L35" s="26" t="n">
        <v>5200</v>
      </c>
      <c r="M35" s="32" t="n">
        <f aca="false">H35-C35</f>
        <v>0</v>
      </c>
      <c r="N35" s="32" t="n">
        <f aca="false">I35-D35</f>
        <v>0</v>
      </c>
      <c r="O35" s="32" t="n">
        <f aca="false">J35-E35</f>
        <v>0</v>
      </c>
      <c r="P35" s="32" t="n">
        <f aca="false">K35-F35</f>
        <v>0</v>
      </c>
      <c r="Q35" s="32" t="n">
        <f aca="false">L35-G35</f>
        <v>0</v>
      </c>
    </row>
    <row r="36" customFormat="false" ht="15" hidden="false" customHeight="false" outlineLevel="0" collapsed="false">
      <c r="A36" s="15" t="s">
        <v>137</v>
      </c>
      <c r="B36" s="7" t="s">
        <v>136</v>
      </c>
      <c r="C36" s="26" t="n">
        <v>2010</v>
      </c>
      <c r="D36" s="26" t="n">
        <v>2970</v>
      </c>
      <c r="E36" s="26" t="n">
        <v>4260</v>
      </c>
      <c r="F36" s="26" t="n">
        <v>5280</v>
      </c>
      <c r="G36" s="26" t="n">
        <v>6240</v>
      </c>
      <c r="H36" s="26" t="n">
        <v>2010</v>
      </c>
      <c r="I36" s="26" t="n">
        <v>2970</v>
      </c>
      <c r="J36" s="26" t="n">
        <v>4260</v>
      </c>
      <c r="K36" s="26" t="n">
        <v>5280</v>
      </c>
      <c r="L36" s="26" t="n">
        <v>6240</v>
      </c>
      <c r="M36" s="32" t="n">
        <f aca="false">H36-C36</f>
        <v>0</v>
      </c>
      <c r="N36" s="32" t="n">
        <f aca="false">I36-D36</f>
        <v>0</v>
      </c>
      <c r="O36" s="32" t="n">
        <f aca="false">J36-E36</f>
        <v>0</v>
      </c>
      <c r="P36" s="32" t="n">
        <f aca="false">K36-F36</f>
        <v>0</v>
      </c>
      <c r="Q36" s="32" t="n">
        <f aca="false">L36-G36</f>
        <v>0</v>
      </c>
    </row>
    <row r="37" customFormat="false" ht="15" hidden="false" customHeight="false" outlineLevel="0" collapsed="false">
      <c r="A37" s="6" t="s">
        <v>12</v>
      </c>
      <c r="B37" s="7" t="s">
        <v>13</v>
      </c>
      <c r="C37" s="9" t="n">
        <v>10.0453731343284</v>
      </c>
      <c r="D37" s="9" t="n">
        <v>10.5565656565657</v>
      </c>
      <c r="E37" s="9" t="n">
        <v>10.3294128169014</v>
      </c>
      <c r="F37" s="9" t="n">
        <v>9.62814738636364</v>
      </c>
      <c r="G37" s="9" t="n">
        <v>8.65267884615385</v>
      </c>
      <c r="H37" s="9" t="n">
        <v>10.0453731343284</v>
      </c>
      <c r="I37" s="9" t="n">
        <v>10.5565656565657</v>
      </c>
      <c r="J37" s="9" t="n">
        <v>10.3294128169014</v>
      </c>
      <c r="K37" s="9" t="n">
        <v>9.62814738636364</v>
      </c>
      <c r="L37" s="9" t="n">
        <v>8.65267884615385</v>
      </c>
      <c r="M37" s="10" t="n">
        <f aca="false">H37-C37</f>
        <v>0</v>
      </c>
      <c r="N37" s="10" t="n">
        <f aca="false">I37-D37</f>
        <v>0</v>
      </c>
      <c r="O37" s="10" t="n">
        <f aca="false">J37-E37</f>
        <v>0</v>
      </c>
      <c r="P37" s="10" t="n">
        <f aca="false">K37-F37</f>
        <v>0</v>
      </c>
      <c r="Q37" s="10" t="n">
        <f aca="false">L37-G37</f>
        <v>0</v>
      </c>
    </row>
    <row r="38" customFormat="false" ht="15" hidden="false" customHeight="false" outlineLevel="0" collapsed="false">
      <c r="A38" s="15" t="s">
        <v>138</v>
      </c>
      <c r="B38" s="7" t="s">
        <v>13</v>
      </c>
      <c r="C38" s="9" t="n">
        <v>9.68716417910448</v>
      </c>
      <c r="D38" s="9" t="n">
        <v>10.1525252525253</v>
      </c>
      <c r="E38" s="9" t="n">
        <v>9.82237056338028</v>
      </c>
      <c r="F38" s="9" t="n">
        <v>8.99178375</v>
      </c>
      <c r="G38" s="9" t="n">
        <v>7.92190961538462</v>
      </c>
      <c r="H38" s="9" t="n">
        <v>9.68716417910448</v>
      </c>
      <c r="I38" s="9" t="n">
        <v>10.1525252525253</v>
      </c>
      <c r="J38" s="9" t="n">
        <v>9.82237056338028</v>
      </c>
      <c r="K38" s="9" t="n">
        <v>8.99178375</v>
      </c>
      <c r="L38" s="9" t="n">
        <v>7.92190961538462</v>
      </c>
      <c r="M38" s="10" t="n">
        <f aca="false">H38-C38</f>
        <v>0</v>
      </c>
      <c r="N38" s="10" t="n">
        <f aca="false">I38-D38</f>
        <v>0</v>
      </c>
      <c r="O38" s="10" t="n">
        <f aca="false">J38-E38</f>
        <v>0</v>
      </c>
      <c r="P38" s="10" t="n">
        <f aca="false">K38-F38</f>
        <v>0</v>
      </c>
      <c r="Q38" s="10" t="n">
        <f aca="false">L38-G38</f>
        <v>0</v>
      </c>
    </row>
    <row r="39" customFormat="false" ht="15" hidden="false" customHeight="false" outlineLevel="0" collapsed="false">
      <c r="A39" s="15" t="s">
        <v>139</v>
      </c>
      <c r="B39" s="7" t="s">
        <v>13</v>
      </c>
      <c r="C39" s="7" t="s">
        <v>56</v>
      </c>
      <c r="D39" s="7" t="s">
        <v>56</v>
      </c>
      <c r="E39" s="7" t="s">
        <v>56</v>
      </c>
      <c r="F39" s="7" t="s">
        <v>56</v>
      </c>
      <c r="G39" s="7" t="s">
        <v>56</v>
      </c>
      <c r="H39" s="9" t="n">
        <v>0.672768</v>
      </c>
      <c r="I39" s="9" t="n">
        <v>0.672768</v>
      </c>
      <c r="J39" s="9" t="n">
        <v>0.672768</v>
      </c>
      <c r="K39" s="9" t="n">
        <v>0.672768</v>
      </c>
      <c r="L39" s="9" t="n">
        <v>0.672768</v>
      </c>
      <c r="M39" s="17" t="s">
        <v>56</v>
      </c>
      <c r="N39" s="17" t="s">
        <v>56</v>
      </c>
      <c r="O39" s="17" t="s">
        <v>56</v>
      </c>
      <c r="P39" s="17" t="s">
        <v>56</v>
      </c>
      <c r="Q39" s="17" t="s">
        <v>56</v>
      </c>
      <c r="R39" s="7" t="s">
        <v>140</v>
      </c>
    </row>
    <row r="40" customFormat="false" ht="15" hidden="false" customHeight="false" outlineLevel="0" collapsed="false">
      <c r="A40" s="8" t="s">
        <v>141</v>
      </c>
      <c r="B40" s="7" t="s">
        <v>13</v>
      </c>
      <c r="C40" s="7" t="s">
        <v>56</v>
      </c>
      <c r="D40" s="7" t="s">
        <v>56</v>
      </c>
      <c r="E40" s="7" t="s">
        <v>56</v>
      </c>
      <c r="F40" s="7" t="s">
        <v>56</v>
      </c>
      <c r="G40" s="7" t="s">
        <v>56</v>
      </c>
      <c r="H40" s="9" t="n">
        <v>0.936206901352657</v>
      </c>
      <c r="I40" s="9" t="n">
        <v>0.991538286572</v>
      </c>
      <c r="J40" s="9" t="n">
        <v>1.03236525669456</v>
      </c>
      <c r="K40" s="9" t="n">
        <v>1.05419610096948</v>
      </c>
      <c r="L40" s="9" t="n">
        <v>1.07595123797417</v>
      </c>
      <c r="M40" s="17" t="s">
        <v>56</v>
      </c>
      <c r="N40" s="17" t="s">
        <v>56</v>
      </c>
      <c r="O40" s="17" t="s">
        <v>56</v>
      </c>
      <c r="P40" s="17" t="s">
        <v>56</v>
      </c>
      <c r="Q40" s="17" t="s">
        <v>56</v>
      </c>
      <c r="R40" s="7" t="s">
        <v>140</v>
      </c>
    </row>
    <row r="41" customFormat="false" ht="15" hidden="false" customHeight="false" outlineLevel="0" collapsed="false">
      <c r="A41" s="15" t="s">
        <v>142</v>
      </c>
      <c r="B41" s="7" t="s">
        <v>13</v>
      </c>
      <c r="C41" s="7" t="s">
        <v>56</v>
      </c>
      <c r="D41" s="7" t="s">
        <v>56</v>
      </c>
      <c r="E41" s="7" t="s">
        <v>56</v>
      </c>
      <c r="F41" s="7" t="s">
        <v>56</v>
      </c>
      <c r="G41" s="7" t="s">
        <v>56</v>
      </c>
      <c r="H41" s="9" t="n">
        <v>0.325</v>
      </c>
      <c r="I41" s="9" t="n">
        <v>0.325</v>
      </c>
      <c r="J41" s="9" t="n">
        <v>0.325</v>
      </c>
      <c r="K41" s="9" t="n">
        <v>0.325</v>
      </c>
      <c r="L41" s="9" t="n">
        <v>0.325</v>
      </c>
      <c r="M41" s="17" t="s">
        <v>56</v>
      </c>
      <c r="N41" s="17" t="s">
        <v>56</v>
      </c>
      <c r="O41" s="17" t="s">
        <v>56</v>
      </c>
      <c r="P41" s="17" t="s">
        <v>56</v>
      </c>
      <c r="Q41" s="17" t="s">
        <v>56</v>
      </c>
      <c r="R41" s="7" t="s">
        <v>140</v>
      </c>
    </row>
    <row r="42" customFormat="false" ht="15" hidden="false" customHeight="false" outlineLevel="0" collapsed="false">
      <c r="A42" s="15" t="s">
        <v>143</v>
      </c>
      <c r="B42" s="7" t="s">
        <v>13</v>
      </c>
      <c r="C42" s="7" t="s">
        <v>56</v>
      </c>
      <c r="D42" s="7" t="s">
        <v>56</v>
      </c>
      <c r="E42" s="7" t="s">
        <v>56</v>
      </c>
      <c r="F42" s="7" t="s">
        <v>56</v>
      </c>
      <c r="G42" s="7" t="s">
        <v>56</v>
      </c>
      <c r="H42" s="9" t="n">
        <v>0.156034483558776</v>
      </c>
      <c r="I42" s="9" t="n">
        <v>0.165256381095333</v>
      </c>
      <c r="J42" s="9" t="n">
        <v>0.172060876115761</v>
      </c>
      <c r="K42" s="9" t="n">
        <v>0.17569935016158</v>
      </c>
      <c r="L42" s="9" t="n">
        <v>0.179325206329029</v>
      </c>
      <c r="M42" s="17" t="s">
        <v>56</v>
      </c>
      <c r="N42" s="17" t="s">
        <v>56</v>
      </c>
      <c r="O42" s="17" t="s">
        <v>56</v>
      </c>
      <c r="P42" s="17" t="s">
        <v>56</v>
      </c>
      <c r="Q42" s="17" t="s">
        <v>56</v>
      </c>
      <c r="R42" s="7" t="s">
        <v>140</v>
      </c>
    </row>
    <row r="43" customFormat="false" ht="15" hidden="false" customHeight="false" outlineLevel="0" collapsed="false">
      <c r="A43" s="15" t="s">
        <v>144</v>
      </c>
      <c r="B43" s="7" t="s">
        <v>13</v>
      </c>
      <c r="C43" s="7" t="s">
        <v>56</v>
      </c>
      <c r="D43" s="7" t="s">
        <v>56</v>
      </c>
      <c r="E43" s="7" t="s">
        <v>56</v>
      </c>
      <c r="F43" s="7" t="s">
        <v>56</v>
      </c>
      <c r="G43" s="7" t="s">
        <v>56</v>
      </c>
      <c r="H43" s="9" t="n">
        <v>0.55395844080568</v>
      </c>
      <c r="I43" s="9" t="n">
        <v>0.582148475041679</v>
      </c>
      <c r="J43" s="9" t="n">
        <v>0.569621988349514</v>
      </c>
      <c r="K43" s="9" t="n">
        <v>0.530950263636363</v>
      </c>
      <c r="L43" s="9" t="n">
        <v>0.477157435399552</v>
      </c>
      <c r="M43" s="17" t="s">
        <v>56</v>
      </c>
      <c r="N43" s="17" t="s">
        <v>56</v>
      </c>
      <c r="O43" s="17" t="s">
        <v>56</v>
      </c>
      <c r="P43" s="17" t="s">
        <v>56</v>
      </c>
      <c r="Q43" s="17" t="s">
        <v>56</v>
      </c>
      <c r="R43" s="7" t="s">
        <v>140</v>
      </c>
    </row>
    <row r="44" customFormat="false" ht="15" hidden="false" customHeight="false" outlineLevel="0" collapsed="false">
      <c r="A44" s="15" t="s">
        <v>145</v>
      </c>
      <c r="B44" s="7" t="s">
        <v>13</v>
      </c>
      <c r="C44" s="9" t="n">
        <v>1.6</v>
      </c>
      <c r="D44" s="9" t="n">
        <v>1.59151515151515</v>
      </c>
      <c r="E44" s="9" t="n">
        <v>1.33108587005906</v>
      </c>
      <c r="F44" s="9" t="n">
        <v>1.16431818181818</v>
      </c>
      <c r="G44" s="9" t="n">
        <v>0.998180473372781</v>
      </c>
      <c r="H44" s="9" t="n">
        <v>1.6</v>
      </c>
      <c r="I44" s="9" t="n">
        <v>1.59151515151515</v>
      </c>
      <c r="J44" s="9" t="n">
        <v>1.33108587005906</v>
      </c>
      <c r="K44" s="9" t="n">
        <v>1.16431818181818</v>
      </c>
      <c r="L44" s="9" t="n">
        <v>0.998180473372781</v>
      </c>
      <c r="M44" s="10" t="n">
        <f aca="false">H44-C44</f>
        <v>0</v>
      </c>
      <c r="N44" s="10" t="n">
        <f aca="false">I44-D44</f>
        <v>0</v>
      </c>
      <c r="O44" s="10" t="n">
        <f aca="false">J44-E44</f>
        <v>0</v>
      </c>
      <c r="P44" s="10" t="n">
        <f aca="false">K44-F44</f>
        <v>0</v>
      </c>
      <c r="Q44" s="10" t="n">
        <f aca="false">L44-G44</f>
        <v>0</v>
      </c>
    </row>
    <row r="45" customFormat="false" ht="15" hidden="false" customHeight="false" outlineLevel="0" collapsed="false">
      <c r="A45" s="6" t="s">
        <v>146</v>
      </c>
      <c r="B45" s="7" t="s">
        <v>13</v>
      </c>
      <c r="C45" s="9" t="n">
        <v>4.11860298507463</v>
      </c>
      <c r="D45" s="9" t="n">
        <v>4.16984343434343</v>
      </c>
      <c r="E45" s="9" t="n">
        <v>3.92517687042254</v>
      </c>
      <c r="F45" s="9" t="n">
        <v>3.51427379602273</v>
      </c>
      <c r="G45" s="9" t="n">
        <v>3.02843759615385</v>
      </c>
      <c r="H45" s="9" t="n">
        <v>4.24396782571711</v>
      </c>
      <c r="I45" s="9" t="n">
        <v>4.32822629422416</v>
      </c>
      <c r="J45" s="9" t="n">
        <v>4.1029019912189</v>
      </c>
      <c r="K45" s="9" t="n">
        <v>3.9229318965856</v>
      </c>
      <c r="L45" s="9" t="n">
        <v>3.72838235307554</v>
      </c>
      <c r="M45" s="10" t="n">
        <f aca="false">H45-C45</f>
        <v>0.12536484064248</v>
      </c>
      <c r="N45" s="10" t="n">
        <f aca="false">I45-D45</f>
        <v>0.15838285988073</v>
      </c>
      <c r="O45" s="10" t="n">
        <f aca="false">J45-E45</f>
        <v>0.17772512079636</v>
      </c>
      <c r="P45" s="10" t="n">
        <f aca="false">K45-F45</f>
        <v>0.40865810056287</v>
      </c>
      <c r="Q45" s="10" t="n">
        <f aca="false">L45-G45</f>
        <v>0.69994475692169</v>
      </c>
      <c r="R45" s="7" t="s">
        <v>147</v>
      </c>
    </row>
    <row r="46" customFormat="false" ht="15" hidden="false" customHeight="false" outlineLevel="0" collapsed="false">
      <c r="A46" s="27" t="s">
        <v>148</v>
      </c>
      <c r="B46" s="7" t="s">
        <v>13</v>
      </c>
      <c r="C46" s="9" t="n">
        <v>5.92677014925373</v>
      </c>
      <c r="D46" s="9" t="n">
        <v>6.38672222222222</v>
      </c>
      <c r="E46" s="9" t="n">
        <v>6.40423594647887</v>
      </c>
      <c r="F46" s="9" t="n">
        <v>6.11387359034091</v>
      </c>
      <c r="G46" s="9" t="n">
        <v>5.62424125</v>
      </c>
      <c r="H46" s="9" t="n">
        <v>5.80140530861125</v>
      </c>
      <c r="I46" s="9" t="n">
        <v>6.22833936234149</v>
      </c>
      <c r="J46" s="9" t="n">
        <v>6.22651082568251</v>
      </c>
      <c r="K46" s="9" t="n">
        <v>5.70521548977804</v>
      </c>
      <c r="L46" s="9" t="n">
        <v>4.92429649307831</v>
      </c>
      <c r="M46" s="10" t="n">
        <f aca="false">H46-C46</f>
        <v>-0.125364840642479</v>
      </c>
      <c r="N46" s="10" t="n">
        <f aca="false">I46-D46</f>
        <v>-0.15838285988073</v>
      </c>
      <c r="O46" s="10" t="n">
        <f aca="false">J46-E46</f>
        <v>-0.17772512079636</v>
      </c>
      <c r="P46" s="10" t="n">
        <f aca="false">K46-F46</f>
        <v>-0.40865810056287</v>
      </c>
      <c r="Q46" s="10" t="n">
        <f aca="false">L46-G46</f>
        <v>-0.69994475692169</v>
      </c>
    </row>
    <row r="47" customFormat="false" ht="15" hidden="false" customHeight="false" outlineLevel="0" collapsed="false">
      <c r="A47" s="8" t="s">
        <v>149</v>
      </c>
      <c r="B47" s="7" t="s">
        <v>13</v>
      </c>
      <c r="C47" s="9" t="n">
        <v>5.68696517412935</v>
      </c>
      <c r="D47" s="9" t="n">
        <v>5.84104377104377</v>
      </c>
      <c r="E47" s="9" t="n">
        <v>5.66253521126761</v>
      </c>
      <c r="F47" s="9" t="n">
        <v>5.64079545454545</v>
      </c>
      <c r="G47" s="9" t="n">
        <v>5.5875641025641</v>
      </c>
      <c r="H47" s="9" t="n">
        <v>5.72805417039801</v>
      </c>
      <c r="I47" s="9" t="n">
        <v>6.03013422457912</v>
      </c>
      <c r="J47" s="9" t="n">
        <v>5.96024389131455</v>
      </c>
      <c r="K47" s="9" t="n">
        <v>5.99408458049242</v>
      </c>
      <c r="L47" s="9" t="n">
        <v>5.97242407195513</v>
      </c>
      <c r="M47" s="10" t="n">
        <f aca="false">H47-C47</f>
        <v>0.0410889962686598</v>
      </c>
      <c r="N47" s="10" t="n">
        <f aca="false">I47-D47</f>
        <v>0.18909045353535</v>
      </c>
      <c r="O47" s="10" t="n">
        <f aca="false">J47-E47</f>
        <v>0.297708680046941</v>
      </c>
      <c r="P47" s="10" t="n">
        <f aca="false">K47-F47</f>
        <v>0.35328912594697</v>
      </c>
      <c r="Q47" s="10" t="n">
        <f aca="false">L47-G47</f>
        <v>0.38485996939103</v>
      </c>
    </row>
    <row r="48" customFormat="false" ht="15" hidden="false" customHeight="false" outlineLevel="0" collapsed="false">
      <c r="A48" s="15" t="s">
        <v>150</v>
      </c>
      <c r="B48" s="7" t="s">
        <v>13</v>
      </c>
      <c r="C48" s="9" t="n">
        <v>2.83086399839935</v>
      </c>
      <c r="D48" s="9" t="n">
        <v>2.64114227091519</v>
      </c>
      <c r="E48" s="9" t="n">
        <v>2.14269482044658</v>
      </c>
      <c r="F48" s="9" t="n">
        <v>1.72761183275317</v>
      </c>
      <c r="G48" s="9" t="n">
        <v>1.54042972302543</v>
      </c>
      <c r="H48" s="9" t="n">
        <v>2.87950676687743</v>
      </c>
      <c r="I48" s="9" t="n">
        <v>2.83864399678503</v>
      </c>
      <c r="J48" s="9" t="n">
        <v>2.39097114971802</v>
      </c>
      <c r="K48" s="9" t="n">
        <v>2.06670569181728</v>
      </c>
      <c r="L48" s="9" t="n">
        <v>1.94812096971592</v>
      </c>
      <c r="M48" s="10" t="n">
        <f aca="false">H48-C48</f>
        <v>0.0486427684780799</v>
      </c>
      <c r="N48" s="10" t="n">
        <f aca="false">I48-D48</f>
        <v>0.19750172586984</v>
      </c>
      <c r="O48" s="10" t="n">
        <f aca="false">J48-E48</f>
        <v>0.24827632927144</v>
      </c>
      <c r="P48" s="10" t="n">
        <f aca="false">K48-F48</f>
        <v>0.33909385906411</v>
      </c>
      <c r="Q48" s="10" t="n">
        <f aca="false">L48-G48</f>
        <v>0.40769124669049</v>
      </c>
    </row>
    <row r="49" customFormat="false" ht="15" hidden="false" customHeight="false" outlineLevel="0" collapsed="false">
      <c r="A49" s="6" t="s">
        <v>151</v>
      </c>
      <c r="B49" s="7" t="s">
        <v>13</v>
      </c>
      <c r="C49" s="9" t="n">
        <v>-2.59105902327497</v>
      </c>
      <c r="D49" s="9" t="n">
        <v>-2.09546381973673</v>
      </c>
      <c r="E49" s="9" t="n">
        <v>-1.40099408523531</v>
      </c>
      <c r="F49" s="9" t="n">
        <v>-1.25453369695772</v>
      </c>
      <c r="G49" s="9" t="n">
        <v>-1.50375257558953</v>
      </c>
      <c r="H49" s="9" t="n">
        <v>-2.80615562866419</v>
      </c>
      <c r="I49" s="9" t="n">
        <v>-2.64043885902266</v>
      </c>
      <c r="J49" s="9" t="n">
        <v>-2.12470421535007</v>
      </c>
      <c r="K49" s="9" t="n">
        <v>-2.35557478253166</v>
      </c>
      <c r="L49" s="9" t="n">
        <v>-2.99624854859274</v>
      </c>
      <c r="M49" s="10" t="n">
        <f aca="false">H49-C49</f>
        <v>-0.21509660538922</v>
      </c>
      <c r="N49" s="10" t="n">
        <f aca="false">I49-D49</f>
        <v>-0.54497503928593</v>
      </c>
      <c r="O49" s="10" t="n">
        <f aca="false">J49-E49</f>
        <v>-0.72371013011476</v>
      </c>
      <c r="P49" s="10" t="n">
        <f aca="false">K49-F49</f>
        <v>-1.10104108557394</v>
      </c>
      <c r="Q49" s="10" t="n">
        <f aca="false">L49-G49</f>
        <v>-1.49249597300321</v>
      </c>
    </row>
    <row r="50" customFormat="false" ht="15" hidden="false" customHeight="false" outlineLevel="0" collapsed="false">
      <c r="A50" s="15" t="s">
        <v>152</v>
      </c>
      <c r="B50" s="7" t="s">
        <v>13</v>
      </c>
      <c r="C50" s="9" t="n">
        <v>34</v>
      </c>
      <c r="D50" s="9" t="n">
        <v>34</v>
      </c>
      <c r="E50" s="9" t="n">
        <v>34</v>
      </c>
      <c r="F50" s="9" t="n">
        <v>34</v>
      </c>
      <c r="G50" s="9" t="n">
        <v>34</v>
      </c>
      <c r="H50" s="9" t="n">
        <v>34.759438</v>
      </c>
      <c r="I50" s="9" t="n">
        <v>37.515928</v>
      </c>
      <c r="J50" s="9" t="n">
        <v>37.586352</v>
      </c>
      <c r="K50" s="9" t="n">
        <v>37.586352</v>
      </c>
      <c r="L50" s="9" t="n">
        <v>37.586352</v>
      </c>
      <c r="M50" s="10" t="n">
        <f aca="false">H50-C50</f>
        <v>0.759438000000003</v>
      </c>
      <c r="N50" s="10" t="n">
        <f aca="false">I50-D50</f>
        <v>3.515928</v>
      </c>
      <c r="O50" s="10" t="n">
        <f aca="false">J50-E50</f>
        <v>3.586352</v>
      </c>
      <c r="P50" s="10" t="n">
        <f aca="false">K50-F50</f>
        <v>3.586352</v>
      </c>
      <c r="Q50" s="10" t="n">
        <f aca="false">L50-G50</f>
        <v>3.586352</v>
      </c>
    </row>
    <row r="51" customFormat="false" ht="15" hidden="false" customHeight="false" outlineLevel="0" collapsed="false">
      <c r="A51" s="15" t="s">
        <v>153</v>
      </c>
      <c r="B51" s="7" t="s">
        <v>13</v>
      </c>
      <c r="C51" s="9" t="n">
        <v>8.37114427860697</v>
      </c>
      <c r="D51" s="9" t="n">
        <v>8.79713804713805</v>
      </c>
      <c r="E51" s="9" t="n">
        <v>8.60784401408451</v>
      </c>
      <c r="F51" s="9" t="n">
        <v>8.02345615530303</v>
      </c>
      <c r="G51" s="9" t="n">
        <v>7.21056570512821</v>
      </c>
      <c r="H51" s="9" t="n">
        <v>8.37114427860697</v>
      </c>
      <c r="I51" s="9" t="n">
        <v>8.79713804713805</v>
      </c>
      <c r="J51" s="9" t="n">
        <v>8.60784401408451</v>
      </c>
      <c r="K51" s="9" t="n">
        <v>8.02345615530303</v>
      </c>
      <c r="L51" s="9" t="n">
        <v>7.21056570512821</v>
      </c>
      <c r="M51" s="10" t="n">
        <f aca="false">H51-C51</f>
        <v>0</v>
      </c>
      <c r="N51" s="10" t="n">
        <f aca="false">I51-D51</f>
        <v>0</v>
      </c>
      <c r="O51" s="10" t="n">
        <f aca="false">J51-E51</f>
        <v>0</v>
      </c>
      <c r="P51" s="10" t="n">
        <f aca="false">K51-F51</f>
        <v>0</v>
      </c>
      <c r="Q51" s="10" t="n">
        <f aca="false">L51-G51</f>
        <v>0</v>
      </c>
    </row>
    <row r="52" customFormat="false" ht="15" hidden="false" customHeight="false" outlineLevel="0" collapsed="false">
      <c r="A52" s="15" t="s">
        <v>154</v>
      </c>
      <c r="B52" s="7" t="s">
        <v>13</v>
      </c>
      <c r="C52" s="9" t="n">
        <v>4.93897512437811</v>
      </c>
      <c r="D52" s="9" t="n">
        <v>5.32226851851852</v>
      </c>
      <c r="E52" s="9" t="n">
        <v>5.3368632887324</v>
      </c>
      <c r="F52" s="9" t="n">
        <v>5.09489465861743</v>
      </c>
      <c r="G52" s="9" t="n">
        <v>4.68686770833333</v>
      </c>
      <c r="H52" s="9" t="n">
        <v>4.8345044238427</v>
      </c>
      <c r="I52" s="9" t="n">
        <v>5.19028280195124</v>
      </c>
      <c r="J52" s="9" t="n">
        <v>5.18875902140209</v>
      </c>
      <c r="K52" s="9" t="n">
        <v>4.7543462414817</v>
      </c>
      <c r="L52" s="9" t="n">
        <v>4.10358041089859</v>
      </c>
      <c r="M52" s="10" t="n">
        <f aca="false">H52-C52</f>
        <v>-0.104470700535409</v>
      </c>
      <c r="N52" s="10" t="n">
        <f aca="false">I52-D52</f>
        <v>-0.13198571656728</v>
      </c>
      <c r="O52" s="10" t="n">
        <f aca="false">J52-E52</f>
        <v>-0.14810426733031</v>
      </c>
      <c r="P52" s="10" t="n">
        <f aca="false">K52-F52</f>
        <v>-0.34054841713573</v>
      </c>
      <c r="Q52" s="10" t="n">
        <f aca="false">L52-G52</f>
        <v>-0.58328729743474</v>
      </c>
    </row>
    <row r="53" customFormat="false" ht="29.85" hidden="false" customHeight="false" outlineLevel="0" collapsed="false">
      <c r="A53" s="4" t="s">
        <v>155</v>
      </c>
      <c r="B53" s="4" t="s">
        <v>4</v>
      </c>
      <c r="C53" s="5" t="s">
        <v>119</v>
      </c>
      <c r="D53" s="5" t="s">
        <v>120</v>
      </c>
      <c r="E53" s="5" t="s">
        <v>121</v>
      </c>
      <c r="F53" s="5" t="s">
        <v>122</v>
      </c>
      <c r="G53" s="5" t="s">
        <v>123</v>
      </c>
      <c r="H53" s="5" t="s">
        <v>124</v>
      </c>
      <c r="I53" s="5" t="s">
        <v>125</v>
      </c>
      <c r="J53" s="5" t="s">
        <v>126</v>
      </c>
      <c r="K53" s="5" t="s">
        <v>127</v>
      </c>
      <c r="L53" s="5" t="s">
        <v>128</v>
      </c>
      <c r="M53" s="4" t="s">
        <v>129</v>
      </c>
      <c r="N53" s="4" t="s">
        <v>130</v>
      </c>
      <c r="O53" s="4" t="s">
        <v>131</v>
      </c>
      <c r="P53" s="4" t="s">
        <v>132</v>
      </c>
      <c r="Q53" s="4" t="s">
        <v>133</v>
      </c>
      <c r="R53" s="4" t="s">
        <v>134</v>
      </c>
    </row>
    <row r="54" customFormat="false" ht="15" hidden="false" customHeight="false" outlineLevel="0" collapsed="false">
      <c r="A54" s="15" t="s">
        <v>156</v>
      </c>
      <c r="B54" s="7" t="s">
        <v>13</v>
      </c>
      <c r="C54" s="10" t="n">
        <f aca="false">C37*C35/C36</f>
        <v>8.371144278607</v>
      </c>
      <c r="D54" s="10" t="n">
        <f aca="false">D37*D35/D36</f>
        <v>8.79713804713808</v>
      </c>
      <c r="E54" s="10" t="n">
        <f aca="false">E37*E35/E36</f>
        <v>8.6078440140845</v>
      </c>
      <c r="F54" s="10" t="n">
        <f aca="false">F37*F35/F36</f>
        <v>8.02345615530303</v>
      </c>
      <c r="G54" s="10" t="n">
        <f aca="false">G37*G35/G36</f>
        <v>7.21056570512821</v>
      </c>
      <c r="H54" s="10" t="n">
        <f aca="false">H37*H35/H36</f>
        <v>8.371144278607</v>
      </c>
      <c r="I54" s="10" t="n">
        <f aca="false">I37*I35/I36</f>
        <v>8.79713804713808</v>
      </c>
      <c r="J54" s="10" t="n">
        <f aca="false">J37*J35/J36</f>
        <v>8.6078440140845</v>
      </c>
      <c r="K54" s="10" t="n">
        <f aca="false">K37*K35/K36</f>
        <v>8.02345615530303</v>
      </c>
      <c r="L54" s="10" t="n">
        <f aca="false">L37*L35/L36</f>
        <v>7.21056570512821</v>
      </c>
      <c r="M54" s="10" t="n">
        <f aca="false">H54-C54</f>
        <v>0</v>
      </c>
      <c r="N54" s="10" t="n">
        <f aca="false">I54-D54</f>
        <v>0</v>
      </c>
      <c r="O54" s="10" t="n">
        <f aca="false">J54-E54</f>
        <v>0</v>
      </c>
      <c r="P54" s="10" t="n">
        <f aca="false">K54-F54</f>
        <v>0</v>
      </c>
      <c r="Q54" s="10" t="n">
        <f aca="false">L54-G54</f>
        <v>0</v>
      </c>
    </row>
    <row r="55" customFormat="false" ht="15" hidden="false" customHeight="false" outlineLevel="0" collapsed="false">
      <c r="A55" s="15" t="s">
        <v>157</v>
      </c>
      <c r="B55" s="7" t="s">
        <v>13</v>
      </c>
      <c r="C55" s="10" t="n">
        <f aca="false">C45*C35/C36</f>
        <v>3.43216915422886</v>
      </c>
      <c r="D55" s="10" t="n">
        <f aca="false">D45*D35/D36</f>
        <v>3.47486952861952</v>
      </c>
      <c r="E55" s="10" t="n">
        <f aca="false">E45*E35/E36</f>
        <v>3.27098072535212</v>
      </c>
      <c r="F55" s="10" t="n">
        <f aca="false">F45*F35/F36</f>
        <v>2.92856149668561</v>
      </c>
      <c r="G55" s="10" t="n">
        <f aca="false">G45*G35/G36</f>
        <v>2.52369799679488</v>
      </c>
      <c r="H55" s="10" t="n">
        <f aca="false">H45*H35/H36</f>
        <v>3.53663985476426</v>
      </c>
      <c r="I55" s="10" t="n">
        <f aca="false">I45*I35/I36</f>
        <v>3.6068552451868</v>
      </c>
      <c r="J55" s="10" t="n">
        <f aca="false">J45*J35/J36</f>
        <v>3.41908499268242</v>
      </c>
      <c r="K55" s="10" t="n">
        <f aca="false">K45*K35/K36</f>
        <v>3.26910991382133</v>
      </c>
      <c r="L55" s="10" t="n">
        <f aca="false">L45*L35/L36</f>
        <v>3.10698529422962</v>
      </c>
      <c r="M55" s="10" t="n">
        <f aca="false">H55-C55</f>
        <v>0.1044707005354</v>
      </c>
      <c r="N55" s="10" t="n">
        <f aca="false">I55-D55</f>
        <v>0.131985716567275</v>
      </c>
      <c r="O55" s="10" t="n">
        <f aca="false">J55-E55</f>
        <v>0.148104267330301</v>
      </c>
      <c r="P55" s="10" t="n">
        <f aca="false">K55-F55</f>
        <v>0.340548417135726</v>
      </c>
      <c r="Q55" s="10" t="n">
        <f aca="false">L55-G55</f>
        <v>0.583287297434742</v>
      </c>
    </row>
    <row r="56" customFormat="false" ht="15" hidden="false" customHeight="false" outlineLevel="0" collapsed="false">
      <c r="A56" s="15" t="s">
        <v>158</v>
      </c>
      <c r="B56" s="7" t="s">
        <v>13</v>
      </c>
      <c r="C56" s="10" t="n">
        <f aca="false">C46*C35/C36</f>
        <v>4.93897512437811</v>
      </c>
      <c r="D56" s="10" t="n">
        <f aca="false">D46*D35/D36</f>
        <v>5.32226851851852</v>
      </c>
      <c r="E56" s="10" t="n">
        <f aca="false">E46*E35/E36</f>
        <v>5.33686328873239</v>
      </c>
      <c r="F56" s="10" t="n">
        <f aca="false">F46*F35/F36</f>
        <v>5.09489465861743</v>
      </c>
      <c r="G56" s="10" t="n">
        <f aca="false">G46*G35/G36</f>
        <v>4.68686770833333</v>
      </c>
      <c r="H56" s="10" t="n">
        <f aca="false">H46*H35/H36</f>
        <v>4.83450442384271</v>
      </c>
      <c r="I56" s="10" t="n">
        <f aca="false">I46*I35/I36</f>
        <v>5.19028280195124</v>
      </c>
      <c r="J56" s="10" t="n">
        <f aca="false">J46*J35/J36</f>
        <v>5.18875902140209</v>
      </c>
      <c r="K56" s="10" t="n">
        <f aca="false">K46*K35/K36</f>
        <v>4.7543462414817</v>
      </c>
      <c r="L56" s="10" t="n">
        <f aca="false">L46*L35/L36</f>
        <v>4.10358041089859</v>
      </c>
      <c r="M56" s="10" t="n">
        <f aca="false">H56-C56</f>
        <v>-0.1044707005354</v>
      </c>
      <c r="N56" s="10" t="n">
        <f aca="false">I56-D56</f>
        <v>-0.131985716567276</v>
      </c>
      <c r="O56" s="10" t="n">
        <f aca="false">J56-E56</f>
        <v>-0.1481042673303</v>
      </c>
      <c r="P56" s="10" t="n">
        <f aca="false">K56-F56</f>
        <v>-0.340548417135725</v>
      </c>
      <c r="Q56" s="10" t="n">
        <f aca="false">L56-G56</f>
        <v>-0.583287297434741</v>
      </c>
    </row>
    <row r="57" customFormat="false" ht="15" hidden="false" customHeight="false" outlineLevel="0" collapsed="false">
      <c r="A57" s="15" t="s">
        <v>159</v>
      </c>
      <c r="B57" s="7" t="s">
        <v>13</v>
      </c>
      <c r="C57" s="10" t="n">
        <f aca="false">C47*C35/C36</f>
        <v>4.73913764510779</v>
      </c>
      <c r="D57" s="10" t="n">
        <f aca="false">D47*D35/D36</f>
        <v>4.86753647586981</v>
      </c>
      <c r="E57" s="10" t="n">
        <f aca="false">E47*E35/E36</f>
        <v>4.71877934272301</v>
      </c>
      <c r="F57" s="10" t="n">
        <f aca="false">F47*F35/F36</f>
        <v>4.70066287878788</v>
      </c>
      <c r="G57" s="10" t="n">
        <f aca="false">G47*G35/G36</f>
        <v>4.65630341880342</v>
      </c>
      <c r="H57" s="10" t="n">
        <f aca="false">H47*H35/H36</f>
        <v>4.77337847533168</v>
      </c>
      <c r="I57" s="10" t="n">
        <f aca="false">I47*I35/I36</f>
        <v>5.02511185381593</v>
      </c>
      <c r="J57" s="10" t="n">
        <f aca="false">J47*J35/J36</f>
        <v>4.96686990942879</v>
      </c>
      <c r="K57" s="10" t="n">
        <f aca="false">K47*K35/K36</f>
        <v>4.99507048374368</v>
      </c>
      <c r="L57" s="10" t="n">
        <f aca="false">L47*L35/L36</f>
        <v>4.97702005996261</v>
      </c>
      <c r="M57" s="10" t="n">
        <f aca="false">H57-C57</f>
        <v>0.034240830223883</v>
      </c>
      <c r="N57" s="10" t="n">
        <f aca="false">I57-D57</f>
        <v>0.157575377946126</v>
      </c>
      <c r="O57" s="10" t="n">
        <f aca="false">J57-E57</f>
        <v>0.248090566705784</v>
      </c>
      <c r="P57" s="10" t="n">
        <f aca="false">K57-F57</f>
        <v>0.294407604955809</v>
      </c>
      <c r="Q57" s="10" t="n">
        <f aca="false">L57-G57</f>
        <v>0.320716641159192</v>
      </c>
    </row>
    <row r="58" customFormat="false" ht="15" hidden="false" customHeight="false" outlineLevel="0" collapsed="false">
      <c r="A58" s="15" t="s">
        <v>160</v>
      </c>
      <c r="B58" s="7" t="s">
        <v>13</v>
      </c>
      <c r="C58" s="10" t="n">
        <f aca="false">C48*C35/C36</f>
        <v>2.35905333199946</v>
      </c>
      <c r="D58" s="10" t="n">
        <f aca="false">D48*D35/D36</f>
        <v>2.20095189242933</v>
      </c>
      <c r="E58" s="10" t="n">
        <f aca="false">E48*E35/E36</f>
        <v>1.78557901703882</v>
      </c>
      <c r="F58" s="10" t="n">
        <f aca="false">F48*F35/F36</f>
        <v>1.43967652729431</v>
      </c>
      <c r="G58" s="10" t="n">
        <f aca="false">G48*G35/G36</f>
        <v>1.28369143585453</v>
      </c>
      <c r="H58" s="10" t="n">
        <f aca="false">H48*H35/H36</f>
        <v>2.39958897239786</v>
      </c>
      <c r="I58" s="10" t="n">
        <f aca="false">I48*I35/I36</f>
        <v>2.36553666398753</v>
      </c>
      <c r="J58" s="10" t="n">
        <f aca="false">J48*J35/J36</f>
        <v>1.99247595809835</v>
      </c>
      <c r="K58" s="10" t="n">
        <f aca="false">K48*K35/K36</f>
        <v>1.72225474318107</v>
      </c>
      <c r="L58" s="10" t="n">
        <f aca="false">L48*L35/L36</f>
        <v>1.62343414142993</v>
      </c>
      <c r="M58" s="10" t="n">
        <f aca="false">H58-C58</f>
        <v>0.0405356403983994</v>
      </c>
      <c r="N58" s="10" t="n">
        <f aca="false">I58-D58</f>
        <v>0.1645847715582</v>
      </c>
      <c r="O58" s="10" t="n">
        <f aca="false">J58-E58</f>
        <v>0.206896941059533</v>
      </c>
      <c r="P58" s="10" t="n">
        <f aca="false">K58-F58</f>
        <v>0.282578215886758</v>
      </c>
      <c r="Q58" s="10" t="n">
        <f aca="false">L58-G58</f>
        <v>0.339742705575408</v>
      </c>
    </row>
    <row r="59" customFormat="false" ht="15" hidden="false" customHeight="false" outlineLevel="0" collapsed="false">
      <c r="A59" s="15" t="s">
        <v>161</v>
      </c>
      <c r="B59" s="7" t="s">
        <v>13</v>
      </c>
      <c r="C59" s="10" t="n">
        <f aca="false">C49*C35/C36</f>
        <v>-2.15921585272914</v>
      </c>
      <c r="D59" s="10" t="n">
        <f aca="false">D49*D35/D36</f>
        <v>-1.74621984978061</v>
      </c>
      <c r="E59" s="10" t="n">
        <f aca="false">E49*E35/E36</f>
        <v>-1.16749507102943</v>
      </c>
      <c r="F59" s="10" t="n">
        <f aca="false">F49*F35/F36</f>
        <v>-1.04544474746477</v>
      </c>
      <c r="G59" s="10" t="n">
        <f aca="false">G49*G35/G36</f>
        <v>-1.25312714632461</v>
      </c>
      <c r="H59" s="10" t="n">
        <f aca="false">H49*H35/H36</f>
        <v>-2.33846302388683</v>
      </c>
      <c r="I59" s="10" t="n">
        <f aca="false">I49*I35/I36</f>
        <v>-2.20036571585222</v>
      </c>
      <c r="J59" s="10" t="n">
        <f aca="false">J49*J35/J36</f>
        <v>-1.77058684612506</v>
      </c>
      <c r="K59" s="10" t="n">
        <f aca="false">K49*K35/K36</f>
        <v>-1.96297898544305</v>
      </c>
      <c r="L59" s="10" t="n">
        <f aca="false">L49*L35/L36</f>
        <v>-2.49687379049395</v>
      </c>
      <c r="M59" s="10" t="n">
        <f aca="false">H59-C59</f>
        <v>-0.179247171157683</v>
      </c>
      <c r="N59" s="10" t="n">
        <f aca="false">I59-D59</f>
        <v>-0.454145866071608</v>
      </c>
      <c r="O59" s="10" t="n">
        <f aca="false">J59-E59</f>
        <v>-0.603091775095634</v>
      </c>
      <c r="P59" s="10" t="n">
        <f aca="false">K59-F59</f>
        <v>-0.917534237978283</v>
      </c>
      <c r="Q59" s="10" t="n">
        <f aca="false">L59-G59</f>
        <v>-1.24374664416934</v>
      </c>
    </row>
    <row r="60" customFormat="false" ht="15" hidden="false" customHeight="false" outlineLevel="0" collapsed="false">
      <c r="A60" s="15" t="s">
        <v>162</v>
      </c>
      <c r="B60" s="7" t="s">
        <v>13</v>
      </c>
      <c r="C60" s="10" t="n">
        <f aca="false">C50*C35/C36</f>
        <v>28.3333333333333</v>
      </c>
      <c r="D60" s="10" t="n">
        <f aca="false">D50*D35/D36</f>
        <v>28.3333333333333</v>
      </c>
      <c r="E60" s="10" t="n">
        <f aca="false">E50*E35/E36</f>
        <v>28.3333333333333</v>
      </c>
      <c r="F60" s="10" t="n">
        <f aca="false">F50*F35/F36</f>
        <v>28.3333333333333</v>
      </c>
      <c r="G60" s="10" t="n">
        <f aca="false">G50*G35/G36</f>
        <v>28.3333333333333</v>
      </c>
      <c r="H60" s="10" t="n">
        <f aca="false">H50*H35/H36</f>
        <v>28.9661983333333</v>
      </c>
      <c r="I60" s="10" t="n">
        <f aca="false">I50*I35/I36</f>
        <v>31.2632733333333</v>
      </c>
      <c r="J60" s="10" t="n">
        <f aca="false">J50*J35/J36</f>
        <v>31.32196</v>
      </c>
      <c r="K60" s="10" t="n">
        <f aca="false">K50*K35/K36</f>
        <v>31.32196</v>
      </c>
      <c r="L60" s="10" t="n">
        <f aca="false">L50*L35/L36</f>
        <v>31.32196</v>
      </c>
      <c r="M60" s="10" t="n">
        <f aca="false">H60-C60</f>
        <v>0.632865000000006</v>
      </c>
      <c r="N60" s="10" t="n">
        <f aca="false">I60-D60</f>
        <v>2.92994000000001</v>
      </c>
      <c r="O60" s="10" t="n">
        <f aca="false">J60-E60</f>
        <v>2.98862666666667</v>
      </c>
      <c r="P60" s="10" t="n">
        <f aca="false">K60-F60</f>
        <v>2.98862666666667</v>
      </c>
      <c r="Q60" s="10" t="n">
        <f aca="false">L60-G60</f>
        <v>2.98862666666667</v>
      </c>
    </row>
    <row r="62" customFormat="false" ht="15" hidden="false" customHeight="false" outlineLevel="0" collapsed="false">
      <c r="A62" s="31" t="s">
        <v>164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</row>
    <row r="63" customFormat="false" ht="15" hidden="false" customHeight="false" outlineLevel="0" collapsed="false">
      <c r="A63" s="4" t="s">
        <v>118</v>
      </c>
      <c r="B63" s="4" t="s">
        <v>4</v>
      </c>
      <c r="C63" s="5" t="s">
        <v>119</v>
      </c>
      <c r="D63" s="5" t="s">
        <v>120</v>
      </c>
      <c r="E63" s="5" t="s">
        <v>121</v>
      </c>
      <c r="F63" s="5" t="s">
        <v>122</v>
      </c>
      <c r="G63" s="5" t="s">
        <v>123</v>
      </c>
      <c r="H63" s="5" t="s">
        <v>124</v>
      </c>
      <c r="I63" s="5" t="s">
        <v>125</v>
      </c>
      <c r="J63" s="5" t="s">
        <v>126</v>
      </c>
      <c r="K63" s="5" t="s">
        <v>127</v>
      </c>
      <c r="L63" s="5" t="s">
        <v>128</v>
      </c>
      <c r="M63" s="4" t="s">
        <v>129</v>
      </c>
      <c r="N63" s="4" t="s">
        <v>130</v>
      </c>
      <c r="O63" s="4" t="s">
        <v>131</v>
      </c>
      <c r="P63" s="4" t="s">
        <v>132</v>
      </c>
      <c r="Q63" s="4" t="s">
        <v>133</v>
      </c>
      <c r="R63" s="4" t="s">
        <v>134</v>
      </c>
    </row>
    <row r="64" customFormat="false" ht="15" hidden="false" customHeight="false" outlineLevel="0" collapsed="false">
      <c r="A64" s="15" t="s">
        <v>135</v>
      </c>
      <c r="B64" s="7" t="s">
        <v>136</v>
      </c>
      <c r="C64" s="26" t="n">
        <v>1675</v>
      </c>
      <c r="D64" s="26" t="n">
        <v>2475</v>
      </c>
      <c r="E64" s="26" t="n">
        <v>3850</v>
      </c>
      <c r="F64" s="26" t="n">
        <v>5450</v>
      </c>
      <c r="G64" s="26" t="n">
        <v>7150</v>
      </c>
      <c r="H64" s="26" t="n">
        <v>1675</v>
      </c>
      <c r="I64" s="26" t="n">
        <v>2475</v>
      </c>
      <c r="J64" s="26" t="n">
        <v>3850</v>
      </c>
      <c r="K64" s="26" t="n">
        <v>5450</v>
      </c>
      <c r="L64" s="26" t="n">
        <v>7150</v>
      </c>
      <c r="M64" s="32" t="n">
        <f aca="false">H64-C64</f>
        <v>0</v>
      </c>
      <c r="N64" s="32" t="n">
        <f aca="false">I64-D64</f>
        <v>0</v>
      </c>
      <c r="O64" s="32" t="n">
        <f aca="false">J64-E64</f>
        <v>0</v>
      </c>
      <c r="P64" s="32" t="n">
        <f aca="false">K64-F64</f>
        <v>0</v>
      </c>
      <c r="Q64" s="32" t="n">
        <f aca="false">L64-G64</f>
        <v>0</v>
      </c>
    </row>
    <row r="65" customFormat="false" ht="15" hidden="false" customHeight="false" outlineLevel="0" collapsed="false">
      <c r="A65" s="15" t="s">
        <v>137</v>
      </c>
      <c r="B65" s="7" t="s">
        <v>136</v>
      </c>
      <c r="C65" s="26" t="n">
        <v>2010</v>
      </c>
      <c r="D65" s="26" t="n">
        <v>2970</v>
      </c>
      <c r="E65" s="26" t="n">
        <v>4620</v>
      </c>
      <c r="F65" s="26" t="n">
        <v>6540</v>
      </c>
      <c r="G65" s="26" t="n">
        <v>8580</v>
      </c>
      <c r="H65" s="26" t="n">
        <v>2010</v>
      </c>
      <c r="I65" s="26" t="n">
        <v>2970</v>
      </c>
      <c r="J65" s="26" t="n">
        <v>4620</v>
      </c>
      <c r="K65" s="26" t="n">
        <v>6540</v>
      </c>
      <c r="L65" s="26" t="n">
        <v>8580</v>
      </c>
      <c r="M65" s="32" t="n">
        <f aca="false">H65-C65</f>
        <v>0</v>
      </c>
      <c r="N65" s="32" t="n">
        <f aca="false">I65-D65</f>
        <v>0</v>
      </c>
      <c r="O65" s="32" t="n">
        <f aca="false">J65-E65</f>
        <v>0</v>
      </c>
      <c r="P65" s="32" t="n">
        <f aca="false">K65-F65</f>
        <v>0</v>
      </c>
      <c r="Q65" s="32" t="n">
        <f aca="false">L65-G65</f>
        <v>0</v>
      </c>
    </row>
    <row r="66" customFormat="false" ht="15" hidden="false" customHeight="false" outlineLevel="0" collapsed="false">
      <c r="A66" s="6" t="s">
        <v>12</v>
      </c>
      <c r="B66" s="7" t="s">
        <v>13</v>
      </c>
      <c r="C66" s="9" t="n">
        <v>10.0453731343284</v>
      </c>
      <c r="D66" s="9" t="n">
        <v>10.5565656565657</v>
      </c>
      <c r="E66" s="9" t="n">
        <v>10.2333506493506</v>
      </c>
      <c r="F66" s="9" t="n">
        <v>9.34156422018348</v>
      </c>
      <c r="G66" s="9" t="n">
        <v>8.26809090909091</v>
      </c>
      <c r="H66" s="9" t="n">
        <v>10.0453731343284</v>
      </c>
      <c r="I66" s="9" t="n">
        <v>10.5565656565657</v>
      </c>
      <c r="J66" s="9" t="n">
        <v>10.2333506493506</v>
      </c>
      <c r="K66" s="9" t="n">
        <v>9.34156422018348</v>
      </c>
      <c r="L66" s="9" t="n">
        <v>8.26809090909091</v>
      </c>
      <c r="M66" s="10" t="n">
        <f aca="false">H66-C66</f>
        <v>0</v>
      </c>
      <c r="N66" s="10" t="n">
        <f aca="false">I66-D66</f>
        <v>0</v>
      </c>
      <c r="O66" s="10" t="n">
        <f aca="false">J66-E66</f>
        <v>0</v>
      </c>
      <c r="P66" s="10" t="n">
        <f aca="false">K66-F66</f>
        <v>0</v>
      </c>
      <c r="Q66" s="10" t="n">
        <f aca="false">L66-G66</f>
        <v>0</v>
      </c>
    </row>
    <row r="67" customFormat="false" ht="15" hidden="false" customHeight="false" outlineLevel="0" collapsed="false">
      <c r="A67" s="15" t="s">
        <v>138</v>
      </c>
      <c r="B67" s="7" t="s">
        <v>13</v>
      </c>
      <c r="C67" s="9" t="n">
        <v>9.68716417910448</v>
      </c>
      <c r="D67" s="9" t="n">
        <v>10.1525252525253</v>
      </c>
      <c r="E67" s="9" t="n">
        <v>9.76581818181818</v>
      </c>
      <c r="F67" s="9" t="n">
        <v>8.82780275229358</v>
      </c>
      <c r="G67" s="9" t="n">
        <v>7.73662237762238</v>
      </c>
      <c r="H67" s="9" t="n">
        <v>9.68716417910448</v>
      </c>
      <c r="I67" s="9" t="n">
        <v>10.1525252525253</v>
      </c>
      <c r="J67" s="9" t="n">
        <v>9.76581818181818</v>
      </c>
      <c r="K67" s="9" t="n">
        <v>8.82780275229358</v>
      </c>
      <c r="L67" s="9" t="n">
        <v>7.73662237762238</v>
      </c>
      <c r="M67" s="10" t="n">
        <f aca="false">H67-C67</f>
        <v>0</v>
      </c>
      <c r="N67" s="10" t="n">
        <f aca="false">I67-D67</f>
        <v>0</v>
      </c>
      <c r="O67" s="10" t="n">
        <f aca="false">J67-E67</f>
        <v>0</v>
      </c>
      <c r="P67" s="10" t="n">
        <f aca="false">K67-F67</f>
        <v>0</v>
      </c>
      <c r="Q67" s="10" t="n">
        <f aca="false">L67-G67</f>
        <v>0</v>
      </c>
    </row>
    <row r="68" customFormat="false" ht="15" hidden="false" customHeight="false" outlineLevel="0" collapsed="false">
      <c r="A68" s="15" t="s">
        <v>139</v>
      </c>
      <c r="B68" s="7" t="s">
        <v>13</v>
      </c>
      <c r="C68" s="7" t="s">
        <v>56</v>
      </c>
      <c r="D68" s="7" t="s">
        <v>56</v>
      </c>
      <c r="E68" s="7" t="s">
        <v>56</v>
      </c>
      <c r="F68" s="7" t="s">
        <v>56</v>
      </c>
      <c r="G68" s="7" t="s">
        <v>56</v>
      </c>
      <c r="H68" s="9" t="n">
        <v>0.672768</v>
      </c>
      <c r="I68" s="9" t="n">
        <v>0.672768</v>
      </c>
      <c r="J68" s="9" t="n">
        <v>0.672768</v>
      </c>
      <c r="K68" s="9" t="n">
        <v>0.672768</v>
      </c>
      <c r="L68" s="9" t="n">
        <v>0.672768</v>
      </c>
      <c r="M68" s="17" t="s">
        <v>56</v>
      </c>
      <c r="N68" s="17" t="s">
        <v>56</v>
      </c>
      <c r="O68" s="17" t="s">
        <v>56</v>
      </c>
      <c r="P68" s="17" t="s">
        <v>56</v>
      </c>
      <c r="Q68" s="17" t="s">
        <v>56</v>
      </c>
      <c r="R68" s="7" t="s">
        <v>140</v>
      </c>
    </row>
    <row r="69" customFormat="false" ht="15" hidden="false" customHeight="false" outlineLevel="0" collapsed="false">
      <c r="A69" s="8" t="s">
        <v>141</v>
      </c>
      <c r="B69" s="7" t="s">
        <v>13</v>
      </c>
      <c r="C69" s="7" t="s">
        <v>56</v>
      </c>
      <c r="D69" s="7" t="s">
        <v>56</v>
      </c>
      <c r="E69" s="7" t="s">
        <v>56</v>
      </c>
      <c r="F69" s="7" t="s">
        <v>56</v>
      </c>
      <c r="G69" s="7" t="s">
        <v>56</v>
      </c>
      <c r="H69" s="9" t="n">
        <v>0.936206901352657</v>
      </c>
      <c r="I69" s="9" t="n">
        <v>0.991538286572</v>
      </c>
      <c r="J69" s="9" t="n">
        <v>1.03978541019888</v>
      </c>
      <c r="K69" s="9" t="n">
        <v>1.06833631784692</v>
      </c>
      <c r="L69" s="9" t="n">
        <v>1.09003468943576</v>
      </c>
      <c r="M69" s="17" t="s">
        <v>56</v>
      </c>
      <c r="N69" s="17" t="s">
        <v>56</v>
      </c>
      <c r="O69" s="17" t="s">
        <v>56</v>
      </c>
      <c r="P69" s="17" t="s">
        <v>56</v>
      </c>
      <c r="Q69" s="17" t="s">
        <v>56</v>
      </c>
      <c r="R69" s="7" t="s">
        <v>140</v>
      </c>
    </row>
    <row r="70" customFormat="false" ht="15" hidden="false" customHeight="false" outlineLevel="0" collapsed="false">
      <c r="A70" s="15" t="s">
        <v>142</v>
      </c>
      <c r="B70" s="7" t="s">
        <v>13</v>
      </c>
      <c r="C70" s="7" t="s">
        <v>56</v>
      </c>
      <c r="D70" s="7" t="s">
        <v>56</v>
      </c>
      <c r="E70" s="7" t="s">
        <v>56</v>
      </c>
      <c r="F70" s="7" t="s">
        <v>56</v>
      </c>
      <c r="G70" s="7" t="s">
        <v>56</v>
      </c>
      <c r="H70" s="9" t="n">
        <v>0.325</v>
      </c>
      <c r="I70" s="9" t="n">
        <v>0.325</v>
      </c>
      <c r="J70" s="9" t="n">
        <v>0.325</v>
      </c>
      <c r="K70" s="9" t="n">
        <v>0.325</v>
      </c>
      <c r="L70" s="9" t="n">
        <v>0.325</v>
      </c>
      <c r="M70" s="17" t="s">
        <v>56</v>
      </c>
      <c r="N70" s="17" t="s">
        <v>56</v>
      </c>
      <c r="O70" s="17" t="s">
        <v>56</v>
      </c>
      <c r="P70" s="17" t="s">
        <v>56</v>
      </c>
      <c r="Q70" s="17" t="s">
        <v>56</v>
      </c>
      <c r="R70" s="7" t="s">
        <v>140</v>
      </c>
    </row>
    <row r="71" customFormat="false" ht="15" hidden="false" customHeight="false" outlineLevel="0" collapsed="false">
      <c r="A71" s="15" t="s">
        <v>143</v>
      </c>
      <c r="B71" s="7" t="s">
        <v>13</v>
      </c>
      <c r="C71" s="7" t="s">
        <v>56</v>
      </c>
      <c r="D71" s="7" t="s">
        <v>56</v>
      </c>
      <c r="E71" s="7" t="s">
        <v>56</v>
      </c>
      <c r="F71" s="7" t="s">
        <v>56</v>
      </c>
      <c r="G71" s="7" t="s">
        <v>56</v>
      </c>
      <c r="H71" s="9" t="n">
        <v>0.156034483558776</v>
      </c>
      <c r="I71" s="9" t="n">
        <v>0.165256381095333</v>
      </c>
      <c r="J71" s="9" t="n">
        <v>0.173297568366481</v>
      </c>
      <c r="K71" s="9" t="n">
        <v>0.178056052974486</v>
      </c>
      <c r="L71" s="9" t="n">
        <v>0.181672448239294</v>
      </c>
      <c r="M71" s="17" t="s">
        <v>56</v>
      </c>
      <c r="N71" s="17" t="s">
        <v>56</v>
      </c>
      <c r="O71" s="17" t="s">
        <v>56</v>
      </c>
      <c r="P71" s="17" t="s">
        <v>56</v>
      </c>
      <c r="Q71" s="17" t="s">
        <v>56</v>
      </c>
      <c r="R71" s="7" t="s">
        <v>140</v>
      </c>
    </row>
    <row r="72" customFormat="false" ht="15" hidden="false" customHeight="false" outlineLevel="0" collapsed="false">
      <c r="A72" s="15" t="s">
        <v>144</v>
      </c>
      <c r="B72" s="7" t="s">
        <v>13</v>
      </c>
      <c r="C72" s="7" t="s">
        <v>56</v>
      </c>
      <c r="D72" s="7" t="s">
        <v>56</v>
      </c>
      <c r="E72" s="7" t="s">
        <v>56</v>
      </c>
      <c r="F72" s="7" t="s">
        <v>56</v>
      </c>
      <c r="G72" s="7" t="s">
        <v>56</v>
      </c>
      <c r="H72" s="9" t="n">
        <v>0.55395844080568</v>
      </c>
      <c r="I72" s="9" t="n">
        <v>0.582148475041679</v>
      </c>
      <c r="J72" s="9" t="n">
        <v>0.564324579498171</v>
      </c>
      <c r="K72" s="9" t="n">
        <v>0.515146454083905</v>
      </c>
      <c r="L72" s="9" t="n">
        <v>0.455949090909091</v>
      </c>
      <c r="M72" s="17" t="s">
        <v>56</v>
      </c>
      <c r="N72" s="17" t="s">
        <v>56</v>
      </c>
      <c r="O72" s="17" t="s">
        <v>56</v>
      </c>
      <c r="P72" s="17" t="s">
        <v>56</v>
      </c>
      <c r="Q72" s="17" t="s">
        <v>56</v>
      </c>
      <c r="R72" s="7" t="s">
        <v>140</v>
      </c>
    </row>
    <row r="73" customFormat="false" ht="15" hidden="false" customHeight="false" outlineLevel="0" collapsed="false">
      <c r="A73" s="15" t="s">
        <v>145</v>
      </c>
      <c r="B73" s="7" t="s">
        <v>13</v>
      </c>
      <c r="C73" s="9" t="n">
        <v>1.6</v>
      </c>
      <c r="D73" s="9" t="n">
        <v>1.59151515151515</v>
      </c>
      <c r="E73" s="9" t="n">
        <v>1.37818181818182</v>
      </c>
      <c r="F73" s="9" t="n">
        <v>1.16935779816514</v>
      </c>
      <c r="G73" s="9" t="n">
        <v>0.963496503496503</v>
      </c>
      <c r="H73" s="9" t="n">
        <v>1.6</v>
      </c>
      <c r="I73" s="9" t="n">
        <v>1.59151515151515</v>
      </c>
      <c r="J73" s="9" t="n">
        <v>1.37818181818182</v>
      </c>
      <c r="K73" s="9" t="n">
        <v>1.16935779816514</v>
      </c>
      <c r="L73" s="9" t="n">
        <v>0.963496503496503</v>
      </c>
      <c r="M73" s="10" t="n">
        <f aca="false">H73-C73</f>
        <v>0</v>
      </c>
      <c r="N73" s="10" t="n">
        <f aca="false">I73-D73</f>
        <v>0</v>
      </c>
      <c r="O73" s="10" t="n">
        <f aca="false">J73-E73</f>
        <v>0</v>
      </c>
      <c r="P73" s="10" t="n">
        <f aca="false">K73-F73</f>
        <v>0</v>
      </c>
      <c r="Q73" s="10" t="n">
        <f aca="false">L73-G73</f>
        <v>0</v>
      </c>
    </row>
    <row r="74" customFormat="false" ht="15" hidden="false" customHeight="false" outlineLevel="0" collapsed="false">
      <c r="A74" s="6" t="s">
        <v>146</v>
      </c>
      <c r="B74" s="7" t="s">
        <v>13</v>
      </c>
      <c r="C74" s="9" t="n">
        <v>4.11860298507463</v>
      </c>
      <c r="D74" s="9" t="n">
        <v>4.16984343434343</v>
      </c>
      <c r="E74" s="9" t="n">
        <v>3.88867324675325</v>
      </c>
      <c r="F74" s="9" t="n">
        <v>3.40967094036697</v>
      </c>
      <c r="G74" s="9" t="n">
        <v>2.89383181818182</v>
      </c>
      <c r="H74" s="9" t="n">
        <v>4.24396782571711</v>
      </c>
      <c r="I74" s="9" t="n">
        <v>4.32822629422416</v>
      </c>
      <c r="J74" s="9" t="n">
        <v>4.15335737624535</v>
      </c>
      <c r="K74" s="9" t="n">
        <v>3.92866462307045</v>
      </c>
      <c r="L74" s="9" t="n">
        <v>3.68892073208065</v>
      </c>
      <c r="M74" s="10" t="n">
        <f aca="false">H74-C74</f>
        <v>0.12536484064248</v>
      </c>
      <c r="N74" s="10" t="n">
        <f aca="false">I74-D74</f>
        <v>0.15838285988073</v>
      </c>
      <c r="O74" s="10" t="n">
        <f aca="false">J74-E74</f>
        <v>0.2646841294921</v>
      </c>
      <c r="P74" s="10" t="n">
        <f aca="false">K74-F74</f>
        <v>0.51899368270348</v>
      </c>
      <c r="Q74" s="10" t="n">
        <f aca="false">L74-G74</f>
        <v>0.79508891389883</v>
      </c>
      <c r="R74" s="7" t="s">
        <v>147</v>
      </c>
    </row>
    <row r="75" customFormat="false" ht="15" hidden="false" customHeight="false" outlineLevel="0" collapsed="false">
      <c r="A75" s="27" t="s">
        <v>148</v>
      </c>
      <c r="B75" s="7" t="s">
        <v>13</v>
      </c>
      <c r="C75" s="9" t="n">
        <v>5.92677014925373</v>
      </c>
      <c r="D75" s="9" t="n">
        <v>6.38672222222222</v>
      </c>
      <c r="E75" s="9" t="n">
        <v>6.3446774025974</v>
      </c>
      <c r="F75" s="9" t="n">
        <v>5.93189327981651</v>
      </c>
      <c r="G75" s="9" t="n">
        <v>5.37425909090909</v>
      </c>
      <c r="H75" s="9" t="n">
        <v>5.80140530861125</v>
      </c>
      <c r="I75" s="9" t="n">
        <v>6.22833936234149</v>
      </c>
      <c r="J75" s="9" t="n">
        <v>6.0799932731053</v>
      </c>
      <c r="K75" s="9" t="n">
        <v>5.41289959711304</v>
      </c>
      <c r="L75" s="9" t="n">
        <v>4.57917017701026</v>
      </c>
      <c r="M75" s="10" t="n">
        <f aca="false">H75-C75</f>
        <v>-0.125364840642479</v>
      </c>
      <c r="N75" s="10" t="n">
        <f aca="false">I75-D75</f>
        <v>-0.15838285988073</v>
      </c>
      <c r="O75" s="10" t="n">
        <f aca="false">J75-E75</f>
        <v>-0.2646841294921</v>
      </c>
      <c r="P75" s="10" t="n">
        <f aca="false">K75-F75</f>
        <v>-0.51899368270347</v>
      </c>
      <c r="Q75" s="10" t="n">
        <f aca="false">L75-G75</f>
        <v>-0.79508891389883</v>
      </c>
    </row>
    <row r="76" customFormat="false" ht="15" hidden="false" customHeight="false" outlineLevel="0" collapsed="false">
      <c r="A76" s="8" t="s">
        <v>149</v>
      </c>
      <c r="B76" s="7" t="s">
        <v>13</v>
      </c>
      <c r="C76" s="9" t="n">
        <v>5.68696517412935</v>
      </c>
      <c r="D76" s="9" t="n">
        <v>6.08144781144781</v>
      </c>
      <c r="E76" s="9" t="n">
        <v>6.04922077922078</v>
      </c>
      <c r="F76" s="9" t="n">
        <v>5.97330275229358</v>
      </c>
      <c r="G76" s="9" t="n">
        <v>5.80331002331002</v>
      </c>
      <c r="H76" s="9" t="n">
        <v>5.72805417039801</v>
      </c>
      <c r="I76" s="9" t="n">
        <v>6.29539836195286</v>
      </c>
      <c r="J76" s="9" t="n">
        <v>6.41042116212121</v>
      </c>
      <c r="K76" s="9" t="n">
        <v>6.4077802558104</v>
      </c>
      <c r="L76" s="9" t="n">
        <v>6.2663609474359</v>
      </c>
      <c r="M76" s="10" t="n">
        <f aca="false">H76-C76</f>
        <v>0.0410889962686598</v>
      </c>
      <c r="N76" s="10" t="n">
        <f aca="false">I76-D76</f>
        <v>0.21395055050505</v>
      </c>
      <c r="O76" s="10" t="n">
        <f aca="false">J76-E76</f>
        <v>0.36120038290043</v>
      </c>
      <c r="P76" s="10" t="n">
        <f aca="false">K76-F76</f>
        <v>0.43447750351682</v>
      </c>
      <c r="Q76" s="10" t="n">
        <f aca="false">L76-G76</f>
        <v>0.46305092412588</v>
      </c>
    </row>
    <row r="77" customFormat="false" ht="15" hidden="false" customHeight="false" outlineLevel="0" collapsed="false">
      <c r="A77" s="15" t="s">
        <v>150</v>
      </c>
      <c r="B77" s="7" t="s">
        <v>13</v>
      </c>
      <c r="C77" s="9" t="n">
        <v>2.83086399839935</v>
      </c>
      <c r="D77" s="9" t="n">
        <v>2.9036317814047</v>
      </c>
      <c r="E77" s="9" t="n">
        <v>2.5486561683033</v>
      </c>
      <c r="F77" s="9" t="n">
        <v>2.33292220564508</v>
      </c>
      <c r="G77" s="9" t="n">
        <v>2.0471845690072</v>
      </c>
      <c r="H77" s="9" t="n">
        <v>2.87950676687743</v>
      </c>
      <c r="I77" s="9" t="n">
        <v>3.1282774549109</v>
      </c>
      <c r="J77" s="9" t="n">
        <v>2.79979727989272</v>
      </c>
      <c r="K77" s="9" t="n">
        <v>2.753228183953</v>
      </c>
      <c r="L77" s="9" t="n">
        <v>2.62631683470454</v>
      </c>
      <c r="M77" s="10" t="n">
        <f aca="false">H77-C77</f>
        <v>0.0486427684780799</v>
      </c>
      <c r="N77" s="10" t="n">
        <f aca="false">I77-D77</f>
        <v>0.2246456735062</v>
      </c>
      <c r="O77" s="10" t="n">
        <f aca="false">J77-E77</f>
        <v>0.25114111158942</v>
      </c>
      <c r="P77" s="10" t="n">
        <f aca="false">K77-F77</f>
        <v>0.42030597830792</v>
      </c>
      <c r="Q77" s="10" t="n">
        <f aca="false">L77-G77</f>
        <v>0.57913226569734</v>
      </c>
    </row>
    <row r="78" customFormat="false" ht="15" hidden="false" customHeight="false" outlineLevel="0" collapsed="false">
      <c r="A78" s="6" t="s">
        <v>151</v>
      </c>
      <c r="B78" s="7" t="s">
        <v>13</v>
      </c>
      <c r="C78" s="9" t="n">
        <v>-2.59105902327497</v>
      </c>
      <c r="D78" s="9" t="n">
        <v>-2.59835737063028</v>
      </c>
      <c r="E78" s="9" t="n">
        <v>-2.25319954492668</v>
      </c>
      <c r="F78" s="9" t="n">
        <v>-2.37433167812214</v>
      </c>
      <c r="G78" s="9" t="n">
        <v>-2.47623550140813</v>
      </c>
      <c r="H78" s="9" t="n">
        <v>-2.80615562866419</v>
      </c>
      <c r="I78" s="9" t="n">
        <v>-3.19533645452227</v>
      </c>
      <c r="J78" s="9" t="n">
        <v>-3.13022516890863</v>
      </c>
      <c r="K78" s="9" t="n">
        <v>-3.74810884265036</v>
      </c>
      <c r="L78" s="9" t="n">
        <v>-4.31350760513018</v>
      </c>
      <c r="M78" s="10" t="n">
        <f aca="false">H78-C78</f>
        <v>-0.21509660538922</v>
      </c>
      <c r="N78" s="10" t="n">
        <f aca="false">I78-D78</f>
        <v>-0.59697908389199</v>
      </c>
      <c r="O78" s="10" t="n">
        <f aca="false">J78-E78</f>
        <v>-0.87702562398195</v>
      </c>
      <c r="P78" s="10" t="n">
        <f aca="false">K78-F78</f>
        <v>-1.37377716452822</v>
      </c>
      <c r="Q78" s="10" t="n">
        <f aca="false">L78-G78</f>
        <v>-1.83727210372205</v>
      </c>
    </row>
    <row r="79" customFormat="false" ht="15" hidden="false" customHeight="false" outlineLevel="0" collapsed="false">
      <c r="A79" s="15" t="s">
        <v>152</v>
      </c>
      <c r="B79" s="7" t="s">
        <v>13</v>
      </c>
      <c r="C79" s="9" t="n">
        <v>34</v>
      </c>
      <c r="D79" s="9" t="n">
        <v>34</v>
      </c>
      <c r="E79" s="9" t="n">
        <v>34</v>
      </c>
      <c r="F79" s="9" t="n">
        <v>34</v>
      </c>
      <c r="G79" s="9" t="n">
        <v>34</v>
      </c>
      <c r="H79" s="9" t="n">
        <v>34.759438</v>
      </c>
      <c r="I79" s="9" t="n">
        <v>37.515928</v>
      </c>
      <c r="J79" s="9" t="n">
        <v>37.586352</v>
      </c>
      <c r="K79" s="9" t="n">
        <v>37.586352</v>
      </c>
      <c r="L79" s="9" t="n">
        <v>37.586352</v>
      </c>
      <c r="M79" s="10" t="n">
        <f aca="false">H79-C79</f>
        <v>0.759438000000003</v>
      </c>
      <c r="N79" s="10" t="n">
        <f aca="false">I79-D79</f>
        <v>3.515928</v>
      </c>
      <c r="O79" s="10" t="n">
        <f aca="false">J79-E79</f>
        <v>3.586352</v>
      </c>
      <c r="P79" s="10" t="n">
        <f aca="false">K79-F79</f>
        <v>3.586352</v>
      </c>
      <c r="Q79" s="10" t="n">
        <f aca="false">L79-G79</f>
        <v>3.586352</v>
      </c>
    </row>
    <row r="80" customFormat="false" ht="15" hidden="false" customHeight="false" outlineLevel="0" collapsed="false">
      <c r="A80" s="15" t="s">
        <v>153</v>
      </c>
      <c r="B80" s="7" t="s">
        <v>13</v>
      </c>
      <c r="C80" s="9" t="n">
        <v>8.37114427860697</v>
      </c>
      <c r="D80" s="9" t="n">
        <v>8.79713804713805</v>
      </c>
      <c r="E80" s="9" t="n">
        <v>8.52779220779221</v>
      </c>
      <c r="F80" s="9" t="n">
        <v>7.7846368501529</v>
      </c>
      <c r="G80" s="9" t="n">
        <v>6.89007575757576</v>
      </c>
      <c r="H80" s="9" t="n">
        <v>8.37114427860697</v>
      </c>
      <c r="I80" s="9" t="n">
        <v>8.79713804713805</v>
      </c>
      <c r="J80" s="9" t="n">
        <v>8.52779220779221</v>
      </c>
      <c r="K80" s="9" t="n">
        <v>7.7846368501529</v>
      </c>
      <c r="L80" s="9" t="n">
        <v>6.89007575757576</v>
      </c>
      <c r="M80" s="10" t="n">
        <f aca="false">H80-C80</f>
        <v>0</v>
      </c>
      <c r="N80" s="10" t="n">
        <f aca="false">I80-D80</f>
        <v>0</v>
      </c>
      <c r="O80" s="10" t="n">
        <f aca="false">J80-E80</f>
        <v>0</v>
      </c>
      <c r="P80" s="10" t="n">
        <f aca="false">K80-F80</f>
        <v>0</v>
      </c>
      <c r="Q80" s="10" t="n">
        <f aca="false">L80-G80</f>
        <v>0</v>
      </c>
    </row>
    <row r="81" customFormat="false" ht="15" hidden="false" customHeight="false" outlineLevel="0" collapsed="false">
      <c r="A81" s="15" t="s">
        <v>154</v>
      </c>
      <c r="B81" s="7" t="s">
        <v>13</v>
      </c>
      <c r="C81" s="9" t="n">
        <v>4.93897512437811</v>
      </c>
      <c r="D81" s="9" t="n">
        <v>5.32226851851852</v>
      </c>
      <c r="E81" s="9" t="n">
        <v>5.28723116883117</v>
      </c>
      <c r="F81" s="9" t="n">
        <v>4.9432443998471</v>
      </c>
      <c r="G81" s="9" t="n">
        <v>4.47854924242424</v>
      </c>
      <c r="H81" s="9" t="n">
        <v>4.8345044238427</v>
      </c>
      <c r="I81" s="9" t="n">
        <v>5.19028280195124</v>
      </c>
      <c r="J81" s="9" t="n">
        <v>5.06666106092108</v>
      </c>
      <c r="K81" s="9" t="n">
        <v>4.51074966426087</v>
      </c>
      <c r="L81" s="9" t="n">
        <v>3.81597514750855</v>
      </c>
      <c r="M81" s="10" t="n">
        <f aca="false">H81-C81</f>
        <v>-0.104470700535409</v>
      </c>
      <c r="N81" s="10" t="n">
        <f aca="false">I81-D81</f>
        <v>-0.13198571656728</v>
      </c>
      <c r="O81" s="10" t="n">
        <f aca="false">J81-E81</f>
        <v>-0.22057010791009</v>
      </c>
      <c r="P81" s="10" t="n">
        <f aca="false">K81-F81</f>
        <v>-0.43249473558623</v>
      </c>
      <c r="Q81" s="10" t="n">
        <f aca="false">L81-G81</f>
        <v>-0.66257409491569</v>
      </c>
    </row>
    <row r="82" customFormat="false" ht="29.85" hidden="false" customHeight="false" outlineLevel="0" collapsed="false">
      <c r="A82" s="4" t="s">
        <v>155</v>
      </c>
      <c r="B82" s="4" t="s">
        <v>4</v>
      </c>
      <c r="C82" s="5" t="s">
        <v>119</v>
      </c>
      <c r="D82" s="5" t="s">
        <v>120</v>
      </c>
      <c r="E82" s="5" t="s">
        <v>121</v>
      </c>
      <c r="F82" s="5" t="s">
        <v>122</v>
      </c>
      <c r="G82" s="5" t="s">
        <v>123</v>
      </c>
      <c r="H82" s="5" t="s">
        <v>124</v>
      </c>
      <c r="I82" s="5" t="s">
        <v>125</v>
      </c>
      <c r="J82" s="5" t="s">
        <v>126</v>
      </c>
      <c r="K82" s="5" t="s">
        <v>127</v>
      </c>
      <c r="L82" s="5" t="s">
        <v>128</v>
      </c>
      <c r="M82" s="4" t="s">
        <v>129</v>
      </c>
      <c r="N82" s="4" t="s">
        <v>130</v>
      </c>
      <c r="O82" s="4" t="s">
        <v>131</v>
      </c>
      <c r="P82" s="4" t="s">
        <v>132</v>
      </c>
      <c r="Q82" s="4" t="s">
        <v>133</v>
      </c>
      <c r="R82" s="4" t="s">
        <v>134</v>
      </c>
    </row>
    <row r="83" customFormat="false" ht="15" hidden="false" customHeight="false" outlineLevel="0" collapsed="false">
      <c r="A83" s="15" t="s">
        <v>156</v>
      </c>
      <c r="B83" s="7" t="s">
        <v>13</v>
      </c>
      <c r="C83" s="10" t="n">
        <f aca="false">C66*C64/C65</f>
        <v>8.371144278607</v>
      </c>
      <c r="D83" s="10" t="n">
        <f aca="false">D66*D64/D65</f>
        <v>8.79713804713808</v>
      </c>
      <c r="E83" s="10" t="n">
        <f aca="false">E66*E64/E65</f>
        <v>8.52779220779217</v>
      </c>
      <c r="F83" s="10" t="n">
        <f aca="false">F66*F64/F65</f>
        <v>7.7846368501529</v>
      </c>
      <c r="G83" s="10" t="n">
        <f aca="false">G66*G64/G65</f>
        <v>6.89007575757576</v>
      </c>
      <c r="H83" s="10" t="n">
        <f aca="false">H66*H64/H65</f>
        <v>8.371144278607</v>
      </c>
      <c r="I83" s="10" t="n">
        <f aca="false">I66*I64/I65</f>
        <v>8.79713804713808</v>
      </c>
      <c r="J83" s="10" t="n">
        <f aca="false">J66*J64/J65</f>
        <v>8.52779220779217</v>
      </c>
      <c r="K83" s="10" t="n">
        <f aca="false">K66*K64/K65</f>
        <v>7.7846368501529</v>
      </c>
      <c r="L83" s="10" t="n">
        <f aca="false">L66*L64/L65</f>
        <v>6.89007575757576</v>
      </c>
      <c r="M83" s="10" t="n">
        <f aca="false">H83-C83</f>
        <v>0</v>
      </c>
      <c r="N83" s="10" t="n">
        <f aca="false">I83-D83</f>
        <v>0</v>
      </c>
      <c r="O83" s="10" t="n">
        <f aca="false">J83-E83</f>
        <v>0</v>
      </c>
      <c r="P83" s="10" t="n">
        <f aca="false">K83-F83</f>
        <v>0</v>
      </c>
      <c r="Q83" s="10" t="n">
        <f aca="false">L83-G83</f>
        <v>0</v>
      </c>
    </row>
    <row r="84" customFormat="false" ht="15" hidden="false" customHeight="false" outlineLevel="0" collapsed="false">
      <c r="A84" s="15" t="s">
        <v>157</v>
      </c>
      <c r="B84" s="7" t="s">
        <v>13</v>
      </c>
      <c r="C84" s="10" t="n">
        <f aca="false">C74*C64/C65</f>
        <v>3.43216915422886</v>
      </c>
      <c r="D84" s="10" t="n">
        <f aca="false">D74*D64/D65</f>
        <v>3.47486952861952</v>
      </c>
      <c r="E84" s="10" t="n">
        <f aca="false">E74*E64/E65</f>
        <v>3.24056103896104</v>
      </c>
      <c r="F84" s="10" t="n">
        <f aca="false">F74*F64/F65</f>
        <v>2.84139245030581</v>
      </c>
      <c r="G84" s="10" t="n">
        <f aca="false">G74*G64/G65</f>
        <v>2.41152651515152</v>
      </c>
      <c r="H84" s="10" t="n">
        <f aca="false">H74*H64/H65</f>
        <v>3.53663985476426</v>
      </c>
      <c r="I84" s="10" t="n">
        <f aca="false">I74*I64/I65</f>
        <v>3.6068552451868</v>
      </c>
      <c r="J84" s="10" t="n">
        <f aca="false">J74*J64/J65</f>
        <v>3.46113114687113</v>
      </c>
      <c r="K84" s="10" t="n">
        <f aca="false">K74*K64/K65</f>
        <v>3.27388718589204</v>
      </c>
      <c r="L84" s="10" t="n">
        <f aca="false">L74*L64/L65</f>
        <v>3.07410061006721</v>
      </c>
      <c r="M84" s="10" t="n">
        <f aca="false">H84-C84</f>
        <v>0.1044707005354</v>
      </c>
      <c r="N84" s="10" t="n">
        <f aca="false">I84-D84</f>
        <v>0.131985716567275</v>
      </c>
      <c r="O84" s="10" t="n">
        <f aca="false">J84-E84</f>
        <v>0.220570107910083</v>
      </c>
      <c r="P84" s="10" t="n">
        <f aca="false">K84-F84</f>
        <v>0.432494735586234</v>
      </c>
      <c r="Q84" s="10" t="n">
        <f aca="false">L84-G84</f>
        <v>0.662574094915692</v>
      </c>
    </row>
    <row r="85" customFormat="false" ht="15" hidden="false" customHeight="false" outlineLevel="0" collapsed="false">
      <c r="A85" s="15" t="s">
        <v>158</v>
      </c>
      <c r="B85" s="7" t="s">
        <v>13</v>
      </c>
      <c r="C85" s="10" t="n">
        <f aca="false">C75*C64/C65</f>
        <v>4.93897512437811</v>
      </c>
      <c r="D85" s="10" t="n">
        <f aca="false">D75*D64/D65</f>
        <v>5.32226851851852</v>
      </c>
      <c r="E85" s="10" t="n">
        <f aca="false">E75*E64/E65</f>
        <v>5.28723116883117</v>
      </c>
      <c r="F85" s="10" t="n">
        <f aca="false">F75*F64/F65</f>
        <v>4.94324439984709</v>
      </c>
      <c r="G85" s="10" t="n">
        <f aca="false">G75*G64/G65</f>
        <v>4.47854924242424</v>
      </c>
      <c r="H85" s="10" t="n">
        <f aca="false">H75*H64/H65</f>
        <v>4.83450442384271</v>
      </c>
      <c r="I85" s="10" t="n">
        <f aca="false">I75*I64/I65</f>
        <v>5.19028280195124</v>
      </c>
      <c r="J85" s="10" t="n">
        <f aca="false">J75*J64/J65</f>
        <v>5.06666106092108</v>
      </c>
      <c r="K85" s="10" t="n">
        <f aca="false">K75*K64/K65</f>
        <v>4.51074966426087</v>
      </c>
      <c r="L85" s="10" t="n">
        <f aca="false">L75*L64/L65</f>
        <v>3.81597514750855</v>
      </c>
      <c r="M85" s="10" t="n">
        <f aca="false">H85-C85</f>
        <v>-0.1044707005354</v>
      </c>
      <c r="N85" s="10" t="n">
        <f aca="false">I85-D85</f>
        <v>-0.131985716567276</v>
      </c>
      <c r="O85" s="10" t="n">
        <f aca="false">J85-E85</f>
        <v>-0.220570107910084</v>
      </c>
      <c r="P85" s="10" t="n">
        <f aca="false">K85-F85</f>
        <v>-0.432494735586225</v>
      </c>
      <c r="Q85" s="10" t="n">
        <f aca="false">L85-G85</f>
        <v>-0.662574094915692</v>
      </c>
    </row>
    <row r="86" customFormat="false" ht="15" hidden="false" customHeight="false" outlineLevel="0" collapsed="false">
      <c r="A86" s="15" t="s">
        <v>159</v>
      </c>
      <c r="B86" s="7" t="s">
        <v>13</v>
      </c>
      <c r="C86" s="10" t="n">
        <f aca="false">C76*C64/C65</f>
        <v>4.73913764510779</v>
      </c>
      <c r="D86" s="10" t="n">
        <f aca="false">D76*D64/D65</f>
        <v>5.06787317620651</v>
      </c>
      <c r="E86" s="10" t="n">
        <f aca="false">E76*E64/E65</f>
        <v>5.04101731601732</v>
      </c>
      <c r="F86" s="10" t="n">
        <f aca="false">F76*F64/F65</f>
        <v>4.97775229357798</v>
      </c>
      <c r="G86" s="10" t="n">
        <f aca="false">G76*G64/G65</f>
        <v>4.83609168609168</v>
      </c>
      <c r="H86" s="10" t="n">
        <f aca="false">H76*H64/H65</f>
        <v>4.77337847533168</v>
      </c>
      <c r="I86" s="10" t="n">
        <f aca="false">I76*I64/I65</f>
        <v>5.24616530162738</v>
      </c>
      <c r="J86" s="10" t="n">
        <f aca="false">J76*J64/J65</f>
        <v>5.34201763510101</v>
      </c>
      <c r="K86" s="10" t="n">
        <f aca="false">K76*K64/K65</f>
        <v>5.339816879842</v>
      </c>
      <c r="L86" s="10" t="n">
        <f aca="false">L76*L64/L65</f>
        <v>5.22196745619658</v>
      </c>
      <c r="M86" s="10" t="n">
        <f aca="false">H86-C86</f>
        <v>0.034240830223883</v>
      </c>
      <c r="N86" s="10" t="n">
        <f aca="false">I86-D86</f>
        <v>0.178292125420874</v>
      </c>
      <c r="O86" s="10" t="n">
        <f aca="false">J86-E86</f>
        <v>0.301000319083692</v>
      </c>
      <c r="P86" s="10" t="n">
        <f aca="false">K86-F86</f>
        <v>0.362064586264017</v>
      </c>
      <c r="Q86" s="10" t="n">
        <f aca="false">L86-G86</f>
        <v>0.3858757701049</v>
      </c>
    </row>
    <row r="87" customFormat="false" ht="15" hidden="false" customHeight="false" outlineLevel="0" collapsed="false">
      <c r="A87" s="15" t="s">
        <v>160</v>
      </c>
      <c r="B87" s="7" t="s">
        <v>13</v>
      </c>
      <c r="C87" s="10" t="n">
        <f aca="false">C77*C64/C65</f>
        <v>2.35905333199946</v>
      </c>
      <c r="D87" s="10" t="n">
        <f aca="false">D77*D64/D65</f>
        <v>2.41969315117058</v>
      </c>
      <c r="E87" s="10" t="n">
        <f aca="false">E77*E64/E65</f>
        <v>2.12388014025275</v>
      </c>
      <c r="F87" s="10" t="n">
        <f aca="false">F77*F64/F65</f>
        <v>1.94410183803757</v>
      </c>
      <c r="G87" s="10" t="n">
        <f aca="false">G77*G64/G65</f>
        <v>1.70598714083933</v>
      </c>
      <c r="H87" s="10" t="n">
        <f aca="false">H77*H64/H65</f>
        <v>2.39958897239786</v>
      </c>
      <c r="I87" s="10" t="n">
        <f aca="false">I77*I64/I65</f>
        <v>2.60689787909242</v>
      </c>
      <c r="J87" s="10" t="n">
        <f aca="false">J77*J64/J65</f>
        <v>2.3331643999106</v>
      </c>
      <c r="K87" s="10" t="n">
        <f aca="false">K77*K64/K65</f>
        <v>2.29435681996083</v>
      </c>
      <c r="L87" s="10" t="n">
        <f aca="false">L77*L64/L65</f>
        <v>2.18859736225378</v>
      </c>
      <c r="M87" s="10" t="n">
        <f aca="false">H87-C87</f>
        <v>0.0405356403983994</v>
      </c>
      <c r="N87" s="10" t="n">
        <f aca="false">I87-D87</f>
        <v>0.187204727921833</v>
      </c>
      <c r="O87" s="10" t="n">
        <f aca="false">J87-E87</f>
        <v>0.20928425965785</v>
      </c>
      <c r="P87" s="10" t="n">
        <f aca="false">K87-F87</f>
        <v>0.350254981923266</v>
      </c>
      <c r="Q87" s="10" t="n">
        <f aca="false">L87-G87</f>
        <v>0.48261022141445</v>
      </c>
    </row>
    <row r="88" customFormat="false" ht="15" hidden="false" customHeight="false" outlineLevel="0" collapsed="false">
      <c r="A88" s="15" t="s">
        <v>161</v>
      </c>
      <c r="B88" s="7" t="s">
        <v>13</v>
      </c>
      <c r="C88" s="10" t="n">
        <f aca="false">C78*C64/C65</f>
        <v>-2.15921585272914</v>
      </c>
      <c r="D88" s="10" t="n">
        <f aca="false">D78*D64/D65</f>
        <v>-2.16529780885857</v>
      </c>
      <c r="E88" s="10" t="n">
        <f aca="false">E78*E64/E65</f>
        <v>-1.8776662874389</v>
      </c>
      <c r="F88" s="10" t="n">
        <f aca="false">F78*F64/F65</f>
        <v>-1.97860973176845</v>
      </c>
      <c r="G88" s="10" t="n">
        <f aca="false">G78*G64/G65</f>
        <v>-2.06352958450678</v>
      </c>
      <c r="H88" s="10" t="n">
        <f aca="false">H78*H64/H65</f>
        <v>-2.33846302388683</v>
      </c>
      <c r="I88" s="10" t="n">
        <f aca="false">I78*I64/I65</f>
        <v>-2.66278037876856</v>
      </c>
      <c r="J88" s="10" t="n">
        <f aca="false">J78*J64/J65</f>
        <v>-2.60852097409053</v>
      </c>
      <c r="K88" s="10" t="n">
        <f aca="false">K78*K64/K65</f>
        <v>-3.12342403554197</v>
      </c>
      <c r="L88" s="10" t="n">
        <f aca="false">L78*L64/L65</f>
        <v>-3.59458967094182</v>
      </c>
      <c r="M88" s="10" t="n">
        <f aca="false">H88-C88</f>
        <v>-0.179247171157683</v>
      </c>
      <c r="N88" s="10" t="n">
        <f aca="false">I88-D88</f>
        <v>-0.497482569909992</v>
      </c>
      <c r="O88" s="10" t="n">
        <f aca="false">J88-E88</f>
        <v>-0.730854686651625</v>
      </c>
      <c r="P88" s="10" t="n">
        <f aca="false">K88-F88</f>
        <v>-1.14481430377352</v>
      </c>
      <c r="Q88" s="10" t="n">
        <f aca="false">L88-G88</f>
        <v>-1.53106008643504</v>
      </c>
    </row>
    <row r="89" customFormat="false" ht="15" hidden="false" customHeight="false" outlineLevel="0" collapsed="false">
      <c r="A89" s="15" t="s">
        <v>162</v>
      </c>
      <c r="B89" s="7" t="s">
        <v>13</v>
      </c>
      <c r="C89" s="10" t="n">
        <f aca="false">C79*C64/C65</f>
        <v>28.3333333333333</v>
      </c>
      <c r="D89" s="10" t="n">
        <f aca="false">D79*D64/D65</f>
        <v>28.3333333333333</v>
      </c>
      <c r="E89" s="10" t="n">
        <f aca="false">E79*E64/E65</f>
        <v>28.3333333333333</v>
      </c>
      <c r="F89" s="10" t="n">
        <f aca="false">F79*F64/F65</f>
        <v>28.3333333333333</v>
      </c>
      <c r="G89" s="10" t="n">
        <f aca="false">G79*G64/G65</f>
        <v>28.3333333333333</v>
      </c>
      <c r="H89" s="10" t="n">
        <f aca="false">H79*H64/H65</f>
        <v>28.9661983333333</v>
      </c>
      <c r="I89" s="10" t="n">
        <f aca="false">I79*I64/I65</f>
        <v>31.2632733333333</v>
      </c>
      <c r="J89" s="10" t="n">
        <f aca="false">J79*J64/J65</f>
        <v>31.32196</v>
      </c>
      <c r="K89" s="10" t="n">
        <f aca="false">K79*K64/K65</f>
        <v>31.32196</v>
      </c>
      <c r="L89" s="10" t="n">
        <f aca="false">L79*L64/L65</f>
        <v>31.32196</v>
      </c>
      <c r="M89" s="10" t="n">
        <f aca="false">H89-C89</f>
        <v>0.632865000000006</v>
      </c>
      <c r="N89" s="10" t="n">
        <f aca="false">I89-D89</f>
        <v>2.92994000000001</v>
      </c>
      <c r="O89" s="10" t="n">
        <f aca="false">J89-E89</f>
        <v>2.98862666666667</v>
      </c>
      <c r="P89" s="10" t="n">
        <f aca="false">K89-F89</f>
        <v>2.98862666666667</v>
      </c>
      <c r="Q89" s="10" t="n">
        <f aca="false">L89-G89</f>
        <v>2.98862666666667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29" t="s">
        <v>165</v>
      </c>
    </row>
    <row r="2" customFormat="false" ht="15" hidden="false" customHeight="false" outlineLevel="0" collapsed="false">
      <c r="A2" s="30" t="s">
        <v>166</v>
      </c>
    </row>
    <row r="4" customFormat="false" ht="15" hidden="false" customHeight="false" outlineLevel="0" collapsed="false">
      <c r="A4" s="4" t="s">
        <v>167</v>
      </c>
      <c r="B4" s="4" t="s">
        <v>4</v>
      </c>
      <c r="C4" s="4" t="s">
        <v>168</v>
      </c>
      <c r="D4" s="4" t="s">
        <v>169</v>
      </c>
      <c r="E4" s="4" t="s">
        <v>170</v>
      </c>
      <c r="F4" s="5" t="s">
        <v>171</v>
      </c>
      <c r="G4" s="4" t="s">
        <v>172</v>
      </c>
      <c r="H4" s="4" t="s">
        <v>134</v>
      </c>
    </row>
    <row r="5" customFormat="false" ht="55.2" hidden="false" customHeight="false" outlineLevel="0" collapsed="false">
      <c r="A5" s="33" t="s">
        <v>173</v>
      </c>
      <c r="B5" s="16" t="s">
        <v>13</v>
      </c>
      <c r="C5" s="16" t="s">
        <v>174</v>
      </c>
      <c r="D5" s="16" t="s">
        <v>175</v>
      </c>
      <c r="E5" s="16" t="s">
        <v>176</v>
      </c>
      <c r="F5" s="16" t="s">
        <v>177</v>
      </c>
      <c r="G5" s="16" t="s">
        <v>178</v>
      </c>
      <c r="H5" s="16" t="s">
        <v>179</v>
      </c>
    </row>
    <row r="6" customFormat="false" ht="15" hidden="false" customHeight="false" outlineLevel="0" collapsed="false">
      <c r="A6" s="34" t="s">
        <v>180</v>
      </c>
      <c r="B6" s="12" t="s">
        <v>181</v>
      </c>
      <c r="C6" s="16" t="s">
        <v>182</v>
      </c>
      <c r="D6" s="16" t="s">
        <v>182</v>
      </c>
      <c r="E6" s="12" t="s">
        <v>183</v>
      </c>
      <c r="F6" s="16" t="s">
        <v>184</v>
      </c>
      <c r="G6" s="16" t="s">
        <v>178</v>
      </c>
      <c r="H6" s="12" t="s">
        <v>185</v>
      </c>
    </row>
    <row r="7" customFormat="false" ht="29.85" hidden="false" customHeight="false" outlineLevel="0" collapsed="false">
      <c r="A7" s="34" t="s">
        <v>186</v>
      </c>
      <c r="B7" s="16" t="s">
        <v>111</v>
      </c>
      <c r="C7" s="16" t="s">
        <v>187</v>
      </c>
      <c r="D7" s="16" t="s">
        <v>188</v>
      </c>
      <c r="E7" s="16" t="s">
        <v>56</v>
      </c>
      <c r="F7" s="16" t="s">
        <v>189</v>
      </c>
      <c r="G7" s="16" t="s">
        <v>178</v>
      </c>
      <c r="H7" s="12" t="s">
        <v>190</v>
      </c>
    </row>
    <row r="8" customFormat="false" ht="29.85" hidden="false" customHeight="false" outlineLevel="0" collapsed="false">
      <c r="A8" s="33" t="s">
        <v>191</v>
      </c>
      <c r="B8" s="16" t="s">
        <v>192</v>
      </c>
      <c r="C8" s="12" t="s">
        <v>193</v>
      </c>
      <c r="D8" s="16" t="s">
        <v>194</v>
      </c>
      <c r="E8" s="16" t="s">
        <v>195</v>
      </c>
      <c r="F8" s="16" t="s">
        <v>196</v>
      </c>
      <c r="G8" s="16" t="s">
        <v>197</v>
      </c>
      <c r="H8" s="12" t="s">
        <v>198</v>
      </c>
    </row>
    <row r="9" customFormat="false" ht="55.2" hidden="false" customHeight="false" outlineLevel="0" collapsed="false">
      <c r="A9" s="33" t="s">
        <v>199</v>
      </c>
      <c r="B9" s="16" t="s">
        <v>192</v>
      </c>
      <c r="C9" s="16" t="s">
        <v>200</v>
      </c>
      <c r="D9" s="16" t="s">
        <v>201</v>
      </c>
      <c r="E9" s="16" t="s">
        <v>202</v>
      </c>
      <c r="F9" s="16" t="s">
        <v>203</v>
      </c>
      <c r="G9" s="16" t="s">
        <v>197</v>
      </c>
      <c r="H9" s="12" t="s">
        <v>204</v>
      </c>
    </row>
    <row r="10" customFormat="false" ht="15" hidden="false" customHeight="false" outlineLevel="0" collapsed="false">
      <c r="A10" s="33" t="s">
        <v>205</v>
      </c>
      <c r="B10" s="16" t="s">
        <v>192</v>
      </c>
      <c r="C10" s="16" t="s">
        <v>56</v>
      </c>
      <c r="D10" s="16" t="s">
        <v>206</v>
      </c>
      <c r="E10" s="16" t="s">
        <v>207</v>
      </c>
      <c r="F10" s="16" t="s">
        <v>208</v>
      </c>
      <c r="G10" s="16" t="s">
        <v>197</v>
      </c>
      <c r="H10" s="12" t="s">
        <v>209</v>
      </c>
    </row>
    <row r="11" customFormat="false" ht="55.2" hidden="false" customHeight="false" outlineLevel="0" collapsed="false">
      <c r="A11" s="33" t="s">
        <v>210</v>
      </c>
      <c r="B11" s="16" t="s">
        <v>192</v>
      </c>
      <c r="C11" s="16" t="s">
        <v>56</v>
      </c>
      <c r="D11" s="16" t="s">
        <v>211</v>
      </c>
      <c r="E11" s="16" t="s">
        <v>212</v>
      </c>
      <c r="F11" s="16" t="s">
        <v>213</v>
      </c>
      <c r="G11" s="16" t="s">
        <v>197</v>
      </c>
      <c r="H11" s="12" t="s">
        <v>214</v>
      </c>
    </row>
    <row r="12" customFormat="false" ht="29.85" hidden="false" customHeight="false" outlineLevel="0" collapsed="false">
      <c r="A12" s="33" t="s">
        <v>215</v>
      </c>
      <c r="B12" s="16" t="s">
        <v>216</v>
      </c>
      <c r="C12" s="12" t="s">
        <v>217</v>
      </c>
      <c r="D12" s="16" t="s">
        <v>218</v>
      </c>
      <c r="E12" s="16" t="s">
        <v>219</v>
      </c>
      <c r="F12" s="16" t="s">
        <v>220</v>
      </c>
      <c r="G12" s="16" t="s">
        <v>178</v>
      </c>
      <c r="H12" s="12" t="s">
        <v>221</v>
      </c>
    </row>
    <row r="13" customFormat="false" ht="44" hidden="false" customHeight="false" outlineLevel="0" collapsed="false">
      <c r="A13" s="33" t="s">
        <v>222</v>
      </c>
      <c r="B13" s="16" t="s">
        <v>111</v>
      </c>
      <c r="C13" s="16" t="s">
        <v>56</v>
      </c>
      <c r="D13" s="16" t="s">
        <v>223</v>
      </c>
      <c r="E13" s="16" t="s">
        <v>224</v>
      </c>
      <c r="F13" s="16" t="s">
        <v>225</v>
      </c>
      <c r="G13" s="16" t="s">
        <v>226</v>
      </c>
      <c r="H13" s="16" t="s">
        <v>227</v>
      </c>
    </row>
    <row r="14" customFormat="false" ht="41" hidden="false" customHeight="false" outlineLevel="0" collapsed="false">
      <c r="A14" s="33" t="s">
        <v>228</v>
      </c>
      <c r="B14" s="16" t="s">
        <v>111</v>
      </c>
      <c r="C14" s="16" t="s">
        <v>56</v>
      </c>
      <c r="D14" s="16" t="s">
        <v>229</v>
      </c>
      <c r="E14" s="16" t="s">
        <v>230</v>
      </c>
      <c r="F14" s="16" t="s">
        <v>231</v>
      </c>
      <c r="G14" s="16" t="s">
        <v>226</v>
      </c>
      <c r="H14" s="16" t="s">
        <v>232</v>
      </c>
    </row>
    <row r="15" customFormat="false" ht="29.85" hidden="false" customHeight="false" outlineLevel="0" collapsed="false">
      <c r="A15" s="34" t="s">
        <v>233</v>
      </c>
      <c r="B15" s="16" t="s">
        <v>56</v>
      </c>
      <c r="C15" s="12" t="s">
        <v>234</v>
      </c>
      <c r="D15" s="16" t="s">
        <v>235</v>
      </c>
      <c r="E15" s="12" t="s">
        <v>236</v>
      </c>
      <c r="F15" s="16" t="s">
        <v>237</v>
      </c>
      <c r="G15" s="16" t="s">
        <v>226</v>
      </c>
      <c r="H15" s="12" t="s">
        <v>238</v>
      </c>
    </row>
    <row r="16" customFormat="false" ht="26.85" hidden="false" customHeight="false" outlineLevel="0" collapsed="false">
      <c r="A16" s="33" t="s">
        <v>239</v>
      </c>
      <c r="B16" s="16" t="s">
        <v>192</v>
      </c>
      <c r="C16" s="16" t="s">
        <v>240</v>
      </c>
      <c r="D16" s="12" t="s">
        <v>241</v>
      </c>
      <c r="E16" s="16" t="s">
        <v>56</v>
      </c>
      <c r="F16" s="16" t="s">
        <v>242</v>
      </c>
      <c r="G16" s="16" t="s">
        <v>243</v>
      </c>
      <c r="H16" s="16" t="s">
        <v>244</v>
      </c>
    </row>
    <row r="17" customFormat="false" ht="15" hidden="false" customHeight="false" outlineLevel="0" collapsed="false">
      <c r="A17" s="33" t="s">
        <v>245</v>
      </c>
      <c r="B17" s="16" t="s">
        <v>56</v>
      </c>
      <c r="C17" s="12" t="s">
        <v>246</v>
      </c>
      <c r="D17" s="16" t="s">
        <v>247</v>
      </c>
      <c r="E17" s="16" t="s">
        <v>56</v>
      </c>
      <c r="F17" s="16" t="s">
        <v>248</v>
      </c>
      <c r="G17" s="16" t="s">
        <v>56</v>
      </c>
      <c r="H17" s="12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2"/>
  </cols>
  <sheetData>
    <row r="1" customFormat="false" ht="20.1" hidden="false" customHeight="false" outlineLevel="0" collapsed="false">
      <c r="A1" s="29" t="s">
        <v>250</v>
      </c>
    </row>
    <row r="2" customFormat="false" ht="39.75" hidden="false" customHeight="true" outlineLevel="0" collapsed="false">
      <c r="A2" s="35" t="s">
        <v>251</v>
      </c>
      <c r="B2" s="35"/>
      <c r="C2" s="35"/>
      <c r="D2" s="35"/>
      <c r="E2" s="35"/>
      <c r="F2" s="35"/>
      <c r="G2" s="35"/>
      <c r="H2" s="35"/>
      <c r="I2" s="35"/>
      <c r="J2" s="35"/>
    </row>
    <row r="4" customFormat="false" ht="29.85" hidden="false" customHeight="false" outlineLevel="0" collapsed="false">
      <c r="A4" s="4" t="s">
        <v>3</v>
      </c>
      <c r="B4" s="4" t="s">
        <v>252</v>
      </c>
      <c r="C4" s="4" t="s">
        <v>253</v>
      </c>
      <c r="D4" s="4" t="s">
        <v>254</v>
      </c>
      <c r="E4" s="4" t="s">
        <v>255</v>
      </c>
      <c r="F4" s="4" t="s">
        <v>256</v>
      </c>
      <c r="G4" s="4" t="s">
        <v>257</v>
      </c>
      <c r="H4" s="4" t="s">
        <v>258</v>
      </c>
      <c r="I4" s="4" t="s">
        <v>259</v>
      </c>
      <c r="J4" s="4" t="s">
        <v>260</v>
      </c>
    </row>
    <row r="5" customFormat="false" ht="15" hidden="false" customHeight="false" outlineLevel="0" collapsed="false">
      <c r="A5" s="27" t="s">
        <v>261</v>
      </c>
      <c r="B5" s="19" t="n">
        <v>69.741656925025</v>
      </c>
      <c r="E5" s="19" t="n">
        <v>45.501149936383</v>
      </c>
      <c r="H5" s="19" t="n">
        <v>30.953265648845</v>
      </c>
    </row>
    <row r="6" customFormat="false" ht="15" hidden="false" customHeight="false" outlineLevel="0" collapsed="false">
      <c r="A6" s="8" t="s">
        <v>262</v>
      </c>
      <c r="B6" s="19" t="n">
        <v>0</v>
      </c>
      <c r="E6" s="19" t="n">
        <v>0</v>
      </c>
      <c r="H6" s="19" t="n">
        <v>0</v>
      </c>
    </row>
    <row r="7" customFormat="false" ht="15" hidden="false" customHeight="false" outlineLevel="0" collapsed="false">
      <c r="A7" s="8" t="s">
        <v>263</v>
      </c>
      <c r="B7" s="19" t="n">
        <v>0</v>
      </c>
      <c r="E7" s="19" t="n">
        <v>0</v>
      </c>
      <c r="H7" s="19" t="n">
        <v>0</v>
      </c>
    </row>
    <row r="8" customFormat="false" ht="15" hidden="false" customHeight="false" outlineLevel="0" collapsed="false">
      <c r="A8" s="8" t="s">
        <v>264</v>
      </c>
      <c r="B8" s="19" t="n">
        <v>0</v>
      </c>
      <c r="E8" s="19" t="n">
        <v>0</v>
      </c>
      <c r="H8" s="19" t="n">
        <v>0</v>
      </c>
    </row>
    <row r="9" customFormat="false" ht="15" hidden="false" customHeight="false" outlineLevel="0" collapsed="false">
      <c r="A9" s="27" t="s">
        <v>265</v>
      </c>
      <c r="B9" s="20" t="n">
        <f aca="false">SUM(B10:B14)</f>
        <v>-25.7488837143183</v>
      </c>
      <c r="C9" s="20" t="n">
        <f aca="false">SUM(C10:C14)</f>
        <v>-35.9519647001497</v>
      </c>
      <c r="E9" s="20" t="n">
        <f aca="false">SUM(E10:E14)</f>
        <v>-15.8226774394986</v>
      </c>
      <c r="F9" s="20" t="n">
        <f aca="false">SUM(F10:F14)</f>
        <v>-16.0576521385126</v>
      </c>
      <c r="H9" s="20" t="n">
        <f aca="false">SUM(H10:H14)</f>
        <v>-11.0043453446984</v>
      </c>
      <c r="I9" s="20" t="n">
        <f aca="false">SUM(I10:I14)</f>
        <v>-20.2730881462182</v>
      </c>
    </row>
    <row r="10" customFormat="false" ht="15" hidden="false" customHeight="false" outlineLevel="0" collapsed="false">
      <c r="A10" s="15" t="s">
        <v>266</v>
      </c>
      <c r="B10" s="19" t="n">
        <v>-16.5705957787081</v>
      </c>
      <c r="C10" s="19" t="n">
        <v>-16.5705957787081</v>
      </c>
      <c r="D10" s="20" t="n">
        <f aca="false">B10-C10</f>
        <v>0</v>
      </c>
      <c r="E10" s="19" t="n">
        <v>-7.61708194562208</v>
      </c>
      <c r="F10" s="19" t="n">
        <v>-7.61708194562208</v>
      </c>
      <c r="G10" s="20" t="n">
        <f aca="false">E10-F10</f>
        <v>0</v>
      </c>
      <c r="H10" s="19" t="n">
        <v>-9.12735931236442</v>
      </c>
      <c r="I10" s="19" t="n">
        <v>-9.12735931236442</v>
      </c>
      <c r="J10" s="20" t="n">
        <f aca="false">H10-I10</f>
        <v>0</v>
      </c>
    </row>
    <row r="11" customFormat="false" ht="15" hidden="false" customHeight="false" outlineLevel="0" collapsed="false">
      <c r="A11" s="15" t="s">
        <v>267</v>
      </c>
      <c r="B11" s="19" t="n">
        <v>0</v>
      </c>
      <c r="C11" s="19" t="n">
        <v>0</v>
      </c>
      <c r="D11" s="20" t="n">
        <f aca="false">B11-C11</f>
        <v>0</v>
      </c>
      <c r="E11" s="19" t="n">
        <v>0</v>
      </c>
      <c r="F11" s="19" t="n">
        <v>0</v>
      </c>
      <c r="G11" s="20" t="n">
        <f aca="false">E11-F11</f>
        <v>0</v>
      </c>
      <c r="H11" s="19" t="n">
        <v>0</v>
      </c>
      <c r="I11" s="19" t="n">
        <v>0</v>
      </c>
      <c r="J11" s="20" t="n">
        <f aca="false">H11-I11</f>
        <v>0</v>
      </c>
    </row>
    <row r="12" customFormat="false" ht="15" hidden="false" customHeight="false" outlineLevel="0" collapsed="false">
      <c r="A12" s="15" t="s">
        <v>268</v>
      </c>
      <c r="B12" s="19" t="n">
        <v>-9.17828793561026</v>
      </c>
      <c r="C12" s="19" t="n">
        <v>-19.3813689214416</v>
      </c>
      <c r="D12" s="20" t="n">
        <f aca="false">B12-C12</f>
        <v>10.2030809858313</v>
      </c>
      <c r="E12" s="19" t="n">
        <v>-8.20559549387652</v>
      </c>
      <c r="F12" s="19" t="n">
        <v>-8.4405701928905</v>
      </c>
      <c r="G12" s="20" t="n">
        <f aca="false">E12-F12</f>
        <v>0.234974699013979</v>
      </c>
      <c r="H12" s="19" t="n">
        <v>-1.87698603233399</v>
      </c>
      <c r="I12" s="19" t="n">
        <v>-11.1457288338538</v>
      </c>
      <c r="J12" s="20" t="n">
        <f aca="false">H12-I12</f>
        <v>9.26874280151977</v>
      </c>
    </row>
    <row r="13" customFormat="false" ht="15" hidden="false" customHeight="false" outlineLevel="0" collapsed="false">
      <c r="A13" s="15" t="s">
        <v>269</v>
      </c>
      <c r="B13" s="19" t="n">
        <v>0</v>
      </c>
      <c r="C13" s="19" t="n">
        <v>0</v>
      </c>
      <c r="D13" s="20" t="n">
        <f aca="false">B13-C13</f>
        <v>0</v>
      </c>
      <c r="E13" s="19" t="n">
        <v>0</v>
      </c>
      <c r="F13" s="19" t="n">
        <v>0</v>
      </c>
      <c r="G13" s="20" t="n">
        <f aca="false">E13-F13</f>
        <v>0</v>
      </c>
      <c r="H13" s="19" t="n">
        <v>0</v>
      </c>
      <c r="I13" s="19" t="n">
        <v>0</v>
      </c>
      <c r="J13" s="20" t="n">
        <f aca="false">H13-I13</f>
        <v>0</v>
      </c>
    </row>
    <row r="14" customFormat="false" ht="15" hidden="false" customHeight="false" outlineLevel="0" collapsed="false">
      <c r="A14" s="15" t="s">
        <v>270</v>
      </c>
      <c r="B14" s="19" t="n">
        <v>0</v>
      </c>
      <c r="C14" s="19" t="n">
        <v>0</v>
      </c>
      <c r="D14" s="20" t="n">
        <f aca="false">B14-C14</f>
        <v>0</v>
      </c>
      <c r="E14" s="19" t="n">
        <v>0</v>
      </c>
      <c r="F14" s="19" t="n">
        <v>0</v>
      </c>
      <c r="G14" s="20" t="n">
        <f aca="false">E14-F14</f>
        <v>0</v>
      </c>
      <c r="H14" s="19" t="n">
        <v>0</v>
      </c>
      <c r="I14" s="19" t="n">
        <v>0</v>
      </c>
      <c r="J14" s="20" t="n">
        <f aca="false">H14-I14</f>
        <v>0</v>
      </c>
    </row>
    <row r="15" customFormat="false" ht="15" hidden="false" customHeight="false" outlineLevel="0" collapsed="false">
      <c r="A15" s="27" t="s">
        <v>271</v>
      </c>
      <c r="B15" s="20" t="n">
        <f aca="false">B5+SUM(B6:B8)+B9</f>
        <v>43.9927732107067</v>
      </c>
      <c r="E15" s="20" t="n">
        <f aca="false">E5+SUM(E6:E8)+E9</f>
        <v>29.6784724968844</v>
      </c>
      <c r="H15" s="20" t="n">
        <f aca="false">H5+SUM(H6:H8)+H9</f>
        <v>19.9489203041466</v>
      </c>
    </row>
    <row r="16" customFormat="false" ht="15" hidden="false" customHeight="false" outlineLevel="0" collapsed="false">
      <c r="A16" s="8" t="s">
        <v>272</v>
      </c>
      <c r="B16" s="19" t="n">
        <v>43.9927732107067</v>
      </c>
      <c r="E16" s="19" t="n">
        <v>29.6784724968844</v>
      </c>
      <c r="H16" s="19" t="n">
        <v>19.9489203041466</v>
      </c>
    </row>
    <row r="17" customFormat="false" ht="15" hidden="false" customHeight="false" outlineLevel="0" collapsed="false">
      <c r="A17" s="6" t="s">
        <v>273</v>
      </c>
      <c r="B17" s="8" t="str">
        <f aca="false">IF(ABS(B15-B16)&lt;0.01,"通過","不通過")</f>
        <v>通過</v>
      </c>
      <c r="E17" s="8" t="str">
        <f aca="false">IF(ABS(E15-E16)&lt;0.01,"通過","不通過")</f>
        <v>通過</v>
      </c>
      <c r="H17" s="8" t="str">
        <f aca="false">IF(ABS(H15-H16)&lt;0.01,"通過","不通過")</f>
        <v>通過</v>
      </c>
    </row>
    <row r="19" customFormat="false" ht="15" hidden="false" customHeight="false" outlineLevel="0" collapsed="false">
      <c r="A19" s="31" t="s">
        <v>274</v>
      </c>
      <c r="B19" s="24"/>
      <c r="C19" s="24"/>
      <c r="D19" s="24"/>
      <c r="E19" s="24"/>
      <c r="F19" s="24"/>
      <c r="G19" s="24"/>
      <c r="H19" s="24"/>
      <c r="I19" s="24"/>
      <c r="J19" s="24"/>
    </row>
    <row r="20" customFormat="false" ht="29.85" hidden="false" customHeight="false" outlineLevel="0" collapsed="false">
      <c r="A20" s="4" t="s">
        <v>3</v>
      </c>
      <c r="B20" s="4" t="s">
        <v>275</v>
      </c>
      <c r="C20" s="4" t="s">
        <v>276</v>
      </c>
      <c r="D20" s="4" t="s">
        <v>277</v>
      </c>
      <c r="E20" s="4" t="s">
        <v>278</v>
      </c>
      <c r="F20" s="4" t="s">
        <v>279</v>
      </c>
      <c r="G20" s="4" t="s">
        <v>280</v>
      </c>
      <c r="H20" s="4" t="s">
        <v>281</v>
      </c>
      <c r="I20" s="4" t="s">
        <v>282</v>
      </c>
      <c r="J20" s="4" t="s">
        <v>283</v>
      </c>
    </row>
    <row r="21" customFormat="false" ht="15" hidden="false" customHeight="false" outlineLevel="0" collapsed="false">
      <c r="A21" s="27" t="s">
        <v>6</v>
      </c>
      <c r="B21" s="19" t="n">
        <v>26.0782212815522</v>
      </c>
      <c r="C21" s="19" t="n">
        <v>105.466286087866</v>
      </c>
      <c r="D21" s="19" t="n">
        <v>69.741656925025</v>
      </c>
      <c r="E21" s="19" t="n">
        <v>0</v>
      </c>
      <c r="F21" s="19" t="n">
        <v>82.7293635206964</v>
      </c>
      <c r="G21" s="19" t="n">
        <v>45.501149936383</v>
      </c>
      <c r="H21" s="19" t="n">
        <v>0</v>
      </c>
      <c r="I21" s="19" t="n">
        <v>56.2786648160819</v>
      </c>
      <c r="J21" s="19" t="n">
        <v>30.953265648845</v>
      </c>
    </row>
    <row r="22" customFormat="false" ht="15" hidden="false" customHeight="false" outlineLevel="0" collapsed="false">
      <c r="A22" s="15" t="s">
        <v>266</v>
      </c>
      <c r="B22" s="19" t="n">
        <v>-22.6735133018473</v>
      </c>
      <c r="C22" s="19" t="n">
        <v>-11.5772996234123</v>
      </c>
      <c r="D22" s="19" t="n">
        <v>-16.5705957787081</v>
      </c>
      <c r="E22" s="19" t="n">
        <v>0</v>
      </c>
      <c r="F22" s="19" t="n">
        <v>-13.8492399011311</v>
      </c>
      <c r="G22" s="19" t="n">
        <v>-7.61708194562208</v>
      </c>
      <c r="H22" s="19" t="n">
        <v>0</v>
      </c>
      <c r="I22" s="19" t="n">
        <v>-16.5951987497535</v>
      </c>
      <c r="J22" s="19" t="n">
        <v>-9.12735931236442</v>
      </c>
    </row>
    <row r="23" customFormat="false" ht="15" hidden="false" customHeight="false" outlineLevel="0" collapsed="false">
      <c r="A23" s="15" t="s">
        <v>267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</row>
    <row r="24" customFormat="false" ht="15" hidden="false" customHeight="false" outlineLevel="0" collapsed="false">
      <c r="A24" s="15" t="s">
        <v>268</v>
      </c>
      <c r="B24" s="19" t="n">
        <v>-3.40470797970488</v>
      </c>
      <c r="C24" s="19" t="n">
        <v>-13.902126081351</v>
      </c>
      <c r="D24" s="19" t="n">
        <v>-9.17828793561026</v>
      </c>
      <c r="E24" s="19" t="n">
        <v>0</v>
      </c>
      <c r="F24" s="19" t="n">
        <v>-14.9192645343209</v>
      </c>
      <c r="G24" s="19" t="n">
        <v>-8.20559549387652</v>
      </c>
      <c r="H24" s="19" t="n">
        <v>0</v>
      </c>
      <c r="I24" s="19" t="n">
        <v>-19.7345457621818</v>
      </c>
      <c r="J24" s="19" t="n">
        <v>-1.87698603233399</v>
      </c>
    </row>
    <row r="25" customFormat="false" ht="15" hidden="false" customHeight="false" outlineLevel="0" collapsed="false">
      <c r="A25" s="15" t="s">
        <v>269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</row>
    <row r="26" customFormat="false" ht="15" hidden="false" customHeight="false" outlineLevel="0" collapsed="false">
      <c r="A26" s="15" t="s">
        <v>270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</row>
    <row r="27" customFormat="false" ht="15" hidden="false" customHeight="false" outlineLevel="0" collapsed="false">
      <c r="A27" s="27" t="s">
        <v>7</v>
      </c>
      <c r="B27" s="19" t="n">
        <v>0</v>
      </c>
      <c r="C27" s="19" t="n">
        <v>79.9868603831031</v>
      </c>
      <c r="D27" s="19" t="n">
        <v>43.9927732107067</v>
      </c>
      <c r="E27" s="19" t="n">
        <v>0</v>
      </c>
      <c r="F27" s="19" t="n">
        <v>53.9608590852444</v>
      </c>
      <c r="G27" s="19" t="n">
        <v>29.6784724968844</v>
      </c>
      <c r="H27" s="19" t="n">
        <v>0</v>
      </c>
      <c r="I27" s="19" t="n">
        <v>19.9489203041466</v>
      </c>
      <c r="J27" s="19" t="n">
        <v>19.9489203041466</v>
      </c>
    </row>
    <row r="28" customFormat="false" ht="15" hidden="false" customHeight="false" outlineLevel="0" collapsed="false">
      <c r="A28" s="3" t="s">
        <v>284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7" min="3" style="0" width="11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1" t="s">
        <v>285</v>
      </c>
    </row>
    <row r="3" customFormat="false" ht="15" hidden="false" customHeight="false" outlineLevel="0" collapsed="false">
      <c r="A3" s="4" t="s">
        <v>3</v>
      </c>
      <c r="B3" s="4" t="s">
        <v>4</v>
      </c>
      <c r="C3" s="5" t="s">
        <v>286</v>
      </c>
      <c r="D3" s="5" t="s">
        <v>14</v>
      </c>
      <c r="E3" s="5" t="s">
        <v>287</v>
      </c>
      <c r="F3" s="5" t="s">
        <v>288</v>
      </c>
      <c r="G3" s="5" t="s">
        <v>51</v>
      </c>
      <c r="H3" s="4" t="s">
        <v>134</v>
      </c>
    </row>
    <row r="4" customFormat="false" ht="26.85" hidden="false" customHeight="false" outlineLevel="0" collapsed="false">
      <c r="A4" s="15" t="s">
        <v>289</v>
      </c>
      <c r="B4" s="7" t="s">
        <v>13</v>
      </c>
      <c r="C4" s="9" t="n">
        <v>11.0739648243069</v>
      </c>
      <c r="D4" s="9" t="n">
        <v>11.5620012541312</v>
      </c>
      <c r="E4" s="9" t="n">
        <v>11.9221051745404</v>
      </c>
      <c r="F4" s="9" t="n">
        <v>12.1146585916967</v>
      </c>
      <c r="G4" s="9" t="n">
        <v>12.3065442521048</v>
      </c>
      <c r="H4" s="14" t="s">
        <v>290</v>
      </c>
    </row>
    <row r="5" customFormat="false" ht="15" hidden="false" customHeight="false" outlineLevel="0" collapsed="false">
      <c r="A5" s="15" t="s">
        <v>291</v>
      </c>
      <c r="B5" s="7" t="s">
        <v>13</v>
      </c>
      <c r="C5" s="9" t="n">
        <v>11.2</v>
      </c>
      <c r="D5" s="9" t="n">
        <v>11.5</v>
      </c>
      <c r="E5" s="9" t="n">
        <v>11.5</v>
      </c>
      <c r="F5" s="9" t="n">
        <v>11</v>
      </c>
      <c r="G5" s="9" t="n">
        <v>10.5</v>
      </c>
      <c r="H5" s="13" t="s">
        <v>292</v>
      </c>
    </row>
    <row r="6" customFormat="false" ht="15" hidden="false" customHeight="false" outlineLevel="0" collapsed="false">
      <c r="A6" s="15" t="s">
        <v>293</v>
      </c>
      <c r="B6" s="18" t="s">
        <v>294</v>
      </c>
      <c r="C6" s="9" t="n">
        <v>1.01138121510161</v>
      </c>
      <c r="D6" s="9" t="n">
        <v>0.99463749806211</v>
      </c>
      <c r="E6" s="9" t="n">
        <v>0.964594744941373</v>
      </c>
      <c r="F6" s="9" t="n">
        <v>0.907990919986743</v>
      </c>
      <c r="G6" s="9" t="n">
        <v>0.853204586511291</v>
      </c>
      <c r="H6" s="14" t="s">
        <v>295</v>
      </c>
    </row>
    <row r="7" customFormat="false" ht="15" hidden="false" customHeight="false" outlineLevel="0" collapsed="false">
      <c r="A7" s="15" t="s">
        <v>296</v>
      </c>
      <c r="B7" s="7" t="s">
        <v>297</v>
      </c>
      <c r="C7" s="9" t="n">
        <v>2.30847434818164</v>
      </c>
      <c r="D7" s="9" t="n">
        <v>2.62097125151804</v>
      </c>
      <c r="E7" s="9" t="n">
        <v>2.98053457385315</v>
      </c>
      <c r="F7" s="9" t="n">
        <v>3.29333557827845</v>
      </c>
      <c r="G7" s="9" t="n">
        <v>3.64474053944154</v>
      </c>
      <c r="H7" s="14" t="s">
        <v>298</v>
      </c>
    </row>
    <row r="8" customFormat="false" ht="15" hidden="false" customHeight="false" outlineLevel="0" collapsed="false">
      <c r="A8" s="15" t="s">
        <v>299</v>
      </c>
      <c r="B8" s="7" t="s">
        <v>297</v>
      </c>
      <c r="C8" s="9" t="n">
        <v>2.33474759129485</v>
      </c>
      <c r="D8" s="9" t="n">
        <v>2.60691628810262</v>
      </c>
      <c r="E8" s="9" t="n">
        <v>2.87500798705483</v>
      </c>
      <c r="F8" s="9" t="n">
        <v>2.99031880154613</v>
      </c>
      <c r="G8" s="9" t="n">
        <v>3.10970934489517</v>
      </c>
      <c r="H8" s="13" t="s">
        <v>300</v>
      </c>
    </row>
    <row r="9" customFormat="false" ht="15" hidden="false" customHeight="false" outlineLevel="0" collapsed="false">
      <c r="A9" s="15" t="s">
        <v>301</v>
      </c>
      <c r="B9" s="18" t="s">
        <v>294</v>
      </c>
      <c r="C9" s="9" t="n">
        <v>1.01138121510161</v>
      </c>
      <c r="D9" s="9" t="n">
        <v>0.994637498062113</v>
      </c>
      <c r="E9" s="9" t="n">
        <v>0.964594744941376</v>
      </c>
      <c r="F9" s="9" t="n">
        <v>0.907990919986746</v>
      </c>
      <c r="G9" s="9" t="n">
        <v>0.853204586511293</v>
      </c>
      <c r="H9" s="13"/>
    </row>
    <row r="10" customFormat="false" ht="15" hidden="false" customHeight="false" outlineLevel="0" collapsed="false">
      <c r="A10" s="15" t="s">
        <v>302</v>
      </c>
      <c r="B10" s="18" t="s">
        <v>303</v>
      </c>
      <c r="C10" s="9" t="n">
        <v>547.613291283582</v>
      </c>
      <c r="D10" s="9" t="n">
        <v>503.577884</v>
      </c>
      <c r="E10" s="9" t="n">
        <v>456.619736028169</v>
      </c>
      <c r="F10" s="9" t="n">
        <v>419.924377931818</v>
      </c>
      <c r="G10" s="9" t="n">
        <v>385.447642865385</v>
      </c>
      <c r="H10" s="14" t="s">
        <v>304</v>
      </c>
    </row>
    <row r="11" customFormat="false" ht="15" hidden="false" customHeight="false" outlineLevel="0" collapsed="false">
      <c r="A11" s="15" t="s">
        <v>305</v>
      </c>
      <c r="B11" s="7" t="s">
        <v>13</v>
      </c>
      <c r="C11" s="9" t="n">
        <v>9.7</v>
      </c>
      <c r="D11" s="9" t="n">
        <v>9.7</v>
      </c>
      <c r="E11" s="9" t="n">
        <v>9.7</v>
      </c>
      <c r="F11" s="9" t="n">
        <v>9.7</v>
      </c>
      <c r="G11" s="9" t="n">
        <v>9.7</v>
      </c>
      <c r="H11" s="14" t="s">
        <v>306</v>
      </c>
    </row>
    <row r="12" customFormat="false" ht="15" hidden="false" customHeight="false" outlineLevel="0" collapsed="false">
      <c r="A12" s="15" t="s">
        <v>146</v>
      </c>
      <c r="B12" s="7" t="s">
        <v>13</v>
      </c>
      <c r="C12" s="9" t="n">
        <v>4.24396782571711</v>
      </c>
      <c r="D12" s="9" t="n">
        <v>4.32822629422416</v>
      </c>
      <c r="E12" s="9" t="n">
        <v>4.1029019912189</v>
      </c>
      <c r="F12" s="9" t="n">
        <v>3.9229318965856</v>
      </c>
      <c r="G12" s="9" t="n">
        <v>3.72838235307554</v>
      </c>
      <c r="H12" s="13" t="s">
        <v>307</v>
      </c>
    </row>
    <row r="13" customFormat="false" ht="15" hidden="false" customHeight="false" outlineLevel="0" collapsed="false">
      <c r="A13" s="8" t="s">
        <v>148</v>
      </c>
      <c r="B13" s="7" t="s">
        <v>13</v>
      </c>
      <c r="C13" s="9" t="n">
        <v>5.80140530861125</v>
      </c>
      <c r="D13" s="9" t="n">
        <v>6.22833936234149</v>
      </c>
      <c r="E13" s="9" t="n">
        <v>6.22651082568251</v>
      </c>
      <c r="F13" s="9" t="n">
        <v>5.70521548977804</v>
      </c>
      <c r="G13" s="9" t="n">
        <v>4.92429649307831</v>
      </c>
      <c r="H13" s="13" t="s">
        <v>307</v>
      </c>
    </row>
    <row r="14" customFormat="false" ht="15" hidden="false" customHeight="false" outlineLevel="0" collapsed="false">
      <c r="A14" s="8" t="s">
        <v>149</v>
      </c>
      <c r="B14" s="7" t="s">
        <v>13</v>
      </c>
      <c r="C14" s="9" t="n">
        <v>5.72805417039801</v>
      </c>
      <c r="D14" s="9" t="n">
        <v>6.03013422457912</v>
      </c>
      <c r="E14" s="9" t="n">
        <v>5.96024389131455</v>
      </c>
      <c r="F14" s="9" t="n">
        <v>5.99408458049242</v>
      </c>
      <c r="G14" s="9" t="n">
        <v>5.97242407195513</v>
      </c>
      <c r="H14" s="13" t="s">
        <v>308</v>
      </c>
    </row>
    <row r="15" customFormat="false" ht="15" hidden="false" customHeight="false" outlineLevel="0" collapsed="false">
      <c r="A15" s="15" t="s">
        <v>309</v>
      </c>
      <c r="B15" s="7" t="s">
        <v>13</v>
      </c>
      <c r="C15" s="9" t="n">
        <v>5.2011494519592</v>
      </c>
      <c r="D15" s="9" t="n">
        <v>5.50854603651111</v>
      </c>
      <c r="E15" s="9" t="n">
        <v>5.73536253719202</v>
      </c>
      <c r="F15" s="9" t="n">
        <v>5.85664500538598</v>
      </c>
      <c r="G15" s="9" t="n">
        <v>5.97750687763429</v>
      </c>
      <c r="H15" s="14" t="s">
        <v>310</v>
      </c>
    </row>
    <row r="16" customFormat="false" ht="15" hidden="false" customHeight="false" outlineLevel="0" collapsed="false">
      <c r="A16" s="15" t="s">
        <v>311</v>
      </c>
      <c r="B16" s="7" t="s">
        <v>297</v>
      </c>
      <c r="C16" s="9" t="n">
        <v>2.82</v>
      </c>
      <c r="H16" s="18" t="s">
        <v>312</v>
      </c>
    </row>
    <row r="17" customFormat="false" ht="15" hidden="false" customHeight="false" outlineLevel="0" collapsed="false">
      <c r="A17" s="15" t="s">
        <v>313</v>
      </c>
      <c r="B17" s="7" t="s">
        <v>297</v>
      </c>
      <c r="C17" s="9" t="n">
        <v>6.155</v>
      </c>
      <c r="H17" s="18" t="s">
        <v>312</v>
      </c>
    </row>
    <row r="18" customFormat="false" ht="15" hidden="false" customHeight="false" outlineLevel="0" collapsed="false">
      <c r="A18" s="15" t="s">
        <v>314</v>
      </c>
      <c r="B18" s="7" t="s">
        <v>297</v>
      </c>
      <c r="C18" s="9" t="n">
        <v>10.5</v>
      </c>
      <c r="H18" s="18" t="s">
        <v>312</v>
      </c>
    </row>
    <row r="19" customFormat="false" ht="15" hidden="false" customHeight="false" outlineLevel="0" collapsed="false">
      <c r="A19" s="15" t="s">
        <v>315</v>
      </c>
      <c r="B19" s="7" t="s">
        <v>297</v>
      </c>
      <c r="C19" s="9" t="n">
        <v>5.87</v>
      </c>
      <c r="H19" s="18" t="s">
        <v>312</v>
      </c>
    </row>
    <row r="20" customFormat="false" ht="15" hidden="false" customHeight="false" outlineLevel="0" collapsed="false">
      <c r="A20" s="15" t="s">
        <v>316</v>
      </c>
      <c r="B20" s="7" t="s">
        <v>297</v>
      </c>
      <c r="C20" s="9" t="n">
        <v>6.82</v>
      </c>
      <c r="H20" s="18" t="s">
        <v>312</v>
      </c>
    </row>
    <row r="21" customFormat="false" ht="15" hidden="false" customHeight="false" outlineLevel="0" collapsed="false">
      <c r="A21" s="15" t="s">
        <v>317</v>
      </c>
      <c r="B21" s="7" t="s">
        <v>297</v>
      </c>
      <c r="C21" s="9" t="n">
        <v>7.85</v>
      </c>
      <c r="H21" s="18" t="s">
        <v>312</v>
      </c>
    </row>
    <row r="23" customFormat="false" ht="15" hidden="false" customHeight="false" outlineLevel="0" collapsed="false">
      <c r="A23" s="23" t="s">
        <v>318</v>
      </c>
      <c r="B23" s="24"/>
      <c r="C23" s="24"/>
      <c r="D23" s="24"/>
      <c r="E23" s="24"/>
      <c r="F23" s="24"/>
      <c r="G23" s="24"/>
      <c r="H23" s="24"/>
    </row>
    <row r="24" customFormat="false" ht="15" hidden="false" customHeight="false" outlineLevel="0" collapsed="false">
      <c r="A24" s="4" t="s">
        <v>319</v>
      </c>
      <c r="B24" s="5" t="s">
        <v>320</v>
      </c>
      <c r="C24" s="5" t="s">
        <v>321</v>
      </c>
      <c r="D24" s="5" t="s">
        <v>322</v>
      </c>
      <c r="E24" s="5" t="s">
        <v>323</v>
      </c>
      <c r="F24" s="5" t="s">
        <v>324</v>
      </c>
      <c r="G24" s="4"/>
      <c r="H24" s="4"/>
      <c r="I24" s="4" t="s">
        <v>4</v>
      </c>
    </row>
    <row r="25" customFormat="false" ht="15" hidden="false" customHeight="false" outlineLevel="0" collapsed="false">
      <c r="A25" s="8" t="s">
        <v>325</v>
      </c>
      <c r="B25" s="36" t="n">
        <v>27.510214</v>
      </c>
      <c r="C25" s="36" t="n">
        <v>24.015174</v>
      </c>
      <c r="D25" s="36" t="n">
        <v>37.445504</v>
      </c>
      <c r="E25" s="36" t="n">
        <v>37.586352</v>
      </c>
      <c r="F25" s="36" t="n">
        <v>50.08578</v>
      </c>
      <c r="H25" s="7" t="s">
        <v>326</v>
      </c>
    </row>
    <row r="26" customFormat="false" ht="15" hidden="false" customHeight="false" outlineLevel="0" collapsed="false">
      <c r="A26" s="8" t="s">
        <v>327</v>
      </c>
      <c r="B26" s="36" t="n">
        <v>40.180214</v>
      </c>
      <c r="C26" s="36" t="n">
        <v>36.685174</v>
      </c>
      <c r="D26" s="36" t="n">
        <v>50.115504</v>
      </c>
      <c r="E26" s="36" t="n">
        <v>50.256352</v>
      </c>
      <c r="F26" s="36" t="n">
        <v>62.75578</v>
      </c>
      <c r="H26" s="7" t="s">
        <v>326</v>
      </c>
    </row>
    <row r="27" customFormat="false" ht="15" hidden="false" customHeight="false" outlineLevel="0" collapsed="false">
      <c r="A27" s="8" t="s">
        <v>328</v>
      </c>
      <c r="B27" s="36" t="n">
        <v>0.672768</v>
      </c>
      <c r="C27" s="36" t="n">
        <v>0.672768</v>
      </c>
      <c r="D27" s="36" t="n">
        <v>0.672768</v>
      </c>
      <c r="E27" s="36" t="n">
        <v>0.672768</v>
      </c>
      <c r="F27" s="36" t="n">
        <v>0.672768</v>
      </c>
      <c r="H27" s="7" t="s">
        <v>329</v>
      </c>
    </row>
    <row r="28" customFormat="false" ht="15" hidden="false" customHeight="false" outlineLevel="0" collapsed="false">
      <c r="A28" s="8" t="s">
        <v>330</v>
      </c>
      <c r="B28" s="36" t="n">
        <v>0.82530642</v>
      </c>
      <c r="C28" s="36" t="n">
        <v>0.72045522</v>
      </c>
      <c r="D28" s="36" t="n">
        <v>1.12336512</v>
      </c>
      <c r="E28" s="36" t="n">
        <v>1.12759056</v>
      </c>
      <c r="F28" s="36" t="n">
        <v>1.5025734</v>
      </c>
      <c r="H28" s="7" t="s">
        <v>329</v>
      </c>
    </row>
    <row r="29" customFormat="false" ht="15" hidden="false" customHeight="false" outlineLevel="0" collapsed="false">
      <c r="A29" s="8" t="s">
        <v>331</v>
      </c>
      <c r="B29" s="36" t="n">
        <v>0.325</v>
      </c>
      <c r="C29" s="36" t="n">
        <v>0.325</v>
      </c>
      <c r="D29" s="36" t="n">
        <v>0.325</v>
      </c>
      <c r="E29" s="36" t="n">
        <v>0.325</v>
      </c>
      <c r="F29" s="36" t="n">
        <v>0.325</v>
      </c>
      <c r="H29" s="7" t="s">
        <v>329</v>
      </c>
    </row>
    <row r="30" customFormat="false" ht="15" hidden="false" customHeight="false" outlineLevel="0" collapsed="false">
      <c r="A30" s="8" t="s">
        <v>332</v>
      </c>
      <c r="B30" s="36" t="n">
        <v>0.20090107</v>
      </c>
      <c r="C30" s="36" t="n">
        <v>0.18342587</v>
      </c>
      <c r="D30" s="36" t="n">
        <v>0.25057752</v>
      </c>
      <c r="E30" s="36" t="n">
        <v>0.25128176</v>
      </c>
      <c r="F30" s="36" t="n">
        <v>0.3137789</v>
      </c>
      <c r="H30" s="7" t="s">
        <v>329</v>
      </c>
    </row>
    <row r="31" customFormat="false" ht="15" hidden="false" customHeight="false" outlineLevel="0" collapsed="false">
      <c r="A31" s="8" t="s">
        <v>333</v>
      </c>
      <c r="B31" s="36" t="n">
        <v>6</v>
      </c>
      <c r="C31" s="36" t="n">
        <v>6</v>
      </c>
      <c r="D31" s="36" t="n">
        <v>6</v>
      </c>
      <c r="E31" s="36" t="n">
        <v>6</v>
      </c>
      <c r="F31" s="36" t="n">
        <v>6</v>
      </c>
      <c r="H31" s="18" t="s">
        <v>181</v>
      </c>
    </row>
    <row r="32" customFormat="false" ht="15" hidden="false" customHeight="false" outlineLevel="0" collapsed="false">
      <c r="A32" s="8" t="s">
        <v>334</v>
      </c>
      <c r="B32" s="36" t="n">
        <v>10.0957952959174</v>
      </c>
      <c r="C32" s="36" t="n">
        <v>9.17098191725462</v>
      </c>
      <c r="D32" s="36" t="n">
        <v>12.7247463559608</v>
      </c>
      <c r="E32" s="36" t="n">
        <v>12.7620157762701</v>
      </c>
      <c r="F32" s="36" t="n">
        <v>16.0694566753819</v>
      </c>
      <c r="H32" s="7" t="s">
        <v>329</v>
      </c>
    </row>
    <row r="33" customFormat="false" ht="15" hidden="false" customHeight="false" outlineLevel="0" collapsed="false">
      <c r="A33" s="8" t="s">
        <v>335</v>
      </c>
      <c r="B33" s="36" t="n">
        <v>1.60502925637165</v>
      </c>
      <c r="C33" s="36" t="n">
        <v>2.08645378736555</v>
      </c>
      <c r="D33" s="36" t="n">
        <v>2.98269559427618</v>
      </c>
      <c r="E33" s="36" t="n">
        <v>4.99359409623699</v>
      </c>
      <c r="F33" s="36" t="n">
        <v>9.41883786448199</v>
      </c>
      <c r="H33" s="7" t="s">
        <v>336</v>
      </c>
    </row>
    <row r="34" customFormat="false" ht="15" hidden="false" customHeight="false" outlineLevel="0" collapsed="false">
      <c r="A34" s="8" t="s">
        <v>337</v>
      </c>
      <c r="B34" s="36" t="n">
        <v>718048</v>
      </c>
      <c r="C34" s="36" t="n">
        <v>501768</v>
      </c>
      <c r="D34" s="36" t="n">
        <v>487008</v>
      </c>
      <c r="E34" s="36" t="n">
        <v>291744</v>
      </c>
      <c r="F34" s="36" t="n">
        <v>194760</v>
      </c>
      <c r="H34" s="18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0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29" t="s">
        <v>339</v>
      </c>
    </row>
    <row r="3" customFormat="false" ht="15" hidden="false" customHeight="false" outlineLevel="0" collapsed="false">
      <c r="A3" s="4" t="s">
        <v>340</v>
      </c>
      <c r="B3" s="4" t="s">
        <v>341</v>
      </c>
      <c r="C3" s="4" t="s">
        <v>342</v>
      </c>
    </row>
    <row r="4" customFormat="false" ht="29.85" hidden="false" customHeight="false" outlineLevel="0" collapsed="false">
      <c r="A4" s="33" t="s">
        <v>343</v>
      </c>
      <c r="B4" s="16" t="s">
        <v>344</v>
      </c>
      <c r="C4" s="12" t="s">
        <v>345</v>
      </c>
    </row>
    <row r="5" customFormat="false" ht="15" hidden="false" customHeight="false" outlineLevel="0" collapsed="false">
      <c r="A5" s="33" t="s">
        <v>346</v>
      </c>
      <c r="B5" s="12" t="s">
        <v>347</v>
      </c>
      <c r="C5" s="12" t="s">
        <v>348</v>
      </c>
    </row>
    <row r="6" customFormat="false" ht="15" hidden="false" customHeight="false" outlineLevel="0" collapsed="false">
      <c r="A6" s="34" t="s">
        <v>349</v>
      </c>
      <c r="B6" s="16" t="s">
        <v>350</v>
      </c>
      <c r="C6" s="12" t="s">
        <v>351</v>
      </c>
    </row>
    <row r="7" customFormat="false" ht="29.85" hidden="false" customHeight="false" outlineLevel="0" collapsed="false">
      <c r="A7" s="33" t="s">
        <v>352</v>
      </c>
      <c r="B7" s="12" t="s">
        <v>353</v>
      </c>
      <c r="C7" s="12" t="s">
        <v>354</v>
      </c>
    </row>
    <row r="8" customFormat="false" ht="29.85" hidden="false" customHeight="false" outlineLevel="0" collapsed="false">
      <c r="A8" s="33" t="s">
        <v>355</v>
      </c>
      <c r="B8" s="12" t="s">
        <v>356</v>
      </c>
      <c r="C8" s="12" t="s">
        <v>357</v>
      </c>
    </row>
    <row r="9" customFormat="false" ht="29.85" hidden="false" customHeight="false" outlineLevel="0" collapsed="false">
      <c r="A9" s="34" t="s">
        <v>358</v>
      </c>
      <c r="B9" s="16" t="s">
        <v>359</v>
      </c>
      <c r="C9" s="12" t="s">
        <v>360</v>
      </c>
    </row>
    <row r="10" customFormat="false" ht="29.85" hidden="false" customHeight="false" outlineLevel="0" collapsed="false">
      <c r="A10" s="33" t="s">
        <v>361</v>
      </c>
      <c r="B10" s="12" t="s">
        <v>362</v>
      </c>
      <c r="C10" s="12" t="s">
        <v>351</v>
      </c>
    </row>
    <row r="11" customFormat="false" ht="15" hidden="false" customHeight="false" outlineLevel="0" collapsed="false">
      <c r="A11" s="34" t="s">
        <v>363</v>
      </c>
      <c r="B11" s="16" t="s">
        <v>364</v>
      </c>
      <c r="C11" s="12" t="s">
        <v>365</v>
      </c>
    </row>
    <row r="12" customFormat="false" ht="15" hidden="false" customHeight="false" outlineLevel="0" collapsed="false">
      <c r="A12" s="33" t="s">
        <v>366</v>
      </c>
      <c r="B12" s="12" t="s">
        <v>367</v>
      </c>
      <c r="C12" s="16" t="s">
        <v>368</v>
      </c>
    </row>
    <row r="13" customFormat="false" ht="29.85" hidden="false" customHeight="false" outlineLevel="0" collapsed="false">
      <c r="A13" s="34" t="s">
        <v>369</v>
      </c>
      <c r="B13" s="12" t="s">
        <v>370</v>
      </c>
      <c r="C13" s="12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2026-10-07T16:52:05Z</dcterms:created>
  <dc:creator>openpyxl</dc:creator>
  <dc:description/>
  <dc:language>en-US</dc:language>
  <cp:lastModifiedBy/>
  <dcterms:modified xsi:type="dcterms:W3CDTF">2026-10-07T16:52:05Z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