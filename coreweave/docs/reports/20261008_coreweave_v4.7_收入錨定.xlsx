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每MW_前後" sheetId="2" state="visible" r:id="rId4"/>
    <sheet name="錨與k" sheetId="3" state="visible" r:id="rId5"/>
    <sheet name="證據表" sheetId="4" state="visible" r:id="rId6"/>
    <sheet name="Q2驗證" sheetId="5" state="visible" r:id="rId7"/>
    <sheet name="敏感度" sheetId="6" state="visible" r:id="rId8"/>
    <sheet name="變動拆解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<sst xmlns="http://schemas.openxmlformats.org/spreadsheetml/2006/main" count="641" uniqueCount="196">
  <si>
    <r>
      <rPr>
        <b val="true"/>
        <sz val="13"/>
        <rFont val="Cambria"/>
        <family val="0"/>
        <charset val="1"/>
      </rPr>
      <t xml:space="preserve">CoreWeave v4.6 → v4.7 </t>
    </r>
    <r>
      <rPr>
        <b val="true"/>
        <sz val="13"/>
        <rFont val="Noto Sans CJK SC"/>
        <family val="2"/>
      </rPr>
      <t xml:space="preserve">收入錨定對照（每 </t>
    </r>
    <r>
      <rPr>
        <b val="true"/>
        <sz val="13"/>
        <rFont val="Cambria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收入＝</t>
    </r>
    <r>
      <rPr>
        <b val="true"/>
        <sz val="13"/>
        <rFont val="Cambria"/>
        <family val="0"/>
        <charset val="1"/>
      </rPr>
      <t xml:space="preserve">Tokenomics IF_HoldEcon × </t>
    </r>
    <r>
      <rPr>
        <b val="true"/>
        <sz val="13"/>
        <rFont val="Noto Sans CJK SC"/>
        <family val="2"/>
      </rPr>
      <t xml:space="preserve">定價倍數 </t>
    </r>
    <r>
      <rPr>
        <b val="true"/>
        <sz val="13"/>
        <rFont val="Cambria"/>
        <family val="0"/>
        <charset val="1"/>
      </rPr>
      <t xml:space="preserve">k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</si>
  <si>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Cambria"/>
        <family val="0"/>
        <charset val="1"/>
      </rPr>
      <t xml:space="preserve">Tokenomics v5.27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Cambria"/>
        <family val="0"/>
        <charset val="1"/>
      </rPr>
      <t xml:space="preserve">commit 862bdd4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Cambria"/>
        <family val="0"/>
        <charset val="1"/>
      </rPr>
      <t xml:space="preserve">k_</t>
    </r>
    <r>
      <rPr>
        <sz val="9"/>
        <color rgb="FF555555"/>
        <rFont val="Noto Sans CJK SC"/>
        <family val="2"/>
      </rPr>
      <t xml:space="preserve">長約 </t>
    </r>
    <r>
      <rPr>
        <sz val="9"/>
        <color rgb="FF555555"/>
        <rFont val="Cambria"/>
        <family val="0"/>
        <charset val="1"/>
      </rPr>
      <t xml:space="preserve">0.76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Cambria"/>
        <family val="0"/>
        <charset val="1"/>
      </rPr>
      <t xml:space="preserve">0.7–1.0</t>
    </r>
    <r>
      <rPr>
        <sz val="9"/>
        <color rgb="FF555555"/>
        <rFont val="Noto Sans CJK SC"/>
        <family val="2"/>
      </rPr>
      <t xml:space="preserve">）、</t>
    </r>
    <r>
      <rPr>
        <sz val="9"/>
        <color rgb="FF555555"/>
        <rFont val="Cambria"/>
        <family val="0"/>
        <charset val="1"/>
      </rPr>
      <t xml:space="preserve">k_</t>
    </r>
    <r>
      <rPr>
        <sz val="9"/>
        <color rgb="FF555555"/>
        <rFont val="Noto Sans CJK SC"/>
        <family val="2"/>
      </rPr>
      <t xml:space="preserve">現貨 </t>
    </r>
    <r>
      <rPr>
        <sz val="9"/>
        <color rgb="FF555555"/>
        <rFont val="Cambria"/>
        <family val="0"/>
        <charset val="1"/>
      </rPr>
      <t xml:space="preserve">1.76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Cambria"/>
        <family val="0"/>
        <charset val="1"/>
      </rPr>
      <t xml:space="preserve">1.5–2.3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Cambria"/>
        <family val="0"/>
        <charset val="1"/>
      </rPr>
      <t xml:space="preserve">k</t>
    </r>
    <r>
      <rPr>
        <sz val="9"/>
        <color rgb="FF555555"/>
        <rFont val="Noto Sans CJK SC"/>
        <family val="2"/>
      </rPr>
      <t xml:space="preserve">＝隨需占比 </t>
    </r>
    <r>
      <rPr>
        <sz val="9"/>
        <color rgb="FF555555"/>
        <rFont val="Cambria"/>
        <family val="0"/>
        <charset val="1"/>
      </rPr>
      <t xml:space="preserve">× k_</t>
    </r>
    <r>
      <rPr>
        <sz val="9"/>
        <color rgb="FF555555"/>
        <rFont val="Noto Sans CJK SC"/>
        <family val="2"/>
      </rPr>
      <t xml:space="preserve">現貨＋（</t>
    </r>
    <r>
      <rPr>
        <sz val="9"/>
        <color rgb="FF555555"/>
        <rFont val="Cambria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隨需占比）</t>
    </r>
    <r>
      <rPr>
        <sz val="9"/>
        <color rgb="FF555555"/>
        <rFont val="Cambria"/>
        <family val="0"/>
        <charset val="1"/>
      </rPr>
      <t xml:space="preserve">× k_</t>
    </r>
    <r>
      <rPr>
        <sz val="9"/>
        <color rgb="FF555555"/>
        <rFont val="Noto Sans CJK SC"/>
        <family val="2"/>
      </rPr>
      <t xml:space="preserve">長約，隨需占比 </t>
    </r>
    <r>
      <rPr>
        <sz val="9"/>
        <color rgb="FF555555"/>
        <rFont val="Cambria"/>
        <family val="0"/>
        <charset val="1"/>
      </rPr>
      <t xml:space="preserve">0%</t>
    </r>
  </si>
  <si>
    <t xml:space="preserve">情境</t>
  </si>
  <si>
    <r>
      <rPr>
        <b val="true"/>
        <sz val="11"/>
        <color rgb="FFFFFFFF"/>
        <rFont val="Cambria"/>
        <family val="0"/>
        <charset val="1"/>
      </rPr>
      <t xml:space="preserve">v4.6 </t>
    </r>
    <r>
      <rPr>
        <b val="true"/>
        <sz val="11"/>
        <color rgb="FFFFFFFF"/>
        <rFont val="Noto Sans CJK SC"/>
        <family val="2"/>
      </rPr>
      <t xml:space="preserve">加權目標價</t>
    </r>
  </si>
  <si>
    <r>
      <rPr>
        <b val="true"/>
        <sz val="11"/>
        <color rgb="FFFFFFFF"/>
        <rFont val="Cambria"/>
        <family val="0"/>
        <charset val="1"/>
      </rPr>
      <t xml:space="preserve">v4.7 </t>
    </r>
    <r>
      <rPr>
        <b val="true"/>
        <sz val="11"/>
        <color rgb="FFFFFFFF"/>
        <rFont val="Noto Sans CJK SC"/>
        <family val="2"/>
      </rPr>
      <t xml:space="preserve">加權目標價</t>
    </r>
  </si>
  <si>
    <t xml:space="preserve">變動</t>
  </si>
  <si>
    <r>
      <rPr>
        <b val="true"/>
        <sz val="11"/>
        <color rgb="FFFFFFFF"/>
        <rFont val="Cambria"/>
        <family val="0"/>
        <charset val="1"/>
      </rPr>
      <t xml:space="preserve">v4.6 </t>
    </r>
    <r>
      <rPr>
        <b val="true"/>
        <sz val="11"/>
        <color rgb="FFFFFFFF"/>
        <rFont val="Noto Sans CJK SC"/>
        <family val="2"/>
      </rPr>
      <t xml:space="preserve">評等</t>
    </r>
  </si>
  <si>
    <r>
      <rPr>
        <b val="true"/>
        <sz val="11"/>
        <color rgb="FFFFFFFF"/>
        <rFont val="Cambria"/>
        <family val="0"/>
        <charset val="1"/>
      </rPr>
      <t xml:space="preserve">v4.7 </t>
    </r>
    <r>
      <rPr>
        <b val="true"/>
        <sz val="11"/>
        <color rgb="FFFFFFFF"/>
        <rFont val="Noto Sans CJK SC"/>
        <family val="2"/>
      </rPr>
      <t xml:space="preserve">評等</t>
    </r>
  </si>
  <si>
    <r>
      <rPr>
        <b val="true"/>
        <sz val="11"/>
        <color rgb="FFFFFFFF"/>
        <rFont val="Cambria"/>
        <family val="0"/>
        <charset val="1"/>
      </rPr>
      <t xml:space="preserve">v4.6 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</si>
  <si>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b val="true"/>
        <sz val="11"/>
        <color rgb="FFFFFFFF"/>
        <rFont val="Cambria"/>
        <family val="0"/>
        <charset val="1"/>
      </rPr>
      <t xml:space="preserve">v4.7 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</si>
  <si>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4.2 GW</t>
    </r>
  </si>
  <si>
    <t xml:space="preserve">賣出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</si>
  <si>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5.6 GW</t>
    </r>
  </si>
  <si>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8 GW</t>
    </r>
  </si>
  <si>
    <r>
      <rPr>
        <b val="true"/>
        <sz val="11"/>
        <color rgb="FFFFFFFF"/>
        <rFont val="Noto Sans CJK SC"/>
        <family val="2"/>
      </rPr>
      <t xml:space="preserve">基準：每 </t>
    </r>
    <r>
      <rPr>
        <b val="true"/>
        <sz val="11"/>
        <color rgb="FFFFFFFF"/>
        <rFont val="Cambria"/>
        <family val="0"/>
        <charset val="1"/>
      </rPr>
      <t xml:space="preserve">MW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Cambria"/>
        <family val="0"/>
        <charset val="1"/>
      </rPr>
      <t xml:space="preserve">US$m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Cambria"/>
        <family val="0"/>
        <charset val="1"/>
      </rPr>
      <t xml:space="preserve">MW</t>
    </r>
    <r>
      <rPr>
        <b val="true"/>
        <sz val="11"/>
        <color rgb="FFFFFFFF"/>
        <rFont val="Noto Sans CJK SC"/>
        <family val="2"/>
      </rPr>
      <t xml:space="preserve">／年）</t>
    </r>
  </si>
  <si>
    <r>
      <rPr>
        <b val="true"/>
        <sz val="11"/>
        <color rgb="FFFFFFFF"/>
        <rFont val="Cambria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Cambria"/>
        <family val="0"/>
        <charset val="1"/>
      </rPr>
      <t xml:space="preserve">2H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</si>
  <si>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FY27</t>
  </si>
  <si>
    <t xml:space="preserve">FY28</t>
  </si>
  <si>
    <t xml:space="preserve">FY29</t>
  </si>
  <si>
    <t xml:space="preserve">FY30</t>
  </si>
  <si>
    <r>
      <rPr>
        <sz val="11"/>
        <color theme="1"/>
        <rFont val="Calibri"/>
        <family val="2"/>
        <charset val="1"/>
      </rPr>
      <t xml:space="preserve">v4.6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計費）</t>
    </r>
  </si>
  <si>
    <r>
      <rPr>
        <sz val="11"/>
        <color theme="1"/>
        <rFont val="Calibri"/>
        <family val="2"/>
        <charset val="1"/>
      </rPr>
      <t xml:space="preserve">v4.7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在役加權）</t>
    </r>
  </si>
  <si>
    <r>
      <rPr>
        <sz val="11"/>
        <color theme="1"/>
        <rFont val="Calibri"/>
        <family val="2"/>
        <charset val="1"/>
      </rPr>
      <t xml:space="preserve">v4.7 </t>
    </r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</si>
  <si>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v4.7 RPO </t>
    </r>
    <r>
      <rPr>
        <sz val="11"/>
        <color theme="1"/>
        <rFont val="Noto Sans CJK SC"/>
        <family val="2"/>
      </rPr>
      <t xml:space="preserve">覆蓋率（對照，不驅動）</t>
    </r>
  </si>
  <si>
    <r>
      <rPr>
        <sz val="11"/>
        <color theme="1"/>
        <rFont val="Calibri"/>
        <family val="2"/>
        <charset val="1"/>
      </rPr>
      <t xml:space="preserve">v4.7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計費＝錨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</si>
  <si>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檢查：錨 </t>
    </r>
    <r>
      <rPr>
        <sz val="11"/>
        <color theme="1"/>
        <rFont val="Calibri"/>
        <family val="2"/>
        <charset val="1"/>
      </rPr>
      <t xml:space="preserve">× k −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</si>
  <si>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保守 </t>
    </r>
    <r>
      <rPr>
        <b val="true"/>
        <sz val="11"/>
        <color rgb="FFFFFFFF"/>
        <rFont val="Cambria"/>
        <family val="0"/>
        <charset val="1"/>
      </rPr>
      <t xml:space="preserve">4.2 GW</t>
    </r>
  </si>
  <si>
    <t xml:space="preserve">版本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</si>
  <si>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年收入（算力＋服務）</t>
    </r>
  </si>
  <si>
    <t xml:space="preserve">v4.6</t>
  </si>
  <si>
    <t xml:space="preserve">v4.7</t>
  </si>
  <si>
    <t xml:space="preserve">差異</t>
  </si>
  <si>
    <t xml:space="preserve">　其中：算力收入</t>
  </si>
  <si>
    <t xml:space="preserve">現金成本合計（含租金）</t>
  </si>
  <si>
    <t xml:space="preserve">EBITDA</t>
  </si>
  <si>
    <t xml:space="preserve">稅前</t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</si>
  <si>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</si>
  <si>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年收入（模型採用，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計費時數）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</si>
  <si>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年收入（計費後＝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利用率）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</si>
  <si>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經濟持有成本（不賠錢下限）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</si>
  <si>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經濟持有成本</t>
    </r>
  </si>
  <si>
    <t xml:space="preserve">電費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</si>
  <si>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</si>
  <si>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</si>
  <si>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</si>
  <si>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租金</t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</si>
  <si>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</si>
  <si>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color rgb="FFFFFFFF"/>
        <rFont val="Noto Sans CJK SC"/>
        <family val="2"/>
      </rPr>
      <t xml:space="preserve">基準 </t>
    </r>
    <r>
      <rPr>
        <b val="true"/>
        <sz val="11"/>
        <color rgb="FFFFFFFF"/>
        <rFont val="Cambria"/>
        <family val="0"/>
        <charset val="1"/>
      </rPr>
      <t xml:space="preserve">5.6 GW</t>
    </r>
  </si>
  <si>
    <r>
      <rPr>
        <b val="true"/>
        <sz val="11"/>
        <color rgb="FFFFFFFF"/>
        <rFont val="Noto Sans CJK SC"/>
        <family val="2"/>
      </rPr>
      <t xml:space="preserve">積極 </t>
    </r>
    <r>
      <rPr>
        <b val="true"/>
        <sz val="11"/>
        <color rgb="FFFFFFFF"/>
        <rFont val="Cambria"/>
        <family val="0"/>
        <charset val="1"/>
      </rPr>
      <t xml:space="preserve">8 GW</t>
    </r>
  </si>
  <si>
    <r>
      <rPr>
        <sz val="11"/>
        <color theme="1"/>
        <rFont val="Noto Sans CJK SC"/>
        <family val="2"/>
      </rPr>
      <t xml:space="preserve">錨｜每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經濟持有成本（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，在役世代加權）</t>
    </r>
  </si>
  <si>
    <r>
      <rPr>
        <sz val="11"/>
        <color theme="1"/>
        <rFont val="Noto Sans CJK SC"/>
        <family val="2"/>
      </rPr>
      <t xml:space="preserve">錨｜排程 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（模型期）</t>
    </r>
  </si>
  <si>
    <r>
      <rPr>
        <sz val="11"/>
        <color theme="1"/>
        <rFont val="Noto Sans CJK SC"/>
        <family val="2"/>
      </rPr>
      <t xml:space="preserve">錨｜平均計費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</si>
  <si>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長約價產能收入（平均計費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利用率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期間長度）</t>
    </r>
  </si>
  <si>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涵蓋的產能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在役計費產能（對照，不驅動）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</si>
  <si>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長約（依目前成本情境重算）</t>
    </r>
  </si>
  <si>
    <t xml:space="preserve">隨需占比（輸入）</t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</si>
  <si>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（隨需占比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隨需占比）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</si>
  <si>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計費時數）</t>
    </r>
  </si>
  <si>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v4.6 </t>
    </r>
    <r>
      <rPr>
        <sz val="11"/>
        <color theme="1"/>
        <rFont val="Noto Sans CJK SC"/>
        <family val="2"/>
      </rPr>
      <t xml:space="preserve">舊輸入 </t>
    </r>
    <r>
      <rPr>
        <sz val="11"/>
        <color theme="1"/>
        <rFont val="Calibri"/>
        <family val="2"/>
        <charset val="1"/>
      </rPr>
      <t xml:space="preserve">m.revMW</t>
    </r>
  </si>
  <si>
    <r>
      <rPr>
        <sz val="11"/>
        <color theme="1"/>
        <rFont val="Noto Sans CJK SC"/>
        <family val="2"/>
      </rPr>
      <t xml:space="preserve">上限檢查｜客戶每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IF_RevGWFleet</t>
    </r>
    <r>
      <rPr>
        <sz val="11"/>
        <color theme="1"/>
        <rFont val="Noto Sans CJK SC"/>
        <family val="2"/>
      </rPr>
      <t xml:space="preserve">，在役世代加權）</t>
    </r>
  </si>
  <si>
    <r>
      <rPr>
        <sz val="11"/>
        <color theme="1"/>
        <rFont val="Noto Sans CJK SC"/>
        <family val="2"/>
      </rPr>
      <t xml:space="preserve">上限檢查｜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計費收入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客戶付費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營收</t>
    </r>
  </si>
  <si>
    <t xml:space="preserve">證據</t>
  </si>
  <si>
    <t xml:space="preserve">世代</t>
  </si>
  <si>
    <t xml:space="preserve">價格</t>
  </si>
  <si>
    <t xml:space="preserve">單位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</si>
  <si>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</si>
  <si>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基準值</t>
    </r>
  </si>
  <si>
    <t xml:space="preserve">倍數（公式）</t>
  </si>
  <si>
    <t xml:space="preserve">用途</t>
  </si>
  <si>
    <t xml:space="preserve">合約型態</t>
  </si>
  <si>
    <t xml:space="preserve">期間</t>
  </si>
  <si>
    <t xml:space="preserve">來源</t>
  </si>
  <si>
    <t xml:space="preserve">文件日期</t>
  </si>
  <si>
    <t xml:space="preserve">標記</t>
  </si>
  <si>
    <t xml:space="preserve">網址</t>
  </si>
  <si>
    <t xml:space="preserve">說明</t>
  </si>
  <si>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</si>
  <si>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t xml:space="preserve">GB300 NVL72</t>
  </si>
  <si>
    <r>
      <rPr>
        <sz val="11"/>
        <color theme="1"/>
        <rFont val="Calibri"/>
        <family val="2"/>
        <charset val="1"/>
      </rPr>
      <t xml:space="preserve">US$m/MW/</t>
    </r>
    <r>
      <rPr>
        <sz val="11"/>
        <color theme="1"/>
        <rFont val="Noto Sans CJK SC"/>
        <family val="2"/>
      </rPr>
      <t xml:space="preserve">年</t>
    </r>
  </si>
  <si>
    <t xml:space="preserve">IF_HoldEcon</t>
  </si>
  <si>
    <t xml:space="preserve">long</t>
  </si>
  <si>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hyperscaler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</si>
  <si>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</si>
  <si>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IREN Secures $9.7bn AI Cloud Contract with 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新聞稿）</t>
    </r>
  </si>
  <si>
    <t xml:space="preserve">2025-11-03</t>
  </si>
  <si>
    <t xml:space="preserve">[Derived]</t>
  </si>
  <si>
    <t xml:space="preserve">https://iren.gcs-web.com/news-releases/news-release-details/iren-secures-97bn-ai-cloud-contract-microsoft</t>
  </si>
  <si>
    <r>
      <rPr>
        <sz val="11"/>
        <color theme="1"/>
        <rFont val="Calibri"/>
        <family val="2"/>
        <charset val="1"/>
      </rPr>
      <t xml:space="preserve">$9.7bn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 critical IT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預付；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換算 ≈ </t>
    </r>
    <r>
      <rPr>
        <sz val="11"/>
        <color theme="1"/>
        <rFont val="Calibri"/>
        <family val="2"/>
        <charset val="1"/>
      </rPr>
      <t xml:space="preserve">$2.27/GPU-hr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487 </t>
    </r>
    <r>
      <rPr>
        <sz val="11"/>
        <color theme="1"/>
        <rFont val="Noto Sans CJK SC"/>
        <family val="2"/>
      </rPr>
      <t xml:space="preserve">顆</t>
    </r>
    <r>
      <rPr>
        <sz val="11"/>
        <color theme="1"/>
        <rFont val="Calibri"/>
        <family val="2"/>
        <charset val="1"/>
      </rPr>
      <t xml:space="preserve">/MW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</si>
  <si>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IREN–NVIDIA </t>
    </r>
    <r>
      <rPr>
        <sz val="11"/>
        <color theme="1"/>
        <rFont val="Noto Sans CJK SC"/>
        <family val="2"/>
      </rPr>
      <t xml:space="preserve">氣冷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五年約（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類比）</t>
    </r>
  </si>
  <si>
    <t xml:space="preserve">range</t>
  </si>
  <si>
    <t xml:space="preserve">長約（晶片商客戶）</t>
  </si>
  <si>
    <r>
      <rPr>
        <sz val="11"/>
        <color theme="1"/>
        <rFont val="Calibri"/>
        <family val="2"/>
        <charset val="1"/>
      </rPr>
      <t xml:space="preserve">IREN Secures $3.4bn AI Cloud Contract with 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新聞稿）</t>
    </r>
  </si>
  <si>
    <t xml:space="preserve">2026-05-07</t>
  </si>
  <si>
    <t xml:space="preserve">[Analogy]</t>
  </si>
  <si>
    <t xml:space="preserve">https://iren.gcs-web.com/news-releases/news-release-details/iren-secures-34bn-ai-cloud-contract-nvidia</t>
  </si>
  <si>
    <r>
      <rPr>
        <sz val="11"/>
        <color theme="1"/>
        <rFont val="Calibri"/>
        <family val="2"/>
        <charset val="1"/>
      </rPr>
      <t xml:space="preserve">$3.4bn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口徑未註明，視為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）；氣冷 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NVL72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類比；與第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筆同一供應商，只支持區間；三筆長約中位數＝本筆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（敏感度）</t>
    </r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</si>
  <si>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 GW</t>
    </r>
    <r>
      <rPr>
        <sz val="11"/>
        <color theme="1"/>
        <rFont val="Noto Sans CJK SC"/>
        <family val="2"/>
      </rPr>
      <t xml:space="preserve">（未經證實）</t>
    </r>
  </si>
  <si>
    <t xml:space="preserve">list</t>
  </si>
  <si>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對實驗室）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</si>
  <si>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</si>
  <si>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五年支付 </t>
    </r>
    <r>
      <rPr>
        <sz val="11"/>
        <color theme="1"/>
        <rFont val="Calibri"/>
        <family val="2"/>
        <charset val="1"/>
      </rPr>
      <t xml:space="preserve">Oracle $300bn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2025-07 Stargate </t>
    </r>
    <r>
      <rPr>
        <sz val="11"/>
        <color theme="1"/>
        <rFont val="Noto Sans CJK SC"/>
        <family val="2"/>
      </rPr>
      <t xml:space="preserve">擴充</t>
    </r>
  </si>
  <si>
    <t xml:space="preserve">2025-09-11</t>
  </si>
  <si>
    <t xml:space="preserve">https://www.theregister.com/2025/09/11/openai_reportedly_on_the_hook/</t>
  </si>
  <si>
    <r>
      <rPr>
        <sz val="11"/>
        <color theme="1"/>
        <rFont val="Calibri"/>
        <family val="2"/>
        <charset val="1"/>
      </rPr>
      <t xml:space="preserve">$300bn ÷ 5 ÷ 4,500 MW</t>
    </r>
    <r>
      <rPr>
        <sz val="11"/>
        <color theme="1"/>
        <rFont val="Noto Sans CJK SC"/>
        <family val="2"/>
      </rPr>
      <t xml:space="preserve">；金額未經當事方證實、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口徑不明（若為設施口徑，每 </t>
    </r>
    <r>
      <rPr>
        <sz val="11"/>
        <color theme="1"/>
        <rFont val="Calibri"/>
        <family val="2"/>
        <charset val="1"/>
      </rPr>
      <t xml:space="preserve">IT MW </t>
    </r>
    <r>
      <rPr>
        <sz val="11"/>
        <color theme="1"/>
        <rFont val="Noto Sans CJK SC"/>
        <family val="2"/>
      </rPr>
      <t xml:space="preserve">再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自有廠房；只列不用；納入三筆長約中位數的敏感度</t>
    </r>
  </si>
  <si>
    <r>
      <rPr>
        <sz val="11"/>
        <color theme="1"/>
        <rFont val="Calibri"/>
        <family val="2"/>
        <charset val="1"/>
      </rPr>
      <t xml:space="preserve">H100 Silicon Data </t>
    </r>
    <r>
      <rPr>
        <sz val="11"/>
        <color theme="1"/>
        <rFont val="Noto Sans CJK SC"/>
        <family val="2"/>
      </rPr>
      <t xml:space="preserve">現貨指數</t>
    </r>
  </si>
  <si>
    <t xml:space="preserve">Hopper H100</t>
  </si>
  <si>
    <t xml:space="preserve">US$/GPU-hr</t>
  </si>
  <si>
    <t xml:space="preserve">IF_GPUhrEcon</t>
  </si>
  <si>
    <t xml:space="preserve">spot</t>
  </si>
  <si>
    <t xml:space="preserve">現貨（市場租金指數）</t>
  </si>
  <si>
    <t xml:space="preserve">隨需／短期</t>
  </si>
  <si>
    <r>
      <rPr>
        <sz val="11"/>
        <color theme="1"/>
        <rFont val="Calibri"/>
        <family val="2"/>
        <charset val="1"/>
      </rPr>
      <t xml:space="preserve">Silicon Data H100 Index </t>
    </r>
    <r>
      <rPr>
        <sz val="11"/>
        <color theme="1"/>
        <rFont val="Noto Sans CJK SC"/>
        <family val="2"/>
      </rPr>
      <t xml:space="preserve">頁面</t>
    </r>
  </si>
  <si>
    <t xml:space="preserve">2026-10-06</t>
  </si>
  <si>
    <t xml:space="preserve">[Verified]</t>
  </si>
  <si>
    <t xml:space="preserve">https://www.silicondata.com/products/silicon-index/h100</t>
  </si>
  <si>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；倍數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</si>
  <si>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B300 Silicon Data </t>
    </r>
    <r>
      <rPr>
        <sz val="11"/>
        <color theme="1"/>
        <rFont val="Noto Sans CJK SC"/>
        <family val="2"/>
      </rPr>
      <t xml:space="preserve">現貨指數（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類比）</t>
    </r>
  </si>
  <si>
    <r>
      <rPr>
        <sz val="11"/>
        <color theme="1"/>
        <rFont val="Calibri"/>
        <family val="2"/>
        <charset val="1"/>
      </rPr>
      <t xml:space="preserve">Silicon Data H100 Index </t>
    </r>
    <r>
      <rPr>
        <sz val="11"/>
        <color theme="1"/>
        <rFont val="Noto Sans CJK SC"/>
        <family val="2"/>
      </rPr>
      <t xml:space="preserve">頁面（含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指數）</t>
    </r>
  </si>
  <si>
    <r>
      <rPr>
        <sz val="11"/>
        <color theme="1"/>
        <rFont val="Calibri"/>
        <family val="2"/>
        <charset val="1"/>
      </rPr>
      <t xml:space="preserve">HGX B300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類比；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現貨上緣</t>
    </r>
  </si>
  <si>
    <r>
      <rPr>
        <sz val="11"/>
        <color theme="1"/>
        <rFont val="Calibri"/>
        <family val="2"/>
        <charset val="1"/>
      </rPr>
      <t xml:space="preserve">B200 Ornn </t>
    </r>
    <r>
      <rPr>
        <sz val="11"/>
        <color theme="1"/>
        <rFont val="Noto Sans CJK SC"/>
        <family val="2"/>
      </rPr>
      <t xml:space="preserve">成交指數（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類比）</t>
    </r>
  </si>
  <si>
    <t xml:space="preserve">GB200 NVL72</t>
  </si>
  <si>
    <t xml:space="preserve">現貨（市場成交指數）</t>
  </si>
  <si>
    <r>
      <rPr>
        <sz val="11"/>
        <color theme="1"/>
        <rFont val="Calibri"/>
        <family val="2"/>
        <charset val="1"/>
      </rPr>
      <t xml:space="preserve">Ornn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6c </t>
    </r>
    <r>
      <rPr>
        <sz val="11"/>
        <color theme="1"/>
        <rFont val="Noto Sans CJK SC"/>
        <family val="2"/>
      </rPr>
      <t xml:space="preserve">步）</t>
    </r>
  </si>
  <si>
    <t xml:space="preserve">2026-04-13</t>
  </si>
  <si>
    <r>
      <rPr>
        <sz val="11"/>
        <color theme="1"/>
        <rFont val="Calibri"/>
        <family val="2"/>
        <charset val="1"/>
      </rPr>
      <t xml:space="preserve">HGX B200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類比；落在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現貨區間內</t>
    </r>
  </si>
  <si>
    <r>
      <rPr>
        <sz val="11"/>
        <color theme="1"/>
        <rFont val="Calibri"/>
        <family val="2"/>
        <charset val="1"/>
      </rPr>
      <t xml:space="preserve">B200 Silicon Data </t>
    </r>
    <r>
      <rPr>
        <sz val="11"/>
        <color theme="1"/>
        <rFont val="Noto Sans CJK SC"/>
        <family val="2"/>
      </rPr>
      <t xml:space="preserve">現貨指數（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類比）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</si>
  <si>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現貨區間上緣；</t>
    </r>
    <r>
      <rPr>
        <sz val="11"/>
        <color theme="1"/>
        <rFont val="Calibri"/>
        <family val="2"/>
        <charset val="1"/>
      </rPr>
      <t xml:space="preserve">HGX 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小時成本低於 </t>
    </r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的機架攤提，類比偏高，只列</t>
    </r>
  </si>
  <si>
    <r>
      <rPr>
        <sz val="11"/>
        <color theme="1"/>
        <rFont val="Calibri"/>
        <family val="2"/>
        <charset val="1"/>
      </rPr>
      <t xml:space="preserve">B300 Nebius </t>
    </r>
    <r>
      <rPr>
        <sz val="11"/>
        <color theme="1"/>
        <rFont val="Noto Sans CJK SC"/>
        <family val="2"/>
      </rPr>
      <t xml:space="preserve">隨需牌價（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類比）</t>
    </r>
  </si>
  <si>
    <t xml:space="preserve">隨需牌價</t>
  </si>
  <si>
    <t xml:space="preserve">隨需</t>
  </si>
  <si>
    <r>
      <rPr>
        <sz val="11"/>
        <color theme="1"/>
        <rFont val="Calibri"/>
        <family val="2"/>
        <charset val="1"/>
      </rPr>
      <t xml:space="preserve">Nebius NVIDIA GPU Pricing</t>
    </r>
    <r>
      <rPr>
        <sz val="11"/>
        <color theme="1"/>
        <rFont val="Noto Sans CJK SC"/>
        <family val="2"/>
      </rPr>
      <t xml:space="preserve">（官網價目）</t>
    </r>
  </si>
  <si>
    <t xml:space="preserve">2026-10-07</t>
  </si>
  <si>
    <t xml:space="preserve">[Interested-party]</t>
  </si>
  <si>
    <t xml:space="preserve">https://nebius.com/prices</t>
  </si>
  <si>
    <r>
      <rPr>
        <sz val="11"/>
        <color theme="1"/>
        <rFont val="Noto Sans CJK SC"/>
        <family val="2"/>
      </rPr>
      <t xml:space="preserve">牌價非成交價（</t>
    </r>
    <r>
      <rPr>
        <sz val="11"/>
        <color theme="1"/>
        <rFont val="Calibri"/>
        <family val="2"/>
        <charset val="1"/>
      </rPr>
      <t xml:space="preserve">10/1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9.50</t>
    </r>
    <r>
      <rPr>
        <sz val="11"/>
        <color theme="1"/>
        <rFont val="Noto Sans CJK SC"/>
        <family val="2"/>
      </rPr>
      <t xml:space="preserve">）；只列不用</t>
    </r>
  </si>
  <si>
    <r>
      <rPr>
        <sz val="11"/>
        <color theme="1"/>
        <rFont val="Calibri"/>
        <family val="2"/>
        <charset val="1"/>
      </rPr>
      <t xml:space="preserve">GB200 CoreWeave </t>
    </r>
    <r>
      <rPr>
        <sz val="11"/>
        <color theme="1"/>
        <rFont val="Noto Sans CJK SC"/>
        <family val="2"/>
      </rPr>
      <t xml:space="preserve">隨需牌價</t>
    </r>
  </si>
  <si>
    <r>
      <rPr>
        <sz val="11"/>
        <color theme="1"/>
        <rFont val="Calibri"/>
        <family val="2"/>
        <charset val="1"/>
      </rPr>
      <t xml:space="preserve">CoreWeave Pricing</t>
    </r>
    <r>
      <rPr>
        <sz val="11"/>
        <color theme="1"/>
        <rFont val="Noto Sans CJK SC"/>
        <family val="2"/>
      </rPr>
      <t xml:space="preserve">（官網價目）</t>
    </r>
  </si>
  <si>
    <t xml:space="preserve">https://www.coreweave.com/pricing</t>
  </si>
  <si>
    <r>
      <rPr>
        <sz val="11"/>
        <color theme="1"/>
        <rFont val="Noto Sans CJK SC"/>
        <family val="2"/>
      </rPr>
      <t xml:space="preserve">牌價非成交價（長約最多 −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）；只列不用</t>
    </r>
  </si>
  <si>
    <r>
      <rPr>
        <sz val="11"/>
        <color theme="1"/>
        <rFont val="Calibri"/>
        <family val="2"/>
        <charset val="1"/>
      </rPr>
      <t xml:space="preserve">H100 CoreWeave </t>
    </r>
    <r>
      <rPr>
        <sz val="11"/>
        <color theme="1"/>
        <rFont val="Noto Sans CJK SC"/>
        <family val="2"/>
      </rPr>
      <t xml:space="preserve">隨需牌價</t>
    </r>
  </si>
  <si>
    <t xml:space="preserve">牌價非成交價；只列不用</t>
  </si>
  <si>
    <t xml:space="preserve">合約組合｜已承諾合約加權平均年期</t>
  </si>
  <si>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：「</t>
    </r>
    <r>
      <rPr>
        <sz val="11"/>
        <color theme="1"/>
        <rFont val="Calibri"/>
        <family val="2"/>
        <charset val="1"/>
      </rPr>
      <t xml:space="preserve">As of December 31, 2025, our committed contracts had a weighted-average contract duration of approximately five years.</t>
    </r>
    <r>
      <rPr>
        <sz val="11"/>
        <color theme="1"/>
        <rFont val="Noto Sans CJK SC"/>
        <family val="2"/>
      </rPr>
      <t xml:space="preserve">」</t>
    </r>
  </si>
  <si>
    <t xml:space="preserve">合約組合｜收入以多年期已承諾合約為主（未給百分比）</t>
  </si>
  <si>
    <r>
      <rPr>
        <sz val="11"/>
        <color theme="1"/>
        <rFont val="Calibri"/>
        <family val="2"/>
        <charset val="1"/>
      </rPr>
      <t xml:space="preserve">CoreWeave Form S-1</t>
    </r>
    <r>
      <rPr>
        <sz val="11"/>
        <color theme="1"/>
        <rFont val="Noto Sans CJK SC"/>
        <family val="2"/>
      </rPr>
      <t xml:space="preserve">：「</t>
    </r>
    <r>
      <rPr>
        <sz val="11"/>
        <color theme="1"/>
        <rFont val="Calibri"/>
        <family val="2"/>
        <charset val="1"/>
      </rPr>
      <t xml:space="preserve">The vast majority of our revenue today is from multi-year committed contracts</t>
    </r>
    <r>
      <rPr>
        <sz val="11"/>
        <color theme="1"/>
        <rFont val="Noto Sans CJK SC"/>
        <family val="2"/>
      </rPr>
      <t xml:space="preserve">」；另有 </t>
    </r>
    <r>
      <rPr>
        <sz val="11"/>
        <color theme="1"/>
        <rFont val="Calibri"/>
        <family val="2"/>
        <charset val="1"/>
      </rPr>
      <t xml:space="preserve">pay-as-you-go </t>
    </r>
    <r>
      <rPr>
        <sz val="11"/>
        <color theme="1"/>
        <rFont val="Noto Sans CJK SC"/>
        <family val="2"/>
      </rPr>
      <t xml:space="preserve">隨需</t>
    </r>
  </si>
  <si>
    <t xml:space="preserve">合約組合｜長約與隨需收入比例（百分比）</t>
  </si>
  <si>
    <t xml:space="preserve">找不到</t>
  </si>
  <si>
    <r>
      <rPr>
        <sz val="11"/>
        <color theme="1"/>
        <rFont val="Noto Sans CJK SC"/>
        <family val="2"/>
      </rPr>
      <t xml:space="preserve">試過：</t>
    </r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新聞稿與網路搜尋；公司未揭露長約／隨需收入或產能比例（找不到，不代表不存在）</t>
    </r>
  </si>
  <si>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長約或多年期合約的每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小時／每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Nebius–Meta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$12bn </t>
    </r>
    <r>
      <rPr>
        <sz val="11"/>
        <color theme="1"/>
        <rFont val="Noto Sans CJK SC"/>
        <family val="2"/>
      </rPr>
      <t xml:space="preserve">專屬產能、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、五年）與 </t>
    </r>
    <r>
      <rPr>
        <sz val="11"/>
        <color theme="1"/>
        <rFont val="Calibri"/>
        <family val="2"/>
        <charset val="1"/>
      </rPr>
      <t xml:space="preserve">Nebius–Microsoft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$17.4–19.4bn</t>
    </r>
    <r>
      <rPr>
        <sz val="11"/>
        <color theme="1"/>
        <rFont val="Noto Sans CJK SC"/>
        <family val="2"/>
      </rPr>
      <t xml:space="preserve">、五年）都未揭露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數，無法換算（找不到）</t>
    </r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</si>
  <si>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長約價：找不到可換算的揭露（</t>
    </r>
    <r>
      <rPr>
        <sz val="11"/>
        <color theme="1"/>
        <rFont val="Calibri"/>
        <family val="2"/>
        <charset val="1"/>
      </rPr>
      <t xml:space="preserve">Nscale–Microsoft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未揭露金額，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$14bn </t>
    </r>
    <r>
      <rPr>
        <sz val="11"/>
        <color theme="1"/>
        <rFont val="Noto Sans CJK SC"/>
        <family val="2"/>
      </rPr>
      <t xml:space="preserve">屬估計，不用）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</si>
  <si>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hyperscaler</t>
    </r>
    <r>
      <rPr>
        <sz val="11"/>
        <color theme="1"/>
        <rFont val="Noto Sans CJK SC"/>
        <family val="2"/>
      </rPr>
      <t xml:space="preserve">／實驗室的長約（獨立於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的供應商）：上列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皆缺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或金額；</t>
    </r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金額未經證實、只列</t>
    </r>
  </si>
  <si>
    <t xml:space="preserve">項目</t>
  </si>
  <si>
    <t xml:space="preserve">模型首期</t>
  </si>
  <si>
    <t xml:space="preserve">Q2</t>
  </si>
  <si>
    <r>
      <rPr>
        <b val="true"/>
        <sz val="11"/>
        <color rgb="FFFFFFFF"/>
        <rFont val="Noto Sans CJK SC"/>
        <family val="2"/>
      </rPr>
      <t xml:space="preserve">貢獻（</t>
    </r>
    <r>
      <rPr>
        <b val="true"/>
        <sz val="11"/>
        <color rgb="FFFFFFFF"/>
        <rFont val="Cambria"/>
        <family val="0"/>
        <charset val="1"/>
      </rPr>
      <t xml:space="preserve">US$m/MW/</t>
    </r>
    <r>
      <rPr>
        <b val="true"/>
        <sz val="11"/>
        <color rgb="FFFFFFFF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</si>
  <si>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(i) </t>
    </r>
    <r>
      <rPr>
        <sz val="11"/>
        <color theme="1"/>
        <rFont val="Noto Sans CJK SC"/>
        <family val="2"/>
      </rPr>
      <t xml:space="preserve">爬坡分母（計費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</si>
  <si>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(ii) </t>
    </r>
    <r>
      <rPr>
        <sz val="11"/>
        <color theme="1"/>
        <rFont val="Noto Sans CJK SC"/>
        <family val="2"/>
      </rPr>
      <t xml:space="preserve">利用率</t>
    </r>
  </si>
  <si>
    <r>
      <rPr>
        <sz val="11"/>
        <color theme="1"/>
        <rFont val="Calibri"/>
        <family val="2"/>
        <charset val="1"/>
      </rPr>
      <t xml:space="preserve">(iii) </t>
    </r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k − Q2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</si>
  <si>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(iv) </t>
    </r>
    <r>
      <rPr>
        <sz val="11"/>
        <color theme="1"/>
        <rFont val="Noto Sans CJK SC"/>
        <family val="2"/>
      </rPr>
      <t xml:space="preserve">世代組合（錨：模型首期平均 </t>
    </r>
    <r>
      <rPr>
        <sz val="11"/>
        <color theme="1"/>
        <rFont val="Calibri"/>
        <family val="2"/>
        <charset val="1"/>
      </rPr>
      <t xml:space="preserve">vs Q2 </t>
    </r>
    <r>
      <rPr>
        <sz val="11"/>
        <color theme="1"/>
        <rFont val="Noto Sans CJK SC"/>
        <family val="2"/>
      </rPr>
      <t xml:space="preserve">季末）</t>
    </r>
  </si>
  <si>
    <r>
      <rPr>
        <sz val="11"/>
        <color theme="1"/>
        <rFont val="Calibri"/>
        <family val="2"/>
        <charset val="1"/>
      </rPr>
      <t xml:space="preserve">(v) </t>
    </r>
    <r>
      <rPr>
        <sz val="11"/>
        <color theme="1"/>
        <rFont val="Noto Sans CJK SC"/>
        <family val="2"/>
      </rPr>
      <t xml:space="preserve">其他（非算力服務等）</t>
    </r>
  </si>
  <si>
    <t xml:space="preserve">合計（公式）</t>
  </si>
  <si>
    <r>
      <rPr>
        <sz val="11"/>
        <color theme="1"/>
        <rFont val="Noto Sans CJK SC"/>
        <family val="2"/>
      </rPr>
      <t xml:space="preserve">總差距（模型 −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</si>
  <si>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檢查（</t>
    </r>
    <r>
      <rPr>
        <sz val="11"/>
        <color theme="1"/>
        <rFont val="Calibri"/>
        <family val="2"/>
        <charset val="1"/>
      </rPr>
      <t xml:space="preserve">|</t>
    </r>
    <r>
      <rPr>
        <sz val="11"/>
        <color theme="1"/>
        <rFont val="Noto Sans CJK SC"/>
        <family val="2"/>
      </rPr>
      <t xml:space="preserve">合計 − 總差距</t>
    </r>
    <r>
      <rPr>
        <sz val="11"/>
        <color theme="1"/>
        <rFont val="Calibri"/>
        <family val="2"/>
        <charset val="1"/>
      </rPr>
      <t xml:space="preserve">| &lt; 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</si>
  <si>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（未調整：年化營收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錨）</t>
    </r>
  </si>
  <si>
    <t xml:space="preserve">設定</t>
  </si>
  <si>
    <r>
      <rPr>
        <b val="true"/>
        <sz val="11"/>
        <color rgb="FFFFFFFF"/>
        <rFont val="Noto Sans CJK SC"/>
        <family val="2"/>
      </rPr>
      <t xml:space="preserve">保守 </t>
    </r>
    <r>
      <rPr>
        <b val="true"/>
        <sz val="11"/>
        <color rgb="FFFFFFFF"/>
        <rFont val="Cambria"/>
        <family val="0"/>
        <charset val="1"/>
      </rPr>
      <t xml:space="preserve">4.2 GW 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</si>
  <si>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Noto Sans CJK SC"/>
        <family val="2"/>
      </rPr>
      <t xml:space="preserve">基準 </t>
    </r>
    <r>
      <rPr>
        <b val="true"/>
        <sz val="11"/>
        <color rgb="FFFFFFFF"/>
        <rFont val="Cambria"/>
        <family val="0"/>
        <charset val="1"/>
      </rPr>
      <t xml:space="preserve">5.6 GW 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</si>
  <si>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Noto Sans CJK SC"/>
        <family val="2"/>
      </rPr>
      <t xml:space="preserve">積極 </t>
    </r>
    <r>
      <rPr>
        <b val="true"/>
        <sz val="11"/>
        <color rgb="FFFFFFFF"/>
        <rFont val="Cambria"/>
        <family val="0"/>
        <charset val="1"/>
      </rPr>
      <t xml:space="preserve">8 GW 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</si>
  <si>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Noto Sans CJK SC"/>
        <family val="2"/>
      </rPr>
      <t xml:space="preserve">保守 </t>
    </r>
    <r>
      <rPr>
        <b val="true"/>
        <sz val="11"/>
        <color rgb="FFFFFFFF"/>
        <rFont val="Cambria"/>
        <family val="0"/>
        <charset val="1"/>
      </rPr>
      <t xml:space="preserve">4.2 GW 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</si>
  <si>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b val="true"/>
        <sz val="11"/>
        <color rgb="FFFFFFFF"/>
        <rFont val="Noto Sans CJK SC"/>
        <family val="2"/>
      </rPr>
      <t xml:space="preserve">基準 </t>
    </r>
    <r>
      <rPr>
        <b val="true"/>
        <sz val="11"/>
        <color rgb="FFFFFFFF"/>
        <rFont val="Cambria"/>
        <family val="0"/>
        <charset val="1"/>
      </rPr>
      <t xml:space="preserve">5.6 GW 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</si>
  <si>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b val="true"/>
        <sz val="11"/>
        <color rgb="FFFFFFFF"/>
        <rFont val="Noto Sans CJK SC"/>
        <family val="2"/>
      </rPr>
      <t xml:space="preserve">積極 </t>
    </r>
    <r>
      <rPr>
        <b val="true"/>
        <sz val="11"/>
        <color rgb="FFFFFFFF"/>
        <rFont val="Cambria"/>
        <family val="0"/>
        <charset val="1"/>
      </rPr>
      <t xml:space="preserve">8 GW </t>
    </r>
    <r>
      <rPr>
        <b val="true"/>
        <sz val="11"/>
        <color rgb="FFFFFFFF"/>
        <rFont val="Noto Sans CJK SC"/>
        <family val="2"/>
      </rPr>
      <t xml:space="preserve">融資缺口</t>
    </r>
  </si>
  <si>
    <t xml:space="preserve">基準（目前輸入）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</si>
  <si>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</si>
  <si>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高成本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</si>
  <si>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小時價格 低</t>
    </r>
  </si>
  <si>
    <t xml:space="preserve">不適用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</si>
  <si>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小時價格 高</t>
    </r>
  </si>
  <si>
    <r>
      <rPr>
        <sz val="11"/>
        <color theme="1"/>
        <rFont val="Noto Sans CJK SC"/>
        <family val="2"/>
      </rPr>
      <t xml:space="preserve">世代組合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版</t>
    </r>
  </si>
  <si>
    <r>
      <rPr>
        <sz val="11"/>
        <color theme="1"/>
        <rFont val="Noto Sans CJK SC"/>
        <family val="2"/>
      </rPr>
      <t xml:space="preserve">管銷率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</si>
  <si>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</si>
  <si>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（三筆長約中位數）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</si>
  <si>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</si>
  <si>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隨需占比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 </t>
    </r>
    <r>
      <rPr>
        <sz val="11"/>
        <color theme="1"/>
        <rFont val="Calibri"/>
        <family val="2"/>
        <charset val="1"/>
      </rPr>
      <t xml:space="preserve">1.76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</si>
  <si>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隨需占比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 </t>
    </r>
    <r>
      <rPr>
        <sz val="11"/>
        <color theme="1"/>
        <rFont val="Calibri"/>
        <family val="2"/>
        <charset val="1"/>
      </rPr>
      <t xml:space="preserve">1.76</t>
    </r>
    <r>
      <rPr>
        <sz val="11"/>
        <color theme="1"/>
        <rFont val="Noto Sans CJK SC"/>
        <family val="2"/>
      </rPr>
      <t xml:space="preserve">）</t>
    </r>
  </si>
  <si>
    <t xml:space="preserve">加權目標價</t>
  </si>
  <si>
    <r>
      <rPr>
        <b val="true"/>
        <sz val="11"/>
        <color rgb="FFFFFFFF"/>
        <rFont val="Cambria"/>
        <family val="0"/>
        <charset val="1"/>
      </rPr>
      <t xml:space="preserve">DCF </t>
    </r>
    <r>
      <rPr>
        <b val="true"/>
        <sz val="11"/>
        <color rgb="FFFFFFFF"/>
        <rFont val="Noto Sans CJK SC"/>
        <family val="2"/>
      </rPr>
      <t xml:space="preserve">腿</t>
    </r>
  </si>
  <si>
    <r>
      <rPr>
        <b val="true"/>
        <sz val="11"/>
        <color rgb="FFFFFFFF"/>
        <rFont val="Cambria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</t>
    </r>
  </si>
  <si>
    <t xml:space="preserve">融資缺口</t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</si>
  <si>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</si>
  <si>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實際數更新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</si>
  <si>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假設變更</t>
    </r>
  </si>
  <si>
    <r>
      <rPr>
        <sz val="11"/>
        <color theme="1"/>
        <rFont val="Calibri"/>
        <family val="2"/>
        <charset val="1"/>
      </rPr>
      <t xml:space="preserve">(d) ① </t>
    </r>
    <r>
      <rPr>
        <sz val="11"/>
        <color theme="1"/>
        <rFont val="Noto Sans CJK SC"/>
        <family val="2"/>
      </rPr>
      <t xml:space="preserve">錨取代舊輸入（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</si>
  <si>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(d) ② </t>
    </r>
    <r>
      <rPr>
        <sz val="11"/>
        <color theme="1"/>
        <rFont val="Noto Sans CJK SC"/>
        <family val="2"/>
      </rPr>
      <t xml:space="preserve">套用定價倍數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（隨需占比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</si>
  <si>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(d) ③ </t>
    </r>
    <r>
      <rPr>
        <sz val="11"/>
        <color theme="1"/>
        <rFont val="Noto Sans CJK SC"/>
        <family val="2"/>
      </rPr>
      <t xml:space="preserve">上限檢查（只新增檢查列）</t>
    </r>
  </si>
  <si>
    <t xml:space="preserve">v4.7 − v4.6</t>
  </si>
  <si>
    <r>
      <rPr>
        <sz val="11"/>
        <color theme="1"/>
        <rFont val="Noto Sans CJK SC"/>
        <family val="2"/>
      </rPr>
      <t xml:space="preserve">檢查（誤差 </t>
    </r>
    <r>
      <rPr>
        <sz val="11"/>
        <color theme="1"/>
        <rFont val="Calibri"/>
        <family val="2"/>
        <charset val="1"/>
      </rPr>
      <t xml:space="preserve">&lt; 0.01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</si>
</sst>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9"/>
      <color rgb="FF555555"/>
      <name val="Cambria"/>
      <family val="0"/>
      <charset val="1"/>
    </font>
    <font>
      <sz val="9"/>
      <color rgb="FF55555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5</v>
      </c>
    </row>
    <row r="5" customFormat="false" ht="17.15" hidden="false" customHeight="false" outlineLevel="0" collapsed="false">
      <c r="A5" s="5" t="s">
        <v>10</v>
      </c>
      <c r="B5" s="5" t="n">
        <v>43.9927732107067</v>
      </c>
      <c r="C5" s="5" t="n">
        <v>13.9805355188478</v>
      </c>
      <c r="D5" s="5" t="n">
        <f aca="false">C5-B5</f>
        <v>-30.0122376918589</v>
      </c>
      <c r="E5" s="5" t="s">
        <v>11</v>
      </c>
      <c r="F5" s="5" t="s">
        <v>11</v>
      </c>
      <c r="G5" s="5" t="n">
        <v>32.6541307880956</v>
      </c>
      <c r="H5" s="5" t="n">
        <v>54.8411224358677</v>
      </c>
      <c r="I5" s="5" t="n">
        <f aca="false">H5-G5</f>
        <v>22.1869916477721</v>
      </c>
    </row>
    <row r="6" customFormat="false" ht="17.15" hidden="false" customHeight="false" outlineLevel="0" collapsed="false">
      <c r="A6" s="5" t="s">
        <v>12</v>
      </c>
      <c r="B6" s="5" t="n">
        <v>29.6784724968844</v>
      </c>
      <c r="C6" s="5" t="n">
        <v>5.24785180769839</v>
      </c>
      <c r="D6" s="5" t="n">
        <f aca="false">C6-B6</f>
        <v>-24.430620689186</v>
      </c>
      <c r="E6" s="5" t="s">
        <v>11</v>
      </c>
      <c r="F6" s="5" t="s">
        <v>11</v>
      </c>
      <c r="G6" s="5" t="n">
        <v>81.5717800280631</v>
      </c>
      <c r="H6" s="5" t="n">
        <v>104.768016723937</v>
      </c>
      <c r="I6" s="5" t="n">
        <f aca="false">H6-G6</f>
        <v>23.1962366958739</v>
      </c>
    </row>
    <row r="7" customFormat="false" ht="17.15" hidden="false" customHeight="false" outlineLevel="0" collapsed="false">
      <c r="A7" s="5" t="s">
        <v>13</v>
      </c>
      <c r="B7" s="5" t="n">
        <v>19.9489203041466</v>
      </c>
      <c r="C7" s="5" t="n">
        <v>0</v>
      </c>
      <c r="D7" s="5" t="n">
        <f aca="false">C7-B7</f>
        <v>-19.9489203041466</v>
      </c>
      <c r="E7" s="5" t="s">
        <v>11</v>
      </c>
      <c r="F7" s="5" t="s">
        <v>11</v>
      </c>
      <c r="G7" s="5" t="n">
        <v>157.94628018574</v>
      </c>
      <c r="H7" s="5" t="n">
        <v>183.494127989618</v>
      </c>
      <c r="I7" s="5" t="n">
        <f aca="false">H7-G7</f>
        <v>25.547847803878</v>
      </c>
    </row>
    <row r="9" customFormat="false" ht="17.15" hidden="false" customHeight="false" outlineLevel="0" collapsed="false">
      <c r="A9" s="3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</row>
    <row r="10" customFormat="false" ht="17.15" hidden="false" customHeight="false" outlineLevel="0" collapsed="false">
      <c r="A10" s="0" t="s">
        <v>20</v>
      </c>
      <c r="B10" s="6" t="n">
        <v>11.2</v>
      </c>
      <c r="C10" s="6" t="n">
        <v>11.5</v>
      </c>
      <c r="D10" s="6" t="n">
        <v>11.5</v>
      </c>
      <c r="E10" s="6" t="n">
        <v>11</v>
      </c>
      <c r="F10" s="6" t="n">
        <v>10.5</v>
      </c>
    </row>
    <row r="11" customFormat="false" ht="17.15" hidden="false" customHeight="false" outlineLevel="0" collapsed="false">
      <c r="A11" s="0" t="s">
        <v>21</v>
      </c>
      <c r="B11" s="6" t="n">
        <v>11.0739648243069</v>
      </c>
      <c r="C11" s="6" t="n">
        <v>11.5620012541312</v>
      </c>
      <c r="D11" s="6" t="n">
        <v>11.9221051745404</v>
      </c>
      <c r="E11" s="6" t="n">
        <v>12.1146585916967</v>
      </c>
      <c r="F11" s="6" t="n">
        <v>12.3065442521048</v>
      </c>
    </row>
    <row r="12" customFormat="false" ht="17.15" hidden="false" customHeight="false" outlineLevel="0" collapsed="false">
      <c r="A12" s="0" t="s">
        <v>22</v>
      </c>
      <c r="B12" s="6" t="n">
        <v>0.76</v>
      </c>
      <c r="C12" s="6" t="n">
        <v>0.76</v>
      </c>
      <c r="D12" s="6" t="n">
        <v>0.76</v>
      </c>
      <c r="E12" s="6" t="n">
        <v>0.76</v>
      </c>
      <c r="F12" s="6" t="n">
        <v>0.76</v>
      </c>
    </row>
    <row r="13" customFormat="false" ht="17.15" hidden="false" customHeight="false" outlineLevel="0" collapsed="false">
      <c r="A13" s="0" t="s">
        <v>23</v>
      </c>
      <c r="B13" s="6" t="n">
        <v>2.16382546275903</v>
      </c>
      <c r="C13" s="6" t="n">
        <v>1.37415069619266</v>
      </c>
      <c r="D13" s="6" t="n">
        <v>0.910419340173752</v>
      </c>
      <c r="E13" s="6" t="n">
        <v>0.711909143389802</v>
      </c>
      <c r="F13" s="6" t="n">
        <v>0.422077168070488</v>
      </c>
    </row>
    <row r="14" customFormat="false" ht="17.15" hidden="false" customHeight="false" outlineLevel="0" collapsed="false">
      <c r="A14" s="0" t="s">
        <v>24</v>
      </c>
      <c r="B14" s="6" t="n">
        <v>8.41621326647324</v>
      </c>
      <c r="C14" s="6" t="n">
        <v>8.78712095313968</v>
      </c>
      <c r="D14" s="6" t="n">
        <v>9.06079993265069</v>
      </c>
      <c r="E14" s="6" t="n">
        <v>9.20714052968951</v>
      </c>
      <c r="F14" s="6" t="n">
        <v>9.35297363159967</v>
      </c>
    </row>
    <row r="15" customFormat="false" ht="17.15" hidden="false" customHeight="false" outlineLevel="0" collapsed="false">
      <c r="A15" s="7" t="s">
        <v>25</v>
      </c>
      <c r="B15" s="8" t="n">
        <f aca="false">B11*B12-B14</f>
        <v>0</v>
      </c>
      <c r="C15" s="8" t="n">
        <f aca="false">C11*C12-C14</f>
        <v>0</v>
      </c>
      <c r="D15" s="8" t="n">
        <f aca="false">D11*D12-D14</f>
        <v>0</v>
      </c>
      <c r="E15" s="8" t="n">
        <f aca="false">E11*E12-E14</f>
        <v>0</v>
      </c>
      <c r="F15" s="8" t="n">
        <f aca="false">F11*F12-F14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3" t="s">
        <v>26</v>
      </c>
      <c r="B1" s="3" t="s">
        <v>27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customFormat="false" ht="17.15" hidden="false" customHeight="false" outlineLevel="0" collapsed="false">
      <c r="A2" s="7" t="s">
        <v>28</v>
      </c>
      <c r="B2" s="0" t="s">
        <v>29</v>
      </c>
      <c r="C2" s="6" t="n">
        <v>10.0453731343284</v>
      </c>
      <c r="D2" s="6" t="n">
        <v>10.5565656565657</v>
      </c>
      <c r="E2" s="6" t="n">
        <v>10.3651460869565</v>
      </c>
      <c r="F2" s="6" t="n">
        <v>9.7768459375</v>
      </c>
      <c r="G2" s="6" t="n">
        <v>8.98876047619048</v>
      </c>
    </row>
    <row r="3" customFormat="false" ht="17.15" hidden="false" customHeight="false" outlineLevel="0" collapsed="false">
      <c r="A3" s="7" t="s">
        <v>28</v>
      </c>
      <c r="B3" s="0" t="s">
        <v>30</v>
      </c>
      <c r="C3" s="6" t="n">
        <v>7.63760535510633</v>
      </c>
      <c r="D3" s="6" t="n">
        <v>8.16155930610514</v>
      </c>
      <c r="E3" s="6" t="n">
        <v>8.42092820744111</v>
      </c>
      <c r="F3" s="6" t="n">
        <v>8.41443808605361</v>
      </c>
      <c r="G3" s="6" t="n">
        <v>8.140874300043</v>
      </c>
    </row>
    <row r="4" customFormat="false" ht="17.15" hidden="false" customHeight="false" outlineLevel="0" collapsed="false">
      <c r="A4" s="7" t="s">
        <v>28</v>
      </c>
      <c r="B4" s="7" t="s">
        <v>31</v>
      </c>
      <c r="C4" s="6" t="n">
        <f aca="false">C3-C2</f>
        <v>-2.40776777922203</v>
      </c>
      <c r="D4" s="6" t="n">
        <f aca="false">D3-D2</f>
        <v>-2.39500635046053</v>
      </c>
      <c r="E4" s="6" t="n">
        <f aca="false">E3-E2</f>
        <v>-1.94421787951541</v>
      </c>
      <c r="F4" s="6" t="n">
        <f aca="false">F3-F2</f>
        <v>-1.36240785144639</v>
      </c>
      <c r="G4" s="6" t="n">
        <f aca="false">G3-G2</f>
        <v>-0.847886176147474</v>
      </c>
    </row>
    <row r="5" customFormat="false" ht="15" hidden="false" customHeight="false" outlineLevel="0" collapsed="false">
      <c r="A5" s="7" t="s">
        <v>32</v>
      </c>
      <c r="B5" s="0" t="s">
        <v>29</v>
      </c>
      <c r="C5" s="6" t="n">
        <v>9.68716417910448</v>
      </c>
      <c r="D5" s="6" t="n">
        <v>10.1525252525253</v>
      </c>
      <c r="E5" s="6" t="n">
        <v>9.84340695652174</v>
      </c>
      <c r="F5" s="6" t="n">
        <v>9.0768459375</v>
      </c>
      <c r="G5" s="6" t="n">
        <v>8.08399857142857</v>
      </c>
    </row>
    <row r="6" customFormat="false" ht="15" hidden="false" customHeight="false" outlineLevel="0" collapsed="false">
      <c r="A6" s="7" t="s">
        <v>32</v>
      </c>
      <c r="B6" s="0" t="s">
        <v>30</v>
      </c>
      <c r="C6" s="6" t="n">
        <v>7.27939639988245</v>
      </c>
      <c r="D6" s="6" t="n">
        <v>7.75751890206473</v>
      </c>
      <c r="E6" s="6" t="n">
        <v>7.89918907700633</v>
      </c>
      <c r="F6" s="6" t="n">
        <v>7.71443808605361</v>
      </c>
      <c r="G6" s="6" t="n">
        <v>7.2361123952811</v>
      </c>
    </row>
    <row r="7" customFormat="false" ht="15" hidden="false" customHeight="false" outlineLevel="0" collapsed="false">
      <c r="A7" s="7" t="s">
        <v>32</v>
      </c>
      <c r="B7" s="7" t="s">
        <v>31</v>
      </c>
      <c r="C7" s="6" t="n">
        <f aca="false">C6-C5</f>
        <v>-2.40776777922202</v>
      </c>
      <c r="D7" s="6" t="n">
        <f aca="false">D6-D5</f>
        <v>-2.39500635046052</v>
      </c>
      <c r="E7" s="6" t="n">
        <f aca="false">E6-E5</f>
        <v>-1.94421787951541</v>
      </c>
      <c r="F7" s="6" t="n">
        <f aca="false">F6-F5</f>
        <v>-1.36240785144639</v>
      </c>
      <c r="G7" s="6" t="n">
        <f aca="false">G6-G5</f>
        <v>-0.847886176147476</v>
      </c>
    </row>
    <row r="8" customFormat="false" ht="15" hidden="false" customHeight="false" outlineLevel="0" collapsed="false">
      <c r="A8" s="7" t="s">
        <v>33</v>
      </c>
      <c r="B8" s="0" t="s">
        <v>29</v>
      </c>
      <c r="C8" s="6" t="n">
        <v>4.24396782571711</v>
      </c>
      <c r="D8" s="6" t="n">
        <v>4.32822629422416</v>
      </c>
      <c r="E8" s="6" t="n">
        <v>4.08413356297235</v>
      </c>
      <c r="F8" s="6" t="n">
        <v>3.91400110332183</v>
      </c>
      <c r="G8" s="6" t="n">
        <v>3.73433611210824</v>
      </c>
    </row>
    <row r="9" customFormat="false" ht="15" hidden="false" customHeight="false" outlineLevel="0" collapsed="false">
      <c r="A9" s="7" t="s">
        <v>33</v>
      </c>
      <c r="B9" s="0" t="s">
        <v>30</v>
      </c>
      <c r="C9" s="6" t="n">
        <v>4.11118995206681</v>
      </c>
      <c r="D9" s="6" t="n">
        <v>4.19615215761624</v>
      </c>
      <c r="E9" s="6" t="n">
        <v>3.97691844107286</v>
      </c>
      <c r="F9" s="6" t="n">
        <v>3.83887026258188</v>
      </c>
      <c r="G9" s="6" t="n">
        <v>3.68757889385079</v>
      </c>
    </row>
    <row r="10" customFormat="false" ht="15" hidden="false" customHeight="false" outlineLevel="0" collapsed="false">
      <c r="A10" s="7" t="s">
        <v>33</v>
      </c>
      <c r="B10" s="7" t="s">
        <v>31</v>
      </c>
      <c r="C10" s="6" t="n">
        <f aca="false">C9-C8</f>
        <v>-0.132777873650301</v>
      </c>
      <c r="D10" s="6" t="n">
        <f aca="false">D9-D8</f>
        <v>-0.132074136607921</v>
      </c>
      <c r="E10" s="6" t="n">
        <f aca="false">E9-E8</f>
        <v>-0.107215121899489</v>
      </c>
      <c r="F10" s="6" t="n">
        <f aca="false">F9-F8</f>
        <v>-0.075130840739956</v>
      </c>
      <c r="G10" s="6" t="n">
        <f aca="false">G9-G8</f>
        <v>-0.0467572182574521</v>
      </c>
    </row>
    <row r="11" customFormat="false" ht="15" hidden="false" customHeight="false" outlineLevel="0" collapsed="false">
      <c r="A11" s="0" t="s">
        <v>34</v>
      </c>
      <c r="B11" s="0" t="s">
        <v>29</v>
      </c>
      <c r="C11" s="6" t="n">
        <v>5.80140530861125</v>
      </c>
      <c r="D11" s="6" t="n">
        <v>6.22833936234149</v>
      </c>
      <c r="E11" s="6" t="n">
        <v>6.28101252398417</v>
      </c>
      <c r="F11" s="6" t="n">
        <v>5.86284483417817</v>
      </c>
      <c r="G11" s="6" t="n">
        <v>5.25442436408224</v>
      </c>
    </row>
    <row r="12" customFormat="false" ht="15" hidden="false" customHeight="false" outlineLevel="0" collapsed="false">
      <c r="A12" s="0" t="s">
        <v>34</v>
      </c>
      <c r="B12" s="0" t="s">
        <v>30</v>
      </c>
      <c r="C12" s="6" t="n">
        <v>3.52641540303952</v>
      </c>
      <c r="D12" s="6" t="n">
        <v>3.96540714848889</v>
      </c>
      <c r="E12" s="6" t="n">
        <v>4.44400976636825</v>
      </c>
      <c r="F12" s="6" t="n">
        <v>4.57556782347173</v>
      </c>
      <c r="G12" s="6" t="n">
        <v>4.45329540619221</v>
      </c>
    </row>
    <row r="13" customFormat="false" ht="15" hidden="false" customHeight="false" outlineLevel="0" collapsed="false">
      <c r="A13" s="0" t="s">
        <v>34</v>
      </c>
      <c r="B13" s="7" t="s">
        <v>31</v>
      </c>
      <c r="C13" s="6" t="n">
        <f aca="false">C12-C11</f>
        <v>-2.27498990557172</v>
      </c>
      <c r="D13" s="6" t="n">
        <f aca="false">D12-D11</f>
        <v>-2.2629322138526</v>
      </c>
      <c r="E13" s="6" t="n">
        <f aca="false">E12-E11</f>
        <v>-1.83700275761592</v>
      </c>
      <c r="F13" s="6" t="n">
        <f aca="false">F12-F11</f>
        <v>-1.28727701070643</v>
      </c>
      <c r="G13" s="6" t="n">
        <f aca="false">G12-G11</f>
        <v>-0.801128957890023</v>
      </c>
    </row>
    <row r="14" customFormat="false" ht="15" hidden="false" customHeight="false" outlineLevel="0" collapsed="false">
      <c r="A14" s="7" t="s">
        <v>35</v>
      </c>
      <c r="B14" s="0" t="s">
        <v>29</v>
      </c>
      <c r="C14" s="6" t="n">
        <v>-2.80615562866419</v>
      </c>
      <c r="D14" s="6" t="n">
        <v>-2.45547299385612</v>
      </c>
      <c r="E14" s="6" t="n">
        <v>-1.60883871925411</v>
      </c>
      <c r="F14" s="6" t="n">
        <v>-1.53975544590141</v>
      </c>
      <c r="G14" s="6" t="n">
        <v>-1.93305875518838</v>
      </c>
    </row>
    <row r="15" customFormat="false" ht="15" hidden="false" customHeight="false" outlineLevel="0" collapsed="false">
      <c r="A15" s="7" t="s">
        <v>35</v>
      </c>
      <c r="B15" s="0" t="s">
        <v>30</v>
      </c>
      <c r="C15" s="6" t="n">
        <v>-5.18807878300777</v>
      </c>
      <c r="D15" s="6" t="n">
        <v>-5.02063096108832</v>
      </c>
      <c r="E15" s="6" t="n">
        <v>-3.63319499225971</v>
      </c>
      <c r="F15" s="6" t="n">
        <v>-2.98862486363145</v>
      </c>
      <c r="G15" s="6" t="n">
        <v>-2.88808524357707</v>
      </c>
    </row>
    <row r="16" customFormat="false" ht="15" hidden="false" customHeight="false" outlineLevel="0" collapsed="false">
      <c r="A16" s="7" t="s">
        <v>35</v>
      </c>
      <c r="B16" s="7" t="s">
        <v>31</v>
      </c>
      <c r="C16" s="6" t="n">
        <f aca="false">C15-C14</f>
        <v>-2.38192315434358</v>
      </c>
      <c r="D16" s="6" t="n">
        <f aca="false">D15-D14</f>
        <v>-2.56515796723219</v>
      </c>
      <c r="E16" s="6" t="n">
        <f aca="false">E15-E14</f>
        <v>-2.02435627300561</v>
      </c>
      <c r="F16" s="6" t="n">
        <f aca="false">F15-F14</f>
        <v>-1.44886941773004</v>
      </c>
      <c r="G16" s="6" t="n">
        <f aca="false">G15-G14</f>
        <v>-0.955026488388697</v>
      </c>
    </row>
    <row r="17" customFormat="false" ht="17.15" hidden="false" customHeight="false" outlineLevel="0" collapsed="false">
      <c r="A17" s="7" t="s">
        <v>36</v>
      </c>
      <c r="B17" s="0" t="s">
        <v>29</v>
      </c>
      <c r="C17" s="6" t="n">
        <v>1675</v>
      </c>
      <c r="D17" s="6" t="n">
        <v>2475</v>
      </c>
      <c r="E17" s="6" t="n">
        <v>3450</v>
      </c>
      <c r="F17" s="6" t="n">
        <v>4000</v>
      </c>
      <c r="G17" s="6" t="n">
        <v>4200</v>
      </c>
    </row>
    <row r="18" customFormat="false" ht="17.15" hidden="false" customHeight="false" outlineLevel="0" collapsed="false">
      <c r="A18" s="7" t="s">
        <v>36</v>
      </c>
      <c r="B18" s="0" t="s">
        <v>30</v>
      </c>
      <c r="C18" s="6" t="n">
        <v>1675</v>
      </c>
      <c r="D18" s="6" t="n">
        <v>2475</v>
      </c>
      <c r="E18" s="6" t="n">
        <v>3450</v>
      </c>
      <c r="F18" s="6" t="n">
        <v>4000</v>
      </c>
      <c r="G18" s="6" t="n">
        <v>4200</v>
      </c>
    </row>
    <row r="19" customFormat="false" ht="17.15" hidden="false" customHeight="false" outlineLevel="0" collapsed="false">
      <c r="A19" s="7" t="s">
        <v>36</v>
      </c>
      <c r="B19" s="7" t="s">
        <v>31</v>
      </c>
      <c r="C19" s="6" t="n">
        <f aca="false">C18-C17</f>
        <v>0</v>
      </c>
      <c r="D19" s="6" t="n">
        <f aca="false">D18-D17</f>
        <v>0</v>
      </c>
      <c r="E19" s="6" t="n">
        <f aca="false">E18-E17</f>
        <v>0</v>
      </c>
      <c r="F19" s="6" t="n">
        <f aca="false">F18-F17</f>
        <v>0</v>
      </c>
      <c r="G19" s="6" t="n">
        <f aca="false">G18-G17</f>
        <v>0</v>
      </c>
    </row>
    <row r="20" customFormat="false" ht="17.15" hidden="false" customHeight="false" outlineLevel="0" collapsed="false">
      <c r="A20" s="7" t="s">
        <v>37</v>
      </c>
      <c r="B20" s="0" t="s">
        <v>29</v>
      </c>
      <c r="C20" s="6" t="n">
        <v>11.2</v>
      </c>
      <c r="D20" s="6" t="n">
        <v>11.5</v>
      </c>
      <c r="E20" s="6" t="n">
        <v>11.5</v>
      </c>
      <c r="F20" s="6" t="n">
        <v>11</v>
      </c>
      <c r="G20" s="6" t="n">
        <v>10.5</v>
      </c>
    </row>
    <row r="21" customFormat="false" ht="17.15" hidden="false" customHeight="false" outlineLevel="0" collapsed="false">
      <c r="A21" s="7" t="s">
        <v>37</v>
      </c>
      <c r="B21" s="0" t="s">
        <v>30</v>
      </c>
      <c r="C21" s="6" t="n">
        <v>8.41621326647324</v>
      </c>
      <c r="D21" s="6" t="n">
        <v>8.78712095313968</v>
      </c>
      <c r="E21" s="6" t="n">
        <v>9.0422975541778</v>
      </c>
      <c r="F21" s="6" t="n">
        <v>9.15794138366193</v>
      </c>
      <c r="G21" s="6" t="n">
        <v>9.27055497484596</v>
      </c>
    </row>
    <row r="22" customFormat="false" ht="17.15" hidden="false" customHeight="false" outlineLevel="0" collapsed="false">
      <c r="A22" s="7" t="s">
        <v>37</v>
      </c>
      <c r="B22" s="7" t="s">
        <v>31</v>
      </c>
      <c r="C22" s="6" t="n">
        <f aca="false">C21-C20</f>
        <v>-2.78378673352676</v>
      </c>
      <c r="D22" s="6" t="n">
        <f aca="false">D21-D20</f>
        <v>-2.71287904686032</v>
      </c>
      <c r="E22" s="6" t="n">
        <f aca="false">E21-E20</f>
        <v>-2.4577024458222</v>
      </c>
      <c r="F22" s="6" t="n">
        <f aca="false">F21-F20</f>
        <v>-1.84205861633807</v>
      </c>
      <c r="G22" s="6" t="n">
        <f aca="false">G21-G20</f>
        <v>-1.22944502515404</v>
      </c>
    </row>
    <row r="23" customFormat="false" ht="17.15" hidden="false" customHeight="false" outlineLevel="0" collapsed="false">
      <c r="A23" s="7" t="s">
        <v>38</v>
      </c>
      <c r="B23" s="0" t="s">
        <v>29</v>
      </c>
      <c r="C23" s="6" t="n">
        <v>10.64</v>
      </c>
      <c r="D23" s="6" t="n">
        <v>10.925</v>
      </c>
      <c r="E23" s="6" t="n">
        <v>10.81</v>
      </c>
      <c r="F23" s="6" t="n">
        <v>10.23</v>
      </c>
      <c r="G23" s="6" t="n">
        <v>9.66</v>
      </c>
    </row>
    <row r="24" customFormat="false" ht="17.15" hidden="false" customHeight="false" outlineLevel="0" collapsed="false">
      <c r="A24" s="7" t="s">
        <v>38</v>
      </c>
      <c r="B24" s="0" t="s">
        <v>30</v>
      </c>
      <c r="C24" s="6" t="n">
        <v>7.99540260314958</v>
      </c>
      <c r="D24" s="6" t="n">
        <v>8.3477649054827</v>
      </c>
      <c r="E24" s="6" t="n">
        <v>8.49975970092713</v>
      </c>
      <c r="F24" s="6" t="n">
        <v>8.51688548680559</v>
      </c>
      <c r="G24" s="6" t="n">
        <v>8.52891057685828</v>
      </c>
    </row>
    <row r="25" customFormat="false" ht="17.15" hidden="false" customHeight="false" outlineLevel="0" collapsed="false">
      <c r="A25" s="7" t="s">
        <v>38</v>
      </c>
      <c r="B25" s="7" t="s">
        <v>31</v>
      </c>
      <c r="C25" s="6" t="n">
        <f aca="false">C24-C23</f>
        <v>-2.64459739685042</v>
      </c>
      <c r="D25" s="6" t="n">
        <f aca="false">D24-D23</f>
        <v>-2.5772350945173</v>
      </c>
      <c r="E25" s="6" t="n">
        <f aca="false">E24-E23</f>
        <v>-2.31024029907287</v>
      </c>
      <c r="F25" s="6" t="n">
        <f aca="false">F24-F23</f>
        <v>-1.71311451319441</v>
      </c>
      <c r="G25" s="6" t="n">
        <f aca="false">G24-G23</f>
        <v>-1.13108942314172</v>
      </c>
    </row>
    <row r="26" customFormat="false" ht="17.15" hidden="false" customHeight="false" outlineLevel="0" collapsed="false">
      <c r="A26" s="7" t="s">
        <v>39</v>
      </c>
      <c r="B26" s="0" t="s">
        <v>29</v>
      </c>
      <c r="C26" s="6" t="n">
        <v>11.0739648243069</v>
      </c>
      <c r="D26" s="6" t="n">
        <v>11.5620012541312</v>
      </c>
      <c r="E26" s="6" t="n">
        <v>11.8977599397076</v>
      </c>
      <c r="F26" s="6" t="n">
        <v>12.0499228732394</v>
      </c>
      <c r="G26" s="6" t="n">
        <v>12.1980986511131</v>
      </c>
    </row>
    <row r="27" customFormat="false" ht="17.15" hidden="false" customHeight="false" outlineLevel="0" collapsed="false">
      <c r="A27" s="7" t="s">
        <v>39</v>
      </c>
      <c r="B27" s="0" t="s">
        <v>30</v>
      </c>
      <c r="C27" s="6" t="n">
        <v>11.0739648243069</v>
      </c>
      <c r="D27" s="6" t="n">
        <v>11.5620012541312</v>
      </c>
      <c r="E27" s="6" t="n">
        <v>11.8977599397076</v>
      </c>
      <c r="F27" s="6" t="n">
        <v>12.0499228732394</v>
      </c>
      <c r="G27" s="6" t="n">
        <v>12.1980986511131</v>
      </c>
    </row>
    <row r="28" customFormat="false" ht="17.15" hidden="false" customHeight="false" outlineLevel="0" collapsed="false">
      <c r="A28" s="7" t="s">
        <v>39</v>
      </c>
      <c r="B28" s="7" t="s">
        <v>31</v>
      </c>
      <c r="C28" s="6" t="n">
        <f aca="false">C27-C26</f>
        <v>0</v>
      </c>
      <c r="D28" s="6" t="n">
        <f aca="false">D27-D26</f>
        <v>0</v>
      </c>
      <c r="E28" s="6" t="n">
        <f aca="false">E27-E26</f>
        <v>0</v>
      </c>
      <c r="F28" s="6" t="n">
        <f aca="false">F27-F26</f>
        <v>0</v>
      </c>
      <c r="G28" s="6" t="n">
        <f aca="false">G27-G26</f>
        <v>0</v>
      </c>
    </row>
    <row r="29" customFormat="false" ht="17.15" hidden="false" customHeight="false" outlineLevel="0" collapsed="false">
      <c r="A29" s="7" t="s">
        <v>40</v>
      </c>
      <c r="B29" s="0" t="s">
        <v>29</v>
      </c>
      <c r="C29" s="6" t="n">
        <v>1.01138121510161</v>
      </c>
      <c r="D29" s="6" t="n">
        <v>0.99463749806211</v>
      </c>
      <c r="E29" s="6" t="n">
        <v>0.966568501825277</v>
      </c>
      <c r="F29" s="6" t="n">
        <v>0.912868913412628</v>
      </c>
      <c r="G29" s="6" t="n">
        <v>0.860789890319657</v>
      </c>
    </row>
    <row r="30" customFormat="false" ht="17.15" hidden="false" customHeight="false" outlineLevel="0" collapsed="false">
      <c r="A30" s="7" t="s">
        <v>40</v>
      </c>
      <c r="B30" s="0" t="s">
        <v>30</v>
      </c>
      <c r="C30" s="6" t="n">
        <v>0.76</v>
      </c>
      <c r="D30" s="6" t="n">
        <v>0.76</v>
      </c>
      <c r="E30" s="6" t="n">
        <v>0.76</v>
      </c>
      <c r="F30" s="6" t="n">
        <v>0.76</v>
      </c>
      <c r="G30" s="6" t="n">
        <v>0.76</v>
      </c>
    </row>
    <row r="31" customFormat="false" ht="17.15" hidden="false" customHeight="false" outlineLevel="0" collapsed="false">
      <c r="A31" s="7" t="s">
        <v>40</v>
      </c>
      <c r="B31" s="7" t="s">
        <v>31</v>
      </c>
      <c r="C31" s="6" t="n">
        <f aca="false">C30-C29</f>
        <v>-0.25138121510161</v>
      </c>
      <c r="D31" s="6" t="n">
        <f aca="false">D30-D29</f>
        <v>-0.23463749806211</v>
      </c>
      <c r="E31" s="6" t="n">
        <f aca="false">E30-E29</f>
        <v>-0.206568501825277</v>
      </c>
      <c r="F31" s="6" t="n">
        <f aca="false">F30-F29</f>
        <v>-0.152868913412628</v>
      </c>
      <c r="G31" s="6" t="n">
        <f aca="false">G30-G29</f>
        <v>-0.100789890319657</v>
      </c>
    </row>
    <row r="32" customFormat="false" ht="15" hidden="false" customHeight="false" outlineLevel="0" collapsed="false">
      <c r="A32" s="7" t="s">
        <v>41</v>
      </c>
      <c r="B32" s="0" t="s">
        <v>29</v>
      </c>
      <c r="C32" s="6" t="n">
        <v>0.672768</v>
      </c>
      <c r="D32" s="6" t="n">
        <v>0.672768</v>
      </c>
      <c r="E32" s="6" t="n">
        <v>0.672768</v>
      </c>
      <c r="F32" s="6" t="n">
        <v>0.672768</v>
      </c>
      <c r="G32" s="6" t="n">
        <v>0.672768</v>
      </c>
    </row>
    <row r="33" customFormat="false" ht="15" hidden="false" customHeight="false" outlineLevel="0" collapsed="false">
      <c r="A33" s="7" t="s">
        <v>41</v>
      </c>
      <c r="B33" s="0" t="s">
        <v>30</v>
      </c>
      <c r="C33" s="6" t="n">
        <v>0.672768</v>
      </c>
      <c r="D33" s="6" t="n">
        <v>0.672768</v>
      </c>
      <c r="E33" s="6" t="n">
        <v>0.672768</v>
      </c>
      <c r="F33" s="6" t="n">
        <v>0.672768</v>
      </c>
      <c r="G33" s="6" t="n">
        <v>0.672768</v>
      </c>
    </row>
    <row r="34" customFormat="false" ht="15" hidden="false" customHeight="false" outlineLevel="0" collapsed="false">
      <c r="A34" s="7" t="s">
        <v>41</v>
      </c>
      <c r="B34" s="7" t="s">
        <v>31</v>
      </c>
      <c r="C34" s="6" t="n">
        <f aca="false">C33-C32</f>
        <v>0</v>
      </c>
      <c r="D34" s="6" t="n">
        <f aca="false">D33-D32</f>
        <v>0</v>
      </c>
      <c r="E34" s="6" t="n">
        <f aca="false">E33-E32</f>
        <v>0</v>
      </c>
      <c r="F34" s="6" t="n">
        <f aca="false">F33-F32</f>
        <v>0</v>
      </c>
      <c r="G34" s="6" t="n">
        <f aca="false">G33-G32</f>
        <v>0</v>
      </c>
    </row>
    <row r="35" customFormat="false" ht="17.15" hidden="false" customHeight="false" outlineLevel="0" collapsed="false">
      <c r="A35" s="0" t="s">
        <v>42</v>
      </c>
      <c r="B35" s="0" t="s">
        <v>29</v>
      </c>
      <c r="C35" s="6" t="n">
        <v>0.936206901352657</v>
      </c>
      <c r="D35" s="6" t="n">
        <v>0.991538286572</v>
      </c>
      <c r="E35" s="6" t="n">
        <v>1.02960510297557</v>
      </c>
      <c r="F35" s="6" t="n">
        <v>1.04685665506643</v>
      </c>
      <c r="G35" s="6" t="n">
        <v>1.06365616130136</v>
      </c>
    </row>
    <row r="36" customFormat="false" ht="17.15" hidden="false" customHeight="false" outlineLevel="0" collapsed="false">
      <c r="A36" s="0" t="s">
        <v>42</v>
      </c>
      <c r="B36" s="0" t="s">
        <v>30</v>
      </c>
      <c r="C36" s="6" t="n">
        <v>0.936206901352657</v>
      </c>
      <c r="D36" s="6" t="n">
        <v>0.991538286572</v>
      </c>
      <c r="E36" s="6" t="n">
        <v>1.02960510297557</v>
      </c>
      <c r="F36" s="6" t="n">
        <v>1.04685665506643</v>
      </c>
      <c r="G36" s="6" t="n">
        <v>1.06365616130136</v>
      </c>
    </row>
    <row r="37" customFormat="false" ht="17.15" hidden="false" customHeight="false" outlineLevel="0" collapsed="false">
      <c r="A37" s="0" t="s">
        <v>42</v>
      </c>
      <c r="B37" s="7" t="s">
        <v>31</v>
      </c>
      <c r="C37" s="6" t="n">
        <f aca="false">C36-C35</f>
        <v>0</v>
      </c>
      <c r="D37" s="6" t="n">
        <f aca="false">D36-D35</f>
        <v>0</v>
      </c>
      <c r="E37" s="6" t="n">
        <f aca="false">E36-E35</f>
        <v>0</v>
      </c>
      <c r="F37" s="6" t="n">
        <f aca="false">F36-F35</f>
        <v>0</v>
      </c>
      <c r="G37" s="6" t="n">
        <f aca="false">G36-G35</f>
        <v>0</v>
      </c>
    </row>
    <row r="38" customFormat="false" ht="15" hidden="false" customHeight="false" outlineLevel="0" collapsed="false">
      <c r="A38" s="7" t="s">
        <v>43</v>
      </c>
      <c r="B38" s="0" t="s">
        <v>29</v>
      </c>
      <c r="C38" s="6" t="n">
        <v>0.325</v>
      </c>
      <c r="D38" s="6" t="n">
        <v>0.325</v>
      </c>
      <c r="E38" s="6" t="n">
        <v>0.325</v>
      </c>
      <c r="F38" s="6" t="n">
        <v>0.325</v>
      </c>
      <c r="G38" s="6" t="n">
        <v>0.325</v>
      </c>
    </row>
    <row r="39" customFormat="false" ht="15" hidden="false" customHeight="false" outlineLevel="0" collapsed="false">
      <c r="A39" s="7" t="s">
        <v>43</v>
      </c>
      <c r="B39" s="0" t="s">
        <v>30</v>
      </c>
      <c r="C39" s="6" t="n">
        <v>0.325</v>
      </c>
      <c r="D39" s="6" t="n">
        <v>0.325</v>
      </c>
      <c r="E39" s="6" t="n">
        <v>0.325</v>
      </c>
      <c r="F39" s="6" t="n">
        <v>0.325</v>
      </c>
      <c r="G39" s="6" t="n">
        <v>0.325</v>
      </c>
    </row>
    <row r="40" customFormat="false" ht="15" hidden="false" customHeight="false" outlineLevel="0" collapsed="false">
      <c r="A40" s="7" t="s">
        <v>43</v>
      </c>
      <c r="B40" s="7" t="s">
        <v>31</v>
      </c>
      <c r="C40" s="6" t="n">
        <f aca="false">C39-C38</f>
        <v>0</v>
      </c>
      <c r="D40" s="6" t="n">
        <f aca="false">D39-D38</f>
        <v>0</v>
      </c>
      <c r="E40" s="6" t="n">
        <f aca="false">E39-E38</f>
        <v>0</v>
      </c>
      <c r="F40" s="6" t="n">
        <f aca="false">F39-F38</f>
        <v>0</v>
      </c>
      <c r="G40" s="6" t="n">
        <f aca="false">G39-G38</f>
        <v>0</v>
      </c>
    </row>
    <row r="41" customFormat="false" ht="15" hidden="false" customHeight="false" outlineLevel="0" collapsed="false">
      <c r="A41" s="7" t="s">
        <v>44</v>
      </c>
      <c r="B41" s="0" t="s">
        <v>29</v>
      </c>
      <c r="C41" s="6" t="n">
        <v>0.156034483558776</v>
      </c>
      <c r="D41" s="6" t="n">
        <v>0.165256381095333</v>
      </c>
      <c r="E41" s="6" t="n">
        <v>0.171600850495928</v>
      </c>
      <c r="F41" s="6" t="n">
        <v>0.174476109177738</v>
      </c>
      <c r="G41" s="6" t="n">
        <v>0.17727602688356</v>
      </c>
    </row>
    <row r="42" customFormat="false" ht="15" hidden="false" customHeight="false" outlineLevel="0" collapsed="false">
      <c r="A42" s="7" t="s">
        <v>44</v>
      </c>
      <c r="B42" s="0" t="s">
        <v>30</v>
      </c>
      <c r="C42" s="6" t="n">
        <v>0.156034483558776</v>
      </c>
      <c r="D42" s="6" t="n">
        <v>0.165256381095333</v>
      </c>
      <c r="E42" s="6" t="n">
        <v>0.171600850495928</v>
      </c>
      <c r="F42" s="6" t="n">
        <v>0.174476109177738</v>
      </c>
      <c r="G42" s="6" t="n">
        <v>0.17727602688356</v>
      </c>
    </row>
    <row r="43" customFormat="false" ht="15" hidden="false" customHeight="false" outlineLevel="0" collapsed="false">
      <c r="A43" s="7" t="s">
        <v>44</v>
      </c>
      <c r="B43" s="7" t="s">
        <v>31</v>
      </c>
      <c r="C43" s="6" t="n">
        <f aca="false">C42-C41</f>
        <v>0</v>
      </c>
      <c r="D43" s="6" t="n">
        <f aca="false">D42-D41</f>
        <v>0</v>
      </c>
      <c r="E43" s="6" t="n">
        <f aca="false">E42-E41</f>
        <v>0</v>
      </c>
      <c r="F43" s="6" t="n">
        <f aca="false">F42-F41</f>
        <v>0</v>
      </c>
      <c r="G43" s="6" t="n">
        <f aca="false">G42-G41</f>
        <v>0</v>
      </c>
    </row>
    <row r="44" customFormat="false" ht="15" hidden="false" customHeight="false" outlineLevel="0" collapsed="false">
      <c r="A44" s="7" t="s">
        <v>45</v>
      </c>
      <c r="B44" s="0" t="s">
        <v>29</v>
      </c>
      <c r="C44" s="6" t="n">
        <v>1.6</v>
      </c>
      <c r="D44" s="6" t="n">
        <v>1.59151515151515</v>
      </c>
      <c r="E44" s="6" t="n">
        <v>1.31356708742403</v>
      </c>
      <c r="F44" s="6" t="n">
        <v>1.15575</v>
      </c>
      <c r="G44" s="6" t="n">
        <v>0.999945054945055</v>
      </c>
    </row>
    <row r="45" customFormat="false" ht="15" hidden="false" customHeight="false" outlineLevel="0" collapsed="false">
      <c r="A45" s="7" t="s">
        <v>45</v>
      </c>
      <c r="B45" s="0" t="s">
        <v>30</v>
      </c>
      <c r="C45" s="6" t="n">
        <v>1.6</v>
      </c>
      <c r="D45" s="6" t="n">
        <v>1.59151515151515</v>
      </c>
      <c r="E45" s="6" t="n">
        <v>1.31356708742403</v>
      </c>
      <c r="F45" s="6" t="n">
        <v>1.15575</v>
      </c>
      <c r="G45" s="6" t="n">
        <v>0.999945054945055</v>
      </c>
    </row>
    <row r="46" customFormat="false" ht="15" hidden="false" customHeight="false" outlineLevel="0" collapsed="false">
      <c r="A46" s="7" t="s">
        <v>45</v>
      </c>
      <c r="B46" s="7" t="s">
        <v>31</v>
      </c>
      <c r="C46" s="6" t="n">
        <f aca="false">C45-C44</f>
        <v>0</v>
      </c>
      <c r="D46" s="6" t="n">
        <f aca="false">D45-D44</f>
        <v>0</v>
      </c>
      <c r="E46" s="6" t="n">
        <f aca="false">E45-E44</f>
        <v>0</v>
      </c>
      <c r="F46" s="6" t="n">
        <f aca="false">F45-F44</f>
        <v>0</v>
      </c>
      <c r="G46" s="6" t="n">
        <f aca="false">G45-G44</f>
        <v>0</v>
      </c>
    </row>
    <row r="47" customFormat="false" ht="17.15" hidden="false" customHeight="false" outlineLevel="0" collapsed="false">
      <c r="A47" s="0" t="s">
        <v>46</v>
      </c>
      <c r="B47" s="0" t="s">
        <v>29</v>
      </c>
      <c r="C47" s="9" t="n">
        <v>0.577520140967778</v>
      </c>
      <c r="D47" s="9" t="n">
        <v>0.589996743729603</v>
      </c>
      <c r="E47" s="9" t="n">
        <v>0.605974336617232</v>
      </c>
      <c r="F47" s="9" t="n">
        <v>0.599666280072051</v>
      </c>
      <c r="G47" s="9" t="n">
        <v>0.584554942586379</v>
      </c>
    </row>
    <row r="48" customFormat="false" ht="17.15" hidden="false" customHeight="false" outlineLevel="0" collapsed="false">
      <c r="A48" s="0" t="s">
        <v>46</v>
      </c>
      <c r="B48" s="0" t="s">
        <v>30</v>
      </c>
      <c r="C48" s="9" t="n">
        <v>0.46171741522123</v>
      </c>
      <c r="D48" s="9" t="n">
        <v>0.485863913960979</v>
      </c>
      <c r="E48" s="9" t="n">
        <v>0.527733957218793</v>
      </c>
      <c r="F48" s="9" t="n">
        <v>0.543775802576222</v>
      </c>
      <c r="G48" s="9" t="n">
        <v>0.547029132505914</v>
      </c>
    </row>
    <row r="50" customFormat="false" ht="17.15" hidden="false" customHeight="false" outlineLevel="0" collapsed="false">
      <c r="A50" s="3" t="s">
        <v>47</v>
      </c>
      <c r="B50" s="3" t="s">
        <v>27</v>
      </c>
      <c r="C50" s="4" t="s">
        <v>15</v>
      </c>
      <c r="D50" s="4" t="s">
        <v>16</v>
      </c>
      <c r="E50" s="4" t="s">
        <v>17</v>
      </c>
      <c r="F50" s="4" t="s">
        <v>18</v>
      </c>
      <c r="G50" s="4" t="s">
        <v>19</v>
      </c>
    </row>
    <row r="51" customFormat="false" ht="17.15" hidden="false" customHeight="false" outlineLevel="0" collapsed="false">
      <c r="A51" s="7" t="s">
        <v>28</v>
      </c>
      <c r="B51" s="0" t="s">
        <v>29</v>
      </c>
      <c r="C51" s="6" t="n">
        <v>10.0453731343284</v>
      </c>
      <c r="D51" s="6" t="n">
        <v>10.5565656565657</v>
      </c>
      <c r="E51" s="6" t="n">
        <v>10.3294128169014</v>
      </c>
      <c r="F51" s="6" t="n">
        <v>9.62814738636364</v>
      </c>
      <c r="G51" s="6" t="n">
        <v>8.65267884615385</v>
      </c>
    </row>
    <row r="52" customFormat="false" ht="17.15" hidden="false" customHeight="false" outlineLevel="0" collapsed="false">
      <c r="A52" s="7" t="s">
        <v>28</v>
      </c>
      <c r="B52" s="0" t="s">
        <v>30</v>
      </c>
      <c r="C52" s="6" t="n">
        <v>7.63760535510633</v>
      </c>
      <c r="D52" s="6" t="n">
        <v>8.16155930610514</v>
      </c>
      <c r="E52" s="6" t="n">
        <v>8.3998358502713</v>
      </c>
      <c r="F52" s="6" t="n">
        <v>8.30204726630873</v>
      </c>
      <c r="G52" s="6" t="n">
        <v>7.86163652282644</v>
      </c>
    </row>
    <row r="53" customFormat="false" ht="17.15" hidden="false" customHeight="false" outlineLevel="0" collapsed="false">
      <c r="A53" s="7" t="s">
        <v>28</v>
      </c>
      <c r="B53" s="7" t="s">
        <v>31</v>
      </c>
      <c r="C53" s="6" t="n">
        <f aca="false">C52-C51</f>
        <v>-2.40776777922203</v>
      </c>
      <c r="D53" s="6" t="n">
        <f aca="false">D52-D51</f>
        <v>-2.39500635046053</v>
      </c>
      <c r="E53" s="6" t="n">
        <f aca="false">E52-E51</f>
        <v>-1.92957696663011</v>
      </c>
      <c r="F53" s="6" t="n">
        <f aca="false">F52-F51</f>
        <v>-1.32610012005491</v>
      </c>
      <c r="G53" s="6" t="n">
        <f aca="false">G52-G51</f>
        <v>-0.791042323327411</v>
      </c>
    </row>
    <row r="54" customFormat="false" ht="15" hidden="false" customHeight="false" outlineLevel="0" collapsed="false">
      <c r="A54" s="7" t="s">
        <v>32</v>
      </c>
      <c r="B54" s="0" t="s">
        <v>29</v>
      </c>
      <c r="C54" s="6" t="n">
        <v>9.68716417910448</v>
      </c>
      <c r="D54" s="6" t="n">
        <v>10.1525252525253</v>
      </c>
      <c r="E54" s="6" t="n">
        <v>9.82237056338028</v>
      </c>
      <c r="F54" s="6" t="n">
        <v>8.99178375</v>
      </c>
      <c r="G54" s="6" t="n">
        <v>7.92190961538462</v>
      </c>
    </row>
    <row r="55" customFormat="false" ht="15" hidden="false" customHeight="false" outlineLevel="0" collapsed="false">
      <c r="A55" s="7" t="s">
        <v>32</v>
      </c>
      <c r="B55" s="0" t="s">
        <v>30</v>
      </c>
      <c r="C55" s="6" t="n">
        <v>7.27939639988245</v>
      </c>
      <c r="D55" s="6" t="n">
        <v>7.75751890206473</v>
      </c>
      <c r="E55" s="6" t="n">
        <v>7.89279359675017</v>
      </c>
      <c r="F55" s="6" t="n">
        <v>7.66568362994509</v>
      </c>
      <c r="G55" s="6" t="n">
        <v>7.13086729205721</v>
      </c>
    </row>
    <row r="56" customFormat="false" ht="15" hidden="false" customHeight="false" outlineLevel="0" collapsed="false">
      <c r="A56" s="7" t="s">
        <v>32</v>
      </c>
      <c r="B56" s="7" t="s">
        <v>31</v>
      </c>
      <c r="C56" s="6" t="n">
        <f aca="false">C55-C54</f>
        <v>-2.40776777922202</v>
      </c>
      <c r="D56" s="6" t="n">
        <f aca="false">D55-D54</f>
        <v>-2.39500635046052</v>
      </c>
      <c r="E56" s="6" t="n">
        <f aca="false">E55-E54</f>
        <v>-1.92957696663011</v>
      </c>
      <c r="F56" s="6" t="n">
        <f aca="false">F55-F54</f>
        <v>-1.32610012005491</v>
      </c>
      <c r="G56" s="6" t="n">
        <f aca="false">G55-G54</f>
        <v>-0.791042323327412</v>
      </c>
    </row>
    <row r="57" customFormat="false" ht="15" hidden="false" customHeight="false" outlineLevel="0" collapsed="false">
      <c r="A57" s="7" t="s">
        <v>33</v>
      </c>
      <c r="B57" s="0" t="s">
        <v>29</v>
      </c>
      <c r="C57" s="6" t="n">
        <v>4.24396782571711</v>
      </c>
      <c r="D57" s="6" t="n">
        <v>4.32822629422416</v>
      </c>
      <c r="E57" s="6" t="n">
        <v>4.1029019912189</v>
      </c>
      <c r="F57" s="6" t="n">
        <v>3.9229318965856</v>
      </c>
      <c r="G57" s="6" t="n">
        <v>3.72838235307554</v>
      </c>
    </row>
    <row r="58" customFormat="false" ht="15" hidden="false" customHeight="false" outlineLevel="0" collapsed="false">
      <c r="A58" s="7" t="s">
        <v>33</v>
      </c>
      <c r="B58" s="0" t="s">
        <v>30</v>
      </c>
      <c r="C58" s="6" t="n">
        <v>4.11118995206681</v>
      </c>
      <c r="D58" s="6" t="n">
        <v>4.19615215761624</v>
      </c>
      <c r="E58" s="6" t="n">
        <v>3.99649425169988</v>
      </c>
      <c r="F58" s="6" t="n">
        <v>3.84980326860588</v>
      </c>
      <c r="G58" s="6" t="n">
        <v>3.68475982495418</v>
      </c>
    </row>
    <row r="59" customFormat="false" ht="15" hidden="false" customHeight="false" outlineLevel="0" collapsed="false">
      <c r="A59" s="7" t="s">
        <v>33</v>
      </c>
      <c r="B59" s="7" t="s">
        <v>31</v>
      </c>
      <c r="C59" s="6" t="n">
        <f aca="false">C58-C57</f>
        <v>-0.132777873650301</v>
      </c>
      <c r="D59" s="6" t="n">
        <f aca="false">D58-D57</f>
        <v>-0.132074136607921</v>
      </c>
      <c r="E59" s="6" t="n">
        <f aca="false">E58-E57</f>
        <v>-0.106407739519019</v>
      </c>
      <c r="F59" s="6" t="n">
        <f aca="false">F58-F57</f>
        <v>-0.0731286279797261</v>
      </c>
      <c r="G59" s="6" t="n">
        <f aca="false">G58-G57</f>
        <v>-0.043622528121356</v>
      </c>
    </row>
    <row r="60" customFormat="false" ht="15" hidden="false" customHeight="false" outlineLevel="0" collapsed="false">
      <c r="A60" s="0" t="s">
        <v>34</v>
      </c>
      <c r="B60" s="0" t="s">
        <v>29</v>
      </c>
      <c r="C60" s="6" t="n">
        <v>5.80140530861125</v>
      </c>
      <c r="D60" s="6" t="n">
        <v>6.22833936234149</v>
      </c>
      <c r="E60" s="6" t="n">
        <v>6.22651082568251</v>
      </c>
      <c r="F60" s="6" t="n">
        <v>5.70521548977804</v>
      </c>
      <c r="G60" s="6" t="n">
        <v>4.92429649307831</v>
      </c>
    </row>
    <row r="61" customFormat="false" ht="15" hidden="false" customHeight="false" outlineLevel="0" collapsed="false">
      <c r="A61" s="0" t="s">
        <v>34</v>
      </c>
      <c r="B61" s="0" t="s">
        <v>30</v>
      </c>
      <c r="C61" s="6" t="n">
        <v>3.52641540303952</v>
      </c>
      <c r="D61" s="6" t="n">
        <v>3.96540714848889</v>
      </c>
      <c r="E61" s="6" t="n">
        <v>4.40334159857142</v>
      </c>
      <c r="F61" s="6" t="n">
        <v>4.45224399770285</v>
      </c>
      <c r="G61" s="6" t="n">
        <v>4.17687669787226</v>
      </c>
    </row>
    <row r="62" customFormat="false" ht="15" hidden="false" customHeight="false" outlineLevel="0" collapsed="false">
      <c r="A62" s="0" t="s">
        <v>34</v>
      </c>
      <c r="B62" s="7" t="s">
        <v>31</v>
      </c>
      <c r="C62" s="6" t="n">
        <f aca="false">C61-C60</f>
        <v>-2.27498990557172</v>
      </c>
      <c r="D62" s="6" t="n">
        <f aca="false">D61-D60</f>
        <v>-2.2629322138526</v>
      </c>
      <c r="E62" s="6" t="n">
        <f aca="false">E61-E60</f>
        <v>-1.82316922711109</v>
      </c>
      <c r="F62" s="6" t="n">
        <f aca="false">F61-F60</f>
        <v>-1.25297149207519</v>
      </c>
      <c r="G62" s="6" t="n">
        <f aca="false">G61-G60</f>
        <v>-0.747419795206055</v>
      </c>
    </row>
    <row r="63" customFormat="false" ht="15" hidden="false" customHeight="false" outlineLevel="0" collapsed="false">
      <c r="A63" s="7" t="s">
        <v>35</v>
      </c>
      <c r="B63" s="0" t="s">
        <v>29</v>
      </c>
      <c r="C63" s="6" t="n">
        <v>-2.80615562866419</v>
      </c>
      <c r="D63" s="6" t="n">
        <v>-2.64043885902266</v>
      </c>
      <c r="E63" s="6" t="n">
        <v>-2.12470421535007</v>
      </c>
      <c r="F63" s="6" t="n">
        <v>-2.35557478253166</v>
      </c>
      <c r="G63" s="6" t="n">
        <v>-2.99624854859274</v>
      </c>
    </row>
    <row r="64" customFormat="false" ht="15" hidden="false" customHeight="false" outlineLevel="0" collapsed="false">
      <c r="A64" s="7" t="s">
        <v>35</v>
      </c>
      <c r="B64" s="0" t="s">
        <v>30</v>
      </c>
      <c r="C64" s="6" t="n">
        <v>-5.18807878300777</v>
      </c>
      <c r="D64" s="6" t="n">
        <v>-5.20559682625485</v>
      </c>
      <c r="E64" s="6" t="n">
        <v>-4.23159148492751</v>
      </c>
      <c r="F64" s="6" t="n">
        <v>-4.0378532180395</v>
      </c>
      <c r="G64" s="6" t="n">
        <v>-4.19733739164543</v>
      </c>
    </row>
    <row r="65" customFormat="false" ht="15" hidden="false" customHeight="false" outlineLevel="0" collapsed="false">
      <c r="A65" s="7" t="s">
        <v>35</v>
      </c>
      <c r="B65" s="7" t="s">
        <v>31</v>
      </c>
      <c r="C65" s="6" t="n">
        <f aca="false">C64-C63</f>
        <v>-2.38192315434358</v>
      </c>
      <c r="D65" s="6" t="n">
        <f aca="false">D64-D63</f>
        <v>-2.56515796723219</v>
      </c>
      <c r="E65" s="6" t="n">
        <f aca="false">E64-E63</f>
        <v>-2.10688726957744</v>
      </c>
      <c r="F65" s="6" t="n">
        <f aca="false">F64-F63</f>
        <v>-1.68227843550784</v>
      </c>
      <c r="G65" s="6" t="n">
        <f aca="false">G64-G63</f>
        <v>-1.20108884305269</v>
      </c>
    </row>
    <row r="66" customFormat="false" ht="17.15" hidden="false" customHeight="false" outlineLevel="0" collapsed="false">
      <c r="A66" s="7" t="s">
        <v>36</v>
      </c>
      <c r="B66" s="0" t="s">
        <v>29</v>
      </c>
      <c r="C66" s="6" t="n">
        <v>1675</v>
      </c>
      <c r="D66" s="6" t="n">
        <v>2475</v>
      </c>
      <c r="E66" s="6" t="n">
        <v>3550</v>
      </c>
      <c r="F66" s="6" t="n">
        <v>4400</v>
      </c>
      <c r="G66" s="6" t="n">
        <v>5200</v>
      </c>
    </row>
    <row r="67" customFormat="false" ht="17.15" hidden="false" customHeight="false" outlineLevel="0" collapsed="false">
      <c r="A67" s="7" t="s">
        <v>36</v>
      </c>
      <c r="B67" s="0" t="s">
        <v>30</v>
      </c>
      <c r="C67" s="6" t="n">
        <v>1675</v>
      </c>
      <c r="D67" s="6" t="n">
        <v>2475</v>
      </c>
      <c r="E67" s="6" t="n">
        <v>3550</v>
      </c>
      <c r="F67" s="6" t="n">
        <v>4400</v>
      </c>
      <c r="G67" s="6" t="n">
        <v>5200</v>
      </c>
    </row>
    <row r="68" customFormat="false" ht="17.15" hidden="false" customHeight="false" outlineLevel="0" collapsed="false">
      <c r="A68" s="7" t="s">
        <v>36</v>
      </c>
      <c r="B68" s="7" t="s">
        <v>31</v>
      </c>
      <c r="C68" s="6" t="n">
        <f aca="false">C67-C66</f>
        <v>0</v>
      </c>
      <c r="D68" s="6" t="n">
        <f aca="false">D67-D66</f>
        <v>0</v>
      </c>
      <c r="E68" s="6" t="n">
        <f aca="false">E67-E66</f>
        <v>0</v>
      </c>
      <c r="F68" s="6" t="n">
        <f aca="false">F67-F66</f>
        <v>0</v>
      </c>
      <c r="G68" s="6" t="n">
        <f aca="false">G67-G66</f>
        <v>0</v>
      </c>
    </row>
    <row r="69" customFormat="false" ht="17.15" hidden="false" customHeight="false" outlineLevel="0" collapsed="false">
      <c r="A69" s="7" t="s">
        <v>37</v>
      </c>
      <c r="B69" s="0" t="s">
        <v>29</v>
      </c>
      <c r="C69" s="6" t="n">
        <v>11.2</v>
      </c>
      <c r="D69" s="6" t="n">
        <v>11.5</v>
      </c>
      <c r="E69" s="6" t="n">
        <v>11.5</v>
      </c>
      <c r="F69" s="6" t="n">
        <v>11</v>
      </c>
      <c r="G69" s="6" t="n">
        <v>10.5</v>
      </c>
    </row>
    <row r="70" customFormat="false" ht="17.15" hidden="false" customHeight="false" outlineLevel="0" collapsed="false">
      <c r="A70" s="7" t="s">
        <v>37</v>
      </c>
      <c r="B70" s="0" t="s">
        <v>30</v>
      </c>
      <c r="C70" s="6" t="n">
        <v>8.41621326647324</v>
      </c>
      <c r="D70" s="6" t="n">
        <v>8.78712095313968</v>
      </c>
      <c r="E70" s="6" t="n">
        <v>9.06079993265069</v>
      </c>
      <c r="F70" s="6" t="n">
        <v>9.20714052968951</v>
      </c>
      <c r="G70" s="6" t="n">
        <v>9.35297363159967</v>
      </c>
    </row>
    <row r="71" customFormat="false" ht="17.15" hidden="false" customHeight="false" outlineLevel="0" collapsed="false">
      <c r="A71" s="7" t="s">
        <v>37</v>
      </c>
      <c r="B71" s="7" t="s">
        <v>31</v>
      </c>
      <c r="C71" s="6" t="n">
        <f aca="false">C70-C69</f>
        <v>-2.78378673352676</v>
      </c>
      <c r="D71" s="6" t="n">
        <f aca="false">D70-D69</f>
        <v>-2.71287904686032</v>
      </c>
      <c r="E71" s="6" t="n">
        <f aca="false">E70-E69</f>
        <v>-2.43920006734932</v>
      </c>
      <c r="F71" s="6" t="n">
        <f aca="false">F70-F69</f>
        <v>-1.79285947031049</v>
      </c>
      <c r="G71" s="6" t="n">
        <f aca="false">G70-G69</f>
        <v>-1.14702636840033</v>
      </c>
    </row>
    <row r="72" customFormat="false" ht="17.15" hidden="false" customHeight="false" outlineLevel="0" collapsed="false">
      <c r="A72" s="7" t="s">
        <v>38</v>
      </c>
      <c r="B72" s="0" t="s">
        <v>29</v>
      </c>
      <c r="C72" s="6" t="n">
        <v>10.64</v>
      </c>
      <c r="D72" s="6" t="n">
        <v>10.925</v>
      </c>
      <c r="E72" s="6" t="n">
        <v>10.81</v>
      </c>
      <c r="F72" s="6" t="n">
        <v>10.23</v>
      </c>
      <c r="G72" s="6" t="n">
        <v>9.66</v>
      </c>
    </row>
    <row r="73" customFormat="false" ht="17.15" hidden="false" customHeight="false" outlineLevel="0" collapsed="false">
      <c r="A73" s="7" t="s">
        <v>38</v>
      </c>
      <c r="B73" s="0" t="s">
        <v>30</v>
      </c>
      <c r="C73" s="6" t="n">
        <v>7.99540260314958</v>
      </c>
      <c r="D73" s="6" t="n">
        <v>8.3477649054827</v>
      </c>
      <c r="E73" s="6" t="n">
        <v>8.51715193669164</v>
      </c>
      <c r="F73" s="6" t="n">
        <v>8.56264069261124</v>
      </c>
      <c r="G73" s="6" t="n">
        <v>8.6047357410717</v>
      </c>
    </row>
    <row r="74" customFormat="false" ht="17.15" hidden="false" customHeight="false" outlineLevel="0" collapsed="false">
      <c r="A74" s="7" t="s">
        <v>38</v>
      </c>
      <c r="B74" s="7" t="s">
        <v>31</v>
      </c>
      <c r="C74" s="6" t="n">
        <f aca="false">C73-C72</f>
        <v>-2.64459739685042</v>
      </c>
      <c r="D74" s="6" t="n">
        <f aca="false">D73-D72</f>
        <v>-2.5772350945173</v>
      </c>
      <c r="E74" s="6" t="n">
        <f aca="false">E73-E72</f>
        <v>-2.29284806330836</v>
      </c>
      <c r="F74" s="6" t="n">
        <f aca="false">F73-F72</f>
        <v>-1.66735930738876</v>
      </c>
      <c r="G74" s="6" t="n">
        <f aca="false">G73-G72</f>
        <v>-1.0552642589283</v>
      </c>
    </row>
    <row r="75" customFormat="false" ht="17.15" hidden="false" customHeight="false" outlineLevel="0" collapsed="false">
      <c r="A75" s="7" t="s">
        <v>39</v>
      </c>
      <c r="B75" s="0" t="s">
        <v>29</v>
      </c>
      <c r="C75" s="6" t="n">
        <v>11.0739648243069</v>
      </c>
      <c r="D75" s="6" t="n">
        <v>11.5620012541312</v>
      </c>
      <c r="E75" s="6" t="n">
        <v>11.9221051745404</v>
      </c>
      <c r="F75" s="6" t="n">
        <v>12.1146585916967</v>
      </c>
      <c r="G75" s="6" t="n">
        <v>12.3065442521048</v>
      </c>
    </row>
    <row r="76" customFormat="false" ht="17.15" hidden="false" customHeight="false" outlineLevel="0" collapsed="false">
      <c r="A76" s="7" t="s">
        <v>39</v>
      </c>
      <c r="B76" s="0" t="s">
        <v>30</v>
      </c>
      <c r="C76" s="6" t="n">
        <v>11.0739648243069</v>
      </c>
      <c r="D76" s="6" t="n">
        <v>11.5620012541312</v>
      </c>
      <c r="E76" s="6" t="n">
        <v>11.9221051745404</v>
      </c>
      <c r="F76" s="6" t="n">
        <v>12.1146585916967</v>
      </c>
      <c r="G76" s="6" t="n">
        <v>12.3065442521048</v>
      </c>
    </row>
    <row r="77" customFormat="false" ht="17.15" hidden="false" customHeight="false" outlineLevel="0" collapsed="false">
      <c r="A77" s="7" t="s">
        <v>39</v>
      </c>
      <c r="B77" s="7" t="s">
        <v>31</v>
      </c>
      <c r="C77" s="6" t="n">
        <f aca="false">C76-C75</f>
        <v>0</v>
      </c>
      <c r="D77" s="6" t="n">
        <f aca="false">D76-D75</f>
        <v>0</v>
      </c>
      <c r="E77" s="6" t="n">
        <f aca="false">E76-E75</f>
        <v>0</v>
      </c>
      <c r="F77" s="6" t="n">
        <f aca="false">F76-F75</f>
        <v>0</v>
      </c>
      <c r="G77" s="6" t="n">
        <f aca="false">G76-G75</f>
        <v>0</v>
      </c>
    </row>
    <row r="78" customFormat="false" ht="17.15" hidden="false" customHeight="false" outlineLevel="0" collapsed="false">
      <c r="A78" s="7" t="s">
        <v>40</v>
      </c>
      <c r="B78" s="0" t="s">
        <v>29</v>
      </c>
      <c r="C78" s="6" t="n">
        <v>1.01138121510161</v>
      </c>
      <c r="D78" s="6" t="n">
        <v>0.99463749806211</v>
      </c>
      <c r="E78" s="6" t="n">
        <v>0.964594744941373</v>
      </c>
      <c r="F78" s="6" t="n">
        <v>0.907990919986743</v>
      </c>
      <c r="G78" s="6" t="n">
        <v>0.853204586511291</v>
      </c>
    </row>
    <row r="79" customFormat="false" ht="17.15" hidden="false" customHeight="false" outlineLevel="0" collapsed="false">
      <c r="A79" s="7" t="s">
        <v>40</v>
      </c>
      <c r="B79" s="0" t="s">
        <v>30</v>
      </c>
      <c r="C79" s="6" t="n">
        <v>0.76</v>
      </c>
      <c r="D79" s="6" t="n">
        <v>0.76</v>
      </c>
      <c r="E79" s="6" t="n">
        <v>0.76</v>
      </c>
      <c r="F79" s="6" t="n">
        <v>0.76</v>
      </c>
      <c r="G79" s="6" t="n">
        <v>0.76</v>
      </c>
    </row>
    <row r="80" customFormat="false" ht="17.15" hidden="false" customHeight="false" outlineLevel="0" collapsed="false">
      <c r="A80" s="7" t="s">
        <v>40</v>
      </c>
      <c r="B80" s="7" t="s">
        <v>31</v>
      </c>
      <c r="C80" s="6" t="n">
        <f aca="false">C79-C78</f>
        <v>-0.25138121510161</v>
      </c>
      <c r="D80" s="6" t="n">
        <f aca="false">D79-D78</f>
        <v>-0.23463749806211</v>
      </c>
      <c r="E80" s="6" t="n">
        <f aca="false">E79-E78</f>
        <v>-0.204594744941373</v>
      </c>
      <c r="F80" s="6" t="n">
        <f aca="false">F79-F78</f>
        <v>-0.147990919986743</v>
      </c>
      <c r="G80" s="6" t="n">
        <f aca="false">G79-G78</f>
        <v>-0.0932045865112905</v>
      </c>
    </row>
    <row r="81" customFormat="false" ht="15" hidden="false" customHeight="false" outlineLevel="0" collapsed="false">
      <c r="A81" s="7" t="s">
        <v>41</v>
      </c>
      <c r="B81" s="0" t="s">
        <v>29</v>
      </c>
      <c r="C81" s="6" t="n">
        <v>0.672768</v>
      </c>
      <c r="D81" s="6" t="n">
        <v>0.672768</v>
      </c>
      <c r="E81" s="6" t="n">
        <v>0.672768</v>
      </c>
      <c r="F81" s="6" t="n">
        <v>0.672768</v>
      </c>
      <c r="G81" s="6" t="n">
        <v>0.672768</v>
      </c>
    </row>
    <row r="82" customFormat="false" ht="15" hidden="false" customHeight="false" outlineLevel="0" collapsed="false">
      <c r="A82" s="7" t="s">
        <v>41</v>
      </c>
      <c r="B82" s="0" t="s">
        <v>30</v>
      </c>
      <c r="C82" s="6" t="n">
        <v>0.672768</v>
      </c>
      <c r="D82" s="6" t="n">
        <v>0.672768</v>
      </c>
      <c r="E82" s="6" t="n">
        <v>0.672768</v>
      </c>
      <c r="F82" s="6" t="n">
        <v>0.672768</v>
      </c>
      <c r="G82" s="6" t="n">
        <v>0.672768</v>
      </c>
    </row>
    <row r="83" customFormat="false" ht="15" hidden="false" customHeight="false" outlineLevel="0" collapsed="false">
      <c r="A83" s="7" t="s">
        <v>41</v>
      </c>
      <c r="B83" s="7" t="s">
        <v>31</v>
      </c>
      <c r="C83" s="6" t="n">
        <f aca="false">C82-C81</f>
        <v>0</v>
      </c>
      <c r="D83" s="6" t="n">
        <f aca="false">D82-D81</f>
        <v>0</v>
      </c>
      <c r="E83" s="6" t="n">
        <f aca="false">E82-E81</f>
        <v>0</v>
      </c>
      <c r="F83" s="6" t="n">
        <f aca="false">F82-F81</f>
        <v>0</v>
      </c>
      <c r="G83" s="6" t="n">
        <f aca="false">G82-G81</f>
        <v>0</v>
      </c>
    </row>
    <row r="84" customFormat="false" ht="17.15" hidden="false" customHeight="false" outlineLevel="0" collapsed="false">
      <c r="A84" s="0" t="s">
        <v>42</v>
      </c>
      <c r="B84" s="0" t="s">
        <v>29</v>
      </c>
      <c r="C84" s="6" t="n">
        <v>0.936206901352657</v>
      </c>
      <c r="D84" s="6" t="n">
        <v>0.991538286572</v>
      </c>
      <c r="E84" s="6" t="n">
        <v>1.03236525669456</v>
      </c>
      <c r="F84" s="6" t="n">
        <v>1.05419610096948</v>
      </c>
      <c r="G84" s="6" t="n">
        <v>1.07595123797417</v>
      </c>
    </row>
    <row r="85" customFormat="false" ht="17.15" hidden="false" customHeight="false" outlineLevel="0" collapsed="false">
      <c r="A85" s="0" t="s">
        <v>42</v>
      </c>
      <c r="B85" s="0" t="s">
        <v>30</v>
      </c>
      <c r="C85" s="6" t="n">
        <v>0.936206901352657</v>
      </c>
      <c r="D85" s="6" t="n">
        <v>0.991538286572</v>
      </c>
      <c r="E85" s="6" t="n">
        <v>1.03236525669456</v>
      </c>
      <c r="F85" s="6" t="n">
        <v>1.05419610096948</v>
      </c>
      <c r="G85" s="6" t="n">
        <v>1.07595123797417</v>
      </c>
    </row>
    <row r="86" customFormat="false" ht="17.15" hidden="false" customHeight="false" outlineLevel="0" collapsed="false">
      <c r="A86" s="0" t="s">
        <v>42</v>
      </c>
      <c r="B86" s="7" t="s">
        <v>31</v>
      </c>
      <c r="C86" s="6" t="n">
        <f aca="false">C85-C84</f>
        <v>0</v>
      </c>
      <c r="D86" s="6" t="n">
        <f aca="false">D85-D84</f>
        <v>0</v>
      </c>
      <c r="E86" s="6" t="n">
        <f aca="false">E85-E84</f>
        <v>0</v>
      </c>
      <c r="F86" s="6" t="n">
        <f aca="false">F85-F84</f>
        <v>0</v>
      </c>
      <c r="G86" s="6" t="n">
        <f aca="false">G85-G84</f>
        <v>0</v>
      </c>
    </row>
    <row r="87" customFormat="false" ht="15" hidden="false" customHeight="false" outlineLevel="0" collapsed="false">
      <c r="A87" s="7" t="s">
        <v>43</v>
      </c>
      <c r="B87" s="0" t="s">
        <v>29</v>
      </c>
      <c r="C87" s="6" t="n">
        <v>0.325</v>
      </c>
      <c r="D87" s="6" t="n">
        <v>0.325</v>
      </c>
      <c r="E87" s="6" t="n">
        <v>0.325</v>
      </c>
      <c r="F87" s="6" t="n">
        <v>0.325</v>
      </c>
      <c r="G87" s="6" t="n">
        <v>0.325</v>
      </c>
    </row>
    <row r="88" customFormat="false" ht="15" hidden="false" customHeight="false" outlineLevel="0" collapsed="false">
      <c r="A88" s="7" t="s">
        <v>43</v>
      </c>
      <c r="B88" s="0" t="s">
        <v>30</v>
      </c>
      <c r="C88" s="6" t="n">
        <v>0.325</v>
      </c>
      <c r="D88" s="6" t="n">
        <v>0.325</v>
      </c>
      <c r="E88" s="6" t="n">
        <v>0.325</v>
      </c>
      <c r="F88" s="6" t="n">
        <v>0.325</v>
      </c>
      <c r="G88" s="6" t="n">
        <v>0.325</v>
      </c>
    </row>
    <row r="89" customFormat="false" ht="15" hidden="false" customHeight="false" outlineLevel="0" collapsed="false">
      <c r="A89" s="7" t="s">
        <v>43</v>
      </c>
      <c r="B89" s="7" t="s">
        <v>31</v>
      </c>
      <c r="C89" s="6" t="n">
        <f aca="false">C88-C87</f>
        <v>0</v>
      </c>
      <c r="D89" s="6" t="n">
        <f aca="false">D88-D87</f>
        <v>0</v>
      </c>
      <c r="E89" s="6" t="n">
        <f aca="false">E88-E87</f>
        <v>0</v>
      </c>
      <c r="F89" s="6" t="n">
        <f aca="false">F88-F87</f>
        <v>0</v>
      </c>
      <c r="G89" s="6" t="n">
        <f aca="false">G88-G87</f>
        <v>0</v>
      </c>
    </row>
    <row r="90" customFormat="false" ht="15" hidden="false" customHeight="false" outlineLevel="0" collapsed="false">
      <c r="A90" s="7" t="s">
        <v>44</v>
      </c>
      <c r="B90" s="0" t="s">
        <v>29</v>
      </c>
      <c r="C90" s="6" t="n">
        <v>0.156034483558776</v>
      </c>
      <c r="D90" s="6" t="n">
        <v>0.165256381095333</v>
      </c>
      <c r="E90" s="6" t="n">
        <v>0.172060876115761</v>
      </c>
      <c r="F90" s="6" t="n">
        <v>0.17569935016158</v>
      </c>
      <c r="G90" s="6" t="n">
        <v>0.179325206329029</v>
      </c>
    </row>
    <row r="91" customFormat="false" ht="15" hidden="false" customHeight="false" outlineLevel="0" collapsed="false">
      <c r="A91" s="7" t="s">
        <v>44</v>
      </c>
      <c r="B91" s="0" t="s">
        <v>30</v>
      </c>
      <c r="C91" s="6" t="n">
        <v>0.156034483558776</v>
      </c>
      <c r="D91" s="6" t="n">
        <v>0.165256381095333</v>
      </c>
      <c r="E91" s="6" t="n">
        <v>0.172060876115761</v>
      </c>
      <c r="F91" s="6" t="n">
        <v>0.17569935016158</v>
      </c>
      <c r="G91" s="6" t="n">
        <v>0.179325206329029</v>
      </c>
    </row>
    <row r="92" customFormat="false" ht="15" hidden="false" customHeight="false" outlineLevel="0" collapsed="false">
      <c r="A92" s="7" t="s">
        <v>44</v>
      </c>
      <c r="B92" s="7" t="s">
        <v>31</v>
      </c>
      <c r="C92" s="6" t="n">
        <f aca="false">C91-C90</f>
        <v>0</v>
      </c>
      <c r="D92" s="6" t="n">
        <f aca="false">D91-D90</f>
        <v>0</v>
      </c>
      <c r="E92" s="6" t="n">
        <f aca="false">E91-E90</f>
        <v>0</v>
      </c>
      <c r="F92" s="6" t="n">
        <f aca="false">F91-F90</f>
        <v>0</v>
      </c>
      <c r="G92" s="6" t="n">
        <f aca="false">G91-G90</f>
        <v>0</v>
      </c>
    </row>
    <row r="93" customFormat="false" ht="15" hidden="false" customHeight="false" outlineLevel="0" collapsed="false">
      <c r="A93" s="7" t="s">
        <v>45</v>
      </c>
      <c r="B93" s="0" t="s">
        <v>29</v>
      </c>
      <c r="C93" s="6" t="n">
        <v>1.6</v>
      </c>
      <c r="D93" s="6" t="n">
        <v>1.59151515151515</v>
      </c>
      <c r="E93" s="6" t="n">
        <v>1.33108587005906</v>
      </c>
      <c r="F93" s="6" t="n">
        <v>1.16431818181818</v>
      </c>
      <c r="G93" s="6" t="n">
        <v>0.998180473372781</v>
      </c>
    </row>
    <row r="94" customFormat="false" ht="15" hidden="false" customHeight="false" outlineLevel="0" collapsed="false">
      <c r="A94" s="7" t="s">
        <v>45</v>
      </c>
      <c r="B94" s="0" t="s">
        <v>30</v>
      </c>
      <c r="C94" s="6" t="n">
        <v>1.6</v>
      </c>
      <c r="D94" s="6" t="n">
        <v>1.59151515151515</v>
      </c>
      <c r="E94" s="6" t="n">
        <v>1.33108587005906</v>
      </c>
      <c r="F94" s="6" t="n">
        <v>1.16431818181818</v>
      </c>
      <c r="G94" s="6" t="n">
        <v>0.998180473372781</v>
      </c>
    </row>
    <row r="95" customFormat="false" ht="15" hidden="false" customHeight="false" outlineLevel="0" collapsed="false">
      <c r="A95" s="7" t="s">
        <v>45</v>
      </c>
      <c r="B95" s="7" t="s">
        <v>31</v>
      </c>
      <c r="C95" s="6" t="n">
        <f aca="false">C94-C93</f>
        <v>0</v>
      </c>
      <c r="D95" s="6" t="n">
        <f aca="false">D94-D93</f>
        <v>0</v>
      </c>
      <c r="E95" s="6" t="n">
        <f aca="false">E94-E93</f>
        <v>0</v>
      </c>
      <c r="F95" s="6" t="n">
        <f aca="false">F94-F93</f>
        <v>0</v>
      </c>
      <c r="G95" s="6" t="n">
        <f aca="false">G94-G93</f>
        <v>0</v>
      </c>
    </row>
    <row r="96" customFormat="false" ht="17.15" hidden="false" customHeight="false" outlineLevel="0" collapsed="false">
      <c r="A96" s="0" t="s">
        <v>46</v>
      </c>
      <c r="B96" s="0" t="s">
        <v>29</v>
      </c>
      <c r="C96" s="9" t="n">
        <v>0.577520140967778</v>
      </c>
      <c r="D96" s="9" t="n">
        <v>0.589996743729603</v>
      </c>
      <c r="E96" s="9" t="n">
        <v>0.602794266823612</v>
      </c>
      <c r="F96" s="9" t="n">
        <v>0.592555894798447</v>
      </c>
      <c r="G96" s="9" t="n">
        <v>0.569106583132596</v>
      </c>
    </row>
    <row r="97" customFormat="false" ht="17.15" hidden="false" customHeight="false" outlineLevel="0" collapsed="false">
      <c r="A97" s="0" t="s">
        <v>46</v>
      </c>
      <c r="B97" s="0" t="s">
        <v>30</v>
      </c>
      <c r="C97" s="9" t="n">
        <v>0.46171741522123</v>
      </c>
      <c r="D97" s="9" t="n">
        <v>0.485863913960979</v>
      </c>
      <c r="E97" s="9" t="n">
        <v>0.524217577231488</v>
      </c>
      <c r="F97" s="9" t="n">
        <v>0.53628266075657</v>
      </c>
      <c r="G97" s="9" t="n">
        <v>0.531298627931297</v>
      </c>
    </row>
    <row r="99" customFormat="false" ht="17.15" hidden="false" customHeight="false" outlineLevel="0" collapsed="false">
      <c r="A99" s="3" t="s">
        <v>48</v>
      </c>
      <c r="B99" s="3" t="s">
        <v>27</v>
      </c>
      <c r="C99" s="4" t="s">
        <v>15</v>
      </c>
      <c r="D99" s="4" t="s">
        <v>16</v>
      </c>
      <c r="E99" s="4" t="s">
        <v>17</v>
      </c>
      <c r="F99" s="4" t="s">
        <v>18</v>
      </c>
      <c r="G99" s="4" t="s">
        <v>19</v>
      </c>
    </row>
    <row r="100" customFormat="false" ht="17.15" hidden="false" customHeight="false" outlineLevel="0" collapsed="false">
      <c r="A100" s="7" t="s">
        <v>28</v>
      </c>
      <c r="B100" s="0" t="s">
        <v>29</v>
      </c>
      <c r="C100" s="6" t="n">
        <v>10.0453731343284</v>
      </c>
      <c r="D100" s="6" t="n">
        <v>10.5565656565657</v>
      </c>
      <c r="E100" s="6" t="n">
        <v>10.2333506493507</v>
      </c>
      <c r="F100" s="6" t="n">
        <v>9.34156422018348</v>
      </c>
      <c r="G100" s="6" t="n">
        <v>8.26809090909091</v>
      </c>
    </row>
    <row r="101" customFormat="false" ht="17.15" hidden="false" customHeight="false" outlineLevel="0" collapsed="false">
      <c r="A101" s="7" t="s">
        <v>28</v>
      </c>
      <c r="B101" s="0" t="s">
        <v>30</v>
      </c>
      <c r="C101" s="6" t="n">
        <v>7.63760535510633</v>
      </c>
      <c r="D101" s="6" t="n">
        <v>8.16155930610514</v>
      </c>
      <c r="E101" s="6" t="n">
        <v>8.34313270314851</v>
      </c>
      <c r="F101" s="6" t="n">
        <v>8.08544262852348</v>
      </c>
      <c r="G101" s="6" t="n">
        <v>7.54212202903884</v>
      </c>
    </row>
    <row r="102" customFormat="false" ht="17.15" hidden="false" customHeight="false" outlineLevel="0" collapsed="false">
      <c r="A102" s="7" t="s">
        <v>28</v>
      </c>
      <c r="B102" s="7" t="s">
        <v>31</v>
      </c>
      <c r="C102" s="6" t="n">
        <f aca="false">C101-C100</f>
        <v>-2.40776777922203</v>
      </c>
      <c r="D102" s="6" t="n">
        <f aca="false">D101-D100</f>
        <v>-2.39500635046053</v>
      </c>
      <c r="E102" s="6" t="n">
        <f aca="false">E101-E100</f>
        <v>-1.89021794620214</v>
      </c>
      <c r="F102" s="6" t="n">
        <f aca="false">F101-F100</f>
        <v>-1.25612159166001</v>
      </c>
      <c r="G102" s="6" t="n">
        <f aca="false">G101-G100</f>
        <v>-0.725968880052069</v>
      </c>
    </row>
    <row r="103" customFormat="false" ht="15" hidden="false" customHeight="false" outlineLevel="0" collapsed="false">
      <c r="A103" s="7" t="s">
        <v>32</v>
      </c>
      <c r="B103" s="0" t="s">
        <v>29</v>
      </c>
      <c r="C103" s="6" t="n">
        <v>9.68716417910448</v>
      </c>
      <c r="D103" s="6" t="n">
        <v>10.1525252525253</v>
      </c>
      <c r="E103" s="6" t="n">
        <v>9.76581818181818</v>
      </c>
      <c r="F103" s="6" t="n">
        <v>8.82780275229358</v>
      </c>
      <c r="G103" s="6" t="n">
        <v>7.73662237762238</v>
      </c>
    </row>
    <row r="104" customFormat="false" ht="15" hidden="false" customHeight="false" outlineLevel="0" collapsed="false">
      <c r="A104" s="7" t="s">
        <v>32</v>
      </c>
      <c r="B104" s="0" t="s">
        <v>30</v>
      </c>
      <c r="C104" s="6" t="n">
        <v>7.27939639988245</v>
      </c>
      <c r="D104" s="6" t="n">
        <v>7.75751890206473</v>
      </c>
      <c r="E104" s="6" t="n">
        <v>7.87560023561604</v>
      </c>
      <c r="F104" s="6" t="n">
        <v>7.57168116063357</v>
      </c>
      <c r="G104" s="6" t="n">
        <v>7.01065349757031</v>
      </c>
    </row>
    <row r="105" customFormat="false" ht="15" hidden="false" customHeight="false" outlineLevel="0" collapsed="false">
      <c r="A105" s="7" t="s">
        <v>32</v>
      </c>
      <c r="B105" s="7" t="s">
        <v>31</v>
      </c>
      <c r="C105" s="6" t="n">
        <f aca="false">C104-C103</f>
        <v>-2.40776777922202</v>
      </c>
      <c r="D105" s="6" t="n">
        <f aca="false">D104-D103</f>
        <v>-2.39500635046052</v>
      </c>
      <c r="E105" s="6" t="n">
        <f aca="false">E104-E103</f>
        <v>-1.89021794620214</v>
      </c>
      <c r="F105" s="6" t="n">
        <f aca="false">F104-F103</f>
        <v>-1.25612159166001</v>
      </c>
      <c r="G105" s="6" t="n">
        <f aca="false">G104-G103</f>
        <v>-0.725968880052071</v>
      </c>
    </row>
    <row r="106" customFormat="false" ht="15" hidden="false" customHeight="false" outlineLevel="0" collapsed="false">
      <c r="A106" s="7" t="s">
        <v>33</v>
      </c>
      <c r="B106" s="0" t="s">
        <v>29</v>
      </c>
      <c r="C106" s="6" t="n">
        <v>4.24396782571711</v>
      </c>
      <c r="D106" s="6" t="n">
        <v>4.32822629422416</v>
      </c>
      <c r="E106" s="6" t="n">
        <v>4.15335737624535</v>
      </c>
      <c r="F106" s="6" t="n">
        <v>3.92866462307045</v>
      </c>
      <c r="G106" s="6" t="n">
        <v>3.68892073208065</v>
      </c>
    </row>
    <row r="107" customFormat="false" ht="15" hidden="false" customHeight="false" outlineLevel="0" collapsed="false">
      <c r="A107" s="7" t="s">
        <v>33</v>
      </c>
      <c r="B107" s="0" t="s">
        <v>30</v>
      </c>
      <c r="C107" s="6" t="n">
        <v>4.11118995206681</v>
      </c>
      <c r="D107" s="6" t="n">
        <v>4.19615215761624</v>
      </c>
      <c r="E107" s="6" t="n">
        <v>4.04912011474605</v>
      </c>
      <c r="F107" s="6" t="n">
        <v>3.85939500520026</v>
      </c>
      <c r="G107" s="6" t="n">
        <v>3.64888672005448</v>
      </c>
    </row>
    <row r="108" customFormat="false" ht="15" hidden="false" customHeight="false" outlineLevel="0" collapsed="false">
      <c r="A108" s="7" t="s">
        <v>33</v>
      </c>
      <c r="B108" s="7" t="s">
        <v>31</v>
      </c>
      <c r="C108" s="6" t="n">
        <f aca="false">C107-C106</f>
        <v>-0.132777873650301</v>
      </c>
      <c r="D108" s="6" t="n">
        <f aca="false">D107-D106</f>
        <v>-0.132074136607921</v>
      </c>
      <c r="E108" s="6" t="n">
        <f aca="false">E107-E106</f>
        <v>-0.104237261499302</v>
      </c>
      <c r="F108" s="6" t="n">
        <f aca="false">F107-F106</f>
        <v>-0.0692696178701819</v>
      </c>
      <c r="G108" s="6" t="n">
        <f aca="false">G107-G106</f>
        <v>-0.040034012026172</v>
      </c>
    </row>
    <row r="109" customFormat="false" ht="15" hidden="false" customHeight="false" outlineLevel="0" collapsed="false">
      <c r="A109" s="0" t="s">
        <v>34</v>
      </c>
      <c r="B109" s="0" t="s">
        <v>29</v>
      </c>
      <c r="C109" s="6" t="n">
        <v>5.80140530861125</v>
      </c>
      <c r="D109" s="6" t="n">
        <v>6.22833936234149</v>
      </c>
      <c r="E109" s="6" t="n">
        <v>6.0799932731053</v>
      </c>
      <c r="F109" s="6" t="n">
        <v>5.41289959711304</v>
      </c>
      <c r="G109" s="6" t="n">
        <v>4.57917017701026</v>
      </c>
    </row>
    <row r="110" customFormat="false" ht="15" hidden="false" customHeight="false" outlineLevel="0" collapsed="false">
      <c r="A110" s="0" t="s">
        <v>34</v>
      </c>
      <c r="B110" s="0" t="s">
        <v>30</v>
      </c>
      <c r="C110" s="6" t="n">
        <v>3.52641540303952</v>
      </c>
      <c r="D110" s="6" t="n">
        <v>3.96540714848889</v>
      </c>
      <c r="E110" s="6" t="n">
        <v>4.29401258840246</v>
      </c>
      <c r="F110" s="6" t="n">
        <v>4.22604762332321</v>
      </c>
      <c r="G110" s="6" t="n">
        <v>3.89323530898436</v>
      </c>
    </row>
    <row r="111" customFormat="false" ht="15" hidden="false" customHeight="false" outlineLevel="0" collapsed="false">
      <c r="A111" s="0" t="s">
        <v>34</v>
      </c>
      <c r="B111" s="7" t="s">
        <v>31</v>
      </c>
      <c r="C111" s="6" t="n">
        <f aca="false">C110-C109</f>
        <v>-2.27498990557172</v>
      </c>
      <c r="D111" s="6" t="n">
        <f aca="false">D110-D109</f>
        <v>-2.2629322138526</v>
      </c>
      <c r="E111" s="6" t="n">
        <f aca="false">E110-E109</f>
        <v>-1.78598068470284</v>
      </c>
      <c r="F111" s="6" t="n">
        <f aca="false">F110-F109</f>
        <v>-1.18685197378983</v>
      </c>
      <c r="G111" s="6" t="n">
        <f aca="false">G110-G109</f>
        <v>-0.685934868025898</v>
      </c>
    </row>
    <row r="112" customFormat="false" ht="15" hidden="false" customHeight="false" outlineLevel="0" collapsed="false">
      <c r="A112" s="7" t="s">
        <v>35</v>
      </c>
      <c r="B112" s="0" t="s">
        <v>29</v>
      </c>
      <c r="C112" s="6" t="n">
        <v>-2.80615562866419</v>
      </c>
      <c r="D112" s="6" t="n">
        <v>-3.19533645452227</v>
      </c>
      <c r="E112" s="6" t="n">
        <v>-3.13022516890863</v>
      </c>
      <c r="F112" s="6" t="n">
        <v>-3.74810884265036</v>
      </c>
      <c r="G112" s="6" t="n">
        <v>-4.31350760513018</v>
      </c>
    </row>
    <row r="113" customFormat="false" ht="15" hidden="false" customHeight="false" outlineLevel="0" collapsed="false">
      <c r="A113" s="7" t="s">
        <v>35</v>
      </c>
      <c r="B113" s="0" t="s">
        <v>30</v>
      </c>
      <c r="C113" s="6" t="n">
        <v>-5.18807878300777</v>
      </c>
      <c r="D113" s="6" t="n">
        <v>-5.52529394546173</v>
      </c>
      <c r="E113" s="6" t="n">
        <v>-5.45442467340792</v>
      </c>
      <c r="F113" s="6" t="n">
        <v>-5.48971527525039</v>
      </c>
      <c r="G113" s="6" t="n">
        <v>-5.50814237172957</v>
      </c>
    </row>
    <row r="114" customFormat="false" ht="15" hidden="false" customHeight="false" outlineLevel="0" collapsed="false">
      <c r="A114" s="7" t="s">
        <v>35</v>
      </c>
      <c r="B114" s="7" t="s">
        <v>31</v>
      </c>
      <c r="C114" s="6" t="n">
        <f aca="false">C113-C112</f>
        <v>-2.38192315434358</v>
      </c>
      <c r="D114" s="6" t="n">
        <f aca="false">D113-D112</f>
        <v>-2.32995749093946</v>
      </c>
      <c r="E114" s="6" t="n">
        <f aca="false">E113-E112</f>
        <v>-2.32419950449929</v>
      </c>
      <c r="F114" s="6" t="n">
        <f aca="false">F113-F112</f>
        <v>-1.74160643260003</v>
      </c>
      <c r="G114" s="6" t="n">
        <f aca="false">G113-G112</f>
        <v>-1.19463476659939</v>
      </c>
    </row>
    <row r="115" customFormat="false" ht="17.15" hidden="false" customHeight="false" outlineLevel="0" collapsed="false">
      <c r="A115" s="7" t="s">
        <v>36</v>
      </c>
      <c r="B115" s="0" t="s">
        <v>29</v>
      </c>
      <c r="C115" s="6" t="n">
        <v>1675</v>
      </c>
      <c r="D115" s="6" t="n">
        <v>2475</v>
      </c>
      <c r="E115" s="6" t="n">
        <v>3850</v>
      </c>
      <c r="F115" s="6" t="n">
        <v>5450</v>
      </c>
      <c r="G115" s="6" t="n">
        <v>7150</v>
      </c>
    </row>
    <row r="116" customFormat="false" ht="17.15" hidden="false" customHeight="false" outlineLevel="0" collapsed="false">
      <c r="A116" s="7" t="s">
        <v>36</v>
      </c>
      <c r="B116" s="0" t="s">
        <v>30</v>
      </c>
      <c r="C116" s="6" t="n">
        <v>1675</v>
      </c>
      <c r="D116" s="6" t="n">
        <v>2475</v>
      </c>
      <c r="E116" s="6" t="n">
        <v>3850</v>
      </c>
      <c r="F116" s="6" t="n">
        <v>5450</v>
      </c>
      <c r="G116" s="6" t="n">
        <v>7150</v>
      </c>
    </row>
    <row r="117" customFormat="false" ht="17.15" hidden="false" customHeight="false" outlineLevel="0" collapsed="false">
      <c r="A117" s="7" t="s">
        <v>36</v>
      </c>
      <c r="B117" s="7" t="s">
        <v>31</v>
      </c>
      <c r="C117" s="6" t="n">
        <f aca="false">C116-C115</f>
        <v>0</v>
      </c>
      <c r="D117" s="6" t="n">
        <f aca="false">D116-D115</f>
        <v>0</v>
      </c>
      <c r="E117" s="6" t="n">
        <f aca="false">E116-E115</f>
        <v>0</v>
      </c>
      <c r="F117" s="6" t="n">
        <f aca="false">F116-F115</f>
        <v>0</v>
      </c>
      <c r="G117" s="6" t="n">
        <f aca="false">G116-G115</f>
        <v>0</v>
      </c>
    </row>
    <row r="118" customFormat="false" ht="17.15" hidden="false" customHeight="false" outlineLevel="0" collapsed="false">
      <c r="A118" s="7" t="s">
        <v>37</v>
      </c>
      <c r="B118" s="0" t="s">
        <v>29</v>
      </c>
      <c r="C118" s="6" t="n">
        <v>11.2</v>
      </c>
      <c r="D118" s="6" t="n">
        <v>11.5</v>
      </c>
      <c r="E118" s="6" t="n">
        <v>11.5</v>
      </c>
      <c r="F118" s="6" t="n">
        <v>11</v>
      </c>
      <c r="G118" s="6" t="n">
        <v>10.5</v>
      </c>
    </row>
    <row r="119" customFormat="false" ht="17.15" hidden="false" customHeight="false" outlineLevel="0" collapsed="false">
      <c r="A119" s="7" t="s">
        <v>37</v>
      </c>
      <c r="B119" s="0" t="s">
        <v>30</v>
      </c>
      <c r="C119" s="6" t="n">
        <v>8.41621326647324</v>
      </c>
      <c r="D119" s="6" t="n">
        <v>8.78712095313968</v>
      </c>
      <c r="E119" s="6" t="n">
        <v>9.11054009296091</v>
      </c>
      <c r="F119" s="6" t="n">
        <v>9.30192787524722</v>
      </c>
      <c r="G119" s="6" t="n">
        <v>9.44738045660847</v>
      </c>
    </row>
    <row r="120" customFormat="false" ht="17.15" hidden="false" customHeight="false" outlineLevel="0" collapsed="false">
      <c r="A120" s="7" t="s">
        <v>37</v>
      </c>
      <c r="B120" s="7" t="s">
        <v>31</v>
      </c>
      <c r="C120" s="6" t="n">
        <f aca="false">C119-C118</f>
        <v>-2.78378673352676</v>
      </c>
      <c r="D120" s="6" t="n">
        <f aca="false">D119-D118</f>
        <v>-2.71287904686032</v>
      </c>
      <c r="E120" s="6" t="n">
        <f aca="false">E119-E118</f>
        <v>-2.38945990703909</v>
      </c>
      <c r="F120" s="6" t="n">
        <f aca="false">F119-F118</f>
        <v>-1.69807212475278</v>
      </c>
      <c r="G120" s="6" t="n">
        <f aca="false">G119-G118</f>
        <v>-1.05261954339153</v>
      </c>
    </row>
    <row r="121" customFormat="false" ht="17.15" hidden="false" customHeight="false" outlineLevel="0" collapsed="false">
      <c r="A121" s="7" t="s">
        <v>38</v>
      </c>
      <c r="B121" s="0" t="s">
        <v>29</v>
      </c>
      <c r="C121" s="6" t="n">
        <v>10.64</v>
      </c>
      <c r="D121" s="6" t="n">
        <v>10.925</v>
      </c>
      <c r="E121" s="6" t="n">
        <v>10.81</v>
      </c>
      <c r="F121" s="6" t="n">
        <v>10.23</v>
      </c>
      <c r="G121" s="6" t="n">
        <v>9.66</v>
      </c>
    </row>
    <row r="122" customFormat="false" ht="17.15" hidden="false" customHeight="false" outlineLevel="0" collapsed="false">
      <c r="A122" s="7" t="s">
        <v>38</v>
      </c>
      <c r="B122" s="0" t="s">
        <v>30</v>
      </c>
      <c r="C122" s="6" t="n">
        <v>7.99540260314958</v>
      </c>
      <c r="D122" s="6" t="n">
        <v>8.3477649054827</v>
      </c>
      <c r="E122" s="6" t="n">
        <v>8.56390768738326</v>
      </c>
      <c r="F122" s="6" t="n">
        <v>8.65079292397992</v>
      </c>
      <c r="G122" s="6" t="n">
        <v>8.6915900200798</v>
      </c>
    </row>
    <row r="123" customFormat="false" ht="17.15" hidden="false" customHeight="false" outlineLevel="0" collapsed="false">
      <c r="A123" s="7" t="s">
        <v>38</v>
      </c>
      <c r="B123" s="7" t="s">
        <v>31</v>
      </c>
      <c r="C123" s="6" t="n">
        <f aca="false">C122-C121</f>
        <v>-2.64459739685042</v>
      </c>
      <c r="D123" s="6" t="n">
        <f aca="false">D122-D121</f>
        <v>-2.5772350945173</v>
      </c>
      <c r="E123" s="6" t="n">
        <f aca="false">E122-E121</f>
        <v>-2.24609231261674</v>
      </c>
      <c r="F123" s="6" t="n">
        <f aca="false">F122-F121</f>
        <v>-1.57920707602008</v>
      </c>
      <c r="G123" s="6" t="n">
        <f aca="false">G122-G121</f>
        <v>-0.968409979920205</v>
      </c>
    </row>
    <row r="124" customFormat="false" ht="17.15" hidden="false" customHeight="false" outlineLevel="0" collapsed="false">
      <c r="A124" s="7" t="s">
        <v>39</v>
      </c>
      <c r="B124" s="0" t="s">
        <v>29</v>
      </c>
      <c r="C124" s="6" t="n">
        <v>11.0739648243069</v>
      </c>
      <c r="D124" s="6" t="n">
        <v>11.5620012541312</v>
      </c>
      <c r="E124" s="6" t="n">
        <v>11.9875527538959</v>
      </c>
      <c r="F124" s="6" t="n">
        <v>12.23937878322</v>
      </c>
      <c r="G124" s="6" t="n">
        <v>12.4307637586954</v>
      </c>
    </row>
    <row r="125" customFormat="false" ht="17.15" hidden="false" customHeight="false" outlineLevel="0" collapsed="false">
      <c r="A125" s="7" t="s">
        <v>39</v>
      </c>
      <c r="B125" s="0" t="s">
        <v>30</v>
      </c>
      <c r="C125" s="6" t="n">
        <v>11.0739648243069</v>
      </c>
      <c r="D125" s="6" t="n">
        <v>11.5620012541312</v>
      </c>
      <c r="E125" s="6" t="n">
        <v>11.9875527538959</v>
      </c>
      <c r="F125" s="6" t="n">
        <v>12.23937878322</v>
      </c>
      <c r="G125" s="6" t="n">
        <v>12.4307637586954</v>
      </c>
    </row>
    <row r="126" customFormat="false" ht="17.15" hidden="false" customHeight="false" outlineLevel="0" collapsed="false">
      <c r="A126" s="7" t="s">
        <v>39</v>
      </c>
      <c r="B126" s="7" t="s">
        <v>31</v>
      </c>
      <c r="C126" s="6" t="n">
        <f aca="false">C125-C124</f>
        <v>0</v>
      </c>
      <c r="D126" s="6" t="n">
        <f aca="false">D125-D124</f>
        <v>0</v>
      </c>
      <c r="E126" s="6" t="n">
        <f aca="false">E125-E124</f>
        <v>0</v>
      </c>
      <c r="F126" s="6" t="n">
        <f aca="false">F125-F124</f>
        <v>0</v>
      </c>
      <c r="G126" s="6" t="n">
        <f aca="false">G125-G124</f>
        <v>0</v>
      </c>
    </row>
    <row r="127" customFormat="false" ht="17.15" hidden="false" customHeight="false" outlineLevel="0" collapsed="false">
      <c r="A127" s="7" t="s">
        <v>40</v>
      </c>
      <c r="B127" s="0" t="s">
        <v>29</v>
      </c>
      <c r="C127" s="6" t="n">
        <v>1.01138121510161</v>
      </c>
      <c r="D127" s="6" t="n">
        <v>0.99463749806211</v>
      </c>
      <c r="E127" s="6" t="n">
        <v>0.959328416407804</v>
      </c>
      <c r="F127" s="6" t="n">
        <v>0.89873842413316</v>
      </c>
      <c r="G127" s="6" t="n">
        <v>0.844678589652644</v>
      </c>
    </row>
    <row r="128" customFormat="false" ht="17.15" hidden="false" customHeight="false" outlineLevel="0" collapsed="false">
      <c r="A128" s="7" t="s">
        <v>40</v>
      </c>
      <c r="B128" s="0" t="s">
        <v>30</v>
      </c>
      <c r="C128" s="6" t="n">
        <v>0.76</v>
      </c>
      <c r="D128" s="6" t="n">
        <v>0.76</v>
      </c>
      <c r="E128" s="6" t="n">
        <v>0.76</v>
      </c>
      <c r="F128" s="6" t="n">
        <v>0.76</v>
      </c>
      <c r="G128" s="6" t="n">
        <v>0.76</v>
      </c>
    </row>
    <row r="129" customFormat="false" ht="17.15" hidden="false" customHeight="false" outlineLevel="0" collapsed="false">
      <c r="A129" s="7" t="s">
        <v>40</v>
      </c>
      <c r="B129" s="7" t="s">
        <v>31</v>
      </c>
      <c r="C129" s="6" t="n">
        <f aca="false">C128-C127</f>
        <v>-0.25138121510161</v>
      </c>
      <c r="D129" s="6" t="n">
        <f aca="false">D128-D127</f>
        <v>-0.23463749806211</v>
      </c>
      <c r="E129" s="6" t="n">
        <f aca="false">E128-E127</f>
        <v>-0.199328416407804</v>
      </c>
      <c r="F129" s="6" t="n">
        <f aca="false">F128-F127</f>
        <v>-0.13873842413316</v>
      </c>
      <c r="G129" s="6" t="n">
        <f aca="false">G128-G127</f>
        <v>-0.0846785896526444</v>
      </c>
    </row>
    <row r="130" customFormat="false" ht="15" hidden="false" customHeight="false" outlineLevel="0" collapsed="false">
      <c r="A130" s="7" t="s">
        <v>41</v>
      </c>
      <c r="B130" s="0" t="s">
        <v>29</v>
      </c>
      <c r="C130" s="6" t="n">
        <v>0.672768</v>
      </c>
      <c r="D130" s="6" t="n">
        <v>0.672768</v>
      </c>
      <c r="E130" s="6" t="n">
        <v>0.672768</v>
      </c>
      <c r="F130" s="6" t="n">
        <v>0.672768</v>
      </c>
      <c r="G130" s="6" t="n">
        <v>0.672768</v>
      </c>
    </row>
    <row r="131" customFormat="false" ht="15" hidden="false" customHeight="false" outlineLevel="0" collapsed="false">
      <c r="A131" s="7" t="s">
        <v>41</v>
      </c>
      <c r="B131" s="0" t="s">
        <v>30</v>
      </c>
      <c r="C131" s="6" t="n">
        <v>0.672768</v>
      </c>
      <c r="D131" s="6" t="n">
        <v>0.672768</v>
      </c>
      <c r="E131" s="6" t="n">
        <v>0.672768</v>
      </c>
      <c r="F131" s="6" t="n">
        <v>0.672768</v>
      </c>
      <c r="G131" s="6" t="n">
        <v>0.672768</v>
      </c>
    </row>
    <row r="132" customFormat="false" ht="15" hidden="false" customHeight="false" outlineLevel="0" collapsed="false">
      <c r="A132" s="7" t="s">
        <v>41</v>
      </c>
      <c r="B132" s="7" t="s">
        <v>31</v>
      </c>
      <c r="C132" s="6" t="n">
        <f aca="false">C131-C130</f>
        <v>0</v>
      </c>
      <c r="D132" s="6" t="n">
        <f aca="false">D131-D130</f>
        <v>0</v>
      </c>
      <c r="E132" s="6" t="n">
        <f aca="false">E131-E130</f>
        <v>0</v>
      </c>
      <c r="F132" s="6" t="n">
        <f aca="false">F131-F130</f>
        <v>0</v>
      </c>
      <c r="G132" s="6" t="n">
        <f aca="false">G131-G130</f>
        <v>0</v>
      </c>
    </row>
    <row r="133" customFormat="false" ht="17.15" hidden="false" customHeight="false" outlineLevel="0" collapsed="false">
      <c r="A133" s="0" t="s">
        <v>42</v>
      </c>
      <c r="B133" s="0" t="s">
        <v>29</v>
      </c>
      <c r="C133" s="6" t="n">
        <v>0.936206901352657</v>
      </c>
      <c r="D133" s="6" t="n">
        <v>0.991538286572</v>
      </c>
      <c r="E133" s="6" t="n">
        <v>1.03978541019888</v>
      </c>
      <c r="F133" s="6" t="n">
        <v>1.06833631784692</v>
      </c>
      <c r="G133" s="6" t="n">
        <v>1.09003468943576</v>
      </c>
    </row>
    <row r="134" customFormat="false" ht="17.15" hidden="false" customHeight="false" outlineLevel="0" collapsed="false">
      <c r="A134" s="0" t="s">
        <v>42</v>
      </c>
      <c r="B134" s="0" t="s">
        <v>30</v>
      </c>
      <c r="C134" s="6" t="n">
        <v>0.936206901352657</v>
      </c>
      <c r="D134" s="6" t="n">
        <v>0.991538286572</v>
      </c>
      <c r="E134" s="6" t="n">
        <v>1.03978541019888</v>
      </c>
      <c r="F134" s="6" t="n">
        <v>1.06833631784692</v>
      </c>
      <c r="G134" s="6" t="n">
        <v>1.09003468943576</v>
      </c>
    </row>
    <row r="135" customFormat="false" ht="17.15" hidden="false" customHeight="false" outlineLevel="0" collapsed="false">
      <c r="A135" s="0" t="s">
        <v>42</v>
      </c>
      <c r="B135" s="7" t="s">
        <v>31</v>
      </c>
      <c r="C135" s="6" t="n">
        <f aca="false">C134-C133</f>
        <v>0</v>
      </c>
      <c r="D135" s="6" t="n">
        <f aca="false">D134-D133</f>
        <v>0</v>
      </c>
      <c r="E135" s="6" t="n">
        <f aca="false">E134-E133</f>
        <v>0</v>
      </c>
      <c r="F135" s="6" t="n">
        <f aca="false">F134-F133</f>
        <v>0</v>
      </c>
      <c r="G135" s="6" t="n">
        <f aca="false">G134-G133</f>
        <v>0</v>
      </c>
    </row>
    <row r="136" customFormat="false" ht="15" hidden="false" customHeight="false" outlineLevel="0" collapsed="false">
      <c r="A136" s="7" t="s">
        <v>43</v>
      </c>
      <c r="B136" s="0" t="s">
        <v>29</v>
      </c>
      <c r="C136" s="6" t="n">
        <v>0.325</v>
      </c>
      <c r="D136" s="6" t="n">
        <v>0.325</v>
      </c>
      <c r="E136" s="6" t="n">
        <v>0.325</v>
      </c>
      <c r="F136" s="6" t="n">
        <v>0.325</v>
      </c>
      <c r="G136" s="6" t="n">
        <v>0.325</v>
      </c>
    </row>
    <row r="137" customFormat="false" ht="15" hidden="false" customHeight="false" outlineLevel="0" collapsed="false">
      <c r="A137" s="7" t="s">
        <v>43</v>
      </c>
      <c r="B137" s="0" t="s">
        <v>30</v>
      </c>
      <c r="C137" s="6" t="n">
        <v>0.325</v>
      </c>
      <c r="D137" s="6" t="n">
        <v>0.325</v>
      </c>
      <c r="E137" s="6" t="n">
        <v>0.325</v>
      </c>
      <c r="F137" s="6" t="n">
        <v>0.325</v>
      </c>
      <c r="G137" s="6" t="n">
        <v>0.325</v>
      </c>
    </row>
    <row r="138" customFormat="false" ht="15" hidden="false" customHeight="false" outlineLevel="0" collapsed="false">
      <c r="A138" s="7" t="s">
        <v>43</v>
      </c>
      <c r="B138" s="7" t="s">
        <v>31</v>
      </c>
      <c r="C138" s="6" t="n">
        <f aca="false">C137-C136</f>
        <v>0</v>
      </c>
      <c r="D138" s="6" t="n">
        <f aca="false">D137-D136</f>
        <v>0</v>
      </c>
      <c r="E138" s="6" t="n">
        <f aca="false">E137-E136</f>
        <v>0</v>
      </c>
      <c r="F138" s="6" t="n">
        <f aca="false">F137-F136</f>
        <v>0</v>
      </c>
      <c r="G138" s="6" t="n">
        <f aca="false">G137-G136</f>
        <v>0</v>
      </c>
    </row>
    <row r="139" customFormat="false" ht="15" hidden="false" customHeight="false" outlineLevel="0" collapsed="false">
      <c r="A139" s="7" t="s">
        <v>44</v>
      </c>
      <c r="B139" s="0" t="s">
        <v>29</v>
      </c>
      <c r="C139" s="6" t="n">
        <v>0.156034483558776</v>
      </c>
      <c r="D139" s="6" t="n">
        <v>0.165256381095333</v>
      </c>
      <c r="E139" s="6" t="n">
        <v>0.173297568366481</v>
      </c>
      <c r="F139" s="6" t="n">
        <v>0.178056052974486</v>
      </c>
      <c r="G139" s="6" t="n">
        <v>0.181672448239294</v>
      </c>
    </row>
    <row r="140" customFormat="false" ht="15" hidden="false" customHeight="false" outlineLevel="0" collapsed="false">
      <c r="A140" s="7" t="s">
        <v>44</v>
      </c>
      <c r="B140" s="0" t="s">
        <v>30</v>
      </c>
      <c r="C140" s="6" t="n">
        <v>0.156034483558776</v>
      </c>
      <c r="D140" s="6" t="n">
        <v>0.165256381095333</v>
      </c>
      <c r="E140" s="6" t="n">
        <v>0.173297568366481</v>
      </c>
      <c r="F140" s="6" t="n">
        <v>0.178056052974486</v>
      </c>
      <c r="G140" s="6" t="n">
        <v>0.181672448239294</v>
      </c>
    </row>
    <row r="141" customFormat="false" ht="15" hidden="false" customHeight="false" outlineLevel="0" collapsed="false">
      <c r="A141" s="7" t="s">
        <v>44</v>
      </c>
      <c r="B141" s="7" t="s">
        <v>31</v>
      </c>
      <c r="C141" s="6" t="n">
        <f aca="false">C140-C139</f>
        <v>0</v>
      </c>
      <c r="D141" s="6" t="n">
        <f aca="false">D140-D139</f>
        <v>0</v>
      </c>
      <c r="E141" s="6" t="n">
        <f aca="false">E140-E139</f>
        <v>0</v>
      </c>
      <c r="F141" s="6" t="n">
        <f aca="false">F140-F139</f>
        <v>0</v>
      </c>
      <c r="G141" s="6" t="n">
        <f aca="false">G140-G139</f>
        <v>0</v>
      </c>
    </row>
    <row r="142" customFormat="false" ht="15" hidden="false" customHeight="false" outlineLevel="0" collapsed="false">
      <c r="A142" s="7" t="s">
        <v>45</v>
      </c>
      <c r="B142" s="0" t="s">
        <v>29</v>
      </c>
      <c r="C142" s="6" t="n">
        <v>1.6</v>
      </c>
      <c r="D142" s="6" t="n">
        <v>1.59151515151515</v>
      </c>
      <c r="E142" s="6" t="n">
        <v>1.37818181818182</v>
      </c>
      <c r="F142" s="6" t="n">
        <v>1.16935779816514</v>
      </c>
      <c r="G142" s="6" t="n">
        <v>0.963496503496503</v>
      </c>
    </row>
    <row r="143" customFormat="false" ht="15" hidden="false" customHeight="false" outlineLevel="0" collapsed="false">
      <c r="A143" s="7" t="s">
        <v>45</v>
      </c>
      <c r="B143" s="0" t="s">
        <v>30</v>
      </c>
      <c r="C143" s="6" t="n">
        <v>1.6</v>
      </c>
      <c r="D143" s="6" t="n">
        <v>1.59151515151515</v>
      </c>
      <c r="E143" s="6" t="n">
        <v>1.37818181818182</v>
      </c>
      <c r="F143" s="6" t="n">
        <v>1.16935779816514</v>
      </c>
      <c r="G143" s="6" t="n">
        <v>0.963496503496503</v>
      </c>
    </row>
    <row r="144" customFormat="false" ht="15" hidden="false" customHeight="false" outlineLevel="0" collapsed="false">
      <c r="A144" s="7" t="s">
        <v>45</v>
      </c>
      <c r="B144" s="7" t="s">
        <v>31</v>
      </c>
      <c r="C144" s="6" t="n">
        <f aca="false">C143-C142</f>
        <v>0</v>
      </c>
      <c r="D144" s="6" t="n">
        <f aca="false">D143-D142</f>
        <v>0</v>
      </c>
      <c r="E144" s="6" t="n">
        <f aca="false">E143-E142</f>
        <v>0</v>
      </c>
      <c r="F144" s="6" t="n">
        <f aca="false">F143-F142</f>
        <v>0</v>
      </c>
      <c r="G144" s="6" t="n">
        <f aca="false">G143-G142</f>
        <v>0</v>
      </c>
    </row>
    <row r="145" customFormat="false" ht="17.15" hidden="false" customHeight="false" outlineLevel="0" collapsed="false">
      <c r="A145" s="0" t="s">
        <v>46</v>
      </c>
      <c r="B145" s="0" t="s">
        <v>29</v>
      </c>
      <c r="C145" s="9" t="n">
        <v>0.577520140967778</v>
      </c>
      <c r="D145" s="9" t="n">
        <v>0.589996743729603</v>
      </c>
      <c r="E145" s="9" t="n">
        <v>0.594135145118974</v>
      </c>
      <c r="F145" s="9" t="n">
        <v>0.579442529059306</v>
      </c>
      <c r="G145" s="9" t="n">
        <v>0.553836457213525</v>
      </c>
    </row>
    <row r="146" customFormat="false" ht="17.15" hidden="false" customHeight="false" outlineLevel="0" collapsed="false">
      <c r="A146" s="0" t="s">
        <v>46</v>
      </c>
      <c r="B146" s="0" t="s">
        <v>30</v>
      </c>
      <c r="C146" s="9" t="n">
        <v>0.46171741522123</v>
      </c>
      <c r="D146" s="9" t="n">
        <v>0.485863913960979</v>
      </c>
      <c r="E146" s="9" t="n">
        <v>0.514676290211948</v>
      </c>
      <c r="F146" s="9" t="n">
        <v>0.522673626848176</v>
      </c>
      <c r="G146" s="9" t="n">
        <v>0.51619892836453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7.15" hidden="false" customHeight="false" outlineLevel="0" collapsed="false">
      <c r="A1" s="3" t="s">
        <v>26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customFormat="false" ht="17.15" hidden="false" customHeight="false" outlineLevel="0" collapsed="false">
      <c r="A2" s="7" t="s">
        <v>49</v>
      </c>
      <c r="B2" s="6" t="n">
        <v>11.0739648243069</v>
      </c>
      <c r="C2" s="6" t="n">
        <v>11.5620012541312</v>
      </c>
      <c r="D2" s="6" t="n">
        <v>11.8977599397076</v>
      </c>
      <c r="E2" s="6" t="n">
        <v>12.0499228732394</v>
      </c>
      <c r="F2" s="6" t="n">
        <v>12.1980986511131</v>
      </c>
    </row>
    <row r="3" customFormat="false" ht="17.15" hidden="false" customHeight="false" outlineLevel="0" collapsed="false">
      <c r="A3" s="7" t="s">
        <v>50</v>
      </c>
      <c r="B3" s="6" t="n">
        <v>13.19175</v>
      </c>
      <c r="C3" s="6" t="n">
        <v>26.3835</v>
      </c>
      <c r="D3" s="6" t="n">
        <v>25.74</v>
      </c>
      <c r="E3" s="6" t="n">
        <v>25.0965</v>
      </c>
      <c r="F3" s="6" t="n">
        <v>17.69625</v>
      </c>
    </row>
    <row r="4" customFormat="false" ht="17.15" hidden="false" customHeight="false" outlineLevel="0" collapsed="false">
      <c r="A4" s="7" t="s">
        <v>51</v>
      </c>
      <c r="B4" s="6" t="n">
        <v>1525</v>
      </c>
      <c r="C4" s="6" t="n">
        <v>2300</v>
      </c>
      <c r="D4" s="6" t="n">
        <v>3226</v>
      </c>
      <c r="E4" s="6" t="n">
        <v>3742.5</v>
      </c>
      <c r="F4" s="6" t="n">
        <v>3935.5</v>
      </c>
    </row>
    <row r="5" customFormat="false" ht="17.15" hidden="false" customHeight="false" outlineLevel="0" collapsed="false">
      <c r="A5" s="7" t="s">
        <v>52</v>
      </c>
      <c r="B5" s="6" t="n">
        <v>6.09649448490156</v>
      </c>
      <c r="C5" s="6" t="n">
        <v>19.1998592826102</v>
      </c>
      <c r="D5" s="6" t="n">
        <v>27.4202247951909</v>
      </c>
      <c r="E5" s="6" t="n">
        <v>31.8744439343699</v>
      </c>
      <c r="F5" s="6" t="n">
        <v>33.5655275752258</v>
      </c>
    </row>
    <row r="6" customFormat="false" ht="17.15" hidden="false" customHeight="false" outlineLevel="0" collapsed="false">
      <c r="A6" s="0" t="s">
        <v>53</v>
      </c>
      <c r="B6" s="6" t="n">
        <v>2.16382546275903</v>
      </c>
      <c r="C6" s="6" t="n">
        <v>1.37415069619266</v>
      </c>
      <c r="D6" s="6" t="n">
        <v>0.938723157532771</v>
      </c>
      <c r="E6" s="6" t="n">
        <v>0.787354912031537</v>
      </c>
      <c r="F6" s="6" t="n">
        <v>0.527215011304078</v>
      </c>
    </row>
    <row r="7" customFormat="false" ht="17.15" hidden="false" customHeight="false" outlineLevel="0" collapsed="false">
      <c r="A7" s="0" t="s">
        <v>54</v>
      </c>
      <c r="B7" s="6" t="n">
        <v>0.76</v>
      </c>
      <c r="C7" s="6" t="n">
        <v>0.76</v>
      </c>
      <c r="D7" s="6" t="n">
        <v>0.76</v>
      </c>
      <c r="E7" s="6" t="n">
        <v>0.76</v>
      </c>
      <c r="F7" s="6" t="n">
        <v>0.76</v>
      </c>
    </row>
    <row r="8" customFormat="false" ht="15" hidden="false" customHeight="false" outlineLevel="0" collapsed="false">
      <c r="A8" s="7" t="s">
        <v>55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 customFormat="false" ht="17.15" hidden="false" customHeight="false" outlineLevel="0" collapsed="false">
      <c r="A9" s="7" t="s">
        <v>56</v>
      </c>
      <c r="B9" s="6" t="n">
        <v>0.76</v>
      </c>
      <c r="C9" s="6" t="n">
        <v>0.76</v>
      </c>
      <c r="D9" s="6" t="n">
        <v>0.76</v>
      </c>
      <c r="E9" s="6" t="n">
        <v>0.76</v>
      </c>
      <c r="F9" s="6" t="n">
        <v>0.76</v>
      </c>
    </row>
    <row r="10" customFormat="false" ht="17.15" hidden="false" customHeight="false" outlineLevel="0" collapsed="false">
      <c r="A10" s="0" t="s">
        <v>57</v>
      </c>
      <c r="B10" s="6" t="n">
        <v>8.41621326647324</v>
      </c>
      <c r="C10" s="6" t="n">
        <v>8.78712095313968</v>
      </c>
      <c r="D10" s="6" t="n">
        <v>9.0422975541778</v>
      </c>
      <c r="E10" s="6" t="n">
        <v>9.15794138366193</v>
      </c>
      <c r="F10" s="6" t="n">
        <v>9.27055497484596</v>
      </c>
    </row>
    <row r="11" customFormat="false" ht="17.15" hidden="false" customHeight="false" outlineLevel="0" collapsed="false">
      <c r="A11" s="7" t="s">
        <v>58</v>
      </c>
      <c r="B11" s="6" t="n">
        <v>-0.248552386922032</v>
      </c>
      <c r="C11" s="6" t="n">
        <v>-0.23590252581394</v>
      </c>
      <c r="D11" s="6" t="n">
        <v>-0.213713256158452</v>
      </c>
      <c r="E11" s="6" t="n">
        <v>-0.167459874212552</v>
      </c>
      <c r="F11" s="6" t="n">
        <v>-0.117090002395623</v>
      </c>
    </row>
    <row r="12" customFormat="false" ht="17.15" hidden="false" customHeight="false" outlineLevel="0" collapsed="false">
      <c r="A12" s="7" t="s">
        <v>59</v>
      </c>
      <c r="B12" s="6" t="n">
        <v>19.1007066129953</v>
      </c>
      <c r="C12" s="6" t="n">
        <v>24.166048949397</v>
      </c>
      <c r="D12" s="6" t="n">
        <v>29.0719738716094</v>
      </c>
      <c r="E12" s="6" t="n">
        <v>32.3330716619887</v>
      </c>
      <c r="F12" s="6" t="n">
        <v>35.0300984760227</v>
      </c>
    </row>
    <row r="13" customFormat="false" ht="17.15" hidden="false" customHeight="false" outlineLevel="0" collapsed="false">
      <c r="A13" s="7" t="s">
        <v>60</v>
      </c>
      <c r="B13" s="6" t="n">
        <v>0.418591980137</v>
      </c>
      <c r="C13" s="6" t="n">
        <v>0.345433584238891</v>
      </c>
      <c r="D13" s="6" t="n">
        <v>0.292369542517637</v>
      </c>
      <c r="E13" s="6" t="n">
        <v>0.263410961254825</v>
      </c>
      <c r="F13" s="6" t="n">
        <v>0.243473782487255</v>
      </c>
    </row>
    <row r="15" customFormat="false" ht="17.15" hidden="false" customHeight="false" outlineLevel="0" collapsed="false">
      <c r="A15" s="3" t="s">
        <v>47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</row>
    <row r="16" customFormat="false" ht="17.15" hidden="false" customHeight="false" outlineLevel="0" collapsed="false">
      <c r="A16" s="7" t="s">
        <v>49</v>
      </c>
      <c r="B16" s="6" t="n">
        <v>11.0739648243069</v>
      </c>
      <c r="C16" s="6" t="n">
        <v>11.5620012541312</v>
      </c>
      <c r="D16" s="6" t="n">
        <v>11.9221051745404</v>
      </c>
      <c r="E16" s="6" t="n">
        <v>12.1146585916967</v>
      </c>
      <c r="F16" s="6" t="n">
        <v>12.3065442521048</v>
      </c>
    </row>
    <row r="17" customFormat="false" ht="17.15" hidden="false" customHeight="false" outlineLevel="0" collapsed="false">
      <c r="A17" s="7" t="s">
        <v>50</v>
      </c>
      <c r="B17" s="6" t="n">
        <v>13.19175</v>
      </c>
      <c r="C17" s="6" t="n">
        <v>26.3835</v>
      </c>
      <c r="D17" s="6" t="n">
        <v>25.74</v>
      </c>
      <c r="E17" s="6" t="n">
        <v>25.0965</v>
      </c>
      <c r="F17" s="6" t="n">
        <v>17.69625</v>
      </c>
    </row>
    <row r="18" customFormat="false" ht="17.15" hidden="false" customHeight="false" outlineLevel="0" collapsed="false">
      <c r="A18" s="7" t="s">
        <v>51</v>
      </c>
      <c r="B18" s="6" t="n">
        <v>1525</v>
      </c>
      <c r="C18" s="6" t="n">
        <v>2300</v>
      </c>
      <c r="D18" s="6" t="n">
        <v>3319.5</v>
      </c>
      <c r="E18" s="6" t="n">
        <v>4117</v>
      </c>
      <c r="F18" s="6" t="n">
        <v>4872.5</v>
      </c>
    </row>
    <row r="19" customFormat="false" ht="17.15" hidden="false" customHeight="false" outlineLevel="0" collapsed="false">
      <c r="A19" s="7" t="s">
        <v>52</v>
      </c>
      <c r="B19" s="6" t="n">
        <v>6.09649448490156</v>
      </c>
      <c r="C19" s="6" t="n">
        <v>19.1998592826102</v>
      </c>
      <c r="D19" s="6" t="n">
        <v>28.2726858538479</v>
      </c>
      <c r="E19" s="6" t="n">
        <v>35.2523917314805</v>
      </c>
      <c r="F19" s="6" t="n">
        <v>41.9265748983718</v>
      </c>
    </row>
    <row r="20" customFormat="false" ht="17.15" hidden="false" customHeight="false" outlineLevel="0" collapsed="false">
      <c r="A20" s="0" t="s">
        <v>53</v>
      </c>
      <c r="B20" s="6" t="n">
        <v>2.16382546275903</v>
      </c>
      <c r="C20" s="6" t="n">
        <v>1.37415069619266</v>
      </c>
      <c r="D20" s="6" t="n">
        <v>0.910419340173752</v>
      </c>
      <c r="E20" s="6" t="n">
        <v>0.711909143389802</v>
      </c>
      <c r="F20" s="6" t="n">
        <v>0.422077168070488</v>
      </c>
    </row>
    <row r="21" customFormat="false" ht="17.15" hidden="false" customHeight="false" outlineLevel="0" collapsed="false">
      <c r="A21" s="0" t="s">
        <v>54</v>
      </c>
      <c r="B21" s="6" t="n">
        <v>0.76</v>
      </c>
      <c r="C21" s="6" t="n">
        <v>0.76</v>
      </c>
      <c r="D21" s="6" t="n">
        <v>0.76</v>
      </c>
      <c r="E21" s="6" t="n">
        <v>0.76</v>
      </c>
      <c r="F21" s="6" t="n">
        <v>0.76</v>
      </c>
    </row>
    <row r="22" customFormat="false" ht="15" hidden="false" customHeight="false" outlineLevel="0" collapsed="false">
      <c r="A22" s="7" t="s">
        <v>55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</row>
    <row r="23" customFormat="false" ht="17.15" hidden="false" customHeight="false" outlineLevel="0" collapsed="false">
      <c r="A23" s="7" t="s">
        <v>56</v>
      </c>
      <c r="B23" s="6" t="n">
        <v>0.76</v>
      </c>
      <c r="C23" s="6" t="n">
        <v>0.76</v>
      </c>
      <c r="D23" s="6" t="n">
        <v>0.76</v>
      </c>
      <c r="E23" s="6" t="n">
        <v>0.76</v>
      </c>
      <c r="F23" s="6" t="n">
        <v>0.76</v>
      </c>
    </row>
    <row r="24" customFormat="false" ht="17.15" hidden="false" customHeight="false" outlineLevel="0" collapsed="false">
      <c r="A24" s="0" t="s">
        <v>57</v>
      </c>
      <c r="B24" s="6" t="n">
        <v>8.41621326647324</v>
      </c>
      <c r="C24" s="6" t="n">
        <v>8.78712095313968</v>
      </c>
      <c r="D24" s="6" t="n">
        <v>9.06079993265069</v>
      </c>
      <c r="E24" s="6" t="n">
        <v>9.20714052968951</v>
      </c>
      <c r="F24" s="6" t="n">
        <v>9.35297363159967</v>
      </c>
    </row>
    <row r="25" customFormat="false" ht="17.15" hidden="false" customHeight="false" outlineLevel="0" collapsed="false">
      <c r="A25" s="7" t="s">
        <v>58</v>
      </c>
      <c r="B25" s="6" t="n">
        <v>-0.248552386922032</v>
      </c>
      <c r="C25" s="6" t="n">
        <v>-0.23590252581394</v>
      </c>
      <c r="D25" s="6" t="n">
        <v>-0.212104353682549</v>
      </c>
      <c r="E25" s="6" t="n">
        <v>-0.162987224573681</v>
      </c>
      <c r="F25" s="6" t="n">
        <v>-0.109240606514317</v>
      </c>
    </row>
    <row r="26" customFormat="false" ht="17.15" hidden="false" customHeight="false" outlineLevel="0" collapsed="false">
      <c r="A26" s="7" t="s">
        <v>59</v>
      </c>
      <c r="B26" s="6" t="n">
        <v>19.1007066129953</v>
      </c>
      <c r="C26" s="6" t="n">
        <v>24.166048949397</v>
      </c>
      <c r="D26" s="6" t="n">
        <v>29.6255436770286</v>
      </c>
      <c r="E26" s="6" t="n">
        <v>33.823128962171</v>
      </c>
      <c r="F26" s="6" t="n">
        <v>37.663483762171</v>
      </c>
    </row>
    <row r="27" customFormat="false" ht="17.15" hidden="false" customHeight="false" outlineLevel="0" collapsed="false">
      <c r="A27" s="7" t="s">
        <v>60</v>
      </c>
      <c r="B27" s="6" t="n">
        <v>0.418591980137</v>
      </c>
      <c r="C27" s="6" t="n">
        <v>0.345433584238891</v>
      </c>
      <c r="D27" s="6" t="n">
        <v>0.287493523479056</v>
      </c>
      <c r="E27" s="6" t="n">
        <v>0.253159330770019</v>
      </c>
      <c r="F27" s="6" t="n">
        <v>0.22846361731716</v>
      </c>
    </row>
    <row r="29" customFormat="false" ht="17.15" hidden="false" customHeight="false" outlineLevel="0" collapsed="false">
      <c r="A29" s="3" t="s">
        <v>48</v>
      </c>
      <c r="B29" s="4" t="s">
        <v>15</v>
      </c>
      <c r="C29" s="4" t="s">
        <v>16</v>
      </c>
      <c r="D29" s="4" t="s">
        <v>17</v>
      </c>
      <c r="E29" s="4" t="s">
        <v>18</v>
      </c>
      <c r="F29" s="4" t="s">
        <v>19</v>
      </c>
    </row>
    <row r="30" customFormat="false" ht="17.15" hidden="false" customHeight="false" outlineLevel="0" collapsed="false">
      <c r="A30" s="7" t="s">
        <v>49</v>
      </c>
      <c r="B30" s="6" t="n">
        <v>11.0739648243069</v>
      </c>
      <c r="C30" s="6" t="n">
        <v>11.5620012541312</v>
      </c>
      <c r="D30" s="6" t="n">
        <v>11.9875527538959</v>
      </c>
      <c r="E30" s="6" t="n">
        <v>12.23937878322</v>
      </c>
      <c r="F30" s="6" t="n">
        <v>12.4307637586954</v>
      </c>
    </row>
    <row r="31" customFormat="false" ht="17.15" hidden="false" customHeight="false" outlineLevel="0" collapsed="false">
      <c r="A31" s="7" t="s">
        <v>50</v>
      </c>
      <c r="B31" s="6" t="n">
        <v>13.19175</v>
      </c>
      <c r="C31" s="6" t="n">
        <v>26.3835</v>
      </c>
      <c r="D31" s="6" t="n">
        <v>25.74</v>
      </c>
      <c r="E31" s="6" t="n">
        <v>25.0965</v>
      </c>
      <c r="F31" s="6" t="n">
        <v>17.69625</v>
      </c>
    </row>
    <row r="32" customFormat="false" ht="17.15" hidden="false" customHeight="false" outlineLevel="0" collapsed="false">
      <c r="A32" s="7" t="s">
        <v>51</v>
      </c>
      <c r="B32" s="6" t="n">
        <v>1525</v>
      </c>
      <c r="C32" s="6" t="n">
        <v>2300</v>
      </c>
      <c r="D32" s="6" t="n">
        <v>3600</v>
      </c>
      <c r="E32" s="6" t="n">
        <v>5100</v>
      </c>
      <c r="F32" s="6" t="n">
        <v>6700</v>
      </c>
    </row>
    <row r="33" customFormat="false" ht="17.15" hidden="false" customHeight="false" outlineLevel="0" collapsed="false">
      <c r="A33" s="7" t="s">
        <v>52</v>
      </c>
      <c r="B33" s="6" t="n">
        <v>6.09649448490156</v>
      </c>
      <c r="C33" s="6" t="n">
        <v>19.1998592826102</v>
      </c>
      <c r="D33" s="6" t="n">
        <v>30.8300676745797</v>
      </c>
      <c r="E33" s="6" t="n">
        <v>44.1190439122976</v>
      </c>
      <c r="F33" s="6" t="n">
        <v>58.2336531345346</v>
      </c>
    </row>
    <row r="34" customFormat="false" ht="17.15" hidden="false" customHeight="false" outlineLevel="0" collapsed="false">
      <c r="A34" s="0" t="s">
        <v>53</v>
      </c>
      <c r="B34" s="6" t="n">
        <v>2.16382546275903</v>
      </c>
      <c r="C34" s="6" t="n">
        <v>1.37415069619266</v>
      </c>
      <c r="D34" s="6" t="n">
        <v>0.834899237708238</v>
      </c>
      <c r="E34" s="6" t="n">
        <v>0.56883598950803</v>
      </c>
      <c r="F34" s="6" t="n">
        <v>0.303883562982338</v>
      </c>
    </row>
    <row r="35" customFormat="false" ht="17.15" hidden="false" customHeight="false" outlineLevel="0" collapsed="false">
      <c r="A35" s="0" t="s">
        <v>54</v>
      </c>
      <c r="B35" s="6" t="n">
        <v>0.76</v>
      </c>
      <c r="C35" s="6" t="n">
        <v>0.76</v>
      </c>
      <c r="D35" s="6" t="n">
        <v>0.76</v>
      </c>
      <c r="E35" s="6" t="n">
        <v>0.76</v>
      </c>
      <c r="F35" s="6" t="n">
        <v>0.76</v>
      </c>
    </row>
    <row r="36" customFormat="false" ht="15" hidden="false" customHeight="false" outlineLevel="0" collapsed="false">
      <c r="A36" s="7" t="s">
        <v>55</v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</row>
    <row r="37" customFormat="false" ht="17.15" hidden="false" customHeight="false" outlineLevel="0" collapsed="false">
      <c r="A37" s="7" t="s">
        <v>56</v>
      </c>
      <c r="B37" s="6" t="n">
        <v>0.76</v>
      </c>
      <c r="C37" s="6" t="n">
        <v>0.76</v>
      </c>
      <c r="D37" s="6" t="n">
        <v>0.76</v>
      </c>
      <c r="E37" s="6" t="n">
        <v>0.76</v>
      </c>
      <c r="F37" s="6" t="n">
        <v>0.76</v>
      </c>
    </row>
    <row r="38" customFormat="false" ht="17.15" hidden="false" customHeight="false" outlineLevel="0" collapsed="false">
      <c r="A38" s="0" t="s">
        <v>57</v>
      </c>
      <c r="B38" s="6" t="n">
        <v>8.41621326647324</v>
      </c>
      <c r="C38" s="6" t="n">
        <v>8.78712095313968</v>
      </c>
      <c r="D38" s="6" t="n">
        <v>9.11054009296091</v>
      </c>
      <c r="E38" s="6" t="n">
        <v>9.30192787524722</v>
      </c>
      <c r="F38" s="6" t="n">
        <v>9.44738045660847</v>
      </c>
    </row>
    <row r="39" customFormat="false" ht="17.15" hidden="false" customHeight="false" outlineLevel="0" collapsed="false">
      <c r="A39" s="7" t="s">
        <v>58</v>
      </c>
      <c r="B39" s="6" t="n">
        <v>-0.248552386922032</v>
      </c>
      <c r="C39" s="6" t="n">
        <v>-0.23590252581394</v>
      </c>
      <c r="D39" s="6" t="n">
        <v>-0.207779122351225</v>
      </c>
      <c r="E39" s="6" t="n">
        <v>-0.154370193159343</v>
      </c>
      <c r="F39" s="6" t="n">
        <v>-0.100249480323003</v>
      </c>
    </row>
    <row r="40" customFormat="false" ht="17.15" hidden="false" customHeight="false" outlineLevel="0" collapsed="false">
      <c r="A40" s="7" t="s">
        <v>59</v>
      </c>
      <c r="B40" s="6" t="n">
        <v>19.1007066129953</v>
      </c>
      <c r="C40" s="6" t="n">
        <v>24.166048949397</v>
      </c>
      <c r="D40" s="6" t="n">
        <v>31.1137118552337</v>
      </c>
      <c r="E40" s="6" t="n">
        <v>36.6938815588524</v>
      </c>
      <c r="F40" s="6" t="n">
        <v>40.6799069081226</v>
      </c>
    </row>
    <row r="41" customFormat="false" ht="17.15" hidden="false" customHeight="false" outlineLevel="0" collapsed="false">
      <c r="A41" s="7" t="s">
        <v>60</v>
      </c>
      <c r="B41" s="6" t="n">
        <v>0.418591980137</v>
      </c>
      <c r="C41" s="6" t="n">
        <v>0.345433584238891</v>
      </c>
      <c r="D41" s="6" t="n">
        <v>0.27524545214115</v>
      </c>
      <c r="E41" s="6" t="n">
        <v>0.235755732467418</v>
      </c>
      <c r="F41" s="6" t="n">
        <v>0.21365806071558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3" t="s">
        <v>61</v>
      </c>
      <c r="B1" s="3" t="s">
        <v>62</v>
      </c>
      <c r="C1" s="3" t="s">
        <v>63</v>
      </c>
      <c r="D1" s="3" t="s">
        <v>64</v>
      </c>
      <c r="E1" s="4" t="s">
        <v>65</v>
      </c>
      <c r="F1" s="4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</row>
    <row r="2" customFormat="false" ht="17.15" hidden="false" customHeight="false" outlineLevel="0" collapsed="false">
      <c r="A2" s="0" t="s">
        <v>76</v>
      </c>
      <c r="B2" s="0" t="s">
        <v>77</v>
      </c>
      <c r="C2" s="0" t="n">
        <v>9.7</v>
      </c>
      <c r="D2" s="0" t="s">
        <v>78</v>
      </c>
      <c r="E2" s="0" t="s">
        <v>79</v>
      </c>
      <c r="F2" s="0" t="n">
        <v>12.7247463559608</v>
      </c>
      <c r="G2" s="0" t="n">
        <f aca="false">C2/F2</f>
        <v>0.762294172995921</v>
      </c>
      <c r="H2" s="0" t="s">
        <v>80</v>
      </c>
      <c r="I2" s="7" t="s">
        <v>81</v>
      </c>
      <c r="J2" s="0" t="s">
        <v>82</v>
      </c>
      <c r="K2" s="0" t="s">
        <v>83</v>
      </c>
      <c r="L2" s="0" t="s">
        <v>84</v>
      </c>
      <c r="M2" s="0" t="s">
        <v>85</v>
      </c>
      <c r="N2" s="0" t="s">
        <v>86</v>
      </c>
      <c r="O2" s="0" t="s">
        <v>87</v>
      </c>
    </row>
    <row r="3" customFormat="false" ht="17.15" hidden="false" customHeight="false" outlineLevel="0" collapsed="false">
      <c r="A3" s="0" t="s">
        <v>88</v>
      </c>
      <c r="B3" s="0" t="s">
        <v>77</v>
      </c>
      <c r="C3" s="0" t="n">
        <v>11.333</v>
      </c>
      <c r="D3" s="0" t="s">
        <v>78</v>
      </c>
      <c r="E3" s="0" t="s">
        <v>79</v>
      </c>
      <c r="F3" s="0" t="n">
        <v>12.7247463559608</v>
      </c>
      <c r="G3" s="0" t="n">
        <f aca="false">C3/F3</f>
        <v>0.890626789954925</v>
      </c>
      <c r="H3" s="0" t="s">
        <v>89</v>
      </c>
      <c r="I3" s="7" t="s">
        <v>90</v>
      </c>
      <c r="J3" s="0" t="s">
        <v>82</v>
      </c>
      <c r="K3" s="0" t="s">
        <v>91</v>
      </c>
      <c r="L3" s="0" t="s">
        <v>92</v>
      </c>
      <c r="M3" s="0" t="s">
        <v>93</v>
      </c>
      <c r="N3" s="0" t="s">
        <v>94</v>
      </c>
      <c r="O3" s="0" t="s">
        <v>95</v>
      </c>
    </row>
    <row r="4" customFormat="false" ht="17.15" hidden="false" customHeight="false" outlineLevel="0" collapsed="false">
      <c r="A4" s="0" t="s">
        <v>96</v>
      </c>
      <c r="B4" s="0" t="s">
        <v>77</v>
      </c>
      <c r="C4" s="0" t="n">
        <v>13.333</v>
      </c>
      <c r="D4" s="0" t="s">
        <v>78</v>
      </c>
      <c r="E4" s="0" t="s">
        <v>79</v>
      </c>
      <c r="F4" s="0" t="n">
        <v>12.7247463559608</v>
      </c>
      <c r="G4" s="0" t="n">
        <f aca="false">C4/F4</f>
        <v>1.04780084624274</v>
      </c>
      <c r="H4" s="0" t="s">
        <v>97</v>
      </c>
      <c r="I4" s="7" t="s">
        <v>98</v>
      </c>
      <c r="J4" s="7" t="s">
        <v>99</v>
      </c>
      <c r="K4" s="0" t="s">
        <v>100</v>
      </c>
      <c r="L4" s="0" t="s">
        <v>101</v>
      </c>
      <c r="M4" s="0" t="s">
        <v>93</v>
      </c>
      <c r="N4" s="0" t="s">
        <v>102</v>
      </c>
      <c r="O4" s="0" t="s">
        <v>103</v>
      </c>
    </row>
    <row r="5" customFormat="false" ht="17.15" hidden="false" customHeight="false" outlineLevel="0" collapsed="false">
      <c r="A5" s="0" t="s">
        <v>104</v>
      </c>
      <c r="B5" s="0" t="s">
        <v>105</v>
      </c>
      <c r="C5" s="0" t="n">
        <v>2.82</v>
      </c>
      <c r="D5" s="0" t="s">
        <v>106</v>
      </c>
      <c r="E5" s="0" t="s">
        <v>107</v>
      </c>
      <c r="F5" s="0" t="n">
        <v>1.60502925637165</v>
      </c>
      <c r="G5" s="0" t="n">
        <f aca="false">C5/F5</f>
        <v>1.7569773191393</v>
      </c>
      <c r="H5" s="0" t="s">
        <v>108</v>
      </c>
      <c r="I5" s="7" t="s">
        <v>109</v>
      </c>
      <c r="J5" s="7" t="s">
        <v>110</v>
      </c>
      <c r="K5" s="0" t="s">
        <v>111</v>
      </c>
      <c r="L5" s="0" t="s">
        <v>112</v>
      </c>
      <c r="M5" s="0" t="s">
        <v>113</v>
      </c>
      <c r="N5" s="0" t="s">
        <v>114</v>
      </c>
      <c r="O5" s="7" t="s">
        <v>115</v>
      </c>
    </row>
    <row r="6" customFormat="false" ht="17.15" hidden="false" customHeight="false" outlineLevel="0" collapsed="false">
      <c r="A6" s="0" t="s">
        <v>116</v>
      </c>
      <c r="B6" s="0" t="s">
        <v>77</v>
      </c>
      <c r="C6" s="0" t="n">
        <v>6.82</v>
      </c>
      <c r="D6" s="0" t="s">
        <v>106</v>
      </c>
      <c r="E6" s="0" t="s">
        <v>107</v>
      </c>
      <c r="F6" s="0" t="n">
        <v>2.98269559427618</v>
      </c>
      <c r="G6" s="0" t="n">
        <f aca="false">C6/F6</f>
        <v>2.28652230321044</v>
      </c>
      <c r="H6" s="0" t="s">
        <v>89</v>
      </c>
      <c r="I6" s="7" t="s">
        <v>109</v>
      </c>
      <c r="J6" s="7" t="s">
        <v>110</v>
      </c>
      <c r="K6" s="0" t="s">
        <v>117</v>
      </c>
      <c r="L6" s="0" t="s">
        <v>112</v>
      </c>
      <c r="M6" s="0" t="s">
        <v>93</v>
      </c>
      <c r="N6" s="0" t="s">
        <v>114</v>
      </c>
      <c r="O6" s="0" t="s">
        <v>118</v>
      </c>
    </row>
    <row r="7" customFormat="false" ht="17.15" hidden="false" customHeight="false" outlineLevel="0" collapsed="false">
      <c r="A7" s="0" t="s">
        <v>119</v>
      </c>
      <c r="B7" s="0" t="s">
        <v>120</v>
      </c>
      <c r="C7" s="0" t="n">
        <v>4.08</v>
      </c>
      <c r="D7" s="0" t="s">
        <v>106</v>
      </c>
      <c r="E7" s="0" t="s">
        <v>107</v>
      </c>
      <c r="F7" s="0" t="n">
        <v>2.08645378736555</v>
      </c>
      <c r="G7" s="0" t="n">
        <f aca="false">C7/F7</f>
        <v>1.95547106037349</v>
      </c>
      <c r="H7" s="0" t="s">
        <v>89</v>
      </c>
      <c r="I7" s="7" t="s">
        <v>121</v>
      </c>
      <c r="J7" s="7" t="s">
        <v>110</v>
      </c>
      <c r="K7" s="0" t="s">
        <v>122</v>
      </c>
      <c r="L7" s="0" t="s">
        <v>123</v>
      </c>
      <c r="M7" s="0" t="s">
        <v>93</v>
      </c>
      <c r="O7" s="0" t="s">
        <v>124</v>
      </c>
    </row>
    <row r="8" customFormat="false" ht="17.15" hidden="false" customHeight="false" outlineLevel="0" collapsed="false">
      <c r="A8" s="0" t="s">
        <v>125</v>
      </c>
      <c r="B8" s="0" t="s">
        <v>120</v>
      </c>
      <c r="C8" s="0" t="n">
        <v>5.87</v>
      </c>
      <c r="D8" s="0" t="s">
        <v>106</v>
      </c>
      <c r="E8" s="0" t="s">
        <v>107</v>
      </c>
      <c r="F8" s="0" t="n">
        <v>2.08645378736555</v>
      </c>
      <c r="G8" s="0" t="n">
        <f aca="false">C8/F8</f>
        <v>2.8133860599001</v>
      </c>
      <c r="H8" s="0" t="s">
        <v>97</v>
      </c>
      <c r="I8" s="7" t="s">
        <v>109</v>
      </c>
      <c r="J8" s="7" t="s">
        <v>110</v>
      </c>
      <c r="K8" s="0" t="s">
        <v>117</v>
      </c>
      <c r="L8" s="0" t="s">
        <v>112</v>
      </c>
      <c r="M8" s="0" t="s">
        <v>93</v>
      </c>
      <c r="N8" s="0" t="s">
        <v>114</v>
      </c>
      <c r="O8" s="7" t="s">
        <v>126</v>
      </c>
    </row>
    <row r="9" customFormat="false" ht="17.15" hidden="false" customHeight="false" outlineLevel="0" collapsed="false">
      <c r="A9" s="0" t="s">
        <v>127</v>
      </c>
      <c r="B9" s="0" t="s">
        <v>77</v>
      </c>
      <c r="C9" s="0" t="n">
        <v>7.85</v>
      </c>
      <c r="D9" s="0" t="s">
        <v>106</v>
      </c>
      <c r="E9" s="0" t="s">
        <v>107</v>
      </c>
      <c r="F9" s="0" t="n">
        <v>2.98269559427618</v>
      </c>
      <c r="G9" s="0" t="n">
        <f aca="false">C9/F9</f>
        <v>2.63184751909119</v>
      </c>
      <c r="H9" s="0" t="s">
        <v>97</v>
      </c>
      <c r="I9" s="7" t="s">
        <v>128</v>
      </c>
      <c r="J9" s="7" t="s">
        <v>129</v>
      </c>
      <c r="K9" s="0" t="s">
        <v>130</v>
      </c>
      <c r="L9" s="0" t="s">
        <v>131</v>
      </c>
      <c r="M9" s="0" t="s">
        <v>132</v>
      </c>
      <c r="N9" s="0" t="s">
        <v>133</v>
      </c>
      <c r="O9" s="7" t="s">
        <v>134</v>
      </c>
    </row>
    <row r="10" customFormat="false" ht="17.15" hidden="false" customHeight="false" outlineLevel="0" collapsed="false">
      <c r="A10" s="0" t="s">
        <v>135</v>
      </c>
      <c r="B10" s="0" t="s">
        <v>120</v>
      </c>
      <c r="C10" s="0" t="n">
        <v>10.5</v>
      </c>
      <c r="D10" s="0" t="s">
        <v>106</v>
      </c>
      <c r="E10" s="0" t="s">
        <v>107</v>
      </c>
      <c r="F10" s="0" t="n">
        <v>2.08645378736555</v>
      </c>
      <c r="G10" s="0" t="n">
        <f aca="false">C10/F10</f>
        <v>5.0324622877259</v>
      </c>
      <c r="H10" s="0" t="s">
        <v>97</v>
      </c>
      <c r="I10" s="7" t="s">
        <v>128</v>
      </c>
      <c r="J10" s="7" t="s">
        <v>129</v>
      </c>
      <c r="K10" s="0" t="s">
        <v>136</v>
      </c>
      <c r="L10" s="0" t="s">
        <v>131</v>
      </c>
      <c r="M10" s="0" t="s">
        <v>132</v>
      </c>
      <c r="N10" s="0" t="s">
        <v>137</v>
      </c>
      <c r="O10" s="7" t="s">
        <v>138</v>
      </c>
    </row>
    <row r="11" customFormat="false" ht="17.15" hidden="false" customHeight="false" outlineLevel="0" collapsed="false">
      <c r="A11" s="0" t="s">
        <v>139</v>
      </c>
      <c r="B11" s="0" t="s">
        <v>105</v>
      </c>
      <c r="C11" s="0" t="n">
        <v>6.155</v>
      </c>
      <c r="D11" s="0" t="s">
        <v>106</v>
      </c>
      <c r="E11" s="0" t="s">
        <v>107</v>
      </c>
      <c r="F11" s="0" t="n">
        <v>1.60502925637165</v>
      </c>
      <c r="G11" s="0" t="n">
        <f aca="false">C11/F11</f>
        <v>3.8348210635824</v>
      </c>
      <c r="H11" s="0" t="s">
        <v>97</v>
      </c>
      <c r="I11" s="7" t="s">
        <v>128</v>
      </c>
      <c r="J11" s="7" t="s">
        <v>129</v>
      </c>
      <c r="K11" s="0" t="s">
        <v>136</v>
      </c>
      <c r="L11" s="0" t="s">
        <v>131</v>
      </c>
      <c r="M11" s="0" t="s">
        <v>132</v>
      </c>
      <c r="N11" s="0" t="s">
        <v>137</v>
      </c>
      <c r="O11" s="7" t="s">
        <v>140</v>
      </c>
    </row>
    <row r="13" customFormat="false" ht="17.15" hidden="false" customHeight="false" outlineLevel="0" collapsed="false">
      <c r="A13" s="7" t="s">
        <v>141</v>
      </c>
      <c r="C13" s="0" t="n">
        <v>5</v>
      </c>
      <c r="K13" s="0" t="s">
        <v>142</v>
      </c>
    </row>
    <row r="14" customFormat="false" ht="17.15" hidden="false" customHeight="false" outlineLevel="0" collapsed="false">
      <c r="A14" s="7" t="s">
        <v>143</v>
      </c>
      <c r="C14" s="0" t="s">
        <v>132</v>
      </c>
      <c r="K14" s="0" t="s">
        <v>144</v>
      </c>
    </row>
    <row r="15" customFormat="false" ht="17.15" hidden="false" customHeight="false" outlineLevel="0" collapsed="false">
      <c r="A15" s="7" t="s">
        <v>145</v>
      </c>
      <c r="C15" s="7" t="s">
        <v>146</v>
      </c>
      <c r="K15" s="7" t="s">
        <v>147</v>
      </c>
    </row>
    <row r="16" customFormat="false" ht="17.15" hidden="false" customHeight="false" outlineLevel="0" collapsed="false">
      <c r="A16" s="7" t="s">
        <v>146</v>
      </c>
      <c r="K16" s="0" t="s">
        <v>148</v>
      </c>
    </row>
    <row r="17" customFormat="false" ht="17.15" hidden="false" customHeight="false" outlineLevel="0" collapsed="false">
      <c r="A17" s="7" t="s">
        <v>146</v>
      </c>
      <c r="K17" s="0" t="s">
        <v>149</v>
      </c>
    </row>
    <row r="18" customFormat="false" ht="17.15" hidden="false" customHeight="false" outlineLevel="0" collapsed="false">
      <c r="A18" s="7" t="s">
        <v>146</v>
      </c>
      <c r="K18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</cols>
  <sheetData>
    <row r="1" customFormat="false" ht="17.15" hidden="false" customHeight="false" outlineLevel="0" collapsed="false">
      <c r="A1" s="3" t="s">
        <v>151</v>
      </c>
      <c r="B1" s="3" t="s">
        <v>152</v>
      </c>
      <c r="C1" s="4" t="s">
        <v>153</v>
      </c>
      <c r="D1" s="3" t="s">
        <v>154</v>
      </c>
    </row>
    <row r="2" customFormat="false" ht="17.15" hidden="false" customHeight="false" outlineLevel="0" collapsed="false">
      <c r="A2" s="0" t="s">
        <v>155</v>
      </c>
      <c r="B2" s="0" t="n">
        <v>0.91044776119403</v>
      </c>
      <c r="C2" s="0" t="n">
        <v>0.9</v>
      </c>
      <c r="D2" s="0" t="n">
        <v>0.0911687698925262</v>
      </c>
    </row>
    <row r="3" customFormat="false" ht="17.15" hidden="false" customHeight="false" outlineLevel="0" collapsed="false">
      <c r="A3" s="0" t="s">
        <v>156</v>
      </c>
      <c r="B3" s="0" t="n">
        <v>0.95</v>
      </c>
      <c r="C3" s="0" t="n">
        <v>0.95</v>
      </c>
      <c r="D3" s="0" t="n">
        <v>0</v>
      </c>
    </row>
    <row r="4" customFormat="false" ht="17.15" hidden="false" customHeight="false" outlineLevel="0" collapsed="false">
      <c r="A4" s="0" t="s">
        <v>157</v>
      </c>
      <c r="B4" s="0" t="n">
        <v>0.76</v>
      </c>
      <c r="C4" s="0" t="n">
        <v>0.837757930702619</v>
      </c>
      <c r="D4" s="0" t="n">
        <v>-0.737401534221285</v>
      </c>
    </row>
    <row r="5" customFormat="false" ht="17.15" hidden="false" customHeight="false" outlineLevel="0" collapsed="false">
      <c r="A5" s="0" t="s">
        <v>158</v>
      </c>
      <c r="B5" s="0" t="n">
        <v>11.0739648243069</v>
      </c>
      <c r="C5" s="0" t="n">
        <v>10.9642948158504</v>
      </c>
      <c r="D5" s="0" t="n">
        <v>0.0720908434692718</v>
      </c>
    </row>
    <row r="6" customFormat="false" ht="17.15" hidden="false" customHeight="false" outlineLevel="0" collapsed="false">
      <c r="A6" s="0" t="s">
        <v>159</v>
      </c>
      <c r="B6" s="0" t="n">
        <v>0.358208955223875</v>
      </c>
      <c r="C6" s="0" t="n">
        <v>0.386461679258059</v>
      </c>
      <c r="D6" s="0" t="n">
        <v>-0.0282527240341833</v>
      </c>
    </row>
    <row r="7" customFormat="false" ht="15" hidden="false" customHeight="false" outlineLevel="0" collapsed="false">
      <c r="A7" s="7" t="s">
        <v>160</v>
      </c>
      <c r="D7" s="0" t="n">
        <f aca="false">SUM(D2:D6)</f>
        <v>-0.602394644893671</v>
      </c>
    </row>
    <row r="8" customFormat="false" ht="17.15" hidden="false" customHeight="false" outlineLevel="0" collapsed="false">
      <c r="A8" s="7" t="s">
        <v>161</v>
      </c>
      <c r="B8" s="0" t="n">
        <v>7.63760535510633</v>
      </c>
      <c r="C8" s="0" t="n">
        <v>8.24</v>
      </c>
      <c r="D8" s="0" t="n">
        <f aca="false">B8-C8</f>
        <v>-0.60239464489367</v>
      </c>
    </row>
    <row r="9" customFormat="false" ht="17.15" hidden="false" customHeight="false" outlineLevel="0" collapsed="false">
      <c r="A9" s="7" t="s">
        <v>162</v>
      </c>
      <c r="D9" s="0" t="str">
        <f aca="false">IF(ABS(D7-D8)&lt;0.01,"通過","不通過")</f>
        <v>通過</v>
      </c>
    </row>
    <row r="10" customFormat="false" ht="17.15" hidden="false" customHeight="false" outlineLevel="0" collapsed="false">
      <c r="A10" s="0" t="s">
        <v>163</v>
      </c>
      <c r="C10" s="0" t="n">
        <v>0.751530320772472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7.15" hidden="false" customHeight="false" outlineLevel="0" collapsed="false">
      <c r="A1" s="3" t="s">
        <v>164</v>
      </c>
      <c r="B1" s="3" t="s">
        <v>165</v>
      </c>
      <c r="C1" s="3" t="s">
        <v>166</v>
      </c>
      <c r="D1" s="3" t="s">
        <v>167</v>
      </c>
      <c r="E1" s="3" t="s">
        <v>168</v>
      </c>
      <c r="F1" s="3" t="s">
        <v>169</v>
      </c>
      <c r="G1" s="3" t="s">
        <v>170</v>
      </c>
    </row>
    <row r="2" customFormat="false" ht="15" hidden="false" customHeight="false" outlineLevel="0" collapsed="false">
      <c r="A2" s="7" t="s">
        <v>171</v>
      </c>
      <c r="B2" s="0" t="n">
        <v>13.9805355188478</v>
      </c>
      <c r="C2" s="0" t="n">
        <v>5.24785180769839</v>
      </c>
      <c r="D2" s="0" t="n">
        <v>0</v>
      </c>
      <c r="E2" s="0" t="n">
        <v>54.8411224358677</v>
      </c>
      <c r="F2" s="0" t="n">
        <v>104.768016723937</v>
      </c>
      <c r="G2" s="0" t="n">
        <v>183.494127989618</v>
      </c>
    </row>
    <row r="3" customFormat="false" ht="17.15" hidden="false" customHeight="false" outlineLevel="0" collapsed="false">
      <c r="A3" s="0" t="s">
        <v>172</v>
      </c>
      <c r="B3" s="0" t="n">
        <v>64.6669188000141</v>
      </c>
      <c r="C3" s="0" t="n">
        <v>39.9921714449852</v>
      </c>
      <c r="D3" s="0" t="n">
        <v>26.6131872937555</v>
      </c>
      <c r="E3" s="0" t="n">
        <v>22.3038876059962</v>
      </c>
      <c r="F3" s="0" t="n">
        <v>63.2751720701874</v>
      </c>
      <c r="G3" s="0" t="n">
        <v>125.69196273427</v>
      </c>
    </row>
    <row r="4" customFormat="false" ht="17.15" hidden="false" customHeight="false" outlineLevel="0" collapsed="false">
      <c r="A4" s="0" t="s">
        <v>173</v>
      </c>
      <c r="B4" s="0" t="n">
        <v>0</v>
      </c>
      <c r="C4" s="0" t="n">
        <v>0</v>
      </c>
      <c r="D4" s="0" t="n">
        <v>0</v>
      </c>
      <c r="E4" s="0" t="n">
        <v>106.972116305001</v>
      </c>
      <c r="F4" s="0" t="n">
        <v>167.529513861542</v>
      </c>
      <c r="G4" s="0" t="n">
        <v>265.765609193848</v>
      </c>
    </row>
    <row r="5" customFormat="false" ht="17.15" hidden="false" customHeight="false" outlineLevel="0" collapsed="false">
      <c r="A5" s="0" t="s">
        <v>174</v>
      </c>
      <c r="B5" s="7" t="s">
        <v>175</v>
      </c>
      <c r="C5" s="7" t="s">
        <v>175</v>
      </c>
      <c r="D5" s="7" t="s">
        <v>175</v>
      </c>
      <c r="E5" s="7" t="s">
        <v>175</v>
      </c>
      <c r="F5" s="7" t="s">
        <v>175</v>
      </c>
      <c r="G5" s="7" t="s">
        <v>175</v>
      </c>
    </row>
    <row r="6" customFormat="false" ht="17.15" hidden="false" customHeight="false" outlineLevel="0" collapsed="false">
      <c r="A6" s="0" t="s">
        <v>176</v>
      </c>
      <c r="B6" s="7" t="s">
        <v>175</v>
      </c>
      <c r="C6" s="7" t="s">
        <v>175</v>
      </c>
      <c r="D6" s="7" t="s">
        <v>175</v>
      </c>
      <c r="E6" s="7" t="s">
        <v>175</v>
      </c>
      <c r="F6" s="7" t="s">
        <v>175</v>
      </c>
      <c r="G6" s="7" t="s">
        <v>175</v>
      </c>
    </row>
    <row r="7" customFormat="false" ht="17.15" hidden="false" customHeight="false" outlineLevel="0" collapsed="false">
      <c r="A7" s="7" t="s">
        <v>177</v>
      </c>
      <c r="B7" s="0" t="n">
        <v>14.196218670304</v>
      </c>
      <c r="C7" s="0" t="n">
        <v>0</v>
      </c>
      <c r="D7" s="0" t="n">
        <v>0</v>
      </c>
      <c r="E7" s="0" t="n">
        <v>60.8974299103196</v>
      </c>
      <c r="F7" s="0" t="n">
        <v>123.816515240069</v>
      </c>
      <c r="G7" s="0" t="n">
        <v>219.443184746294</v>
      </c>
    </row>
    <row r="8" customFormat="false" ht="17.15" hidden="false" customHeight="false" outlineLevel="0" collapsed="false">
      <c r="A8" s="7" t="s">
        <v>178</v>
      </c>
      <c r="B8" s="0" t="n">
        <v>15.3814820255223</v>
      </c>
      <c r="C8" s="0" t="n">
        <v>0</v>
      </c>
      <c r="D8" s="0" t="n">
        <v>0</v>
      </c>
      <c r="E8" s="0" t="n">
        <v>59.4078843781145</v>
      </c>
      <c r="F8" s="0" t="n">
        <v>109.715394667943</v>
      </c>
      <c r="G8" s="0" t="n">
        <v>189.285122651721</v>
      </c>
    </row>
    <row r="9" customFormat="false" ht="17.15" hidden="false" customHeight="false" outlineLevel="0" collapsed="false">
      <c r="A9" s="0" t="s">
        <v>179</v>
      </c>
      <c r="B9" s="0" t="n">
        <v>8.98740713182911</v>
      </c>
      <c r="C9" s="0" t="n">
        <v>0</v>
      </c>
      <c r="D9" s="0" t="n">
        <v>0</v>
      </c>
      <c r="E9" s="0" t="n">
        <v>62.5727599474417</v>
      </c>
      <c r="F9" s="0" t="n">
        <v>113.215855627927</v>
      </c>
      <c r="G9" s="0" t="n">
        <v>193.630043114125</v>
      </c>
    </row>
    <row r="10" customFormat="false" ht="17.15" hidden="false" customHeight="false" outlineLevel="0" collapsed="false">
      <c r="A10" s="0" t="s">
        <v>180</v>
      </c>
      <c r="B10" s="0" t="n">
        <v>35.486676414374</v>
      </c>
      <c r="C10" s="0" t="n">
        <v>25.4591641583472</v>
      </c>
      <c r="D10" s="0" t="n">
        <v>6.54143899358953</v>
      </c>
      <c r="E10" s="0" t="n">
        <v>38.1883765550662</v>
      </c>
      <c r="F10" s="0" t="n">
        <v>86.4650938768602</v>
      </c>
      <c r="G10" s="0" t="n">
        <v>161.533791894029</v>
      </c>
    </row>
    <row r="11" customFormat="false" ht="17.15" hidden="false" customHeight="false" outlineLevel="0" collapsed="false">
      <c r="A11" s="0" t="s">
        <v>181</v>
      </c>
      <c r="B11" s="0" t="n">
        <v>74.1511544138331</v>
      </c>
      <c r="C11" s="0" t="n">
        <v>45.1420478144943</v>
      </c>
      <c r="D11" s="0" t="n">
        <v>28.7678111436979</v>
      </c>
      <c r="E11" s="0" t="n">
        <v>24.0981266922476</v>
      </c>
      <c r="F11" s="0" t="n">
        <v>70.9785806333937</v>
      </c>
      <c r="G11" s="0" t="n">
        <v>142.952604998093</v>
      </c>
    </row>
    <row r="12" customFormat="false" ht="17.15" hidden="false" customHeight="false" outlineLevel="0" collapsed="false">
      <c r="A12" s="7" t="s">
        <v>182</v>
      </c>
      <c r="B12" s="0" t="n">
        <v>30.4934015887655</v>
      </c>
      <c r="C12" s="0" t="n">
        <v>20.1619489999589</v>
      </c>
      <c r="D12" s="0" t="n">
        <v>0.976496192665392</v>
      </c>
      <c r="E12" s="0" t="n">
        <v>42.0312488751774</v>
      </c>
      <c r="F12" s="0" t="n">
        <v>90.6887708716529</v>
      </c>
      <c r="G12" s="0" t="n">
        <v>166.601479146001</v>
      </c>
    </row>
    <row r="13" customFormat="false" ht="17.15" hidden="false" customHeight="false" outlineLevel="0" collapsed="false">
      <c r="A13" s="7" t="s">
        <v>183</v>
      </c>
      <c r="B13" s="0" t="n">
        <v>55.5248798507141</v>
      </c>
      <c r="C13" s="0" t="n">
        <v>36.5923274810978</v>
      </c>
      <c r="D13" s="0" t="n">
        <v>20.2985703805962</v>
      </c>
      <c r="E13" s="0" t="n">
        <v>29.2218071632103</v>
      </c>
      <c r="F13" s="0" t="n">
        <v>76.6099899603162</v>
      </c>
      <c r="G13" s="0" t="n">
        <v>149.70934530059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6"/>
  </cols>
  <sheetData>
    <row r="1" customFormat="false" ht="17.15" hidden="false" customHeight="false" outlineLevel="0" collapsed="false">
      <c r="A1" s="3" t="s">
        <v>2</v>
      </c>
      <c r="B1" s="3" t="s">
        <v>151</v>
      </c>
      <c r="C1" s="3" t="s">
        <v>184</v>
      </c>
      <c r="D1" s="4" t="s">
        <v>185</v>
      </c>
      <c r="E1" s="4" t="s">
        <v>186</v>
      </c>
      <c r="F1" s="3" t="s">
        <v>187</v>
      </c>
    </row>
    <row r="2" customFormat="false" ht="17.15" hidden="false" customHeight="false" outlineLevel="0" collapsed="false">
      <c r="A2" s="7" t="s">
        <v>10</v>
      </c>
      <c r="B2" s="0" t="s">
        <v>188</v>
      </c>
      <c r="C2" s="0" t="n">
        <v>0</v>
      </c>
    </row>
    <row r="3" customFormat="false" ht="17.15" hidden="false" customHeight="false" outlineLevel="0" collapsed="false">
      <c r="A3" s="7" t="s">
        <v>10</v>
      </c>
      <c r="B3" s="0" t="s">
        <v>189</v>
      </c>
      <c r="C3" s="0" t="n">
        <v>0</v>
      </c>
    </row>
    <row r="4" customFormat="false" ht="17.15" hidden="false" customHeight="false" outlineLevel="0" collapsed="false">
      <c r="A4" s="7" t="s">
        <v>10</v>
      </c>
      <c r="B4" s="0" t="s">
        <v>190</v>
      </c>
      <c r="C4" s="0" t="n">
        <v>0</v>
      </c>
    </row>
    <row r="5" customFormat="false" ht="17.15" hidden="false" customHeight="false" outlineLevel="0" collapsed="false">
      <c r="A5" s="7" t="s">
        <v>10</v>
      </c>
      <c r="B5" s="0" t="s">
        <v>191</v>
      </c>
      <c r="C5" s="0" t="n">
        <v>30.1583812031264</v>
      </c>
      <c r="D5" s="0" t="n">
        <v>33.1053250195911</v>
      </c>
      <c r="E5" s="0" t="n">
        <v>27.7472453532917</v>
      </c>
      <c r="F5" s="0" t="n">
        <v>-8.55600409584794</v>
      </c>
    </row>
    <row r="6" customFormat="false" ht="17.15" hidden="false" customHeight="false" outlineLevel="0" collapsed="false">
      <c r="A6" s="7" t="s">
        <v>10</v>
      </c>
      <c r="B6" s="0" t="s">
        <v>192</v>
      </c>
      <c r="C6" s="0" t="n">
        <v>-60.1706188949854</v>
      </c>
      <c r="D6" s="0" t="n">
        <v>-33.1053250195911</v>
      </c>
      <c r="E6" s="0" t="n">
        <v>-82.3149502475807</v>
      </c>
      <c r="F6" s="0" t="n">
        <v>30.7429957436201</v>
      </c>
    </row>
    <row r="7" customFormat="false" ht="17.15" hidden="false" customHeight="false" outlineLevel="0" collapsed="false">
      <c r="A7" s="7" t="s">
        <v>10</v>
      </c>
      <c r="B7" s="0" t="s">
        <v>193</v>
      </c>
      <c r="C7" s="0" t="n">
        <v>0</v>
      </c>
      <c r="D7" s="0" t="n">
        <v>0</v>
      </c>
      <c r="E7" s="0" t="n">
        <v>0</v>
      </c>
      <c r="F7" s="0" t="n">
        <v>0</v>
      </c>
    </row>
    <row r="8" customFormat="false" ht="17.15" hidden="false" customHeight="false" outlineLevel="0" collapsed="false">
      <c r="A8" s="7" t="s">
        <v>10</v>
      </c>
      <c r="B8" s="7" t="s">
        <v>160</v>
      </c>
      <c r="C8" s="0" t="n">
        <f aca="false">SUM(C2:C7)</f>
        <v>-30.0122376918589</v>
      </c>
    </row>
    <row r="9" customFormat="false" ht="17.15" hidden="false" customHeight="false" outlineLevel="0" collapsed="false">
      <c r="A9" s="7" t="s">
        <v>10</v>
      </c>
      <c r="B9" s="0" t="s">
        <v>194</v>
      </c>
      <c r="C9" s="0" t="n">
        <v>-30.0122376918589</v>
      </c>
    </row>
    <row r="10" customFormat="false" ht="17.15" hidden="false" customHeight="false" outlineLevel="0" collapsed="false">
      <c r="A10" s="7" t="s">
        <v>10</v>
      </c>
      <c r="B10" s="7" t="s">
        <v>195</v>
      </c>
      <c r="C10" s="0" t="str">
        <f aca="false">IF(ABS(C8-C9)&lt;0.01,"通過","不通過")</f>
        <v>通過</v>
      </c>
    </row>
    <row r="12" customFormat="false" ht="17.15" hidden="false" customHeight="false" outlineLevel="0" collapsed="false">
      <c r="A12" s="7" t="s">
        <v>12</v>
      </c>
      <c r="B12" s="0" t="s">
        <v>188</v>
      </c>
      <c r="C12" s="0" t="n">
        <v>0</v>
      </c>
    </row>
    <row r="13" customFormat="false" ht="17.15" hidden="false" customHeight="false" outlineLevel="0" collapsed="false">
      <c r="A13" s="7" t="s">
        <v>12</v>
      </c>
      <c r="B13" s="0" t="s">
        <v>189</v>
      </c>
      <c r="C13" s="0" t="n">
        <v>0</v>
      </c>
    </row>
    <row r="14" customFormat="false" ht="17.15" hidden="false" customHeight="false" outlineLevel="0" collapsed="false">
      <c r="A14" s="7" t="s">
        <v>12</v>
      </c>
      <c r="B14" s="0" t="s">
        <v>190</v>
      </c>
      <c r="C14" s="0" t="n">
        <v>0</v>
      </c>
    </row>
    <row r="15" customFormat="false" ht="17.15" hidden="false" customHeight="false" outlineLevel="0" collapsed="false">
      <c r="A15" s="7" t="s">
        <v>12</v>
      </c>
      <c r="B15" s="0" t="s">
        <v>191</v>
      </c>
      <c r="C15" s="0" t="n">
        <v>15.4635753176099</v>
      </c>
      <c r="D15" s="0" t="n">
        <v>0</v>
      </c>
      <c r="E15" s="0" t="n">
        <v>28.1155914865634</v>
      </c>
      <c r="F15" s="0" t="n">
        <v>-10.5931993946695</v>
      </c>
    </row>
    <row r="16" customFormat="false" ht="17.15" hidden="false" customHeight="false" outlineLevel="0" collapsed="false">
      <c r="A16" s="7" t="s">
        <v>12</v>
      </c>
      <c r="B16" s="0" t="s">
        <v>192</v>
      </c>
      <c r="C16" s="0" t="n">
        <v>-39.8941960067959</v>
      </c>
      <c r="D16" s="0" t="n">
        <v>0</v>
      </c>
      <c r="E16" s="0" t="n">
        <v>-76.8285987641094</v>
      </c>
      <c r="F16" s="0" t="n">
        <v>33.7894360905433</v>
      </c>
    </row>
    <row r="17" customFormat="false" ht="17.15" hidden="false" customHeight="false" outlineLevel="0" collapsed="false">
      <c r="A17" s="7" t="s">
        <v>12</v>
      </c>
      <c r="B17" s="0" t="s">
        <v>193</v>
      </c>
      <c r="C17" s="0" t="n">
        <v>0</v>
      </c>
      <c r="D17" s="0" t="n">
        <v>0</v>
      </c>
      <c r="E17" s="0" t="n">
        <v>0</v>
      </c>
      <c r="F17" s="0" t="n">
        <v>0</v>
      </c>
    </row>
    <row r="18" customFormat="false" ht="17.15" hidden="false" customHeight="false" outlineLevel="0" collapsed="false">
      <c r="A18" s="7" t="s">
        <v>12</v>
      </c>
      <c r="B18" s="7" t="s">
        <v>160</v>
      </c>
      <c r="C18" s="0" t="n">
        <f aca="false">SUM(C12:C17)</f>
        <v>-24.430620689186</v>
      </c>
    </row>
    <row r="19" customFormat="false" ht="17.15" hidden="false" customHeight="false" outlineLevel="0" collapsed="false">
      <c r="A19" s="7" t="s">
        <v>12</v>
      </c>
      <c r="B19" s="0" t="s">
        <v>194</v>
      </c>
      <c r="C19" s="0" t="n">
        <v>-24.430620689186</v>
      </c>
    </row>
    <row r="20" customFormat="false" ht="17.15" hidden="false" customHeight="false" outlineLevel="0" collapsed="false">
      <c r="A20" s="7" t="s">
        <v>12</v>
      </c>
      <c r="B20" s="7" t="s">
        <v>195</v>
      </c>
      <c r="C20" s="0" t="str">
        <f aca="false">IF(ABS(C18-C19)&lt;0.01,"通過","不通過")</f>
        <v>通過</v>
      </c>
    </row>
    <row r="22" customFormat="false" ht="17.15" hidden="false" customHeight="false" outlineLevel="0" collapsed="false">
      <c r="A22" s="7" t="s">
        <v>13</v>
      </c>
      <c r="B22" s="0" t="s">
        <v>188</v>
      </c>
      <c r="C22" s="0" t="n">
        <v>0</v>
      </c>
    </row>
    <row r="23" customFormat="false" ht="17.15" hidden="false" customHeight="false" outlineLevel="0" collapsed="false">
      <c r="A23" s="7" t="s">
        <v>13</v>
      </c>
      <c r="B23" s="0" t="s">
        <v>189</v>
      </c>
      <c r="C23" s="0" t="n">
        <v>0</v>
      </c>
    </row>
    <row r="24" customFormat="false" ht="17.15" hidden="false" customHeight="false" outlineLevel="0" collapsed="false">
      <c r="A24" s="7" t="s">
        <v>13</v>
      </c>
      <c r="B24" s="0" t="s">
        <v>190</v>
      </c>
      <c r="C24" s="0" t="n">
        <v>0</v>
      </c>
    </row>
    <row r="25" customFormat="false" ht="17.15" hidden="false" customHeight="false" outlineLevel="0" collapsed="false">
      <c r="A25" s="7" t="s">
        <v>13</v>
      </c>
      <c r="B25" s="0" t="s">
        <v>191</v>
      </c>
      <c r="C25" s="0" t="n">
        <v>8.81889083955124</v>
      </c>
      <c r="D25" s="0" t="n">
        <v>0</v>
      </c>
      <c r="E25" s="0" t="n">
        <v>32.3561908662131</v>
      </c>
      <c r="F25" s="0" t="n">
        <v>-14.9936751876477</v>
      </c>
    </row>
    <row r="26" customFormat="false" ht="17.15" hidden="false" customHeight="false" outlineLevel="0" collapsed="false">
      <c r="A26" s="7" t="s">
        <v>13</v>
      </c>
      <c r="B26" s="0" t="s">
        <v>192</v>
      </c>
      <c r="C26" s="0" t="n">
        <v>-28.7678111436979</v>
      </c>
      <c r="D26" s="0" t="n">
        <v>0</v>
      </c>
      <c r="E26" s="0" t="n">
        <v>-52.3051111703597</v>
      </c>
      <c r="F26" s="0" t="n">
        <v>40.5415229915257</v>
      </c>
    </row>
    <row r="27" customFormat="false" ht="17.15" hidden="false" customHeight="false" outlineLevel="0" collapsed="false">
      <c r="A27" s="7" t="s">
        <v>13</v>
      </c>
      <c r="B27" s="0" t="s">
        <v>193</v>
      </c>
      <c r="C27" s="0" t="n">
        <v>0</v>
      </c>
      <c r="D27" s="0" t="n">
        <v>0</v>
      </c>
      <c r="E27" s="0" t="n">
        <v>0</v>
      </c>
      <c r="F27" s="0" t="n">
        <v>0</v>
      </c>
    </row>
    <row r="28" customFormat="false" ht="17.15" hidden="false" customHeight="false" outlineLevel="0" collapsed="false">
      <c r="A28" s="7" t="s">
        <v>13</v>
      </c>
      <c r="B28" s="7" t="s">
        <v>160</v>
      </c>
      <c r="C28" s="0" t="n">
        <f aca="false">SUM(C22:C27)</f>
        <v>-19.9489203041466</v>
      </c>
    </row>
    <row r="29" customFormat="false" ht="17.15" hidden="false" customHeight="false" outlineLevel="0" collapsed="false">
      <c r="A29" s="7" t="s">
        <v>13</v>
      </c>
      <c r="B29" s="0" t="s">
        <v>194</v>
      </c>
      <c r="C29" s="0" t="n">
        <v>-19.9489203041466</v>
      </c>
    </row>
    <row r="30" customFormat="false" ht="17.15" hidden="false" customHeight="false" outlineLevel="0" collapsed="false">
      <c r="A30" s="7" t="s">
        <v>13</v>
      </c>
      <c r="B30" s="7" t="s">
        <v>195</v>
      </c>
      <c r="C30" s="0" t="str">
        <f aca="false">IF(ABS(C28-C29)&lt;0.01,"通過","不通過")</f>
        <v>通過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2026-10-08T10:54:09Z</dcterms:created>
  <dc:creator>openpyxl</dc:creator>
  <dc:description/>
  <dc:language>en-US</dc:language>
  <cp:lastModifiedBy/>
  <dcterms:modified xsi:type="dcterms:W3CDTF">2026-10-08T10:54:09Z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