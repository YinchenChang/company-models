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每MW經濟性" sheetId="8" state="visible" r:id="rId10"/>
    <sheet name="公司實況驗證" sheetId="9" state="visible" r:id="rId11"/>
    <sheet name="資產負債_既有債務" sheetId="10" state="visible" r:id="rId12"/>
    <sheet name="資產負債_新債與新股" sheetId="11" state="visible" r:id="rId13"/>
    <sheet name="資產負債_租賃承諾" sheetId="12" state="visible" r:id="rId14"/>
    <sheet name="損益" sheetId="13" state="visible" r:id="rId15"/>
    <sheet name="評價_DCF與目標價" sheetId="14" state="visible" r:id="rId16"/>
    <sheet name="評價_反向DCF" sheetId="15" state="visible" r:id="rId17"/>
    <sheet name="評價_可比公司" sheetId="16" state="visible" r:id="rId18"/>
    <sheet name="檢查_連動" sheetId="17" state="visible" r:id="rId19"/>
    <sheet name="檢查_版本紀錄" sheetId="18" state="visible" r:id="rId20"/>
    <sheet name="來源" sheetId="19" state="visible" r:id="rId21"/>
    <sheet name="Tokenomics_取數" sheetId="20" state="visible" r:id="rId22"/>
  </sheets>
  <definedNames>
    <definedName function="false" hidden="false" name="TK_AvgDraw_GB200" vbProcedure="false">Tokenomics_取數!$G$76</definedName>
    <definedName function="false" hidden="false" name="TK_AvgDraw_GB300" vbProcedure="false">Tokenomics_取數!$G$77</definedName>
    <definedName function="false" hidden="false" name="TK_AvgDraw_H100" vbProcedure="false">Tokenomics_取數!$G$75</definedName>
    <definedName function="false" hidden="false" name="TK_AvgDraw_RU" vbProcedure="false">Tokenomics_取數!$G$79</definedName>
    <definedName function="false" hidden="false" name="TK_AvgDraw_VR200" vbProcedure="false">Tokenomics_取數!$G$78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Tokenomics_取數!$G$71</definedName>
    <definedName function="false" hidden="false" name="TK_DeprFac_GB300" vbProcedure="false">Tokenomics_取數!$G$72</definedName>
    <definedName function="false" hidden="false" name="TK_DeprFac_H100" vbProcedure="false">Tokenomics_取數!$G$70</definedName>
    <definedName function="false" hidden="false" name="TK_DeprFac_RU" vbProcedure="false">Tokenomics_取數!$G$74</definedName>
    <definedName function="false" hidden="false" name="TK_DeprFac_VR200" vbProcedure="false">Tokenomics_取數!$G$73</definedName>
    <definedName function="false" hidden="false" name="TK_DeprIT_GB200" vbProcedure="false">Tokenomics_取數!$G$66</definedName>
    <definedName function="false" hidden="false" name="TK_DeprIT_GB300" vbProcedure="false">Tokenomics_取數!$G$67</definedName>
    <definedName function="false" hidden="false" name="TK_DeprIT_H100" vbProcedure="false">Tokenomics_取數!$G$65</definedName>
    <definedName function="false" hidden="false" name="TK_DeprIT_RU" vbProcedure="false">Tokenomics_取數!$G$69</definedName>
    <definedName function="false" hidden="false" name="TK_DeprIT_VR200" vbProcedure="false">Tokenomics_取數!$G$68</definedName>
    <definedName function="false" hidden="false" name="TK_DeprLifeIT_GB200" vbProcedure="false">Tokenomics_取數!$G$61</definedName>
    <definedName function="false" hidden="false" name="TK_DeprLifeIT_GB300" vbProcedure="false">Tokenomics_取數!$G$62</definedName>
    <definedName function="false" hidden="false" name="TK_DeprLifeIT_H100" vbProcedure="false">Tokenomics_取數!$G$60</definedName>
    <definedName function="false" hidden="false" name="TK_DeprLifeIT_RU" vbProcedure="false">Tokenomics_取數!$G$64</definedName>
    <definedName function="false" hidden="false" name="TK_DeprLifeIT_VR200" vbProcedure="false">Tokenomics_取數!$G$63</definedName>
    <definedName function="false" hidden="false" name="TK_FacCapexMW" vbProcedure="false">Tokenomics_取數!$G$56</definedName>
    <definedName function="false" hidden="false" name="TK_FacilityGW_GB200" vbProcedure="false">Tokenomics_取數!$G$16</definedName>
    <definedName function="false" hidden="false" name="TK_FacilityGW_GB300" vbProcedure="false">Tokenomics_取數!$G$17</definedName>
    <definedName function="false" hidden="false" name="TK_FacilityGW_H100" vbProcedure="false">Tokenomics_取數!$G$15</definedName>
    <definedName function="false" hidden="false" name="TK_FacilityGW_RU" vbProcedure="false">Tokenomics_取數!$G$19</definedName>
    <definedName function="false" hidden="false" name="TK_FacilityGW_VR200" vbProcedure="false">Tokenomics_取數!$G$18</definedName>
    <definedName function="false" hidden="false" name="TK_GPUhrEcon_GB200" vbProcedure="false">Tokenomics_取數!$G$46</definedName>
    <definedName function="false" hidden="false" name="TK_GPUhrEcon_GB300" vbProcedure="false">Tokenomics_取數!$G$47</definedName>
    <definedName function="false" hidden="false" name="TK_GPUhrEcon_H100" vbProcedure="false">Tokenomics_取數!$G$45</definedName>
    <definedName function="false" hidden="false" name="TK_GPUhrEcon_RU" vbProcedure="false">Tokenomics_取數!$G$49</definedName>
    <definedName function="false" hidden="false" name="TK_GPUhrEcon_VR200" vbProcedure="false">Tokenomics_取數!$G$48</definedName>
    <definedName function="false" hidden="false" name="TK_GPUhr_GB200_vsCW" vbProcedure="false">Tokenomics_取數!$G$57</definedName>
    <definedName function="false" hidden="false" name="TK_GPUhr_GB300_vsBE" vbProcedure="false">Tokenomics_取數!$G$58</definedName>
    <definedName function="false" hidden="false" name="TK_GPUsPerGW_GB200" vbProcedure="false">Tokenomics_取數!$G$11</definedName>
    <definedName function="false" hidden="false" name="TK_GPUsPerGW_GB300" vbProcedure="false">Tokenomics_取數!$G$12</definedName>
    <definedName function="false" hidden="false" name="TK_GPUsPerGW_H100" vbProcedure="false">Tokenomics_取數!$G$10</definedName>
    <definedName function="false" hidden="false" name="TK_GPUsPerGW_RU" vbProcedure="false">Tokenomics_取數!$G$14</definedName>
    <definedName function="false" hidden="false" name="TK_GPUsPerGW_VR200" vbProcedure="false">Tokenomics_取數!$G$13</definedName>
    <definedName function="false" hidden="false" name="TK_HoldAcct_GB200" vbProcedure="false">Tokenomics_取數!$G$36</definedName>
    <definedName function="false" hidden="false" name="TK_HoldAcct_GB300" vbProcedure="false">Tokenomics_取數!$G$37</definedName>
    <definedName function="false" hidden="false" name="TK_HoldAcct_H100" vbProcedure="false">Tokenomics_取數!$G$35</definedName>
    <definedName function="false" hidden="false" name="TK_HoldAcct_RU" vbProcedure="false">Tokenomics_取數!$G$39</definedName>
    <definedName function="false" hidden="false" name="TK_HoldAcct_VR200" vbProcedure="false">Tokenomics_取數!$G$38</definedName>
    <definedName function="false" hidden="false" name="TK_HoldEcon_GB200" vbProcedure="false">Tokenomics_取數!$G$41</definedName>
    <definedName function="false" hidden="false" name="TK_HoldEcon_GB300" vbProcedure="false">Tokenomics_取數!$G$42</definedName>
    <definedName function="false" hidden="false" name="TK_HoldEcon_H100" vbProcedure="false">Tokenomics_取數!$G$40</definedName>
    <definedName function="false" hidden="false" name="TK_HoldEcon_RU" vbProcedure="false">Tokenomics_取數!$G$44</definedName>
    <definedName function="false" hidden="false" name="TK_HoldEcon_VR200" vbProcedure="false">Tokenomics_取數!$G$43</definedName>
    <definedName function="false" hidden="false" name="TK_MaintFac_GB200" vbProcedure="false">Tokenomics_取數!$G$91</definedName>
    <definedName function="false" hidden="false" name="TK_MaintFac_GB300" vbProcedure="false">Tokenomics_取數!$G$92</definedName>
    <definedName function="false" hidden="false" name="TK_MaintFac_H100" vbProcedure="false">Tokenomics_取數!$G$90</definedName>
    <definedName function="false" hidden="false" name="TK_MaintFac_RU" vbProcedure="false">Tokenomics_取數!$G$94</definedName>
    <definedName function="false" hidden="false" name="TK_MaintFac_VR200" vbProcedure="false">Tokenomics_取數!$G$93</definedName>
    <definedName function="false" hidden="false" name="TK_MaintITPost_GB200" vbProcedure="false">Tokenomics_取數!$G$121</definedName>
    <definedName function="false" hidden="false" name="TK_MaintITPost_GB300" vbProcedure="false">Tokenomics_取數!$G$122</definedName>
    <definedName function="false" hidden="false" name="TK_MaintITPost_H100" vbProcedure="false">Tokenomics_取數!$G$120</definedName>
    <definedName function="false" hidden="false" name="TK_MaintITPost_RU" vbProcedure="false">Tokenomics_取數!$G$124</definedName>
    <definedName function="false" hidden="false" name="TK_MaintITPost_VR200" vbProcedure="false">Tokenomics_取數!$G$123</definedName>
    <definedName function="false" hidden="false" name="TK_MaintITWarr_GB200" vbProcedure="false">Tokenomics_取數!$G$116</definedName>
    <definedName function="false" hidden="false" name="TK_MaintITWarr_GB300" vbProcedure="false">Tokenomics_取數!$G$117</definedName>
    <definedName function="false" hidden="false" name="TK_MaintITWarr_H100" vbProcedure="false">Tokenomics_取數!$G$115</definedName>
    <definedName function="false" hidden="false" name="TK_MaintITWarr_RU" vbProcedure="false">Tokenomics_取數!$G$119</definedName>
    <definedName function="false" hidden="false" name="TK_MaintITWarr_VR200" vbProcedure="false">Tokenomics_取數!$G$118</definedName>
    <definedName function="false" hidden="false" name="TK_MaintIT_GB200" vbProcedure="false">Tokenomics_取數!$G$86</definedName>
    <definedName function="false" hidden="false" name="TK_MaintIT_GB300" vbProcedure="false">Tokenomics_取數!$G$87</definedName>
    <definedName function="false" hidden="false" name="TK_MaintIT_H100" vbProcedure="false">Tokenomics_取數!$G$85</definedName>
    <definedName function="false" hidden="false" name="TK_MaintIT_RU" vbProcedure="false">Tokenomics_取數!$G$89</definedName>
    <definedName function="false" hidden="false" name="TK_MaintIT_VR200" vbProcedure="false">Tokenomics_取數!$G$88</definedName>
    <definedName function="false" hidden="false" name="TK_OpexGW_GB200" vbProcedure="false">Tokenomics_取數!$G$106</definedName>
    <definedName function="false" hidden="false" name="TK_OpexGW_GB300" vbProcedure="false">Tokenomics_取數!$G$107</definedName>
    <definedName function="false" hidden="false" name="TK_OpexGW_H100" vbProcedure="false">Tokenomics_取數!$G$105</definedName>
    <definedName function="false" hidden="false" name="TK_OpexGW_RU" vbProcedure="false">Tokenomics_取數!$G$109</definedName>
    <definedName function="false" hidden="false" name="TK_OpexGW_VR200" vbProcedure="false">Tokenomics_取數!$G$108</definedName>
    <definedName function="false" hidden="false" name="TK_PowerCost_GB200" vbProcedure="false">Tokenomics_取數!$G$51</definedName>
    <definedName function="false" hidden="false" name="TK_PowerCost_GB300" vbProcedure="false">Tokenomics_取數!$G$52</definedName>
    <definedName function="false" hidden="false" name="TK_PowerCost_H100" vbProcedure="false">Tokenomics_取數!$G$50</definedName>
    <definedName function="false" hidden="false" name="TK_PowerCost_RU" vbProcedure="false">Tokenomics_取數!$G$54</definedName>
    <definedName function="false" hidden="false" name="TK_PowerCost_VR200" vbProcedure="false">Tokenomics_取數!$G$53</definedName>
    <definedName function="false" hidden="false" name="TK_PowerPrice_GB200" vbProcedure="false">Tokenomics_取數!$G$81</definedName>
    <definedName function="false" hidden="false" name="TK_PowerPrice_GB300" vbProcedure="false">Tokenomics_取數!$G$82</definedName>
    <definedName function="false" hidden="false" name="TK_PowerPrice_H100" vbProcedure="false">Tokenomics_取數!$G$80</definedName>
    <definedName function="false" hidden="false" name="TK_PowerPrice_RU" vbProcedure="false">Tokenomics_取數!$G$84</definedName>
    <definedName function="false" hidden="false" name="TK_PowerPrice_VR200" vbProcedure="false">Tokenomics_取數!$G$83</definedName>
    <definedName function="false" hidden="false" name="TK_RacksPerGW_GB200" vbProcedure="false">Tokenomics_取數!$G$6</definedName>
    <definedName function="false" hidden="false" name="TK_RacksPerGW_GB300" vbProcedure="false">Tokenomics_取數!$G$7</definedName>
    <definedName function="false" hidden="false" name="TK_RacksPerGW_H100" vbProcedure="false">Tokenomics_取數!$G$5</definedName>
    <definedName function="false" hidden="false" name="TK_RacksPerGW_RU" vbProcedure="false">Tokenomics_取數!$G$9</definedName>
    <definedName function="false" hidden="false" name="TK_RacksPerGW_VR200" vbProcedure="false">Tokenomics_取數!$G$8</definedName>
    <definedName function="false" hidden="false" name="TK_RevGWFleet_GB200" vbProcedure="false">Tokenomics_取數!$G$111</definedName>
    <definedName function="false" hidden="false" name="TK_RevGWFleet_GB300" vbProcedure="false">Tokenomics_取數!$G$112</definedName>
    <definedName function="false" hidden="false" name="TK_RevGWFleet_H100" vbProcedure="false">Tokenomics_取數!$G$110</definedName>
    <definedName function="false" hidden="false" name="TK_RevGWFleet_RU" vbProcedure="false">Tokenomics_取數!$G$114</definedName>
    <definedName function="false" hidden="false" name="TK_RevGWFleet_VR200" vbProcedure="false">Tokenomics_取數!$G$113</definedName>
    <definedName function="false" hidden="false" name="TK_RevGW_Fleet_VR200" vbProcedure="false">Tokenomics_取數!$G$59</definedName>
    <definedName function="false" hidden="false" name="TK_StaffSW_GB200" vbProcedure="false">Tokenomics_取數!$G$96</definedName>
    <definedName function="false" hidden="false" name="TK_StaffSW_GB300" vbProcedure="false">Tokenomics_取數!$G$97</definedName>
    <definedName function="false" hidden="false" name="TK_StaffSW_H100" vbProcedure="false">Tokenomics_取數!$G$95</definedName>
    <definedName function="false" hidden="false" name="TK_StaffSW_RU" vbProcedure="false">Tokenomics_取數!$G$99</definedName>
    <definedName function="false" hidden="false" name="TK_StaffSW_VR200" vbProcedure="false">Tokenomics_取數!$G$98</definedName>
    <definedName function="false" hidden="false" name="TK_TaxIns_GB200" vbProcedure="false">Tokenomics_取數!$G$101</definedName>
    <definedName function="false" hidden="false" name="TK_TaxIns_GB300" vbProcedure="false">Tokenomics_取數!$G$102</definedName>
    <definedName function="false" hidden="false" name="TK_TaxIns_H100" vbProcedure="false">Tokenomics_取數!$G$100</definedName>
    <definedName function="false" hidden="false" name="TK_TaxIns_RU" vbProcedure="false">Tokenomics_取數!$G$104</definedName>
    <definedName function="false" hidden="false" name="TK_TaxIns_VR200" vbProcedure="false">Tokenomics_取數!$G$103</definedName>
    <definedName function="false" hidden="false" name="TK_Util" vbProcedure="false">Tokenomics_取數!$G$55</definedName>
    <definedName function="false" hidden="false" name="TK_WarrantyYrs" vbProcedure="false">Tokenomics_取數!$G$125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<sst xmlns="http://schemas.openxmlformats.org/spreadsheetml/2006/main" count="4600" uniqueCount="2626">
  <si>
    <r>
      <rPr>
        <b val="true"/>
        <sz val="14"/>
        <rFont val="Arial"/>
        <family val="0"/>
        <charset val="1"/>
      </rPr>
      <t xml:space="preserve">CoreWeave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v4.10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2026-09-25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v4.10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2026-09-24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</si>
  <si>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</si>
  <si>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手上 </t>
    </r>
    <r>
      <rPr>
        <sz val="10"/>
        <rFont val="Arial"/>
        <family val="0"/>
        <charset val="1"/>
      </rPr>
      <t xml:space="preserve">$103.7bn </t>
    </r>
    <r>
      <rPr>
        <sz val="10"/>
        <rFont val="Noto Sans CJK SC"/>
        <family val="2"/>
      </rPr>
      <t xml:space="preserve">的合約（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）在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年前能變成多少現金，而同一段時間要付出多少現金——</t>
    </r>
  </si>
  <si>
    <t xml:space="preserve">差額就是必須向外籌措的金額。所有分頁用同一組數字，改任何一個輸入，後面全部會跟著動。</t>
  </si>
  <si>
    <t xml:space="preserve">分頁結構（依模組分組，分頁標籤顏色相同者為同一模組）</t>
  </si>
  <si>
    <r>
      <rPr>
        <sz val="10"/>
        <rFont val="Noto Sans CJK SC"/>
        <family val="2"/>
      </rPr>
      <t xml:space="preserve">摘要            一頁摘要：結論、與市場共識的差異、現價隱含什麼、驗證點（</t>
    </r>
    <r>
      <rPr>
        <sz val="10"/>
        <rFont val="Arial"/>
        <family val="0"/>
        <charset val="1"/>
      </rPr>
      <t xml:space="preserve">v4.3</t>
    </r>
    <r>
      <rPr>
        <sz val="10"/>
        <rFont val="Noto Sans CJK SC"/>
        <family val="2"/>
      </rPr>
      <t xml:space="preserve">；全部活公式）。</t>
    </r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</si>
  <si>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</si>
  <si>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</si>
  <si>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</t>
    </r>
    <r>
      <rPr>
        <sz val="10"/>
        <rFont val="Arial"/>
        <family val="0"/>
        <charset val="1"/>
      </rPr>
      <t xml:space="preserve">v4.4</t>
    </r>
    <r>
      <rPr>
        <sz val="10"/>
        <rFont val="Noto Sans CJK SC"/>
        <family val="2"/>
      </rPr>
      <t xml:space="preserve">；由年度模型拆分，只用於追蹤；實際數填在輸入與假設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</si>
  <si>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合約排程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機房產能 → 收入 → 現金；運營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站點：房東揭露與租金檢驗。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</si>
  <si>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</si>
  <si>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</si>
  <si>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</si>
  <si>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現價隱含的收入與成本（目標搜尋＋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快照）。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</si>
  <si>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恆等式與口徑檢查；每一版的變更與目標價；來源：每個硬編碼數字的出處。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</si>
  <si>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</si>
  <si>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</si>
  <si>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</si>
  <si>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t xml:space="preserve">■ 重點：容量上限與產能瓶頸是什麼關係</t>
  </si>
  <si>
    <t xml:space="preserve">這是整個模型最常被誤解的地方，所以單獨說明。</t>
  </si>
  <si>
    <t xml:space="preserve">兩條線各自獨立產生：</t>
  </si>
  <si>
    <r>
      <rPr>
        <sz val="10"/>
        <rFont val="Arial"/>
        <family val="0"/>
        <charset val="1"/>
      </rPr>
      <t xml:space="preserve">  (A) </t>
    </r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＝ 已簽約、依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揭露的時程「應該」在本期認列的收入。</t>
    </r>
  </si>
  <si>
    <r>
      <rPr>
        <sz val="10"/>
        <rFont val="Noto Sans CJK SC"/>
        <family val="2"/>
      </rPr>
      <t xml:space="preserve">      公式：</t>
    </r>
    <r>
      <rPr>
        <sz val="10"/>
        <rFont val="Arial"/>
        <family val="0"/>
        <charset val="1"/>
      </rPr>
      <t xml:space="preserve">(6/30 RPO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新增承諾</t>
    </r>
    <r>
      <rPr>
        <sz val="10"/>
        <rFont val="Arial"/>
        <family val="0"/>
        <charset val="1"/>
      </rPr>
      <t xml:space="preserve">) × </t>
    </r>
    <r>
      <rPr>
        <sz val="10"/>
        <rFont val="Noto Sans CJK SC"/>
        <family val="2"/>
      </rPr>
      <t xml:space="preserve">本期權重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權重合計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五期認列比例</t>
    </r>
  </si>
  <si>
    <t xml:space="preserve">      這條線只看合約，完全不管機房蓋好了沒。</t>
  </si>
  <si>
    <r>
      <rPr>
        <sz val="10"/>
        <rFont val="Arial"/>
        <family val="0"/>
        <charset val="1"/>
      </rPr>
      <t xml:space="preserve">  (B) </t>
    </r>
    <r>
      <rPr>
        <sz val="10"/>
        <rFont val="Noto Sans CJK SC"/>
        <family val="2"/>
      </rPr>
      <t xml:space="preserve">容量上限 ＝ 本期實際能交付的最大收入 ＝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期間係數。</t>
    </r>
  </si>
  <si>
    <t xml:space="preserve">      這條線只看機房，完全不管簽了多少約。</t>
  </si>
  <si>
    <t xml:space="preserve">兩條線相減，方向決定意義：</t>
  </si>
  <si>
    <r>
      <rPr>
        <sz val="10"/>
        <rFont val="Noto Sans CJK SC"/>
        <family val="2"/>
      </rPr>
      <t xml:space="preserve">  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 → 差額＝『產能瓶頸』。合約在手但機房還沒好，這段收入本期收不到，</t>
    </r>
  </si>
  <si>
    <t xml:space="preserve">      也不遞延到下期（模型不做遞延，是保守處理）。本期收入 ＝ 排程 − 瓶頸 ＝ 容量上限。</t>
  </si>
  <si>
    <r>
      <rPr>
        <sz val="10"/>
        <rFont val="Noto Sans CJK SC"/>
        <family val="2"/>
      </rPr>
      <t xml:space="preserve">  容量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排程 → 差額＝『未被期初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占用的產能』。機房好了但期初合約沒占滿，</t>
    </r>
  </si>
  <si>
    <t xml:space="preserve">      這段要靠新簽約來賣，乘上『新產能簽約率』後成為『新簽約收入』，賣不掉的是『未售產能』。</t>
  </si>
  <si>
    <r>
      <rPr>
        <sz val="10"/>
        <rFont val="Noto Sans CJK SC"/>
        <family val="2"/>
      </rPr>
      <t xml:space="preserve">所以本模型的收入有兩個來源，而且互斥：期初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轉換（受容量封頂）＋ 新簽約（用剩餘容量）。</t>
    </r>
  </si>
  <si>
    <r>
      <rPr>
        <sz val="10"/>
        <rFont val="Noto Sans CJK SC"/>
        <family val="2"/>
      </rPr>
      <t xml:space="preserve">基準路徑下，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下半年與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是瓶頸期（合約多於機房），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之後反轉為產能多於期初合約——</t>
    </r>
  </si>
  <si>
    <r>
      <rPr>
        <sz val="10"/>
        <rFont val="Noto Sans CJK SC"/>
        <family val="2"/>
      </rPr>
      <t xml:space="preserve">這就是為什麼 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起的收入愈來愈依賴『還沒簽的約』，也是 </t>
    </r>
    <r>
      <rPr>
        <sz val="10"/>
        <rFont val="Arial"/>
        <family val="0"/>
        <charset val="1"/>
      </rPr>
      <t xml:space="preserve">8 GW </t>
    </r>
    <r>
      <rPr>
        <sz val="10"/>
        <rFont val="Noto Sans CJK SC"/>
        <family val="2"/>
      </rPr>
      <t xml:space="preserve">敘事的真正風險所在。</t>
    </r>
  </si>
  <si>
    <t xml:space="preserve">■ 收入之後的三道折扣（產能與收入頁）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</si>
  <si>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收現 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可支應資本用途的現金。</t>
    </r>
  </si>
  <si>
    <t xml:space="preserve">  貢獻率是租金與利息『之前』的比率，因為租金與利息在支出頁單獨列示，不可在此重複扣除。</t>
  </si>
  <si>
    <r>
      <rPr>
        <sz val="10"/>
        <rFont val="Arial"/>
        <family val="0"/>
        <charset val="1"/>
      </rPr>
      <t xml:space="preserve">  Q2 </t>
    </r>
    <r>
      <rPr>
        <sz val="10"/>
        <rFont val="Noto Sans CJK SC"/>
        <family val="2"/>
      </rPr>
      <t xml:space="preserve">反推上限：</t>
    </r>
    <r>
      <rPr>
        <sz val="10"/>
        <rFont val="Arial"/>
        <family val="0"/>
        <charset val="1"/>
      </rPr>
      <t xml:space="preserve">Adj. 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（已扣營業租賃 </t>
    </r>
    <r>
      <rPr>
        <sz val="10"/>
        <rFont val="Arial"/>
        <family val="0"/>
        <charset val="1"/>
      </rPr>
      <t xml:space="preserve">0.500</t>
    </r>
    <r>
      <rPr>
        <sz val="10"/>
        <rFont val="Noto Sans CJK SC"/>
        <family val="2"/>
      </rPr>
      <t xml:space="preserve">＋變動租賃 </t>
    </r>
    <r>
      <rPr>
        <sz val="10"/>
        <rFont val="Arial"/>
        <family val="0"/>
        <charset val="1"/>
      </rPr>
      <t xml:space="preserve">0.150</t>
    </r>
    <r>
      <rPr>
        <sz val="10"/>
        <rFont val="Noto Sans CJK SC"/>
        <family val="2"/>
      </rPr>
      <t xml:space="preserve">，約營收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）→ 租金前約 </t>
    </r>
    <r>
      <rPr>
        <sz val="10"/>
        <rFont val="Arial"/>
        <family val="0"/>
        <charset val="1"/>
      </rPr>
      <t xml:space="preserve">84%</t>
    </r>
    <r>
      <rPr>
        <sz val="1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</si>
  <si>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</si>
  <si>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部分直接採用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現金流量表的實際值（</t>
    </r>
    <r>
      <rPr>
        <sz val="10"/>
        <rFont val="Arial"/>
        <family val="0"/>
        <charset val="1"/>
      </rPr>
      <t xml:space="preserve">CFO 3.663</t>
    </r>
    <r>
      <rPr>
        <sz val="10"/>
        <rFont val="Noto Sans CJK SC"/>
        <family val="2"/>
      </rPr>
      <t xml:space="preserve">、現金購置 </t>
    </r>
    <r>
      <rPr>
        <sz val="10"/>
        <rFont val="Arial"/>
        <family val="0"/>
        <charset val="1"/>
      </rPr>
      <t xml:space="preserve">14.117</t>
    </r>
    <r>
      <rPr>
        <sz val="10"/>
        <rFont val="Noto Sans CJK SC"/>
        <family val="2"/>
      </rPr>
      <t xml:space="preserve">、</t>
    </r>
  </si>
  <si>
    <r>
      <rPr>
        <sz val="10"/>
        <rFont val="Arial"/>
        <family val="0"/>
        <charset val="1"/>
      </rPr>
      <t xml:space="preserve">  JV 0.688</t>
    </r>
    <r>
      <rPr>
        <sz val="10"/>
        <rFont val="Noto Sans CJK SC"/>
        <family val="2"/>
      </rPr>
      <t xml:space="preserve">、借款 </t>
    </r>
    <r>
      <rPr>
        <sz val="10"/>
        <rFont val="Arial"/>
        <family val="0"/>
        <charset val="1"/>
      </rPr>
      <t xml:space="preserve">16.747</t>
    </r>
    <r>
      <rPr>
        <sz val="10"/>
        <rFont val="Noto Sans CJK SC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Noto Sans CJK SC"/>
        <family val="2"/>
      </rPr>
      <t xml:space="preserve">、私募股權 </t>
    </r>
    <r>
      <rPr>
        <sz val="10"/>
        <rFont val="Arial"/>
        <family val="0"/>
        <charset val="1"/>
      </rPr>
      <t xml:space="preserve">2.982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capped call 0.492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部分才是模型推算。</t>
    </r>
  </si>
  <si>
    <r>
      <rPr>
        <sz val="10"/>
        <rFont val="Noto Sans CJK SC"/>
        <family val="2"/>
      </rPr>
      <t xml:space="preserve">  因此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CapEx 37.1 </t>
    </r>
    <r>
      <rPr>
        <sz val="10"/>
        <rFont val="Noto Sans CJK SC"/>
        <family val="2"/>
      </rPr>
      <t xml:space="preserve">與營收 </t>
    </r>
    <r>
      <rPr>
        <sz val="10"/>
        <rFont val="Arial"/>
        <family val="0"/>
        <charset val="1"/>
      </rPr>
      <t xml:space="preserve">12.8 </t>
    </r>
    <r>
      <rPr>
        <sz val="10"/>
        <rFont val="Noto Sans CJK SC"/>
        <family val="2"/>
      </rPr>
      <t xml:space="preserve">可以直接對照公司全年指引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12.4–13.2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</si>
  <si>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  產能與收入頁的首欄也是 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，但標示「（模型期）」的收入列只含下半年：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桶自 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起算，</t>
    </r>
  </si>
  <si>
    <r>
      <rPr>
        <sz val="10"/>
        <rFont val="Arial"/>
        <family val="0"/>
        <charset val="1"/>
      </rPr>
      <t xml:space="preserve">  1H </t>
    </r>
    <r>
      <rPr>
        <sz val="10"/>
        <rFont val="Noto Sans CJK SC"/>
        <family val="2"/>
      </rPr>
      <t xml:space="preserve">的收入已經實現、不再受產能約束，因此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實際單列，兩者相加即該頁的「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全年總營收」。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只折現 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之後的現金流。</t>
    </r>
  </si>
  <si>
    <r>
      <rPr>
        <sz val="10"/>
        <rFont val="Arial"/>
        <family val="0"/>
        <charset val="1"/>
      </rPr>
      <t xml:space="preserve">  1H </t>
    </r>
    <r>
      <rPr>
        <sz val="10"/>
        <rFont val="Noto Sans CJK SC"/>
        <family val="2"/>
      </rPr>
      <t xml:space="preserve">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欄只有 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</si>
  <si>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</si>
  <si>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r>
      <rPr>
        <sz val="10"/>
        <rFont val="Arial"/>
        <family val="0"/>
        <charset val="1"/>
      </rPr>
      <t xml:space="preserve">  2025-12-31 </t>
    </r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3.127 </t>
    </r>
    <r>
      <rPr>
        <sz val="10"/>
        <rFont val="Noto Sans CJK SC"/>
        <family val="2"/>
      </rPr>
      <t xml:space="preserve">＋ 營運缺口 ＋ 股權／可轉債 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 − 排程還本 − </t>
    </r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＋ 調節 ＝ 期末現金</t>
    </r>
  </si>
  <si>
    <t xml:space="preserve">  營運缺口＝營運來源 −（用途 − 排程還本）。股權、可轉債、信用額度都不算營運來源，這是刻意的：</t>
  </si>
  <si>
    <t xml:space="preserve">  它們回答的是「誰來補」，不是「本業能不能自給」。</t>
  </si>
  <si>
    <r>
      <rPr>
        <b val="true"/>
        <sz val="10"/>
        <rFont val="Arial"/>
        <family val="0"/>
        <charset val="1"/>
      </rPr>
      <t xml:space="preserve">■ v1.5 </t>
    </r>
    <r>
      <rPr>
        <b val="true"/>
        <sz val="10"/>
        <rFont val="Noto Sans CJK SC"/>
        <family val="2"/>
      </rPr>
      <t xml:space="preserve">變更（回應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反饋 </t>
    </r>
    <r>
      <rPr>
        <b val="true"/>
        <sz val="10"/>
        <rFont val="Arial"/>
        <family val="0"/>
        <charset val="1"/>
      </rPr>
      <t xml:space="preserve">1–5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</si>
  <si>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  1. </t>
    </r>
    <r>
      <rPr>
        <sz val="10"/>
        <rFont val="Noto Sans CJK SC"/>
        <family val="2"/>
      </rPr>
      <t xml:space="preserve">新增『站點租賃』頁：</t>
    </r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Polaris Forge 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Core Scientific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Kenilworth </t>
    </r>
    <r>
      <rPr>
        <sz val="10"/>
        <rFont val="Noto Sans CJK SC"/>
        <family val="2"/>
      </rPr>
      <t xml:space="preserve">逐站列出契約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、合約值、每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年租金，</t>
    </r>
  </si>
  <si>
    <r>
      <rPr>
        <sz val="10"/>
        <rFont val="Noto Sans CJK SC"/>
        <family val="2"/>
      </rPr>
      <t xml:space="preserve">     並與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租賃承諾總額 </t>
    </r>
    <r>
      <rPr>
        <sz val="10"/>
        <rFont val="Arial"/>
        <family val="0"/>
        <charset val="1"/>
      </rPr>
      <t xml:space="preserve">79.6 </t>
    </r>
    <r>
      <rPr>
        <sz val="10"/>
        <rFont val="Noto Sans CJK SC"/>
        <family val="2"/>
      </rPr>
      <t xml:space="preserve">對帳（具名 </t>
    </r>
    <r>
      <rPr>
        <sz val="10"/>
        <rFont val="Arial"/>
        <family val="0"/>
        <charset val="1"/>
      </rPr>
      <t xml:space="preserve">36.2</t>
    </r>
    <r>
      <rPr>
        <sz val="10"/>
        <rFont val="Noto Sans CJK SC"/>
        <family val="2"/>
      </rPr>
      <t xml:space="preserve">、未具名殘差 </t>
    </r>
    <r>
      <rPr>
        <sz val="10"/>
        <rFont val="Arial"/>
        <family val="0"/>
        <charset val="1"/>
      </rPr>
      <t xml:space="preserve">43.4</t>
    </r>
    <r>
      <rPr>
        <sz val="10"/>
        <rFont val="Noto Sans CJK SC"/>
        <family val="2"/>
      </rPr>
      <t xml:space="preserve">）；另以市場基準檢驗模型租金路徑。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</si>
  <si>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Noto Sans CJK SC"/>
        <family val="2"/>
      </rPr>
      <t xml:space="preserve">新增『債務明細』頁：</t>
    </r>
    <r>
      <rPr>
        <sz val="10"/>
        <rFont val="Arial"/>
        <family val="0"/>
        <charset val="1"/>
      </rPr>
      <t xml:space="preserve">10-Q 16 </t>
    </r>
    <r>
      <rPr>
        <sz val="10"/>
        <rFont val="Noto Sans CJK SC"/>
        <family val="2"/>
      </rPr>
      <t xml:space="preserve">筆工具逐筆列示（合計 </t>
    </r>
    <r>
      <rPr>
        <sz val="10"/>
        <rFont val="Arial"/>
        <family val="0"/>
        <charset val="1"/>
      </rPr>
      <t xml:space="preserve">35.551</t>
    </r>
    <r>
      <rPr>
        <sz val="10"/>
        <rFont val="Noto Sans CJK SC"/>
        <family val="2"/>
      </rPr>
      <t xml:space="preserve">、加權有效利率 </t>
    </r>
    <r>
      <rPr>
        <sz val="10"/>
        <rFont val="Arial"/>
        <family val="0"/>
        <charset val="1"/>
      </rPr>
      <t xml:space="preserve">8.4%</t>
    </r>
    <r>
      <rPr>
        <sz val="10"/>
        <rFont val="Noto Sans CJK SC"/>
        <family val="2"/>
      </rPr>
      <t xml:space="preserve">），存量利息改由到期表遞減本金推算。</t>
    </r>
  </si>
  <si>
    <r>
      <rPr>
        <sz val="10"/>
        <rFont val="Arial"/>
        <family val="0"/>
        <charset val="1"/>
      </rPr>
      <t xml:space="preserve">  3. JV </t>
    </r>
    <r>
      <rPr>
        <sz val="10"/>
        <rFont val="Noto Sans CJK SC"/>
        <family val="2"/>
      </rPr>
      <t xml:space="preserve">拆為「已承諾餘額 </t>
    </r>
    <r>
      <rPr>
        <sz val="10"/>
        <rFont val="Arial"/>
        <family val="0"/>
        <charset val="1"/>
      </rPr>
      <t xml:space="preserve">1.15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年內履行）」＋「後續增資（假設）」兩列。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</si>
  <si>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Accepted MW </t>
    </r>
    <r>
      <rPr>
        <sz val="10"/>
        <rFont val="Noto Sans CJK SC"/>
        <family val="2"/>
      </rPr>
      <t xml:space="preserve">推導：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本期新增</t>
    </r>
    <r>
      <rPr>
        <sz val="10"/>
        <rFont val="Arial"/>
        <family val="0"/>
        <charset val="1"/>
      </rPr>
      <t xml:space="preserve">×(1−λ)</t>
    </r>
    <r>
      <rPr>
        <sz val="10"/>
        <rFont val="Noto Sans CJK SC"/>
        <family val="2"/>
      </rPr>
      <t xml:space="preserve">＋次期新增</t>
    </r>
    <r>
      <rPr>
        <sz val="10"/>
        <rFont val="Arial"/>
        <family val="0"/>
        <charset val="1"/>
      </rPr>
      <t xml:space="preserve">×λ)×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成本；以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Noto Sans CJK SC"/>
        <family val="2"/>
      </rPr>
      <t xml:space="preserve">校準。</t>
    </r>
  </si>
  <si>
    <r>
      <rPr>
        <sz val="10"/>
        <rFont val="Arial"/>
        <family val="0"/>
        <charset val="1"/>
      </rPr>
      <t xml:space="preserve">  5. </t>
    </r>
    <r>
      <rPr>
        <sz val="10"/>
        <rFont val="Noto Sans CJK SC"/>
        <family val="2"/>
      </rPr>
      <t xml:space="preserve">刪除『受產能約束占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』（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模板遺留，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恆為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</si>
  <si>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■ v2.4</t>
    </r>
    <r>
      <rPr>
        <b val="true"/>
        <sz val="10"/>
        <rFont val="Noto Sans CJK SC"/>
        <family val="2"/>
      </rPr>
      <t xml:space="preserve">：股權吸收能力可調＋融資前缺口</t>
    </r>
  </si>
  <si>
    <r>
      <rPr>
        <sz val="10"/>
        <rFont val="Noto Sans CJK SC"/>
        <family val="2"/>
      </rPr>
      <t xml:space="preserve">  股權每年最多募到現市值的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（可調；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年實際約 </t>
    </r>
    <r>
      <rPr>
        <sz val="10"/>
        <rFont val="Arial"/>
        <family val="0"/>
        <charset val="1"/>
      </rPr>
      <t xml:space="preserve">13%</t>
    </r>
    <r>
      <rPr>
        <sz val="10"/>
        <rFont val="Noto Sans CJK SC"/>
        <family val="2"/>
      </rPr>
      <t xml:space="preserve">），超出部分以高息債 </t>
    </r>
    <r>
      <rPr>
        <sz val="10"/>
        <rFont val="Arial"/>
        <family val="0"/>
        <charset val="1"/>
      </rPr>
      <t xml:space="preserve">12% </t>
    </r>
    <r>
      <rPr>
        <sz val="10"/>
        <rFont val="Noto Sans CJK SC"/>
        <family val="2"/>
      </rPr>
      <t xml:space="preserve">補足（可調）。發行折價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（可調）。</t>
    </r>
  </si>
  <si>
    <t xml:space="preserve">  「支出與資金」頁新增『融資前累積現金』：若不做任何新融資，現金會落到多少——負值即外部資金需求。</t>
  </si>
  <si>
    <r>
      <rPr>
        <sz val="10"/>
        <rFont val="Noto Sans CJK SC"/>
        <family val="2"/>
      </rPr>
      <t xml:space="preserve">  「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率」＝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營收：資金端使用的租金前利潤率，由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率推導、不是獨立輸入。</t>
    </r>
  </si>
  <si>
    <r>
      <rPr>
        <b val="true"/>
        <sz val="10"/>
        <rFont val="Arial"/>
        <family val="0"/>
        <charset val="1"/>
      </rPr>
      <t xml:space="preserve">■ v2.3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率單一來源＋融資校準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</si>
  <si>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率只在「輸入」頁兩格設定：起始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實際）、穩態 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），中間線性爬升；損益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與資金現金都引用同一列。</t>
    </r>
  </si>
  <si>
    <r>
      <rPr>
        <sz val="10"/>
        <rFont val="Noto Sans CJK SC"/>
        <family val="2"/>
      </rPr>
      <t xml:space="preserve">  資金端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營收（租金在支出端另列，故加回）；非算力服務現金＝服務營收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同一貢獻率。</t>
    </r>
  </si>
  <si>
    <r>
      <rPr>
        <sz val="10"/>
        <rFont val="Noto Sans CJK SC"/>
        <family val="2"/>
      </rPr>
      <t xml:space="preserve">  債務上限預設 </t>
    </r>
    <r>
      <rPr>
        <sz val="10"/>
        <rFont val="Arial"/>
        <family val="0"/>
        <charset val="1"/>
      </rPr>
      <t xml:space="preserve">1.0x</t>
    </r>
    <r>
      <rPr>
        <sz val="10"/>
        <rFont val="Noto Sans CJK SC"/>
        <family val="2"/>
      </rPr>
      <t xml:space="preserve">（依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年實際融資組合：債務約 </t>
    </r>
    <r>
      <rPr>
        <sz val="10"/>
        <rFont val="Arial"/>
        <family val="0"/>
        <charset val="1"/>
      </rPr>
      <t xml:space="preserve">77%</t>
    </r>
    <r>
      <rPr>
        <sz val="10"/>
        <rFont val="Noto Sans CJK SC"/>
        <family val="2"/>
      </rPr>
      <t xml:space="preserve">、股權約 </t>
    </r>
    <r>
      <rPr>
        <sz val="10"/>
        <rFont val="Arial"/>
        <family val="0"/>
        <charset val="1"/>
      </rPr>
      <t xml:space="preserve">23%</t>
    </r>
    <r>
      <rPr>
        <sz val="10"/>
        <rFont val="Noto Sans CJK SC"/>
        <family val="2"/>
      </rPr>
      <t xml:space="preserve">）。敏感度：把穩態改成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、上限改成 </t>
    </r>
    <r>
      <rPr>
        <sz val="10"/>
        <rFont val="Arial"/>
        <family val="0"/>
        <charset val="1"/>
      </rPr>
      <t xml:space="preserve">0.4x </t>
    </r>
    <r>
      <rPr>
        <sz val="10"/>
        <rFont val="Noto Sans CJK SC"/>
        <family val="2"/>
      </rPr>
      <t xml:space="preserve">即可重算。</t>
    </r>
  </si>
  <si>
    <r>
      <rPr>
        <b val="true"/>
        <sz val="10"/>
        <rFont val="Arial"/>
        <family val="0"/>
        <charset val="1"/>
      </rPr>
      <t xml:space="preserve">■ v2.0</t>
    </r>
    <r>
      <rPr>
        <b val="true"/>
        <sz val="10"/>
        <rFont val="Noto Sans CJK SC"/>
        <family val="2"/>
      </rPr>
      <t xml:space="preserve">：期前融資瀑布（取代「透支利息＋扣缺口」）</t>
    </r>
  </si>
  <si>
    <r>
      <rPr>
        <sz val="10"/>
        <rFont val="Noto Sans CJK SC"/>
        <family val="2"/>
      </rPr>
      <t xml:space="preserve">  缺口在需要前一期先融好，使每期末現金不低於最低現金 </t>
    </r>
    <r>
      <rPr>
        <sz val="10"/>
        <rFont val="Arial"/>
        <family val="0"/>
        <charset val="1"/>
      </rPr>
      <t xml:space="preserve">2.0bn</t>
    </r>
    <r>
      <rPr>
        <sz val="10"/>
        <rFont val="Noto Sans CJK SC"/>
        <family val="2"/>
      </rPr>
      <t xml:space="preserve">。順序：未動用額度 </t>
    </r>
    <r>
      <rPr>
        <sz val="10"/>
        <rFont val="Arial"/>
        <family val="0"/>
        <charset val="1"/>
      </rPr>
      <t xml:space="preserve">10.0 → </t>
    </r>
    <r>
      <rPr>
        <sz val="10"/>
        <rFont val="Noto Sans CJK SC"/>
        <family val="2"/>
      </rPr>
      <t xml:space="preserve">資產層新債</t>
    </r>
  </si>
  <si>
    <r>
      <rPr>
        <sz val="10"/>
        <rFont val="Noto Sans CJK SC"/>
        <family val="2"/>
      </rPr>
      <t xml:space="preserve">  （總債務 ≤ </t>
    </r>
    <r>
      <rPr>
        <sz val="10"/>
        <rFont val="Arial"/>
        <family val="0"/>
        <charset val="1"/>
      </rPr>
      <t xml:space="preserve">1.0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，依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年實際融資組合校準；</t>
    </r>
    <r>
      <rPr>
        <sz val="10"/>
        <rFont val="Arial"/>
        <family val="0"/>
        <charset val="1"/>
      </rPr>
      <t xml:space="preserve">0.4x </t>
    </r>
    <r>
      <rPr>
        <sz val="10"/>
        <rFont val="Noto Sans CJK SC"/>
        <family val="2"/>
      </rPr>
      <t xml:space="preserve">為敏感度）→ 股權（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$85.43 </t>
    </r>
    <r>
      <rPr>
        <sz val="10"/>
        <rFont val="Noto Sans CJK SC"/>
        <family val="2"/>
      </rPr>
      <t xml:space="preserve">折價 </t>
    </r>
    <r>
      <rPr>
        <sz val="10"/>
        <rFont val="Arial"/>
        <family val="0"/>
        <charset val="1"/>
      </rPr>
      <t xml:space="preserve">10% </t>
    </r>
    <r>
      <rPr>
        <sz val="10"/>
        <rFont val="Noto Sans CJK SC"/>
        <family val="2"/>
      </rPr>
      <t xml:space="preserve">發行）。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</si>
  <si>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末淨負債與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末股數。</t>
    </r>
  </si>
  <si>
    <r>
      <rPr>
        <sz val="10"/>
        <rFont val="Noto Sans CJK SC"/>
        <family val="2"/>
      </rPr>
      <t xml:space="preserve">  舊版的透支利息（借款利息）與扣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缺口（借款本金）並非重複計費；</t>
    </r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的差別是新債設上限、超出部分改以股權支應。瀑布位於「支出與資金」頁下方。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</si>
  <si>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</si>
  <si>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</si>
  <si>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</si>
  <si>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</si>
  <si>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</si>
  <si>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</si>
  <si>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</si>
  <si>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</si>
  <si>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</si>
  <si>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</si>
  <si>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</si>
  <si>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</si>
  <si>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</si>
  <si>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</si>
  <si>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</si>
  <si>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sz val="10"/>
        <rFont val="Noto Sans CJK SC"/>
        <family val="2"/>
      </rPr>
      <t xml:space="preserve">結論｜每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經濟性句</t>
    </r>
  </si>
  <si>
    <r>
      <rPr>
        <sz val="9"/>
        <color rgb="FF595959"/>
        <rFont val="Noto Sans CJK SC"/>
        <family val="2"/>
      </rPr>
      <t xml:space="preserve">首個完整財年、目前情境；數字取自『每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經濟性』彙總表與每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收入對照（持有成本＝</t>
    </r>
    <r>
      <rPr>
        <sz val="9"/>
        <color rgb="FF595959"/>
        <rFont val="Arial"/>
        <family val="0"/>
        <charset val="1"/>
      </rPr>
      <t xml:space="preserve">Tokenomics IF_HoldEcon </t>
    </r>
    <r>
      <rPr>
        <sz val="9"/>
        <color rgb="FF595959"/>
        <rFont val="Noto Sans CJK SC"/>
        <family val="2"/>
      </rPr>
      <t xml:space="preserve">世代加權）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</si>
  <si>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</si>
  <si>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</si>
  <si>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</si>
  <si>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</si>
  <si>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</si>
  <si>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</si>
  <si>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</si>
  <si>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</si>
  <si>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</si>
  <si>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</si>
  <si>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</si>
  <si>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</si>
  <si>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</si>
  <si>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</si>
  <si>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</si>
  <si>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</si>
  <si>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</si>
  <si>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</si>
  <si>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</si>
  <si>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</si>
  <si>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</si>
  <si>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</si>
  <si>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</si>
  <si>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</si>
  <si>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</si>
  <si>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</si>
  <si>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</si>
  <si>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</si>
  <si>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</si>
  <si>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</si>
  <si>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</si>
  <si>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</si>
  <si>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</si>
  <si>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</si>
  <si>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</si>
  <si>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</si>
  <si>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</si>
  <si>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</si>
  <si>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</si>
  <si>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</si>
  <si>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</si>
  <si>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</si>
  <si>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</si>
  <si>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</si>
  <si>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</si>
  <si>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</si>
  <si>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</si>
  <si>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</si>
  <si>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</si>
  <si>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</si>
  <si>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</si>
  <si>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</si>
  <si>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</si>
  <si>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</si>
  <si>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</si>
  <si>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</si>
  <si>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</si>
  <si>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</si>
  <si>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</si>
  <si>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</si>
  <si>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</si>
  <si>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</si>
  <si>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</si>
  <si>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</si>
  <si>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</si>
  <si>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</si>
  <si>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</si>
  <si>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</si>
  <si>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</si>
  <si>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</si>
  <si>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</si>
  <si>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</si>
  <si>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</si>
  <si>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</si>
  <si>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</si>
  <si>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</si>
  <si>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</si>
  <si>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</si>
  <si>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</si>
  <si>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2026-09-25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</si>
  <si>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的營收預估完全相同（</t>
    </r>
    <r>
      <rPr>
        <sz val="9"/>
        <color rgb="FF595959"/>
        <rFont val="Arial"/>
        <family val="0"/>
        <charset val="1"/>
      </rPr>
      <t xml:space="preserve">12.882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26.376</t>
    </r>
    <r>
      <rPr>
        <sz val="9"/>
        <color rgb="FF595959"/>
        <rFont val="Noto Sans CJK SC"/>
        <family val="2"/>
      </rPr>
      <t xml:space="preserve">），兩者皆引用 </t>
    </r>
    <r>
      <rPr>
        <sz val="9"/>
        <color rgb="FF595959"/>
        <rFont val="Arial"/>
        <family val="0"/>
        <charset val="1"/>
      </rPr>
      <t xml:space="preserve">S&amp;P Global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Capital IQ</t>
    </r>
    <r>
      <rPr>
        <sz val="9"/>
        <color rgb="FF595959"/>
        <rFont val="Noto Sans CJK SC"/>
        <family val="2"/>
      </rPr>
      <t xml:space="preserve">，屬同一來源的兩個呈現，不是獨立交叉驗證。獨立來源僅有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引用，日期較舊）。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</si>
  <si>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2026-09-25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</si>
  <si>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</si>
  <si>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</si>
  <si>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</si>
  <si>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4.2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5.6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</t>
    </r>
    <r>
      <rPr>
        <b val="true"/>
        <sz val="10"/>
        <rFont val="Arial"/>
        <family val="0"/>
        <charset val="1"/>
      </rPr>
      <t xml:space="preserve">8 GW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</si>
  <si>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三情境只改變管理層的擴張力道；其餘假設相同。</t>
    </r>
    <r>
      <rPr>
        <sz val="9"/>
        <color rgb="FF595959"/>
        <rFont val="Arial"/>
        <family val="0"/>
        <charset val="1"/>
      </rPr>
      <t xml:space="preserve">FY26–FY27 </t>
    </r>
    <r>
      <rPr>
        <sz val="9"/>
        <color rgb="FF595959"/>
        <rFont val="Noto Sans CJK SC"/>
        <family val="2"/>
      </rPr>
      <t xml:space="preserve">三者相同（年底 </t>
    </r>
    <r>
      <rPr>
        <sz val="9"/>
        <color rgb="FF595959"/>
        <rFont val="Arial"/>
        <family val="0"/>
        <charset val="1"/>
      </rPr>
      <t xml:space="preserve">1,850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3,100 MW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起分歧</t>
    </r>
  </si>
  <si>
    <r>
      <rPr>
        <b val="true"/>
        <sz val="10"/>
        <color rgb="FF1F3864"/>
        <rFont val="Noto Sans CJK SC"/>
        <family val="2"/>
      </rPr>
      <t xml:space="preserve">▸ 情境路徑明細（</t>
    </r>
    <r>
      <rPr>
        <b val="true"/>
        <sz val="10"/>
        <color rgb="FF1F3864"/>
        <rFont val="Arial"/>
        <family val="0"/>
        <charset val="1"/>
      </rPr>
      <t xml:space="preserve">Accepted MW</t>
    </r>
    <r>
      <rPr>
        <b val="true"/>
        <sz val="10"/>
        <color rgb="FF1F3864"/>
        <rFont val="Noto Sans CJK SC"/>
        <family val="2"/>
      </rPr>
      <t xml:space="preserve">、爬坡比例、表外租金基準）</t>
    </r>
  </si>
  <si>
    <r>
      <rPr>
        <b val="true"/>
        <sz val="11"/>
        <color rgb="FFFFFFFF"/>
        <rFont val="Arial"/>
        <family val="0"/>
        <charset val="1"/>
      </rPr>
      <t xml:space="preserve">Accepted 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</si>
  <si>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</si>
  <si>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</si>
  <si>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</si>
  <si>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4.2 GW</t>
    </r>
  </si>
  <si>
    <t xml:space="preserve">MW</t>
  </si>
  <si>
    <r>
      <rPr>
        <sz val="9"/>
        <color rgb="FF595959"/>
        <rFont val="Noto Sans CJK SC"/>
        <family val="2"/>
      </rPr>
      <t xml:space="preserve">只交付已簽約電力 </t>
    </r>
    <r>
      <rPr>
        <sz val="9"/>
        <color rgb="FF595959"/>
        <rFont val="Arial"/>
        <family val="0"/>
        <charset val="1"/>
      </rPr>
      <t xml:space="preserve">4.2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Noto Sans CJK SC"/>
        <family val="2"/>
      </rPr>
      <t xml:space="preserve">法說），不再新簽</t>
    </r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</si>
  <si>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5.6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</si>
  <si>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年後每年約 </t>
    </r>
    <r>
      <rPr>
        <sz val="9"/>
        <color rgb="FF595959"/>
        <rFont val="Arial"/>
        <family val="0"/>
        <charset val="1"/>
      </rPr>
      <t xml:space="preserve">+800 MW</t>
    </r>
  </si>
  <si>
    <r>
      <rPr>
        <sz val="10"/>
        <rFont val="Noto Sans CJK SC"/>
        <family val="2"/>
      </rPr>
      <t xml:space="preserve">積極 </t>
    </r>
    <r>
      <rPr>
        <sz val="10"/>
        <rFont val="Arial"/>
        <family val="0"/>
        <charset val="1"/>
      </rPr>
      <t xml:space="preserve">8 GW</t>
    </r>
  </si>
  <si>
    <r>
      <rPr>
        <sz val="9"/>
        <color rgb="FF595959"/>
        <rFont val="Noto Sans CJK SC"/>
        <family val="2"/>
      </rPr>
      <t xml:space="preserve">公司目標 </t>
    </r>
    <r>
      <rPr>
        <sz val="9"/>
        <color rgb="FF595959"/>
        <rFont val="Arial"/>
        <family val="0"/>
        <charset val="1"/>
      </rPr>
      <t xml:space="preserve">2030 ≥8 GW</t>
    </r>
  </si>
  <si>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爬坡比例</t>
    </r>
  </si>
  <si>
    <t xml:space="preserve">三情境共用</t>
  </si>
  <si>
    <t xml:space="preserve">表外現金租金（積極路徑）</t>
  </si>
  <si>
    <r>
      <rPr>
        <sz val="9"/>
        <color rgb="FF595959"/>
        <rFont val="Noto Sans CJK SC"/>
        <family val="2"/>
      </rPr>
      <t xml:space="preserve">其他情境依「新增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（相對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）」等比例縮放</t>
    </r>
  </si>
  <si>
    <r>
      <rPr>
        <sz val="10"/>
        <rFont val="Noto Sans CJK SC"/>
        <family val="2"/>
      </rPr>
      <t xml:space="preserve">表外租金起算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</si>
  <si>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主動電力；表外租金依超過此值的新增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等比例縮放（</t>
    </r>
    <r>
      <rPr>
        <sz val="9"/>
        <color rgb="FF595959"/>
        <rFont val="Arial"/>
        <family val="0"/>
        <charset val="1"/>
      </rPr>
      <t xml:space="preserve">company.json → scenarios.leaseRampFloorMw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</si>
  <si>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RPO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、利用率、單價、簽約、信用）</t>
    </r>
  </si>
  <si>
    <t xml:space="preserve">6/30 RPO</t>
  </si>
  <si>
    <r>
      <rPr>
        <sz val="9"/>
        <color rgb="FF595959"/>
        <rFont val="Arial"/>
        <family val="0"/>
        <charset val="1"/>
      </rPr>
      <t xml:space="preserve">10-Q 103.7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backlog 104.2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其他）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</si>
  <si>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初新增承諾</t>
    </r>
  </si>
  <si>
    <r>
      <rPr>
        <sz val="9"/>
        <color rgb="FF595959"/>
        <rFont val="Noto Sans CJK SC"/>
        <family val="2"/>
      </rPr>
      <t xml:space="preserve">法說「</t>
    </r>
    <r>
      <rPr>
        <sz val="9"/>
        <color rgb="FF595959"/>
        <rFont val="Arial"/>
        <family val="0"/>
        <charset val="1"/>
      </rPr>
      <t xml:space="preserve">&gt;25</t>
    </r>
    <r>
      <rPr>
        <sz val="9"/>
        <color rgb="FF595959"/>
        <rFont val="Noto Sans CJK SC"/>
        <family val="2"/>
      </rPr>
      <t xml:space="preserve">」，尚未入 </t>
    </r>
    <r>
      <rPr>
        <sz val="9"/>
        <color rgb="FF595959"/>
        <rFont val="Arial"/>
        <family val="0"/>
        <charset val="1"/>
      </rPr>
      <t xml:space="preserve">RPO [Interested-party]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</si>
  <si>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</si>
  <si>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線性分攤後五期合計 </t>
    </r>
    <r>
      <rPr>
        <sz val="9"/>
        <color rgb="FF595959"/>
        <rFont val="Arial"/>
        <family val="0"/>
        <charset val="1"/>
      </rPr>
      <t xml:space="preserve">84%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</si>
  <si>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</si>
  <si>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</si>
  <si>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</si>
  <si>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Noto Sans CJK SC"/>
        <family val="2"/>
      </rPr>
      <t xml:space="preserve">法說：年底 </t>
    </r>
    <r>
      <rPr>
        <sz val="9"/>
        <color rgb="FF595959"/>
        <rFont val="Arial"/>
        <family val="0"/>
        <charset val="1"/>
      </rPr>
      <t xml:space="preserve">&gt;850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座資料中心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</si>
  <si>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6/30 Billable MW</t>
  </si>
  <si>
    <r>
      <rPr>
        <sz val="9"/>
        <color rgb="FF595959"/>
        <rFont val="Noto Sans CJK SC"/>
        <family val="2"/>
      </rPr>
      <t xml:space="preserve">主動電力 </t>
    </r>
    <r>
      <rPr>
        <sz val="9"/>
        <color rgb="FF595959"/>
        <rFont val="Arial"/>
        <family val="0"/>
        <charset val="1"/>
      </rPr>
      <t xml:space="preserve">1.5 GW </t>
    </r>
    <r>
      <rPr>
        <sz val="9"/>
        <color rgb="FF595959"/>
        <rFont val="Noto Sans CJK SC"/>
        <family val="2"/>
      </rPr>
      <t xml:space="preserve">扣爬坡中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</si>
  <si>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</si>
  <si>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交付後載（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+300MW</t>
    </r>
    <r>
      <rPr>
        <sz val="9"/>
        <color rgb="FF595959"/>
        <rFont val="Noto Sans CJK SC"/>
        <family val="2"/>
      </rPr>
      <t xml:space="preserve">），建議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</si>
  <si>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</si>
  <si>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</si>
  <si>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</si>
  <si>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</si>
  <si>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模型期為 </t>
    </r>
    <r>
      <rPr>
        <sz val="9"/>
        <color rgb="FF595959"/>
        <rFont val="Arial"/>
        <family val="0"/>
        <charset val="1"/>
      </rPr>
      <t xml:space="preserve">2026-07-01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年）。只用於容量上限、電力、維護三處年率換算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</si>
  <si>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</si>
  <si>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Arial"/>
        <family val="0"/>
        <charset val="1"/>
      </rPr>
      <t xml:space="preserve">10-Q 41%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39%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49-78m </t>
    </r>
    <r>
      <rPr>
        <sz val="9"/>
        <color rgb="FF595959"/>
        <rFont val="Noto Sans CJK SC"/>
        <family val="2"/>
      </rPr>
      <t xml:space="preserve">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</si>
  <si>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</si>
  <si>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</si>
  <si>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Billable MW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</si>
  <si>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× </t>
    </r>
    <r>
      <rPr>
        <sz val="9"/>
        <color rgb="FF595959"/>
        <rFont val="Noto Sans CJK SC"/>
        <family val="2"/>
      </rPr>
      <t xml:space="preserve">爬坡比例（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</si>
  <si>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</si>
  <si>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Noto Sans CJK SC"/>
        <family val="2"/>
      </rPr>
      <t xml:space="preserve">法說「近期產能實質售罄」，不擬合 </t>
    </r>
    <r>
      <rPr>
        <sz val="9"/>
        <color rgb="FF595959"/>
        <rFont val="Arial"/>
        <family val="0"/>
        <charset val="1"/>
      </rPr>
      <t xml:space="preserve">100% [Assumed]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</si>
  <si>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</si>
  <si>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</si>
  <si>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Arial"/>
        <family val="0"/>
        <charset val="1"/>
      </rPr>
      <t xml:space="preserve">W4 Tokenomics </t>
    </r>
    <r>
      <rPr>
        <sz val="9"/>
        <color rgb="FF595959"/>
        <rFont val="Noto Sans CJK SC"/>
        <family val="2"/>
      </rPr>
      <t xml:space="preserve">錨：＝『每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IF_HoldEcon × </t>
    </r>
    <r>
      <rPr>
        <sz val="9"/>
        <color rgb="FF595959"/>
        <rFont val="Noto Sans CJK SC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計費時數；利用率在收入端另乘）</t>
    </r>
  </si>
  <si>
    <t xml:space="preserve">新產能簽約率</t>
  </si>
  <si>
    <r>
      <rPr>
        <sz val="9"/>
        <color rgb="FF595959"/>
        <rFont val="Noto Sans CJK SC"/>
        <family val="2"/>
      </rPr>
      <t xml:space="preserve">未被期初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占用的產能能賣掉的比例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</si>
  <si>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</si>
  <si>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 </t>
    </r>
    <r>
      <rPr>
        <sz val="9"/>
        <color rgb="FF595959"/>
        <rFont val="Arial"/>
        <family val="0"/>
        <charset val="1"/>
      </rPr>
      <t xml:space="preserve">72%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</si>
  <si>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</si>
  <si>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</si>
  <si>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</si>
  <si>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軟體／儲存／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managed inference</t>
    </r>
    <r>
      <rPr>
        <sz val="9"/>
        <color rgb="FF595959"/>
        <rFont val="Noto Sans CJK SC"/>
        <family val="2"/>
      </rPr>
      <t xml:space="preserve">；損益營收與資金現金共用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</si>
  <si>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Noto Sans CJK SC"/>
        <family val="2"/>
      </rPr>
      <t xml:space="preserve">▸ 世代組合（</t>
    </r>
    <r>
      <rPr>
        <b val="true"/>
        <sz val="10"/>
        <color rgb="FF1F3864"/>
        <rFont val="Arial"/>
        <family val="0"/>
        <charset val="1"/>
      </rPr>
      <t xml:space="preserve">W2</t>
    </r>
    <r>
      <rPr>
        <b val="true"/>
        <sz val="10"/>
        <color rgb="FF1F3864"/>
        <rFont val="Noto Sans CJK SC"/>
        <family val="2"/>
      </rPr>
      <t xml:space="preserve">；公司專屬，世代與 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同名；每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資本支出、成本、收入依此加權）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</si>
  <si>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方法（資本支出／營運成本／收入）</t>
    </r>
  </si>
  <si>
    <r>
      <rPr>
        <sz val="10"/>
        <rFont val="Arial"/>
        <family val="0"/>
        <charset val="1"/>
      </rPr>
      <t xml:space="preserve">tokenomics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bottomUp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tkAnchor</t>
    </r>
  </si>
  <si>
    <r>
      <rPr>
        <sz val="9"/>
        <color rgb="FF595959"/>
        <rFont val="Arial"/>
        <family val="0"/>
        <charset val="1"/>
      </rPr>
      <t xml:space="preserve">company.json → methodology.perMw</t>
    </r>
    <r>
      <rPr>
        <sz val="9"/>
        <color rgb="FF595959"/>
        <rFont val="Noto Sans CJK SC"/>
        <family val="2"/>
      </rPr>
      <t xml:space="preserve">（建置時決定公式）：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legacy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bottomUp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ebitdaPct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gpuHr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legacy</t>
    </r>
    <r>
      <rPr>
        <sz val="9"/>
        <color rgb="FF595959"/>
        <rFont val="Noto Sans CJK SC"/>
        <family val="2"/>
      </rPr>
      <t xml:space="preserve">；全為舊方法時與 </t>
    </r>
    <r>
      <rPr>
        <sz val="9"/>
        <color rgb="FF595959"/>
        <rFont val="Arial"/>
        <family val="0"/>
        <charset val="1"/>
      </rPr>
      <t xml:space="preserve">v4.5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</si>
  <si>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關鍵電力、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＝設施）</t>
    </r>
  </si>
  <si>
    <r>
      <rPr>
        <sz val="9"/>
        <color rgb="FF595959"/>
        <rFont val="Arial"/>
        <family val="0"/>
        <charset val="1"/>
      </rPr>
      <t xml:space="preserve">company.json → meta.mwBasis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關鍵電力；設施口徑時 </t>
    </r>
    <r>
      <rPr>
        <sz val="9"/>
        <color rgb="FF595959"/>
        <rFont val="Arial"/>
        <family val="0"/>
        <charset val="1"/>
      </rPr>
      <t xml:space="preserve">IT MW</t>
    </r>
    <r>
      <rPr>
        <sz val="9"/>
        <color rgb="FF595959"/>
        <rFont val="Noto Sans CJK SC"/>
        <family val="2"/>
      </rPr>
      <t xml:space="preserve">＝設施 </t>
    </r>
    <r>
      <rPr>
        <sz val="9"/>
        <color rgb="FF595959"/>
        <rFont val="Arial"/>
        <family val="0"/>
        <charset val="1"/>
      </rPr>
      <t xml:space="preserve">MW ÷ IF_FacilityGW</t>
    </r>
    <r>
      <rPr>
        <sz val="9"/>
        <color rgb="FF595959"/>
        <rFont val="Noto Sans CJK SC"/>
        <family val="2"/>
      </rPr>
      <t xml:space="preserve">（各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換算係數）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6a </t>
    </r>
    <r>
      <rPr>
        <sz val="9"/>
        <color rgb="FF595959"/>
        <rFont val="Noto Sans CJK SC"/>
        <family val="2"/>
      </rPr>
      <t xml:space="preserve">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</si>
  <si>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成本情境（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＝低成本、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＝高成本）</t>
    </r>
  </si>
  <si>
    <r>
      <rPr>
        <sz val="9"/>
        <color rgb="FF595959"/>
        <rFont val="Noto Sans CJK SC"/>
        <family val="2"/>
      </rPr>
      <t xml:space="preserve">模型主值取基準；低／高只作敏感度（每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經濟性頁「敏感度」）</t>
    </r>
  </si>
  <si>
    <r>
      <rPr>
        <sz val="10"/>
        <rFont val="Noto Sans CJK SC"/>
        <family val="2"/>
      </rPr>
      <t xml:space="preserve">世代組合敏感度（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</si>
  <si>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版（</t>
    </r>
    <r>
      <rPr>
        <sz val="9"/>
        <color rgb="FF595959"/>
        <rFont val="Arial"/>
        <family val="0"/>
        <charset val="1"/>
      </rPr>
      <t xml:space="preserve">FY29–FY30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100% Rubin Ultra</t>
    </r>
    <r>
      <rPr>
        <sz val="9"/>
        <color rgb="FF595959"/>
        <rFont val="Noto Sans CJK SC"/>
        <family val="2"/>
      </rPr>
      <t xml:space="preserve">）；只作敏感度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</si>
  <si>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小時價格情境（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＝低、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</si>
  <si>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revenue=gpuHr </t>
    </r>
    <r>
      <rPr>
        <sz val="9"/>
        <color rgb="FF595959"/>
        <rFont val="Noto Sans CJK SC"/>
        <family val="2"/>
      </rPr>
      <t xml:space="preserve">時影響收入；價格讀 </t>
    </r>
    <r>
      <rPr>
        <sz val="9"/>
        <color rgb="FF595959"/>
        <rFont val="Arial"/>
        <family val="0"/>
        <charset val="1"/>
      </rPr>
      <t xml:space="preserve">company.json → pricing.gpuHr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</si>
  <si>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，世代組合起點）</t>
    </r>
  </si>
  <si>
    <r>
      <rPr>
        <sz val="9"/>
        <color rgb="FF595959"/>
        <rFont val="Arial"/>
        <family val="0"/>
        <charset val="1"/>
      </rPr>
      <t xml:space="preserve">company.json → fleet.openMix.activeMW</t>
    </r>
    <r>
      <rPr>
        <sz val="9"/>
        <color rgb="FF595959"/>
        <rFont val="Noto Sans CJK SC"/>
        <family val="2"/>
      </rPr>
      <t xml:space="preserve">（最新已申報季末主動電力）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</si>
  <si>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</si>
  <si>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步（</t>
    </r>
    <r>
      <rPr>
        <sz val="9"/>
        <color rgb="FF595959"/>
        <rFont val="Arial"/>
        <family val="0"/>
        <charset val="1"/>
      </rPr>
      <t xml:space="preserve">coreweave/data/permw_inputs_20261007.json → fleetMix.openMix</t>
    </r>
    <r>
      <rPr>
        <sz val="9"/>
        <color rgb="FF595959"/>
        <rFont val="Noto Sans CJK SC"/>
        <family val="2"/>
      </rPr>
      <t xml:space="preserve">）：依年份分層——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年底前 </t>
    </r>
    <r>
      <rPr>
        <sz val="9"/>
        <color rgb="FF595959"/>
        <rFont val="Arial"/>
        <family val="0"/>
        <charset val="1"/>
      </rPr>
      <t xml:space="preserve">360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年新增 </t>
    </r>
    <r>
      <rPr>
        <sz val="9"/>
        <color rgb="FF595959"/>
        <rFont val="Arial"/>
        <family val="0"/>
        <charset val="1"/>
      </rPr>
      <t xml:space="preserve">490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GB200 70%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10%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上半年新增 </t>
    </r>
    <r>
      <rPr>
        <sz val="9"/>
        <color rgb="FF595959"/>
        <rFont val="Arial"/>
        <family val="0"/>
        <charset val="1"/>
      </rPr>
      <t xml:space="preserve">650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GB300 85%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15%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、各層占比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回報 </t>
    </r>
    <r>
      <rPr>
        <sz val="9"/>
        <color rgb="FF595959"/>
        <rFont val="Arial"/>
        <family val="0"/>
        <charset val="1"/>
      </rPr>
      <t xml:space="preserve">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43% </t>
    </r>
    <r>
      <rPr>
        <sz val="9"/>
        <color rgb="FF595959"/>
        <rFont val="Noto Sans CJK SC"/>
        <family val="2"/>
      </rPr>
      <t xml:space="preserve">為四捨五入（區間 </t>
    </r>
    <r>
      <rPr>
        <sz val="9"/>
        <color rgb="FF595959"/>
        <rFont val="Arial"/>
        <family val="0"/>
        <charset val="1"/>
      </rPr>
      <t xml:space="preserve">Hopper 24–31%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20–42%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30–53%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</si>
  <si>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GB200 NVL72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</si>
  <si>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；同上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</si>
  <si>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</si>
  <si>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</si>
  <si>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</si>
  <si>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</si>
  <si>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：期初機齡層（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維護依機齡兩段）。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年份分層（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年底前 </t>
    </r>
    <r>
      <rPr>
        <sz val="9"/>
        <color rgb="FF595959"/>
        <rFont val="Arial"/>
        <family val="0"/>
        <charset val="1"/>
      </rPr>
      <t xml:space="preserve">360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defaults.mwYearEnd </t>
    </r>
    <r>
      <rPr>
        <sz val="9"/>
        <color rgb="FF595959"/>
        <rFont val="Noto Sans CJK SC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290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W6 r1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70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原文）；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年新增 </t>
    </r>
    <r>
      <rPr>
        <sz val="9"/>
        <color rgb="FF595959"/>
        <rFont val="Arial"/>
        <family val="0"/>
        <charset val="1"/>
      </rPr>
      <t xml:space="preserve">490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上半年新增 </t>
    </r>
    <r>
      <rPr>
        <sz val="9"/>
        <color rgb="FF595959"/>
        <rFont val="Arial"/>
        <family val="0"/>
        <charset val="1"/>
      </rPr>
      <t xml:space="preserve">650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 </t>
    </r>
    <r>
      <rPr>
        <sz val="9"/>
        <color rgb="FF595959"/>
        <rFont val="Noto Sans CJK SC"/>
        <family val="2"/>
      </rPr>
      <t xml:space="preserve">錨點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；各層世代占比同 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；投入使用月＝新增期間中點（全年層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月底、上半年層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月底）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。保固期內＝投入使用後 </t>
    </r>
    <r>
      <rPr>
        <sz val="9"/>
        <color rgb="FF595959"/>
        <rFont val="Arial"/>
        <family val="0"/>
        <charset val="1"/>
      </rPr>
      <t xml:space="preserve">IF_WarrantyYrs </t>
    </r>
    <r>
      <rPr>
        <sz val="9"/>
        <color rgb="FF595959"/>
        <rFont val="Noto Sans CJK SC"/>
        <family val="2"/>
      </rPr>
      <t xml:space="preserve">年內；各期新增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的投入使用＝該期中點。各層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合計須＝</t>
    </r>
    <r>
      <rPr>
        <sz val="9"/>
        <color rgb="FF595959"/>
        <rFont val="Arial"/>
        <family val="0"/>
        <charset val="1"/>
      </rPr>
      <t xml:space="preserve">activeMW</t>
    </r>
    <r>
      <rPr>
        <sz val="9"/>
        <color rgb="FF595959"/>
        <rFont val="Noto Sans CJK SC"/>
        <family val="2"/>
      </rPr>
      <t xml:space="preserve">、各世代合計須＝</t>
    </r>
    <r>
      <rPr>
        <sz val="9"/>
        <color rgb="FF595959"/>
        <rFont val="Arial"/>
        <family val="0"/>
        <charset val="1"/>
      </rPr>
      <t xml:space="preserve">activeMW × mix</t>
    </r>
    <r>
      <rPr>
        <sz val="9"/>
        <color rgb="FF595959"/>
        <rFont val="Noto Sans CJK SC"/>
        <family val="2"/>
      </rPr>
      <t xml:space="preserve">（建置時檢查）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</si>
  <si>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</t>
    </r>
  </si>
  <si>
    <t xml:space="preserve">年</t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</si>
  <si>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2023-06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</si>
  <si>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</si>
  <si>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步年份分層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</si>
  <si>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GB200 NVL72</t>
    </r>
  </si>
  <si>
    <t xml:space="preserve">同上</t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</si>
  <si>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</si>
  <si>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</si>
  <si>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</si>
  <si>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</si>
  <si>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</t>
    </r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</si>
  <si>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2024-06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</si>
  <si>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</si>
  <si>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</si>
  <si>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</si>
  <si>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</si>
  <si>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</si>
  <si>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</si>
  <si>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</t>
    </r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</si>
  <si>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2025-06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</si>
  <si>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</si>
  <si>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</si>
  <si>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</si>
  <si>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</si>
  <si>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</si>
  <si>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</si>
  <si>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</t>
    </r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</si>
  <si>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</si>
  <si>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</si>
  <si>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</si>
  <si>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</si>
  <si>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</si>
  <si>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</si>
  <si>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的世代占比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</si>
  <si>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</si>
  <si>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2H26 GB300 80%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20%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GB300 50%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FY28–FY30 VR200 100%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主力、</t>
    </r>
    <r>
      <rPr>
        <sz val="9"/>
        <color rgb="FF595959"/>
        <rFont val="Arial"/>
        <family val="0"/>
        <charset val="1"/>
      </rPr>
      <t xml:space="preserve">Vera Rubin Q2 2026 </t>
    </r>
    <r>
      <rPr>
        <sz val="9"/>
        <color rgb="FF595959"/>
        <rFont val="Noto Sans CJK SC"/>
        <family val="2"/>
      </rPr>
      <t xml:space="preserve">才完成首套驗證、</t>
    </r>
    <r>
      <rPr>
        <sz val="9"/>
        <color rgb="FF595959"/>
        <rFont val="Arial"/>
        <family val="0"/>
        <charset val="1"/>
      </rPr>
      <t xml:space="preserve">Meta 2026-04-09 </t>
    </r>
    <r>
      <rPr>
        <sz val="9"/>
        <color rgb="FF595959"/>
        <rFont val="Noto Sans CJK SC"/>
        <family val="2"/>
      </rPr>
      <t xml:space="preserve">擴約含首批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，方向一致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</si>
  <si>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</si>
  <si>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</si>
  <si>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</si>
  <si>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</si>
  <si>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</si>
  <si>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（只作敏感度）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</si>
  <si>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</si>
  <si>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</si>
  <si>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</si>
  <si>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</si>
  <si>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</si>
  <si>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＝依「世代組合敏感度」選擇基準或 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</si>
  <si>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</si>
  <si>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</si>
  <si>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</si>
  <si>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</si>
  <si>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新增占比合計（須為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</si>
  <si>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檢查頁核對</t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</si>
  <si>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資本與口徑（</t>
    </r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設備、合計、設施／</t>
    </r>
    <r>
      <rPr>
        <b val="true"/>
        <sz val="11"/>
        <color rgb="FFFFFFFF"/>
        <rFont val="Arial"/>
        <family val="0"/>
        <charset val="1"/>
      </rPr>
      <t xml:space="preserve">IT</t>
    </r>
    <r>
      <rPr>
        <b val="true"/>
        <sz val="11"/>
        <color rgb="FFFFFFFF"/>
        <rFont val="Noto Sans CJK SC"/>
        <family val="2"/>
      </rPr>
      <t xml:space="preserve">、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換算、折舊年限）</t>
    </r>
  </si>
  <si>
    <t xml:space="preserve">世代</t>
  </si>
  <si>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設備</t>
    </r>
  </si>
  <si>
    <t xml:space="preserve">合計</t>
  </si>
  <si>
    <r>
      <rPr>
        <b val="true"/>
        <sz val="11"/>
        <color rgb="FFFFFFFF"/>
        <rFont val="Noto Sans CJK SC"/>
        <family val="2"/>
      </rPr>
      <t xml:space="preserve">設施／</t>
    </r>
    <r>
      <rPr>
        <b val="true"/>
        <sz val="11"/>
        <color rgb="FFFFFFFF"/>
        <rFont val="Arial"/>
        <family val="0"/>
        <charset val="1"/>
      </rPr>
      <t xml:space="preserve">IT</t>
    </r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</si>
  <si>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換算</t>
    </r>
  </si>
  <si>
    <t xml:space="preserve">折舊年限</t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</si>
  <si>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IF_CapexTotal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百萬美元，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換算）；設施／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IF_FacilityGW</t>
    </r>
    <r>
      <rPr>
        <sz val="9"/>
        <color rgb="FF595959"/>
        <rFont val="Noto Sans CJK SC"/>
        <family val="2"/>
      </rPr>
      <t xml:space="preserve">（基準）；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換算＝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、設施口徑 </t>
    </r>
    <r>
      <rPr>
        <sz val="9"/>
        <color rgb="FF595959"/>
        <rFont val="Arial"/>
        <family val="0"/>
        <charset val="1"/>
      </rPr>
      <t xml:space="preserve">1÷</t>
    </r>
    <r>
      <rPr>
        <sz val="9"/>
        <color rgb="FF595959"/>
        <rFont val="Noto Sans CJK SC"/>
        <family val="2"/>
      </rPr>
      <t xml:space="preserve">設施／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；折舊年限＝</t>
    </r>
    <r>
      <rPr>
        <sz val="9"/>
        <color rgb="FF595959"/>
        <rFont val="Arial"/>
        <family val="0"/>
        <charset val="1"/>
      </rPr>
      <t xml:space="preserve">IF_DeprLifeIT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前空白，暫代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</si>
  <si>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Hopper H100</t>
    </r>
  </si>
  <si>
    <t xml:space="preserve">H100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</si>
  <si>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GB200 NVL72</t>
    </r>
  </si>
  <si>
    <t xml:space="preserve">GB200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</si>
  <si>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GB300 NVL72</t>
    </r>
  </si>
  <si>
    <t xml:space="preserve">GB300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</si>
  <si>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VR200 NVL72</t>
    </r>
  </si>
  <si>
    <t xml:space="preserve">VR200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</si>
  <si>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</si>
  <si>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RU</t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</si>
  <si>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營運成本（電費、</t>
    </r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維護、人員軟體、稅險）</t>
    </r>
  </si>
  <si>
    <t xml:space="preserve">電費</t>
  </si>
  <si>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維護</t>
    </r>
  </si>
  <si>
    <t xml:space="preserve">人員軟體</t>
  </si>
  <si>
    <r>
      <rPr>
        <b val="true"/>
        <sz val="11"/>
        <color rgb="FFFFFFFF"/>
        <rFont val="Noto Sans CJK SC"/>
        <family val="2"/>
      </rPr>
      <t xml:space="preserve">稅險</t>
    </r>
    <r>
      <rPr>
        <b val="true"/>
        <sz val="11"/>
        <color rgb="FFFFFFFF"/>
        <rFont val="Arial"/>
        <family val="0"/>
        <charset val="1"/>
      </rPr>
      <t xml:space="preserve">×IT</t>
    </r>
    <r>
      <rPr>
        <b val="true"/>
        <sz val="11"/>
        <color rgb="FFFFFFFF"/>
        <rFont val="Noto Sans CJK SC"/>
        <family val="2"/>
      </rPr>
      <t xml:space="preserve">占比</t>
    </r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</si>
  <si>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／年。電費＝</t>
    </r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（已含平均用電比與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IF_MaintIT</t>
    </r>
    <r>
      <rPr>
        <sz val="9"/>
        <color rgb="FF595959"/>
        <rFont val="Noto Sans CJK SC"/>
        <family val="2"/>
      </rPr>
      <t xml:space="preserve">、人員軟體 </t>
    </r>
    <r>
      <rPr>
        <sz val="9"/>
        <color rgb="FF595959"/>
        <rFont val="Arial"/>
        <family val="0"/>
        <charset val="1"/>
      </rPr>
      <t xml:space="preserve">IF_StaffSW</t>
    </r>
    <r>
      <rPr>
        <sz val="9"/>
        <color rgb="FF595959"/>
        <rFont val="Noto Sans CJK SC"/>
        <family val="2"/>
      </rPr>
      <t xml:space="preserve">、稅險 </t>
    </r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資本占總資本比（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前空白：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維護暫代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區『維護成本』、人員軟體與稅險暫代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</si>
  <si>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</si>
  <si>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</si>
  <si>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</si>
  <si>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</si>
  <si>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</si>
  <si>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TK IT </t>
    </r>
    <r>
      <rPr>
        <b val="true"/>
        <sz val="11"/>
        <color rgb="FFFFFFFF"/>
        <rFont val="Noto Sans CJK SC"/>
        <family val="2"/>
      </rPr>
      <t xml:space="preserve">維護機齡兩段（保固期內、保固期滿）</t>
    </r>
  </si>
  <si>
    <t xml:space="preserve">保固期內</t>
  </si>
  <si>
    <t xml:space="preserve">保固期滿</t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</si>
  <si>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／年。</t>
    </r>
    <r>
      <rPr>
        <sz val="9"/>
        <color rgb="FF595959"/>
        <rFont val="Arial"/>
        <family val="0"/>
        <charset val="1"/>
      </rPr>
      <t xml:space="preserve">IF_MaintITWarr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資本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保固期內費率、</t>
    </r>
    <r>
      <rPr>
        <sz val="9"/>
        <color rgb="FF595959"/>
        <rFont val="Arial"/>
        <family val="0"/>
        <charset val="1"/>
      </rPr>
      <t xml:space="preserve">IF_MaintITPost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資本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期滿後費率（</t>
    </r>
    <r>
      <rPr>
        <sz val="9"/>
        <color rgb="FF595959"/>
        <rFont val="Arial"/>
        <family val="0"/>
        <charset val="1"/>
      </rPr>
      <t xml:space="preserve">Tokenomics v5.31</t>
    </r>
    <r>
      <rPr>
        <sz val="9"/>
        <color rgb="FF595959"/>
        <rFont val="Noto Sans CJK SC"/>
        <family val="2"/>
      </rPr>
      <t xml:space="preserve">；不得與 </t>
    </r>
    <r>
      <rPr>
        <sz val="9"/>
        <color rgb="FF595959"/>
        <rFont val="Arial"/>
        <family val="0"/>
        <charset val="1"/>
      </rPr>
      <t xml:space="preserve">IF_MaintIT </t>
    </r>
    <r>
      <rPr>
        <sz val="9"/>
        <color rgb="FF595959"/>
        <rFont val="Noto Sans CJK SC"/>
        <family val="2"/>
      </rPr>
      <t xml:space="preserve">等值費率重複計入）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</si>
  <si>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</si>
  <si>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</si>
  <si>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</si>
  <si>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</si>
  <si>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</si>
  <si>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原廠保固年限（</t>
    </r>
    <r>
      <rPr>
        <sz val="10"/>
        <rFont val="Arial"/>
        <family val="0"/>
        <charset val="1"/>
      </rPr>
      <t xml:space="preserve">IF_WarrantyYrs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</si>
  <si>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IF_WarrantyYrs</t>
    </r>
    <r>
      <rPr>
        <sz val="9"/>
        <color rgb="FF595959"/>
        <rFont val="Noto Sans CJK SC"/>
        <family val="2"/>
      </rPr>
      <t xml:space="preserve">（單值；保固期內費率適用的年數）</t>
    </r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</si>
  <si>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收入參考（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數、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小時持有成本、經濟持有成本、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小時合約價）</t>
    </r>
  </si>
  <si>
    <r>
      <rPr>
        <b val="true"/>
        <sz val="11"/>
        <color rgb="FFFFFFFF"/>
        <rFont val="Arial"/>
        <family val="0"/>
        <charset val="1"/>
      </rPr>
      <t xml:space="preserve">GPU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</si>
  <si>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時成本</t>
    </r>
  </si>
  <si>
    <t xml:space="preserve">持有成本</t>
  </si>
  <si>
    <t xml:space="preserve">合約價</t>
  </si>
  <si>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IF_GPUsPerGW ÷ 1000 × MW </t>
    </r>
    <r>
      <rPr>
        <sz val="9"/>
        <color rgb="FF595959"/>
        <rFont val="Noto Sans CJK SC"/>
        <family val="2"/>
      </rPr>
      <t xml:space="preserve">換算（顆）；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時成本＝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US$/GPU-hr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時數、不含利潤）；持有成本＝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／年，含廠房資本回收）；合約價＝</t>
    </r>
    <r>
      <rPr>
        <sz val="9"/>
        <color rgb="FF595959"/>
        <rFont val="Arial"/>
        <family val="0"/>
        <charset val="1"/>
      </rPr>
      <t xml:space="preserve">company.json → pricing.gpuHr</t>
    </r>
    <r>
      <rPr>
        <sz val="9"/>
        <color rgb="FF595959"/>
        <rFont val="Noto Sans CJK SC"/>
        <family val="2"/>
      </rPr>
      <t xml:space="preserve">（空白＝不適用）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</si>
  <si>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</si>
  <si>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</si>
  <si>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</si>
  <si>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</si>
  <si>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</si>
  <si>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定價倍數 </t>
    </r>
    <r>
      <rPr>
        <b val="true"/>
        <sz val="11"/>
        <color rgb="FFFFFFFF"/>
        <rFont val="Arial"/>
        <family val="0"/>
        <charset val="1"/>
      </rPr>
      <t xml:space="preserve">k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W4</t>
    </r>
    <r>
      <rPr>
        <b val="true"/>
        <sz val="11"/>
        <color rgb="FFFFFFFF"/>
        <rFont val="Noto Sans CJK SC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錨的公司因素）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</si>
  <si>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長約（市場長約價 </t>
    </r>
    <r>
      <rPr>
        <sz val="10"/>
        <rFont val="Arial"/>
        <family val="0"/>
        <charset val="1"/>
      </rPr>
      <t xml:space="preserve">÷ Tokenomics </t>
    </r>
    <r>
      <rPr>
        <sz val="10"/>
        <rFont val="Noto Sans CJK SC"/>
        <family val="2"/>
      </rPr>
      <t xml:space="preserve">同世代持有成本）</t>
    </r>
  </si>
  <si>
    <t xml:space="preserve">倍</t>
  </si>
  <si>
    <r>
      <rPr>
        <sz val="9"/>
        <color rgb="FF595959"/>
        <rFont val="Arial"/>
        <family val="0"/>
        <charset val="1"/>
      </rPr>
      <t xml:space="preserve">company.json → pricing.anchorMultiple.long</t>
    </r>
    <r>
      <rPr>
        <sz val="9"/>
        <color rgb="FF595959"/>
        <rFont val="Noto Sans CJK SC"/>
        <family val="2"/>
      </rPr>
      <t xml:space="preserve">（基準成本情境的值；其他成本情境以基準證據世代的成本比例重算）；區間 </t>
    </r>
    <r>
      <rPr>
        <sz val="9"/>
        <color rgb="FF595959"/>
        <rFont val="Arial"/>
        <family val="0"/>
        <charset val="1"/>
      </rPr>
      <t xml:space="preserve">0.818204–1.16886</t>
    </r>
    <r>
      <rPr>
        <sz val="9"/>
        <color rgb="FF595959"/>
        <rFont val="Noto Sans CJK SC"/>
        <family val="2"/>
      </rPr>
      <t xml:space="preserve">、三筆長約中位數 </t>
    </r>
    <r>
      <rPr>
        <sz val="9"/>
        <color rgb="FF595959"/>
        <rFont val="Arial"/>
        <family val="0"/>
        <charset val="1"/>
      </rPr>
      <t xml:space="preserve">1.04102 [Analogy]</t>
    </r>
    <r>
      <rPr>
        <sz val="9"/>
        <color rgb="FF595959"/>
        <rFont val="Noto Sans CJK SC"/>
        <family val="2"/>
      </rPr>
      <t xml:space="preserve">；證據見『每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證據表（不以公司營收、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金額反推）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</si>
  <si>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現貨（市場現貨價 </t>
    </r>
    <r>
      <rPr>
        <sz val="10"/>
        <rFont val="Arial"/>
        <family val="0"/>
        <charset val="1"/>
      </rPr>
      <t xml:space="preserve">÷ Tokenomics </t>
    </r>
    <r>
      <rPr>
        <sz val="10"/>
        <rFont val="Noto Sans CJK SC"/>
        <family val="2"/>
      </rPr>
      <t xml:space="preserve">同世代持有成本）</t>
    </r>
  </si>
  <si>
    <r>
      <rPr>
        <sz val="9"/>
        <color rgb="FF595959"/>
        <rFont val="Arial"/>
        <family val="0"/>
        <charset val="1"/>
      </rPr>
      <t xml:space="preserve">company.json → pricing.anchorMultiple.spot</t>
    </r>
    <r>
      <rPr>
        <sz val="9"/>
        <color rgb="FF595959"/>
        <rFont val="Noto Sans CJK SC"/>
        <family val="2"/>
      </rPr>
      <t xml:space="preserve">（基準成本情境的值）；區間 </t>
    </r>
    <r>
      <rPr>
        <sz val="9"/>
        <color rgb="FF595959"/>
        <rFont val="Arial"/>
        <family val="0"/>
        <charset val="1"/>
      </rPr>
      <t xml:space="preserve">1.56068–2.67264 [Analogy]</t>
    </r>
  </si>
  <si>
    <t xml:space="preserve">隨需占比（占在役計費產能）</t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</si>
  <si>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＝隨需占比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現貨＋（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隨需占比）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先簽多年期合約再建產能，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未覆蓋的新增產能也按長約價（</t>
    </r>
    <r>
      <rPr>
        <sz val="9"/>
        <color rgb="FF595959"/>
        <rFont val="Arial"/>
        <family val="0"/>
        <charset val="1"/>
      </rPr>
      <t xml:space="preserve">W4 r2</t>
    </r>
    <r>
      <rPr>
        <sz val="9"/>
        <color rgb="FF595959"/>
        <rFont val="Noto Sans CJK SC"/>
        <family val="2"/>
      </rPr>
      <t xml:space="preserve">）。公司未揭露隨需比例，敏感度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 [Assumed]</t>
    </r>
    <r>
      <rPr>
        <sz val="9"/>
        <color rgb="FF595959"/>
        <rFont val="Noto Sans CJK SC"/>
        <family val="2"/>
      </rPr>
      <t xml:space="preserve">；不得以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反推</t>
    </r>
  </si>
  <si>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開關（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＝套用、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＝不套用）</t>
    </r>
  </si>
  <si>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：最新季末在役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既有（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實現單價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錨，合約期內固定；該批汰換後回到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新約）；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＝全部按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新約（</t>
    </r>
    <r>
      <rPr>
        <sz val="9"/>
        <color rgb="FF595959"/>
        <rFont val="Arial"/>
        <family val="0"/>
        <charset val="1"/>
      </rPr>
      <t xml:space="preserve">W4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</si>
  <si>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新約價格調整（相對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長約；只作用於長約部分）</t>
    </r>
  </si>
  <si>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（市場長約證據）；敏感度 </t>
    </r>
    <r>
      <rPr>
        <sz val="9"/>
        <color rgb="FF595959"/>
        <rFont val="Arial"/>
        <family val="0"/>
        <charset val="1"/>
      </rPr>
      <t xml:space="preserve">+25%</t>
    </r>
    <r>
      <rPr>
        <sz val="9"/>
        <color rgb="FF595959"/>
        <rFont val="Noto Sans CJK SC"/>
        <family val="2"/>
      </rPr>
      <t xml:space="preserve">（公司說法「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月各 </t>
    </r>
    <r>
      <rPr>
        <sz val="9"/>
        <color rgb="FF595959"/>
        <rFont val="Arial"/>
        <family val="0"/>
        <charset val="1"/>
      </rPr>
      <t xml:space="preserve">SKU </t>
    </r>
    <r>
      <rPr>
        <sz val="9"/>
        <color rgb="FF595959"/>
        <rFont val="Noto Sans CJK SC"/>
        <family val="2"/>
      </rPr>
      <t xml:space="preserve">漲價約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」，轉述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</si>
  <si>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收入上限（客戶每 </t>
    </r>
    <r>
      <rPr>
        <b val="true"/>
        <sz val="11"/>
        <color rgb="FFFFFFFF"/>
        <rFont val="Arial"/>
        <family val="0"/>
        <charset val="1"/>
      </rPr>
      <t xml:space="preserve">GW </t>
    </r>
    <r>
      <rPr>
        <b val="true"/>
        <sz val="11"/>
        <color rgb="FFFFFFFF"/>
        <rFont val="Noto Sans CJK SC"/>
        <family val="2"/>
      </rPr>
      <t xml:space="preserve">付費 </t>
    </r>
    <r>
      <rPr>
        <b val="true"/>
        <sz val="11"/>
        <color rgb="FFFFFFFF"/>
        <rFont val="Arial"/>
        <family val="0"/>
        <charset val="1"/>
      </rPr>
      <t xml:space="preserve">token </t>
    </r>
    <r>
      <rPr>
        <b val="true"/>
        <sz val="11"/>
        <color rgb="FFFFFFFF"/>
        <rFont val="Noto Sans CJK SC"/>
        <family val="2"/>
      </rPr>
      <t xml:space="preserve">營收）</t>
    </r>
  </si>
  <si>
    <r>
      <rPr>
        <b val="true"/>
        <sz val="11"/>
        <color rgb="FFFFFFFF"/>
        <rFont val="Arial"/>
        <family val="0"/>
        <charset val="1"/>
      </rPr>
      <t xml:space="preserve">token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</si>
  <si>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／年＝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有效單價、層級組合的理想上限；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換算）。收入上限檢查：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計費收入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本欄（快照沒有此名稱時空白＝不適用）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</si>
  <si>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</si>
  <si>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</si>
  <si>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</si>
  <si>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</si>
  <si>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</si>
  <si>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</si>
  <si>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</si>
  <si>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由下而上模式下不使用（保留為舊方法對照）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</si>
  <si>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</si>
  <si>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由下而上：預設＝由下而上 </t>
    </r>
    <r>
      <rPr>
        <sz val="9"/>
        <color rgb="FF595959"/>
        <rFont val="Arial"/>
        <family val="0"/>
        <charset val="1"/>
      </rPr>
      <t xml:space="preserve">FY30 EBITDA </t>
    </r>
    <r>
      <rPr>
        <sz val="9"/>
        <color rgb="FF595959"/>
        <rFont val="Noto Sans CJK SC"/>
        <family val="2"/>
      </rPr>
      <t xml:space="preserve">率（公式）；改成數值即為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目標，差額線性分攤到各期（反向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、敏感度用）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</si>
  <si>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</si>
  <si>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經濟性』由下而上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率＋（穩態 − 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期數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（公式）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</si>
  <si>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</si>
  <si>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</si>
  <si>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</si>
  <si>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</si>
  <si>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</si>
  <si>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</si>
  <si>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</si>
  <si>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</si>
  <si>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</si>
  <si>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</si>
  <si>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</si>
  <si>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color rgb="FF1F3864"/>
        <rFont val="Noto Sans CJK SC"/>
        <family val="2"/>
      </rPr>
      <t xml:space="preserve">▸ 由下而上營運成本輸入（</t>
    </r>
    <r>
      <rPr>
        <b val="true"/>
        <sz val="10"/>
        <color rgb="FF1F3864"/>
        <rFont val="Arial"/>
        <family val="0"/>
        <charset val="1"/>
      </rPr>
      <t xml:space="preserve">W2</t>
    </r>
    <r>
      <rPr>
        <b val="true"/>
        <sz val="10"/>
        <color rgb="FF1F3864"/>
        <rFont val="Noto Sans CJK SC"/>
        <family val="2"/>
      </rPr>
      <t xml:space="preserve">；最近一季 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，公司專屬）</t>
    </r>
  </si>
  <si>
    <t xml:space="preserve">最近一季營收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</si>
  <si>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損益表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</si>
  <si>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最近一季營收成本</t>
  </si>
  <si>
    <t xml:space="preserve">最近一季技術與基礎設施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</si>
  <si>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損益表；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主要在此列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</si>
  <si>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最近一季銷售行銷</t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</si>
  <si>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（銷售行銷）</t>
    </r>
  </si>
  <si>
    <r>
      <rPr>
        <sz val="9"/>
        <color rgb="FF595959"/>
        <rFont val="Arial"/>
        <family val="0"/>
        <charset val="1"/>
      </rPr>
      <t xml:space="preserve">10-Q SBC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</si>
  <si>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最近一季一般管理</t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</si>
  <si>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（一般管理）</t>
    </r>
  </si>
  <si>
    <r>
      <rPr>
        <sz val="10"/>
        <rFont val="Noto Sans CJK SC"/>
        <family val="2"/>
      </rPr>
      <t xml:space="preserve">最近一季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</si>
  <si>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現金流量表（未依列別揭露，視為全在營收成本與技術基礎設施）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</si>
  <si>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（營收成本＋技術與基礎設施）</t>
    </r>
  </si>
  <si>
    <r>
      <rPr>
        <sz val="9"/>
        <color rgb="FF595959"/>
        <rFont val="Arial"/>
        <family val="0"/>
        <charset val="1"/>
      </rPr>
      <t xml:space="preserve">10-Q SBC </t>
    </r>
    <r>
      <rPr>
        <sz val="9"/>
        <color rgb="FF595959"/>
        <rFont val="Noto Sans CJK SC"/>
        <family val="2"/>
      </rPr>
      <t xml:space="preserve">附註：技術與基礎設施 </t>
    </r>
    <r>
      <rPr>
        <sz val="9"/>
        <color rgb="FF595959"/>
        <rFont val="Arial"/>
        <family val="0"/>
        <charset val="1"/>
      </rPr>
      <t xml:space="preserve">0.060</t>
    </r>
    <r>
      <rPr>
        <sz val="9"/>
        <color rgb="FF595959"/>
        <rFont val="Noto Sans CJK SC"/>
        <family val="2"/>
      </rPr>
      <t xml:space="preserve">＋營收成本 </t>
    </r>
    <r>
      <rPr>
        <sz val="9"/>
        <color rgb="FF595959"/>
        <rFont val="Arial"/>
        <family val="0"/>
        <charset val="1"/>
      </rPr>
      <t xml:space="preserve">0.009 [Verified]</t>
    </r>
  </si>
  <si>
    <t xml:space="preserve">最近一季營業租賃成本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</si>
  <si>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租賃附註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</si>
  <si>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最近一季變動租賃成本</t>
  </si>
  <si>
    <r>
      <rPr>
        <sz val="10"/>
        <rFont val="Noto Sans CJK SC"/>
        <family val="2"/>
      </rPr>
      <t xml:space="preserve">管銷率口徑（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</si>
  <si>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costs.sgaBasis</t>
    </r>
    <r>
      <rPr>
        <sz val="9"/>
        <color rgb="FF595959"/>
        <rFont val="Noto Sans CJK SC"/>
        <family val="2"/>
      </rPr>
      <t xml:space="preserve">；預設扣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6d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只作敏感度</t>
    </r>
  </si>
  <si>
    <r>
      <rPr>
        <sz val="10"/>
        <rFont val="Noto Sans CJK SC"/>
        <family val="2"/>
      </rPr>
      <t xml:space="preserve">管銷率（扣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；各期持平）</t>
    </r>
  </si>
  <si>
    <r>
      <rPr>
        <sz val="9"/>
        <color rgb="FF595959"/>
        <rFont val="Noto Sans CJK SC"/>
        <family val="2"/>
      </rPr>
      <t xml:space="preserve">＝（銷售行銷 − 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＋ 一般管理 −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營收；銷售行銷與一般管理內的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0 [Derived]</t>
    </r>
  </si>
  <si>
    <t xml:space="preserve">最近一季新增主動電力</t>
  </si>
  <si>
    <r>
      <rPr>
        <sz val="9"/>
        <color rgb="FF595959"/>
        <rFont val="Noto Sans CJK SC"/>
        <family val="2"/>
      </rPr>
      <t xml:space="preserve">法說（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新增近 </t>
    </r>
    <r>
      <rPr>
        <sz val="9"/>
        <color rgb="FF595959"/>
        <rFont val="Arial"/>
        <family val="0"/>
        <charset val="1"/>
      </rPr>
      <t xml:space="preserve">500 MW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＝期末 − 新增 </t>
    </r>
    <r>
      <rPr>
        <sz val="9"/>
        <color rgb="FF595959"/>
        <rFont val="Arial"/>
        <family val="0"/>
        <charset val="1"/>
      </rPr>
      <t xml:space="preserve">÷ 2 [Interested-party]</t>
    </r>
  </si>
  <si>
    <r>
      <rPr>
        <sz val="10"/>
        <rFont val="Noto Sans CJK SC"/>
        <family val="2"/>
      </rPr>
      <t xml:space="preserve">由下而上營運成本倍數（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值）</t>
    </r>
  </si>
  <si>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：由下而上營運成本（電費、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維護、人員軟體、稅險；租金前、不含管銷）的倍數：基準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值）；敏感度＝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模型首期（公司實況驗證頁）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</si>
  <si>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</si>
  <si>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</si>
  <si>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</si>
  <si>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</si>
  <si>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</si>
  <si>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</si>
  <si>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</si>
  <si>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</si>
  <si>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IF_DeprLifeIT </t>
    </r>
    <r>
      <rPr>
        <sz val="9"/>
        <color rgb="FF595959"/>
        <rFont val="Noto Sans CJK SC"/>
        <family val="2"/>
      </rPr>
      <t xml:space="preserve">依期初在役世代加權、取整數；決定汰換時點與車隊折舊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</si>
  <si>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</si>
  <si>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10-K FY2025 Item 1 Business</t>
    </r>
    <r>
      <rPr>
        <sz val="9"/>
        <color rgb="FF595959"/>
        <rFont val="Noto Sans CJK SC"/>
        <family val="2"/>
      </rPr>
      <t xml:space="preserve">〈</t>
    </r>
    <r>
      <rPr>
        <sz val="9"/>
        <color rgb="FF595959"/>
        <rFont val="Arial"/>
        <family val="0"/>
        <charset val="1"/>
      </rPr>
      <t xml:space="preserve">Overview</t>
    </r>
    <r>
      <rPr>
        <sz val="9"/>
        <color rgb="FF595959"/>
        <rFont val="Noto Sans CJK SC"/>
        <family val="2"/>
      </rPr>
      <t xml:space="preserve">〉：「</t>
    </r>
    <r>
      <rPr>
        <sz val="9"/>
        <color rgb="FF595959"/>
        <rFont val="Arial"/>
        <family val="0"/>
        <charset val="1"/>
      </rPr>
      <t xml:space="preserve">As of December 31, 2023, we operated 10 data centers with approximately 70 MW of active power.</t>
    </r>
    <r>
      <rPr>
        <sz val="9"/>
        <color rgb="FF595959"/>
        <rFont val="Noto Sans CJK SC"/>
        <family val="2"/>
      </rPr>
      <t xml:space="preserve">」；同文件 </t>
    </r>
    <r>
      <rPr>
        <sz val="9"/>
        <color rgb="FF595959"/>
        <rFont val="Arial"/>
        <family val="0"/>
        <charset val="1"/>
      </rPr>
      <t xml:space="preserve">Item 7 MD&amp;A</t>
    </r>
    <r>
      <rPr>
        <sz val="9"/>
        <color rgb="FF595959"/>
        <rFont val="Noto Sans CJK SC"/>
        <family val="2"/>
      </rPr>
      <t xml:space="preserve">〈</t>
    </r>
    <r>
      <rPr>
        <sz val="9"/>
        <color rgb="FF595959"/>
        <rFont val="Arial"/>
        <family val="0"/>
        <charset val="1"/>
      </rPr>
      <t xml:space="preserve">Securing Sufficient Power Capacity</t>
    </r>
    <r>
      <rPr>
        <sz val="9"/>
        <color rgb="FF595959"/>
        <rFont val="Noto Sans CJK SC"/>
        <family val="2"/>
      </rPr>
      <t xml:space="preserve">〉：「</t>
    </r>
    <r>
      <rPr>
        <sz val="9"/>
        <color rgb="FF595959"/>
        <rFont val="Arial"/>
        <family val="0"/>
        <charset val="1"/>
      </rPr>
      <t xml:space="preserve">As of December 31, 2023, we had 10 data centers supported by 70 MW of active power</t>
    </r>
    <r>
      <rPr>
        <sz val="9"/>
        <color rgb="FF595959"/>
        <rFont val="Noto Sans CJK SC"/>
        <family val="2"/>
      </rPr>
      <t xml:space="preserve">」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W6 r1</t>
    </r>
    <r>
      <rPr>
        <sz val="9"/>
        <color rgb="FF595959"/>
        <rFont val="Noto Sans CJK SC"/>
        <family val="2"/>
      </rPr>
      <t xml:space="preserve">：原 </t>
    </r>
    <r>
      <rPr>
        <sz val="9"/>
        <color rgb="FF595959"/>
        <rFont val="Arial"/>
        <family val="0"/>
        <charset val="1"/>
      </rPr>
      <t xml:space="preserve">100 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2023 CapEx </t>
    </r>
    <r>
      <rPr>
        <sz val="9"/>
        <color rgb="FF595959"/>
        <rFont val="Noto Sans CJK SC"/>
        <family val="2"/>
      </rPr>
      <t xml:space="preserve">推估，改用原文）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</si>
  <si>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</si>
  <si>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&gt;360 MW [Verified]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</si>
  <si>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</si>
  <si>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CIP 11.9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</si>
  <si>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</si>
  <si>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</si>
  <si>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</si>
  <si>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區後『世代組合』）</t>
    </r>
    <r>
      <rPr>
        <sz val="9"/>
        <color rgb="FF595959"/>
        <rFont val="Arial"/>
        <family val="0"/>
        <charset val="1"/>
      </rPr>
      <t xml:space="preserve">× Tokenomics IF_CapexIT</t>
    </r>
    <r>
      <rPr>
        <sz val="9"/>
        <color rgb="FF595959"/>
        <rFont val="Noto Sans CJK SC"/>
        <family val="2"/>
      </rPr>
      <t xml:space="preserve">（基準；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＋網路＋機房內裝，不含廠房——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機房以租約取得，廠房成本在租金）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</si>
  <si>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舊值，對照）</t>
    </r>
  </si>
  <si>
    <r>
      <rPr>
        <sz val="9"/>
        <color rgb="FF595959"/>
        <rFont val="Noto Sans CJK SC"/>
        <family val="2"/>
      </rPr>
      <t xml:space="preserve">舊方法：以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校準重現全年指引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Noto Sans CJK SC"/>
        <family val="2"/>
      </rPr>
      <t xml:space="preserve">（以公司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指引回推；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起只作對照，不入模型）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</si>
  <si>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</si>
  <si>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遞延收入淨流入 </t>
    </r>
    <r>
      <rPr>
        <sz val="9"/>
        <color rgb="FF595959"/>
        <rFont val="Arial"/>
        <family val="0"/>
        <charset val="1"/>
      </rPr>
      <t xml:space="preserve">1.365÷CapEx 16.139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8.5% [Derived]</t>
    </r>
  </si>
  <si>
    <r>
      <rPr>
        <sz val="10"/>
        <rFont val="Noto Sans CJK SC"/>
        <family val="2"/>
      </rPr>
      <t xml:space="preserve">在帳現金租金（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到期表）</t>
    </r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</si>
  <si>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 [Verified]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</si>
  <si>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</si>
  <si>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</si>
  <si>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</si>
  <si>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：兩個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承諾最高 </t>
    </r>
    <r>
      <rPr>
        <sz val="9"/>
        <color rgb="FF595959"/>
        <rFont val="Arial"/>
        <family val="0"/>
        <charset val="1"/>
      </rPr>
      <t xml:space="preserve">1.7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年內履行；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 [Verified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</si>
  <si>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</si>
  <si>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入夥後須追加出資，金額未揭露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</si>
  <si>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</si>
  <si>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</si>
  <si>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</si>
  <si>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</si>
  <si>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</si>
  <si>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</si>
  <si>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</si>
  <si>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</si>
  <si>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</si>
  <si>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</si>
  <si>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16.139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</si>
  <si>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</si>
  <si>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</si>
  <si>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</si>
  <si>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</si>
  <si>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</si>
  <si>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</si>
  <si>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</si>
  <si>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</si>
  <si>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</si>
  <si>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</si>
  <si>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</si>
  <si>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：現金 </t>
    </r>
    <r>
      <rPr>
        <sz val="9"/>
        <color rgb="FF595959"/>
        <rFont val="Arial"/>
        <family val="0"/>
        <charset val="1"/>
      </rPr>
      <t xml:space="preserve">5.524</t>
    </r>
    <r>
      <rPr>
        <sz val="9"/>
        <color rgb="FF595959"/>
        <rFont val="Noto Sans CJK SC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0.015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1.38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</si>
  <si>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</si>
  <si>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可轉債淨現金約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35m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$85.43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Noto Sans CJK SC"/>
        <family val="2"/>
      </rPr>
      <t xml:space="preserve">收盤；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現價更新後維持）≈ </t>
    </r>
    <r>
      <rPr>
        <sz val="9"/>
        <color rgb="FF595959"/>
        <rFont val="Arial"/>
        <family val="0"/>
        <charset val="1"/>
      </rPr>
      <t xml:space="preserve">3.0 [Verified]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</si>
  <si>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</si>
  <si>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少 </t>
    </r>
    <r>
      <rPr>
        <sz val="9"/>
        <color rgb="FF595959"/>
        <rFont val="Arial"/>
        <family val="0"/>
        <charset val="1"/>
      </rPr>
      <t xml:space="preserve">6.2bn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</si>
  <si>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</si>
  <si>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可用額度 </t>
    </r>
    <r>
      <rPr>
        <sz val="9"/>
        <color rgb="FF595959"/>
        <rFont val="Arial"/>
        <family val="0"/>
        <charset val="1"/>
      </rPr>
      <t xml:space="preserve">10.014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RCF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DDTL </t>
    </r>
    <r>
      <rPr>
        <sz val="9"/>
        <color rgb="FF595959"/>
        <rFont val="Noto Sans CJK SC"/>
        <family val="2"/>
      </rPr>
      <t xml:space="preserve">未動用）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</si>
  <si>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</si>
  <si>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</si>
  <si>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</si>
  <si>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本金到期表；關閉＝假設全額再融資</t>
    </r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</si>
  <si>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</si>
  <si>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1.0x</t>
    </r>
    <r>
      <rPr>
        <sz val="9"/>
        <color rgb="FF595959"/>
        <rFont val="Noto Sans CJK SC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年實際融資組合（債務約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Noto Sans CJK SC"/>
        <family val="2"/>
      </rPr>
      <t xml:space="preserve">、股權約 </t>
    </r>
    <r>
      <rPr>
        <sz val="9"/>
        <color rgb="FF595959"/>
        <rFont val="Arial"/>
        <family val="0"/>
        <charset val="1"/>
      </rPr>
      <t xml:space="preserve">23%</t>
    </r>
    <r>
      <rPr>
        <sz val="9"/>
        <color rgb="FF595959"/>
        <rFont val="Noto Sans CJK SC"/>
        <family val="2"/>
      </rPr>
      <t xml:space="preserve">）校準；公司簡報當前約 </t>
    </r>
    <r>
      <rPr>
        <sz val="9"/>
        <color rgb="FF595959"/>
        <rFont val="Arial"/>
        <family val="0"/>
        <charset val="1"/>
      </rPr>
      <t xml:space="preserve">0.4x</t>
    </r>
    <r>
      <rPr>
        <sz val="9"/>
        <color rgb="FF595959"/>
        <rFont val="Noto Sans CJK SC"/>
        <family val="2"/>
      </rPr>
      <t xml:space="preserve">（敏感度）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</si>
  <si>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</si>
  <si>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法說：加權平均合約約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年；決定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補入量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</si>
  <si>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</si>
  <si>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</si>
  <si>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</si>
  <si>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2026-09-24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</si>
  <si>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</si>
  <si>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</si>
  <si>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</si>
  <si>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年實際約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</si>
  <si>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</si>
  <si>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t xml:space="preserve">bn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</si>
  <si>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</si>
  <si>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</si>
  <si>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720bps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</si>
  <si>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</si>
  <si>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</si>
  <si>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Bid/Ask 690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680–855 [User-provided]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</si>
  <si>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</si>
  <si>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。預設關以免與 </t>
    </r>
    <r>
      <rPr>
        <sz val="9"/>
        <color rgb="FF595959"/>
        <rFont val="Arial"/>
        <family val="0"/>
        <charset val="1"/>
      </rPr>
      <t xml:space="preserve">9% </t>
    </r>
    <r>
      <rPr>
        <sz val="9"/>
        <color rgb="FF595959"/>
        <rFont val="Noto Sans CJK SC"/>
        <family val="2"/>
      </rPr>
      <t xml:space="preserve">重複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</si>
  <si>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</si>
  <si>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</si>
  <si>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</si>
  <si>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</si>
  <si>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本金表）</t>
    </r>
  </si>
  <si>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；其後 </t>
    </r>
    <r>
      <rPr>
        <sz val="9"/>
        <color rgb="FF595959"/>
        <rFont val="Arial"/>
        <family val="0"/>
        <charset val="1"/>
      </rPr>
      <t xml:space="preserve">14.896 [Verified]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</si>
  <si>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</si>
  <si>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瀑布新債成本：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2032 9.625%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DDTL5.0 SOFR+450 [Derived]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</si>
  <si>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</si>
  <si>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</si>
  <si>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</si>
  <si>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2026-09-24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</si>
  <si>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https://stockanalysis.com/stocks/crwv/forecast/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79.88 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</si>
  <si>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</si>
  <si>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Arial"/>
        <family val="0"/>
        <charset val="1"/>
      </rPr>
      <t xml:space="preserve">7/31 </t>
    </r>
    <r>
      <rPr>
        <sz val="9"/>
        <color rgb="FF595959"/>
        <rFont val="Noto Sans CJK SC"/>
        <family val="2"/>
      </rPr>
      <t xml:space="preserve">流通 </t>
    </r>
    <r>
      <rPr>
        <sz val="9"/>
        <color rgb="FF595959"/>
        <rFont val="Arial"/>
        <family val="0"/>
        <charset val="1"/>
      </rPr>
      <t xml:space="preserve">0.5515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35m [Verified]</t>
    </r>
  </si>
  <si>
    <r>
      <rPr>
        <sz val="10"/>
        <rFont val="Noto Sans CJK SC"/>
        <family val="2"/>
      </rPr>
      <t xml:space="preserve">淨負債（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</si>
  <si>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 [Verified]</t>
    </r>
  </si>
  <si>
    <t xml:space="preserve">WACC</t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</si>
  <si>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</si>
  <si>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</si>
  <si>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Noto Sans CJK SC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</si>
  <si>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</si>
  <si>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Noto Sans CJK SC"/>
        <family val="2"/>
      </rPr>
      <t xml:space="preserve">美國聯邦名目稅率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</si>
  <si>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</si>
  <si>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</si>
  <si>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</si>
  <si>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抵扣上限占應稅所得的比例（美國規定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</si>
  <si>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</si>
  <si>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</si>
  <si>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</si>
  <si>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</si>
  <si>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</si>
  <si>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Noto Sans CJK SC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</si>
  <si>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</si>
  <si>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</si>
  <si>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</si>
  <si>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</si>
  <si>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</si>
  <si>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</si>
  <si>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0.66bn</t>
    </r>
    <r>
      <rPr>
        <sz val="9"/>
        <color rgb="FF595959"/>
        <rFont val="Noto Sans CJK SC"/>
        <family val="2"/>
      </rPr>
      <t xml:space="preserve">／年 </t>
    </r>
    <r>
      <rPr>
        <sz val="9"/>
        <color rgb="FF595959"/>
        <rFont val="Arial"/>
        <family val="0"/>
        <charset val="1"/>
      </rPr>
      <t xml:space="preserve">÷ $80 ≈ 1.4%</t>
    </r>
    <r>
      <rPr>
        <sz val="9"/>
        <color rgb="FF595959"/>
        <rFont val="Noto Sans CJK SC"/>
        <family val="2"/>
      </rPr>
      <t xml:space="preserve">／年，取 </t>
    </r>
    <r>
      <rPr>
        <sz val="9"/>
        <color rgb="FF595959"/>
        <rFont val="Arial"/>
        <family val="0"/>
        <charset val="1"/>
      </rPr>
      <t xml:space="preserve">1% [Derived]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</si>
  <si>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</si>
  <si>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Q2 0.165</t>
    </r>
    <r>
      <rPr>
        <sz val="9"/>
        <color rgb="FF595959"/>
        <rFont val="Noto Sans CJK SC"/>
        <family val="2"/>
      </rPr>
      <t xml:space="preserve">／季年化約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</si>
  <si>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</si>
  <si>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</si>
  <si>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</si>
  <si>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</si>
  <si>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</si>
  <si>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</si>
  <si>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</si>
  <si>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</si>
  <si>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</si>
  <si>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</si>
  <si>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</si>
  <si>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</si>
  <si>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</si>
  <si>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</si>
  <si>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</si>
  <si>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</si>
  <si>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</si>
  <si>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</si>
  <si>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</si>
  <si>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</si>
  <si>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</si>
  <si>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</si>
  <si>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</si>
  <si>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</si>
  <si>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</si>
  <si>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</si>
  <si>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2026-09-25</t>
  </si>
  <si>
    <t xml:space="preserve">company.json → meta.updateDate</t>
  </si>
  <si>
    <t xml:space="preserve">現價日（收盤）</t>
  </si>
  <si>
    <t xml:space="preserve">2026-09-24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</si>
  <si>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</si>
  <si>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</si>
  <si>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</si>
  <si>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</si>
  <si>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</si>
  <si>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</si>
  <si>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</si>
  <si>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</si>
  <si>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</si>
  <si>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</si>
  <si>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</si>
  <si>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</si>
  <si>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</si>
  <si>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</si>
  <si>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</si>
  <si>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</si>
  <si>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</si>
  <si>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</si>
  <si>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</si>
  <si>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</si>
  <si>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</si>
  <si>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</si>
  <si>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</si>
  <si>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</si>
  <si>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</si>
  <si>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</si>
  <si>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</si>
  <si>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</si>
  <si>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</t>
    </r>
    <r>
      <rPr>
        <b val="true"/>
        <sz val="10"/>
        <rFont val="Arial"/>
        <family val="0"/>
        <charset val="1"/>
      </rPr>
      <t xml:space="preserve">10-Q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</si>
  <si>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</si>
  <si>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比較期資產負債表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</si>
  <si>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</si>
  <si>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Noto Sans CJK SC"/>
        <family val="2"/>
      </rPr>
      <t xml:space="preserve">已含已付利息 </t>
    </r>
    <r>
      <rPr>
        <sz val="9"/>
        <color rgb="FF595959"/>
        <rFont val="Arial"/>
        <family val="0"/>
        <charset val="1"/>
      </rPr>
      <t xml:space="preserve">0.806 </t>
    </r>
    <r>
      <rPr>
        <sz val="9"/>
        <color rgb="FF595959"/>
        <rFont val="Noto Sans CJK SC"/>
        <family val="2"/>
      </rPr>
      <t xml:space="preserve">與租賃付款 </t>
    </r>
    <r>
      <rPr>
        <sz val="9"/>
        <color rgb="FF595959"/>
        <rFont val="Arial"/>
        <family val="0"/>
        <charset val="1"/>
      </rPr>
      <t xml:space="preserve">0.748 [Verified]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</si>
  <si>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</si>
  <si>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現金流量表投資活動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</si>
  <si>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</si>
  <si>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增加＋融資租賃−</t>
    </r>
    <r>
      <rPr>
        <sz val="9"/>
        <color rgb="FF595959"/>
        <rFont val="Arial"/>
        <family val="0"/>
        <charset val="1"/>
      </rPr>
      <t xml:space="preserve">CIP </t>
    </r>
    <r>
      <rPr>
        <sz val="9"/>
        <color rgb="FF595959"/>
        <rFont val="Noto Sans CJK SC"/>
        <family val="2"/>
      </rPr>
      <t xml:space="preserve">變動；與全年指引同口徑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</si>
  <si>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</si>
  <si>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 [Verified]</t>
    </r>
  </si>
  <si>
    <t xml:space="preserve">借款</t>
  </si>
  <si>
    <r>
      <rPr>
        <sz val="9"/>
        <color rgb="FF595959"/>
        <rFont val="Noto Sans CJK SC"/>
        <family val="2"/>
      </rPr>
      <t xml:space="preserve">融資活動流入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</si>
  <si>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還款</t>
  </si>
  <si>
    <r>
      <rPr>
        <sz val="9"/>
        <color rgb="FF595959"/>
        <rFont val="Noto Sans CJK SC"/>
        <family val="2"/>
      </rPr>
      <t xml:space="preserve">融資活動流出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</si>
  <si>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</si>
  <si>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Noto Sans CJK SC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[Verified]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</si>
  <si>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</si>
  <si>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NVIDIA 2.0 @$87.20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1.0 @$109 [Verified]</t>
    </r>
  </si>
  <si>
    <t xml:space="preserve">利息費用</t>
  </si>
  <si>
    <r>
      <rPr>
        <sz val="9"/>
        <color rgb="FF595959"/>
        <rFont val="Noto Sans CJK SC"/>
        <family val="2"/>
      </rPr>
      <t xml:space="preserve">損益表；現金 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Noto Sans CJK SC"/>
        <family val="2"/>
      </rPr>
      <t xml:space="preserve">、資本化 </t>
    </r>
    <r>
      <rPr>
        <sz val="9"/>
        <color rgb="FF595959"/>
        <rFont val="Arial"/>
        <family val="0"/>
        <charset val="1"/>
      </rPr>
      <t xml:space="preserve">0.176 [Verified]</t>
    </r>
  </si>
  <si>
    <t xml:space="preserve">租賃現金支付</t>
  </si>
  <si>
    <r>
      <rPr>
        <sz val="9"/>
        <color rgb="FF595959"/>
        <rFont val="Noto Sans CJK SC"/>
        <family val="2"/>
      </rPr>
      <t xml:space="preserve">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</si>
  <si>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</si>
  <si>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2.078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2.575 [Verified]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</si>
  <si>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</si>
  <si>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t xml:space="preserve">[Verified]</t>
  </si>
  <si>
    <t xml:space="preserve">淨損</t>
  </si>
  <si>
    <t xml:space="preserve">遞延收入淨流入</t>
  </si>
  <si>
    <t xml:space="preserve">D&amp;A</t>
  </si>
  <si>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</si>
  <si>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SBC</t>
  </si>
  <si>
    <t xml:space="preserve">GAAP EPS</t>
  </si>
  <si>
    <r>
      <rPr>
        <sz val="9"/>
        <color rgb="FF595959"/>
        <rFont val="Noto Sans CJK SC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1.366 ÷ </t>
    </r>
    <r>
      <rPr>
        <sz val="9"/>
        <color rgb="FF595959"/>
        <rFont val="Noto Sans CJK SC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0.539 [Verified]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</si>
  <si>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</si>
  <si>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(−1.366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0.318)÷0.539 [Derived]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</si>
  <si>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</si>
  <si>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1.157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1.510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Futurum Q1 FY2026 </t>
    </r>
    <r>
      <rPr>
        <sz val="9"/>
        <color rgb="FF595959"/>
        <rFont val="Noto Sans CJK SC"/>
        <family val="2"/>
      </rPr>
      <t xml:space="preserve">財報摘要；</t>
    </r>
    <r>
      <rPr>
        <sz val="9"/>
        <color rgb="FF595959"/>
        <rFont val="Arial"/>
        <family val="0"/>
        <charset val="1"/>
      </rPr>
      <t xml:space="preserve">Q2 Investing.com Q2 2026 </t>
    </r>
    <r>
      <rPr>
        <sz val="9"/>
        <color rgb="FF595959"/>
        <rFont val="Noto Sans CJK SC"/>
        <family val="2"/>
      </rPr>
      <t xml:space="preserve">財報報導；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季度表同列 </t>
    </r>
    <r>
      <rPr>
        <sz val="9"/>
        <color rgb="FF595959"/>
        <rFont val="Arial"/>
        <family val="0"/>
        <charset val="1"/>
      </rPr>
      <t xml:space="preserve">1,157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1,510</t>
    </r>
    <r>
      <rPr>
        <sz val="9"/>
        <color rgb="FF595959"/>
        <rFont val="Noto Sans CJK SC"/>
        <family val="2"/>
      </rPr>
      <t xml:space="preserve">，一致。公司公布之實際數，引用自財報報導轉述，非公司新聞稿原文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</si>
  <si>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</si>
  <si>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</si>
  <si>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</si>
  <si>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Noto Sans CJK SC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4.2 GW</t>
    </r>
  </si>
  <si>
    <r>
      <rPr>
        <sz val="10"/>
        <rFont val="Noto Sans CJK SC"/>
        <family val="2"/>
      </rPr>
      <t xml:space="preserve">情境區間運算表｜基準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</si>
  <si>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Noto Sans CJK SC"/>
        <family val="2"/>
      </rPr>
      <t xml:space="preserve">情境區間運算表｜積極 </t>
    </r>
    <r>
      <rPr>
        <sz val="10"/>
        <rFont val="Arial"/>
        <family val="0"/>
        <charset val="1"/>
      </rPr>
      <t xml:space="preserve">8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</si>
  <si>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data/consensus_crwv_20260925.json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</si>
  <si>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</si>
  <si>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</si>
  <si>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</si>
  <si>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</si>
  <si>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</si>
  <si>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</si>
  <si>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</si>
  <si>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</si>
  <si>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</si>
  <si>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</si>
  <si>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2026-09-24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</si>
  <si>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</si>
  <si>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</si>
  <si>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</si>
  <si>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</si>
  <si>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</si>
  <si>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</si>
  <si>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</si>
  <si>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</si>
  <si>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</si>
  <si>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</si>
  <si>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（同為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資料，非獨立）｜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</si>
  <si>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</si>
  <si>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</si>
  <si>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</si>
  <si>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</si>
  <si>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</si>
  <si>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</si>
  <si>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</si>
  <si>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</si>
  <si>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</si>
  <si>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</si>
  <si>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</si>
  <si>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</si>
  <si>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共識）｜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</si>
  <si>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</si>
  <si>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</si>
  <si>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</si>
  <si>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共識｜年度｜利息費用</t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</si>
  <si>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</si>
  <si>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</si>
  <si>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</si>
  <si>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</si>
  <si>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</si>
  <si>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</si>
  <si>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為公司調整後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2026 Q2 EBITDA 1.510 </t>
    </r>
    <r>
      <rPr>
        <sz val="10"/>
        <rFont val="Noto Sans CJK SC"/>
        <family val="2"/>
      </rPr>
      <t xml:space="preserve">與公司公布的調整後 </t>
    </r>
    <r>
      <rPr>
        <sz val="10"/>
        <rFont val="Arial"/>
        <family val="0"/>
        <charset val="1"/>
      </rPr>
      <t xml:space="preserve">EBITDA $1.51bn </t>
    </r>
    <r>
      <rPr>
        <sz val="10"/>
        <rFont val="Noto Sans CJK SC"/>
        <family val="2"/>
      </rPr>
      <t xml:space="preserve">相同）；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口徑；淨負債不含租賃負債（口徑未揭露，比較時留意）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</si>
  <si>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</si>
  <si>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</si>
  <si>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</si>
  <si>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</si>
  <si>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</si>
  <si>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</si>
  <si>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Noto Sans CJK SC"/>
        <family val="2"/>
      </rPr>
      <t xml:space="preserve">調整後口徑，與上表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Noto Sans CJK SC"/>
        <family val="2"/>
      </rPr>
      <t xml:space="preserve">不同，不可混用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</si>
  <si>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</si>
  <si>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</si>
  <si>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</si>
  <si>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</si>
  <si>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</si>
  <si>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</si>
  <si>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財報預計 </t>
    </r>
    <r>
      <rPr>
        <sz val="10"/>
        <rFont val="Arial"/>
        <family val="0"/>
        <charset val="1"/>
      </rPr>
      <t xml:space="preserve">11/9</t>
    </r>
    <r>
      <rPr>
        <sz val="10"/>
        <rFont val="Noto Sans CJK SC"/>
        <family val="2"/>
      </rPr>
      <t xml:space="preserve">：公司 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營收指引 </t>
    </r>
    <r>
      <rPr>
        <sz val="10"/>
        <rFont val="Arial"/>
        <family val="0"/>
        <charset val="1"/>
      </rPr>
      <t xml:space="preserve">3.45–3.6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8/11 </t>
    </r>
    <r>
      <rPr>
        <sz val="10"/>
        <rFont val="Noto Sans CJK SC"/>
        <family val="2"/>
      </rPr>
      <t xml:space="preserve">財報）；共識 </t>
    </r>
    <r>
      <rPr>
        <sz val="10"/>
        <rFont val="Arial"/>
        <family val="0"/>
        <charset val="1"/>
      </rPr>
      <t xml:space="preserve">3.541 </t>
    </r>
    <r>
      <rPr>
        <sz val="10"/>
        <rFont val="Noto Sans CJK SC"/>
        <family val="2"/>
      </rPr>
      <t xml:space="preserve">位於指引區間上半部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</si>
  <si>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</si>
  <si>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</si>
  <si>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</si>
  <si>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Noto Sans CJK SC"/>
        <family val="2"/>
      </rPr>
      <t xml:space="preserve">財報｜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</si>
  <si>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調整後營業利益（低／高）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</si>
  <si>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</si>
  <si>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營收（低／高）</t>
    </r>
  </si>
  <si>
    <t xml:space="preserve">公司指引屬利害關係人（管理層）預估；數字本身為公司正式公布，可查證</t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</si>
  <si>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LSEG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</si>
  <si>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前）</t>
    </r>
  </si>
  <si>
    <t xml:space="preserve">2026-08-11</t>
  </si>
  <si>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CNBC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</si>
  <si>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前）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</si>
  <si>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財報前的 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Noto Sans CJK SC"/>
        <family val="2"/>
      </rPr>
      <t xml:space="preserve">共識，日期較舊，僅供確認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數字量級合理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</si>
  <si>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</si>
  <si>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</si>
  <si>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</si>
  <si>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</si>
  <si>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Noto Sans CJK SC"/>
        <family val="2"/>
      </rPr>
      <t xml:space="preserve">（首次評等）；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資料未列目標價；二手報導稱 </t>
    </r>
    <r>
      <rPr>
        <sz val="9"/>
        <color rgb="FF595959"/>
        <rFont val="Arial"/>
        <family val="0"/>
        <charset val="1"/>
      </rPr>
      <t xml:space="preserve">$54</t>
    </r>
    <r>
      <rPr>
        <sz val="9"/>
        <color rgb="FF595959"/>
        <rFont val="Noto Sans CJK SC"/>
        <family val="2"/>
      </rPr>
      <t xml:space="preserve">，未經一手確認，不採用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</si>
  <si>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J.P. Morgan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</si>
  <si>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$120 → $125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</si>
  <si>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UBS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</si>
  <si>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</si>
  <si>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Evercore ISI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</si>
  <si>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資料未列；二手報導稱 </t>
    </r>
    <r>
      <rPr>
        <sz val="9"/>
        <color rgb="FF595959"/>
        <rFont val="Arial"/>
        <family val="0"/>
        <charset val="1"/>
      </rPr>
      <t xml:space="preserve">$150</t>
    </r>
    <r>
      <rPr>
        <sz val="9"/>
        <color rgb="FF595959"/>
        <rFont val="Noto Sans CJK SC"/>
        <family val="2"/>
      </rPr>
      <t xml:space="preserve">，未經一手確認，不採用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</si>
  <si>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2026-09-20 Freedom Capital Markets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</si>
  <si>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</si>
  <si>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</si>
  <si>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</si>
  <si>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的營收預估完全相同（</t>
    </r>
    <r>
      <rPr>
        <sz val="10"/>
        <rFont val="Arial"/>
        <family val="0"/>
        <charset val="1"/>
      </rPr>
      <t xml:space="preserve">12.882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26.376</t>
    </r>
    <r>
      <rPr>
        <sz val="10"/>
        <rFont val="Noto Sans CJK SC"/>
        <family val="2"/>
      </rPr>
      <t xml:space="preserve">），兩者皆引用 </t>
    </r>
    <r>
      <rPr>
        <sz val="10"/>
        <rFont val="Arial"/>
        <family val="0"/>
        <charset val="1"/>
      </rPr>
      <t xml:space="preserve">S&amp;P Global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Capital IQ</t>
    </r>
    <r>
      <rPr>
        <sz val="10"/>
        <rFont val="Noto Sans CJK SC"/>
        <family val="2"/>
      </rPr>
      <t xml:space="preserve">，屬同一來源的兩個呈現，不是獨立交叉驗證。獨立來源僅有 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CNBC </t>
    </r>
    <r>
      <rPr>
        <sz val="10"/>
        <rFont val="Noto Sans CJK SC"/>
        <family val="2"/>
      </rPr>
      <t xml:space="preserve">引用，日期較舊）。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</si>
  <si>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</si>
  <si>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</si>
  <si>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FY29–FY30 </t>
    </r>
    <r>
      <rPr>
        <sz val="10"/>
        <rFont val="Noto Sans CJK SC"/>
        <family val="2"/>
      </rPr>
      <t xml:space="preserve">共識：公開來源只到 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，無法取得（不是不存在，而是免費來源未提供）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</si>
  <si>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</si>
  <si>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</si>
  <si>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</si>
  <si>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目標價的時間分布（多少目標價是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財報後更新）：未公開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</si>
  <si>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</si>
  <si>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</si>
  <si>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</si>
  <si>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</si>
  <si>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</si>
  <si>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</si>
  <si>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</si>
  <si>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</si>
  <si>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</si>
  <si>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</si>
  <si>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</si>
  <si>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</si>
  <si>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</si>
  <si>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</si>
  <si>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</si>
  <si>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</si>
  <si>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</si>
  <si>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</si>
  <si>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</si>
  <si>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</si>
  <si>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公司公布 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callFacts.activeGw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</si>
  <si>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</si>
  <si>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</si>
  <si>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</si>
  <si>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</si>
  <si>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</si>
  <si>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 </t>
    </r>
    <r>
      <rPr>
        <sz val="10"/>
        <rFont val="Arial"/>
        <family val="0"/>
        <charset val="1"/>
      </rPr>
      <t xml:space="preserve">active power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</si>
  <si>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</si>
  <si>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</si>
  <si>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</si>
  <si>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</si>
  <si>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Noto Sans CJK SC"/>
        <family val="2"/>
      </rPr>
      <t xml:space="preserve">財報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</si>
  <si>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</si>
  <si>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</si>
  <si>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</si>
  <si>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Noto Sans CJK SC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（毛額）（低）</t>
    </r>
  </si>
  <si>
    <r>
      <rPr>
        <sz val="10"/>
        <rFont val="Noto Sans CJK SC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（毛額）（高）</t>
    </r>
  </si>
  <si>
    <t xml:space="preserve">季度文字指引｜調整後營業利益</t>
  </si>
  <si>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low teens</t>
    </r>
  </si>
  <si>
    <r>
      <rPr>
        <sz val="9"/>
        <color rgb="FF595959"/>
        <rFont val="Arial"/>
        <family val="0"/>
        <charset val="1"/>
      </rPr>
      <t xml:space="preserve">Q4'26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法說 </t>
    </r>
    <r>
      <rPr>
        <sz val="9"/>
        <color rgb="FF595959"/>
        <rFont val="Arial"/>
        <family val="0"/>
        <charset val="1"/>
      </rPr>
      <t xml:space="preserve">2026-08-11 [Interested-party]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</si>
  <si>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</si>
  <si>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；只用於判斷季度差距是否為「拆法」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</si>
  <si>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</si>
  <si>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</si>
  <si>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</si>
  <si>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</si>
  <si>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</si>
  <si>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</si>
  <si>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</si>
  <si>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</si>
  <si>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</si>
  <si>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</si>
  <si>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</si>
  <si>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14.117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</si>
  <si>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</si>
  <si>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0.748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</si>
  <si>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</si>
  <si>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未起租 </t>
    </r>
    <r>
      <rPr>
        <sz val="9"/>
        <color rgb="FF595959"/>
        <rFont val="Arial"/>
        <family val="0"/>
        <charset val="1"/>
      </rPr>
      <t xml:space="preserve">35.5</t>
    </r>
    <r>
      <rPr>
        <sz val="9"/>
        <color rgb="FF595959"/>
        <rFont val="Noto Sans CJK SC"/>
        <family val="2"/>
      </rPr>
      <t xml:space="preserve">＋單站上限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355MW </t>
    </r>
    <r>
      <rPr>
        <sz val="9"/>
        <color rgb="FF595959"/>
        <rFont val="Noto Sans CJK SC"/>
        <family val="2"/>
      </rPr>
      <t xml:space="preserve">造價計租的現金路徑</t>
    </r>
  </si>
  <si>
    <t xml:space="preserve">　租金合計</t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</si>
  <si>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</si>
  <si>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</si>
  <si>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</si>
  <si>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</si>
  <si>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</si>
  <si>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</si>
  <si>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</si>
  <si>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</si>
  <si>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</si>
  <si>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0.688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已承諾 </t>
    </r>
    <r>
      <rPr>
        <sz val="9"/>
        <color rgb="FF595959"/>
        <rFont val="Arial"/>
        <family val="0"/>
        <charset val="1"/>
      </rPr>
      <t xml:space="preserve">1.7bn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不發股息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</si>
  <si>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</si>
  <si>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由下而上：電費與維護已含在營運成本，</t>
    </r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自動停用（避免重複扣）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</si>
  <si>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</si>
  <si>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⑤ 排程還本（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本金表）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</si>
  <si>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</si>
  <si>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</si>
  <si>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Noto Sans CJK SC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</si>
  <si>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</si>
  <si>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</si>
  <si>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</si>
  <si>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</si>
  <si>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</si>
  <si>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</si>
  <si>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</si>
  <si>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</si>
  <si>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</si>
  <si>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</si>
  <si>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</si>
  <si>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私募股權 </t>
    </r>
    <r>
      <rPr>
        <sz val="9"/>
        <color rgb="FF595959"/>
        <rFont val="Arial"/>
        <family val="0"/>
        <charset val="1"/>
      </rPr>
      <t xml:space="preserve">2.982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可轉債淨現金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3.0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</si>
  <si>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</si>
  <si>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16.747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的缺口實際上就是靠舉債填補的</t>
    </r>
  </si>
  <si>
    <t xml:space="preserve">Ⓖ 瀑布：新債（額度＋資產層）</t>
  </si>
  <si>
    <t xml:space="preserve">見下方「期前融資瀑布」</t>
  </si>
  <si>
    <t xml:space="preserve">Ⓗ 瀑布：股權募資</t>
  </si>
  <si>
    <t xml:space="preserve">債務用罄後的殘差；每年不超過股權吸收上限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</si>
  <si>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</si>
  <si>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</si>
  <si>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</si>
  <si>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</si>
  <si>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</si>
  <si>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</si>
  <si>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</si>
  <si>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</si>
  <si>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</si>
  <si>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</si>
  <si>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</si>
  <si>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</si>
  <si>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</si>
  <si>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</si>
  <si>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</si>
  <si>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</si>
  <si>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</si>
  <si>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</si>
  <si>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</si>
  <si>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</si>
  <si>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</si>
  <si>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103.7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25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</si>
  <si>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</si>
  <si>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</si>
  <si>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</si>
  <si>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r>
      <rPr>
        <sz val="10"/>
        <rFont val="Noto Sans CJK SC"/>
        <family val="2"/>
      </rPr>
      <t xml:space="preserve">既有債務＋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可轉債（期末）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</si>
  <si>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35.551)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3.7</t>
    </r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</si>
  <si>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</si>
  <si>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</si>
  <si>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</si>
  <si>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</si>
  <si>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</si>
  <si>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</si>
  <si>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</si>
  <si>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</si>
  <si>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0.5865bn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</si>
  <si>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</si>
  <si>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</si>
  <si>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</si>
  <si>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</si>
  <si>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</si>
  <si>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</si>
  <si>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</si>
  <si>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</si>
  <si>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</si>
  <si>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</si>
  <si>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</si>
  <si>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</si>
  <si>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</si>
  <si>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</si>
  <si>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</si>
  <si>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</si>
  <si>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</si>
  <si>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</si>
  <si>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</si>
  <si>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</si>
  <si>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</si>
  <si>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</si>
  <si>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</si>
  <si>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</si>
  <si>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</si>
  <si>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</si>
  <si>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</si>
  <si>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</si>
  <si>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</si>
  <si>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</si>
  <si>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</si>
  <si>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</si>
  <si>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</si>
  <si>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</si>
  <si>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</si>
  <si>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</si>
  <si>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</si>
  <si>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</si>
  <si>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</si>
  <si>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</si>
  <si>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</si>
  <si>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</si>
  <si>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</si>
  <si>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</si>
  <si>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</si>
  <si>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</si>
  <si>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</si>
  <si>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</si>
  <si>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</si>
  <si>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</si>
  <si>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</si>
  <si>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</si>
  <si>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</si>
  <si>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</si>
  <si>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</si>
  <si>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t xml:space="preserve">不適用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</si>
  <si>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</si>
  <si>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</si>
  <si>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</si>
  <si>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 </t>
    </r>
    <r>
      <rPr>
        <sz val="10"/>
        <rFont val="Arial"/>
        <family val="0"/>
        <charset val="1"/>
      </rPr>
      <t xml:space="preserve">Accepted MW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</si>
  <si>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</si>
  <si>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</si>
  <si>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</si>
  <si>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</si>
  <si>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</si>
  <si>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</si>
  <si>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</si>
  <si>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</si>
  <si>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</si>
  <si>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</si>
  <si>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</si>
  <si>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</si>
  <si>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</si>
  <si>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</si>
  <si>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</si>
  <si>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</si>
  <si>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</si>
  <si>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</si>
  <si>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</si>
  <si>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</si>
  <si>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</si>
  <si>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</si>
  <si>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</si>
  <si>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</si>
  <si>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</si>
  <si>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</si>
  <si>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</si>
  <si>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</si>
  <si>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</si>
  <si>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</si>
  <si>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</si>
  <si>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</si>
  <si>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t xml:space="preserve">指引（文字）｜調整後營業利益</t>
  </si>
  <si>
    <t xml:space="preserve">文字指引：只列不計差距</t>
  </si>
  <si>
    <r>
      <rPr>
        <sz val="10"/>
        <rFont val="Noto Sans CJK SC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（毛額）（低）</t>
    </r>
  </si>
  <si>
    <r>
      <rPr>
        <sz val="10"/>
        <rFont val="Noto Sans CJK SC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（毛額）（高）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</si>
  <si>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指引錨定值</t>
    </r>
  </si>
  <si>
    <r>
      <rPr>
        <sz val="9"/>
        <color rgb="FF595959"/>
        <rFont val="Noto Sans CJK SC"/>
        <family val="2"/>
      </rPr>
      <t xml:space="preserve">有季度指引的季取指引中點（</t>
    </r>
    <r>
      <rPr>
        <sz val="9"/>
        <color rgb="FF595959"/>
        <rFont val="Arial"/>
        <family val="0"/>
        <charset val="1"/>
      </rPr>
      <t xml:space="preserve">capexSplit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guidanceAnchor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</si>
  <si>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未錨定季的新增 </t>
    </r>
    <r>
      <rPr>
        <sz val="10"/>
        <rFont val="Arial"/>
        <family val="0"/>
        <charset val="1"/>
      </rPr>
      <t xml:space="preserve">MW</t>
    </r>
  </si>
  <si>
    <t xml:space="preserve">期間餘數依此分配</t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</si>
  <si>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</si>
  <si>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有季度指引的季＝指引中點；其餘季＝期間餘數依新增 </t>
    </r>
    <r>
      <rPr>
        <sz val="9"/>
        <color rgb="FF595959"/>
        <rFont val="Arial"/>
        <family val="0"/>
        <charset val="1"/>
      </rPr>
      <t xml:space="preserve">Accepted MW </t>
    </r>
    <r>
      <rPr>
        <sz val="9"/>
        <color rgb="FF595959"/>
        <rFont val="Noto Sans CJK SC"/>
        <family val="2"/>
      </rPr>
      <t xml:space="preserve">分配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</si>
  <si>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</si>
  <si>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</si>
  <si>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</si>
  <si>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</si>
  <si>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</si>
  <si>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（口徑未揭露）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</si>
  <si>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</si>
  <si>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</si>
  <si>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</si>
  <si>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</si>
  <si>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</si>
  <si>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</si>
  <si>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</si>
  <si>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 </t>
    </r>
    <r>
      <rPr>
        <sz val="10"/>
        <rFont val="Arial"/>
        <family val="0"/>
        <charset val="1"/>
      </rPr>
      <t xml:space="preserve">active power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</si>
  <si>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</si>
  <si>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</si>
  <si>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</si>
  <si>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</si>
  <si>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</si>
  <si>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</si>
  <si>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</si>
  <si>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</si>
  <si>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</si>
  <si>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</si>
  <si>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</si>
  <si>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</si>
  <si>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</si>
  <si>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</si>
  <si>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</si>
  <si>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</si>
  <si>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</si>
  <si>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</si>
  <si>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</si>
  <si>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</si>
  <si>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</si>
  <si>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</si>
  <si>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</si>
  <si>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</si>
  <si>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</si>
  <si>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</si>
  <si>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</si>
  <si>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</si>
  <si>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</si>
  <si>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</si>
  <si>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</si>
  <si>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</si>
  <si>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</si>
  <si>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</si>
  <si>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</si>
  <si>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</si>
  <si>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</si>
  <si>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</si>
  <si>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</si>
  <si>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</si>
  <si>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</si>
  <si>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</si>
  <si>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</si>
  <si>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</si>
  <si>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</si>
  <si>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</si>
  <si>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</si>
  <si>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9"/>
        <color rgb="FF595959"/>
        <rFont val="Noto Sans CJK SC"/>
        <family val="2"/>
      </rPr>
      <t xml:space="preserve">所屬期間的隱含指引中點（全年指引中點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</si>
  <si>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</si>
  <si>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</si>
  <si>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</si>
  <si>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</si>
  <si>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</si>
  <si>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</si>
  <si>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</si>
  <si>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</si>
  <si>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</si>
  <si>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</si>
  <si>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</si>
  <si>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</si>
  <si>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</si>
  <si>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</si>
  <si>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</si>
  <si>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</si>
  <si>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</si>
  <si>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</si>
  <si>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</si>
  <si>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</si>
  <si>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</si>
  <si>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</si>
  <si>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</si>
  <si>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</si>
  <si>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</si>
  <si>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</si>
  <si>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</si>
  <si>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</si>
  <si>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</si>
  <si>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</si>
  <si>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</si>
  <si>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</si>
  <si>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</si>
  <si>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</si>
  <si>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</si>
  <si>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</si>
  <si>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</si>
  <si>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</si>
  <si>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</si>
  <si>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</si>
  <si>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</si>
  <si>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</si>
  <si>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</si>
  <si>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 </t>
    </r>
    <r>
      <rPr>
        <sz val="10"/>
        <rFont val="Arial"/>
        <family val="0"/>
        <charset val="1"/>
      </rPr>
      <t xml:space="preserve">Accepted MW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</si>
  <si>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</si>
  <si>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</si>
  <si>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</si>
  <si>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</si>
  <si>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</si>
  <si>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 </t>
    </r>
    <r>
      <rPr>
        <sz val="10"/>
        <rFont val="Arial"/>
        <family val="0"/>
        <charset val="1"/>
      </rPr>
      <t xml:space="preserve">Accepted MW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</si>
  <si>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</si>
  <si>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</si>
  <si>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</si>
  <si>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</si>
  <si>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</si>
  <si>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</si>
  <si>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</si>
  <si>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</si>
  <si>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</si>
  <si>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</si>
  <si>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</si>
  <si>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</si>
  <si>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</si>
  <si>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</si>
  <si>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</si>
  <si>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</si>
  <si>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</si>
  <si>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</si>
  <si>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</si>
  <si>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</si>
  <si>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</si>
  <si>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</si>
  <si>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</si>
  <si>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</si>
  <si>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</si>
  <si>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</si>
  <si>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</si>
  <si>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</si>
  <si>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</si>
  <si>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</si>
  <si>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</si>
  <si>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</si>
  <si>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t xml:space="preserve">新簽約收入</t>
  </si>
  <si>
    <r>
      <rPr>
        <sz val="9"/>
        <color rgb="FF595959"/>
        <rFont val="Noto Sans CJK SC"/>
        <family val="2"/>
      </rPr>
      <t xml:space="preserve">尚未簽署的合約。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起模型收入主要來自此列——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敘事的風險集中點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</si>
  <si>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</si>
  <si>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蓋好但賣不掉。</t>
    </r>
    <r>
      <rPr>
        <sz val="9"/>
        <color rgb="FF595959"/>
        <rFont val="Arial"/>
        <family val="0"/>
        <charset val="1"/>
      </rPr>
      <t xml:space="preserve">Bernstein</t>
    </r>
    <r>
      <rPr>
        <sz val="9"/>
        <color rgb="FF595959"/>
        <rFont val="Noto Sans CJK SC"/>
        <family val="2"/>
      </rPr>
      <t xml:space="preserve">：簽約電力 </t>
    </r>
    <r>
      <rPr>
        <sz val="9"/>
        <color rgb="FF595959"/>
        <rFont val="Arial"/>
        <family val="0"/>
        <charset val="1"/>
      </rPr>
      <t xml:space="preserve">74% </t>
    </r>
    <r>
      <rPr>
        <sz val="9"/>
        <color rgb="FF595959"/>
        <rFont val="Noto Sans CJK SC"/>
        <family val="2"/>
      </rPr>
      <t xml:space="preserve">位於 </t>
    </r>
    <r>
      <rPr>
        <sz val="9"/>
        <color rgb="FF595959"/>
        <rFont val="Arial"/>
        <family val="0"/>
        <charset val="1"/>
      </rPr>
      <t xml:space="preserve">Tier 3/4 </t>
    </r>
    <r>
      <rPr>
        <sz val="9"/>
        <color rgb="FF595959"/>
        <rFont val="Noto Sans CJK SC"/>
        <family val="2"/>
      </rPr>
      <t xml:space="preserve">市場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</si>
  <si>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</si>
  <si>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</si>
  <si>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</si>
  <si>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</si>
  <si>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</si>
  <si>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欄可直接對照公司全年指引 </t>
    </r>
    <r>
      <rPr>
        <sz val="9"/>
        <color rgb="FF595959"/>
        <rFont val="Arial"/>
        <family val="0"/>
        <charset val="1"/>
      </rPr>
      <t xml:space="preserve">12.4–13.2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</si>
  <si>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</si>
  <si>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</si>
  <si>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</si>
  <si>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</si>
  <si>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</si>
  <si>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</si>
  <si>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</si>
  <si>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</si>
  <si>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</si>
  <si>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</si>
  <si>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</si>
  <si>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</si>
  <si>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</si>
  <si>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</si>
  <si>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</si>
  <si>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4"/>
        <rFont val="Noto Sans CJK SC"/>
        <family val="2"/>
      </rPr>
      <t xml:space="preserve">站點租賃 — 房東揭露 </t>
    </r>
    <r>
      <rPr>
        <b val="true"/>
        <sz val="14"/>
        <rFont val="Arial"/>
        <family val="0"/>
        <charset val="1"/>
      </rPr>
      <t xml:space="preserve">vs 10-Q </t>
    </r>
    <r>
      <rPr>
        <b val="true"/>
        <sz val="14"/>
        <rFont val="Noto Sans CJK SC"/>
        <family val="2"/>
      </rPr>
      <t xml:space="preserve">總額（檢驗租金路徑用）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</si>
  <si>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不揭露逐站租金；下表為房東公告的合約值（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</si>
  <si>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</si>
  <si>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房東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</si>
  <si>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</si>
  <si>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已起租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</si>
  <si>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</si>
  <si>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</si>
  <si>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</si>
  <si>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</si>
  <si>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起租時程</t>
  </si>
  <si>
    <r>
      <rPr>
        <b val="true"/>
        <sz val="11"/>
        <color rgb="FFFFFFFF"/>
        <rFont val="Arial"/>
        <family val="0"/>
        <charset val="1"/>
      </rPr>
      <t xml:space="preserve">10-Q </t>
    </r>
    <r>
      <rPr>
        <b val="true"/>
        <sz val="11"/>
        <color rgb="FFFFFFFF"/>
        <rFont val="Noto Sans CJK SC"/>
        <family val="2"/>
      </rPr>
      <t xml:space="preserve">對應</t>
    </r>
  </si>
  <si>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</rPr>
      <t xml:space="preserve">（德州 </t>
    </r>
    <r>
      <rPr>
        <sz val="10"/>
        <rFont val="Arial"/>
        <family val="0"/>
        <charset val="1"/>
      </rPr>
      <t xml:space="preserve">Dickens</t>
    </r>
    <r>
      <rPr>
        <sz val="10"/>
        <rFont val="Noto Sans CJK SC"/>
        <family val="2"/>
      </rPr>
      <t xml:space="preserve">）</t>
    </r>
  </si>
  <si>
    <t xml:space="preserve">Galaxy (GLXY)</t>
  </si>
  <si>
    <r>
      <rPr>
        <sz val="9"/>
        <color rgb="FF595959"/>
        <rFont val="Arial"/>
        <family val="0"/>
        <charset val="1"/>
      </rPr>
      <t xml:space="preserve">Ph I 133 MW 2026Q2 </t>
    </r>
    <r>
      <rPr>
        <sz val="9"/>
        <color rgb="FF595959"/>
        <rFont val="Noto Sans CJK SC"/>
        <family val="2"/>
      </rPr>
      <t xml:space="preserve">起租；</t>
    </r>
    <r>
      <rPr>
        <sz val="9"/>
        <color rgb="FF595959"/>
        <rFont val="Arial"/>
        <family val="0"/>
        <charset val="1"/>
      </rPr>
      <t xml:space="preserve">Ph II 260 MW 2027H1 </t>
    </r>
    <r>
      <rPr>
        <sz val="9"/>
        <color rgb="FF595959"/>
        <rFont val="Noto Sans CJK SC"/>
        <family val="2"/>
      </rPr>
      <t xml:space="preserve">起；</t>
    </r>
    <r>
      <rPr>
        <sz val="9"/>
        <color rgb="FF595959"/>
        <rFont val="Arial"/>
        <family val="0"/>
        <charset val="1"/>
      </rPr>
      <t xml:space="preserve">Ph III 133 MW</t>
    </r>
  </si>
  <si>
    <r>
      <rPr>
        <sz val="9"/>
        <color rgb="FF595959"/>
        <rFont val="Noto Sans CJK SC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「單站上限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年」</t>
    </r>
  </si>
  <si>
    <r>
      <rPr>
        <sz val="9"/>
        <color rgb="FF595959"/>
        <rFont val="Arial"/>
        <family val="0"/>
        <charset val="1"/>
      </rPr>
      <t xml:space="preserve">Galaxy 2026-07-06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526 MW</t>
    </r>
    <r>
      <rPr>
        <sz val="9"/>
        <color rgb="FF595959"/>
        <rFont val="Noto Sans CJK SC"/>
        <family val="2"/>
      </rPr>
      <t xml:space="preserve">、年均租金 </t>
    </r>
    <r>
      <rPr>
        <sz val="9"/>
        <color rgb="FF595959"/>
        <rFont val="Arial"/>
        <family val="0"/>
        <charset val="1"/>
      </rPr>
      <t xml:space="preserve">&gt;$1bn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年＋</t>
    </r>
    <r>
      <rPr>
        <sz val="9"/>
        <color rgb="FF595959"/>
        <rFont val="Arial"/>
        <family val="0"/>
        <charset val="1"/>
      </rPr>
      <t xml:space="preserve">2×5 </t>
    </r>
    <r>
      <rPr>
        <sz val="9"/>
        <color rgb="FF595959"/>
        <rFont val="Noto Sans CJK SC"/>
        <family val="2"/>
      </rPr>
      <t xml:space="preserve">年延長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</si>
  <si>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Polaris Forge 1</t>
    </r>
    <r>
      <rPr>
        <sz val="10"/>
        <rFont val="Noto Sans CJK SC"/>
        <family val="2"/>
      </rPr>
      <t xml:space="preserve">（北達科他 </t>
    </r>
    <r>
      <rPr>
        <sz val="10"/>
        <rFont val="Arial"/>
        <family val="0"/>
        <charset val="1"/>
      </rPr>
      <t xml:space="preserve">Ellendale</t>
    </r>
    <r>
      <rPr>
        <sz val="10"/>
        <rFont val="Noto Sans CJK SC"/>
        <family val="2"/>
      </rPr>
      <t xml:space="preserve">）</t>
    </r>
  </si>
  <si>
    <t xml:space="preserve">Applied Digital (APLD)</t>
  </si>
  <si>
    <r>
      <rPr>
        <sz val="9"/>
        <color rgb="FF595959"/>
        <rFont val="Arial"/>
        <family val="0"/>
        <charset val="1"/>
      </rPr>
      <t xml:space="preserve">100 MW 2025Q4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150 MW 2026 </t>
    </r>
    <r>
      <rPr>
        <sz val="9"/>
        <color rgb="FF595959"/>
        <rFont val="Noto Sans CJK SC"/>
        <family val="2"/>
      </rPr>
      <t xml:space="preserve">年中；</t>
    </r>
    <r>
      <rPr>
        <sz val="9"/>
        <color rgb="FF595959"/>
        <rFont val="Arial"/>
        <family val="0"/>
        <charset val="1"/>
      </rPr>
      <t xml:space="preserve">150 MW 2027</t>
    </r>
  </si>
  <si>
    <r>
      <rPr>
        <sz val="9"/>
        <color rgb="FF595959"/>
        <rFont val="Noto Sans CJK SC"/>
        <family val="2"/>
      </rPr>
      <t xml:space="preserve">大致落在未起租 </t>
    </r>
    <r>
      <rPr>
        <sz val="9"/>
        <color rgb="FF595959"/>
        <rFont val="Arial"/>
        <family val="0"/>
        <charset val="1"/>
      </rPr>
      <t xml:space="preserve">35.5 </t>
    </r>
    <r>
      <rPr>
        <sz val="9"/>
        <color rgb="FF595959"/>
        <rFont val="Noto Sans CJK SC"/>
        <family val="2"/>
      </rPr>
      <t xml:space="preserve">內</t>
    </r>
  </si>
  <si>
    <r>
      <rPr>
        <sz val="9"/>
        <color rgb="FF595959"/>
        <rFont val="Arial"/>
        <family val="0"/>
        <charset val="1"/>
      </rPr>
      <t xml:space="preserve">APLD 2025-08-29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FQ2 </t>
    </r>
    <r>
      <rPr>
        <sz val="9"/>
        <color rgb="FF595959"/>
        <rFont val="Noto Sans CJK SC"/>
        <family val="2"/>
      </rPr>
      <t xml:space="preserve">法說：</t>
    </r>
    <r>
      <rPr>
        <sz val="9"/>
        <color rgb="FF595959"/>
        <rFont val="Arial"/>
        <family val="0"/>
        <charset val="1"/>
      </rPr>
      <t xml:space="preserve">400 MW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$11bn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</si>
  <si>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Core Scientific </t>
    </r>
    <r>
      <rPr>
        <sz val="10"/>
        <rFont val="Noto Sans CJK SC"/>
        <family val="2"/>
      </rPr>
      <t xml:space="preserve">六站（</t>
    </r>
    <r>
      <rPr>
        <sz val="10"/>
        <rFont val="Arial"/>
        <family val="0"/>
        <charset val="1"/>
      </rPr>
      <t xml:space="preserve">Denton </t>
    </r>
    <r>
      <rPr>
        <sz val="10"/>
        <rFont val="Noto Sans CJK SC"/>
        <family val="2"/>
      </rPr>
      <t xml:space="preserve">等）</t>
    </r>
  </si>
  <si>
    <t xml:space="preserve">Core Scientific (CORZ)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</si>
  <si>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250 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年初全數 </t>
    </r>
    <r>
      <rPr>
        <sz val="9"/>
        <color rgb="FF595959"/>
        <rFont val="Arial"/>
        <family val="0"/>
        <charset val="1"/>
      </rPr>
      <t xml:space="preserve">590 MW</t>
    </r>
  </si>
  <si>
    <r>
      <rPr>
        <sz val="9"/>
        <color rgb="FF595959"/>
        <rFont val="Noto Sans CJK SC"/>
        <family val="2"/>
      </rPr>
      <t xml:space="preserve">部分在帳、部分未起租；「按造價計租」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Noto Sans CJK SC"/>
        <family val="2"/>
      </rPr>
      <t xml:space="preserve">可能含部分</t>
    </r>
  </si>
  <si>
    <r>
      <rPr>
        <sz val="9"/>
        <color rgb="FF595959"/>
        <rFont val="Arial"/>
        <family val="0"/>
        <charset val="1"/>
      </rPr>
      <t xml:space="preserve">CORZ 2025-02-26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$10.2bn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年；年均約 </t>
    </r>
    <r>
      <rPr>
        <sz val="9"/>
        <color rgb="FF595959"/>
        <rFont val="Arial"/>
        <family val="0"/>
        <charset val="1"/>
      </rPr>
      <t xml:space="preserve">$850m [Interested-party]</t>
    </r>
  </si>
  <si>
    <r>
      <rPr>
        <sz val="10"/>
        <rFont val="Arial"/>
        <family val="0"/>
        <charset val="1"/>
      </rPr>
      <t xml:space="preserve">Kenilworth</t>
    </r>
    <r>
      <rPr>
        <sz val="10"/>
        <rFont val="Noto Sans CJK SC"/>
        <family val="2"/>
      </rPr>
      <t xml:space="preserve">（新澤西 </t>
    </r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</si>
  <si>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持股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</si>
  <si>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</si>
  <si>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施工中；完工後起租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</si>
  <si>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：租金＝建造成本的一定比例，推定屬「按造價計租」</t>
    </r>
    <r>
      <rPr>
        <sz val="9"/>
        <color rgb="FF595959"/>
        <rFont val="Arial"/>
        <family val="0"/>
        <charset val="1"/>
      </rPr>
      <t xml:space="preserve">355 MW</t>
    </r>
  </si>
  <si>
    <r>
      <rPr>
        <sz val="9"/>
        <color rgb="FF595959"/>
        <rFont val="Arial"/>
        <family val="0"/>
        <charset val="1"/>
      </rPr>
      <t xml:space="preserve">10-Q Note 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年租約、租金依建造成本計；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與金額未揭露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</si>
  <si>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</si>
  <si>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</si>
  <si>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10-Q </t>
    </r>
    <r>
      <rPr>
        <b val="true"/>
        <sz val="10"/>
        <rFont val="Noto Sans CJK SC"/>
        <family val="2"/>
      </rPr>
      <t xml:space="preserve">租賃承諾總額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</si>
  <si>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在帳租賃（未折現，已起租）</t>
    </r>
  </si>
  <si>
    <r>
      <rPr>
        <sz val="9"/>
        <color rgb="FF595959"/>
        <rFont val="Noto Sans CJK SC"/>
        <family val="2"/>
      </rPr>
      <t xml:space="preserve">營業 </t>
    </r>
    <r>
      <rPr>
        <sz val="9"/>
        <color rgb="FF595959"/>
        <rFont val="Arial"/>
        <family val="0"/>
        <charset val="1"/>
      </rPr>
      <t xml:space="preserve">29.135</t>
    </r>
    <r>
      <rPr>
        <sz val="9"/>
        <color rgb="FF595959"/>
        <rFont val="Noto Sans CJK SC"/>
        <family val="2"/>
      </rPr>
      <t xml:space="preserve">＋融資 </t>
    </r>
    <r>
      <rPr>
        <sz val="9"/>
        <color rgb="FF595959"/>
        <rFont val="Arial"/>
        <family val="0"/>
        <charset val="1"/>
      </rPr>
      <t xml:space="preserve">0.235 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</si>
  <si>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未起租租賃（未折現）</t>
    </r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</si>
  <si>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Noto Sans CJK SC"/>
        <family val="2"/>
      </rPr>
      <t xml:space="preserve">起租、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</si>
  <si>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單站按造價計租上限</t>
    </r>
  </si>
  <si>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Helios </t>
    </r>
    <r>
      <rPr>
        <sz val="9"/>
        <color rgb="FF595959"/>
        <rFont val="Noto Sans CJK SC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 [Verified]</t>
    </r>
  </si>
  <si>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已揭露租賃承諾合計</t>
    </r>
  </si>
  <si>
    <r>
      <rPr>
        <sz val="9"/>
        <color rgb="FF595959"/>
        <rFont val="Noto Sans CJK SC"/>
        <family val="2"/>
      </rPr>
      <t xml:space="preserve">另有 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Noto Sans CJK SC"/>
        <family val="2"/>
      </rPr>
      <t xml:space="preserve">按造價計租，金額未定，未含</t>
    </r>
  </si>
  <si>
    <t xml:space="preserve">減：具名站點合約總值</t>
  </si>
  <si>
    <t xml:space="preserve">＝ 未具名站點（殘差）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</si>
  <si>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座以上資料中心中未具名者（</t>
    </r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Switch </t>
    </r>
    <r>
      <rPr>
        <sz val="9"/>
        <color rgb="FF595959"/>
        <rFont val="Noto Sans CJK SC"/>
        <family val="2"/>
      </rPr>
      <t xml:space="preserve">等託管，以及其他房東）。殘差大是必然——公司不揭露逐站</t>
    </r>
  </si>
  <si>
    <r>
      <rPr>
        <sz val="10"/>
        <rFont val="Noto Sans CJK SC"/>
        <family val="2"/>
      </rPr>
      <t xml:space="preserve">殘差占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總額</t>
    </r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</si>
  <si>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</si>
  <si>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</si>
  <si>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</si>
  <si>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</si>
  <si>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</si>
  <si>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</si>
  <si>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Kenilworth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Lancaster</t>
    </r>
    <r>
      <rPr>
        <sz val="9"/>
        <color rgb="FF595959"/>
        <rFont val="Noto Sans CJK SC"/>
        <family val="2"/>
      </rPr>
      <t xml:space="preserve">），成本走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</si>
  <si>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</si>
  <si>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多數比照 </t>
    </r>
    <r>
      <rPr>
        <sz val="9"/>
        <color rgb="FF595959"/>
        <rFont val="Arial"/>
        <family val="0"/>
        <charset val="1"/>
      </rPr>
      <t xml:space="preserve">Helios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APLD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CORZ </t>
    </r>
    <r>
      <rPr>
        <sz val="9"/>
        <color rgb="FF595959"/>
        <rFont val="Noto Sans CJK SC"/>
        <family val="2"/>
      </rPr>
      <t xml:space="preserve">的租金水準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</si>
  <si>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</si>
  <si>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</si>
  <si>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</si>
  <si>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Noto Sans CJK SC"/>
        <family val="2"/>
      </rPr>
      <t xml:space="preserve">經濟性（</t>
    </r>
    <r>
      <rPr>
        <b val="true"/>
        <sz val="14"/>
        <rFont val="Arial"/>
        <family val="0"/>
        <charset val="1"/>
      </rPr>
      <t xml:space="preserve">W2</t>
    </r>
    <r>
      <rPr>
        <b val="true"/>
        <sz val="14"/>
        <rFont val="Noto Sans CJK SC"/>
        <family val="2"/>
      </rPr>
      <t xml:space="preserve">：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物理與產業數據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公司專屬輸入）</t>
    </r>
  </si>
  <si>
    <r>
      <rPr>
        <sz val="9"/>
        <color rgb="FF595959"/>
        <rFont val="Noto Sans CJK SC"/>
        <family val="2"/>
      </rPr>
      <t xml:space="preserve">方法：資本支出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／營運成本 </t>
    </r>
    <r>
      <rPr>
        <sz val="9"/>
        <color rgb="FF595959"/>
        <rFont val="Arial"/>
        <family val="0"/>
        <charset val="1"/>
      </rPr>
      <t xml:space="preserve">bottomUp</t>
    </r>
    <r>
      <rPr>
        <sz val="9"/>
        <color rgb="FF595959"/>
        <rFont val="Noto Sans CJK SC"/>
        <family val="2"/>
      </rPr>
      <t xml:space="preserve">／收入 </t>
    </r>
    <r>
      <rPr>
        <sz val="9"/>
        <color rgb="FF595959"/>
        <rFont val="Arial"/>
        <family val="0"/>
        <charset val="1"/>
      </rPr>
      <t xml:space="preserve">tkAnchor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methodology.perMw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值＝期間金額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期間長度（年化）。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</si>
  <si>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經濟性彙總（每平均在役 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、年化；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／年；目前情境）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</si>
  <si>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</si>
  <si>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時同上；設施口徑時 </t>
    </r>
    <r>
      <rPr>
        <sz val="9"/>
        <color rgb="FF595959"/>
        <rFont val="Arial"/>
        <family val="0"/>
        <charset val="1"/>
      </rPr>
      <t xml:space="preserve">÷ IF_FacilityGW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</si>
  <si>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（設施＝</t>
    </r>
    <r>
      <rPr>
        <sz val="10"/>
        <rFont val="Arial"/>
        <family val="0"/>
        <charset val="1"/>
      </rPr>
      <t xml:space="preserve">IT × IF_FacilityGW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</si>
  <si>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IF_FacilityGW </t>
    </r>
    <r>
      <rPr>
        <sz val="9"/>
        <color rgb="FF595959"/>
        <rFont val="Noto Sans CJK SC"/>
        <family val="2"/>
      </rPr>
      <t xml:space="preserve">依在役世代加權（基準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</si>
  <si>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年收入（算力＋服務）</t>
    </r>
  </si>
  <si>
    <r>
      <rPr>
        <sz val="9"/>
        <color rgb="FF595959"/>
        <rFont val="Noto Sans CJK SC"/>
        <family val="2"/>
      </rPr>
      <t xml:space="preserve">模型期總營收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期間長度</t>
    </r>
  </si>
  <si>
    <t xml:space="preserve">　其中：算力收入</t>
  </si>
  <si>
    <t xml:space="preserve">由下而上明細（下方）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</si>
  <si>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</t>
    </r>
  </si>
  <si>
    <t xml:space="preserve">人員、軟體、水與耗材</t>
  </si>
  <si>
    <t xml:space="preserve">財產稅與保險</t>
  </si>
  <si>
    <t xml:space="preserve">公司管銷與其他</t>
  </si>
  <si>
    <t xml:space="preserve">租金</t>
  </si>
  <si>
    <t xml:space="preserve">現金成本合計（含租金）</t>
  </si>
  <si>
    <r>
      <rPr>
        <sz val="9"/>
        <color rgb="FF595959"/>
        <rFont val="Noto Sans CJK SC"/>
        <family val="2"/>
      </rPr>
      <t xml:space="preserve">＝收入 −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（模型採用的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率；由下而上時＝上列各項合計）</t>
    </r>
  </si>
  <si>
    <t xml:space="preserve">EBITDA</t>
  </si>
  <si>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率（損益與資金共用）</t>
    </r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</si>
  <si>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（模型車隊折舊）</t>
    </r>
  </si>
  <si>
    <r>
      <rPr>
        <sz val="9"/>
        <color rgb="FF595959"/>
        <rFont val="Noto Sans CJK SC"/>
        <family val="2"/>
      </rPr>
      <t xml:space="preserve">模型車隊折舊（期初毛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壽命；在役世代加權的建置成本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壽命見『資本支出對照』</t>
    </r>
  </si>
  <si>
    <t xml:space="preserve">利息</t>
  </si>
  <si>
    <t xml:space="preserve">存量債務＋瀑布新債利息</t>
  </si>
  <si>
    <t xml:space="preserve">稅前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</si>
  <si>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EBITDA − D&amp;A − </t>
    </r>
    <r>
      <rPr>
        <sz val="9"/>
        <color rgb="FF595959"/>
        <rFont val="Noto Sans CJK SC"/>
        <family val="2"/>
      </rPr>
      <t xml:space="preserve">利息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</si>
  <si>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資本支出（新增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的建置成本）</t>
    </r>
  </si>
  <si>
    <r>
      <rPr>
        <sz val="9"/>
        <color rgb="FF595959"/>
        <rFont val="Noto Sans CJK SC"/>
        <family val="2"/>
      </rPr>
      <t xml:space="preserve">存量概念（每新增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一次性），與上列年化數字不同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</si>
  <si>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</si>
  <si>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 EBITDA</t>
    </r>
  </si>
  <si>
    <r>
      <rPr>
        <sz val="9"/>
        <color rgb="FF595959"/>
        <rFont val="Noto Sans CJK SC"/>
        <family val="2"/>
      </rPr>
      <t xml:space="preserve">讀法：每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 − 現金成本（含租金）＝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；再扣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與利息＝稅前。</t>
    </r>
    <r>
      <rPr>
        <sz val="9"/>
        <color rgb="FF595959"/>
        <rFont val="Arial"/>
        <family val="0"/>
        <charset val="1"/>
      </rPr>
      <t xml:space="preserve">W3 </t>
    </r>
    <r>
      <rPr>
        <sz val="9"/>
        <color rgb="FF595959"/>
        <rFont val="Noto Sans CJK SC"/>
        <family val="2"/>
      </rPr>
      <t xml:space="preserve">前後對照報告直接讀本表。</t>
    </r>
  </si>
  <si>
    <r>
      <rPr>
        <b val="true"/>
        <sz val="10"/>
        <color rgb="FF1F3864"/>
        <rFont val="Noto Sans CJK SC"/>
        <family val="2"/>
      </rPr>
      <t xml:space="preserve">▸ 世代結構推導（期初在役 → 汰換 → 新增 → 期末／平均在役；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，公司口徑）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</si>
  <si>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</si>
  <si>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在役（世代組合起點）；之後＝前期期末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</si>
  <si>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</si>
  <si>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</si>
  <si>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</si>
  <si>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</si>
  <si>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</si>
  <si>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（壽命到期批次，最舊世代先出）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</si>
  <si>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（與『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』同一批次），由世代清單中最舊的世代先出，以當期新增世代補回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</si>
  <si>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</si>
  <si>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</si>
  <si>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</si>
  <si>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</si>
  <si>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</si>
  <si>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（期末 </t>
    </r>
    <r>
      <rPr>
        <sz val="10"/>
        <rFont val="Arial"/>
        <family val="0"/>
        <charset val="1"/>
      </rPr>
      <t xml:space="preserve">Accepted − </t>
    </r>
    <r>
      <rPr>
        <sz val="10"/>
        <rFont val="Noto Sans CJK SC"/>
        <family val="2"/>
      </rPr>
      <t xml:space="preserve">期初，不為負）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</si>
  <si>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</si>
  <si>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</si>
  <si>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</si>
  <si>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</si>
  <si>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</si>
  <si>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</si>
  <si>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</si>
  <si>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</si>
  <si>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</si>
  <si>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</si>
  <si>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</si>
  <si>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</si>
  <si>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Accepted</t>
    </r>
    <r>
      <rPr>
        <sz val="9"/>
        <color rgb="FF595959"/>
        <rFont val="Noto Sans CJK SC"/>
        <family val="2"/>
      </rPr>
      <t xml:space="preserve">）；每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值的分母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</si>
  <si>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</si>
  <si>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</si>
  <si>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</si>
  <si>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</si>
  <si>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</si>
  <si>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機齡與保固（</t>
    </r>
    <r>
      <rPr>
        <b val="true"/>
        <sz val="10"/>
        <color rgb="FF1F3864"/>
        <rFont val="Arial"/>
        <family val="0"/>
        <charset val="1"/>
      </rPr>
      <t xml:space="preserve">W6</t>
    </r>
    <r>
      <rPr>
        <b val="true"/>
        <sz val="10"/>
        <color rgb="FF1F3864"/>
        <rFont val="Noto Sans CJK SC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Noto Sans CJK SC"/>
        <family val="2"/>
      </rPr>
      <t xml:space="preserve">維護依機齡兩段；保固期內 </t>
    </r>
    <r>
      <rPr>
        <b val="true"/>
        <sz val="10"/>
        <color rgb="FF1F3864"/>
        <rFont val="Arial"/>
        <family val="0"/>
        <charset val="1"/>
      </rPr>
      <t xml:space="preserve">MW × IF_MaintITWarr</t>
    </r>
    <r>
      <rPr>
        <b val="true"/>
        <sz val="10"/>
        <color rgb="FF1F3864"/>
        <rFont val="Noto Sans CJK SC"/>
        <family val="2"/>
      </rPr>
      <t xml:space="preserve">＋保固期滿 </t>
    </r>
    <r>
      <rPr>
        <b val="true"/>
        <sz val="10"/>
        <color rgb="FF1F3864"/>
        <rFont val="Arial"/>
        <family val="0"/>
        <charset val="1"/>
      </rPr>
      <t xml:space="preserve">MW × IF_MaintITPost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</si>
  <si>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機齡｜期間起點（距期初，年）</t>
  </si>
  <si>
    <r>
      <rPr>
        <sz val="9"/>
        <color rgb="FF595959"/>
        <rFont val="Noto Sans CJK SC"/>
        <family val="2"/>
      </rPr>
      <t xml:space="preserve">時間以 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（首期期初＝評價日）起算的年數</t>
    </r>
  </si>
  <si>
    <t xml:space="preserve">機齡｜期間終點（距期初，年）</t>
  </si>
  <si>
    <r>
      <rPr>
        <sz val="10"/>
        <rFont val="Noto Sans CJK SC"/>
        <family val="2"/>
      </rPr>
      <t xml:space="preserve">機齡｜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原廠保固年限（</t>
    </r>
    <r>
      <rPr>
        <sz val="10"/>
        <rFont val="Arial"/>
        <family val="0"/>
        <charset val="1"/>
      </rPr>
      <t xml:space="preserve">IF_WarrantyYrs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</si>
  <si>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</t>
    </r>
  </si>
  <si>
    <t xml:space="preserve">＝到期前占該期的比例；期初層保固到期＝保固年限 − 評價日時機齡</t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</si>
  <si>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</si>
  <si>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</si>
  <si>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</si>
  <si>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</t>
    </r>
  </si>
  <si>
    <r>
      <rPr>
        <sz val="9"/>
        <color rgb="FF595959"/>
        <rFont val="Noto Sans CJK SC"/>
        <family val="2"/>
      </rPr>
      <t xml:space="preserve">各期新增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（含汰換補回）於該期中點投入、到期＝中點＋保固年限；當期新增只計平均在役的一半（與平均在役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一致）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</si>
  <si>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</si>
  <si>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</si>
  <si>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</si>
  <si>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</si>
  <si>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</si>
  <si>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平均在役</t>
    </r>
    <r>
      <rPr>
        <sz val="9"/>
        <color rgb="FF595959"/>
        <rFont val="Arial"/>
        <family val="0"/>
        <charset val="1"/>
      </rPr>
      <t xml:space="preserve">, Σ </t>
    </r>
    <r>
      <rPr>
        <sz val="9"/>
        <color rgb="FF595959"/>
        <rFont val="Noto Sans CJK SC"/>
        <family val="2"/>
      </rPr>
      <t xml:space="preserve">期初層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比例＋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前期新增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比例＋</t>
    </r>
    <r>
      <rPr>
        <sz val="9"/>
        <color rgb="FF595959"/>
        <rFont val="Arial"/>
        <family val="0"/>
        <charset val="1"/>
      </rPr>
      <t xml:space="preserve">½ × </t>
    </r>
    <r>
      <rPr>
        <sz val="9"/>
        <color rgb="FF595959"/>
        <rFont val="Noto Sans CJK SC"/>
        <family val="2"/>
      </rPr>
      <t xml:space="preserve">當期新增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</si>
  <si>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</si>
  <si>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</si>
  <si>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</si>
  <si>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</si>
  <si>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</si>
  <si>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</si>
  <si>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</si>
  <si>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</si>
  <si>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</si>
  <si>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保固期內占比（平均在役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</si>
  <si>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由下而上營運成本（租金前；</t>
    </r>
    <r>
      <rPr>
        <b val="true"/>
        <sz val="10"/>
        <color rgb="FF1F3864"/>
        <rFont val="Arial"/>
        <family val="0"/>
        <charset val="1"/>
      </rPr>
      <t xml:space="preserve">US$bn</t>
    </r>
    <r>
      <rPr>
        <b val="true"/>
        <sz val="10"/>
        <color rgb="FF1F3864"/>
        <rFont val="Noto Sans CJK SC"/>
        <family val="2"/>
      </rPr>
      <t xml:space="preserve">，模型期）——模型採用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</si>
  <si>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電費（世代加權）</t>
    </r>
  </si>
  <si>
    <r>
      <rPr>
        <sz val="9"/>
        <color rgb="FF595959"/>
        <rFont val="Arial"/>
        <family val="0"/>
        <charset val="1"/>
      </rPr>
      <t xml:space="preserve">Tokenomics IF_PowerCost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IT GW </t>
    </r>
    <r>
      <rPr>
        <sz val="9"/>
        <color rgb="FF595959"/>
        <rFont val="Noto Sans CJK SC"/>
        <family val="2"/>
      </rPr>
      <t xml:space="preserve">年電費，已含平均用電比與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</si>
  <si>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維護（世代加權）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</si>
  <si>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：依機齡兩段＝（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保固期內 </t>
    </r>
    <r>
      <rPr>
        <sz val="9"/>
        <color rgb="FF595959"/>
        <rFont val="Arial"/>
        <family val="0"/>
        <charset val="1"/>
      </rPr>
      <t xml:space="preserve">MW × IF_MaintITWarr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保固期滿 </t>
    </r>
    <r>
      <rPr>
        <sz val="9"/>
        <color rgb="FF595959"/>
        <rFont val="Arial"/>
        <family val="0"/>
        <charset val="1"/>
      </rPr>
      <t xml:space="preserve">MW × IF_MaintITPost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</si>
  <si>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維護｜保固期內部分（</t>
    </r>
    <r>
      <rPr>
        <sz val="10"/>
        <rFont val="Arial"/>
        <family val="0"/>
        <charset val="1"/>
      </rPr>
      <t xml:space="preserve">IF_MaintITWarr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</si>
  <si>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維護｜保固期滿部分（</t>
    </r>
    <r>
      <rPr>
        <sz val="10"/>
        <rFont val="Arial"/>
        <family val="0"/>
        <charset val="1"/>
      </rPr>
      <t xml:space="preserve">IF_MaintITPost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</si>
  <si>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維護｜等值費率 </t>
    </r>
    <r>
      <rPr>
        <sz val="10"/>
        <rFont val="Arial"/>
        <family val="0"/>
        <charset val="1"/>
      </rPr>
      <t xml:space="preserve">IF_MaintIT</t>
    </r>
    <r>
      <rPr>
        <sz val="10"/>
        <rFont val="Noto Sans CJK SC"/>
        <family val="2"/>
      </rPr>
      <t xml:space="preserve">（對照，不入損益）</t>
    </r>
  </si>
  <si>
    <r>
      <rPr>
        <sz val="9"/>
        <color rgb="FF595959"/>
        <rFont val="Arial"/>
        <family val="0"/>
        <charset val="1"/>
      </rPr>
      <t xml:space="preserve">Tokenomics v5.31 </t>
    </r>
    <r>
      <rPr>
        <sz val="9"/>
        <color rgb="FF595959"/>
        <rFont val="Noto Sans CJK SC"/>
        <family val="2"/>
      </rPr>
      <t xml:space="preserve">壽命期等值費率（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IF_MaintIT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v4.7 </t>
    </r>
    <r>
      <rPr>
        <sz val="9"/>
        <color rgb="FF595959"/>
        <rFont val="Noto Sans CJK SC"/>
        <family val="2"/>
      </rPr>
      <t xml:space="preserve">以前的口徑，只作對照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</si>
  <si>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人員、軟體、水與耗材</t>
    </r>
  </si>
  <si>
    <t xml:space="preserve">Tokenomics 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</si>
  <si>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財產稅與保險（只算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</si>
  <si>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Arial"/>
        <family val="0"/>
        <charset val="1"/>
      </rPr>
      <t xml:space="preserve">Tokenomics IF_TaxIns × IT </t>
    </r>
    <r>
      <rPr>
        <sz val="9"/>
        <color rgb="FF595959"/>
        <rFont val="Noto Sans CJK SC"/>
        <family val="2"/>
      </rPr>
      <t xml:space="preserve">資本占總資本比（廠房屬房東）</t>
    </r>
  </si>
  <si>
    <t xml:space="preserve">電費（金額）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</si>
  <si>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÷ 1000 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</si>
  <si>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維護（金額）</t>
    </r>
  </si>
  <si>
    <t xml:space="preserve">人員、軟體、水與耗材（金額）</t>
  </si>
  <si>
    <t xml:space="preserve">財產稅與保險（金額）</t>
  </si>
  <si>
    <t xml:space="preserve">管銷率</t>
  </si>
  <si>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區『由下而上營運成本輸入』：最近一季實際，各期持平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</si>
  <si>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公司管銷與其他（金額）</t>
  </si>
  <si>
    <t xml:space="preserve">現金營運成本合計（租金前）</t>
  </si>
  <si>
    <t xml:space="preserve">廠房維護與廠房折舊不計（房東負擔，含在租金）</t>
  </si>
  <si>
    <r>
      <rPr>
        <sz val="10"/>
        <rFont val="Noto Sans CJK SC"/>
        <family val="2"/>
      </rPr>
      <t xml:space="preserve">由下而上 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</si>
  <si>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</t>
    </r>
    <r>
      <rPr>
        <sz val="9"/>
        <color rgb="FF595959"/>
        <rFont val="Noto Sans CJK SC"/>
        <family val="2"/>
      </rPr>
      <t xml:space="preserve">（現金營運成本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營收）</t>
    </r>
  </si>
  <si>
    <t xml:space="preserve">租金合計</t>
  </si>
  <si>
    <r>
      <rPr>
        <sz val="9"/>
        <color rgb="FF595959"/>
        <rFont val="Noto Sans CJK SC"/>
        <family val="2"/>
      </rPr>
      <t xml:space="preserve">在帳＋表外現金租金（只扣一次：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 − 租金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營收）</t>
    </r>
  </si>
  <si>
    <r>
      <rPr>
        <sz val="10"/>
        <rFont val="Noto Sans CJK SC"/>
        <family val="2"/>
      </rPr>
      <t xml:space="preserve">由下而上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</si>
  <si>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率（模型採用）</t>
    </r>
  </si>
  <si>
    <r>
      <rPr>
        <sz val="9"/>
        <color rgb="FF595959"/>
        <rFont val="Noto Sans CJK SC"/>
        <family val="2"/>
      </rPr>
      <t xml:space="preserve">＝由下而上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率＋（穩態輸入 − 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期數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（穩態輸入預設＝由下而上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，差額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</si>
  <si>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收入對照（收入方法：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錨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定價倍數 </t>
    </r>
    <r>
      <rPr>
        <b val="true"/>
        <sz val="10"/>
        <color rgb="FF1F3864"/>
        <rFont val="Arial"/>
        <family val="0"/>
        <charset val="1"/>
      </rPr>
      <t xml:space="preserve">k</t>
    </r>
    <r>
      <rPr>
        <b val="true"/>
        <sz val="10"/>
        <color rgb="FF1F3864"/>
        <rFont val="Noto Sans CJK SC"/>
        <family val="2"/>
      </rPr>
      <t xml:space="preserve">（下一區）——以下為對照列）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</si>
  <si>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年收入（模型採用，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</si>
  <si>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年收入』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倍數；收入端另乘利用率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</si>
  <si>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年收入（計費後＝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</si>
  <si>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v4.6 </t>
    </r>
    <r>
      <rPr>
        <sz val="10"/>
        <rFont val="Noto Sans CJK SC"/>
        <family val="2"/>
      </rPr>
      <t xml:space="preserve">舊輸入 </t>
    </r>
    <r>
      <rPr>
        <sz val="10"/>
        <rFont val="Arial"/>
        <family val="0"/>
        <charset val="1"/>
      </rPr>
      <t xml:space="preserve">m.revMW</t>
    </r>
    <r>
      <rPr>
        <sz val="10"/>
        <rFont val="Noto Sans CJK SC"/>
        <family val="2"/>
      </rPr>
      <t xml:space="preserve">，對照）</t>
    </r>
  </si>
  <si>
    <r>
      <rPr>
        <sz val="9"/>
        <color rgb="FF595959"/>
        <rFont val="Arial"/>
        <family val="0"/>
        <charset val="1"/>
      </rPr>
      <t xml:space="preserve">company.json → defaults.m.revMW</t>
    </r>
    <r>
      <rPr>
        <sz val="9"/>
        <color rgb="FF595959"/>
        <rFont val="Noto Sans CJK SC"/>
        <family val="2"/>
      </rPr>
      <t xml:space="preserve">（舊方法以期末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指引回推，只作對照）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</si>
  <si>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ARR </t>
    </r>
    <r>
      <rPr>
        <sz val="10"/>
        <rFont val="Noto Sans CJK SC"/>
        <family val="2"/>
      </rPr>
      <t xml:space="preserve">指引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年底主動電力（公司數字，只作對照）</t>
    </r>
  </si>
  <si>
    <r>
      <rPr>
        <sz val="9"/>
        <color rgb="FF595959"/>
        <rFont val="Noto Sans CJK SC"/>
        <family val="2"/>
      </rPr>
      <t xml:space="preserve">法說：期末 </t>
    </r>
    <r>
      <rPr>
        <sz val="9"/>
        <color rgb="FF595959"/>
        <rFont val="Arial"/>
        <family val="0"/>
        <charset val="1"/>
      </rPr>
      <t xml:space="preserve">ARR 18.5–19.5 ÷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1.85 GW [Derived]</t>
    </r>
    <r>
      <rPr>
        <sz val="9"/>
        <color rgb="FF595959"/>
        <rFont val="Noto Sans CJK SC"/>
        <family val="2"/>
      </rPr>
      <t xml:space="preserve">；公司數字不作參數（共同規則第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</si>
  <si>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GPU </t>
    </r>
    <r>
      <rPr>
        <sz val="10"/>
        <rFont val="Noto Sans CJK SC"/>
        <family val="2"/>
      </rPr>
      <t xml:space="preserve">數（世代加權）</t>
    </r>
  </si>
  <si>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</si>
  <si>
    <r>
      <rPr>
        <sz val="9"/>
        <color rgb="FF595959"/>
        <rFont val="Arial"/>
        <family val="0"/>
        <charset val="1"/>
      </rPr>
      <t xml:space="preserve">Tokenomics IF_GPUsPerGW 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</si>
  <si>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小時價格路線：每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</si>
  <si>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GPU </t>
    </r>
    <r>
      <rPr>
        <sz val="9"/>
        <color rgb="FF595959"/>
        <rFont val="Noto Sans CJK SC"/>
        <family val="2"/>
      </rPr>
      <t xml:space="preserve">小時合約價 </t>
    </r>
    <r>
      <rPr>
        <sz val="9"/>
        <color rgb="FF595959"/>
        <rFont val="Arial"/>
        <family val="0"/>
        <charset val="1"/>
      </rPr>
      <t xml:space="preserve">× 8,760 ÷ 10⁶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計費時數）；</t>
    </r>
    <r>
      <rPr>
        <sz val="9"/>
        <color rgb="FF595959"/>
        <rFont val="Arial"/>
        <family val="0"/>
        <charset val="1"/>
      </rPr>
      <t xml:space="preserve">company.json → pricing.gpuHr </t>
    </r>
    <r>
      <rPr>
        <sz val="9"/>
        <color rgb="FF595959"/>
        <rFont val="Noto Sans CJK SC"/>
        <family val="2"/>
      </rPr>
      <t xml:space="preserve">未填（</t>
    </r>
    <r>
      <rPr>
        <sz val="9"/>
        <color rgb="FF595959"/>
        <rFont val="Arial"/>
        <family val="0"/>
        <charset val="1"/>
      </rPr>
      <t xml:space="preserve">W1</t>
    </r>
    <r>
      <rPr>
        <sz val="9"/>
        <color rgb="FF595959"/>
        <rFont val="Noto Sans CJK SC"/>
        <family val="2"/>
      </rPr>
      <t xml:space="preserve">：長約價不足兩個獨立來源）→ 不適用</t>
    </r>
  </si>
  <si>
    <r>
      <rPr>
        <sz val="10"/>
        <rFont val="Noto Sans CJK SC"/>
        <family val="2"/>
      </rPr>
      <t xml:space="preserve">隱含每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小時價格（反算對照，不是輸入）</t>
    </r>
  </si>
  <si>
    <t xml:space="preserve">US$/GPU-hr</t>
  </si>
  <si>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8,760</t>
    </r>
    <r>
      <rPr>
        <sz val="9"/>
        <color rgb="FF595959"/>
        <rFont val="Noto Sans CJK SC"/>
        <family val="2"/>
      </rPr>
      <t xml:space="preserve">）；利用率在收入端另乘，故不再除以利用率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</si>
  <si>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小時經濟持有成本（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數加權）</t>
    </r>
  </si>
  <si>
    <r>
      <rPr>
        <sz val="9"/>
        <color rgb="FF595959"/>
        <rFont val="Arial"/>
        <family val="0"/>
        <charset val="1"/>
      </rPr>
      <t xml:space="preserve">Tokenomics 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時數、不含利潤）</t>
    </r>
  </si>
  <si>
    <r>
      <rPr>
        <sz val="10"/>
        <rFont val="Noto Sans CJK SC"/>
        <family val="2"/>
      </rPr>
      <t xml:space="preserve">隱含價格 </t>
    </r>
    <r>
      <rPr>
        <sz val="10"/>
        <rFont val="Arial"/>
        <family val="0"/>
        <charset val="1"/>
      </rPr>
      <t xml:space="preserve">÷ GPU </t>
    </r>
    <r>
      <rPr>
        <sz val="10"/>
        <rFont val="Noto Sans CJK SC"/>
        <family val="2"/>
      </rPr>
      <t xml:space="preserve">小時持有成本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</si>
  <si>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經濟持有成本（不賠錢下限）</t>
    </r>
  </si>
  <si>
    <r>
      <rPr>
        <sz val="9"/>
        <color rgb="FF595959"/>
        <rFont val="Arial"/>
        <family val="0"/>
        <charset val="1"/>
      </rPr>
      <t xml:space="preserve">Tokenomics IF_HoldEcon </t>
    </r>
    <r>
      <rPr>
        <sz val="9"/>
        <color rgb="FF595959"/>
        <rFont val="Noto Sans CJK SC"/>
        <family val="2"/>
      </rPr>
      <t xml:space="preserve">依在役世代加權（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時數、含廠房資本回收；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廠房走租金，故此線高於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持有成本）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</si>
  <si>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經濟持有成本</t>
    </r>
  </si>
  <si>
    <r>
      <rPr>
        <sz val="10"/>
        <rFont val="Noto Sans CJK SC"/>
        <family val="2"/>
      </rPr>
      <t xml:space="preserve">同業｜</t>
    </r>
    <r>
      <rPr>
        <sz val="10"/>
        <rFont val="Arial"/>
        <family val="0"/>
        <charset val="1"/>
      </rPr>
      <t xml:space="preserve">IREN–Microsoft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年合約）</t>
    </r>
  </si>
  <si>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；同業合約（非 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），含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</si>
  <si>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租金指數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</si>
  <si>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；市場現行租金指數（非長約）；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</si>
  <si>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H100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</si>
  <si>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；隨需牌價（長約最多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（官網價目，頁面無日期）（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</si>
  <si>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GB200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</si>
  <si>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；隨需牌價（長約最多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Tokenomics L1_GPUhr_GB200_vsCW </t>
    </r>
    <r>
      <rPr>
        <sz val="9"/>
        <color rgb="FF595959"/>
        <rFont val="Noto Sans CJK SC"/>
        <family val="2"/>
      </rPr>
      <t xml:space="preserve">同一底層來源）；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（官網價目，頁面無日期）（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</si>
  <si>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租金指數（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</si>
  <si>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；市場指數；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類比，區間 </t>
    </r>
    <r>
      <rPr>
        <sz val="9"/>
        <color rgb="FF595959"/>
        <rFont val="Arial"/>
        <family val="0"/>
        <charset val="1"/>
      </rPr>
      <t xml:space="preserve">4.08–6.11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</si>
  <si>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租金指數（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</si>
  <si>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；市場指數；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類比，區間 </t>
    </r>
    <r>
      <rPr>
        <sz val="9"/>
        <color rgb="FF595959"/>
        <rFont val="Arial"/>
        <family val="0"/>
        <charset val="1"/>
      </rPr>
      <t xml:space="preserve">6.82–7.85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</si>
  <si>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B300 Nebius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</si>
  <si>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；隨需牌價（</t>
    </r>
    <r>
      <rPr>
        <sz val="9"/>
        <color rgb="FF595959"/>
        <rFont val="Arial"/>
        <family val="0"/>
        <charset val="1"/>
      </rPr>
      <t xml:space="preserve">10/1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</si>
  <si>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收入：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錨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定價倍數 </t>
    </r>
    <r>
      <rPr>
        <b val="true"/>
        <sz val="10"/>
        <color rgb="FF1F3864"/>
        <rFont val="Arial"/>
        <family val="0"/>
        <charset val="1"/>
      </rPr>
      <t xml:space="preserve">k</t>
    </r>
    <r>
      <rPr>
        <b val="true"/>
        <sz val="10"/>
        <color rgb="FF1F3864"/>
        <rFont val="Noto Sans CJK SC"/>
        <family val="2"/>
      </rPr>
      <t xml:space="preserve">（</t>
    </r>
    <r>
      <rPr>
        <b val="true"/>
        <sz val="10"/>
        <color rgb="FF1F3864"/>
        <rFont val="Arial"/>
        <family val="0"/>
        <charset val="1"/>
      </rPr>
      <t xml:space="preserve">W4</t>
    </r>
    <r>
      <rPr>
        <b val="true"/>
        <sz val="10"/>
        <color rgb="FF1F3864"/>
        <rFont val="Noto Sans CJK SC"/>
        <family val="2"/>
      </rPr>
      <t xml:space="preserve">）——模型採用</t>
    </r>
  </si>
  <si>
    <r>
      <rPr>
        <sz val="10"/>
        <rFont val="Noto Sans CJK SC"/>
        <family val="2"/>
      </rPr>
      <t xml:space="preserve">錨｜每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</si>
  <si>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IF_HoldEcon</t>
    </r>
    <r>
      <rPr>
        <sz val="9"/>
        <color rgb="FF595959"/>
        <rFont val="Noto Sans CJK SC"/>
        <family val="2"/>
      </rPr>
      <t xml:space="preserve">（目前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下的打平租金，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時數，含廠房資本回收）</t>
    </r>
  </si>
  <si>
    <r>
      <rPr>
        <sz val="10"/>
        <rFont val="Noto Sans CJK SC"/>
        <family val="2"/>
      </rPr>
      <t xml:space="preserve">錨｜排程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</si>
  <si>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產能與收入』排程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（期初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桶權重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認列比例）；只用於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覆蓋率對照列，不用來反推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</si>
  <si>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Noto Sans CJK SC"/>
        <family val="2"/>
      </rPr>
      <t xml:space="preserve">錨｜平均計費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</si>
  <si>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產能與收入』平均在役（</t>
    </r>
    <r>
      <rPr>
        <sz val="9"/>
        <color rgb="FF595959"/>
        <rFont val="Arial"/>
        <family val="0"/>
        <charset val="1"/>
      </rPr>
      <t xml:space="preserve">Billable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；收入端的分母</t>
    </r>
  </si>
  <si>
    <t xml:space="preserve">錨｜利用率</t>
  </si>
  <si>
    <r>
      <rPr>
        <sz val="10"/>
        <rFont val="Noto Sans CJK SC"/>
        <family val="2"/>
      </rPr>
      <t xml:space="preserve">長約價產能收入（平均計費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期間長度）</t>
    </r>
  </si>
  <si>
    <r>
      <rPr>
        <sz val="9"/>
        <color rgb="FF595959"/>
        <rFont val="Noto Sans CJK SC"/>
        <family val="2"/>
      </rPr>
      <t xml:space="preserve">在役計費產能全部以長約價計的收入（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</si>
  <si>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涵蓋的產能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在役計費產能（對照，不驅動）</t>
    </r>
  </si>
  <si>
    <r>
      <rPr>
        <sz val="9"/>
        <color rgb="FF595959"/>
        <rFont val="Noto Sans CJK SC"/>
        <family val="2"/>
      </rPr>
      <t xml:space="preserve">＝排程 </t>
    </r>
    <r>
      <rPr>
        <sz val="9"/>
        <color rgb="FF595959"/>
        <rFont val="Arial"/>
        <family val="0"/>
        <charset val="1"/>
      </rPr>
      <t xml:space="preserve">RPO ÷ </t>
    </r>
    <r>
      <rPr>
        <sz val="9"/>
        <color rgb="FF595959"/>
        <rFont val="Noto Sans CJK SC"/>
        <family val="2"/>
      </rPr>
      <t xml:space="preserve">長約價產能收入：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金額以長約價換成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後占在役計費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的比例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起只作對照——未被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覆蓋的新增產能也按長約價出售（先簽約再建產能）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</si>
  <si>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長約（依目前成本情境重算）</t>
    </r>
  </si>
  <si>
    <r>
      <rPr>
        <sz val="9"/>
        <color rgb="FF595959"/>
        <rFont val="Noto Sans CJK SC"/>
        <family val="2"/>
      </rPr>
      <t xml:space="preserve">＝輸入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基準證據世代成本（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，基準）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同名稱目前成本情境：價格是事實，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同情境持有成本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</si>
  <si>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現貨（依目前成本情境重算）</t>
    </r>
  </si>
  <si>
    <r>
      <rPr>
        <sz val="9"/>
        <color rgb="FF595959"/>
        <rFont val="Noto Sans CJK SC"/>
        <family val="2"/>
      </rPr>
      <t xml:space="preserve">＝輸入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× 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（基準）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目前成本情境</t>
    </r>
  </si>
  <si>
    <t xml:space="preserve">隨需占比（輸入）</t>
  </si>
  <si>
    <r>
      <rPr>
        <sz val="9"/>
        <color rgb="FF595959"/>
        <rFont val="Noto Sans CJK SC"/>
        <family val="2"/>
      </rPr>
      <t xml:space="preserve">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區後『定價倍數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』</t>
    </r>
  </si>
  <si>
    <t xml:space="preserve">新約價格調整（輸入；只作用於長約部分）</t>
  </si>
  <si>
    <r>
      <rPr>
        <sz val="9"/>
        <color rgb="FF595959"/>
        <rFont val="Noto Sans CJK SC"/>
        <family val="2"/>
      </rPr>
      <t xml:space="preserve">輸入頁『定價倍數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』區；基準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，敏感度 </t>
    </r>
    <r>
      <rPr>
        <sz val="9"/>
        <color rgb="FF595959"/>
        <rFont val="Arial"/>
        <family val="0"/>
        <charset val="1"/>
      </rPr>
      <t xml:space="preserve">+25%</t>
    </r>
    <r>
      <rPr>
        <sz val="9"/>
        <color rgb="FF595959"/>
        <rFont val="Noto Sans CJK SC"/>
        <family val="2"/>
      </rPr>
      <t xml:space="preserve">（公司說法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</si>
  <si>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新約（隨需占比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現貨 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隨需占比）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＋新約價格調整））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</si>
  <si>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後新增與汰換補回的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</si>
  <si>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｜期初（最新季末在役，逐期扣汰換）</t>
    </r>
  </si>
  <si>
    <r>
      <rPr>
        <sz val="9"/>
        <color rgb="FF595959"/>
        <rFont val="Noto Sans CJK SC"/>
        <family val="2"/>
      </rPr>
      <t xml:space="preserve">＝最新季末在役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（既有合約）；之後＝前期期末</t>
    </r>
  </si>
  <si>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｜期末</t>
    </r>
  </si>
  <si>
    <r>
      <rPr>
        <sz val="9"/>
        <color rgb="FF595959"/>
        <rFont val="Noto Sans CJK SC"/>
        <family val="2"/>
      </rPr>
      <t xml:space="preserve">＝期初 − 汰換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（汰換由最舊世代先出，即既有機隊）</t>
    </r>
  </si>
  <si>
    <r>
      <rPr>
        <sz val="10"/>
        <rFont val="Noto Sans CJK SC"/>
        <family val="2"/>
      </rPr>
      <t xml:space="preserve">既有合約占比（平均既有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開關）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</si>
  <si>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年收入（營收 </t>
    </r>
    <r>
      <rPr>
        <sz val="10"/>
        <rFont val="Arial"/>
        <family val="0"/>
        <charset val="1"/>
      </rPr>
      <t xml:space="preserve">× 4 ÷ Q2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</si>
  <si>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營收年化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（季末主動電力 − 當季新增 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</si>
  <si>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服務收入（首期服務年化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</si>
  <si>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服務收入未揭露：以模型首期服務收入的年化值代替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</si>
  <si>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計費比例（季末 </t>
    </r>
    <r>
      <rPr>
        <sz val="10"/>
        <rFont val="Arial"/>
        <family val="0"/>
        <charset val="1"/>
      </rPr>
      <t xml:space="preserve">Billable ÷ </t>
    </r>
    <r>
      <rPr>
        <sz val="10"/>
        <rFont val="Noto Sans CJK SC"/>
        <family val="2"/>
      </rPr>
      <t xml:space="preserve">季末在役，假設）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</si>
  <si>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利用率（＝首期利用率，假設）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</si>
  <si>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</si>
  <si>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錨（季末在役世代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，目前成本情境）</t>
    </r>
  </si>
  <si>
    <r>
      <rPr>
        <sz val="9"/>
        <color rgb="FF595959"/>
        <rFont val="Noto Sans CJK SC"/>
        <family val="2"/>
      </rPr>
      <t xml:space="preserve">世代組合期初占比 </t>
    </r>
    <r>
      <rPr>
        <sz val="9"/>
        <color rgb="FF595959"/>
        <rFont val="Arial"/>
        <family val="0"/>
        <charset val="1"/>
      </rPr>
      <t xml:space="preserve">× Tokenomics IF_HoldEcon</t>
    </r>
    <r>
      <rPr>
        <sz val="9"/>
        <color rgb="FF595959"/>
        <rFont val="Noto Sans CJK SC"/>
        <family val="2"/>
      </rPr>
      <t xml:space="preserve">（目前成本情境：價格是事實，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依同情境成本換算）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</si>
  <si>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實現單價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錨；合約期內固定）</t>
    </r>
  </si>
  <si>
    <r>
      <rPr>
        <sz val="9"/>
        <color rgb="FF595959"/>
        <rFont val="Noto Sans CJK SC"/>
        <family val="2"/>
      </rPr>
      <t xml:space="preserve">＝（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− 服務）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（計費比例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Q2 </t>
    </r>
    <r>
      <rPr>
        <sz val="9"/>
        <color rgb="FF595959"/>
        <rFont val="Noto Sans CJK SC"/>
        <family val="2"/>
      </rPr>
      <t xml:space="preserve">錨）；公司實況驗證頁第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列（工作單 </t>
    </r>
    <r>
      <rPr>
        <sz val="9"/>
        <color rgb="FF595959"/>
        <rFont val="Arial"/>
        <family val="0"/>
        <charset val="1"/>
      </rPr>
      <t xml:space="preserve">W5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4(a)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</si>
  <si>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（既有占比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既有 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既有占比）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新約）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</si>
  <si>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</si>
  <si>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模型採用：輸入頁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年收入』＝本列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（收入端另乘利用率與爬坡分母）</t>
    </r>
  </si>
  <si>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 </t>
    </r>
    <r>
      <rPr>
        <sz val="10"/>
        <rFont val="Noto Sans CJK SC"/>
        <family val="2"/>
      </rPr>
      <t xml:space="preserve">相對 </t>
    </r>
    <r>
      <rPr>
        <sz val="10"/>
        <rFont val="Arial"/>
        <family val="0"/>
        <charset val="1"/>
      </rPr>
      <t xml:space="preserve">v4.6 </t>
    </r>
    <r>
      <rPr>
        <sz val="10"/>
        <rFont val="Noto Sans CJK SC"/>
        <family val="2"/>
      </rPr>
      <t xml:space="preserve">舊輸入 </t>
    </r>
    <r>
      <rPr>
        <sz val="10"/>
        <rFont val="Arial"/>
        <family val="0"/>
        <charset val="1"/>
      </rPr>
      <t xml:space="preserve">m.revMW</t>
    </r>
  </si>
  <si>
    <r>
      <rPr>
        <sz val="10"/>
        <rFont val="Noto Sans CJK SC"/>
        <family val="2"/>
      </rPr>
      <t xml:space="preserve">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</si>
  <si>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客戶端（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有效單價、層級組合）每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營收的理想上限，依在役世代加權</t>
    </r>
  </si>
  <si>
    <r>
      <rPr>
        <sz val="10"/>
        <rFont val="Noto Sans CJK SC"/>
        <family val="2"/>
      </rPr>
      <t xml:space="preserve">上限檢查｜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</si>
  <si>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營收的比例；</t>
    </r>
    <r>
      <rPr>
        <sz val="9"/>
        <color rgb="FF595959"/>
        <rFont val="Arial"/>
        <family val="0"/>
        <charset val="1"/>
      </rPr>
      <t xml:space="preserve">&gt; 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methodology.checks.revCapShareMax</t>
    </r>
    <r>
      <rPr>
        <sz val="9"/>
        <color rgb="FF595959"/>
        <rFont val="Noto Sans CJK SC"/>
        <family val="2"/>
      </rPr>
      <t xml:space="preserve">）時『檢查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連動』警示</t>
    </r>
  </si>
  <si>
    <t xml:space="preserve">上限檢查｜各期結果</t>
  </si>
  <si>
    <r>
      <rPr>
        <b val="true"/>
        <sz val="10"/>
        <color rgb="FF1F3864"/>
        <rFont val="Noto Sans CJK SC"/>
        <family val="2"/>
      </rPr>
      <t xml:space="preserve">▸ 定價倍數 </t>
    </r>
    <r>
      <rPr>
        <b val="true"/>
        <sz val="10"/>
        <color rgb="FF1F3864"/>
        <rFont val="Arial"/>
        <family val="0"/>
        <charset val="1"/>
      </rPr>
      <t xml:space="preserve">k </t>
    </r>
    <r>
      <rPr>
        <b val="true"/>
        <sz val="10"/>
        <color rgb="FF1F3864"/>
        <rFont val="Noto Sans CJK SC"/>
        <family val="2"/>
      </rPr>
      <t xml:space="preserve">證據表（市場價格 </t>
    </r>
    <r>
      <rPr>
        <b val="true"/>
        <sz val="10"/>
        <color rgb="FF1F3864"/>
        <rFont val="Arial"/>
        <family val="0"/>
        <charset val="1"/>
      </rPr>
      <t xml:space="preserve">÷ Tokenomics </t>
    </r>
    <r>
      <rPr>
        <b val="true"/>
        <sz val="10"/>
        <color rgb="FF1F3864"/>
        <rFont val="Noto Sans CJK SC"/>
        <family val="2"/>
      </rPr>
      <t xml:space="preserve">同世代持有成本；用途：</t>
    </r>
    <r>
      <rPr>
        <b val="true"/>
        <sz val="10"/>
        <color rgb="FF1F3864"/>
        <rFont val="Arial"/>
        <family val="0"/>
        <charset val="1"/>
      </rPr>
      <t xml:space="preserve">long</t>
    </r>
    <r>
      <rPr>
        <b val="true"/>
        <sz val="10"/>
        <color rgb="FF1F3864"/>
        <rFont val="Noto Sans CJK SC"/>
        <family val="2"/>
      </rPr>
      <t xml:space="preserve">＝</t>
    </r>
    <r>
      <rPr>
        <b val="true"/>
        <sz val="10"/>
        <color rgb="FF1F3864"/>
        <rFont val="Arial"/>
        <family val="0"/>
        <charset val="1"/>
      </rPr>
      <t xml:space="preserve">k_</t>
    </r>
    <r>
      <rPr>
        <b val="true"/>
        <sz val="10"/>
        <color rgb="FF1F3864"/>
        <rFont val="Noto Sans CJK SC"/>
        <family val="2"/>
      </rPr>
      <t xml:space="preserve">長約基準、</t>
    </r>
    <r>
      <rPr>
        <b val="true"/>
        <sz val="10"/>
        <color rgb="FF1F3864"/>
        <rFont val="Arial"/>
        <family val="0"/>
        <charset val="1"/>
      </rPr>
      <t xml:space="preserve">spot</t>
    </r>
    <r>
      <rPr>
        <b val="true"/>
        <sz val="10"/>
        <color rgb="FF1F3864"/>
        <rFont val="Noto Sans CJK SC"/>
        <family val="2"/>
      </rPr>
      <t xml:space="preserve">＝</t>
    </r>
    <r>
      <rPr>
        <b val="true"/>
        <sz val="10"/>
        <color rgb="FF1F3864"/>
        <rFont val="Arial"/>
        <family val="0"/>
        <charset val="1"/>
      </rPr>
      <t xml:space="preserve">k_</t>
    </r>
    <r>
      <rPr>
        <b val="true"/>
        <sz val="10"/>
        <color rgb="FF1F3864"/>
        <rFont val="Noto Sans CJK SC"/>
        <family val="2"/>
      </rPr>
      <t xml:space="preserve">現貨基準、</t>
    </r>
    <r>
      <rPr>
        <b val="true"/>
        <sz val="10"/>
        <color rgb="FF1F3864"/>
        <rFont val="Arial"/>
        <family val="0"/>
        <charset val="1"/>
      </rPr>
      <t xml:space="preserve">range</t>
    </r>
    <r>
      <rPr>
        <b val="true"/>
        <sz val="10"/>
        <color rgb="FF1F3864"/>
        <rFont val="Noto Sans CJK SC"/>
        <family val="2"/>
      </rPr>
      <t xml:space="preserve">＝支持區間、</t>
    </r>
    <r>
      <rPr>
        <b val="true"/>
        <sz val="10"/>
        <color rgb="FF1F3864"/>
        <rFont val="Arial"/>
        <family val="0"/>
        <charset val="1"/>
      </rPr>
      <t xml:space="preserve">list</t>
    </r>
    <r>
      <rPr>
        <b val="true"/>
        <sz val="10"/>
        <color rgb="FF1F3864"/>
        <rFont val="Noto Sans CJK SC"/>
        <family val="2"/>
      </rPr>
      <t xml:space="preserve">＝只列不用）</t>
    </r>
  </si>
  <si>
    <t xml:space="preserve">證據</t>
  </si>
  <si>
    <t xml:space="preserve">價格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</si>
  <si>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同世代</t>
    </r>
  </si>
  <si>
    <t xml:space="preserve">倍數</t>
  </si>
  <si>
    <t xml:space="preserve">用途</t>
  </si>
  <si>
    <r>
      <rPr>
        <b val="true"/>
        <sz val="11"/>
        <color rgb="FFFFFFFF"/>
        <rFont val="Arial"/>
        <family val="0"/>
        <charset val="1"/>
      </rPr>
      <t xml:space="preserve">v5.27 </t>
    </r>
    <r>
      <rPr>
        <b val="true"/>
        <sz val="11"/>
        <color rgb="FFFFFFFF"/>
        <rFont val="Noto Sans CJK SC"/>
        <family val="2"/>
      </rPr>
      <t xml:space="preserve">倍數（</t>
    </r>
    <r>
      <rPr>
        <b val="true"/>
        <sz val="11"/>
        <color rgb="FFFFFFFF"/>
        <rFont val="Arial"/>
        <family val="0"/>
        <charset val="1"/>
      </rPr>
      <t xml:space="preserve">v4.7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</si>
  <si>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US$/GPU-hr</t>
    </r>
    <r>
      <rPr>
        <sz val="9"/>
        <color rgb="FF595959"/>
        <rFont val="Noto Sans CJK SC"/>
        <family val="2"/>
      </rPr>
      <t xml:space="preserve">）或 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IT MW</t>
    </r>
    <r>
      <rPr>
        <sz val="9"/>
        <color rgb="FF595959"/>
        <rFont val="Noto Sans CJK SC"/>
        <family val="2"/>
      </rPr>
      <t xml:space="preserve">／年），基準成本情境；世代｜合約型態｜期間｜來源（文件日期）標記｜說明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</si>
  <si>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</t>
    </r>
  </si>
  <si>
    <r>
      <rPr>
        <sz val="9"/>
        <color rgb="FF595959"/>
        <rFont val="Arial"/>
        <family val="0"/>
        <charset val="1"/>
      </rPr>
      <t xml:space="preserve">US$m/MW/</t>
    </r>
    <r>
      <rPr>
        <sz val="9"/>
        <color rgb="FF595959"/>
        <rFont val="Noto Sans CJK SC"/>
        <family val="2"/>
      </rPr>
      <t xml:space="preserve">年</t>
    </r>
  </si>
  <si>
    <t xml:space="preserve">long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</si>
  <si>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換算 ≈ </t>
    </r>
    <r>
      <rPr>
        <sz val="9"/>
        <color rgb="FF595959"/>
        <rFont val="Arial"/>
        <family val="0"/>
        <charset val="1"/>
      </rPr>
      <t xml:space="preserve">$2.27/GPU-hr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487 </t>
    </r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https://iren.gcs-web.com/news-releases/news-release-details/iren-secures-97bn-ai-cloud-contract-microsoft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</si>
  <si>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IREN–NVIDIA </t>
    </r>
    <r>
      <rPr>
        <sz val="10"/>
        <rFont val="Noto Sans CJK SC"/>
        <family val="2"/>
      </rPr>
      <t xml:space="preserve">氣冷 </t>
    </r>
    <r>
      <rPr>
        <sz val="10"/>
        <rFont val="Arial"/>
        <family val="0"/>
        <charset val="1"/>
      </rPr>
      <t xml:space="preserve">Blackwell </t>
    </r>
    <r>
      <rPr>
        <sz val="10"/>
        <rFont val="Noto Sans CJK SC"/>
        <family val="2"/>
      </rPr>
      <t xml:space="preserve">五年約（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</si>
  <si>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t xml:space="preserve">range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</si>
  <si>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｜長約（晶片商客戶）｜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IREN Secures $3.4bn AI Cloud Contract with NVIDIA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2026-05-07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$3.4bn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Childress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口徑未註明，視為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）；氣冷 </t>
    </r>
    <r>
      <rPr>
        <sz val="9"/>
        <color rgb="FF595959"/>
        <rFont val="Arial"/>
        <family val="0"/>
        <charset val="1"/>
      </rPr>
      <t xml:space="preserve">Blackwell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NVL72</t>
    </r>
    <r>
      <rPr>
        <sz val="9"/>
        <color rgb="FF595959"/>
        <rFont val="Noto Sans CJK SC"/>
        <family val="2"/>
      </rPr>
      <t xml:space="preserve">）以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類比；與第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筆同一供應商，只支持區間；三筆長約中位數＝本筆 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Noto Sans CJK SC"/>
        <family val="2"/>
      </rPr>
      <t xml:space="preserve">（敏感度）｜</t>
    </r>
    <r>
      <rPr>
        <sz val="9"/>
        <color rgb="FF595959"/>
        <rFont val="Arial"/>
        <family val="0"/>
        <charset val="1"/>
      </rPr>
      <t xml:space="preserve">https://iren.gcs-web.com/news-releases/news-release-details/iren-secures-34bn-ai-cloud-contract-nvidia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</si>
  <si>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$300bn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4.5 GW</t>
    </r>
    <r>
      <rPr>
        <sz val="10"/>
        <rFont val="Noto Sans CJK SC"/>
        <family val="2"/>
      </rPr>
      <t xml:space="preserve">（未經證實）</t>
    </r>
  </si>
  <si>
    <t xml:space="preserve">list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</si>
  <si>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對實驗室）｜約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起）｜</t>
    </r>
    <r>
      <rPr>
        <sz val="9"/>
        <color rgb="FF595959"/>
        <rFont val="Arial"/>
        <family val="0"/>
        <charset val="1"/>
      </rPr>
      <t xml:space="preserve">The Register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五年支付 </t>
    </r>
    <r>
      <rPr>
        <sz val="9"/>
        <color rgb="FF595959"/>
        <rFont val="Arial"/>
        <family val="0"/>
        <charset val="1"/>
      </rPr>
      <t xml:space="preserve">Oracle $300bn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4.5 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2025-07 Stargate </t>
    </r>
    <r>
      <rPr>
        <sz val="9"/>
        <color rgb="FF595959"/>
        <rFont val="Noto Sans CJK SC"/>
        <family val="2"/>
      </rPr>
      <t xml:space="preserve">擴充（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$300bn ÷ 5 ÷ 4,500 MW</t>
    </r>
    <r>
      <rPr>
        <sz val="9"/>
        <color rgb="FF595959"/>
        <rFont val="Noto Sans CJK SC"/>
        <family val="2"/>
      </rPr>
      <t xml:space="preserve">；金額未經當事方證實、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口徑不明（若為設施口徑，每 </t>
    </r>
    <r>
      <rPr>
        <sz val="9"/>
        <color rgb="FF595959"/>
        <rFont val="Arial"/>
        <family val="0"/>
        <charset val="1"/>
      </rPr>
      <t xml:space="preserve">IT MW </t>
    </r>
    <r>
      <rPr>
        <sz val="9"/>
        <color rgb="FF595959"/>
        <rFont val="Noto Sans CJK SC"/>
        <family val="2"/>
      </rPr>
      <t xml:space="preserve">再 </t>
    </r>
    <r>
      <rPr>
        <sz val="9"/>
        <color rgb="FF595959"/>
        <rFont val="Arial"/>
        <family val="0"/>
        <charset val="1"/>
      </rPr>
      <t xml:space="preserve">× 1.2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自有廠房；只列不用；納入三筆長約中位數的敏感度｜</t>
    </r>
    <r>
      <rPr>
        <sz val="9"/>
        <color rgb="FF595959"/>
        <rFont val="Arial"/>
        <family val="0"/>
        <charset val="1"/>
      </rPr>
      <t xml:space="preserve">https://www.theregister.com/2025/09/11/openai_reportedly_on_the_hook/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</si>
  <si>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現貨指數</t>
    </r>
  </si>
  <si>
    <t xml:space="preserve">spot</t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</si>
  <si>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｜價格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；倍數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</si>
  <si>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</si>
  <si>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Noto Sans CJK SC"/>
        <family val="2"/>
      </rPr>
      <t xml:space="preserve">類比；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現貨上緣｜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</si>
  <si>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Ornn </t>
    </r>
    <r>
      <rPr>
        <sz val="10"/>
        <rFont val="Noto Sans CJK SC"/>
        <family val="2"/>
      </rPr>
      <t xml:space="preserve">成交指數（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</si>
  <si>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｜現貨（市場成交指數）｜隨需／短期｜</t>
    </r>
    <r>
      <rPr>
        <sz val="9"/>
        <color rgb="FF595959"/>
        <rFont val="Arial"/>
        <family val="0"/>
        <charset val="1"/>
      </rPr>
      <t xml:space="preserve">Ornn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6c </t>
    </r>
    <r>
      <rPr>
        <sz val="9"/>
        <color rgb="FF595959"/>
        <rFont val="Noto Sans CJK SC"/>
        <family val="2"/>
      </rPr>
      <t xml:space="preserve">步）（</t>
    </r>
    <r>
      <rPr>
        <sz val="9"/>
        <color rgb="FF595959"/>
        <rFont val="Arial"/>
        <family val="0"/>
        <charset val="1"/>
      </rPr>
      <t xml:space="preserve">2026-04-13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類比；落在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現貨區間內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</si>
  <si>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</si>
  <si>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｜高於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現貨區間上緣；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小時成本低於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的機架攤提，類比偏高，只列｜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</si>
  <si>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B300 Nebius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</si>
  <si>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｜牌價非成交價（</t>
    </r>
    <r>
      <rPr>
        <sz val="9"/>
        <color rgb="FF595959"/>
        <rFont val="Arial"/>
        <family val="0"/>
        <charset val="1"/>
      </rPr>
      <t xml:space="preserve">10/1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）；只列不用｜</t>
    </r>
    <r>
      <rPr>
        <sz val="9"/>
        <color rgb="FF595959"/>
        <rFont val="Arial"/>
        <family val="0"/>
        <charset val="1"/>
      </rPr>
      <t xml:space="preserve">https://nebius.com/prices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</si>
  <si>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GB200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</si>
  <si>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）；只列不用｜</t>
    </r>
    <r>
      <rPr>
        <sz val="9"/>
        <color rgb="FF595959"/>
        <rFont val="Arial"/>
        <family val="0"/>
        <charset val="1"/>
      </rPr>
      <t xml:space="preserve">https://www.coreweave.com/pricing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</si>
  <si>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H100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</si>
  <si>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｜牌價非成交價；只列不用｜</t>
    </r>
    <r>
      <rPr>
        <sz val="9"/>
        <color rgb="FF595959"/>
        <rFont val="Arial"/>
        <family val="0"/>
        <charset val="1"/>
      </rPr>
      <t xml:space="preserve">https://www.coreweave.com/pricing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</si>
  <si>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CoreWeave Q3 </t>
    </r>
    <r>
      <rPr>
        <sz val="10"/>
        <rFont val="Noto Sans CJK SC"/>
        <family val="2"/>
      </rPr>
      <t xml:space="preserve">短天期合約（</t>
    </r>
    <r>
      <rPr>
        <sz val="10"/>
        <rFont val="Arial"/>
        <family val="0"/>
        <charset val="1"/>
      </rPr>
      <t xml:space="preserve">3–6 </t>
    </r>
    <r>
      <rPr>
        <sz val="10"/>
        <rFont val="Noto Sans CJK SC"/>
        <family val="2"/>
      </rPr>
      <t xml:space="preserve">個月，公司新聞稿）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</si>
  <si>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｜短天期（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個月）｜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個月｜</t>
    </r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｜公司定義：年化營收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服務該叢集所需電力；世代與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口徑未揭露（以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類比）；短約，只用於隨需敏感度（</t>
    </r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https://investors.coreweave.com/news/news-details/2026/CoreWeave-Continues-to-Contract-New-Compute-Capacity-at-Higher-Prices/default.aspx</t>
    </r>
  </si>
  <si>
    <t xml:space="preserve">合約組合｜已承諾合約加權平均年期</t>
  </si>
  <si>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：「</t>
    </r>
    <r>
      <rPr>
        <sz val="9"/>
        <color rgb="FF595959"/>
        <rFont val="Arial"/>
        <family val="0"/>
        <charset val="1"/>
      </rPr>
      <t xml:space="preserve">As of December 31, 2025, our committed contracts had a weighted-average contract duration of approximately five years.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2026-02-26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https://www.sec.gov/Archives/edgar/data/1769628/000176962826000104/crwv-20251231.htm</t>
    </r>
  </si>
  <si>
    <t xml:space="preserve">合約組合｜收入以多年期已承諾合約為主（未給百分比）</t>
  </si>
  <si>
    <t xml:space="preserve">[Interested-party]</t>
  </si>
  <si>
    <r>
      <rPr>
        <sz val="9"/>
        <color rgb="FF595959"/>
        <rFont val="Arial"/>
        <family val="0"/>
        <charset val="1"/>
      </rPr>
      <t xml:space="preserve">CoreWeave Form S-1</t>
    </r>
    <r>
      <rPr>
        <sz val="9"/>
        <color rgb="FF595959"/>
        <rFont val="Noto Sans CJK SC"/>
        <family val="2"/>
      </rPr>
      <t xml:space="preserve">：「</t>
    </r>
    <r>
      <rPr>
        <sz val="9"/>
        <color rgb="FF595959"/>
        <rFont val="Arial"/>
        <family val="0"/>
        <charset val="1"/>
      </rPr>
      <t xml:space="preserve">The vast majority of our revenue today is from multi-year committed contracts</t>
    </r>
    <r>
      <rPr>
        <sz val="9"/>
        <color rgb="FF595959"/>
        <rFont val="Noto Sans CJK SC"/>
        <family val="2"/>
      </rPr>
      <t xml:space="preserve">」；另有 </t>
    </r>
    <r>
      <rPr>
        <sz val="9"/>
        <color rgb="FF595959"/>
        <rFont val="Arial"/>
        <family val="0"/>
        <charset val="1"/>
      </rPr>
      <t xml:space="preserve">pay-as-you-go </t>
    </r>
    <r>
      <rPr>
        <sz val="9"/>
        <color rgb="FF595959"/>
        <rFont val="Noto Sans CJK SC"/>
        <family val="2"/>
      </rPr>
      <t xml:space="preserve">隨需（</t>
    </r>
    <r>
      <rPr>
        <sz val="9"/>
        <color rgb="FF595959"/>
        <rFont val="Arial"/>
        <family val="0"/>
        <charset val="1"/>
      </rPr>
      <t xml:space="preserve">2025-03-03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https://www.sec.gov/Archives/edgar/data/1769628/000119312525044231/d899798ds1.htm</t>
    </r>
  </si>
  <si>
    <t xml:space="preserve">合約組合｜長約與隨需收入比例（百分比）</t>
  </si>
  <si>
    <t xml:space="preserve">找不到</t>
  </si>
  <si>
    <r>
      <rPr>
        <sz val="9"/>
        <color rgb="FF595959"/>
        <rFont val="Noto Sans CJK SC"/>
        <family val="2"/>
      </rPr>
      <t xml:space="preserve">試過：</t>
    </r>
    <r>
      <rPr>
        <sz val="9"/>
        <color rgb="FF595959"/>
        <rFont val="Arial"/>
        <family val="0"/>
        <charset val="1"/>
      </rPr>
      <t xml:space="preserve">10-K FY2025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新聞稿與網路搜尋；公司未揭露長約／隨需收入或產能比例（找不到，不代表不存在） 找不到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</si>
  <si>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</si>
  <si>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VR200 NVL72 </t>
    </r>
    <r>
      <rPr>
        <sz val="9"/>
        <color rgb="FF595959"/>
        <rFont val="Noto Sans CJK SC"/>
        <family val="2"/>
      </rPr>
      <t xml:space="preserve">長約或多年期合約的每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小時／每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價格：</t>
    </r>
    <r>
      <rPr>
        <sz val="9"/>
        <color rgb="FF595959"/>
        <rFont val="Arial"/>
        <family val="0"/>
        <charset val="1"/>
      </rPr>
      <t xml:space="preserve">Nebius–Meta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$12bn </t>
    </r>
    <r>
      <rPr>
        <sz val="9"/>
        <color rgb="FF595959"/>
        <rFont val="Noto Sans CJK SC"/>
        <family val="2"/>
      </rPr>
      <t xml:space="preserve">專屬產能、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、五年）與 </t>
    </r>
    <r>
      <rPr>
        <sz val="9"/>
        <color rgb="FF595959"/>
        <rFont val="Arial"/>
        <family val="0"/>
        <charset val="1"/>
      </rPr>
      <t xml:space="preserve">Nebius–Microsoft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2025-09-08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$17.4–19.4bn</t>
    </r>
    <r>
      <rPr>
        <sz val="9"/>
        <color rgb="FF595959"/>
        <rFont val="Noto Sans CJK SC"/>
        <family val="2"/>
      </rPr>
      <t xml:space="preserve">、五年）都未揭露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數，無法換算（找不到）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</si>
  <si>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</si>
  <si>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長約價：找不到可換算的揭露（</t>
    </r>
    <r>
      <rPr>
        <sz val="9"/>
        <color rgb="FF595959"/>
        <rFont val="Arial"/>
        <family val="0"/>
        <charset val="1"/>
      </rPr>
      <t xml:space="preserve">Nscale–Microsoft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未揭露金額，</t>
    </r>
    <r>
      <rPr>
        <sz val="9"/>
        <color rgb="FF595959"/>
        <rFont val="Arial"/>
        <family val="0"/>
        <charset val="1"/>
      </rPr>
      <t xml:space="preserve">FT </t>
    </r>
    <r>
      <rPr>
        <sz val="9"/>
        <color rgb="FF595959"/>
        <rFont val="Noto Sans CJK SC"/>
        <family val="2"/>
      </rPr>
      <t xml:space="preserve">估約 </t>
    </r>
    <r>
      <rPr>
        <sz val="9"/>
        <color rgb="FF595959"/>
        <rFont val="Arial"/>
        <family val="0"/>
        <charset val="1"/>
      </rPr>
      <t xml:space="preserve">$14bn </t>
    </r>
    <r>
      <rPr>
        <sz val="9"/>
        <color rgb="FF595959"/>
        <rFont val="Noto Sans CJK SC"/>
        <family val="2"/>
      </rPr>
      <t xml:space="preserve">屬估計，不用）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</si>
  <si>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</si>
  <si>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Noto Sans CJK SC"/>
        <family val="2"/>
      </rPr>
      <t xml:space="preserve">其他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／實驗室的長約（獨立於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的供應商）：上列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Noto Sans CJK SC"/>
        <family val="2"/>
      </rPr>
      <t xml:space="preserve">皆缺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或金額；</t>
    </r>
    <r>
      <rPr>
        <sz val="9"/>
        <color rgb="FF595959"/>
        <rFont val="Arial"/>
        <family val="0"/>
        <charset val="1"/>
      </rPr>
      <t xml:space="preserve">Oracle–OpenAI </t>
    </r>
    <r>
      <rPr>
        <sz val="9"/>
        <color rgb="FF595959"/>
        <rFont val="Noto Sans CJK SC"/>
        <family val="2"/>
      </rPr>
      <t xml:space="preserve">金額未經證實、只列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</si>
  <si>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資本支出對照（</t>
    </r>
    <r>
      <rPr>
        <b val="true"/>
        <sz val="10"/>
        <color rgb="FF1F3864"/>
        <rFont val="Arial"/>
        <family val="0"/>
        <charset val="1"/>
      </rPr>
      <t xml:space="preserve">US$m</t>
    </r>
    <r>
      <rPr>
        <b val="true"/>
        <sz val="10"/>
        <color rgb="FF1F3864"/>
        <rFont val="Noto Sans CJK SC"/>
        <family val="2"/>
      </rPr>
      <t xml:space="preserve">／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；新增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的世代加權）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</si>
  <si>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建置成本（模型採用）</t>
    </r>
  </si>
  <si>
    <r>
      <rPr>
        <sz val="10"/>
        <rFont val="Arial"/>
        <family val="0"/>
        <charset val="1"/>
      </rPr>
      <t xml:space="preserve">Tokenomics IT </t>
    </r>
    <r>
      <rPr>
        <sz val="10"/>
        <rFont val="Noto Sans CJK SC"/>
        <family val="2"/>
      </rPr>
      <t xml:space="preserve">設備（</t>
    </r>
    <r>
      <rPr>
        <sz val="10"/>
        <rFont val="Arial"/>
        <family val="0"/>
        <charset val="1"/>
      </rPr>
      <t xml:space="preserve">IF_CapexIT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</si>
  <si>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含廠房合計（</t>
    </r>
    <r>
      <rPr>
        <sz val="10"/>
        <rFont val="Arial"/>
        <family val="0"/>
        <charset val="1"/>
      </rPr>
      <t xml:space="preserve">IF_CapexTotal</t>
    </r>
    <r>
      <rPr>
        <sz val="10"/>
        <rFont val="Noto Sans CJK SC"/>
        <family val="2"/>
      </rPr>
      <t xml:space="preserve">；對照）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</si>
  <si>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機房以租約取得、不含廠房；合計只作對照</t>
    </r>
  </si>
  <si>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舊值（以 </t>
    </r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指引校準）</t>
    </r>
  </si>
  <si>
    <t xml:space="preserve">舊方法，只作對照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</si>
  <si>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壽命（在役世代加權；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參考）</t>
    </r>
  </si>
  <si>
    <r>
      <rPr>
        <b val="true"/>
        <sz val="10"/>
        <color rgb="FF1F3864"/>
        <rFont val="Noto Sans CJK SC"/>
        <family val="2"/>
      </rPr>
      <t xml:space="preserve">▸ 最近一季實際對照（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；不強制平衡）</t>
    </r>
  </si>
  <si>
    <r>
      <rPr>
        <sz val="10"/>
        <rFont val="Noto Sans CJK SC"/>
        <family val="2"/>
      </rPr>
      <t xml:space="preserve">最近一季平均在役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</si>
  <si>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＝季末主動電力 − 當季新增 </t>
    </r>
    <r>
      <rPr>
        <sz val="9"/>
        <color rgb="FF595959"/>
        <rFont val="Arial"/>
        <family val="0"/>
        <charset val="1"/>
      </rPr>
      <t xml:space="preserve">÷ 2</t>
    </r>
  </si>
  <si>
    <t xml:space="preserve">最近一季現金營運成本（租金前，不含管銷）</t>
  </si>
  <si>
    <r>
      <rPr>
        <sz val="9"/>
        <color rgb="FF595959"/>
        <rFont val="Noto Sans CJK SC"/>
        <family val="2"/>
      </rPr>
      <t xml:space="preserve">＝營收成本＋技術與基礎設施 − </t>
    </r>
    <r>
      <rPr>
        <sz val="9"/>
        <color rgb="FF595959"/>
        <rFont val="Arial"/>
        <family val="0"/>
        <charset val="1"/>
      </rPr>
      <t xml:space="preserve">D&amp;A − SBC − </t>
    </r>
    <r>
      <rPr>
        <sz val="9"/>
        <color rgb="FF595959"/>
        <rFont val="Noto Sans CJK SC"/>
        <family val="2"/>
      </rPr>
      <t xml:space="preserve">營業租賃成本 − 變動租賃成本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</si>
  <si>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現金營運成本（年化，不含管銷）</t>
    </r>
  </si>
  <si>
    <r>
      <rPr>
        <sz val="10"/>
        <rFont val="Noto Sans CJK SC"/>
        <family val="2"/>
      </rPr>
      <t xml:space="preserve">模型由下而上每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現金營運成本（不含管銷）</t>
    </r>
  </si>
  <si>
    <r>
      <rPr>
        <sz val="10"/>
        <rFont val="Noto Sans CJK SC"/>
        <family val="2"/>
      </rPr>
      <t xml:space="preserve">差距（模型 </t>
    </r>
    <r>
      <rPr>
        <sz val="10"/>
        <rFont val="Arial"/>
        <family val="0"/>
        <charset val="1"/>
      </rPr>
      <t xml:space="preserve">FY26 −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</si>
  <si>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可能原因：爬坡期閒置產能（分母含尚未計費的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）、未揭露的成本項、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未依列別揭露；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前人員軟體與稅險暫代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</si>
  <si>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年租金（營業＋變動，年化）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</si>
  <si>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</si>
  <si>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年收入（營收 </t>
    </r>
    <r>
      <rPr>
        <sz val="10"/>
        <rFont val="Arial"/>
        <family val="0"/>
        <charset val="1"/>
      </rPr>
      <t xml:space="preserve">× 4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</si>
  <si>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（含爬坡中尚未計費的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</si>
  <si>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最近一季計費比例（季末 </t>
    </r>
    <r>
      <rPr>
        <sz val="10"/>
        <rFont val="Arial"/>
        <family val="0"/>
        <charset val="1"/>
      </rPr>
      <t xml:space="preserve">Billable ÷ </t>
    </r>
    <r>
      <rPr>
        <sz val="10"/>
        <rFont val="Noto Sans CJK SC"/>
        <family val="2"/>
      </rPr>
      <t xml:space="preserve">季末在役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，假設）</t>
    </r>
  </si>
  <si>
    <r>
      <rPr>
        <sz val="9"/>
        <color rgb="FF595959"/>
        <rFont val="Noto Sans CJK SC"/>
        <family val="2"/>
      </rPr>
      <t xml:space="preserve">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區季末 </t>
    </r>
    <r>
      <rPr>
        <sz val="9"/>
        <color rgb="FF595959"/>
        <rFont val="Arial"/>
        <family val="0"/>
        <charset val="1"/>
      </rPr>
      <t xml:space="preserve">Billable MW ÷ </t>
    </r>
    <r>
      <rPr>
        <sz val="9"/>
        <color rgb="FF595959"/>
        <rFont val="Noto Sans CJK SC"/>
        <family val="2"/>
      </rPr>
      <t xml:space="preserve">世代組合期初在役 </t>
    </r>
    <r>
      <rPr>
        <sz val="9"/>
        <color rgb="FF595959"/>
        <rFont val="Arial"/>
        <family val="0"/>
        <charset val="1"/>
      </rPr>
      <t xml:space="preserve">MW [Assumed]</t>
    </r>
    <r>
      <rPr>
        <sz val="9"/>
        <color rgb="FF595959"/>
        <rFont val="Noto Sans CJK SC"/>
        <family val="2"/>
      </rPr>
      <t xml:space="preserve">；用於換算每計費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</si>
  <si>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平均計費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</si>
  <si>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最近一季錨（季末在役世代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</si>
  <si>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世代組合期初占比（季末）</t>
    </r>
    <r>
      <rPr>
        <sz val="9"/>
        <color rgb="FF595959"/>
        <rFont val="Arial"/>
        <family val="0"/>
        <charset val="1"/>
      </rPr>
      <t xml:space="preserve">× Tokenomics IF_HoldEcon</t>
    </r>
    <r>
      <rPr>
        <sz val="9"/>
        <color rgb="FF595959"/>
        <rFont val="Noto Sans CJK SC"/>
        <family val="2"/>
      </rPr>
      <t xml:space="preserve">（目前成本情境）</t>
    </r>
  </si>
  <si>
    <r>
      <rPr>
        <sz val="10"/>
        <rFont val="Noto Sans CJK SC"/>
        <family val="2"/>
      </rPr>
      <t xml:space="preserve">最近一季隱含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（年化營收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錨，未調整）</t>
    </r>
  </si>
  <si>
    <r>
      <rPr>
        <sz val="9"/>
        <color rgb="FF595959"/>
        <rFont val="Noto Sans CJK SC"/>
        <family val="2"/>
      </rPr>
      <t xml:space="preserve">只作驗證：不以此值校準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（已決定事項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）；含爬坡分母、服務收入、舊世代舊約價格</t>
    </r>
  </si>
  <si>
    <r>
      <rPr>
        <b val="true"/>
        <sz val="10"/>
        <color rgb="FF1F3864"/>
        <rFont val="Noto Sans CJK SC"/>
        <family val="2"/>
      </rPr>
      <t xml:space="preserve">▸ 敏感度（建置時快照：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成本情境、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Noto Sans CJK SC"/>
        <family val="2"/>
      </rPr>
      <t xml:space="preserve">小時價格、世代組合、管銷率口徑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三情境；目標價 </t>
    </r>
    <r>
      <rPr>
        <b val="true"/>
        <sz val="10"/>
        <color rgb="FF1F3864"/>
        <rFont val="Arial"/>
        <family val="0"/>
        <charset val="1"/>
      </rPr>
      <t xml:space="preserve">US$</t>
    </r>
    <r>
      <rPr>
        <b val="true"/>
        <sz val="10"/>
        <color rgb="FF1F3864"/>
        <rFont val="Noto Sans CJK SC"/>
        <family val="2"/>
      </rPr>
      <t xml:space="preserve">、融資缺口 </t>
    </r>
    <r>
      <rPr>
        <b val="true"/>
        <sz val="10"/>
        <color rgb="FF1F3864"/>
        <rFont val="Arial"/>
        <family val="0"/>
        <charset val="1"/>
      </rPr>
      <t xml:space="preserve">US$bn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</si>
  <si>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敏感度｜欄位</t>
  </si>
  <si>
    <t xml:space="preserve">加權目標價</t>
  </si>
  <si>
    <t xml:space="preserve">融資缺口</t>
  </si>
  <si>
    <r>
      <rPr>
        <b val="true"/>
        <sz val="11"/>
        <color rgb="FFFFFFFF"/>
        <rFont val="Arial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目標價</t>
    </r>
  </si>
  <si>
    <r>
      <rPr>
        <b val="true"/>
        <sz val="11"/>
        <color rgb="FFFFFFFF"/>
        <rFont val="Arial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融資缺口</t>
    </r>
  </si>
  <si>
    <r>
      <rPr>
        <sz val="9"/>
        <color rgb="FF595959"/>
        <rFont val="Noto Sans CJK SC"/>
        <family val="2"/>
      </rPr>
      <t xml:space="preserve">融資缺口＝</t>
    </r>
    <r>
      <rPr>
        <sz val="9"/>
        <color rgb="FF595959"/>
        <rFont val="Arial"/>
        <family val="0"/>
        <charset val="1"/>
      </rPr>
      <t xml:space="preserve">MAX(0, −FY30 </t>
    </r>
    <r>
      <rPr>
        <sz val="9"/>
        <color rgb="FF595959"/>
        <rFont val="Noto Sans CJK SC"/>
        <family val="2"/>
      </rPr>
      <t xml:space="preserve">融資前累積現金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＝對同情境「基準（目前輸入）」；快照由 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3c </t>
    </r>
    <r>
      <rPr>
        <sz val="9"/>
        <color rgb="FF595959"/>
        <rFont val="Noto Sans CJK SC"/>
        <family val="2"/>
      </rPr>
      <t xml:space="preserve">產生，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即時計算同一組設定</t>
    </r>
  </si>
  <si>
    <t xml:space="preserve">敏感度｜保守｜基準（目前輸入）</t>
  </si>
  <si>
    <r>
      <rPr>
        <sz val="9"/>
        <color rgb="FF595959"/>
        <rFont val="Arial"/>
        <family val="0"/>
        <charset val="1"/>
      </rPr>
      <t xml:space="preserve">US$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US$bn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</si>
  <si>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</si>
  <si>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</si>
  <si>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</si>
  <si>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</si>
  <si>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敏感度｜保守｜世代組合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</si>
  <si>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敏感度｜保守｜管銷率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</si>
  <si>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0.82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</si>
  <si>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</si>
  <si>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1.17</t>
    </r>
  </si>
  <si>
    <r>
      <rPr>
        <sz val="10"/>
        <rFont val="Noto Sans CJK SC"/>
        <family val="2"/>
      </rPr>
      <t xml:space="preserve">敏感度｜保守｜隨需占比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</si>
  <si>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</si>
  <si>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不套用（全部按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</si>
  <si>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敏感度｜保守｜新約價格 </t>
    </r>
    <r>
      <rPr>
        <sz val="10"/>
        <rFont val="Arial"/>
        <family val="0"/>
        <charset val="1"/>
      </rPr>
      <t xml:space="preserve">+25%</t>
    </r>
    <r>
      <rPr>
        <sz val="10"/>
        <rFont val="Noto Sans CJK SC"/>
        <family val="2"/>
      </rPr>
      <t xml:space="preserve">（公司說法，只作用於長約）</t>
    </r>
  </si>
  <si>
    <r>
      <rPr>
        <sz val="10"/>
        <rFont val="Noto Sans CJK SC"/>
        <family val="2"/>
      </rPr>
      <t xml:space="preserve">敏感度｜保守｜隨需 </t>
    </r>
    <r>
      <rPr>
        <sz val="10"/>
        <rFont val="Arial"/>
        <family val="0"/>
        <charset val="1"/>
      </rPr>
      <t xml:space="preserve">10% × CRWV </t>
    </r>
    <r>
      <rPr>
        <sz val="10"/>
        <rFont val="Noto Sans CJK SC"/>
        <family val="2"/>
      </rPr>
      <t xml:space="preserve">短天期 </t>
    </r>
    <r>
      <rPr>
        <sz val="10"/>
        <rFont val="Arial"/>
        <family val="0"/>
        <charset val="1"/>
      </rPr>
      <t xml:space="preserve">k 3.67</t>
    </r>
  </si>
  <si>
    <r>
      <rPr>
        <sz val="10"/>
        <rFont val="Noto Sans CJK SC"/>
        <family val="2"/>
      </rPr>
      <t xml:space="preserve">敏感度｜保守｜營運成本＝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1.03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</si>
  <si>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建置成本＝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0.81</t>
    </r>
    <r>
      <rPr>
        <sz val="10"/>
        <rFont val="Noto Sans CJK SC"/>
        <family val="2"/>
      </rPr>
      <t xml:space="preserve">）</t>
    </r>
  </si>
  <si>
    <t xml:space="preserve">敏感度｜保守｜營運成本與建置成本皆用公司實際比率</t>
  </si>
  <si>
    <t xml:space="preserve">敏感度｜基準｜基準（目前輸入）</t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</si>
  <si>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</si>
  <si>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</si>
  <si>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</si>
  <si>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</si>
  <si>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敏感度｜基準｜世代組合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</si>
  <si>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敏感度｜基準｜管銷率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</si>
  <si>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0.82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</si>
  <si>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</si>
  <si>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1.17</t>
    </r>
  </si>
  <si>
    <r>
      <rPr>
        <sz val="10"/>
        <rFont val="Noto Sans CJK SC"/>
        <family val="2"/>
      </rPr>
      <t xml:space="preserve">敏感度｜基準｜隨需占比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</si>
  <si>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</si>
  <si>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不套用（全部按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</si>
  <si>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敏感度｜基準｜新約價格 </t>
    </r>
    <r>
      <rPr>
        <sz val="10"/>
        <rFont val="Arial"/>
        <family val="0"/>
        <charset val="1"/>
      </rPr>
      <t xml:space="preserve">+25%</t>
    </r>
    <r>
      <rPr>
        <sz val="10"/>
        <rFont val="Noto Sans CJK SC"/>
        <family val="2"/>
      </rPr>
      <t xml:space="preserve">（公司說法，只作用於長約）</t>
    </r>
  </si>
  <si>
    <r>
      <rPr>
        <sz val="10"/>
        <rFont val="Noto Sans CJK SC"/>
        <family val="2"/>
      </rPr>
      <t xml:space="preserve">敏感度｜基準｜隨需 </t>
    </r>
    <r>
      <rPr>
        <sz val="10"/>
        <rFont val="Arial"/>
        <family val="0"/>
        <charset val="1"/>
      </rPr>
      <t xml:space="preserve">10% × CRWV </t>
    </r>
    <r>
      <rPr>
        <sz val="10"/>
        <rFont val="Noto Sans CJK SC"/>
        <family val="2"/>
      </rPr>
      <t xml:space="preserve">短天期 </t>
    </r>
    <r>
      <rPr>
        <sz val="10"/>
        <rFont val="Arial"/>
        <family val="0"/>
        <charset val="1"/>
      </rPr>
      <t xml:space="preserve">k 3.67</t>
    </r>
  </si>
  <si>
    <r>
      <rPr>
        <sz val="10"/>
        <rFont val="Noto Sans CJK SC"/>
        <family val="2"/>
      </rPr>
      <t xml:space="preserve">敏感度｜基準｜營運成本＝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1.03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</si>
  <si>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建置成本＝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0.81</t>
    </r>
    <r>
      <rPr>
        <sz val="10"/>
        <rFont val="Noto Sans CJK SC"/>
        <family val="2"/>
      </rPr>
      <t xml:space="preserve">）</t>
    </r>
  </si>
  <si>
    <t xml:space="preserve">敏感度｜基準｜營運成本與建置成本皆用公司實際比率</t>
  </si>
  <si>
    <t xml:space="preserve">敏感度｜積極｜基準（目前輸入）</t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</si>
  <si>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</si>
  <si>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</si>
  <si>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</si>
  <si>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</si>
  <si>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敏感度｜積極｜世代組合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</si>
  <si>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敏感度｜積極｜管銷率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</si>
  <si>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0.82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</si>
  <si>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</si>
  <si>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1.17</t>
    </r>
  </si>
  <si>
    <r>
      <rPr>
        <sz val="10"/>
        <rFont val="Noto Sans CJK SC"/>
        <family val="2"/>
      </rPr>
      <t xml:space="preserve">敏感度｜積極｜隨需占比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</si>
  <si>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</si>
  <si>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不套用（全部按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</si>
  <si>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敏感度｜積極｜新約價格 </t>
    </r>
    <r>
      <rPr>
        <sz val="10"/>
        <rFont val="Arial"/>
        <family val="0"/>
        <charset val="1"/>
      </rPr>
      <t xml:space="preserve">+25%</t>
    </r>
    <r>
      <rPr>
        <sz val="10"/>
        <rFont val="Noto Sans CJK SC"/>
        <family val="2"/>
      </rPr>
      <t xml:space="preserve">（公司說法，只作用於長約）</t>
    </r>
  </si>
  <si>
    <r>
      <rPr>
        <sz val="10"/>
        <rFont val="Noto Sans CJK SC"/>
        <family val="2"/>
      </rPr>
      <t xml:space="preserve">敏感度｜積極｜隨需 </t>
    </r>
    <r>
      <rPr>
        <sz val="10"/>
        <rFont val="Arial"/>
        <family val="0"/>
        <charset val="1"/>
      </rPr>
      <t xml:space="preserve">10% × CRWV </t>
    </r>
    <r>
      <rPr>
        <sz val="10"/>
        <rFont val="Noto Sans CJK SC"/>
        <family val="2"/>
      </rPr>
      <t xml:space="preserve">短天期 </t>
    </r>
    <r>
      <rPr>
        <sz val="10"/>
        <rFont val="Arial"/>
        <family val="0"/>
        <charset val="1"/>
      </rPr>
      <t xml:space="preserve">k 3.67</t>
    </r>
  </si>
  <si>
    <r>
      <rPr>
        <sz val="10"/>
        <rFont val="Noto Sans CJK SC"/>
        <family val="2"/>
      </rPr>
      <t xml:space="preserve">敏感度｜積極｜營運成本＝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1.03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</si>
  <si>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建置成本＝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0.81</t>
    </r>
    <r>
      <rPr>
        <sz val="10"/>
        <rFont val="Noto Sans CJK SC"/>
        <family val="2"/>
      </rPr>
      <t xml:space="preserve">）</t>
    </r>
  </si>
  <si>
    <t xml:space="preserve">敏感度｜積極｜營運成本與建置成本皆用公司實際比率</t>
  </si>
  <si>
    <r>
      <rPr>
        <b val="true"/>
        <sz val="10"/>
        <rFont val="Noto Sans CJK SC"/>
        <family val="2"/>
      </rPr>
      <t xml:space="preserve">敏感度快照狀態（目前輸入的加權目標價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</si>
  <si>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改了任何輸入後快照不會自動更新：狀態顯示「快照已過期」時，以 </t>
    </r>
    <r>
      <rPr>
        <sz val="9"/>
        <color rgb="FF595959"/>
        <rFont val="Arial"/>
        <family val="0"/>
        <charset val="1"/>
      </rPr>
      <t xml:space="preserve">python3 scripts/permw_sens.py </t>
    </r>
    <r>
      <rPr>
        <sz val="9"/>
        <color rgb="FF595959"/>
        <rFont val="Noto Sans CJK SC"/>
        <family val="2"/>
      </rPr>
      <t xml:space="preserve">重新產生並重建</t>
    </r>
  </si>
  <si>
    <r>
      <rPr>
        <b val="true"/>
        <sz val="14"/>
        <rFont val="Noto Sans CJK SC"/>
        <family val="2"/>
      </rPr>
      <t xml:space="preserve">公司實況驗證（</t>
    </r>
    <r>
      <rPr>
        <b val="true"/>
        <sz val="14"/>
        <rFont val="Arial"/>
        <family val="0"/>
        <charset val="1"/>
      </rPr>
      <t xml:space="preserve">W5</t>
    </r>
    <r>
      <rPr>
        <b val="true"/>
        <sz val="14"/>
        <rFont val="Noto Sans CJK SC"/>
        <family val="2"/>
      </rPr>
      <t xml:space="preserve">：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參數 → </t>
    </r>
    <r>
      <rPr>
        <b val="true"/>
        <sz val="14"/>
        <rFont val="Arial"/>
        <family val="0"/>
        <charset val="1"/>
      </rPr>
      <t xml:space="preserve">CRWV </t>
    </r>
    <r>
      <rPr>
        <b val="true"/>
        <sz val="14"/>
        <rFont val="Noto Sans CJK SC"/>
        <family val="2"/>
      </rPr>
      <t xml:space="preserve">已申報實際 → 公司調整）</t>
    </r>
  </si>
  <si>
    <r>
      <rPr>
        <sz val="9"/>
        <color rgb="FF595959"/>
        <rFont val="Noto Sans CJK SC"/>
        <family val="2"/>
      </rPr>
      <t xml:space="preserve">規則：差距 ≤ </t>
    </r>
    <r>
      <rPr>
        <sz val="9"/>
        <color rgb="FF595959"/>
        <rFont val="Arial"/>
        <family val="0"/>
        <charset val="1"/>
      </rPr>
      <t xml:space="preserve">10% </t>
    </r>
    <r>
      <rPr>
        <sz val="9"/>
        <color rgb="FF595959"/>
        <rFont val="Noto Sans CJK SC"/>
        <family val="2"/>
      </rPr>
      <t xml:space="preserve">直接用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Noto Sans CJK SC"/>
        <family val="2"/>
      </rPr>
      <t xml:space="preserve">且有證據的機制 → 公司調整（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Noto Sans CJK SC"/>
        <family val="2"/>
      </rPr>
      <t xml:space="preserve">但找不到機制 →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為基準、公司實際為敏感度，需要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）；既有合約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依工作單 </t>
    </r>
    <r>
      <rPr>
        <sz val="9"/>
        <color rgb="FF595959"/>
        <rFont val="Arial"/>
        <family val="0"/>
        <charset val="1"/>
      </rPr>
      <t xml:space="preserve">W5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4(a) </t>
    </r>
    <r>
      <rPr>
        <sz val="9"/>
        <color rgb="FF595959"/>
        <rFont val="Noto Sans CJK SC"/>
        <family val="2"/>
      </rPr>
      <t xml:space="preserve">項以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實現單價（</t>
    </r>
    <r>
      <rPr>
        <sz val="9"/>
        <color rgb="FF595959"/>
        <rFont val="Arial"/>
        <family val="0"/>
        <charset val="1"/>
      </rPr>
      <t xml:space="preserve">4a</t>
    </r>
    <r>
      <rPr>
        <sz val="9"/>
        <color rgb="FF595959"/>
        <rFont val="Noto Sans CJK SC"/>
        <family val="2"/>
      </rPr>
      <t xml:space="preserve">）。不以營收或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總數倒推係數；驗證完成後不為方向回頭調參數。模型值取首期（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）。</t>
    </r>
  </si>
  <si>
    <t xml:space="preserve">參數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</si>
  <si>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</t>
    </r>
  </si>
  <si>
    <r>
      <rPr>
        <b val="true"/>
        <sz val="11"/>
        <color rgb="FFFFFFFF"/>
        <rFont val="Arial"/>
        <family val="0"/>
        <charset val="1"/>
      </rPr>
      <t xml:space="preserve">CRWV </t>
    </r>
    <r>
      <rPr>
        <b val="true"/>
        <sz val="11"/>
        <color rgb="FFFFFFFF"/>
        <rFont val="Noto Sans CJK SC"/>
        <family val="2"/>
      </rPr>
      <t xml:space="preserve">實際</t>
    </r>
  </si>
  <si>
    <t xml:space="preserve">差距</t>
  </si>
  <si>
    <t xml:space="preserve">採用值</t>
  </si>
  <si>
    <t xml:space="preserve">規則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</si>
  <si>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名稱</t>
    </r>
  </si>
  <si>
    <r>
      <rPr>
        <b val="true"/>
        <sz val="11"/>
        <color rgb="FFFFFFFF"/>
        <rFont val="Arial"/>
        <family val="0"/>
        <charset val="1"/>
      </rPr>
      <t xml:space="preserve">CRWV </t>
    </r>
    <r>
      <rPr>
        <b val="true"/>
        <sz val="11"/>
        <color rgb="FFFFFFFF"/>
        <rFont val="Noto Sans CJK SC"/>
        <family val="2"/>
      </rPr>
      <t xml:space="preserve">實際（數值、期間、來源）與標記</t>
    </r>
  </si>
  <si>
    <t xml:space="preserve">差距原因（機制與證據）</t>
  </si>
  <si>
    <r>
      <rPr>
        <b val="true"/>
        <sz val="11"/>
        <color rgb="FFFFFFFF"/>
        <rFont val="Noto Sans CJK SC"/>
        <family val="2"/>
      </rPr>
      <t xml:space="preserve">公司調整（公式、適用期間、何時回到 </t>
    </r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值）</t>
    </r>
  </si>
  <si>
    <r>
      <rPr>
        <b val="true"/>
        <sz val="10"/>
        <color rgb="FF1F3864"/>
        <rFont val="Noto Sans CJK SC"/>
        <family val="2"/>
      </rPr>
      <t xml:space="preserve">▸ 驗證用輸入（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／</t>
    </r>
    <r>
      <rPr>
        <b val="true"/>
        <sz val="10"/>
        <color rgb="FF1F3864"/>
        <rFont val="Arial"/>
        <family val="0"/>
        <charset val="1"/>
      </rPr>
      <t xml:space="preserve">10-K </t>
    </r>
    <r>
      <rPr>
        <b val="true"/>
        <sz val="10"/>
        <color rgb="FF1F3864"/>
        <rFont val="Noto Sans CJK SC"/>
        <family val="2"/>
      </rPr>
      <t xml:space="preserve">實際數；</t>
    </r>
    <r>
      <rPr>
        <b val="true"/>
        <sz val="10"/>
        <color rgb="FF1F3864"/>
        <rFont val="Arial"/>
        <family val="0"/>
        <charset val="1"/>
      </rPr>
      <t xml:space="preserve">company.json → companyAdjust.capexActual</t>
    </r>
    <r>
      <rPr>
        <b val="true"/>
        <sz val="10"/>
        <color rgb="FF1F3864"/>
        <rFont val="Noto Sans CJK SC"/>
        <family val="2"/>
      </rPr>
      <t xml:space="preserve">、</t>
    </r>
    <r>
      <rPr>
        <b val="true"/>
        <sz val="10"/>
        <color rgb="FF1F3864"/>
        <rFont val="Arial"/>
        <family val="0"/>
        <charset val="1"/>
      </rPr>
      <t xml:space="preserve">latestQuarter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</si>
  <si>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資本支出</t>
    </r>
  </si>
  <si>
    <t xml:space="preserve">latestQuarter.capexH1 [Verified]</t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</si>
  <si>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期初主動電力</t>
    </r>
  </si>
  <si>
    <r>
      <rPr>
        <sz val="9"/>
        <color rgb="FF595959"/>
        <rFont val="Arial"/>
        <family val="0"/>
        <charset val="1"/>
      </rPr>
      <t xml:space="preserve">10-Q Q2 2026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毛額：技術設備、資料中心設備與租賃改良、在建工程；</t>
    </r>
    <r>
      <rPr>
        <sz val="9"/>
        <color rgb="FF595959"/>
        <rFont val="Arial"/>
        <family val="0"/>
        <charset val="1"/>
      </rPr>
      <t xml:space="preserve">2025-12-31 → 2026-06-30</t>
    </r>
    <r>
      <rPr>
        <sz val="9"/>
        <color rgb="FF595959"/>
        <rFont val="Noto Sans CJK SC"/>
        <family val="2"/>
      </rPr>
      <t xml:space="preserve">）；新增主動電力 </t>
    </r>
    <r>
      <rPr>
        <sz val="9"/>
        <color rgb="FF595959"/>
        <rFont val="Arial"/>
        <family val="0"/>
        <charset val="1"/>
      </rPr>
      <t xml:space="preserve">850 → 1,500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／法說）；資本支出 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latestQuarter.capexH1 [Verified]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</si>
  <si>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期末主動電力</t>
    </r>
  </si>
  <si>
    <r>
      <rPr>
        <sz val="10"/>
        <rFont val="Noto Sans CJK SC"/>
        <family val="2"/>
      </rPr>
      <t xml:space="preserve">技術設備毛額（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期初）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</si>
  <si>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 [Verified]</t>
    </r>
  </si>
  <si>
    <r>
      <rPr>
        <sz val="10"/>
        <rFont val="Noto Sans CJK SC"/>
        <family val="2"/>
      </rPr>
      <t xml:space="preserve">技術設備毛額（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期末）</t>
    </r>
  </si>
  <si>
    <r>
      <rPr>
        <sz val="10"/>
        <rFont val="Noto Sans CJK SC"/>
        <family val="2"/>
      </rPr>
      <t xml:space="preserve">最近一季調整後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</si>
  <si>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latestQuarter.adjEbitda</t>
    </r>
    <r>
      <rPr>
        <sz val="9"/>
        <color rgb="FF595959"/>
        <rFont val="Noto Sans CJK SC"/>
        <family val="2"/>
      </rPr>
      <t xml:space="preserve">（公司公布）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</si>
  <si>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技術設備折舊年限</t>
    </r>
  </si>
  <si>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會計政策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</si>
  <si>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color rgb="FF1F3864"/>
        <rFont val="Noto Sans CJK SC"/>
        <family val="2"/>
      </rPr>
      <t xml:space="preserve">▸ 參數驗證（模型首期；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主值為目前成本情境）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</si>
  <si>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｜既有合約（最新季末在役）</t>
    </r>
  </si>
  <si>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長約（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市場長約證據；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錨的公司因素）</t>
    </r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</si>
  <si>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實現單價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錨（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2.575</t>
    </r>
    <r>
      <rPr>
        <sz val="9"/>
        <color rgb="FF595959"/>
        <rFont val="Noto Sans CJK SC"/>
        <family val="2"/>
      </rPr>
      <t xml:space="preserve">；季末在役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 1,350 MW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</si>
  <si>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既有合約在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前已簽訂、合約期內價格固定（已承諾合約加權平均約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已實現單價是這批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的直接證據（工作單 </t>
    </r>
    <r>
      <rPr>
        <sz val="9"/>
        <color rgb="FF595959"/>
        <rFont val="Arial"/>
        <family val="0"/>
        <charset val="1"/>
      </rPr>
      <t xml:space="preserve">W5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4(a) </t>
    </r>
    <r>
      <rPr>
        <sz val="9"/>
        <color rgb="FF595959"/>
        <rFont val="Noto Sans CJK SC"/>
        <family val="2"/>
      </rPr>
      <t xml:space="preserve">項）</t>
    </r>
  </si>
  <si>
    <r>
      <rPr>
        <sz val="9"/>
        <color rgb="FF595959"/>
        <rFont val="Noto Sans CJK SC"/>
        <family val="2"/>
      </rPr>
      <t xml:space="preserve">既有合約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，汰換由最舊世代先出）按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既有；該批汰換後回到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新約</t>
    </r>
  </si>
  <si>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</si>
  <si>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｜新合約（季末後新增與汰換補回）</t>
    </r>
  </si>
  <si>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長約（</t>
    </r>
    <r>
      <rPr>
        <sz val="9"/>
        <color rgb="FF595959"/>
        <rFont val="Arial"/>
        <family val="0"/>
        <charset val="1"/>
      </rPr>
      <t xml:space="preserve">IREN–Microsoft GB300 </t>
    </r>
    <r>
      <rPr>
        <sz val="9"/>
        <color rgb="FF595959"/>
        <rFont val="Noto Sans CJK SC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÷ IF_HoldEcon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</si>
  <si>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未揭露新長約每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價格（找不到）；公司說法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月各 </t>
    </r>
    <r>
      <rPr>
        <sz val="9"/>
        <color rgb="FF595959"/>
        <rFont val="Arial"/>
        <family val="0"/>
        <charset val="1"/>
      </rPr>
      <t xml:space="preserve">SKU </t>
    </r>
    <r>
      <rPr>
        <sz val="9"/>
        <color rgb="FF595959"/>
        <rFont val="Noto Sans CJK SC"/>
        <family val="2"/>
      </rPr>
      <t xml:space="preserve">漲價約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（轉述）；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個月合約約 </t>
    </r>
    <r>
      <rPr>
        <sz val="9"/>
        <color rgb="FF595959"/>
        <rFont val="Arial"/>
        <family val="0"/>
        <charset val="1"/>
      </rPr>
      <t xml:space="preserve">$40m/MW </t>
    </r>
    <r>
      <rPr>
        <sz val="9"/>
        <color rgb="FF595959"/>
        <rFont val="Noto Sans CJK SC"/>
        <family val="2"/>
      </rPr>
      <t xml:space="preserve">年化（新聞稿）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</si>
  <si>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9"/>
        <color rgb="FF595959"/>
        <rFont val="Noto Sans CJK SC"/>
        <family val="2"/>
      </rPr>
      <t xml:space="preserve">找不到可換算的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新長約金額與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Noto Sans CJK SC"/>
        <family val="2"/>
      </rPr>
      <t xml:space="preserve">只有轉述來源、基期不明；</t>
    </r>
    <r>
      <rPr>
        <sz val="9"/>
        <color rgb="FF595959"/>
        <rFont val="Arial"/>
        <family val="0"/>
        <charset val="1"/>
      </rPr>
      <t xml:space="preserve">$40m/MW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個月短約（屬隨需／短天期，不是長約證據）</t>
    </r>
  </si>
  <si>
    <r>
      <rPr>
        <sz val="9"/>
        <color rgb="FF595959"/>
        <rFont val="Noto Sans CJK SC"/>
        <family val="2"/>
      </rPr>
      <t xml:space="preserve">無（沿用市場長約證據）；敏感度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）、隨需 </t>
    </r>
    <r>
      <rPr>
        <sz val="9"/>
        <color rgb="FF595959"/>
        <rFont val="Arial"/>
        <family val="0"/>
        <charset val="1"/>
      </rPr>
      <t xml:space="preserve">10% × CRWV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</si>
  <si>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9"/>
        <color rgb="FF595959"/>
        <rFont val="Arial"/>
        <family val="0"/>
        <charset val="1"/>
      </rPr>
      <t xml:space="preserve">Trefis</t>
    </r>
    <r>
      <rPr>
        <sz val="9"/>
        <color rgb="FF595959"/>
        <rFont val="Noto Sans CJK SC"/>
        <family val="2"/>
      </rPr>
      <t xml:space="preserve">（轉述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法說）（</t>
    </r>
    <r>
      <rPr>
        <sz val="9"/>
        <color rgb="FF595959"/>
        <rFont val="Arial"/>
        <family val="0"/>
        <charset val="1"/>
      </rPr>
      <t xml:space="preserve">2026-08-13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</si>
  <si>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隨需／短天期占比</t>
  </si>
  <si>
    <r>
      <rPr>
        <sz val="9"/>
        <color rgb="FF595959"/>
        <rFont val="Noto Sans CJK SC"/>
        <family val="2"/>
      </rPr>
      <t xml:space="preserve">—（公司因素，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</si>
  <si>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公司未揭露比例（找不到）；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已簽 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個月短天期合約（新聞稿），證明短天期存在但無比例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</si>
  <si>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找不到比例</t>
  </si>
  <si>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10% × CRWV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</si>
  <si>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</si>
  <si>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電費（每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</si>
  <si>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（在役世代加權）</t>
    </r>
  </si>
  <si>
    <r>
      <rPr>
        <sz val="9"/>
        <color rgb="FF595959"/>
        <rFont val="Noto Sans CJK SC"/>
        <family val="2"/>
      </rPr>
      <t xml:space="preserve">未單獨揭露（不存在於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列項）：電費含在營收成本（直接購電）與變動租賃（轉付房東的水電）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</si>
  <si>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自付電費（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營收成本含 </t>
    </r>
    <r>
      <rPr>
        <sz val="9"/>
        <color rgb="FF595959"/>
        <rFont val="Arial"/>
        <family val="0"/>
        <charset val="1"/>
      </rPr>
      <t xml:space="preserve">utilities including power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 Scientific</t>
    </r>
    <r>
      <rPr>
        <sz val="9"/>
        <color rgb="FF595959"/>
        <rFont val="Noto Sans CJK SC"/>
        <family val="2"/>
      </rPr>
      <t xml:space="preserve">：客戶付 </t>
    </r>
    <r>
      <rPr>
        <sz val="9"/>
        <color rgb="FF595959"/>
        <rFont val="Arial"/>
        <family val="0"/>
        <charset val="1"/>
      </rPr>
      <t xml:space="preserve">power and utilities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電力交換合約認列於營收成本）；變動租賃含轉付房東的水電——模型租金只含固定租金，無重複計算</t>
    </r>
  </si>
  <si>
    <t xml:space="preserve">無（單項無法量測；併入下方「營運成本合計」驗證）</t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</si>
  <si>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 Scientific Q2 FY26 </t>
    </r>
    <r>
      <rPr>
        <sz val="9"/>
        <color rgb="FF595959"/>
        <rFont val="Noto Sans CJK SC"/>
        <family val="2"/>
      </rPr>
      <t xml:space="preserve">法說簡報（交易對手）（</t>
    </r>
    <r>
      <rPr>
        <sz val="9"/>
        <color rgb="FF595959"/>
        <rFont val="Arial"/>
        <family val="0"/>
        <charset val="1"/>
      </rPr>
      <t xml:space="preserve">2026-07-28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</si>
  <si>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</si>
  <si>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IF_MaintITWarr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IF_MaintITPost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v5.31</t>
    </r>
    <r>
      <rPr>
        <sz val="9"/>
        <color rgb="FF595959"/>
        <rFont val="Noto Sans CJK SC"/>
        <family val="2"/>
      </rPr>
      <t xml:space="preserve">；依機齡兩段：保固期內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保固期內值＋期滿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期滿值，保固 </t>
    </r>
    <r>
      <rPr>
        <sz val="9"/>
        <color rgb="FF595959"/>
        <rFont val="Arial"/>
        <family val="0"/>
        <charset val="1"/>
      </rPr>
      <t xml:space="preserve">IF_WarrantyYrs 3 </t>
    </r>
    <r>
      <rPr>
        <sz val="9"/>
        <color rgb="FF595959"/>
        <rFont val="Noto Sans CJK SC"/>
        <family val="2"/>
      </rPr>
      <t xml:space="preserve">年；在役世代加權）</t>
    </r>
  </si>
  <si>
    <r>
      <rPr>
        <sz val="9"/>
        <color rgb="FF595959"/>
        <rFont val="Noto Sans CJK SC"/>
        <family val="2"/>
      </rPr>
      <t xml:space="preserve">未單獨揭露（不存在於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列項）；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伺服器保固條款找不到（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未見）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</si>
  <si>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v5.31 </t>
    </r>
    <r>
      <rPr>
        <sz val="9"/>
        <color rgb="FF595959"/>
        <rFont val="Noto Sans CJK SC"/>
        <family val="2"/>
      </rPr>
      <t xml:space="preserve">已把保固期內／期滿兩段做進來（保固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年依 </t>
    </r>
    <r>
      <rPr>
        <sz val="9"/>
        <color rgb="FF595959"/>
        <rFont val="Arial"/>
        <family val="0"/>
        <charset val="1"/>
      </rPr>
      <t xml:space="preserve">OEM </t>
    </r>
    <r>
      <rPr>
        <sz val="9"/>
        <color rgb="FF595959"/>
        <rFont val="Noto Sans CJK SC"/>
        <family val="2"/>
      </rPr>
      <t xml:space="preserve">條款：</t>
    </r>
    <r>
      <rPr>
        <sz val="9"/>
        <color rgb="FF595959"/>
        <rFont val="Arial"/>
        <family val="0"/>
        <charset val="1"/>
      </rPr>
      <t xml:space="preserve">HPE 3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Supermicro </t>
    </r>
    <r>
      <rPr>
        <sz val="9"/>
        <color rgb="FF595959"/>
        <rFont val="Noto Sans CJK SC"/>
        <family val="2"/>
      </rPr>
      <t xml:space="preserve">人工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Tokenomics SRC_DC_015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016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端依期初機齡層與各期新增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推算機齡（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季末 </t>
    </r>
    <r>
      <rPr>
        <sz val="9"/>
        <color rgb="FF595959"/>
        <rFont val="Arial"/>
        <family val="0"/>
        <charset val="1"/>
      </rPr>
      <t xml:space="preserve">93% </t>
    </r>
    <r>
      <rPr>
        <sz val="9"/>
        <color rgb="FF595959"/>
        <rFont val="Noto Sans CJK SC"/>
        <family val="2"/>
      </rPr>
      <t xml:space="preserve">在保固期內）；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自己的保固條款仍找不到。單項無法量測，併入下方「營運成本合計」驗證</t>
    </r>
  </si>
  <si>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依機齡兩段即主值；</t>
    </r>
    <r>
      <rPr>
        <sz val="9"/>
        <color rgb="FF595959"/>
        <rFont val="Arial"/>
        <family val="0"/>
        <charset val="1"/>
      </rPr>
      <t xml:space="preserve">IF_MaintIT </t>
    </r>
    <r>
      <rPr>
        <sz val="9"/>
        <color rgb="FF595959"/>
        <rFont val="Noto Sans CJK SC"/>
        <family val="2"/>
      </rPr>
      <t xml:space="preserve">等值費率只作對照）</t>
    </r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</si>
  <si>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Supermicro Warranty </t>
    </r>
    <r>
      <rPr>
        <sz val="9"/>
        <color rgb="FF595959"/>
        <rFont val="Noto Sans CJK SC"/>
        <family val="2"/>
      </rPr>
      <t xml:space="preserve">頁面（廠商通則，非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合約）（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</si>
  <si>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人員、軟體、水與耗材（每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</si>
  <si>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t xml:space="preserve">IF_StaffSW</t>
  </si>
  <si>
    <r>
      <rPr>
        <sz val="9"/>
        <color rgb="FF595959"/>
        <rFont val="Noto Sans CJK SC"/>
        <family val="2"/>
      </rPr>
      <t xml:space="preserve">未單獨揭露；技術與基礎設施含研發與基礎設施人員、軟體訂閱（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$117m</t>
    </r>
    <r>
      <rPr>
        <sz val="9"/>
        <color rgb="FF595959"/>
        <rFont val="Noto Sans CJK SC"/>
        <family val="2"/>
      </rPr>
      <t xml:space="preserve">）；員工 </t>
    </r>
    <r>
      <rPr>
        <sz val="9"/>
        <color rgb="FF595959"/>
        <rFont val="Arial"/>
        <family val="0"/>
        <charset val="1"/>
      </rPr>
      <t xml:space="preserve">2,189 </t>
    </r>
    <r>
      <rPr>
        <sz val="9"/>
        <color rgb="FF595959"/>
        <rFont val="Noto Sans CJK SC"/>
        <family val="2"/>
      </rPr>
      <t xml:space="preserve">人（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</si>
  <si>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Noto Sans CJK SC"/>
        <family val="2"/>
      </rPr>
      <t xml:space="preserve">模型管銷率只含銷售行銷與一般管理（扣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），不含技術與基礎設施人員 → 與 </t>
    </r>
    <r>
      <rPr>
        <sz val="9"/>
        <color rgb="FF595959"/>
        <rFont val="Arial"/>
        <family val="0"/>
        <charset val="1"/>
      </rPr>
      <t xml:space="preserve">IF_StaffSW </t>
    </r>
    <r>
      <rPr>
        <sz val="9"/>
        <color rgb="FF595959"/>
        <rFont val="Noto Sans CJK SC"/>
        <family val="2"/>
      </rPr>
      <t xml:space="preserve">無重複；研發在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實際數內、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無對應項</t>
    </r>
  </si>
  <si>
    <t xml:space="preserve">無（併入營運成本合計驗證）</t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</si>
  <si>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</si>
  <si>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財產稅與保險（只算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</si>
  <si>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資本占比</t>
    </r>
  </si>
  <si>
    <r>
      <rPr>
        <sz val="9"/>
        <color rgb="FF595959"/>
        <rFont val="Noto Sans CJK SC"/>
        <family val="2"/>
      </rPr>
      <t xml:space="preserve">未單獨揭露（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找不到財產稅或保險金額） 找不到</t>
    </r>
  </si>
  <si>
    <r>
      <rPr>
        <sz val="10"/>
        <rFont val="Noto Sans CJK SC"/>
        <family val="2"/>
      </rPr>
      <t xml:space="preserve">營運成本合計（電費＋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維護＋人員軟體＋稅險；租金前、不含管銷）</t>
    </r>
  </si>
  <si>
    <r>
      <rPr>
        <sz val="9"/>
        <color rgb="FF595959"/>
        <rFont val="Noto Sans CJK SC"/>
        <family val="2"/>
      </rPr>
      <t xml:space="preserve">上列四項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值合計（模型首期）</t>
    </r>
  </si>
  <si>
    <r>
      <rPr>
        <sz val="9"/>
        <color rgb="FF595959"/>
        <rFont val="Arial"/>
        <family val="0"/>
        <charset val="1"/>
      </rPr>
      <t xml:space="preserve">Q2 2026</t>
    </r>
    <r>
      <rPr>
        <sz val="9"/>
        <color rgb="FF595959"/>
        <rFont val="Noto Sans CJK SC"/>
        <family val="2"/>
      </rPr>
      <t xml:space="preserve">：營收成本＋技術與基礎設施 − </t>
    </r>
    <r>
      <rPr>
        <sz val="9"/>
        <color rgb="FF595959"/>
        <rFont val="Arial"/>
        <family val="0"/>
        <charset val="1"/>
      </rPr>
      <t xml:space="preserve">D&amp;A − SBC − </t>
    </r>
    <r>
      <rPr>
        <sz val="9"/>
        <color rgb="FF595959"/>
        <rFont val="Noto Sans CJK SC"/>
        <family val="2"/>
      </rPr>
      <t xml:space="preserve">營業租賃成本（含變動租賃＝轉付房東的水電），年化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</si>
  <si>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維護改依機齡兩段（</t>
    </r>
    <r>
      <rPr>
        <sz val="9"/>
        <color rgb="FF595959"/>
        <rFont val="Arial"/>
        <family val="0"/>
        <charset val="1"/>
      </rPr>
      <t xml:space="preserve">Tokenomics v5.31</t>
    </r>
    <r>
      <rPr>
        <sz val="9"/>
        <color rgb="FF595959"/>
        <rFont val="Noto Sans CJK SC"/>
        <family val="2"/>
      </rPr>
      <t xml:space="preserve">）後，模型首期與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實際差距 −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v4.7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+2%</t>
    </r>
    <r>
      <rPr>
        <sz val="9"/>
        <color rgb="FF595959"/>
        <rFont val="Noto Sans CJK SC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）：原差距主要來自 </t>
    </r>
    <r>
      <rPr>
        <sz val="9"/>
        <color rgb="FF595959"/>
        <rFont val="Arial"/>
        <family val="0"/>
        <charset val="1"/>
      </rPr>
      <t xml:space="preserve">v4.7 </t>
    </r>
    <r>
      <rPr>
        <sz val="9"/>
        <color rgb="FF595959"/>
        <rFont val="Noto Sans CJK SC"/>
        <family val="2"/>
      </rPr>
      <t xml:space="preserve">把保固期內的機隊也按滿載維護費率計算。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實際另含研發（</t>
    </r>
    <r>
      <rPr>
        <sz val="9"/>
        <color rgb="FF595959"/>
        <rFont val="Arial"/>
        <family val="0"/>
        <charset val="1"/>
      </rPr>
      <t xml:space="preserve">Q2 $117m</t>
    </r>
    <r>
      <rPr>
        <sz val="9"/>
        <color rgb="FF595959"/>
        <rFont val="Noto Sans CJK SC"/>
        <family val="2"/>
      </rPr>
      <t xml:space="preserve">），模型未另計</t>
    </r>
  </si>
  <si>
    <r>
      <rPr>
        <sz val="9"/>
        <color rgb="FF595959"/>
        <rFont val="Noto Sans CJK SC"/>
        <family val="2"/>
      </rPr>
      <t xml:space="preserve">無（差距 ≤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，規則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）；敏感度仍保留「營運成本＝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實際比率」</t>
    </r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</si>
  <si>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</si>
  <si>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租金（固定，每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</si>
  <si>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—（公司租約路徑；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不含，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廠房以租約取得）</t>
    </r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</si>
  <si>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營業租賃成本 </t>
    </r>
    <r>
      <rPr>
        <sz val="9"/>
        <color rgb="FF595959"/>
        <rFont val="Arial"/>
        <family val="0"/>
        <charset val="1"/>
      </rPr>
      <t xml:space="preserve">0.500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；變動租賃 </t>
    </r>
    <r>
      <rPr>
        <sz val="9"/>
        <color rgb="FF595959"/>
        <rFont val="Arial"/>
        <family val="0"/>
        <charset val="1"/>
      </rPr>
      <t xml:space="preserve">0.150</t>
    </r>
    <r>
      <rPr>
        <sz val="9"/>
        <color rgb="FF595959"/>
        <rFont val="Noto Sans CJK SC"/>
        <family val="2"/>
      </rPr>
      <t xml:space="preserve">（共同區域維護、轉付房東的水電、保全）歸入營運成本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</si>
  <si>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Arial"/>
        <family val="0"/>
        <charset val="1"/>
      </rPr>
      <t xml:space="preserve">v4.6–v4.7 W4 </t>
    </r>
    <r>
      <rPr>
        <sz val="9"/>
        <color rgb="FF595959"/>
        <rFont val="Noto Sans CJK SC"/>
        <family val="2"/>
      </rPr>
      <t xml:space="preserve">的對照把變動租賃算進租金（</t>
    </r>
    <r>
      <rPr>
        <sz val="9"/>
        <color rgb="FF595959"/>
        <rFont val="Arial"/>
        <family val="0"/>
        <charset val="1"/>
      </rPr>
      <t xml:space="preserve">2.08</t>
    </r>
    <r>
      <rPr>
        <sz val="9"/>
        <color rgb="FF595959"/>
        <rFont val="Noto Sans CJK SC"/>
        <family val="2"/>
      </rPr>
      <t xml:space="preserve">）；變動租賃是水電與共同區域維護，不是固定租金。固定租金對照後差距在 </t>
    </r>
    <r>
      <rPr>
        <sz val="9"/>
        <color rgb="FF595959"/>
        <rFont val="Arial"/>
        <family val="0"/>
        <charset val="1"/>
      </rPr>
      <t xml:space="preserve">10% </t>
    </r>
    <r>
      <rPr>
        <sz val="9"/>
        <color rgb="FF595959"/>
        <rFont val="Noto Sans CJK SC"/>
        <family val="2"/>
      </rPr>
      <t xml:space="preserve">內</t>
    </r>
  </si>
  <si>
    <r>
      <rPr>
        <sz val="9"/>
        <color rgb="FF595959"/>
        <rFont val="Noto Sans CJK SC"/>
        <family val="2"/>
      </rPr>
      <t xml:space="preserve">無（模型租金不變）；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對照改為固定租金對固定租金</t>
    </r>
  </si>
  <si>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 Scientific Q2 FY26 </t>
    </r>
    <r>
      <rPr>
        <sz val="9"/>
        <color rgb="FF595959"/>
        <rFont val="Noto Sans CJK SC"/>
        <family val="2"/>
      </rPr>
      <t xml:space="preserve">法說簡報（交易對手）（</t>
    </r>
    <r>
      <rPr>
        <sz val="9"/>
        <color rgb="FF595959"/>
        <rFont val="Arial"/>
        <family val="0"/>
        <charset val="1"/>
      </rPr>
      <t xml:space="preserve">2026-07-28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</si>
  <si>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資本支出（新增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</si>
  <si>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（新增世代加權，模型首期）</t>
    </r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</si>
  <si>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16.139 ÷ </t>
    </r>
    <r>
      <rPr>
        <sz val="9"/>
        <color rgb="FF595959"/>
        <rFont val="Noto Sans CJK SC"/>
        <family val="2"/>
      </rPr>
      <t xml:space="preserve">新增主動電力 </t>
    </r>
    <r>
      <rPr>
        <sz val="9"/>
        <color rgb="FF595959"/>
        <rFont val="Arial"/>
        <family val="0"/>
        <charset val="1"/>
      </rPr>
      <t xml:space="preserve">650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850 → 1,500</t>
    </r>
    <r>
      <rPr>
        <sz val="9"/>
        <color rgb="FF595959"/>
        <rFont val="Noto Sans CJK SC"/>
        <family val="2"/>
      </rPr>
      <t xml:space="preserve">）；另列技術設備毛額增加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</si>
  <si>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9"/>
        <color rgb="FF595959"/>
        <rFont val="Noto Sans CJK SC"/>
        <family val="2"/>
      </rPr>
      <t xml:space="preserve">找不到可證實的機制。</t>
    </r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v5.31 GB300 </t>
    </r>
    <r>
      <rPr>
        <sz val="9"/>
        <color rgb="FF595959"/>
        <rFont val="Noto Sans CJK SC"/>
        <family val="2"/>
      </rPr>
      <t xml:space="preserve">機架價格 </t>
    </r>
    <r>
      <rPr>
        <sz val="9"/>
        <color rgb="FF595959"/>
        <rFont val="Arial"/>
        <family val="0"/>
        <charset val="1"/>
      </rPr>
      <t xml:space="preserve">5.0 → 4.3 $M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IF_CapexIT GB300 37.45 → 32.24</t>
    </r>
    <r>
      <rPr>
        <sz val="9"/>
        <color rgb="FF595959"/>
        <rFont val="Noto Sans CJK SC"/>
        <family val="2"/>
      </rPr>
      <t xml:space="preserve">）後，差距 −</t>
    </r>
    <r>
      <rPr>
        <sz val="9"/>
        <color rgb="FF595959"/>
        <rFont val="Arial"/>
        <family val="0"/>
        <charset val="1"/>
      </rPr>
      <t xml:space="preserve">29% → −19%</t>
    </r>
    <r>
      <rPr>
        <sz val="9"/>
        <color rgb="FF595959"/>
        <rFont val="Noto Sans CJK SC"/>
        <family val="2"/>
      </rPr>
      <t xml:space="preserve">，仍 </t>
    </r>
    <r>
      <rPr>
        <sz val="9"/>
        <color rgb="FF595959"/>
        <rFont val="Arial"/>
        <family val="0"/>
        <charset val="1"/>
      </rPr>
      <t xml:space="preserve">&gt; 10%</t>
    </r>
    <r>
      <rPr>
        <sz val="9"/>
        <color rgb="FF595959"/>
        <rFont val="Noto Sans CJK SC"/>
        <family val="2"/>
      </rPr>
      <t xml:space="preserve">；可能原因（未證實）——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未定義 </t>
    </r>
    <r>
      <rPr>
        <sz val="9"/>
        <color rgb="FF595959"/>
        <rFont val="Arial"/>
        <family val="0"/>
        <charset val="1"/>
      </rPr>
      <t xml:space="preserve">active power</t>
    </r>
    <r>
      <rPr>
        <sz val="9"/>
        <color rgb="FF595959"/>
        <rFont val="Noto Sans CJK SC"/>
        <family val="2"/>
      </rPr>
      <t xml:space="preserve">；若為設施口徑，換成 </t>
    </r>
    <r>
      <rPr>
        <sz val="9"/>
        <color rgb="FF595959"/>
        <rFont val="Arial"/>
        <family val="0"/>
        <charset val="1"/>
      </rPr>
      <t xml:space="preserve">IT MW </t>
    </r>
    <r>
      <rPr>
        <sz val="9"/>
        <color rgb="FF595959"/>
        <rFont val="Noto Sans CJK SC"/>
        <family val="2"/>
      </rPr>
      <t xml:space="preserve">後差距縮小約 </t>
    </r>
    <r>
      <rPr>
        <sz val="9"/>
        <color rgb="FF595959"/>
        <rFont val="Arial"/>
        <family val="0"/>
        <charset val="1"/>
      </rPr>
      <t xml:space="preserve">1/6</t>
    </r>
    <r>
      <rPr>
        <sz val="9"/>
        <color rgb="FF595959"/>
        <rFont val="Noto Sans CJK SC"/>
        <family val="2"/>
      </rPr>
      <t xml:space="preserve">）、議價（未揭露）；預建（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支出含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）只會使實際偏高，方向相反</t>
    </r>
  </si>
  <si>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為基準）；敏感度＝每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 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模型首期</t>
    </r>
  </si>
  <si>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10-Q</t>
    </r>
    <r>
      <rPr>
        <sz val="9"/>
        <color rgb="FF595959"/>
        <rFont val="Noto Sans CJK SC"/>
        <family val="2"/>
      </rPr>
      <t xml:space="preserve">／法說（</t>
    </r>
    <r>
      <rPr>
        <sz val="9"/>
        <color rgb="FF595959"/>
        <rFont val="Arial"/>
        <family val="0"/>
        <charset val="1"/>
      </rPr>
      <t xml:space="preserve">company.json latestQuarter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fleet.openMix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</si>
  <si>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資本支出｜技術設備毛額增加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（對照）</t>
    </r>
  </si>
  <si>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（同上）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</si>
  <si>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技術設備（伺服器、網路、儲存）毛額增加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新增主動電力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</si>
  <si>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不含資料中心設備與租賃改良、在建工程；最接近 </t>
    </r>
    <r>
      <rPr>
        <sz val="9"/>
        <color rgb="FF595959"/>
        <rFont val="Arial"/>
        <family val="0"/>
        <charset val="1"/>
      </rPr>
      <t xml:space="preserve">IF_CapexIT </t>
    </r>
    <r>
      <rPr>
        <sz val="9"/>
        <color rgb="FF595959"/>
        <rFont val="Noto Sans CJK SC"/>
        <family val="2"/>
      </rPr>
      <t xml:space="preserve">的口徑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</si>
  <si>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</si>
  <si>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</si>
  <si>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折舊年限（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設備）</t>
    </r>
  </si>
  <si>
    <r>
      <rPr>
        <sz val="9"/>
        <color rgb="FF595959"/>
        <rFont val="Arial"/>
        <family val="0"/>
        <charset val="1"/>
      </rPr>
      <t xml:space="preserve">IF_DeprLifeIT</t>
    </r>
    <r>
      <rPr>
        <sz val="9"/>
        <color rgb="FF595959"/>
        <rFont val="Noto Sans CJK SC"/>
        <family val="2"/>
      </rPr>
      <t xml:space="preserve">（期初在役世代加權）</t>
    </r>
  </si>
  <si>
    <r>
      <rPr>
        <sz val="9"/>
        <color rgb="FF595959"/>
        <rFont val="Noto Sans CJK SC"/>
        <family val="2"/>
      </rPr>
      <t xml:space="preserve">技術設備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會計政策）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</si>
  <si>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一致</t>
  </si>
  <si>
    <t xml:space="preserve">無</t>
  </si>
  <si>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edgar.tools </t>
    </r>
    <r>
      <rPr>
        <sz val="9"/>
        <color rgb="FF595959"/>
        <rFont val="Noto Sans CJK SC"/>
        <family val="2"/>
      </rPr>
      <t xml:space="preserve">轉載會計政策表）（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</si>
  <si>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color rgb="FF1F3864"/>
        <rFont val="Noto Sans CJK SC"/>
        <family val="2"/>
      </rPr>
      <t xml:space="preserve">▸ 敏感度輸入（公司實際比率；</t>
    </r>
    <r>
      <rPr>
        <b val="true"/>
        <sz val="10"/>
        <color rgb="FF1F3864"/>
        <rFont val="Arial"/>
        <family val="0"/>
        <charset val="1"/>
      </rPr>
      <t xml:space="preserve">Q2 </t>
    </r>
    <r>
      <rPr>
        <b val="true"/>
        <sz val="10"/>
        <color rgb="FF1F3864"/>
        <rFont val="Noto Sans CJK SC"/>
        <family val="2"/>
      </rPr>
      <t xml:space="preserve">季末世代與首期新增世代、基準成本情境；</t>
    </r>
    <r>
      <rPr>
        <b val="true"/>
        <sz val="10"/>
        <color rgb="FF1F3864"/>
        <rFont val="Arial"/>
        <family val="0"/>
        <charset val="1"/>
      </rPr>
      <t xml:space="preserve">scripts/permw_sens.py </t>
    </r>
    <r>
      <rPr>
        <b val="true"/>
        <sz val="10"/>
        <color rgb="FF1F3864"/>
        <rFont val="Noto Sans CJK SC"/>
        <family val="2"/>
      </rPr>
      <t xml:space="preserve">讀取）</t>
    </r>
  </si>
  <si>
    <r>
      <rPr>
        <sz val="10"/>
        <rFont val="Noto Sans CJK SC"/>
        <family val="2"/>
      </rPr>
      <t xml:space="preserve">敏感度輸入｜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季末保固期內占比（期初機齡層）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</si>
  <si>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期初機齡層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（評價日仍在保固期內者）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期初在役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</si>
  <si>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敏感度輸入｜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季末世代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營運成本合計（基準成本情境）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</si>
  <si>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季末在役占比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IF_StaffSW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資本占比）＋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維護依機齡兩段（季末保固期內 </t>
    </r>
    <r>
      <rPr>
        <sz val="9"/>
        <color rgb="FF595959"/>
        <rFont val="Arial"/>
        <family val="0"/>
        <charset val="1"/>
      </rPr>
      <t xml:space="preserve">MW × IF_MaintITWarr</t>
    </r>
    <r>
      <rPr>
        <sz val="9"/>
        <color rgb="FF595959"/>
        <rFont val="Noto Sans CJK SC"/>
        <family val="2"/>
      </rPr>
      <t xml:space="preserve">＋其餘 </t>
    </r>
    <r>
      <rPr>
        <sz val="9"/>
        <color rgb="FF595959"/>
        <rFont val="Arial"/>
        <family val="0"/>
        <charset val="1"/>
      </rPr>
      <t xml:space="preserve">× IF_MaintITPost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，基準成本情境</t>
    </r>
  </si>
  <si>
    <r>
      <rPr>
        <b val="true"/>
        <sz val="10"/>
        <rFont val="Noto Sans CJK SC"/>
        <family val="2"/>
      </rPr>
      <t xml:space="preserve">敏感度輸入｜營運成本倍數＝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實際 </t>
    </r>
    <r>
      <rPr>
        <b val="true"/>
        <sz val="10"/>
        <rFont val="Arial"/>
        <family val="0"/>
        <charset val="1"/>
      </rPr>
      <t xml:space="preserve">÷ Q2 </t>
    </r>
    <r>
      <rPr>
        <b val="true"/>
        <sz val="10"/>
        <rFont val="Noto Sans CJK SC"/>
        <family val="2"/>
      </rPr>
      <t xml:space="preserve">季末世代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</si>
  <si>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敏感度「營運成本＝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實際比率」把輸入頁『由下而上營運成本倍數』設為本值</t>
    </r>
  </si>
  <si>
    <r>
      <rPr>
        <sz val="10"/>
        <rFont val="Noto Sans CJK SC"/>
        <family val="2"/>
      </rPr>
      <t xml:space="preserve">敏感度輸入｜首期新增世代 </t>
    </r>
    <r>
      <rPr>
        <sz val="10"/>
        <rFont val="Arial"/>
        <family val="0"/>
        <charset val="1"/>
      </rPr>
      <t xml:space="preserve">Tokenomics IT </t>
    </r>
    <r>
      <rPr>
        <sz val="10"/>
        <rFont val="Noto Sans CJK SC"/>
        <family val="2"/>
      </rPr>
      <t xml:space="preserve">資本（基準成本情境）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</si>
  <si>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首期新增占比（基準組合）</t>
    </r>
    <r>
      <rPr>
        <sz val="9"/>
        <color rgb="FF595959"/>
        <rFont val="Arial"/>
        <family val="0"/>
        <charset val="1"/>
      </rPr>
      <t xml:space="preserve">× IF_CapexIT</t>
    </r>
    <r>
      <rPr>
        <sz val="9"/>
        <color rgb="FF595959"/>
        <rFont val="Noto Sans CJK SC"/>
        <family val="2"/>
      </rPr>
      <t xml:space="preserve">，基準成本情境</t>
    </r>
  </si>
  <si>
    <r>
      <rPr>
        <b val="true"/>
        <sz val="10"/>
        <rFont val="Noto Sans CJK SC"/>
        <family val="2"/>
      </rPr>
      <t xml:space="preserve">敏感度輸入｜每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建置成本倍數＝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首期新增世代 </t>
    </r>
    <r>
      <rPr>
        <b val="true"/>
        <sz val="10"/>
        <rFont val="Arial"/>
        <family val="0"/>
        <charset val="1"/>
      </rPr>
      <t xml:space="preserve">Tokenomics</t>
    </r>
  </si>
  <si>
    <r>
      <rPr>
        <sz val="9"/>
        <color rgb="FF595959"/>
        <rFont val="Noto Sans CJK SC"/>
        <family val="2"/>
      </rPr>
      <t xml:space="preserve">敏感度「每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建置成本＝實際比率」把輸入頁『每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建置成本倍數』設為本值</t>
    </r>
  </si>
  <si>
    <r>
      <rPr>
        <b val="true"/>
        <sz val="10"/>
        <rFont val="Noto Sans CJK SC"/>
        <family val="2"/>
      </rPr>
      <t xml:space="preserve">敏感度輸入｜</t>
    </r>
    <r>
      <rPr>
        <b val="true"/>
        <sz val="10"/>
        <rFont val="Arial"/>
        <family val="0"/>
        <charset val="1"/>
      </rPr>
      <t xml:space="preserve">CRWV </t>
    </r>
    <r>
      <rPr>
        <b val="true"/>
        <sz val="10"/>
        <rFont val="Noto Sans CJK SC"/>
        <family val="2"/>
      </rPr>
      <t xml:space="preserve">短天期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（短天期合約價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Tokenomics</t>
    </r>
    <r>
      <rPr>
        <b val="true"/>
        <sz val="10"/>
        <rFont val="Noto Sans CJK SC"/>
        <family val="2"/>
      </rPr>
      <t xml:space="preserve">，基準）</t>
    </r>
  </si>
  <si>
    <r>
      <rPr>
        <sz val="9"/>
        <color rgb="FF595959"/>
        <rFont val="Arial"/>
        <family val="0"/>
        <charset val="1"/>
      </rPr>
      <t xml:space="preserve">CoreWeave Q3 </t>
    </r>
    <r>
      <rPr>
        <sz val="9"/>
        <color rgb="FF595959"/>
        <rFont val="Noto Sans CJK SC"/>
        <family val="2"/>
      </rPr>
      <t xml:space="preserve">短天期合約（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個月，公司新聞稿）：</t>
    </r>
    <r>
      <rPr>
        <sz val="9"/>
        <color rgb="FF595959"/>
        <rFont val="Arial"/>
        <family val="0"/>
        <charset val="1"/>
      </rPr>
      <t xml:space="preserve">40 US$m/MW/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（基準）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；敏感度「隨需 </t>
    </r>
    <r>
      <rPr>
        <sz val="9"/>
        <color rgb="FF595959"/>
        <rFont val="Arial"/>
        <family val="0"/>
        <charset val="1"/>
      </rPr>
      <t xml:space="preserve">10% × CRWV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」</t>
    </r>
  </si>
  <si>
    <r>
      <rPr>
        <b val="true"/>
        <sz val="10"/>
        <color rgb="FF1F3864"/>
        <rFont val="Arial"/>
        <family val="0"/>
        <charset val="1"/>
      </rPr>
      <t xml:space="preserve">▸ Q2 </t>
    </r>
    <r>
      <rPr>
        <b val="true"/>
        <sz val="10"/>
        <color rgb="FF1F3864"/>
        <rFont val="Noto Sans CJK SC"/>
        <family val="2"/>
      </rPr>
      <t xml:space="preserve">逐項對帳（模型首期 </t>
    </r>
    <r>
      <rPr>
        <b val="true"/>
        <sz val="10"/>
        <color rgb="FF1F3864"/>
        <rFont val="Arial"/>
        <family val="0"/>
        <charset val="1"/>
      </rPr>
      <t xml:space="preserve">vs </t>
    </r>
    <r>
      <rPr>
        <b val="true"/>
        <sz val="10"/>
        <color rgb="FF1F3864"/>
        <rFont val="Noto Sans CJK SC"/>
        <family val="2"/>
      </rPr>
      <t xml:space="preserve">最近一季實際，每平均在役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、年化；差距＝實際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模型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</si>
  <si>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年收入（算力＋服務）</t>
    </r>
  </si>
  <si>
    <r>
      <rPr>
        <sz val="9"/>
        <color rgb="FF595959"/>
        <rFont val="Noto Sans CJK SC"/>
        <family val="2"/>
      </rPr>
      <t xml:space="preserve">模型首期：既有合約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實現單價（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既有），新增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按市場長約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；分母都是平均在役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（含爬坡中尚未計費的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</si>
  <si>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營運成本（租金前、不含管銷；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含變動租賃）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</si>
  <si>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維護依機齡兩段（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季末 </t>
    </r>
    <r>
      <rPr>
        <sz val="9"/>
        <color rgb="FF595959"/>
        <rFont val="Arial"/>
        <family val="0"/>
        <charset val="1"/>
      </rPr>
      <t xml:space="preserve">93% </t>
    </r>
    <r>
      <rPr>
        <sz val="9"/>
        <color rgb="FF595959"/>
        <rFont val="Noto Sans CJK SC"/>
        <family val="2"/>
      </rPr>
      <t xml:space="preserve">機隊在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年保固期內）後差距 ≤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（規則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實際另含研發（</t>
    </r>
    <r>
      <rPr>
        <sz val="9"/>
        <color rgb="FF595959"/>
        <rFont val="Arial"/>
        <family val="0"/>
        <charset val="1"/>
      </rPr>
      <t xml:space="preserve">Q2 $117m</t>
    </r>
    <r>
      <rPr>
        <sz val="9"/>
        <color rgb="FF595959"/>
        <rFont val="Noto Sans CJK SC"/>
        <family val="2"/>
      </rPr>
      <t xml:space="preserve">），模型未另計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</si>
  <si>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固定租金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</si>
  <si>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營業租賃成本年化（固定租金）對模型在帳＋表外現金租金；變動租賃（水電、共同區域維護、保全）歸入營運成本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</si>
  <si>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管銷（扣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</si>
  <si>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模型管銷率＝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實際（扣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營收；每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差距只來自每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營收差距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</si>
  <si>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＝調整後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</si>
  <si>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W6 </t>
    </r>
    <r>
      <rPr>
        <sz val="9"/>
        <color rgb="FF595959"/>
        <rFont val="Noto Sans CJK SC"/>
        <family val="2"/>
      </rPr>
      <t xml:space="preserve">後收入、營運成本、租金、管銷都在 </t>
    </r>
    <r>
      <rPr>
        <sz val="9"/>
        <color rgb="FF595959"/>
        <rFont val="Arial"/>
        <family val="0"/>
        <charset val="1"/>
      </rPr>
      <t xml:space="preserve">±3% </t>
    </r>
    <r>
      <rPr>
        <sz val="9"/>
        <color rgb="FF595959"/>
        <rFont val="Noto Sans CJK SC"/>
        <family val="2"/>
      </rPr>
      <t xml:space="preserve">內；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＝營收 − 現金成本（扣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），與模型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同口徑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</si>
  <si>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率（差距＝百分點）</t>
    </r>
  </si>
  <si>
    <r>
      <rPr>
        <sz val="9"/>
        <color rgb="FF595959"/>
        <rFont val="Noto Sans CJK SC"/>
        <family val="2"/>
      </rPr>
      <t xml:space="preserve">同上；模型首期為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模型值</t>
    </r>
  </si>
  <si>
    <r>
      <rPr>
        <b val="true"/>
        <sz val="10"/>
        <rFont val="Noto Sans CJK SC"/>
        <family val="2"/>
      </rPr>
      <t xml:space="preserve">證據清單（</t>
    </r>
    <r>
      <rPr>
        <b val="true"/>
        <sz val="10"/>
        <rFont val="Arial"/>
        <family val="0"/>
        <charset val="1"/>
      </rPr>
      <t xml:space="preserve">company.json → companyAdjust.evidence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</si>
  <si>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crwvQ2Rev</t>
    </r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</si>
  <si>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2,575</t>
    </r>
    <r>
      <rPr>
        <sz val="9"/>
        <color rgb="FF595959"/>
        <rFont val="Noto Sans CJK SC"/>
        <family val="2"/>
      </rPr>
      <t xml:space="preserve">（百萬美元）；營收成本 </t>
    </r>
    <r>
      <rPr>
        <sz val="9"/>
        <color rgb="FF595959"/>
        <rFont val="Arial"/>
        <family val="0"/>
        <charset val="1"/>
      </rPr>
      <t xml:space="preserve">879</t>
    </r>
    <r>
      <rPr>
        <sz val="9"/>
        <color rgb="FF595959"/>
        <rFont val="Noto Sans CJK SC"/>
        <family val="2"/>
      </rPr>
      <t xml:space="preserve">、技術與基礎設施 </t>
    </r>
    <r>
      <rPr>
        <sz val="9"/>
        <color rgb="FF595959"/>
        <rFont val="Arial"/>
        <family val="0"/>
        <charset val="1"/>
      </rPr>
      <t xml:space="preserve">1,507</t>
    </r>
    <r>
      <rPr>
        <sz val="9"/>
        <color rgb="FF595959"/>
        <rFont val="Noto Sans CJK SC"/>
        <family val="2"/>
      </rPr>
      <t xml:space="preserve">（三個月）｜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</si>
  <si>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crwvContractDur</t>
    </r>
  </si>
  <si>
    <r>
      <rPr>
        <sz val="9"/>
        <color rgb="FF595959"/>
        <rFont val="Arial"/>
        <family val="0"/>
        <charset val="1"/>
      </rPr>
      <t xml:space="preserve">As of December 31, 2025, our committed contracts had a weighted-average contract duration of approximately five years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https://www.sec.gov/Archives/edgar/data/1769628/000176962826000104/crwv-20251231.htm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</si>
  <si>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crwvCostRevPolicy</t>
    </r>
  </si>
  <si>
    <r>
      <rPr>
        <sz val="9"/>
        <color rgb="FF595959"/>
        <rFont val="Noto Sans CJK SC"/>
        <family val="2"/>
      </rPr>
      <t xml:space="preserve">營收成本：資料中心直接成本——租金、</t>
    </r>
    <r>
      <rPr>
        <sz val="9"/>
        <color rgb="FF595959"/>
        <rFont val="Arial"/>
        <family val="0"/>
        <charset val="1"/>
      </rPr>
      <t xml:space="preserve">utilities including power</t>
    </r>
    <r>
      <rPr>
        <sz val="9"/>
        <color rgb="FF595959"/>
        <rFont val="Noto Sans CJK SC"/>
        <family val="2"/>
      </rPr>
      <t xml:space="preserve">、資料中心資產（含電力安裝與配電系統）折舊、資料中心營運與客戶成功人員；非租賃的 </t>
    </r>
    <r>
      <rPr>
        <sz val="9"/>
        <color rgb="FF595959"/>
        <rFont val="Arial"/>
        <family val="0"/>
        <charset val="1"/>
      </rPr>
      <t xml:space="preserve">colocation </t>
    </r>
    <r>
      <rPr>
        <sz val="9"/>
        <color rgb="FF595959"/>
        <rFont val="Noto Sans CJK SC"/>
        <family val="2"/>
      </rPr>
      <t xml:space="preserve">費用｜</t>
    </r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https://www.sec.gov/Archives/edgar/data/1769628/000176962826000104/R28.htm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</si>
  <si>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crwvTiPolicy</t>
    </r>
  </si>
  <si>
    <r>
      <rPr>
        <sz val="9"/>
        <color rgb="FF595959"/>
        <rFont val="Noto Sans CJK SC"/>
        <family val="2"/>
      </rPr>
      <t xml:space="preserve">技術與基礎設施：伺服器、交換器、網路設備與自建軟體的折舊攤銷；研發與「維護運算基礎設施」人員；軟體訂閱；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$352m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https://www.sec.gov/Archives/edgar/data/1769628/000176962826000104/R28.htm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</si>
  <si>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crwvVarLease</t>
    </r>
  </si>
  <si>
    <r>
      <rPr>
        <sz val="9"/>
        <color rgb="FF595959"/>
        <rFont val="Noto Sans CJK SC"/>
        <family val="2"/>
      </rPr>
      <t xml:space="preserve">變動租賃成本（</t>
    </r>
    <r>
      <rPr>
        <sz val="9"/>
        <color rgb="FF595959"/>
        <rFont val="Arial"/>
        <family val="0"/>
        <charset val="1"/>
      </rPr>
      <t xml:space="preserve">common area maintenance, utilities reimbursed to the landlord, physical security</t>
    </r>
    <r>
      <rPr>
        <sz val="9"/>
        <color rgb="FF595959"/>
        <rFont val="Noto Sans CJK SC"/>
        <family val="2"/>
      </rPr>
      <t xml:space="preserve">）不含在營業／融資租賃成本、發生時費用化；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營業租賃成本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6M 888</t>
    </r>
    <r>
      <rPr>
        <sz val="9"/>
        <color rgb="FF595959"/>
        <rFont val="Noto Sans CJK SC"/>
        <family val="2"/>
      </rPr>
      <t xml:space="preserve">（百萬美元）；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變動租賃 </t>
    </r>
    <r>
      <rPr>
        <sz val="9"/>
        <color rgb="FF595959"/>
        <rFont val="Arial"/>
        <family val="0"/>
        <charset val="1"/>
      </rPr>
      <t xml:space="preserve">252</t>
    </r>
    <r>
      <rPr>
        <sz val="9"/>
        <color rgb="FF595959"/>
        <rFont val="Noto Sans CJK SC"/>
        <family val="2"/>
      </rPr>
      <t xml:space="preserve">、營業租賃 </t>
    </r>
    <r>
      <rPr>
        <sz val="9"/>
        <color rgb="FF595959"/>
        <rFont val="Arial"/>
        <family val="0"/>
        <charset val="1"/>
      </rPr>
      <t xml:space="preserve">825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</si>
  <si>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corzPower</t>
    </r>
  </si>
  <si>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合約摘要：「</t>
    </r>
    <r>
      <rPr>
        <sz val="9"/>
        <color rgb="FF595959"/>
        <rFont val="Arial"/>
        <family val="0"/>
        <charset val="1"/>
      </rPr>
      <t xml:space="preserve">Client pays for capex, power, and utilities</t>
    </r>
    <r>
      <rPr>
        <sz val="9"/>
        <color rgb="FF595959"/>
        <rFont val="Noto Sans CJK SC"/>
        <family val="2"/>
      </rPr>
      <t xml:space="preserve">」；約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Noto Sans CJK SC"/>
        <family val="2"/>
      </rPr>
      <t xml:space="preserve">、年化 </t>
    </r>
    <r>
      <rPr>
        <sz val="9"/>
        <color rgb="FF595959"/>
        <rFont val="Arial"/>
        <family val="0"/>
        <charset val="1"/>
      </rPr>
      <t xml:space="preserve">colocation </t>
    </r>
    <r>
      <rPr>
        <sz val="9"/>
        <color rgb="FF595959"/>
        <rFont val="Noto Sans CJK SC"/>
        <family val="2"/>
      </rPr>
      <t xml:space="preserve">營收約 </t>
    </r>
    <r>
      <rPr>
        <sz val="9"/>
        <color rgb="FF595959"/>
        <rFont val="Arial"/>
        <family val="0"/>
        <charset val="1"/>
      </rPr>
      <t xml:space="preserve">$850M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take-or-pay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 Scientific Q2 FY26 </t>
    </r>
    <r>
      <rPr>
        <sz val="9"/>
        <color rgb="FF595959"/>
        <rFont val="Noto Sans CJK SC"/>
        <family val="2"/>
      </rPr>
      <t xml:space="preserve">法說簡報（交易對手）（</t>
    </r>
    <r>
      <rPr>
        <sz val="9"/>
        <color rgb="FF595959"/>
        <rFont val="Arial"/>
        <family val="0"/>
        <charset val="1"/>
      </rPr>
      <t xml:space="preserve">2026-07-28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https://investors.corescientific.com/sec-filings/all-sec-filings/content/0001839341-26-000012/q2fy26earningsdeck728am.htm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</si>
  <si>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crwvPowerSwap</t>
    </r>
  </si>
  <si>
    <r>
      <rPr>
        <sz val="9"/>
        <color rgb="FF595959"/>
        <rFont val="Noto Sans CJK SC"/>
        <family val="2"/>
      </rPr>
      <t xml:space="preserve">電力交換合約名目 </t>
    </r>
    <r>
      <rPr>
        <sz val="9"/>
        <color rgb="FF595959"/>
        <rFont val="Arial"/>
        <family val="0"/>
        <charset val="1"/>
      </rPr>
      <t xml:space="preserve">$104m</t>
    </r>
    <r>
      <rPr>
        <sz val="9"/>
        <color rgb="FF595959"/>
        <rFont val="Noto Sans CJK SC"/>
        <family val="2"/>
      </rPr>
      <t xml:space="preserve">，未指定避險、損益認列於營收成本｜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</si>
  <si>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crwvRd</t>
    </r>
  </si>
  <si>
    <r>
      <rPr>
        <sz val="9"/>
        <color rgb="FF595959"/>
        <rFont val="Noto Sans CJK SC"/>
        <family val="2"/>
      </rPr>
      <t xml:space="preserve">研發費用 </t>
    </r>
    <r>
      <rPr>
        <sz val="9"/>
        <color rgb="FF595959"/>
        <rFont val="Arial"/>
        <family val="0"/>
        <charset val="1"/>
      </rPr>
      <t xml:space="preserve">Q2 $117m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6M $221m</t>
    </r>
    <r>
      <rPr>
        <sz val="9"/>
        <color rgb="FF595959"/>
        <rFont val="Noto Sans CJK SC"/>
        <family val="2"/>
      </rPr>
      <t xml:space="preserve">，含在技術與基礎設施｜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</si>
  <si>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crwvEmployees</t>
    </r>
  </si>
  <si>
    <r>
      <rPr>
        <sz val="9"/>
        <color rgb="FF595959"/>
        <rFont val="Arial"/>
        <family val="0"/>
        <charset val="1"/>
      </rPr>
      <t xml:space="preserve">As of December 31, 2025, we had 2,189 employees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https://www.sec.gov/Archives/edgar/data/1769628/000176962826000104/crwv-20251231.htm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</si>
  <si>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smcWarranty</t>
    </r>
  </si>
  <si>
    <r>
      <rPr>
        <sz val="9"/>
        <color rgb="FF595959"/>
        <rFont val="Arial"/>
        <family val="0"/>
        <charset val="1"/>
      </rPr>
      <t xml:space="preserve">Supermicro </t>
    </r>
    <r>
      <rPr>
        <sz val="9"/>
        <color rgb="FF595959"/>
        <rFont val="Noto Sans CJK SC"/>
        <family val="2"/>
      </rPr>
      <t xml:space="preserve">標準保固（發票無特別條款時）：</t>
    </r>
    <r>
      <rPr>
        <sz val="9"/>
        <color rgb="FF595959"/>
        <rFont val="Arial"/>
        <family val="0"/>
        <charset val="1"/>
      </rPr>
      <t xml:space="preserve">GPU Systems </t>
    </r>
    <r>
      <rPr>
        <sz val="9"/>
        <color rgb="FF595959"/>
        <rFont val="Noto Sans CJK SC"/>
        <family val="2"/>
      </rPr>
      <t xml:space="preserve">人工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年、零件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Supermicro Warranty </t>
    </r>
    <r>
      <rPr>
        <sz val="9"/>
        <color rgb="FF595959"/>
        <rFont val="Noto Sans CJK SC"/>
        <family val="2"/>
      </rPr>
      <t xml:space="preserve">頁面（廠商通則，非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合約）（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https://www.supermicro.com/en/support/warranty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</si>
  <si>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crwvPPE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</si>
  <si>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毛額（百萬美元，</t>
    </r>
    <r>
      <rPr>
        <sz val="9"/>
        <color rgb="FF595959"/>
        <rFont val="Arial"/>
        <family val="0"/>
        <charset val="1"/>
      </rPr>
      <t xml:space="preserve">2025-12-31 → 2026-06-30</t>
    </r>
    <r>
      <rPr>
        <sz val="9"/>
        <color rgb="FF595959"/>
        <rFont val="Noto Sans CJK SC"/>
        <family val="2"/>
      </rPr>
      <t xml:space="preserve">）：技術設備 </t>
    </r>
    <r>
      <rPr>
        <sz val="9"/>
        <color rgb="FF595959"/>
        <rFont val="Arial"/>
        <family val="0"/>
        <charset val="1"/>
      </rPr>
      <t xml:space="preserve">20,903 → 33,823</t>
    </r>
    <r>
      <rPr>
        <sz val="9"/>
        <color rgb="FF595959"/>
        <rFont val="Noto Sans CJK SC"/>
        <family val="2"/>
      </rPr>
      <t xml:space="preserve">；資料中心設備與租賃改良 </t>
    </r>
    <r>
      <rPr>
        <sz val="9"/>
        <color rgb="FF595959"/>
        <rFont val="Arial"/>
        <family val="0"/>
        <charset val="1"/>
      </rPr>
      <t xml:space="preserve">2,842 → 5,997</t>
    </r>
    <r>
      <rPr>
        <sz val="9"/>
        <color rgb="FF595959"/>
        <rFont val="Noto Sans CJK SC"/>
        <family val="2"/>
      </rPr>
      <t xml:space="preserve">；在建工程 </t>
    </r>
    <r>
      <rPr>
        <sz val="9"/>
        <color rgb="FF595959"/>
        <rFont val="Arial"/>
        <family val="0"/>
        <charset val="1"/>
      </rPr>
      <t xml:space="preserve">9,376 → 11,918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</si>
  <si>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crwvCapex</t>
    </r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</si>
  <si>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16.139bn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latestQuarter.capexH1</t>
    </r>
    <r>
      <rPr>
        <sz val="9"/>
        <color rgb="FF595959"/>
        <rFont val="Noto Sans CJK SC"/>
        <family val="2"/>
      </rPr>
      <t xml:space="preserve">）；主動電力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2026-06-30 1.5 GW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10-Q</t>
    </r>
    <r>
      <rPr>
        <sz val="9"/>
        <color rgb="FF595959"/>
        <rFont val="Noto Sans CJK SC"/>
        <family val="2"/>
      </rPr>
      <t xml:space="preserve">／法說（</t>
    </r>
    <r>
      <rPr>
        <sz val="9"/>
        <color rgb="FF595959"/>
        <rFont val="Arial"/>
        <family val="0"/>
        <charset val="1"/>
      </rPr>
      <t xml:space="preserve">company.json latestQuarter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fleet.openMix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</si>
  <si>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crwvLife</t>
    </r>
  </si>
  <si>
    <r>
      <rPr>
        <sz val="9"/>
        <color rgb="FF595959"/>
        <rFont val="Arial"/>
        <family val="0"/>
        <charset val="1"/>
      </rPr>
      <t xml:space="preserve">Technology equipment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6 years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耐用年限表）｜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edgar.tools </t>
    </r>
    <r>
      <rPr>
        <sz val="9"/>
        <color rgb="FF595959"/>
        <rFont val="Noto Sans CJK SC"/>
        <family val="2"/>
      </rPr>
      <t xml:space="preserve">轉載會計政策表）（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https://app.edgar.tools/companies/CRWV/disclosures/property-plant-equipment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</si>
  <si>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crwvPriceUp</t>
    </r>
  </si>
  <si>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in July the company pushed through an approximately 25% price increase across SKUs</t>
    </r>
    <r>
      <rPr>
        <sz val="9"/>
        <color rgb="FF595959"/>
        <rFont val="Noto Sans CJK SC"/>
        <family val="2"/>
      </rPr>
      <t xml:space="preserve">」；新簽合約貢獻率預期高 </t>
    </r>
    <r>
      <rPr>
        <sz val="9"/>
        <color rgb="FF595959"/>
        <rFont val="Arial"/>
        <family val="0"/>
        <charset val="1"/>
      </rPr>
      <t xml:space="preserve">5–10 </t>
    </r>
    <r>
      <rPr>
        <sz val="9"/>
        <color rgb="FF595959"/>
        <rFont val="Noto Sans CJK SC"/>
        <family val="2"/>
      </rPr>
      <t xml:space="preserve">個百分點（轉述，非逐字稿）｜</t>
    </r>
    <r>
      <rPr>
        <sz val="9"/>
        <color rgb="FF595959"/>
        <rFont val="Arial"/>
        <family val="0"/>
        <charset val="1"/>
      </rPr>
      <t xml:space="preserve">Trefis</t>
    </r>
    <r>
      <rPr>
        <sz val="9"/>
        <color rgb="FF595959"/>
        <rFont val="Noto Sans CJK SC"/>
        <family val="2"/>
      </rPr>
      <t xml:space="preserve">（轉述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法說）（</t>
    </r>
    <r>
      <rPr>
        <sz val="9"/>
        <color rgb="FF595959"/>
        <rFont val="Arial"/>
        <family val="0"/>
        <charset val="1"/>
      </rPr>
      <t xml:space="preserve">2026-08-13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https://www.trefis.com/stock/crwv/articles2/611369/coreweave-is-winning-on-price-and-racing-its-own-interest-bill/2026-08-13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</si>
  <si>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crwvShortDated</t>
    </r>
  </si>
  <si>
    <r>
      <rPr>
        <sz val="9"/>
        <color rgb="FF595959"/>
        <rFont val="Arial"/>
        <family val="0"/>
        <charset val="1"/>
      </rPr>
      <t xml:space="preserve">In the third quarter of 2026, CoreWeave has signed short-dated customer contracts of approximately three to six months, with pricing of approximately $40 million per megawatt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annualized revenue ÷ power required to service the related clusters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&gt;$25bn </t>
    </r>
    <r>
      <rPr>
        <sz val="9"/>
        <color rgb="FF595959"/>
        <rFont val="Noto Sans CJK SC"/>
        <family val="2"/>
      </rPr>
      <t xml:space="preserve">新增承諾｜</t>
    </r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https://investors.coreweave.com/news/news-details/2026/CoreWeave-Continues-to-Contract-New-Compute-Capacity-at-Higher-Prices/default.aspx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</si>
  <si>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</si>
  <si>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伺服器／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保固或維護合約條款：</t>
    </r>
    <r>
      <rPr>
        <sz val="9"/>
        <color rgb="FF595959"/>
        <rFont val="Arial"/>
        <family val="0"/>
        <charset val="1"/>
      </rPr>
      <t xml:space="preserve">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Item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1A</t>
    </r>
    <r>
      <rPr>
        <sz val="9"/>
        <color rgb="FF595959"/>
        <rFont val="Noto Sans CJK SC"/>
        <family val="2"/>
      </rPr>
      <t xml:space="preserve">、會計政策）、</t>
    </r>
    <r>
      <rPr>
        <sz val="9"/>
        <color rgb="FF595959"/>
        <rFont val="Arial"/>
        <family val="0"/>
        <charset val="1"/>
      </rPr>
      <t xml:space="preserve">10-Q Q2 2026</t>
    </r>
    <r>
      <rPr>
        <sz val="9"/>
        <color rgb="FF595959"/>
        <rFont val="Noto Sans CJK SC"/>
        <family val="2"/>
      </rPr>
      <t xml:space="preserve">、搜尋皆未見（找不到，不代表不存在）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</si>
  <si>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</si>
  <si>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Noto Sans CJK SC"/>
        <family val="2"/>
      </rPr>
      <t xml:space="preserve">電費、維護、財產稅、保險的金額：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損益只到營收成本與技術與基礎設施兩列，未拆項（不存在於列項）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</si>
  <si>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</si>
  <si>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新長約的每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價格或合約金額 </t>
    </r>
    <r>
      <rPr>
        <sz val="9"/>
        <color rgb="FF595959"/>
        <rFont val="Arial"/>
        <family val="0"/>
        <charset val="1"/>
      </rPr>
      <t xml:space="preserve">÷ MW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$25bn </t>
    </r>
    <r>
      <rPr>
        <sz val="9"/>
        <color rgb="FF595959"/>
        <rFont val="Noto Sans CJK SC"/>
        <family val="2"/>
      </rPr>
      <t xml:space="preserve">新增承諾未揭露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法說逐字稿原文未取得（只有轉述）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</si>
  <si>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</si>
  <si>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Noto Sans CJK SC"/>
        <family val="2"/>
      </rPr>
      <t xml:space="preserve">主動電力（</t>
    </r>
    <r>
      <rPr>
        <sz val="9"/>
        <color rgb="FF595959"/>
        <rFont val="Arial"/>
        <family val="0"/>
        <charset val="1"/>
      </rPr>
      <t xml:space="preserve">active power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／設施口徑定義：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未見（找不到）</t>
    </r>
  </si>
  <si>
    <r>
      <rPr>
        <b val="true"/>
        <sz val="14"/>
        <rFont val="Noto Sans CJK SC"/>
        <family val="2"/>
      </rPr>
      <t xml:space="preserve">債務明細 — </t>
    </r>
    <r>
      <rPr>
        <b val="true"/>
        <sz val="14"/>
        <rFont val="Arial"/>
        <family val="0"/>
        <charset val="1"/>
      </rPr>
      <t xml:space="preserve">10-Q Note 10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</si>
  <si>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揭露值（含折價攤銷，四捨五入至整數 </t>
    </r>
    <r>
      <rPr>
        <sz val="9"/>
        <color rgb="FF595959"/>
        <rFont val="Arial"/>
        <family val="0"/>
        <charset val="1"/>
      </rPr>
      <t xml:space="preserve">%</t>
    </r>
    <r>
      <rPr>
        <sz val="9"/>
        <color rgb="FF595959"/>
        <rFont val="Noto Sans CJK SC"/>
        <family val="2"/>
      </rPr>
      <t xml:space="preserve">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</si>
  <si>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</si>
  <si>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</si>
  <si>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</si>
  <si>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</si>
  <si>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</si>
  <si>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</si>
  <si>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t xml:space="preserve">DDTL 1.0</t>
  </si>
  <si>
    <t xml:space="preserve">追索</t>
  </si>
  <si>
    <t xml:space="preserve">2028-03</t>
  </si>
  <si>
    <r>
      <rPr>
        <sz val="9"/>
        <color rgb="FF595959"/>
        <rFont val="Noto Sans CJK SC"/>
        <family val="2"/>
      </rPr>
      <t xml:space="preserve">資產層、隨客戶付款攤還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</si>
  <si>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DDTL 2.0</t>
  </si>
  <si>
    <t xml:space="preserve">2030-08</t>
  </si>
  <si>
    <t xml:space="preserve">DDTL 2.1</t>
  </si>
  <si>
    <t xml:space="preserve">2031-03</t>
  </si>
  <si>
    <t xml:space="preserve">DDTL 3.0</t>
  </si>
  <si>
    <t xml:space="preserve">DDTL 5.0</t>
  </si>
  <si>
    <t xml:space="preserve">2031-11</t>
  </si>
  <si>
    <r>
      <rPr>
        <sz val="9"/>
        <color rgb="FF595959"/>
        <rFont val="Arial"/>
        <family val="0"/>
        <charset val="1"/>
      </rPr>
      <t xml:space="preserve">SOFR+4.50%</t>
    </r>
    <r>
      <rPr>
        <sz val="9"/>
        <color rgb="FF595959"/>
        <rFont val="Noto Sans CJK SC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3.1 [Verified]</t>
    </r>
  </si>
  <si>
    <t xml:space="preserve">2030 Senior Notes</t>
  </si>
  <si>
    <t xml:space="preserve">2030-06</t>
  </si>
  <si>
    <r>
      <rPr>
        <sz val="9"/>
        <color rgb="FF595959"/>
        <rFont val="Noto Sans CJK SC"/>
        <family val="2"/>
      </rPr>
      <t xml:space="preserve">到期一次還本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</si>
  <si>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2031 9.00% Senior Notes</t>
  </si>
  <si>
    <t xml:space="preserve">2031-02</t>
  </si>
  <si>
    <t xml:space="preserve">2031 9.75% Senior Notes</t>
  </si>
  <si>
    <t xml:space="preserve">2031-10</t>
  </si>
  <si>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</si>
  <si>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2032 9.625% Senior Notes</t>
  </si>
  <si>
    <t xml:space="preserve">2032-07</t>
  </si>
  <si>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</si>
  <si>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2032 EUR Senior Notes</t>
    </r>
    <r>
      <rPr>
        <sz val="10"/>
        <rFont val="Noto Sans CJK SC"/>
        <family val="2"/>
      </rPr>
      <t xml:space="preserve">（€</t>
    </r>
    <r>
      <rPr>
        <sz val="10"/>
        <rFont val="Arial"/>
        <family val="0"/>
        <charset val="1"/>
      </rPr>
      <t xml:space="preserve">2.0bn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</si>
  <si>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8.50%</t>
    </r>
    <r>
      <rPr>
        <sz val="9"/>
        <color rgb="FF595959"/>
        <rFont val="Noto Sans CJK SC"/>
        <family val="2"/>
      </rPr>
      <t xml:space="preserve">；已做換匯換利避險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</si>
  <si>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可轉債</t>
    </r>
  </si>
  <si>
    <t xml:space="preserve">2031-12</t>
  </si>
  <si>
    <r>
      <rPr>
        <sz val="10"/>
        <rFont val="Arial"/>
        <family val="0"/>
        <charset val="1"/>
      </rPr>
      <t xml:space="preserve">2032 </t>
    </r>
    <r>
      <rPr>
        <sz val="10"/>
        <rFont val="Noto Sans CJK SC"/>
        <family val="2"/>
      </rPr>
      <t xml:space="preserve">可轉債</t>
    </r>
  </si>
  <si>
    <t xml:space="preserve">2032-10</t>
  </si>
  <si>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1.75%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</si>
  <si>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與軟體授權融資</t>
    </r>
  </si>
  <si>
    <r>
      <rPr>
        <sz val="9"/>
        <color rgb="FF595959"/>
        <rFont val="Arial"/>
        <family val="0"/>
        <charset val="1"/>
      </rPr>
      <t xml:space="preserve">2026-12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2030-07</t>
    </r>
  </si>
  <si>
    <r>
      <rPr>
        <sz val="9"/>
        <color rgb="FF595959"/>
        <rFont val="Noto Sans CJK SC"/>
        <family val="2"/>
      </rPr>
      <t xml:space="preserve">短期部分加權 </t>
    </r>
    <r>
      <rPr>
        <sz val="9"/>
        <color rgb="FF595959"/>
        <rFont val="Arial"/>
        <family val="0"/>
        <charset val="1"/>
      </rPr>
      <t xml:space="preserve">9% [Verified]</t>
    </r>
  </si>
  <si>
    <t xml:space="preserve">Magnetar Loan</t>
  </si>
  <si>
    <t xml:space="preserve">2029-01</t>
  </si>
  <si>
    <t xml:space="preserve">DDTL 4.0</t>
  </si>
  <si>
    <t xml:space="preserve">非追索</t>
  </si>
  <si>
    <t xml:space="preserve">2032-03</t>
  </si>
  <si>
    <r>
      <rPr>
        <sz val="9"/>
        <color rgb="FF595959"/>
        <rFont val="Arial"/>
        <family val="0"/>
        <charset val="1"/>
      </rPr>
      <t xml:space="preserve">SOFR+2.25%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Treasury+2.00%</t>
    </r>
    <r>
      <rPr>
        <sz val="9"/>
        <color rgb="FF595959"/>
        <rFont val="Noto Sans CJK SC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8.5</t>
    </r>
    <r>
      <rPr>
        <sz val="9"/>
        <color rgb="FF595959"/>
        <rFont val="Noto Sans CJK SC"/>
        <family val="2"/>
      </rPr>
      <t xml:space="preserve">，可動用至 </t>
    </r>
    <r>
      <rPr>
        <sz val="9"/>
        <color rgb="FF595959"/>
        <rFont val="Arial"/>
        <family val="0"/>
        <charset val="1"/>
      </rPr>
      <t xml:space="preserve">2027-06 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</si>
  <si>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融資（非追索）</t>
    </r>
  </si>
  <si>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2028-08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</si>
  <si>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</si>
  <si>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</si>
  <si>
    <t xml:space="preserve">加權有效利率</t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</si>
  <si>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簡報：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8.3%</t>
    </r>
    <r>
      <rPr>
        <sz val="9"/>
        <color rgb="FF595959"/>
        <rFont val="Noto Sans CJK SC"/>
        <family val="2"/>
      </rPr>
      <t xml:space="preserve">、含新可轉債 </t>
    </r>
    <r>
      <rPr>
        <sz val="9"/>
        <color rgb="FF595959"/>
        <rFont val="Arial"/>
        <family val="0"/>
        <charset val="1"/>
      </rPr>
      <t xml:space="preserve">pro forma 7.8%</t>
    </r>
    <r>
      <rPr>
        <sz val="9"/>
        <color rgb="FF595959"/>
        <rFont val="Noto Sans CJK SC"/>
        <family val="2"/>
      </rPr>
      <t xml:space="preserve">（該口徑用票面，本頁用有效利率）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</si>
  <si>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期後：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可轉債</t>
    </r>
  </si>
  <si>
    <r>
      <rPr>
        <sz val="9"/>
        <color rgb="FF595959"/>
        <rFont val="Noto Sans CJK SC"/>
        <family val="2"/>
      </rPr>
      <t xml:space="preserve">轉換價 </t>
    </r>
    <r>
      <rPr>
        <sz val="9"/>
        <color rgb="FF595959"/>
        <rFont val="Arial"/>
        <family val="0"/>
        <charset val="1"/>
      </rPr>
      <t xml:space="preserve">$97.85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2033 </t>
    </r>
    <r>
      <rPr>
        <sz val="9"/>
        <color rgb="FF595959"/>
        <rFont val="Noto Sans CJK SC"/>
        <family val="2"/>
      </rPr>
      <t xml:space="preserve">到期，不在五期還本表內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</si>
  <si>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Noto Sans CJK SC"/>
        <family val="2"/>
      </rPr>
      <t xml:space="preserve">存量利息推導（本金依 </t>
    </r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到期表遞減）</t>
    </r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</si>
  <si>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</si>
  <si>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</si>
  <si>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</si>
  <si>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到期表</t>
    </r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</si>
  <si>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</si>
  <si>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</si>
  <si>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</si>
  <si>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期間長度。限制：假設利率組合不變（實際上 </t>
    </r>
    <r>
      <rPr>
        <sz val="9"/>
        <color rgb="FF595959"/>
        <rFont val="Arial"/>
        <family val="0"/>
        <charset val="1"/>
      </rPr>
      <t xml:space="preserve">15%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DDTL 1.0 </t>
    </r>
    <r>
      <rPr>
        <sz val="9"/>
        <color rgb="FF595959"/>
        <rFont val="Noto Sans CJK SC"/>
        <family val="2"/>
      </rPr>
      <t xml:space="preserve">先到期，後期利率會略降）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</si>
  <si>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可轉債利息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</si>
  <si>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</si>
  <si>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／季含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新動用的 </t>
    </r>
    <r>
      <rPr>
        <sz val="9"/>
        <color rgb="FF595959"/>
        <rFont val="Arial"/>
        <family val="0"/>
        <charset val="1"/>
      </rPr>
      <t xml:space="preserve">DDTL</t>
    </r>
    <r>
      <rPr>
        <sz val="9"/>
        <color rgb="FF595959"/>
        <rFont val="Noto Sans CJK SC"/>
        <family val="2"/>
      </rPr>
      <t xml:space="preserve">；存量推算約 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／季，差額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季≈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起新增借款改由瀑布新債利息承接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</si>
  <si>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存量利息合計（連回輸入頁）</t>
  </si>
  <si>
    <r>
      <rPr>
        <sz val="9"/>
        <color rgb="FF595959"/>
        <rFont val="Arial"/>
        <family val="0"/>
        <charset val="1"/>
      </rPr>
      <t xml:space="preserve">v1.4 </t>
    </r>
    <r>
      <rPr>
        <sz val="9"/>
        <color rgb="FF595959"/>
        <rFont val="Noto Sans CJK SC"/>
        <family val="2"/>
      </rPr>
      <t xml:space="preserve">手動值為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1.8</t>
    </r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</si>
  <si>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</si>
  <si>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</si>
  <si>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</si>
  <si>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</si>
  <si>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</si>
  <si>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r>
      <rPr>
        <sz val="10"/>
        <rFont val="Noto Sans CJK SC"/>
        <family val="2"/>
      </rPr>
      <t xml:space="preserve">營運收支淨額（含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可轉債／</t>
    </r>
    <r>
      <rPr>
        <sz val="10"/>
        <rFont val="Arial"/>
        <family val="0"/>
        <charset val="1"/>
      </rPr>
      <t xml:space="preserve">ATM</t>
    </r>
    <r>
      <rPr>
        <sz val="10"/>
        <rFont val="Noto Sans CJK SC"/>
        <family val="2"/>
      </rPr>
      <t xml:space="preserve">，不含瀑布）</t>
    </r>
  </si>
  <si>
    <t xml:space="preserve">＝融資前累積現金的當期變動；負值即當期外部資金需求</t>
  </si>
  <si>
    <t xml:space="preserve">＋ 瀑布：新債（額度＋資產層）</t>
  </si>
  <si>
    <t xml:space="preserve">＋ 瀑布：高息債</t>
  </si>
  <si>
    <t xml:space="preserve">＋ 瀑布：股權募資</t>
  </si>
  <si>
    <t xml:space="preserve">− 新融資利息（新債＋高息債）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</si>
  <si>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</si>
  <si>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</si>
  <si>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</si>
  <si>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</si>
  <si>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</si>
  <si>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r>
      <rPr>
        <sz val="10"/>
        <rFont val="Noto Sans CJK SC"/>
        <family val="2"/>
      </rPr>
      <t xml:space="preserve">既有債務期初（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本金）</t>
    </r>
  </si>
  <si>
    <t xml:space="preserve">− 排程還本（模型期）</t>
  </si>
  <si>
    <t xml:space="preserve">既有債務期末</t>
  </si>
  <si>
    <r>
      <rPr>
        <sz val="9"/>
        <color rgb="FF595959"/>
        <rFont val="Noto Sans CJK SC"/>
        <family val="2"/>
      </rPr>
      <t xml:space="preserve">＝依到期表遞減（關閉攤還時維持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</si>
  <si>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可轉債（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到期）</t>
    </r>
  </si>
  <si>
    <t xml:space="preserve">＋ 瀑布新債餘額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</si>
  <si>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</si>
  <si>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</si>
  <si>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</si>
  <si>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</si>
  <si>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</si>
  <si>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</si>
  <si>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</si>
  <si>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</si>
  <si>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</si>
  <si>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</si>
  <si>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</si>
  <si>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</si>
  <si>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</si>
  <si>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</si>
  <si>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r>
      <rPr>
        <b val="true"/>
        <sz val="14"/>
        <rFont val="Noto Sans CJK SC"/>
        <family val="2"/>
      </rPr>
      <t xml:space="preserve">租賃與承諾 — </t>
    </r>
    <r>
      <rPr>
        <b val="true"/>
        <sz val="14"/>
        <rFont val="Arial"/>
        <family val="0"/>
        <charset val="1"/>
      </rPr>
      <t xml:space="preserve">10-Q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</si>
  <si>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</si>
  <si>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</si>
  <si>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</si>
  <si>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</si>
  <si>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</si>
  <si>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</si>
  <si>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</si>
  <si>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</si>
  <si>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</si>
  <si>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</si>
  <si>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</si>
  <si>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Noto Sans CJK SC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</si>
  <si>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</si>
  <si>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</si>
  <si>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DDTL 13.6</t>
    </r>
    <r>
      <rPr>
        <sz val="9"/>
        <color rgb="FF595959"/>
        <rFont val="Noto Sans CJK SC"/>
        <family val="2"/>
      </rPr>
      <t xml:space="preserve">、票據 </t>
    </r>
    <r>
      <rPr>
        <sz val="9"/>
        <color rgb="FF595959"/>
        <rFont val="Arial"/>
        <family val="0"/>
        <charset val="1"/>
      </rPr>
      <t xml:space="preserve">16.6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OEM 5.1 </t>
    </r>
    <r>
      <rPr>
        <sz val="9"/>
        <color rgb="FF595959"/>
        <rFont val="Noto Sans CJK SC"/>
        <family val="2"/>
      </rPr>
      <t xml:space="preserve">等）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</si>
  <si>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表外與契約性承諾（未入表）</t>
  </si>
  <si>
    <t xml:space="preserve">金額</t>
  </si>
  <si>
    <t xml:space="preserve">時程</t>
  </si>
  <si>
    <t xml:space="preserve">入表？</t>
  </si>
  <si>
    <t xml:space="preserve">模型位置</t>
  </si>
  <si>
    <t xml:space="preserve">未起租租賃（未折現）</t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</si>
  <si>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Noto Sans CJK SC"/>
        <family val="2"/>
      </rPr>
      <t xml:space="preserve">起租，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Noto Sans CJK SC"/>
        <family val="2"/>
      </rPr>
      <t xml:space="preserve">年</t>
    </r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</si>
  <si>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</si>
  <si>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</si>
  <si>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</si>
  <si>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Arial"/>
        <family val="0"/>
        <charset val="1"/>
      </rPr>
      <t xml:space="preserve">393 MW </t>
    </r>
    <r>
      <rPr>
        <sz val="9"/>
        <color rgb="FF595959"/>
        <rFont val="Noto Sans CJK SC"/>
        <family val="2"/>
      </rPr>
      <t xml:space="preserve">未交付，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</si>
  <si>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按造價計租，</t>
    </r>
    <r>
      <rPr>
        <sz val="10"/>
        <rFont val="Arial"/>
        <family val="0"/>
        <charset val="1"/>
      </rPr>
      <t xml:space="preserve">355 MW</t>
    </r>
  </si>
  <si>
    <t xml:space="preserve">未定</t>
  </si>
  <si>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Noto Sans CJK SC"/>
        <family val="2"/>
      </rPr>
      <t xml:space="preserve">分期，金額未定</t>
    </r>
  </si>
  <si>
    <t xml:space="preserve">承租人自備設備承諾</t>
  </si>
  <si>
    <r>
      <rPr>
        <sz val="9"/>
        <color rgb="FF595959"/>
        <rFont val="Arial"/>
        <family val="0"/>
        <charset val="1"/>
      </rPr>
      <t xml:space="preserve">0.5–1.2</t>
    </r>
    <r>
      <rPr>
        <sz val="9"/>
        <color rgb="FF595959"/>
        <rFont val="Noto Sans CJK SC"/>
        <family val="2"/>
      </rPr>
      <t xml:space="preserve">，分期至 </t>
    </r>
    <r>
      <rPr>
        <sz val="9"/>
        <color rgb="FF595959"/>
        <rFont val="Arial"/>
        <family val="0"/>
        <charset val="1"/>
      </rPr>
      <t xml:space="preserve">2028</t>
    </r>
  </si>
  <si>
    <r>
      <rPr>
        <sz val="9"/>
        <color rgb="FF595959"/>
        <rFont val="Noto Sans CJK SC"/>
        <family val="2"/>
      </rPr>
      <t xml:space="preserve">併入毛 </t>
    </r>
    <r>
      <rPr>
        <sz val="9"/>
        <color rgb="FF595959"/>
        <rFont val="Arial"/>
        <family val="0"/>
        <charset val="1"/>
      </rPr>
      <t xml:space="preserve">CapEx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</si>
  <si>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出資承諾</t>
    </r>
  </si>
  <si>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</si>
  <si>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／策略投資出資</t>
    </r>
  </si>
  <si>
    <r>
      <rPr>
        <sz val="10"/>
        <rFont val="Arial"/>
        <family val="0"/>
        <charset val="1"/>
      </rPr>
      <t xml:space="preserve">VIE </t>
    </r>
    <r>
      <rPr>
        <sz val="10"/>
        <rFont val="Noto Sans CJK SC"/>
        <family val="2"/>
      </rPr>
      <t xml:space="preserve">最大損失暴露</t>
    </r>
  </si>
  <si>
    <t xml:space="preserve">—</t>
  </si>
  <si>
    <t xml:space="preserve">不另列</t>
  </si>
  <si>
    <r>
      <rPr>
        <sz val="10"/>
        <rFont val="Noto Sans CJK SC"/>
        <family val="2"/>
      </rPr>
      <t xml:space="preserve">可用信用額度（</t>
    </r>
    <r>
      <rPr>
        <sz val="10"/>
        <rFont val="Arial"/>
        <family val="0"/>
        <charset val="1"/>
      </rPr>
      <t xml:space="preserve">RCF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DDTL </t>
    </r>
    <r>
      <rPr>
        <sz val="10"/>
        <rFont val="Noto Sans CJK SC"/>
        <family val="2"/>
      </rPr>
      <t xml:space="preserve">未動用）</t>
    </r>
  </si>
  <si>
    <r>
      <rPr>
        <sz val="9"/>
        <color rgb="FF595959"/>
        <rFont val="Arial"/>
        <family val="0"/>
        <charset val="1"/>
      </rPr>
      <t xml:space="preserve">DDTL 4.0 </t>
    </r>
    <r>
      <rPr>
        <sz val="9"/>
        <color rgb="FF595959"/>
        <rFont val="Noto Sans CJK SC"/>
        <family val="2"/>
      </rPr>
      <t xml:space="preserve">可動用至 </t>
    </r>
    <r>
      <rPr>
        <sz val="9"/>
        <color rgb="FF595959"/>
        <rFont val="Arial"/>
        <family val="0"/>
        <charset val="1"/>
      </rPr>
      <t xml:space="preserve">2027-06</t>
    </r>
  </si>
  <si>
    <t xml:space="preserve">否（來源）</t>
  </si>
  <si>
    <t xml:space="preserve">選用開關</t>
  </si>
  <si>
    <t xml:space="preserve">已揭露金額之承諾合計（未起租＋單站上限）</t>
  </si>
  <si>
    <t xml:space="preserve">模型表外租金五期合計</t>
  </si>
  <si>
    <r>
      <rPr>
        <sz val="10"/>
        <rFont val="Noto Sans CJK SC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</si>
  <si>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</si>
  <si>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路徑所需新租約多數尚未簽署，路徑高於已承諾屬假設而非錯誤</t>
    </r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</si>
  <si>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</si>
  <si>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</si>
  <si>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</si>
  <si>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</si>
  <si>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</si>
  <si>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</si>
  <si>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</si>
  <si>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</si>
  <si>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Noto Sans CJK SC"/>
        <family val="2"/>
      </rPr>
      <t xml:space="preserve">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</si>
  <si>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</si>
  <si>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</si>
  <si>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</si>
  <si>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</si>
  <si>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</si>
  <si>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</si>
  <si>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</si>
  <si>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</si>
  <si>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</si>
  <si>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</si>
  <si>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</si>
  <si>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</si>
  <si>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0.587</t>
    </r>
    <r>
      <rPr>
        <sz val="9"/>
        <color rgb="FF595959"/>
        <rFont val="Noto Sans CJK SC"/>
        <family val="2"/>
      </rPr>
      <t xml:space="preserve">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</si>
  <si>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</si>
  <si>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</si>
  <si>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</si>
  <si>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</si>
  <si>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</si>
  <si>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</si>
  <si>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</si>
  <si>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</si>
  <si>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</si>
  <si>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</si>
  <si>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</si>
  <si>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</si>
  <si>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</si>
  <si>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2.540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</si>
  <si>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</si>
  <si>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</si>
  <si>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</si>
  <si>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</si>
  <si>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</si>
  <si>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</si>
  <si>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−2.53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</si>
  <si>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</si>
  <si>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</si>
  <si>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</si>
  <si>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</si>
  <si>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</si>
  <si>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</si>
  <si>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14.117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</si>
  <si>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</si>
  <si>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模型期營收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</si>
  <si>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</si>
  <si>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</si>
  <si>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</si>
  <si>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</si>
  <si>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</si>
  <si>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</si>
  <si>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</si>
  <si>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</si>
  <si>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</si>
  <si>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CapEx−</t>
    </r>
    <r>
      <rPr>
        <sz val="9"/>
        <color rgb="FF595959"/>
        <rFont val="Noto Sans CJK SC"/>
        <family val="2"/>
      </rPr>
      <t xml:space="preserve">營運資金。建置期全為負是正常的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</si>
  <si>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</si>
  <si>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</si>
  <si>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</si>
  <si>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</si>
  <si>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</si>
  <si>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</si>
  <si>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</si>
  <si>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Noto Sans CJK SC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Noto Sans CJK SC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</si>
  <si>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</si>
  <si>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</si>
  <si>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</si>
  <si>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</si>
  <si>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</si>
  <si>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</t>
    </r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</si>
  <si>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</si>
  <si>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</si>
  <si>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（權重不變）；否則依「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</si>
  <si>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</si>
  <si>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</si>
  <si>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</si>
  <si>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</si>
  <si>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</si>
  <si>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腿以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計入原權重（與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截斷同口徑）。股權為負不算失效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</si>
  <si>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</si>
  <si>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</si>
  <si>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</si>
  <si>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</si>
  <si>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</si>
  <si>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</si>
  <si>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</si>
  <si>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</si>
  <si>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</si>
  <si>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</si>
  <si>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t xml:space="preserve">錨定年度末淨負債（總債務 − 現金）</t>
  </si>
  <si>
    <t xml:space="preserve">含瀑布新債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</si>
  <si>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</si>
  <si>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</si>
  <si>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</si>
  <si>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</si>
  <si>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</si>
  <si>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</si>
  <si>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</si>
  <si>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</si>
  <si>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</si>
  <si>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</si>
  <si>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</si>
  <si>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</si>
  <si>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</si>
  <si>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</si>
  <si>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截斷或失效時顯示；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</si>
  <si>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</si>
  <si>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</si>
  <si>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</si>
  <si>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</si>
  <si>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</si>
  <si>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</si>
  <si>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4.2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</si>
  <si>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</si>
  <si>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r>
      <rPr>
        <sz val="10"/>
        <rFont val="Noto Sans CJK SC"/>
        <family val="2"/>
      </rPr>
      <t xml:space="preserve">目標價區間｜基準 </t>
    </r>
    <r>
      <rPr>
        <sz val="10"/>
        <rFont val="Arial"/>
        <family val="0"/>
        <charset val="1"/>
      </rPr>
      <t xml:space="preserve">5.6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</si>
  <si>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10"/>
        <rFont val="Noto Sans CJK SC"/>
        <family val="2"/>
      </rPr>
      <t xml:space="preserve">目標價區間｜積極 </t>
    </r>
    <r>
      <rPr>
        <sz val="10"/>
        <rFont val="Arial"/>
        <family val="0"/>
        <charset val="1"/>
      </rPr>
      <t xml:space="preserve">8 GW</t>
    </r>
    <r>
      <rPr>
        <sz val="10"/>
        <rFont val="Noto Sans CJK SC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</si>
  <si>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</si>
  <si>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</si>
  <si>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</si>
  <si>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</si>
  <si>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</si>
  <si>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</si>
  <si>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</si>
  <si>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</si>
  <si>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</si>
  <si>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</si>
  <si>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</si>
  <si>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</si>
  <si>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</si>
  <si>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</si>
  <si>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</si>
  <si>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</si>
  <si>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</si>
  <si>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</si>
  <si>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</si>
  <si>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</si>
  <si>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</si>
  <si>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</si>
  <si>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</si>
  <si>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</si>
  <si>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</si>
  <si>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</si>
  <si>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</si>
  <si>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</si>
  <si>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</si>
  <si>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</si>
  <si>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</si>
  <si>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</si>
  <si>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</si>
  <si>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</si>
  <si>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</si>
  <si>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</si>
  <si>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</si>
  <si>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</si>
  <si>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</si>
  <si>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</si>
  <si>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</si>
  <si>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</si>
  <si>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</si>
  <si>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</si>
  <si>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</si>
  <si>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；由下而上上緣約 </t>
    </r>
    <r>
      <rPr>
        <sz val="9"/>
        <color rgb="FF595959"/>
        <rFont val="Arial"/>
        <family val="0"/>
        <charset val="1"/>
      </rPr>
      <t xml:space="preserve">67–71%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</si>
  <si>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</si>
  <si>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</si>
  <si>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</si>
  <si>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</si>
  <si>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$26.3m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</si>
  <si>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$30.1m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</si>
  <si>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</si>
  <si>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$37.6m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</si>
  <si>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$41.3m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</si>
  <si>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</si>
  <si>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</si>
  <si>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僅供參考（同業 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皆為負，顯示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</si>
  <si>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</si>
  <si>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</si>
  <si>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</si>
  <si>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</si>
  <si>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</si>
  <si>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</si>
  <si>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</si>
  <si>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</si>
  <si>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</si>
  <si>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</si>
  <si>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NBIS Nebius</t>
  </si>
  <si>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FY25 20-F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</si>
  <si>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。季報未 </t>
    </r>
    <r>
      <rPr>
        <sz val="9"/>
        <color rgb="FF595959"/>
        <rFont val="Arial"/>
        <family val="0"/>
        <charset val="1"/>
      </rPr>
      <t xml:space="preserve">XBRL </t>
    </r>
    <r>
      <rPr>
        <sz val="9"/>
        <color rgb="FF595959"/>
        <rFont val="Noto Sans CJK SC"/>
        <family val="2"/>
      </rPr>
      <t xml:space="preserve">標註，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；營收為 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。前瞻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8.46 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</si>
  <si>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</si>
  <si>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</si>
  <si>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</si>
  <si>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</si>
  <si>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</si>
  <si>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</si>
  <si>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</si>
  <si>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</si>
  <si>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</si>
  <si>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</si>
  <si>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CRWV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</si>
  <si>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</si>
  <si>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淨負債；含租賃再加營業租賃負債 </t>
    </r>
    <r>
      <rPr>
        <sz val="9"/>
        <color rgb="FF595959"/>
        <rFont val="Arial"/>
        <family val="0"/>
        <charset val="1"/>
      </rPr>
      <t xml:space="preserve">16.319</t>
    </r>
  </si>
  <si>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</si>
  <si>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Noto Sans CJK SC"/>
        <family val="2"/>
      </rPr>
      <t xml:space="preserve">市值用模型股數（含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上限）；分母為模型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</si>
  <si>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Noto Sans CJK SC"/>
        <family val="2"/>
      </rPr>
      <t xml:space="preserve">約為同業中位數的四成。折價來源有三，不能全部解讀為便宜：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同業仍在爬坡，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營收遠小於已簽約規模，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</si>
  <si>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(2) CRWV </t>
    </r>
    <r>
      <rPr>
        <sz val="9"/>
        <color rgb="FF595959"/>
        <rFont val="Noto Sans CJK SC"/>
        <family val="2"/>
      </rPr>
      <t xml:space="preserve">用租約取得機房，加入營業租賃負債後倍數升至約 </t>
    </r>
    <r>
      <rPr>
        <sz val="9"/>
        <color rgb="FF595959"/>
        <rFont val="Arial"/>
        <family val="0"/>
        <charset val="1"/>
      </rPr>
      <t xml:space="preserve">12x</t>
    </r>
    <r>
      <rPr>
        <sz val="9"/>
        <color rgb="FF595959"/>
        <rFont val="Noto Sans CJK SC"/>
        <family val="2"/>
      </rPr>
      <t xml:space="preserve">，同業加與不加差別很小；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客戶集中（前三大 </t>
    </r>
    <r>
      <rPr>
        <sz val="9"/>
        <color rgb="FF595959"/>
        <rFont val="Arial"/>
        <family val="0"/>
        <charset val="1"/>
      </rPr>
      <t xml:space="preserve">72%</t>
    </r>
    <r>
      <rPr>
        <sz val="9"/>
        <color rgb="FF595959"/>
        <rFont val="Noto Sans CJK SC"/>
        <family val="2"/>
      </rPr>
      <t xml:space="preserve">）與五期外部資金需求。</t>
    </r>
  </si>
  <si>
    <r>
      <rPr>
        <sz val="9"/>
        <color rgb="FF595959"/>
        <rFont val="Noto Sans CJK SC"/>
        <family val="2"/>
      </rPr>
      <t xml:space="preserve">前瞻：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3x</t>
    </r>
    <r>
      <rPr>
        <sz val="9"/>
        <color rgb="FF595959"/>
        <rFont val="Noto Sans CJK SC"/>
        <family val="2"/>
      </rPr>
      <t xml:space="preserve">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Noto Sans CJK SC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</si>
  <si>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</si>
  <si>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</si>
  <si>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</si>
  <si>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</si>
  <si>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</si>
  <si>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線性分攤後應為 </t>
    </r>
    <r>
      <rPr>
        <sz val="9"/>
        <color rgb="FF595959"/>
        <rFont val="Arial"/>
        <family val="0"/>
        <charset val="1"/>
      </rPr>
      <t xml:space="preserve">84%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</si>
  <si>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</si>
  <si>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</si>
  <si>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</si>
  <si>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</si>
  <si>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</si>
  <si>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</si>
  <si>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35–39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</si>
  <si>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模型；公司 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Noto Sans CJK SC"/>
        <family val="2"/>
      </rPr>
      <t xml:space="preserve">上修全年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</si>
  <si>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</si>
  <si>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12.4–13.2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</si>
  <si>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</si>
  <si>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</si>
  <si>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$28–34m/MW</t>
  </si>
  <si>
    <r>
      <rPr>
        <sz val="9"/>
        <color rgb="FF595959"/>
        <rFont val="Noto Sans CJK SC"/>
        <family val="2"/>
      </rPr>
      <t xml:space="preserve">公司自身比率：</t>
    </r>
    <r>
      <rPr>
        <sz val="9"/>
        <color rgb="FF595959"/>
        <rFont val="Arial"/>
        <family val="0"/>
        <charset val="1"/>
      </rPr>
      <t xml:space="preserve">2026 CapEx 35–39bn </t>
    </r>
    <r>
      <rPr>
        <sz val="9"/>
        <color rgb="FF595959"/>
        <rFont val="Noto Sans CJK SC"/>
        <family val="2"/>
      </rPr>
      <t xml:space="preserve">對應約 </t>
    </r>
    <r>
      <rPr>
        <sz val="9"/>
        <color rgb="FF595959"/>
        <rFont val="Arial"/>
        <family val="0"/>
        <charset val="1"/>
      </rPr>
      <t xml:space="preserve">+1.25 GW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$28–34m/MW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</si>
  <si>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</si>
  <si>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</si>
  <si>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路徑所需新租約多數未簽，路徑高於承諾屬假設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</si>
  <si>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</si>
  <si>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≥2.9</t>
  </si>
  <si>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</si>
  <si>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</si>
  <si>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Noto Sans CJK SC"/>
        <family val="2"/>
      </rPr>
      <t xml:space="preserve">新簽約收入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同期總算力收入。高＝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敘事的風險集中點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</si>
  <si>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</si>
  <si>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</si>
  <si>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</si>
  <si>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</si>
  <si>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</si>
  <si>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</si>
  <si>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</si>
  <si>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</si>
  <si>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</si>
  <si>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</si>
  <si>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</si>
  <si>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</si>
  <si>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</si>
  <si>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</si>
  <si>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10-Q </t>
    </r>
    <r>
      <rPr>
        <sz val="10"/>
        <rFont val="Noto Sans CJK SC"/>
        <family val="2"/>
      </rPr>
      <t xml:space="preserve">本金 </t>
    </r>
    <r>
      <rPr>
        <sz val="10"/>
        <rFont val="Arial"/>
        <family val="0"/>
        <charset val="1"/>
      </rPr>
      <t xml:space="preserve">35.551</t>
    </r>
  </si>
  <si>
    <t xml:space="preserve">35.551</t>
  </si>
  <si>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筆工具逐筆加總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</si>
  <si>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</si>
  <si>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YE25 850→YE26 1,850 MW </t>
    </r>
    <r>
      <rPr>
        <sz val="9"/>
        <color rgb="FF595959"/>
        <rFont val="Noto Sans CJK SC"/>
        <family val="2"/>
      </rPr>
      <t xml:space="preserve">與預建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推得；應重現公司全年指引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</si>
  <si>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</si>
  <si>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1.7 </t>
    </r>
    <r>
      <rPr>
        <sz val="9"/>
        <color rgb="FF595959"/>
        <rFont val="Noto Sans CJK SC"/>
        <family val="2"/>
      </rPr>
      <t xml:space="preserve">承諾預計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年內履行，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</si>
  <si>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</si>
  <si>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</si>
  <si>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</si>
  <si>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</si>
  <si>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</si>
  <si>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</si>
  <si>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收入上限：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營收（各期最高）</t>
    </r>
  </si>
  <si>
    <t xml:space="preserve">≤50%</t>
  </si>
  <si>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營收的比例（</t>
    </r>
    <r>
      <rPr>
        <sz val="9"/>
        <color rgb="FF595959"/>
        <rFont val="Arial"/>
        <family val="0"/>
        <charset val="1"/>
      </rPr>
      <t xml:space="preserve">Tokenomics IF_RevGWFleet</t>
    </r>
    <r>
      <rPr>
        <sz val="9"/>
        <color rgb="FF595959"/>
        <rFont val="Noto Sans CJK SC"/>
        <family val="2"/>
      </rPr>
      <t xml:space="preserve">，在役世代加權）；超過門檻＝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單價相對客戶端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經濟性偏高，明細見『每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</si>
  <si>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</si>
  <si>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</si>
  <si>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</si>
  <si>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</si>
  <si>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</si>
  <si>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</si>
  <si>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</si>
  <si>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</si>
  <si>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</si>
  <si>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</si>
  <si>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</si>
  <si>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</si>
  <si>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</si>
  <si>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</si>
  <si>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</si>
  <si>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</si>
  <si>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</si>
  <si>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</si>
  <si>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v4.10</t>
  </si>
  <si>
    <t xml:space="preserve">10-15</t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</si>
  <si>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快照換 </t>
    </r>
    <r>
      <rPr>
        <sz val="10"/>
        <rFont val="Arial"/>
        <family val="0"/>
        <charset val="1"/>
      </rPr>
      <t xml:space="preserve">v5.35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W8</t>
    </r>
    <r>
      <rPr>
        <sz val="10"/>
        <rFont val="Noto Sans CJK SC"/>
        <family val="2"/>
      </rPr>
      <t xml:space="preserve">，工程類，數值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差異）：</t>
    </r>
    <r>
      <rPr>
        <sz val="10"/>
        <rFont val="Arial"/>
        <family val="0"/>
        <charset val="1"/>
      </rPr>
      <t xml:space="preserve">Tokenomics master 9dff7f5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model/CURRENT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20261014_Tokenomics_v5.35.xlsx</t>
    </r>
    <r>
      <rPr>
        <sz val="10"/>
        <rFont val="Noto Sans CJK SC"/>
        <family val="2"/>
      </rPr>
      <t xml:space="preserve">）；以 </t>
    </r>
    <r>
      <rPr>
        <sz val="10"/>
        <rFont val="Arial"/>
        <family val="0"/>
        <charset val="1"/>
      </rPr>
      <t xml:space="preserve">import_tokenomics.py </t>
    </r>
    <r>
      <rPr>
        <sz val="10"/>
        <rFont val="Noto Sans CJK SC"/>
        <family val="2"/>
      </rPr>
      <t xml:space="preserve">依名稱清單重抓快照，</t>
    </r>
    <r>
      <rPr>
        <sz val="10"/>
        <rFont val="Arial"/>
        <family val="0"/>
        <charset val="1"/>
      </rPr>
      <t xml:space="preserve">29 </t>
    </r>
    <r>
      <rPr>
        <sz val="10"/>
        <rFont val="Noto Sans CJK SC"/>
        <family val="2"/>
      </rPr>
      <t xml:space="preserve">個名稱、</t>
    </r>
    <r>
      <rPr>
        <sz val="10"/>
        <rFont val="Arial"/>
        <family val="0"/>
        <charset val="1"/>
      </rPr>
      <t xml:space="preserve">366 </t>
    </r>
    <r>
      <rPr>
        <sz val="10"/>
        <rFont val="Noto Sans CJK SC"/>
        <family val="2"/>
      </rPr>
      <t xml:space="preserve">個數值與 </t>
    </r>
    <r>
      <rPr>
        <sz val="10"/>
        <rFont val="Arial"/>
        <family val="0"/>
        <charset val="1"/>
      </rPr>
      <t xml:space="preserve">v5.31 </t>
    </r>
    <r>
      <rPr>
        <sz val="10"/>
        <rFont val="Noto Sans CJK SC"/>
        <family val="2"/>
      </rPr>
      <t xml:space="preserve">逐值比較差異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，故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收入與成本、資本支出、折舊、三情境、融資缺口、敏感度全部不變；</t>
    </r>
    <r>
      <rPr>
        <sz val="10"/>
        <rFont val="Arial"/>
        <family val="0"/>
        <charset val="1"/>
      </rPr>
      <t xml:space="preserve">company.json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區段（</t>
    </r>
    <r>
      <rPr>
        <sz val="10"/>
        <rFont val="Arial"/>
        <family val="0"/>
        <charset val="1"/>
      </rPr>
      <t xml:space="preserve">snapshotFile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version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commit</t>
    </r>
    <r>
      <rPr>
        <sz val="10"/>
        <rFont val="Noto Sans CJK SC"/>
        <family val="2"/>
      </rPr>
      <t xml:space="preserve">）與 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Tokenomics_</t>
    </r>
    <r>
      <rPr>
        <sz val="10"/>
        <rFont val="Noto Sans CJK SC"/>
        <family val="2"/>
      </rPr>
      <t xml:space="preserve">取數」「檢查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版本紀錄」的快照版本與 </t>
    </r>
    <r>
      <rPr>
        <sz val="10"/>
        <rFont val="Arial"/>
        <family val="0"/>
        <charset val="1"/>
      </rPr>
      <t xml:space="preserve">commit </t>
    </r>
    <r>
      <rPr>
        <sz val="10"/>
        <rFont val="Noto Sans CJK SC"/>
        <family val="2"/>
      </rPr>
      <t xml:space="preserve">字樣隨之更新；舊 </t>
    </r>
    <r>
      <rPr>
        <sz val="10"/>
        <rFont val="Arial"/>
        <family val="0"/>
        <charset val="1"/>
      </rPr>
      <t xml:space="preserve">v5.31 </t>
    </r>
    <r>
      <rPr>
        <sz val="10"/>
        <rFont val="Noto Sans CJK SC"/>
        <family val="2"/>
      </rPr>
      <t xml:space="preserve">快照檔移除</t>
    </r>
  </si>
  <si>
    <t xml:space="preserve">$32.0</t>
  </si>
  <si>
    <r>
      <rPr>
        <sz val="10"/>
        <rFont val="Noto Sans CJK SC"/>
        <family val="2"/>
      </rPr>
      <t xml:space="preserve">三情境目標價不變：基準 </t>
    </r>
    <r>
      <rPr>
        <sz val="10"/>
        <rFont val="Arial"/>
        <family val="0"/>
        <charset val="1"/>
      </rPr>
      <t xml:space="preserve">$32.0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$42.7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$14.7</t>
    </r>
    <r>
      <rPr>
        <sz val="10"/>
        <rFont val="Noto Sans CJK SC"/>
        <family val="2"/>
      </rPr>
      <t xml:space="preserve">，皆賣出；融資缺口不變。拆解：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（三情境目標價不變；拆解 </t>
    </r>
    <r>
      <rPr>
        <sz val="10"/>
        <rFont val="Arial"/>
        <family val="0"/>
        <charset val="1"/>
      </rPr>
      <t xml:space="preserve">(a)(b)(c)(d) </t>
    </r>
    <r>
      <rPr>
        <sz val="10"/>
        <rFont val="Noto Sans CJK SC"/>
        <family val="2"/>
      </rPr>
      <t xml:space="preserve">皆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</si>
  <si>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t xml:space="preserve">v4.9</t>
  </si>
  <si>
    <t xml:space="preserve">10-11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</si>
  <si>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失效時的權重口徑（</t>
    </r>
    <r>
      <rPr>
        <sz val="10"/>
        <rFont val="Arial"/>
        <family val="0"/>
        <charset val="1"/>
      </rPr>
      <t xml:space="preserve">W7</t>
    </r>
    <r>
      <rPr>
        <sz val="10"/>
        <rFont val="Noto Sans CJK SC"/>
        <family val="2"/>
      </rPr>
      <t xml:space="preserve">，已決定事項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）時，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計入原權重 </t>
    </r>
    <r>
      <rPr>
        <sz val="10"/>
        <rFont val="Arial"/>
        <family val="0"/>
        <charset val="1"/>
      </rPr>
      <t xml:space="preserve">45%</t>
    </r>
    <r>
      <rPr>
        <sz val="10"/>
        <rFont val="Noto Sans CJK SC"/>
        <family val="2"/>
      </rPr>
      <t xml:space="preserve">（與股權為負時的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截斷同口徑），不再改用 </t>
    </r>
    <r>
      <rPr>
        <sz val="10"/>
        <rFont val="Arial"/>
        <family val="0"/>
        <charset val="1"/>
      </rPr>
      <t xml:space="preserve">EV/EBITDA 100%</t>
    </r>
    <r>
      <rPr>
        <sz val="10"/>
        <rFont val="Noto Sans CJK SC"/>
        <family val="2"/>
      </rPr>
      <t xml:space="preserve">，消除兩狀態交界的目標價跳升；一頁摘要與評價頁在失效時顯示「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：失效（以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計入）」；評等、區間、錨定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倍數矩陣、反向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、敏感度快照依新口徑；方法開關 </t>
    </r>
    <r>
      <rPr>
        <sz val="10"/>
        <rFont val="Arial"/>
        <family val="0"/>
        <charset val="1"/>
      </rPr>
      <t xml:space="preserve">methodology.dcfInvalid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zero</t>
    </r>
    <r>
      <rPr>
        <sz val="10"/>
        <rFont val="Noto Sans CJK SC"/>
        <family val="2"/>
      </rPr>
      <t xml:space="preserve">＝新口徑｜</t>
    </r>
    <r>
      <rPr>
        <sz val="10"/>
        <rFont val="Arial"/>
        <family val="0"/>
        <charset val="1"/>
      </rPr>
      <t xml:space="preserve">exclude</t>
    </r>
    <r>
      <rPr>
        <sz val="10"/>
        <rFont val="Noto Sans CJK SC"/>
        <family val="2"/>
      </rPr>
      <t xml:space="preserve">＝舊口徑，舊方法回歸用）</t>
    </r>
  </si>
  <si>
    <r>
      <rPr>
        <sz val="10"/>
        <rFont val="Noto Sans CJK SC"/>
        <family val="2"/>
      </rPr>
      <t xml:space="preserve">三情境目標價不變：基準 </t>
    </r>
    <r>
      <rPr>
        <sz val="10"/>
        <rFont val="Arial"/>
        <family val="0"/>
        <charset val="1"/>
      </rPr>
      <t xml:space="preserve">$32.0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$42.7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$14.7</t>
    </r>
    <r>
      <rPr>
        <sz val="10"/>
        <rFont val="Noto Sans CJK SC"/>
        <family val="2"/>
      </rPr>
      <t xml:space="preserve">（三情境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皆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截斷、非失效），皆賣出；融資缺口不變。拆解：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。敏感度只有保守 </t>
    </r>
    <r>
      <rPr>
        <sz val="10"/>
        <rFont val="Arial"/>
        <family val="0"/>
        <charset val="1"/>
      </rPr>
      <t xml:space="preserve">× Tokenomics </t>
    </r>
    <r>
      <rPr>
        <sz val="10"/>
        <rFont val="Noto Sans CJK SC"/>
        <family val="2"/>
      </rPr>
      <t xml:space="preserve">高成本改變（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失效）：</t>
    </r>
    <r>
      <rPr>
        <sz val="10"/>
        <rFont val="Arial"/>
        <family val="0"/>
        <charset val="1"/>
      </rPr>
      <t xml:space="preserve">$18.1→$9.9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55% × EV/EBITDA </t>
    </r>
    <r>
      <rPr>
        <sz val="10"/>
        <rFont val="Noto Sans CJK SC"/>
        <family val="2"/>
      </rPr>
      <t xml:space="preserve">腿 </t>
    </r>
    <r>
      <rPr>
        <sz val="10"/>
        <rFont val="Arial"/>
        <family val="0"/>
        <charset val="1"/>
      </rPr>
      <t xml:space="preserve">$18.1</t>
    </r>
  </si>
  <si>
    <t xml:space="preserve">v4.8</t>
  </si>
  <si>
    <t xml:space="preserve">10-09</t>
  </si>
  <si>
    <r>
      <rPr>
        <sz val="10"/>
        <rFont val="Noto Sans CJK SC"/>
        <family val="2"/>
      </rPr>
      <t xml:space="preserve">接 </t>
    </r>
    <r>
      <rPr>
        <sz val="10"/>
        <rFont val="Arial"/>
        <family val="0"/>
        <charset val="1"/>
      </rPr>
      <t xml:space="preserve">Tokenomics v5.31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W6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r1 </t>
    </r>
    <r>
      <rPr>
        <sz val="10"/>
        <rFont val="Noto Sans CJK SC"/>
        <family val="2"/>
      </rPr>
      <t xml:space="preserve">覆寫）：快照 </t>
    </r>
    <r>
      <rPr>
        <sz val="10"/>
        <rFont val="Arial"/>
        <family val="0"/>
        <charset val="1"/>
      </rPr>
      <t xml:space="preserve">v5.27 → v5.31——GB300 </t>
    </r>
    <r>
      <rPr>
        <sz val="10"/>
        <rFont val="Noto Sans CJK SC"/>
        <family val="2"/>
      </rPr>
      <t xml:space="preserve">機架價格 </t>
    </r>
    <r>
      <rPr>
        <sz val="10"/>
        <rFont val="Arial"/>
        <family val="0"/>
        <charset val="1"/>
      </rPr>
      <t xml:space="preserve">5.0 → 4.3 $M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IF_CapexIT GB300 37.45 → 32.24</t>
    </r>
    <r>
      <rPr>
        <sz val="10"/>
        <rFont val="Noto Sans CJK SC"/>
        <family val="2"/>
      </rPr>
      <t xml:space="preserve">，持有成本 </t>
    </r>
    <r>
      <rPr>
        <sz val="10"/>
        <rFont val="Arial"/>
        <family val="0"/>
        <charset val="1"/>
      </rPr>
      <t xml:space="preserve">IF_HoldEcon GB300 12.72 → 10.89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維護改依機齡兩段（保固期內 </t>
    </r>
    <r>
      <rPr>
        <sz val="10"/>
        <rFont val="Arial"/>
        <family val="0"/>
        <charset val="1"/>
      </rPr>
      <t xml:space="preserve">MW × IF_MaintITWarr</t>
    </r>
    <r>
      <rPr>
        <sz val="10"/>
        <rFont val="Noto Sans CJK SC"/>
        <family val="2"/>
      </rPr>
      <t xml:space="preserve">＋保固期滿 </t>
    </r>
    <r>
      <rPr>
        <sz val="10"/>
        <rFont val="Arial"/>
        <family val="0"/>
        <charset val="1"/>
      </rPr>
      <t xml:space="preserve">MW × IF_MaintITPost</t>
    </r>
    <r>
      <rPr>
        <sz val="10"/>
        <rFont val="Noto Sans CJK SC"/>
        <family val="2"/>
      </rPr>
      <t xml:space="preserve">，保固 </t>
    </r>
    <r>
      <rPr>
        <sz val="10"/>
        <rFont val="Arial"/>
        <family val="0"/>
        <charset val="1"/>
      </rPr>
      <t xml:space="preserve">IF_WarrantyYrs 3 </t>
    </r>
    <r>
      <rPr>
        <sz val="10"/>
        <rFont val="Noto Sans CJK SC"/>
        <family val="2"/>
      </rPr>
      <t xml:space="preserve">年；機齡由期初機齡層〔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290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490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 </t>
    </r>
    <r>
      <rPr>
        <sz val="10"/>
        <rFont val="Arial"/>
        <family val="0"/>
        <charset val="1"/>
      </rPr>
      <t xml:space="preserve">650 MW</t>
    </r>
    <r>
      <rPr>
        <sz val="10"/>
        <rFont val="Noto Sans CJK SC"/>
        <family val="2"/>
      </rPr>
      <t xml:space="preserve">〕與各期新增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推得），基準每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 </t>
    </r>
    <r>
      <rPr>
        <sz val="10"/>
        <rFont val="Arial"/>
        <family val="0"/>
        <charset val="1"/>
      </rPr>
      <t xml:space="preserve">0.94–1.08 → 0.18–0.50</t>
    </r>
    <r>
      <rPr>
        <sz val="10"/>
        <rFont val="Noto Sans CJK SC"/>
        <family val="2"/>
      </rPr>
      <t xml:space="preserve">；舊等值費率 </t>
    </r>
    <r>
      <rPr>
        <sz val="10"/>
        <rFont val="Arial"/>
        <family val="0"/>
        <charset val="1"/>
      </rPr>
      <t xml:space="preserve">IF_MaintIT </t>
    </r>
    <r>
      <rPr>
        <sz val="10"/>
        <rFont val="Noto Sans CJK SC"/>
        <family val="2"/>
      </rPr>
      <t xml:space="preserve">留為對照列。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隨錨重算（價格是事實：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＝證據價格 </t>
    </r>
    <r>
      <rPr>
        <sz val="10"/>
        <rFont val="Arial"/>
        <family val="0"/>
        <charset val="1"/>
      </rPr>
      <t xml:space="preserve">÷ v5.31 </t>
    </r>
    <r>
      <rPr>
        <sz val="10"/>
        <rFont val="Noto Sans CJK SC"/>
        <family val="2"/>
      </rPr>
      <t xml:space="preserve">同世代成本）：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0.76 → 0.89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IREN–Microsoft 9.70 ÷ 10.89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 → 1.83</t>
    </r>
    <r>
      <rPr>
        <sz val="10"/>
        <rFont val="Noto Sans CJK SC"/>
        <family val="2"/>
      </rPr>
      <t xml:space="preserve">，區間端點與中位數同步重算，證據表並列 </t>
    </r>
    <r>
      <rPr>
        <sz val="10"/>
        <rFont val="Arial"/>
        <family val="0"/>
        <charset val="1"/>
      </rPr>
      <t xml:space="preserve">v5.27 </t>
    </r>
    <r>
      <rPr>
        <sz val="10"/>
        <rFont val="Noto Sans CJK SC"/>
        <family val="2"/>
      </rPr>
      <t xml:space="preserve">倍數。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 </t>
    </r>
    <r>
      <rPr>
        <sz val="10"/>
        <rFont val="Arial"/>
        <family val="0"/>
        <charset val="1"/>
      </rPr>
      <t xml:space="preserve">100 → 70 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10-K FY2025 </t>
    </r>
    <r>
      <rPr>
        <sz val="10"/>
        <rFont val="Noto Sans CJK SC"/>
        <family val="2"/>
      </rPr>
      <t xml:space="preserve">原文）。公司實況驗證重跑：營運成本 </t>
    </r>
    <r>
      <rPr>
        <sz val="10"/>
        <rFont val="Arial"/>
        <family val="0"/>
        <charset val="1"/>
      </rPr>
      <t xml:space="preserve">Tokenomics 1.33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1.36 → </t>
    </r>
    <r>
      <rPr>
        <sz val="10"/>
        <rFont val="Noto Sans CJK SC"/>
        <family val="2"/>
      </rPr>
      <t xml:space="preserve">規則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30.6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24.8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19%</t>
    </r>
    <r>
      <rPr>
        <sz val="10"/>
        <rFont val="Noto Sans CJK SC"/>
        <family val="2"/>
      </rPr>
      <t xml:space="preserve">）仍為規則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口徑查 </t>
    </r>
    <r>
      <rPr>
        <sz val="10"/>
        <rFont val="Arial"/>
        <family val="0"/>
        <charset val="1"/>
      </rPr>
      <t xml:space="preserve">10-K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無原文定義，維持 </t>
    </r>
    <r>
      <rPr>
        <sz val="10"/>
        <rFont val="Arial"/>
        <family val="0"/>
        <charset val="1"/>
      </rPr>
      <t xml:space="preserve">IT</t>
    </r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</si>
  <si>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$13.3→$32.0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$18.4→$42.7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$0.0→$14.7</t>
    </r>
    <r>
      <rPr>
        <sz val="10"/>
        <rFont val="Noto Sans CJK SC"/>
        <family val="2"/>
      </rPr>
      <t xml:space="preserve">，三者皆賣出；融資缺口 </t>
    </r>
    <r>
      <rPr>
        <sz val="10"/>
        <rFont val="Arial"/>
        <family val="0"/>
        <charset val="1"/>
      </rPr>
      <t xml:space="preserve">100.9→79.3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51.0→32.1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179.6→151.8</t>
    </r>
    <r>
      <rPr>
        <sz val="10"/>
        <rFont val="Noto Sans CJK SC"/>
        <family val="2"/>
      </rPr>
      <t xml:space="preserve">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+$1.0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 </t>
    </r>
    <r>
      <rPr>
        <sz val="10"/>
        <rFont val="Arial"/>
        <family val="0"/>
        <charset val="1"/>
      </rPr>
      <t xml:space="preserve">70 MW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+$4.0</t>
    </r>
    <r>
      <rPr>
        <sz val="10"/>
        <rFont val="Noto Sans CJK SC"/>
        <family val="2"/>
      </rPr>
      <t xml:space="preserve">（① 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機架價格 </t>
    </r>
    <r>
      <rPr>
        <sz val="10"/>
        <rFont val="Arial"/>
        <family val="0"/>
        <charset val="1"/>
      </rPr>
      <t xml:space="preserve">+$6.8</t>
    </r>
    <r>
      <rPr>
        <sz val="10"/>
        <rFont val="Noto Sans CJK SC"/>
        <family val="2"/>
      </rPr>
      <t xml:space="preserve">、②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收入錨下降 −</t>
    </r>
    <r>
      <rPr>
        <sz val="10"/>
        <rFont val="Arial"/>
        <family val="0"/>
        <charset val="1"/>
      </rPr>
      <t xml:space="preserve">$11.1</t>
    </r>
    <r>
      <rPr>
        <sz val="10"/>
        <rFont val="Noto Sans CJK SC"/>
        <family val="2"/>
      </rPr>
      <t xml:space="preserve">、②</t>
    </r>
    <r>
      <rPr>
        <sz val="10"/>
        <rFont val="Arial"/>
        <family val="0"/>
        <charset val="1"/>
      </rPr>
      <t xml:space="preserve">b k </t>
    </r>
    <r>
      <rPr>
        <sz val="10"/>
        <rFont val="Noto Sans CJK SC"/>
        <family val="2"/>
      </rPr>
      <t xml:space="preserve">隨錨重算 </t>
    </r>
    <r>
      <rPr>
        <sz val="10"/>
        <rFont val="Arial"/>
        <family val="0"/>
        <charset val="1"/>
      </rPr>
      <t xml:space="preserve">+$8.3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+$13.7</t>
    </r>
    <r>
      <rPr>
        <sz val="10"/>
        <rFont val="Noto Sans CJK SC"/>
        <family val="2"/>
      </rPr>
      <t xml:space="preserve">（③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維護依機齡兩段 </t>
    </r>
    <r>
      <rPr>
        <sz val="10"/>
        <rFont val="Arial"/>
        <family val="0"/>
        <charset val="1"/>
      </rPr>
      <t xml:space="preserve">+$13.7</t>
    </r>
    <r>
      <rPr>
        <sz val="10"/>
        <rFont val="Noto Sans CJK SC"/>
        <family val="2"/>
      </rPr>
      <t xml:space="preserve">、④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</t>
    </r>
    <r>
      <rPr>
        <sz val="10"/>
        <rFont val="Arial"/>
        <family val="0"/>
        <charset val="1"/>
      </rPr>
      <t xml:space="preserve">+$24.3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+$0.3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+$3.9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$6.0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+$11.9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+$14.1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）、積極 </t>
    </r>
    <r>
      <rPr>
        <sz val="10"/>
        <rFont val="Arial"/>
        <family val="0"/>
        <charset val="1"/>
      </rPr>
      <t xml:space="preserve">+$14.7</t>
    </r>
    <r>
      <rPr>
        <sz val="10"/>
        <rFont val="Noto Sans CJK SC"/>
        <family val="2"/>
      </rPr>
      <t xml:space="preserve">（③）。三情境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腿皆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截斷（</t>
    </r>
    <r>
      <rPr>
        <sz val="10"/>
        <rFont val="Arial"/>
        <family val="0"/>
        <charset val="1"/>
      </rPr>
      <t xml:space="preserve">v4.7 </t>
    </r>
    <r>
      <rPr>
        <sz val="10"/>
        <rFont val="Noto Sans CJK SC"/>
        <family val="2"/>
      </rPr>
      <t xml:space="preserve">基準與積極為失效），目標價＝</t>
    </r>
    <r>
      <rPr>
        <sz val="10"/>
        <rFont val="Arial"/>
        <family val="0"/>
        <charset val="1"/>
      </rPr>
      <t xml:space="preserve">55% × EV/EBITDA </t>
    </r>
    <r>
      <rPr>
        <sz val="10"/>
        <rFont val="Noto Sans CJK SC"/>
        <family val="2"/>
      </rPr>
      <t xml:space="preserve">腿</t>
    </r>
  </si>
  <si>
    <t xml:space="preserve">v4.7</t>
  </si>
  <si>
    <t xml:space="preserve">10-08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</si>
  <si>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收入以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為錨（</t>
    </r>
    <r>
      <rPr>
        <sz val="10"/>
        <rFont val="Arial"/>
        <family val="0"/>
        <charset val="1"/>
      </rPr>
      <t xml:space="preserve">W4 r2</t>
    </r>
    <r>
      <rPr>
        <sz val="10"/>
        <rFont val="Noto Sans CJK SC"/>
        <family val="2"/>
      </rPr>
      <t xml:space="preserve">，已決定事項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）＋公司實況驗證（</t>
    </r>
    <r>
      <rPr>
        <sz val="10"/>
        <rFont val="Arial"/>
        <family val="0"/>
        <charset val="1"/>
      </rPr>
      <t xml:space="preserve">W5</t>
    </r>
    <r>
      <rPr>
        <sz val="10"/>
        <rFont val="Noto Sans CJK SC"/>
        <family val="2"/>
      </rPr>
      <t xml:space="preserve">，已決定事項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）：每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計費時數）＝在役世代加權 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WACC 10% </t>
    </r>
    <r>
      <rPr>
        <sz val="10"/>
        <rFont val="Noto Sans CJK SC"/>
        <family val="2"/>
      </rPr>
      <t xml:space="preserve">打平租金）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＝既有占比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既有 </t>
    </r>
    <r>
      <rPr>
        <sz val="10"/>
        <rFont val="Arial"/>
        <family val="0"/>
        <charset val="1"/>
      </rPr>
      <t xml:space="preserve">0.83</t>
    </r>
    <r>
      <rPr>
        <sz val="10"/>
        <rFont val="Noto Sans CJK SC"/>
        <family val="2"/>
      </rPr>
      <t xml:space="preserve">（最新季末在役 </t>
    </r>
    <r>
      <rPr>
        <sz val="10"/>
        <rFont val="Arial"/>
        <family val="0"/>
        <charset val="1"/>
      </rPr>
      <t xml:space="preserve">1,500 MW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實現單價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錨，合約期內固定、該批汰換後回到新約價）＋（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既有占比）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新約 </t>
    </r>
    <r>
      <rPr>
        <sz val="10"/>
        <rFont val="Arial"/>
        <family val="0"/>
        <charset val="1"/>
      </rPr>
      <t xml:space="preserve">0.76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五年約；隨需占比 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）；既有占比 </t>
    </r>
    <r>
      <rPr>
        <sz val="10"/>
        <rFont val="Arial"/>
        <family val="0"/>
        <charset val="1"/>
      </rPr>
      <t xml:space="preserve">90%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61%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42%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33%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24%</t>
    </r>
    <r>
      <rPr>
        <sz val="10"/>
        <rFont val="Noto Sans CJK SC"/>
        <family val="2"/>
      </rPr>
      <t xml:space="preserve">；每個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參數對 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已申報實際數逐項驗證（新增「公司實況驗證」頁）：租金（固定）與折舊年限一致；營運成本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1.36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2.09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）、每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24.8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34.8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29%</t>
    </r>
    <r>
      <rPr>
        <sz val="10"/>
        <rFont val="Noto Sans CJK SC"/>
        <family val="2"/>
      </rPr>
      <t xml:space="preserve">）找不到可證實的機制，維持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為基準、公司實際為敏感度；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對照改為固定租金對固定租金（變動租賃＝轉付房東的水電歸營運成本）；新增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組敏感度；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快照 </t>
    </r>
    <r>
      <rPr>
        <sz val="10"/>
        <rFont val="Arial"/>
        <family val="0"/>
        <charset val="1"/>
      </rPr>
      <t xml:space="preserve">v5.27</t>
    </r>
  </si>
  <si>
    <t xml:space="preserve">$13.3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</si>
  <si>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$29.7→$13.3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$44.0→$18.4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$19.9→$0.0</t>
    </r>
    <r>
      <rPr>
        <sz val="10"/>
        <rFont val="Noto Sans CJK SC"/>
        <family val="2"/>
      </rPr>
      <t xml:space="preserve">，三者皆賣出（基準與積極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失效，目標價全來自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腿）。拆解：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−</t>
    </r>
    <r>
      <rPr>
        <sz val="10"/>
        <rFont val="Arial"/>
        <family val="0"/>
        <charset val="1"/>
      </rPr>
      <t xml:space="preserve">$16.4</t>
    </r>
    <r>
      <rPr>
        <sz val="10"/>
        <rFont val="Noto Sans CJK SC"/>
        <family val="2"/>
      </rPr>
      <t xml:space="preserve">（① 錨取代舊輸入〔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〕</t>
    </r>
    <r>
      <rPr>
        <sz val="10"/>
        <rFont val="Arial"/>
        <family val="0"/>
        <charset val="1"/>
      </rPr>
      <t xml:space="preserve">+$15.5</t>
    </r>
    <r>
      <rPr>
        <sz val="10"/>
        <rFont val="Noto Sans CJK SC"/>
        <family val="2"/>
      </rPr>
      <t xml:space="preserve">、② 套用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0.76 −$39.9</t>
    </r>
    <r>
      <rPr>
        <sz val="10"/>
        <rFont val="Noto Sans CJK SC"/>
        <family val="2"/>
      </rPr>
      <t xml:space="preserve">、③ 上限檢查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、④ 公司調整：④</t>
    </r>
    <r>
      <rPr>
        <sz val="10"/>
        <rFont val="Arial"/>
        <family val="0"/>
        <charset val="1"/>
      </rPr>
      <t xml:space="preserve">-1 </t>
    </r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k +$8.0</t>
    </r>
    <r>
      <rPr>
        <sz val="10"/>
        <rFont val="Noto Sans CJK SC"/>
        <family val="2"/>
      </rPr>
      <t xml:space="preserve">、④</t>
    </r>
    <r>
      <rPr>
        <sz val="10"/>
        <rFont val="Arial"/>
        <family val="0"/>
        <charset val="1"/>
      </rPr>
      <t xml:space="preserve">-2–④-5 </t>
    </r>
    <r>
      <rPr>
        <sz val="10"/>
        <rFont val="Noto Sans CJK SC"/>
        <family val="2"/>
      </rPr>
      <t xml:space="preserve">營運成本／建置成本／租金／折舊年限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−</t>
    </r>
    <r>
      <rPr>
        <sz val="10"/>
        <rFont val="Arial"/>
        <family val="0"/>
        <charset val="1"/>
      </rPr>
      <t xml:space="preserve">$25.6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+$30.2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$60.2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+$4.5</t>
    </r>
    <r>
      <rPr>
        <sz val="10"/>
        <rFont val="Noto Sans CJK SC"/>
        <family val="2"/>
      </rPr>
      <t xml:space="preserve">）、積極 −</t>
    </r>
    <r>
      <rPr>
        <sz val="10"/>
        <rFont val="Arial"/>
        <family val="0"/>
        <charset val="1"/>
      </rPr>
      <t xml:space="preserve">$19.9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+$8.8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$28.8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）。營運成本與建置成本皆用公司實際比率時基準 </t>
    </r>
    <r>
      <rPr>
        <sz val="10"/>
        <rFont val="Arial"/>
        <family val="0"/>
        <charset val="1"/>
      </rPr>
      <t xml:space="preserve">$43.3</t>
    </r>
  </si>
  <si>
    <t xml:space="preserve">v4.6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</si>
  <si>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經濟性改接 </t>
    </r>
    <r>
      <rPr>
        <sz val="10"/>
        <rFont val="Arial"/>
        <family val="0"/>
        <charset val="1"/>
      </rPr>
      <t xml:space="preserve">Tokenomics v5.26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YinchenChang/Tokenomics</t>
    </r>
    <r>
      <rPr>
        <sz val="10"/>
        <rFont val="Noto Sans CJK SC"/>
        <family val="2"/>
      </rPr>
      <t xml:space="preserve">，快照版本固定）：每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資本支出＝新增世代占比 </t>
    </r>
    <r>
      <rPr>
        <sz val="10"/>
        <rFont val="Arial"/>
        <family val="0"/>
        <charset val="1"/>
      </rPr>
      <t xml:space="preserve">× IF_CapexIT</t>
    </r>
    <r>
      <rPr>
        <sz val="10"/>
        <rFont val="Noto Sans CJK SC"/>
        <family val="2"/>
      </rPr>
      <t xml:space="preserve">（不含廠房，廠房在租金）、營運成本改由下而上（電費、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維護、人員軟體、稅險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＋管銷率 </t>
    </r>
    <r>
      <rPr>
        <sz val="10"/>
        <rFont val="Arial"/>
        <family val="0"/>
        <charset val="1"/>
      </rPr>
      <t xml:space="preserve">5.5%</t>
    </r>
    <r>
      <rPr>
        <sz val="10"/>
        <rFont val="Noto Sans CJK SC"/>
        <family val="2"/>
      </rPr>
      <t xml:space="preserve">）、折舊年限 </t>
    </r>
    <r>
      <rPr>
        <sz val="10"/>
        <rFont val="Arial"/>
        <family val="0"/>
        <charset val="1"/>
      </rPr>
      <t xml:space="preserve">IF_DeprLifeIT</t>
    </r>
    <r>
      <rPr>
        <sz val="10"/>
        <rFont val="Noto Sans CJK SC"/>
        <family val="2"/>
      </rPr>
      <t xml:space="preserve">；收入採備案（每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年收入仍為輸入，另列隱含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小時價格與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持有成本對照）；世代組合（期初 </t>
    </r>
    <r>
      <rPr>
        <sz val="10"/>
        <rFont val="Arial"/>
        <family val="0"/>
        <charset val="1"/>
      </rPr>
      <t xml:space="preserve">1.5 GW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Hopper 27%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GB200 29%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GB300 43%</t>
    </r>
    <r>
      <rPr>
        <sz val="10"/>
        <rFont val="Noto Sans CJK SC"/>
        <family val="2"/>
      </rPr>
      <t xml:space="preserve">；新增 </t>
    </r>
    <r>
      <rPr>
        <sz val="10"/>
        <rFont val="Arial"/>
        <family val="0"/>
        <charset val="1"/>
      </rPr>
      <t xml:space="preserve">GB300 → VR200</t>
    </r>
    <r>
      <rPr>
        <sz val="10"/>
        <rFont val="Noto Sans CJK SC"/>
        <family val="2"/>
      </rPr>
      <t xml:space="preserve">）；方法開關 </t>
    </r>
    <r>
      <rPr>
        <sz val="10"/>
        <rFont val="Arial"/>
        <family val="0"/>
        <charset val="1"/>
      </rPr>
      <t xml:space="preserve">methodology.perMw</t>
    </r>
    <r>
      <rPr>
        <sz val="10"/>
        <rFont val="Noto Sans CJK SC"/>
        <family val="2"/>
      </rPr>
      <t xml:space="preserve">（全設舊方法＝</t>
    </r>
    <r>
      <rPr>
        <sz val="10"/>
        <rFont val="Arial"/>
        <family val="0"/>
        <charset val="1"/>
      </rPr>
      <t xml:space="preserve">v4.5</t>
    </r>
    <r>
      <rPr>
        <sz val="10"/>
        <rFont val="Noto Sans CJK SC"/>
        <family val="2"/>
      </rPr>
      <t xml:space="preserve">）；新增「每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經濟性」頁、一頁摘要每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一句</t>
    </r>
  </si>
  <si>
    <t xml:space="preserve">$29.7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</si>
  <si>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$45.5→$29.7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$69.7→$44.0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$31.0→$19.9</t>
    </r>
    <r>
      <rPr>
        <sz val="10"/>
        <rFont val="Noto Sans CJK SC"/>
        <family val="2"/>
      </rPr>
      <t xml:space="preserve">，三者皆賣出。拆解：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−</t>
    </r>
    <r>
      <rPr>
        <sz val="10"/>
        <rFont val="Arial"/>
        <family val="0"/>
        <charset val="1"/>
      </rPr>
      <t xml:space="preserve">$15.8</t>
    </r>
    <r>
      <rPr>
        <sz val="10"/>
        <rFont val="Noto Sans CJK SC"/>
        <family val="2"/>
      </rPr>
      <t xml:space="preserve">（①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−</t>
    </r>
    <r>
      <rPr>
        <sz val="10"/>
        <rFont val="Arial"/>
        <family val="0"/>
        <charset val="1"/>
      </rPr>
      <t xml:space="preserve">$7.6</t>
    </r>
    <r>
      <rPr>
        <sz val="10"/>
        <rFont val="Noto Sans CJK SC"/>
        <family val="2"/>
      </rPr>
      <t xml:space="preserve">、② 折舊年限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、③ 營運成本由下而上 −</t>
    </r>
    <r>
      <rPr>
        <sz val="10"/>
        <rFont val="Arial"/>
        <family val="0"/>
        <charset val="1"/>
      </rPr>
      <t xml:space="preserve">$8.2</t>
    </r>
    <r>
      <rPr>
        <sz val="10"/>
        <rFont val="Noto Sans CJK SC"/>
        <family val="2"/>
      </rPr>
      <t xml:space="preserve">、④ 收入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（備案）、⑤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−</t>
    </r>
    <r>
      <rPr>
        <sz val="10"/>
        <rFont val="Arial"/>
        <family val="0"/>
        <charset val="1"/>
      </rPr>
      <t xml:space="preserve">$25.7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$16.6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$9.2</t>
    </r>
    <r>
      <rPr>
        <sz val="10"/>
        <rFont val="Noto Sans CJK SC"/>
        <family val="2"/>
      </rPr>
      <t xml:space="preserve">）、積極 −</t>
    </r>
    <r>
      <rPr>
        <sz val="10"/>
        <rFont val="Arial"/>
        <family val="0"/>
        <charset val="1"/>
      </rPr>
      <t xml:space="preserve">$11.0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$9.1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$1.9</t>
    </r>
    <r>
      <rPr>
        <sz val="10"/>
        <rFont val="Noto Sans CJK SC"/>
        <family val="2"/>
      </rPr>
      <t xml:space="preserve">）</t>
    </r>
  </si>
  <si>
    <t xml:space="preserve">v4.5</t>
  </si>
  <si>
    <t xml:space="preserve">09-26</t>
  </si>
  <si>
    <r>
      <rPr>
        <sz val="10"/>
        <rFont val="Noto Sans CJK SC"/>
        <family val="2"/>
      </rPr>
      <t xml:space="preserve">期間滾動＋反向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company.json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calendar</t>
    </r>
    <r>
      <rPr>
        <sz val="10"/>
        <rFont val="Noto Sans CJK SC"/>
        <family val="2"/>
      </rPr>
      <t xml:space="preserve">（財年結束月份、最新已申報／已公布季度），期間、評價日（最新已申報季末）與折現年數由日曆推算（首期 </t>
    </r>
    <r>
      <rPr>
        <sz val="10"/>
        <rFont val="Arial"/>
        <family val="0"/>
        <charset val="1"/>
      </rPr>
      <t xml:space="preserve">0.25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0.75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年、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月財年、無實際數皆可）；</t>
    </r>
    <r>
      <rPr>
        <sz val="10"/>
        <rFont val="Arial"/>
        <family val="0"/>
        <charset val="1"/>
      </rPr>
      <t xml:space="preserve">actual1H </t>
    </r>
    <r>
      <rPr>
        <sz val="10"/>
        <rFont val="Noto Sans CJK SC"/>
        <family val="2"/>
      </rPr>
      <t xml:space="preserve">改為 </t>
    </r>
    <r>
      <rPr>
        <sz val="10"/>
        <rFont val="Arial"/>
        <family val="0"/>
        <charset val="1"/>
      </rPr>
      <t xml:space="preserve">ytdActual</t>
    </r>
    <r>
      <rPr>
        <sz val="10"/>
        <rFont val="Noto Sans CJK SC"/>
        <family val="2"/>
      </rPr>
      <t xml:space="preserve">；目標價時點改為「評價日＋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個月」（</t>
    </r>
    <r>
      <rPr>
        <sz val="10"/>
        <rFont val="Arial"/>
        <family val="0"/>
        <charset val="1"/>
      </rPr>
      <t xml:space="preserve">2027-06-30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腿折回、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腿（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截斷與選擇權）以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推到同一時點；反向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求解；一頁摘要與各分頁第一屏的日期與期間文字依日曆產生</t>
    </r>
  </si>
  <si>
    <t xml:space="preserve">$45.5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</si>
  <si>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$47.9→$45.5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$71.7→$69.7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$32.6→$31.0</t>
    </r>
    <r>
      <rPr>
        <sz val="10"/>
        <rFont val="Noto Sans CJK SC"/>
        <family val="2"/>
      </rPr>
      <t xml:space="preserve">，三者皆賣出。拆解：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（評價日仍為 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方法變更（目標價時點改為評價日＋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腿推到同一時點）−</t>
    </r>
    <r>
      <rPr>
        <sz val="10"/>
        <rFont val="Arial"/>
        <family val="0"/>
        <charset val="1"/>
      </rPr>
      <t xml:space="preserve">$2.4</t>
    </r>
    <r>
      <rPr>
        <sz val="10"/>
        <rFont val="Noto Sans CJK SC"/>
        <family val="2"/>
      </rPr>
      <t xml:space="preserve">（保守 −</t>
    </r>
    <r>
      <rPr>
        <sz val="10"/>
        <rFont val="Arial"/>
        <family val="0"/>
        <charset val="1"/>
      </rPr>
      <t xml:space="preserve">$1.9</t>
    </r>
    <r>
      <rPr>
        <sz val="10"/>
        <rFont val="Noto Sans CJK SC"/>
        <family val="2"/>
      </rPr>
      <t xml:space="preserve">、積極 −</t>
    </r>
    <r>
      <rPr>
        <sz val="10"/>
        <rFont val="Arial"/>
        <family val="0"/>
        <charset val="1"/>
      </rPr>
      <t xml:space="preserve">$1.7</t>
    </r>
    <r>
      <rPr>
        <sz val="10"/>
        <rFont val="Noto Sans CJK SC"/>
        <family val="2"/>
      </rPr>
      <t xml:space="preserve">）</t>
    </r>
  </si>
  <si>
    <t xml:space="preserve">v4.4</t>
  </si>
  <si>
    <r>
      <rPr>
        <sz val="10"/>
        <rFont val="Noto Sans CJK SC"/>
        <family val="2"/>
      </rPr>
      <t xml:space="preserve">季度層：資金模型新增「季度追蹤」分頁，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新增「季度追蹤」分頁與「輸入與假設」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區（</t>
    </r>
    <r>
      <rPr>
        <sz val="10"/>
        <rFont val="Arial"/>
        <family val="0"/>
        <charset val="1"/>
      </rPr>
      <t xml:space="preserve">2026 Q3–2027 Q4</t>
    </r>
    <r>
      <rPr>
        <sz val="10"/>
        <rFont val="Noto Sans CJK SC"/>
        <family val="2"/>
      </rPr>
      <t xml:space="preserve">，由年度模型拆分、只用於追蹤；實際數輸入格預設空白）；差距超過門檻（營收等 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、利潤類利潤率 </t>
    </r>
    <r>
      <rPr>
        <sz val="10"/>
        <rFont val="Arial"/>
        <family val="0"/>
        <charset val="1"/>
      </rPr>
      <t xml:space="preserve">2pt</t>
    </r>
    <r>
      <rPr>
        <sz val="10"/>
        <rFont val="Noto Sans CJK SC"/>
        <family val="2"/>
      </rPr>
      <t xml:space="preserve">）或落在指引區間外的項目附差異原因（觀點／拆法／已知限制；拆法以水準／分配拆解判定）；差距寫法：營收、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為比例，利潤類為金額差＋利潤率百分點；一頁摘要驗證點改為焦點季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個指標，方法註腳與最新分析師動作移至市場共識分頁</t>
    </r>
  </si>
  <si>
    <t xml:space="preserve">$47.9</t>
  </si>
  <si>
    <t xml:space="preserve">無變動（季度層不影響年度數字與目標價）</t>
  </si>
  <si>
    <t xml:space="preserve">v4.3</t>
  </si>
  <si>
    <t xml:space="preserve">09-25</t>
  </si>
  <si>
    <r>
      <rPr>
        <sz val="10"/>
        <rFont val="Noto Sans CJK SC"/>
        <family val="2"/>
      </rPr>
      <t xml:space="preserve">一頁摘要＋市場共識對照：總結頁新增一頁摘要（原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頁改為附錄，共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頁）；損益與評價新增「市場共識」分頁，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新增「摘要」分頁與「輸入與假設」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區（逐筆附來源、擷取日期、標記）；移除 </t>
    </r>
    <r>
      <rPr>
        <sz val="10"/>
        <rFont val="Arial"/>
        <family val="0"/>
        <charset val="1"/>
      </rPr>
      <t xml:space="preserve">Street </t>
    </r>
    <r>
      <rPr>
        <sz val="10"/>
        <rFont val="Noto Sans CJK SC"/>
        <family val="2"/>
      </rPr>
      <t xml:space="preserve">參考欄位；現價更新至 </t>
    </r>
    <r>
      <rPr>
        <sz val="10"/>
        <rFont val="Arial"/>
        <family val="0"/>
        <charset val="1"/>
      </rPr>
      <t xml:space="preserve">9/24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$90.13</t>
    </r>
    <r>
      <rPr>
        <sz val="10"/>
        <rFont val="Noto Sans CJK SC"/>
        <family val="2"/>
      </rPr>
      <t xml:space="preserve">（股權發行價同步）</t>
    </r>
  </si>
  <si>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$85.43→$90.13</t>
    </r>
    <r>
      <rPr>
        <sz val="10"/>
        <rFont val="Noto Sans CJK SC"/>
        <family val="2"/>
      </rPr>
      <t xml:space="preserve">：發行價提高、新股減少，基準 </t>
    </r>
    <r>
      <rPr>
        <sz val="10"/>
        <rFont val="Arial"/>
        <family val="0"/>
        <charset val="1"/>
      </rPr>
      <t xml:space="preserve">$47.5→$47.9</t>
    </r>
    <r>
      <rPr>
        <sz val="10"/>
        <rFont val="Noto Sans CJK SC"/>
        <family val="2"/>
      </rPr>
      <t xml:space="preserve">；保守 −</t>
    </r>
    <r>
      <rPr>
        <sz val="10"/>
        <rFont val="Arial"/>
        <family val="0"/>
        <charset val="1"/>
      </rPr>
      <t xml:space="preserve">16%→−20%</t>
    </r>
    <r>
      <rPr>
        <sz val="10"/>
        <rFont val="Noto Sans CJK SC"/>
        <family val="2"/>
      </rPr>
      <t xml:space="preserve">，距賣出門檻 </t>
    </r>
    <r>
      <rPr>
        <sz val="10"/>
        <rFont val="Arial"/>
        <family val="0"/>
        <charset val="1"/>
      </rPr>
      <t xml:space="preserve">$0.9→$4.9</t>
    </r>
  </si>
  <si>
    <t xml:space="preserve">v4.2</t>
  </si>
  <si>
    <r>
      <rPr>
        <sz val="10"/>
        <rFont val="Noto Sans CJK SC"/>
        <family val="2"/>
      </rPr>
      <t xml:space="preserve">設定集中：同業 </t>
    </r>
    <r>
      <rPr>
        <sz val="10"/>
        <rFont val="Arial"/>
        <family val="0"/>
        <charset val="1"/>
      </rPr>
      <t xml:space="preserve">Comps</t>
    </r>
    <r>
      <rPr>
        <sz val="10"/>
        <rFont val="Noto Sans CJK SC"/>
        <family val="2"/>
      </rPr>
      <t xml:space="preserve">（數字、名稱、備註、說明文字）與評等門檻移入 </t>
    </r>
    <r>
      <rPr>
        <sz val="10"/>
        <rFont val="Arial"/>
        <family val="0"/>
        <charset val="1"/>
      </rPr>
      <t xml:space="preserve">company.json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peers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methodology.rating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「輸入與假設」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區新增「評等門檻」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格，評等代碼、賣出門檻價、判斷句與檢查頁改為引用；評等規則說明改為活公式；數字與畫面與 </t>
    </r>
    <r>
      <rPr>
        <sz val="10"/>
        <rFont val="Arial"/>
        <family val="0"/>
        <charset val="1"/>
      </rPr>
      <t xml:space="preserve">v4.1 </t>
    </r>
    <r>
      <rPr>
        <sz val="10"/>
        <rFont val="Noto Sans CJK SC"/>
        <family val="2"/>
      </rPr>
      <t xml:space="preserve">相同</t>
    </r>
  </si>
  <si>
    <t xml:space="preserve">$47.5</t>
  </si>
  <si>
    <t xml:space="preserve">無變動（純結構）</t>
  </si>
  <si>
    <t xml:space="preserve">v4.1</t>
  </si>
  <si>
    <r>
      <rPr>
        <sz val="10"/>
        <rFont val="Noto Sans CJK SC"/>
        <family val="2"/>
      </rPr>
      <t xml:space="preserve">目標價改為區間呈現：情境區間（保守與積極情境，保留手動調整）與方法區間（目前情境，</t>
    </r>
    <r>
      <rPr>
        <sz val="10"/>
        <rFont val="Arial"/>
        <family val="0"/>
        <charset val="1"/>
      </rPr>
      <t xml:space="preserve">EV/EBITDA 5–6x</t>
    </r>
    <r>
      <rPr>
        <sz val="10"/>
        <rFont val="Noto Sans CJK SC"/>
        <family val="2"/>
      </rPr>
      <t xml:space="preserve">）；判斷句揭露與賣出門檻的餘裕；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權重說明；刪除評價頁舊的下檔／上檔與操作區間；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情境區間以模擬運算表計算（活公式）</t>
    </r>
  </si>
  <si>
    <r>
      <rPr>
        <sz val="10"/>
        <rFont val="Noto Sans CJK SC"/>
        <family val="2"/>
      </rPr>
      <t xml:space="preserve">點位無變動；情境區間 </t>
    </r>
    <r>
      <rPr>
        <sz val="10"/>
        <rFont val="Arial"/>
        <family val="0"/>
        <charset val="1"/>
      </rPr>
      <t xml:space="preserve">$32.1–$71.7</t>
    </r>
    <r>
      <rPr>
        <sz val="10"/>
        <rFont val="Noto Sans CJK SC"/>
        <family val="2"/>
      </rPr>
      <t xml:space="preserve">、方法區間 </t>
    </r>
    <r>
      <rPr>
        <sz val="10"/>
        <rFont val="Arial"/>
        <family val="0"/>
        <charset val="1"/>
      </rPr>
      <t xml:space="preserve">$30.8–$47.5</t>
    </r>
  </si>
  <si>
    <t xml:space="preserve">v4.0</t>
  </si>
  <si>
    <t xml:space="preserve">09-24</t>
  </si>
  <si>
    <r>
      <rPr>
        <sz val="10"/>
        <rFont val="Noto Sans CJK SC"/>
        <family val="2"/>
      </rPr>
      <t xml:space="preserve">結構重整：公司資料集中到 </t>
    </r>
    <r>
      <rPr>
        <sz val="10"/>
        <rFont val="Arial"/>
        <family val="0"/>
        <charset val="1"/>
      </rPr>
      <t xml:space="preserve">company.json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共用，</t>
    </r>
    <r>
      <rPr>
        <sz val="10"/>
        <rFont val="Arial"/>
        <family val="0"/>
        <charset val="1"/>
      </rPr>
      <t xml:space="preserve">Excel 75 </t>
    </r>
    <r>
      <rPr>
        <sz val="10"/>
        <rFont val="Noto Sans CJK SC"/>
        <family val="2"/>
      </rPr>
      <t xml:space="preserve">項輸入改讀此檔）；資料常數與引擎主函式改為可讀名稱；數字與畫面與 </t>
    </r>
    <r>
      <rPr>
        <sz val="10"/>
        <rFont val="Arial"/>
        <family val="0"/>
        <charset val="1"/>
      </rPr>
      <t xml:space="preserve">v3.6 </t>
    </r>
    <r>
      <rPr>
        <sz val="10"/>
        <rFont val="Noto Sans CJK SC"/>
        <family val="2"/>
      </rPr>
      <t xml:space="preserve">完全相同</t>
    </r>
  </si>
  <si>
    <t xml:space="preserve">v3.6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</si>
  <si>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錨定年度預設改為 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（接近穩態利潤率，與 </t>
    </r>
    <r>
      <rPr>
        <sz val="10"/>
        <rFont val="Arial"/>
        <family val="0"/>
        <charset val="1"/>
      </rPr>
      <t xml:space="preserve">6x </t>
    </r>
    <r>
      <rPr>
        <sz val="10"/>
        <rFont val="Noto Sans CJK SC"/>
        <family val="2"/>
      </rPr>
      <t xml:space="preserve">穩態倍數一致）</t>
    </r>
  </si>
  <si>
    <r>
      <rPr>
        <sz val="10"/>
        <rFont val="Noto Sans CJK SC"/>
        <family val="2"/>
      </rPr>
      <t xml:space="preserve">錨定 </t>
    </r>
    <r>
      <rPr>
        <sz val="10"/>
        <rFont val="Arial"/>
        <family val="0"/>
        <charset val="1"/>
      </rPr>
      <t xml:space="preserve">FY27→FY29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 </t>
    </r>
    <r>
      <rPr>
        <sz val="10"/>
        <rFont val="Arial"/>
        <family val="0"/>
        <charset val="1"/>
      </rPr>
      <t xml:space="preserve">$38.7→$86.4</t>
    </r>
    <r>
      <rPr>
        <sz val="10"/>
        <rFont val="Noto Sans CJK SC"/>
        <family val="2"/>
      </rPr>
      <t xml:space="preserve">；保守情境 </t>
    </r>
    <r>
      <rPr>
        <sz val="10"/>
        <rFont val="Arial"/>
        <family val="0"/>
        <charset val="1"/>
      </rPr>
      <t xml:space="preserve">$71.7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16%</t>
    </r>
    <r>
      <rPr>
        <sz val="10"/>
        <rFont val="Noto Sans CJK SC"/>
        <family val="2"/>
      </rPr>
      <t xml:space="preserve">）接近賣出門檻</t>
    </r>
  </si>
  <si>
    <t xml:space="preserve">v3.5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</si>
  <si>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錨定年度可選（</t>
    </r>
    <r>
      <rPr>
        <sz val="10"/>
        <rFont val="Arial"/>
        <family val="0"/>
        <charset val="1"/>
      </rPr>
      <t xml:space="preserve">FY27–FY30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末）；評價頁與總結頁新增「錨定年度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倍數」矩陣；總結頁新增評價方法頁（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頁）</t>
    </r>
  </si>
  <si>
    <t xml:space="preserve">$21.3</t>
  </si>
  <si>
    <r>
      <rPr>
        <sz val="10"/>
        <rFont val="Noto Sans CJK SC"/>
        <family val="2"/>
      </rPr>
      <t xml:space="preserve">預設仍錨定 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，無變動；</t>
    </r>
    <r>
      <rPr>
        <sz val="10"/>
        <rFont val="Arial"/>
        <family val="0"/>
        <charset val="1"/>
      </rPr>
      <t xml:space="preserve">FY29 × 6x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$47.5</t>
    </r>
  </si>
  <si>
    <t xml:space="preserve">v3.4</t>
  </si>
  <si>
    <r>
      <rPr>
        <sz val="10"/>
        <rFont val="Noto Sans CJK SC"/>
        <family val="2"/>
      </rPr>
      <t xml:space="preserve">新增「總結」簡報頁（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頁、即時連動、簡報模式、列印 </t>
    </r>
    <r>
      <rPr>
        <sz val="10"/>
        <rFont val="Arial"/>
        <family val="0"/>
        <charset val="1"/>
      </rPr>
      <t xml:space="preserve">16:9</t>
    </r>
    <r>
      <rPr>
        <sz val="10"/>
        <rFont val="Noto Sans CJK SC"/>
        <family val="2"/>
      </rPr>
      <t xml:space="preserve">）；股權敏感度表加註融資組合與自動說明；更正融資瀑布說明的股權年度；修正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無法開啟（</t>
    </r>
    <r>
      <rPr>
        <sz val="10"/>
        <rFont val="Arial"/>
        <family val="0"/>
        <charset val="1"/>
      </rPr>
      <t xml:space="preserve">sheetPr </t>
    </r>
    <r>
      <rPr>
        <sz val="10"/>
        <rFont val="Noto Sans CJK SC"/>
        <family val="2"/>
      </rPr>
      <t xml:space="preserve">子元素順序，</t>
    </r>
    <r>
      <rPr>
        <sz val="10"/>
        <rFont val="Arial"/>
        <family val="0"/>
        <charset val="1"/>
      </rPr>
      <t xml:space="preserve">v3.3 </t>
    </r>
    <r>
      <rPr>
        <sz val="10"/>
        <rFont val="Noto Sans CJK SC"/>
        <family val="2"/>
      </rPr>
      <t xml:space="preserve">起即存在）</t>
    </r>
  </si>
  <si>
    <t xml:space="preserve">無變動</t>
  </si>
  <si>
    <t xml:space="preserve">v3.3</t>
  </si>
  <si>
    <t xml:space="preserve">09-23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</si>
  <si>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（收入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成本組合）；版本變更紀錄；每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年收入／建置成本倍數</t>
    </r>
  </si>
  <si>
    <r>
      <rPr>
        <sz val="10"/>
        <rFont val="Noto Sans CJK SC"/>
        <family val="2"/>
      </rPr>
      <t xml:space="preserve">倍數預設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，無變動</t>
    </r>
  </si>
  <si>
    <t xml:space="preserve">v3.2</t>
  </si>
  <si>
    <t xml:space="preserve">切換情境時保留手動調整的數字</t>
  </si>
  <si>
    <t xml:space="preserve">v3.1</t>
  </si>
  <si>
    <r>
      <rPr>
        <sz val="10"/>
        <rFont val="Noto Sans CJK SC"/>
        <family val="2"/>
      </rPr>
      <t xml:space="preserve">模組化（輸入與假設／各期收支／運營活動／資產與負債／損益／評價）；新債與新股；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分頁改名與拆分</t>
    </r>
  </si>
  <si>
    <t xml:space="preserve">v3.0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</si>
  <si>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失效條件；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下限方式切換（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／選擇權）；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左欄分類選單；日期與版本同步</t>
    </r>
  </si>
  <si>
    <r>
      <rPr>
        <sz val="10"/>
        <rFont val="Noto Sans CJK SC"/>
        <family val="2"/>
      </rPr>
      <t xml:space="preserve">選擇權模式為 </t>
    </r>
    <r>
      <rPr>
        <sz val="10"/>
        <rFont val="Arial"/>
        <family val="0"/>
        <charset val="1"/>
      </rPr>
      <t xml:space="preserve">$26.3</t>
    </r>
  </si>
  <si>
    <t xml:space="preserve">v2.9</t>
  </si>
  <si>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依類別排序並可收合；原生併入 </t>
    </r>
    <r>
      <rPr>
        <sz val="10"/>
        <rFont val="Arial"/>
        <family val="0"/>
        <charset val="1"/>
      </rPr>
      <t xml:space="preserve">Copilot </t>
    </r>
    <r>
      <rPr>
        <sz val="10"/>
        <rFont val="Noto Sans CJK SC"/>
        <family val="2"/>
      </rPr>
      <t xml:space="preserve">改動</t>
    </r>
  </si>
  <si>
    <t xml:space="preserve">v2.6–2.8</t>
  </si>
  <si>
    <r>
      <rPr>
        <sz val="10"/>
        <rFont val="Noto Sans CJK SC"/>
        <family val="2"/>
      </rPr>
      <t xml:space="preserve">外部（</t>
    </r>
    <r>
      <rPr>
        <sz val="10"/>
        <rFont val="Arial"/>
        <family val="0"/>
        <charset val="1"/>
      </rPr>
      <t xml:space="preserve">Copilot</t>
    </r>
    <r>
      <rPr>
        <sz val="10"/>
        <rFont val="Noto Sans CJK SC"/>
        <family val="2"/>
      </rPr>
      <t xml:space="preserve">）版面調整與每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年收入敏感性</t>
    </r>
  </si>
  <si>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v2.9 </t>
    </r>
    <r>
      <rPr>
        <sz val="10"/>
        <rFont val="Noto Sans CJK SC"/>
        <family val="2"/>
      </rPr>
      <t xml:space="preserve">併入</t>
    </r>
  </si>
  <si>
    <t xml:space="preserve">v2.5</t>
  </si>
  <si>
    <t xml:space="preserve">09-22</t>
  </si>
  <si>
    <t xml:space="preserve">敏感性改以目標價為指標；附錄移至結論下方</t>
  </si>
  <si>
    <t xml:space="preserve">v2.4</t>
  </si>
  <si>
    <r>
      <rPr>
        <sz val="10"/>
        <rFont val="Noto Sans CJK SC"/>
        <family val="2"/>
      </rPr>
      <t xml:space="preserve">股權吸收上限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＋高息債 </t>
    </r>
    <r>
      <rPr>
        <sz val="10"/>
        <rFont val="Arial"/>
        <family val="0"/>
        <charset val="1"/>
      </rPr>
      <t xml:space="preserve">12%</t>
    </r>
    <r>
      <rPr>
        <sz val="10"/>
        <rFont val="Noto Sans CJK SC"/>
        <family val="2"/>
      </rPr>
      <t xml:space="preserve">；融資前缺口圖；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更名；標題與摘要改寫</t>
    </r>
  </si>
  <si>
    <t xml:space="preserve">v2.3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</si>
  <si>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率單一來源（</t>
    </r>
    <r>
      <rPr>
        <sz val="10"/>
        <rFont val="Arial"/>
        <family val="0"/>
        <charset val="1"/>
      </rPr>
      <t xml:space="preserve">59%→65%</t>
    </r>
    <r>
      <rPr>
        <sz val="10"/>
        <rFont val="Noto Sans CJK SC"/>
        <family val="2"/>
      </rPr>
      <t xml:space="preserve">）；資金端現金與損益連動；服務營收統一；債務上限 </t>
    </r>
    <r>
      <rPr>
        <sz val="10"/>
        <rFont val="Arial"/>
        <family val="0"/>
        <charset val="1"/>
      </rPr>
      <t xml:space="preserve">1.0x</t>
    </r>
  </si>
  <si>
    <r>
      <rPr>
        <sz val="10"/>
        <rFont val="Noto Sans CJK SC"/>
        <family val="2"/>
      </rPr>
      <t xml:space="preserve">債務上限依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年實際融資組合校準為主因</t>
    </r>
  </si>
  <si>
    <t xml:space="preserve">v2.2</t>
  </si>
  <si>
    <r>
      <rPr>
        <sz val="10"/>
        <rFont val="Arial"/>
        <family val="0"/>
        <charset val="1"/>
      </rPr>
      <t xml:space="preserve">Comps </t>
    </r>
    <r>
      <rPr>
        <sz val="10"/>
        <rFont val="Noto Sans CJK SC"/>
        <family val="2"/>
      </rPr>
      <t xml:space="preserve">改以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為主，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列為參考</t>
    </r>
  </si>
  <si>
    <t xml:space="preserve">$32.4</t>
  </si>
  <si>
    <t xml:space="preserve">v2.1</t>
  </si>
  <si>
    <t xml:space="preserve">更正先前「重複計費」的說法（僅文字）</t>
  </si>
  <si>
    <t xml:space="preserve">v2.0</t>
  </si>
  <si>
    <r>
      <rPr>
        <sz val="10"/>
        <rFont val="Noto Sans CJK SC"/>
        <family val="2"/>
      </rPr>
      <t xml:space="preserve">期前融資瀑布＋稀釋取代透支利息＋扣缺口（債務上限 </t>
    </r>
    <r>
      <rPr>
        <sz val="10"/>
        <rFont val="Arial"/>
        <family val="0"/>
        <charset val="1"/>
      </rPr>
      <t xml:space="preserve">0.4× backlog</t>
    </r>
    <r>
      <rPr>
        <sz val="10"/>
        <rFont val="Noto Sans CJK SC"/>
        <family val="2"/>
      </rPr>
      <t xml:space="preserve">）</t>
    </r>
  </si>
  <si>
    <t xml:space="preserve">股權以高於模型內在價值的價格發行</t>
  </si>
  <si>
    <t xml:space="preserve">v1.9</t>
  </si>
  <si>
    <t xml:space="preserve">09-21</t>
  </si>
  <si>
    <r>
      <rPr>
        <sz val="10"/>
        <rFont val="Noto Sans CJK SC"/>
        <family val="2"/>
      </rPr>
      <t xml:space="preserve">移除 </t>
    </r>
    <r>
      <rPr>
        <sz val="10"/>
        <rFont val="Arial"/>
        <family val="0"/>
        <charset val="1"/>
      </rPr>
      <t xml:space="preserve">EV/Sales</t>
    </r>
    <r>
      <rPr>
        <sz val="10"/>
        <rFont val="Noto Sans CJK SC"/>
        <family val="2"/>
      </rPr>
      <t xml:space="preserve">；現價更新至 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$85.43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價值 </t>
    </r>
    <r>
      <rPr>
        <sz val="10"/>
        <rFont val="Arial"/>
        <family val="0"/>
        <charset val="1"/>
      </rPr>
      <t xml:space="preserve">6.2</t>
    </r>
  </si>
  <si>
    <t xml:space="preserve">$19.5</t>
  </si>
  <si>
    <t xml:space="preserve">股價更新</t>
  </si>
  <si>
    <t xml:space="preserve">v1.8</t>
  </si>
  <si>
    <t xml:space="preserve">09-18</t>
  </si>
  <si>
    <r>
      <rPr>
        <sz val="10"/>
        <rFont val="Noto Sans CJK SC"/>
        <family val="2"/>
      </rPr>
      <t xml:space="preserve">情境改為 </t>
    </r>
    <r>
      <rPr>
        <sz val="10"/>
        <rFont val="Arial"/>
        <family val="0"/>
        <charset val="1"/>
      </rPr>
      <t xml:space="preserve">4.2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GW</t>
    </r>
  </si>
  <si>
    <t xml:space="preserve">$19.3</t>
  </si>
  <si>
    <r>
      <rPr>
        <sz val="10"/>
        <rFont val="Noto Sans CJK SC"/>
        <family val="2"/>
      </rPr>
      <t xml:space="preserve">基準改為 </t>
    </r>
    <r>
      <rPr>
        <sz val="10"/>
        <rFont val="Arial"/>
        <family val="0"/>
        <charset val="1"/>
      </rPr>
      <t xml:space="preserve">5.6 GW</t>
    </r>
  </si>
  <si>
    <t xml:space="preserve">v1.7</t>
  </si>
  <si>
    <r>
      <rPr>
        <sz val="10"/>
        <rFont val="Noto Sans CJK SC"/>
        <family val="2"/>
      </rPr>
      <t xml:space="preserve">權重移至 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）；情境改為擴張力道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GW</t>
    </r>
    <r>
      <rPr>
        <sz val="10"/>
        <rFont val="Noto Sans CJK SC"/>
        <family val="2"/>
      </rPr>
      <t xml:space="preserve">；車隊折舊；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</t>
    </r>
  </si>
  <si>
    <r>
      <rPr>
        <sz val="10"/>
        <rFont val="Noto Sans CJK SC"/>
        <family val="2"/>
      </rPr>
      <t xml:space="preserve">基準改為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；情境定義改變，與前版不可直接比較</t>
    </r>
  </si>
  <si>
    <t xml:space="preserve">v1.6</t>
  </si>
  <si>
    <r>
      <rPr>
        <sz val="10"/>
        <rFont val="Arial"/>
        <family val="0"/>
        <charset val="1"/>
      </rPr>
      <t xml:space="preserve">HTML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一致性修正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處；</t>
    </r>
    <r>
      <rPr>
        <sz val="10"/>
        <rFont val="Arial"/>
        <family val="0"/>
        <charset val="1"/>
      </rPr>
      <t xml:space="preserve">Comps </t>
    </r>
    <r>
      <rPr>
        <sz val="10"/>
        <rFont val="Noto Sans CJK SC"/>
        <family val="2"/>
      </rPr>
      <t xml:space="preserve">改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P/S</t>
    </r>
  </si>
  <si>
    <t xml:space="preserve">$7.7</t>
  </si>
  <si>
    <t xml:space="preserve">v1.5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</si>
  <si>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反饋：站點租賃對帳、債務明細、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拆分、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連動、刪除受產能約束列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</si>
  <si>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連動使模型期 </t>
    </r>
    <r>
      <rPr>
        <sz val="10"/>
        <rFont val="Arial"/>
        <family val="0"/>
        <charset val="1"/>
      </rPr>
      <t xml:space="preserve">CapEx +15.6bn</t>
    </r>
  </si>
  <si>
    <t xml:space="preserve">v1.4</t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</si>
  <si>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改完整年度（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式排版；浮動說明；扣缺口列以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為下限</t>
    </r>
  </si>
  <si>
    <t xml:space="preserve">$16</t>
  </si>
  <si>
    <t xml:space="preserve">v1.3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</si>
  <si>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Grok </t>
    </r>
    <r>
      <rPr>
        <sz val="10"/>
        <rFont val="Noto Sans CJK SC"/>
        <family val="2"/>
      </rPr>
      <t xml:space="preserve">比較：</t>
    </r>
    <r>
      <rPr>
        <sz val="10"/>
        <rFont val="Arial"/>
        <family val="0"/>
        <charset val="1"/>
      </rPr>
      <t xml:space="preserve">Helios 526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遞延稅、服務營收下修、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利息 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、可轉債淨額 </t>
    </r>
    <r>
      <rPr>
        <sz val="10"/>
        <rFont val="Arial"/>
        <family val="0"/>
        <charset val="1"/>
      </rPr>
      <t xml:space="preserve">3.2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版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</si>
  <si>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與服務營收下修</t>
    </r>
  </si>
  <si>
    <t xml:space="preserve">v1.2</t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</si>
  <si>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SEC </t>
    </r>
    <r>
      <rPr>
        <sz val="10"/>
        <rFont val="Noto Sans CJK SC"/>
        <family val="2"/>
      </rPr>
      <t xml:space="preserve">申報自行計算；新增含租賃 </t>
    </r>
    <r>
      <rPr>
        <sz val="10"/>
        <rFont val="Arial"/>
        <family val="0"/>
        <charset val="1"/>
      </rPr>
      <t xml:space="preserve">EV</t>
    </r>
  </si>
  <si>
    <t xml:space="preserve">$19</t>
  </si>
  <si>
    <t xml:space="preserve">v1.1</t>
  </si>
  <si>
    <r>
      <rPr>
        <sz val="10"/>
        <rFont val="Arial"/>
        <family val="0"/>
        <charset val="1"/>
      </rPr>
      <t xml:space="preserve">Comps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NBIS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IREN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APLD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CORZ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CDS 720bps</t>
    </r>
    <r>
      <rPr>
        <sz val="10"/>
        <rFont val="Noto Sans CJK SC"/>
        <family val="2"/>
      </rPr>
      <t xml:space="preserve">、未動用額度開關</t>
    </r>
  </si>
  <si>
    <t xml:space="preserve">v1.0</t>
  </si>
  <si>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模板改寫為 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2H26–FY30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／法說／</t>
    </r>
    <r>
      <rPr>
        <sz val="10"/>
        <rFont val="Arial"/>
        <family val="0"/>
        <charset val="1"/>
      </rPr>
      <t xml:space="preserve">8-K </t>
    </r>
    <r>
      <rPr>
        <sz val="10"/>
        <rFont val="Noto Sans CJK SC"/>
        <family val="2"/>
      </rPr>
      <t xml:space="preserve">數據</t>
    </r>
  </si>
  <si>
    <r>
      <rPr>
        <sz val="10"/>
        <rFont val="Noto Sans CJK SC"/>
        <family val="2"/>
      </rPr>
      <t xml:space="preserve">基準當時為 </t>
    </r>
    <r>
      <rPr>
        <sz val="10"/>
        <rFont val="Arial"/>
        <family val="0"/>
        <charset val="1"/>
      </rPr>
      <t xml:space="preserve">8 GW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</si>
  <si>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</si>
  <si>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</si>
  <si>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</si>
  <si>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10-Q</t>
    </r>
    <r>
      <rPr>
        <sz val="10"/>
        <rFont val="Noto Sans CJK SC"/>
        <family val="2"/>
      </rPr>
      <t xml:space="preserve">（期末 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2026-08-12 </t>
    </r>
    <r>
      <rPr>
        <sz val="10"/>
        <rFont val="Noto Sans CJK SC"/>
        <family val="2"/>
      </rPr>
      <t xml:space="preserve">申報，</t>
    </r>
    <r>
      <rPr>
        <sz val="10"/>
        <rFont val="Arial"/>
        <family val="0"/>
        <charset val="1"/>
      </rPr>
      <t xml:space="preserve">Non-accelerated filer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期限 </t>
    </r>
    <r>
      <rPr>
        <sz val="10"/>
        <rFont val="Arial"/>
        <family val="0"/>
        <charset val="1"/>
      </rPr>
      <t xml:space="preserve">11/16</t>
    </r>
    <r>
      <rPr>
        <sz val="10"/>
        <rFont val="Noto Sans CJK SC"/>
        <family val="2"/>
      </rPr>
      <t xml:space="preserve">）：營收 </t>
    </r>
    <r>
      <rPr>
        <sz val="10"/>
        <rFont val="Arial"/>
        <family val="0"/>
        <charset val="1"/>
      </rPr>
      <t xml:space="preserve">2.575bn +112%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 4.653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營損 −</t>
    </r>
    <r>
      <rPr>
        <sz val="10"/>
        <rFont val="Arial"/>
        <family val="0"/>
        <charset val="1"/>
      </rPr>
      <t xml:space="preserve">0.049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0.640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 1.176</t>
    </r>
    <r>
      <rPr>
        <sz val="10"/>
        <rFont val="Noto Sans CJK SC"/>
        <family val="2"/>
      </rPr>
      <t xml:space="preserve">，現金 </t>
    </r>
    <r>
      <rPr>
        <sz val="10"/>
        <rFont val="Arial"/>
        <family val="0"/>
        <charset val="1"/>
      </rPr>
      <t xml:space="preserve">0.806</t>
    </r>
    <r>
      <rPr>
        <sz val="10"/>
        <rFont val="Noto Sans CJK SC"/>
        <family val="2"/>
      </rPr>
      <t xml:space="preserve">、資本化 </t>
    </r>
    <r>
      <rPr>
        <sz val="10"/>
        <rFont val="Arial"/>
        <family val="0"/>
        <charset val="1"/>
      </rPr>
      <t xml:space="preserve">0.176</t>
    </r>
    <r>
      <rPr>
        <sz val="10"/>
        <rFont val="Noto Sans CJK SC"/>
        <family val="2"/>
      </rPr>
      <t xml:space="preserve">）；淨損 −</t>
    </r>
    <r>
      <rPr>
        <sz val="10"/>
        <rFont val="Arial"/>
        <family val="0"/>
        <charset val="1"/>
      </rPr>
      <t xml:space="preserve">0.626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Adj. EBITDA 1.510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SBC 0.165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D&amp;A 1.393</t>
    </r>
    <r>
      <rPr>
        <sz val="10"/>
        <rFont val="Noto Sans CJK SC"/>
        <family val="2"/>
      </rPr>
      <t xml:space="preserve">；營業租賃成本 </t>
    </r>
    <r>
      <rPr>
        <sz val="10"/>
        <rFont val="Arial"/>
        <family val="0"/>
        <charset val="1"/>
      </rPr>
      <t xml:space="preserve">0.500</t>
    </r>
    <r>
      <rPr>
        <sz val="10"/>
        <rFont val="Noto Sans CJK SC"/>
        <family val="2"/>
      </rPr>
      <t xml:space="preserve">、變動租賃 </t>
    </r>
    <r>
      <rPr>
        <sz val="10"/>
        <rFont val="Arial"/>
        <family val="0"/>
        <charset val="1"/>
      </rPr>
      <t xml:space="preserve">0.150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</si>
  <si>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資產負債：現金 </t>
    </r>
    <r>
      <rPr>
        <sz val="10"/>
        <rFont val="Arial"/>
        <family val="0"/>
        <charset val="1"/>
      </rPr>
      <t xml:space="preserve">5.524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1.380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0.015</t>
    </r>
    <r>
      <rPr>
        <sz val="10"/>
        <rFont val="Noto Sans CJK SC"/>
        <family val="2"/>
      </rPr>
      <t xml:space="preserve">、可用額度 </t>
    </r>
    <r>
      <rPr>
        <sz val="10"/>
        <rFont val="Arial"/>
        <family val="0"/>
        <charset val="1"/>
      </rPr>
      <t xml:space="preserve">10.014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46.736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CIP 11.9</t>
    </r>
    <r>
      <rPr>
        <sz val="10"/>
        <rFont val="Noto Sans CJK SC"/>
        <family val="2"/>
      </rPr>
      <t xml:space="preserve">）；營業 </t>
    </r>
    <r>
      <rPr>
        <sz val="10"/>
        <rFont val="Arial"/>
        <family val="0"/>
        <charset val="1"/>
      </rPr>
      <t xml:space="preserve">ROU 16.595</t>
    </r>
    <r>
      <rPr>
        <sz val="10"/>
        <rFont val="Noto Sans CJK SC"/>
        <family val="2"/>
      </rPr>
      <t xml:space="preserve">；遞延收入 </t>
    </r>
    <r>
      <rPr>
        <sz val="10"/>
        <rFont val="Arial"/>
        <family val="0"/>
        <charset val="1"/>
      </rPr>
      <t xml:space="preserve">9.692</t>
    </r>
    <r>
      <rPr>
        <sz val="10"/>
        <rFont val="Noto Sans CJK SC"/>
        <family val="2"/>
      </rPr>
      <t xml:space="preserve">；債務本金 </t>
    </r>
    <r>
      <rPr>
        <sz val="10"/>
        <rFont val="Arial"/>
        <family val="0"/>
        <charset val="1"/>
      </rPr>
      <t xml:space="preserve">35.551</t>
    </r>
    <r>
      <rPr>
        <sz val="10"/>
        <rFont val="Noto Sans CJK SC"/>
        <family val="2"/>
      </rPr>
      <t xml:space="preserve">（追索淨 </t>
    </r>
    <r>
      <rPr>
        <sz val="10"/>
        <rFont val="Arial"/>
        <family val="0"/>
        <charset val="1"/>
      </rPr>
      <t xml:space="preserve">31.405</t>
    </r>
    <r>
      <rPr>
        <sz val="10"/>
        <rFont val="Noto Sans CJK SC"/>
        <family val="2"/>
      </rPr>
      <t xml:space="preserve">／非追索 </t>
    </r>
    <r>
      <rPr>
        <sz val="10"/>
        <rFont val="Arial"/>
        <family val="0"/>
        <charset val="1"/>
      </rPr>
      <t xml:space="preserve">3.663</t>
    </r>
    <r>
      <rPr>
        <sz val="10"/>
        <rFont val="Noto Sans CJK SC"/>
        <family val="2"/>
      </rPr>
      <t xml:space="preserve">）；股東權益 </t>
    </r>
    <r>
      <rPr>
        <sz val="10"/>
        <rFont val="Arial"/>
        <family val="0"/>
        <charset val="1"/>
      </rPr>
      <t xml:space="preserve">5.024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</si>
  <si>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RPO 103.7bn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backlog 104.2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41%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2028-06 </t>
    </r>
    <r>
      <rPr>
        <sz val="10"/>
        <rFont val="Noto Sans CJK SC"/>
        <family val="2"/>
      </rPr>
      <t xml:space="preserve">前、</t>
    </r>
    <r>
      <rPr>
        <sz val="10"/>
        <rFont val="Arial"/>
        <family val="0"/>
        <charset val="1"/>
      </rPr>
      <t xml:space="preserve">39%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Noto Sans CJK SC"/>
        <family val="2"/>
      </rPr>
      <t xml:space="preserve">月、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49–78 </t>
    </r>
    <r>
      <rPr>
        <sz val="10"/>
        <rFont val="Noto Sans CJK SC"/>
        <family val="2"/>
      </rPr>
      <t xml:space="preserve">月。客戶集中：</t>
    </r>
    <r>
      <rPr>
        <sz val="10"/>
        <rFont val="Arial"/>
        <family val="0"/>
        <charset val="1"/>
      </rPr>
      <t xml:space="preserve">A 36%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 26%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 10%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6.5bn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2031-05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21.0bn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Jane Street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6.0bn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</si>
  <si>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租賃與承諾：在帳未折現 </t>
    </r>
    <r>
      <rPr>
        <sz val="10"/>
        <rFont val="Arial"/>
        <family val="0"/>
        <charset val="1"/>
      </rPr>
      <t xml:space="preserve">29.135</t>
    </r>
    <r>
      <rPr>
        <sz val="10"/>
        <rFont val="Noto Sans CJK SC"/>
        <family val="2"/>
      </rPr>
      <t xml:space="preserve">（營業）＋</t>
    </r>
    <r>
      <rPr>
        <sz val="10"/>
        <rFont val="Arial"/>
        <family val="0"/>
        <charset val="1"/>
      </rPr>
      <t xml:space="preserve">0.235</t>
    </r>
    <r>
      <rPr>
        <sz val="10"/>
        <rFont val="Noto Sans CJK SC"/>
        <family val="2"/>
      </rPr>
      <t xml:space="preserve">（融資），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後 </t>
    </r>
    <r>
      <rPr>
        <sz val="10"/>
        <rFont val="Arial"/>
        <family val="0"/>
        <charset val="1"/>
      </rPr>
      <t xml:space="preserve">19.023</t>
    </r>
    <r>
      <rPr>
        <sz val="10"/>
        <rFont val="Noto Sans CJK SC"/>
        <family val="2"/>
      </rPr>
      <t xml:space="preserve">；未起租租賃 </t>
    </r>
    <r>
      <rPr>
        <sz val="10"/>
        <rFont val="Arial"/>
        <family val="0"/>
        <charset val="1"/>
      </rPr>
      <t xml:space="preserve">35.5</t>
    </r>
    <r>
      <rPr>
        <sz val="10"/>
        <rFont val="Noto Sans CJK SC"/>
        <family val="2"/>
      </rPr>
      <t xml:space="preserve">；單站 </t>
    </r>
    <r>
      <rPr>
        <sz val="10"/>
        <rFont val="Arial"/>
        <family val="0"/>
        <charset val="1"/>
      </rPr>
      <t xml:space="preserve">393 MW </t>
    </r>
    <r>
      <rPr>
        <sz val="10"/>
        <rFont val="Noto Sans CJK SC"/>
        <family val="2"/>
      </rPr>
      <t xml:space="preserve">按造價計租上限 </t>
    </r>
    <r>
      <rPr>
        <sz val="10"/>
        <rFont val="Arial"/>
        <family val="0"/>
        <charset val="1"/>
      </rPr>
      <t xml:space="preserve">14.7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16 </t>
    </r>
    <r>
      <rPr>
        <sz val="10"/>
        <rFont val="Noto Sans CJK SC"/>
        <family val="2"/>
      </rPr>
      <t xml:space="preserve">年；</t>
    </r>
    <r>
      <rPr>
        <sz val="10"/>
        <rFont val="Arial"/>
        <family val="0"/>
        <charset val="1"/>
      </rPr>
      <t xml:space="preserve">355 MW </t>
    </r>
    <r>
      <rPr>
        <sz val="10"/>
        <rFont val="Noto Sans CJK SC"/>
        <family val="2"/>
      </rPr>
      <t xml:space="preserve">按造價計租（未定）；自備設備 </t>
    </r>
    <r>
      <rPr>
        <sz val="10"/>
        <rFont val="Arial"/>
        <family val="0"/>
        <charset val="1"/>
      </rPr>
      <t xml:space="preserve">0.5–1.2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承諾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（已付 </t>
    </r>
    <r>
      <rPr>
        <sz val="10"/>
        <rFont val="Arial"/>
        <family val="0"/>
        <charset val="1"/>
      </rPr>
      <t xml:space="preserve">0.55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VIE 0.108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</si>
  <si>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3.663</t>
    </r>
    <r>
      <rPr>
        <sz val="10"/>
        <rFont val="Noto Sans CJK SC"/>
        <family val="2"/>
      </rPr>
      <t xml:space="preserve">；現金購置 </t>
    </r>
    <r>
      <rPr>
        <sz val="10"/>
        <rFont val="Arial"/>
        <family val="0"/>
        <charset val="1"/>
      </rPr>
      <t xml:space="preserve">PP&amp;E 14.117</t>
    </r>
    <r>
      <rPr>
        <sz val="10"/>
        <rFont val="Noto Sans CJK SC"/>
        <family val="2"/>
      </rPr>
      <t xml:space="preserve">；借款 </t>
    </r>
    <r>
      <rPr>
        <sz val="10"/>
        <rFont val="Arial"/>
        <family val="0"/>
        <charset val="1"/>
      </rPr>
      <t xml:space="preserve">16.747</t>
    </r>
    <r>
      <rPr>
        <sz val="10"/>
        <rFont val="Noto Sans CJK SC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capped call 0.492</t>
    </r>
    <r>
      <rPr>
        <sz val="10"/>
        <rFont val="Noto Sans CJK SC"/>
        <family val="2"/>
      </rPr>
      <t xml:space="preserve">；私募股權 </t>
    </r>
    <r>
      <rPr>
        <sz val="10"/>
        <rFont val="Arial"/>
        <family val="0"/>
        <charset val="1"/>
      </rPr>
      <t xml:space="preserve">2.982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認列口徑 </t>
    </r>
    <r>
      <rPr>
        <sz val="10"/>
        <rFont val="Arial"/>
        <family val="0"/>
        <charset val="1"/>
      </rPr>
      <t xml:space="preserve">Q2 9.352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H1 16.139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</si>
  <si>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9/17 8-K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可轉債 </t>
    </r>
    <r>
      <rPr>
        <sz val="10"/>
        <rFont val="Arial"/>
        <family val="0"/>
        <charset val="1"/>
      </rPr>
      <t xml:space="preserve">3.7bn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2.875%</t>
    </r>
    <r>
      <rPr>
        <sz val="10"/>
        <rFont val="Noto Sans CJK SC"/>
        <family val="2"/>
      </rPr>
      <t xml:space="preserve">、轉換價 </t>
    </r>
    <r>
      <rPr>
        <sz val="10"/>
        <rFont val="Arial"/>
        <family val="0"/>
        <charset val="1"/>
      </rPr>
      <t xml:space="preserve">$97.85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上限 </t>
    </r>
    <r>
      <rPr>
        <sz val="10"/>
        <rFont val="Arial"/>
        <family val="0"/>
        <charset val="1"/>
      </rPr>
      <t xml:space="preserve">$199.70</t>
    </r>
    <r>
      <rPr>
        <sz val="10"/>
        <rFont val="Noto Sans CJK SC"/>
        <family val="2"/>
      </rPr>
      <t xml:space="preserve">；股權分銷最多 </t>
    </r>
    <r>
      <rPr>
        <sz val="10"/>
        <rFont val="Arial"/>
        <family val="0"/>
        <charset val="1"/>
      </rPr>
      <t xml:space="preserve">35m </t>
    </r>
    <r>
      <rPr>
        <sz val="10"/>
        <rFont val="Noto Sans CJK SC"/>
        <family val="2"/>
      </rPr>
      <t xml:space="preserve">股；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$79.88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</si>
  <si>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$90.13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2026-09-24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47.12bn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551.54m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63.81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NBIS 2.16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</si>
  <si>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2026-09-25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$140.81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$140.00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$39.00–$317.00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MarketScreener</t>
    </r>
    <r>
      <rPr>
        <sz val="10"/>
        <rFont val="Noto Sans CJK SC"/>
        <family val="2"/>
      </rPr>
      <t xml:space="preserve">（同為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FactSet </t>
    </r>
    <r>
      <rPr>
        <sz val="10"/>
        <rFont val="Noto Sans CJK SC"/>
        <family val="2"/>
      </rPr>
      <t xml:space="preserve">資料，非獨立）：平均 </t>
    </r>
    <r>
      <rPr>
        <sz val="10"/>
        <rFont val="Arial"/>
        <family val="0"/>
        <charset val="1"/>
      </rPr>
      <t xml:space="preserve">$140.95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Outperform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</si>
  <si>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r>
      <rPr>
        <sz val="10"/>
        <rFont val="Noto Sans CJK SC"/>
        <family val="2"/>
      </rPr>
      <t xml:space="preserve">法說（</t>
    </r>
    <r>
      <rPr>
        <sz val="10"/>
        <rFont val="Arial"/>
        <family val="0"/>
        <charset val="1"/>
      </rPr>
      <t xml:space="preserve">8/11</t>
    </r>
    <r>
      <rPr>
        <sz val="10"/>
        <rFont val="Noto Sans CJK SC"/>
        <family val="2"/>
      </rPr>
      <t xml:space="preserve">）：主動電力 </t>
    </r>
    <r>
      <rPr>
        <sz val="10"/>
        <rFont val="Arial"/>
        <family val="0"/>
        <charset val="1"/>
      </rPr>
      <t xml:space="preserve">1.5 GW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+</t>
    </r>
    <r>
      <rPr>
        <sz val="10"/>
        <rFont val="Noto Sans CJK SC"/>
        <family val="2"/>
      </rPr>
      <t xml:space="preserve">近 </t>
    </r>
    <r>
      <rPr>
        <sz val="10"/>
        <rFont val="Arial"/>
        <family val="0"/>
        <charset val="1"/>
      </rPr>
      <t xml:space="preserve">500 MW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+300 MW</t>
    </r>
    <r>
      <rPr>
        <sz val="10"/>
        <rFont val="Noto Sans CJK SC"/>
        <family val="2"/>
      </rPr>
      <t xml:space="preserve">）；簽約 </t>
    </r>
    <r>
      <rPr>
        <sz val="10"/>
        <rFont val="Arial"/>
        <family val="0"/>
        <charset val="1"/>
      </rPr>
      <t xml:space="preserve">4.2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2030 ≥8 GW</t>
    </r>
    <r>
      <rPr>
        <sz val="10"/>
        <rFont val="Noto Sans CJK SC"/>
        <family val="2"/>
      </rPr>
      <t xml:space="preserve">；近期產能實質售罄；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SKU </t>
    </r>
    <r>
      <rPr>
        <sz val="10"/>
        <rFont val="Noto Sans CJK SC"/>
        <family val="2"/>
      </rPr>
      <t xml:space="preserve">漲價約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；全年營收 </t>
    </r>
    <r>
      <rPr>
        <sz val="10"/>
        <rFont val="Arial"/>
        <family val="0"/>
        <charset val="1"/>
      </rPr>
      <t xml:space="preserve">12.4–13.2</t>
    </r>
    <r>
      <rPr>
        <sz val="10"/>
        <rFont val="Noto Sans CJK SC"/>
        <family val="2"/>
      </rPr>
      <t xml:space="preserve">、調整後營益 </t>
    </r>
    <r>
      <rPr>
        <sz val="10"/>
        <rFont val="Arial"/>
        <family val="0"/>
        <charset val="1"/>
      </rPr>
      <t xml:space="preserve">0.96–1.15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 35–39</t>
    </r>
    <r>
      <rPr>
        <sz val="10"/>
        <rFont val="Noto Sans CJK SC"/>
        <family val="2"/>
      </rPr>
      <t xml:space="preserve">、期末 </t>
    </r>
    <r>
      <rPr>
        <sz val="10"/>
        <rFont val="Arial"/>
        <family val="0"/>
        <charset val="1"/>
      </rPr>
      <t xml:space="preserve">ARR 18.5–19.5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3.45–3.6</t>
    </r>
    <r>
      <rPr>
        <sz val="10"/>
        <rFont val="Noto Sans CJK SC"/>
        <family val="2"/>
      </rPr>
      <t xml:space="preserve">、利息 </t>
    </r>
    <r>
      <rPr>
        <sz val="10"/>
        <rFont val="Arial"/>
        <family val="0"/>
        <charset val="1"/>
      </rPr>
      <t xml:space="preserve">0.86–0.94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 11.5–13.5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</si>
  <si>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投資人簡報：</t>
    </r>
    <r>
      <rPr>
        <sz val="10"/>
        <rFont val="Arial"/>
        <family val="0"/>
        <charset val="1"/>
      </rPr>
      <t xml:space="preserve">Q2 pro forma </t>
    </r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38.6bn</t>
    </r>
    <r>
      <rPr>
        <sz val="10"/>
        <rFont val="Noto Sans CJK SC"/>
        <family val="2"/>
      </rPr>
      <t xml:space="preserve">；加權利率 </t>
    </r>
    <r>
      <rPr>
        <sz val="10"/>
        <rFont val="Arial"/>
        <family val="0"/>
        <charset val="1"/>
      </rPr>
      <t xml:space="preserve">FY23 14.9% → Q2 8.3% → pro forma 7.8%</t>
    </r>
    <r>
      <rPr>
        <sz val="10"/>
        <rFont val="Noto Sans CJK SC"/>
        <family val="2"/>
      </rPr>
      <t xml:space="preserve">；總債務／</t>
    </r>
    <r>
      <rPr>
        <sz val="10"/>
        <rFont val="Arial"/>
        <family val="0"/>
        <charset val="1"/>
      </rPr>
      <t xml:space="preserve">backlog 0.4x</t>
    </r>
    <r>
      <rPr>
        <sz val="10"/>
        <rFont val="Noto Sans CJK SC"/>
        <family val="2"/>
      </rPr>
      <t xml:space="preserve">；歷年 </t>
    </r>
    <r>
      <rPr>
        <sz val="10"/>
        <rFont val="Arial"/>
        <family val="0"/>
        <charset val="1"/>
      </rPr>
      <t xml:space="preserve">backlog 9.9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15.1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66.8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104.2</t>
    </r>
    <r>
      <rPr>
        <sz val="10"/>
        <rFont val="Noto Sans CJK SC"/>
        <family val="2"/>
      </rPr>
      <t xml:space="preserve">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</si>
  <si>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</si>
  <si>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Noto Sans CJK SC"/>
        <family val="2"/>
      </rPr>
      <t xml:space="preserve">）：中價 </t>
    </r>
    <r>
      <rPr>
        <sz val="10"/>
        <rFont val="Arial"/>
        <family val="0"/>
        <charset val="1"/>
      </rPr>
      <t xml:space="preserve">720bps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Bid/Ask 690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750</t>
    </r>
    <r>
      <rPr>
        <sz val="10"/>
        <rFont val="Noto Sans CJK SC"/>
        <family val="2"/>
      </rPr>
      <t xml:space="preserve">、近期區間 </t>
    </r>
    <r>
      <rPr>
        <sz val="10"/>
        <rFont val="Arial"/>
        <family val="0"/>
        <charset val="1"/>
      </rPr>
      <t xml:space="preserve">680–855</t>
    </r>
    <r>
      <rPr>
        <sz val="10"/>
        <rFont val="Noto Sans CJK SC"/>
        <family val="2"/>
      </rPr>
      <t xml:space="preserve">（對照 </t>
    </r>
    <r>
      <rPr>
        <sz val="10"/>
        <rFont val="Arial"/>
        <family val="0"/>
        <charset val="1"/>
      </rPr>
      <t xml:space="preserve">7/28 </t>
    </r>
    <r>
      <rPr>
        <sz val="10"/>
        <rFont val="Noto Sans CJK SC"/>
        <family val="2"/>
      </rPr>
      <t xml:space="preserve">峰值 </t>
    </r>
    <r>
      <rPr>
        <sz val="10"/>
        <rFont val="Arial"/>
        <family val="0"/>
        <charset val="1"/>
      </rPr>
      <t xml:space="preserve">855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月低點 </t>
    </r>
    <r>
      <rPr>
        <sz val="10"/>
        <rFont val="Arial"/>
        <family val="0"/>
        <charset val="1"/>
      </rPr>
      <t xml:space="preserve">452</t>
    </r>
    <r>
      <rPr>
        <sz val="10"/>
        <rFont val="Noto Sans CJK SC"/>
        <family val="2"/>
      </rPr>
      <t xml:space="preserve">）。</t>
    </r>
  </si>
  <si>
    <t xml:space="preserve">Derived</t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</si>
  <si>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桶內線性分攤（</t>
    </r>
    <r>
      <rPr>
        <sz val="10"/>
        <rFont val="Arial"/>
        <family val="0"/>
        <charset val="1"/>
      </rPr>
      <t xml:space="preserve">41/39/20 → </t>
    </r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10.25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19.5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13.75%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v2.3 </t>
    </r>
    <r>
      <rPr>
        <sz val="10"/>
        <rFont val="Noto Sans CJK SC"/>
        <family val="2"/>
      </rPr>
      <t xml:space="preserve">起與損益連動）；客戶預付率 </t>
    </r>
    <r>
      <rPr>
        <sz val="10"/>
        <rFont val="Arial"/>
        <family val="0"/>
        <charset val="1"/>
      </rPr>
      <t xml:space="preserve">8.5%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rev/MW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10.0–10.5M/MW</t>
    </r>
    <r>
      <rPr>
        <sz val="10"/>
        <rFont val="Noto Sans CJK SC"/>
        <family val="2"/>
      </rPr>
      <t xml:space="preserve">。</t>
    </r>
  </si>
  <si>
    <t xml:space="preserve">Assumed</t>
  </si>
  <si>
    <r>
      <rPr>
        <sz val="10"/>
        <rFont val="Arial"/>
        <family val="0"/>
        <charset val="1"/>
      </rPr>
      <t xml:space="preserve">FY27–30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 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；新產能簽約率 </t>
    </r>
    <r>
      <rPr>
        <sz val="10"/>
        <rFont val="Arial"/>
        <family val="0"/>
        <charset val="1"/>
      </rPr>
      <t xml:space="preserve">100→80%</t>
    </r>
    <r>
      <rPr>
        <sz val="10"/>
        <rFont val="Noto Sans CJK SC"/>
        <family val="2"/>
      </rPr>
      <t xml:space="preserve">；表外現金租金 </t>
    </r>
    <r>
      <rPr>
        <sz val="10"/>
        <rFont val="Arial"/>
        <family val="0"/>
        <charset val="1"/>
      </rPr>
      <t xml:space="preserve">0.3→4.6</t>
    </r>
    <r>
      <rPr>
        <sz val="10"/>
        <rFont val="Noto Sans CJK SC"/>
        <family val="2"/>
      </rPr>
      <t xml:space="preserve">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Noto Sans CJK SC"/>
        <family val="2"/>
      </rPr>
      <t xml:space="preserve">；瀑布新債利率 </t>
    </r>
    <r>
      <rPr>
        <sz val="10"/>
        <rFont val="Arial"/>
        <family val="0"/>
        <charset val="1"/>
      </rPr>
      <t xml:space="preserve">9%</t>
    </r>
    <r>
      <rPr>
        <sz val="10"/>
        <rFont val="Noto Sans CJK SC"/>
        <family val="2"/>
      </rPr>
      <t xml:space="preserve">；債務／</t>
    </r>
    <r>
      <rPr>
        <sz val="10"/>
        <rFont val="Arial"/>
        <family val="0"/>
        <charset val="1"/>
      </rPr>
      <t xml:space="preserve">backlog 1.0x</t>
    </r>
    <r>
      <rPr>
        <sz val="10"/>
        <rFont val="Noto Sans CJK SC"/>
        <family val="2"/>
      </rPr>
      <t xml:space="preserve">（敏感度 </t>
    </r>
    <r>
      <rPr>
        <sz val="10"/>
        <rFont val="Arial"/>
        <family val="0"/>
        <charset val="1"/>
      </rPr>
      <t xml:space="preserve">0.4x</t>
    </r>
    <r>
      <rPr>
        <sz val="10"/>
        <rFont val="Noto Sans CJK SC"/>
        <family val="2"/>
      </rPr>
      <t xml:space="preserve">）；起始／穩態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（敏感度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）；最低現金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；非算力服務營收 </t>
    </r>
    <r>
      <rPr>
        <sz val="10"/>
        <rFont val="Arial"/>
        <family val="0"/>
        <charset val="1"/>
      </rPr>
      <t xml:space="preserve">0.3→3.8</t>
    </r>
    <r>
      <rPr>
        <sz val="10"/>
        <rFont val="Noto Sans CJK SC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</si>
  <si>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房東揭露：</t>
    </r>
    <r>
      <rPr>
        <sz val="10"/>
        <rFont val="Arial"/>
        <family val="0"/>
        <charset val="1"/>
      </rPr>
      <t xml:space="preserve">Galaxy Helios 526 MW</t>
    </r>
    <r>
      <rPr>
        <sz val="10"/>
        <rFont val="Noto Sans CJK SC"/>
        <family val="2"/>
      </rPr>
      <t xml:space="preserve">、年均 </t>
    </r>
    <r>
      <rPr>
        <sz val="10"/>
        <rFont val="Arial"/>
        <family val="0"/>
        <charset val="1"/>
      </rPr>
      <t xml:space="preserve">&gt;$1bn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2026-07-06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Applied Digital Polaris Forge 1 400 MW</t>
    </r>
    <r>
      <rPr>
        <sz val="10"/>
        <rFont val="Noto Sans CJK SC"/>
        <family val="2"/>
      </rPr>
      <t xml:space="preserve">、約 </t>
    </r>
    <r>
      <rPr>
        <sz val="10"/>
        <rFont val="Arial"/>
        <family val="0"/>
        <charset val="1"/>
      </rPr>
      <t xml:space="preserve">$11bn</t>
    </r>
    <r>
      <rPr>
        <sz val="10"/>
        <rFont val="Noto Sans CJK SC"/>
        <family val="2"/>
      </rPr>
      <t xml:space="preserve">、約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2025-08-29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Core Scientific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590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$10.2bn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2025-02-26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Q4 2025 </t>
    </r>
    <r>
      <rPr>
        <sz val="10"/>
        <rFont val="Noto Sans CJK SC"/>
        <family val="2"/>
      </rPr>
      <t xml:space="preserve">法說：年底主動電力 </t>
    </r>
    <r>
      <rPr>
        <sz val="10"/>
        <rFont val="Arial"/>
        <family val="0"/>
        <charset val="1"/>
      </rPr>
      <t xml:space="preserve">&gt;850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2025 CapEx 14.9bn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</si>
  <si>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10-Q Note 10 </t>
    </r>
    <r>
      <rPr>
        <sz val="10"/>
        <rFont val="Noto Sans CJK SC"/>
        <family val="2"/>
      </rPr>
      <t xml:space="preserve">債務逐筆（有效利率）：</t>
    </r>
    <r>
      <rPr>
        <sz val="10"/>
        <rFont val="Arial"/>
        <family val="0"/>
        <charset val="1"/>
      </rPr>
      <t xml:space="preserve">DDTL 1.0 1.300@15%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2.0 3.190@11%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2.1 3.000@9%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3.0 2.215@9%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5.0 1.101@9%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4.0 2.837@7%</t>
    </r>
    <r>
      <rPr>
        <sz val="10"/>
        <rFont val="Noto Sans CJK SC"/>
        <family val="2"/>
      </rPr>
      <t xml:space="preserve">（非追索）；票據 </t>
    </r>
    <r>
      <rPr>
        <sz val="10"/>
        <rFont val="Arial"/>
        <family val="0"/>
        <charset val="1"/>
      </rPr>
      <t xml:space="preserve">2030 2.000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2031 1.750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2.750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2032 1.250@10%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EUR 2.279@9%</t>
    </r>
    <r>
      <rPr>
        <sz val="10"/>
        <rFont val="Noto Sans CJK SC"/>
        <family val="2"/>
      </rPr>
      <t xml:space="preserve">；可轉債 </t>
    </r>
    <r>
      <rPr>
        <sz val="10"/>
        <rFont val="Arial"/>
        <family val="0"/>
        <charset val="1"/>
      </rPr>
      <t xml:space="preserve">2.588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4.000@2%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OEM 4.220@11%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0.882@9%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Magnetar 0.189@12%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Note 3</t>
    </r>
    <r>
      <rPr>
        <sz val="10"/>
        <rFont val="Noto Sans CJK SC"/>
        <family val="2"/>
      </rPr>
      <t xml:space="preserve">：兩個 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承諾最高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，預計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年內履行，之後須追加出資；新澤西 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持股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，租金依建造成本計。</t>
    </r>
  </si>
  <si>
    <t xml:space="preserve">方法</t>
  </si>
  <si>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期前融資瀑布：額度→資產層新債（總債務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Noto Sans CJK SC"/>
        <family val="2"/>
      </rPr>
      <t xml:space="preserve">上限）→股權殘差；舊版假設缺口全額舉債且無上限（透支利息＝利息、扣缺口＝本金），</t>
    </r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改為債務設上限、殘差以股權支應。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</si>
  <si>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</si>
  <si>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20261014_Tokenomics_v5.35.xlsx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9dff7f5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2026-10-15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</si>
  <si>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本分頁目前只顯示、尚未被任何公式引用（</t>
    </r>
    <r>
      <rPr>
        <sz val="9"/>
        <color rgb="FF595959"/>
        <rFont val="Arial"/>
        <family val="0"/>
        <charset val="1"/>
      </rPr>
      <t xml:space="preserve">W1</t>
    </r>
    <r>
      <rPr>
        <sz val="9"/>
        <color rgb="FF595959"/>
        <rFont val="Noto Sans CJK SC"/>
        <family val="2"/>
      </rPr>
      <t xml:space="preserve">）；值為快照的藍字輸入格，更新方式見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取數」。</t>
    </r>
  </si>
  <si>
    <t xml:space="preserve">具名範圍（基準）</t>
  </si>
  <si>
    <t xml:space="preserve">名稱</t>
  </si>
  <si>
    <t xml:space="preserve">中文標籤</t>
  </si>
  <si>
    <t xml:space="preserve">低成本</t>
  </si>
  <si>
    <t xml:space="preserve">基準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</si>
  <si>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</si>
  <si>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</si>
  <si>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</si>
  <si>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</si>
  <si>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</si>
  <si>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</si>
  <si>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</si>
  <si>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Hopper H100</t>
  </si>
  <si>
    <t xml:space="preserve">Interface!C6:E6</t>
  </si>
  <si>
    <t xml:space="preserve">v5.35 · 9dff7f5</t>
  </si>
  <si>
    <t xml:space="preserve">TK_RacksPerGW_GB200</t>
  </si>
  <si>
    <t xml:space="preserve">GB200 NVL72</t>
  </si>
  <si>
    <t xml:space="preserve">Interface!F6:H6</t>
  </si>
  <si>
    <t xml:space="preserve">TK_RacksPerGW_GB300</t>
  </si>
  <si>
    <t xml:space="preserve">GB300 NVL72</t>
  </si>
  <si>
    <t xml:space="preserve">Interface!I6:K6</t>
  </si>
  <si>
    <t xml:space="preserve">TK_RacksPerGW_VR200</t>
  </si>
  <si>
    <t xml:space="preserve">VR200 NVL72</t>
  </si>
  <si>
    <t xml:space="preserve">Interface!L6:N6</t>
  </si>
  <si>
    <t xml:space="preserve">TK_RacksPerGW_RU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</si>
  <si>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</si>
  <si>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Interface!O6:Q6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</si>
  <si>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</si>
  <si>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</si>
  <si>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</si>
  <si>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</si>
  <si>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</si>
  <si>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</si>
  <si>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</si>
  <si>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</si>
  <si>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</si>
  <si>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</si>
  <si>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</si>
  <si>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</si>
  <si>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</si>
  <si>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</si>
  <si>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</si>
  <si>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</si>
  <si>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</si>
  <si>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</si>
  <si>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</si>
  <si>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</si>
  <si>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</si>
  <si>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</si>
  <si>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</si>
  <si>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</si>
  <si>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</si>
  <si>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</si>
  <si>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</si>
  <si>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</si>
  <si>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</si>
  <si>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</si>
  <si>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</si>
  <si>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</si>
  <si>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</si>
  <si>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</si>
  <si>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</si>
  <si>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</si>
  <si>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</si>
  <si>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</si>
  <si>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</si>
  <si>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</si>
  <si>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</si>
  <si>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</si>
  <si>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</si>
  <si>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</si>
  <si>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</si>
  <si>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</si>
  <si>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</si>
  <si>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</si>
  <si>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</si>
  <si>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</si>
  <si>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</si>
  <si>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</si>
  <si>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</si>
  <si>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</si>
  <si>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</si>
  <si>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</si>
  <si>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</si>
  <si>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</si>
  <si>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</si>
  <si>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</si>
  <si>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</si>
  <si>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</si>
  <si>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</si>
  <si>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</si>
  <si>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</si>
  <si>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</si>
  <si>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</si>
  <si>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</si>
  <si>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</si>
  <si>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</si>
  <si>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</si>
  <si>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</si>
  <si>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</si>
  <si>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</si>
  <si>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</si>
  <si>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</si>
  <si>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TK_HoldEcon_H100</t>
  </si>
  <si>
    <t xml:space="preserve">IF_HoldEcon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</si>
  <si>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</si>
  <si>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t xml:space="preserve">Interface!C13:E13</t>
  </si>
  <si>
    <t xml:space="preserve">TK_HoldEcon_GB200</t>
  </si>
  <si>
    <t xml:space="preserve">Interface!F13:H13</t>
  </si>
  <si>
    <t xml:space="preserve">TK_HoldEcon_GB300</t>
  </si>
  <si>
    <t xml:space="preserve">Interface!I13:K13</t>
  </si>
  <si>
    <t xml:space="preserve">TK_HoldEcon_VR200</t>
  </si>
  <si>
    <t xml:space="preserve">Interface!L13:N13</t>
  </si>
  <si>
    <t xml:space="preserve">TK_HoldEcon_RU</t>
  </si>
  <si>
    <t xml:space="preserve">Interface!O13:Q13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</si>
  <si>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</si>
  <si>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</si>
  <si>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</si>
  <si>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</si>
  <si>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</si>
  <si>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</si>
  <si>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</si>
  <si>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</si>
  <si>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</si>
  <si>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</si>
  <si>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</si>
  <si>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</si>
  <si>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</si>
  <si>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</si>
  <si>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</si>
  <si>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</si>
  <si>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</si>
  <si>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</si>
  <si>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</si>
  <si>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</si>
  <si>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</si>
  <si>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</si>
  <si>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</si>
  <si>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</si>
  <si>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</si>
  <si>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</si>
  <si>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</si>
  <si>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</si>
  <si>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</si>
  <si>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</si>
  <si>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</si>
  <si>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</si>
  <si>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</si>
  <si>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</si>
  <si>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TK_GPUhr_GB200_vsCW</t>
  </si>
  <si>
    <t xml:space="preserve">L1_GPUhr_GB200_vsCW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</si>
  <si>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）對 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</si>
  <si>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L1!D30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</si>
  <si>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TK_GPUhr_GB300_vsBE</t>
  </si>
  <si>
    <t xml:space="preserve">L1_GPUhr_GB300_vsBE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</si>
  <si>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）對新雲損益兩平租金</t>
    </r>
  </si>
  <si>
    <r>
      <rPr>
        <sz val="9"/>
        <color rgb="FF595959"/>
        <rFont val="Arial"/>
        <family val="0"/>
        <charset val="1"/>
      </rPr>
      <t xml:space="preserve">L1!D31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</si>
  <si>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TK_RevGW_Fleet_VR200</t>
  </si>
  <si>
    <t xml:space="preserve">L1_RevGW_Fleet_VR200</t>
  </si>
  <si>
    <r>
      <rPr>
        <sz val="10"/>
        <rFont val="Arial"/>
        <family val="0"/>
        <charset val="1"/>
      </rPr>
      <t xml:space="preserve">1 GW </t>
    </r>
    <r>
      <rPr>
        <sz val="10"/>
        <rFont val="Noto Sans CJK SC"/>
        <family val="2"/>
      </rPr>
      <t xml:space="preserve">參考機隊付費營收（理想上限，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</si>
  <si>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</si>
  <si>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F29</t>
    </r>
    <r>
      <rPr>
        <sz val="9"/>
        <color rgb="FF595959"/>
        <rFont val="Noto Sans CJK SC"/>
        <family val="2"/>
      </rPr>
      <t xml:space="preserve">；利用率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Noto Sans CJK SC"/>
        <family val="2"/>
      </rPr>
      <t xml:space="preserve">情境值；</t>
    </r>
    <r>
      <rPr>
        <sz val="9"/>
        <color rgb="FF595959"/>
        <rFont val="Arial"/>
        <family val="0"/>
        <charset val="1"/>
      </rPr>
      <t xml:space="preserve">J6 </t>
    </r>
    <r>
      <rPr>
        <sz val="9"/>
        <color rgb="FF595959"/>
        <rFont val="Noto Sans CJK SC"/>
        <family val="2"/>
      </rPr>
      <t xml:space="preserve">區間））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</si>
  <si>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</si>
  <si>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</si>
  <si>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</si>
  <si>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</si>
  <si>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</si>
  <si>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</si>
  <si>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</si>
  <si>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</si>
  <si>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</si>
  <si>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</si>
  <si>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</si>
  <si>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</si>
  <si>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</si>
  <si>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</si>
  <si>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</si>
  <si>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</si>
  <si>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</si>
  <si>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</si>
  <si>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</si>
  <si>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</si>
  <si>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</si>
  <si>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</si>
  <si>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</si>
  <si>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</si>
  <si>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</si>
  <si>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</si>
  <si>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</si>
  <si>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</si>
  <si>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</si>
  <si>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</si>
  <si>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</si>
  <si>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</si>
  <si>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</si>
  <si>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</si>
  <si>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</si>
  <si>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</si>
  <si>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</si>
  <si>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</si>
  <si>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</si>
  <si>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</si>
  <si>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</si>
  <si>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</si>
  <si>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</si>
  <si>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</si>
  <si>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</si>
  <si>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</si>
  <si>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</si>
  <si>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</si>
  <si>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</si>
  <si>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</si>
  <si>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</si>
  <si>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</si>
  <si>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</si>
  <si>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</si>
  <si>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</si>
  <si>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</si>
  <si>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</si>
  <si>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</si>
  <si>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</si>
  <si>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</si>
  <si>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</si>
  <si>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</si>
  <si>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</si>
  <si>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</si>
  <si>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</si>
  <si>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</si>
  <si>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</si>
  <si>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</si>
  <si>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</si>
  <si>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</si>
  <si>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</si>
  <si>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</si>
  <si>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</si>
  <si>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</si>
  <si>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</si>
  <si>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</si>
  <si>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</si>
  <si>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</si>
  <si>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</si>
  <si>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</si>
  <si>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</si>
  <si>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</si>
  <si>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</si>
  <si>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</si>
  <si>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</si>
  <si>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</si>
  <si>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</si>
  <si>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</si>
  <si>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</si>
  <si>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</si>
  <si>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</si>
  <si>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</si>
  <si>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</si>
  <si>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</si>
  <si>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</si>
  <si>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</si>
  <si>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</si>
  <si>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</si>
  <si>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</si>
  <si>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</si>
  <si>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</si>
  <si>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</si>
  <si>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</si>
  <si>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</si>
  <si>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</si>
  <si>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</si>
  <si>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</si>
  <si>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</si>
  <si>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</si>
  <si>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</si>
  <si>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</si>
  <si>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</si>
  <si>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</si>
  <si>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</si>
  <si>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</si>
  <si>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</si>
  <si>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</si>
  <si>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</si>
  <si>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</si>
  <si>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TK_RevGWFleet_H100</t>
  </si>
  <si>
    <t xml:space="preserve">IF_RevGWFleet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</si>
  <si>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</si>
  <si>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</si>
  <si>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</si>
  <si>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</si>
  <si>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</si>
  <si>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</si>
  <si>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</si>
  <si>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</si>
  <si>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</si>
  <si>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</si>
  <si>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TK_MaintITWarr_H100</t>
  </si>
  <si>
    <t xml:space="preserve">IF_MaintITWarr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</si>
  <si>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 — 保固期內（＝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保固期內費率）</t>
    </r>
  </si>
  <si>
    <t xml:space="preserve">Interface!C313:E313</t>
  </si>
  <si>
    <t xml:space="preserve">TK_MaintITWarr_GB200</t>
  </si>
  <si>
    <t xml:space="preserve">Interface!F313:H313</t>
  </si>
  <si>
    <t xml:space="preserve">TK_MaintITWarr_GB300</t>
  </si>
  <si>
    <t xml:space="preserve">Interface!I313:K313</t>
  </si>
  <si>
    <t xml:space="preserve">TK_MaintITWarr_VR200</t>
  </si>
  <si>
    <t xml:space="preserve">Interface!L313:N313</t>
  </si>
  <si>
    <t xml:space="preserve">TK_MaintITWarr_RU</t>
  </si>
  <si>
    <t xml:space="preserve">Interface!O313:Q313</t>
  </si>
  <si>
    <t xml:space="preserve">TK_MaintITPost_H100</t>
  </si>
  <si>
    <t xml:space="preserve">IF_MaintITPost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</si>
  <si>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 — 保固期滿後（＝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保固期滿後費率）</t>
    </r>
  </si>
  <si>
    <t xml:space="preserve">Interface!C314:E314</t>
  </si>
  <si>
    <t xml:space="preserve">TK_MaintITPost_GB200</t>
  </si>
  <si>
    <t xml:space="preserve">Interface!F314:H314</t>
  </si>
  <si>
    <t xml:space="preserve">TK_MaintITPost_GB300</t>
  </si>
  <si>
    <t xml:space="preserve">Interface!I314:K314</t>
  </si>
  <si>
    <t xml:space="preserve">TK_MaintITPost_VR200</t>
  </si>
  <si>
    <t xml:space="preserve">Interface!L314:N314</t>
  </si>
  <si>
    <t xml:space="preserve">TK_MaintITPost_RU</t>
  </si>
  <si>
    <t xml:space="preserve">Interface!O314:Q314</t>
  </si>
  <si>
    <t xml:space="preserve">TK_WarrantyYrs</t>
  </si>
  <si>
    <t xml:space="preserve">IF_WarrantyYrs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</si>
  <si>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原廠保固年限（單格；保固期內費率適用的年數）</t>
    </r>
  </si>
  <si>
    <t xml:space="preserve">Interface!C315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</si>
</sst>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0.00"/>
    <numFmt numFmtId="173" formatCode="#,##0.000;\(#,##0.000\);\-"/>
    <numFmt numFmtId="174" formatCode="0.000"/>
    <numFmt numFmtId="175" formatCode="@"/>
    <numFmt numFmtId="176" formatCode="#,##0.000"/>
    <numFmt numFmtId="177" formatCode="0.00%"/>
    <numFmt numFmtId="178" formatCode="0.0000%"/>
    <numFmt numFmtId="179" formatCode="0.000000"/>
    <numFmt numFmtId="180" formatCode="\+0.0%;\-0.0%"/>
    <numFmt numFmtId="181" formatCode="0.000%"/>
    <numFmt numFmtId="182" formatCode="0.00\x"/>
    <numFmt numFmtId="183" formatCode="0.0"/>
    <numFmt numFmtId="184" formatCode="0%"/>
    <numFmt numFmtId="185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1"/>
      <color theme="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 t="s">
        <v>30</v>
      </c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3" t="s">
        <v>31</v>
      </c>
    </row>
    <row r="40" customFormat="false" ht="15" hidden="false" customHeight="false" outlineLevel="0" collapsed="false">
      <c r="A40" s="3" t="s">
        <v>32</v>
      </c>
    </row>
    <row r="41" customFormat="false" ht="15" hidden="false" customHeight="false" outlineLevel="0" collapsed="false">
      <c r="A41" s="3" t="s">
        <v>33</v>
      </c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2" t="s">
        <v>34</v>
      </c>
    </row>
    <row r="44" customFormat="false" ht="15" hidden="false" customHeight="false" outlineLevel="0" collapsed="false">
      <c r="A44" s="3" t="s">
        <v>35</v>
      </c>
    </row>
    <row r="45" customFormat="false" ht="15" hidden="false" customHeight="false" outlineLevel="0" collapsed="false">
      <c r="A45" s="3" t="s">
        <v>36</v>
      </c>
    </row>
    <row r="46" customFormat="false" ht="15" hidden="false" customHeight="false" outlineLevel="0" collapsed="false">
      <c r="A46" s="4" t="s">
        <v>37</v>
      </c>
    </row>
    <row r="47" customFormat="false" ht="15" hidden="false" customHeight="false" outlineLevel="0" collapsed="false">
      <c r="A47" s="3"/>
    </row>
    <row r="48" customFormat="false" ht="15" hidden="false" customHeight="false" outlineLevel="0" collapsed="false">
      <c r="A48" s="2" t="s">
        <v>38</v>
      </c>
    </row>
    <row r="49" customFormat="false" ht="15" hidden="false" customHeight="false" outlineLevel="0" collapsed="false">
      <c r="A49" s="3" t="s">
        <v>39</v>
      </c>
    </row>
    <row r="50" customFormat="false" ht="15" hidden="false" customHeight="false" outlineLevel="0" collapsed="false">
      <c r="A50" s="4" t="s">
        <v>40</v>
      </c>
    </row>
    <row r="51" customFormat="false" ht="15" hidden="false" customHeight="false" outlineLevel="0" collapsed="false">
      <c r="A51" s="3" t="s">
        <v>41</v>
      </c>
    </row>
    <row r="52" customFormat="false" ht="15" hidden="false" customHeight="false" outlineLevel="0" collapsed="false">
      <c r="A52" s="3" t="s">
        <v>42</v>
      </c>
    </row>
    <row r="53" customFormat="false" ht="15" hidden="false" customHeight="false" outlineLevel="0" collapsed="false">
      <c r="A53" s="4" t="s">
        <v>43</v>
      </c>
    </row>
    <row r="54" customFormat="false" ht="15" hidden="false" customHeight="false" outlineLevel="0" collapsed="false">
      <c r="A54" s="4" t="s">
        <v>44</v>
      </c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2" t="s">
        <v>45</v>
      </c>
    </row>
    <row r="57" customFormat="false" ht="15" hidden="false" customHeight="false" outlineLevel="0" collapsed="false">
      <c r="A57" s="4" t="s">
        <v>46</v>
      </c>
    </row>
    <row r="58" customFormat="false" ht="15" hidden="false" customHeight="false" outlineLevel="0" collapsed="false">
      <c r="A58" s="3" t="s">
        <v>47</v>
      </c>
    </row>
    <row r="59" customFormat="false" ht="15" hidden="false" customHeight="false" outlineLevel="0" collapsed="false">
      <c r="A59" s="3" t="s">
        <v>48</v>
      </c>
    </row>
    <row r="60" customFormat="false" ht="15" hidden="false" customHeight="false" outlineLevel="0" collapsed="false">
      <c r="A60" s="3"/>
    </row>
    <row r="61" customFormat="false" ht="15" hidden="false" customHeight="false" outlineLevel="0" collapsed="false">
      <c r="A61" s="5" t="s">
        <v>49</v>
      </c>
    </row>
    <row r="62" customFormat="false" ht="15" hidden="false" customHeight="false" outlineLevel="0" collapsed="false">
      <c r="A62" s="4" t="s">
        <v>50</v>
      </c>
    </row>
    <row r="63" customFormat="false" ht="15" hidden="false" customHeight="false" outlineLevel="0" collapsed="false">
      <c r="A63" s="3" t="s">
        <v>51</v>
      </c>
    </row>
    <row r="64" customFormat="false" ht="15" hidden="false" customHeight="false" outlineLevel="0" collapsed="false">
      <c r="A64" s="4" t="s">
        <v>52</v>
      </c>
    </row>
    <row r="65" customFormat="false" ht="15" hidden="false" customHeight="false" outlineLevel="0" collapsed="false">
      <c r="A65" s="4" t="s">
        <v>53</v>
      </c>
    </row>
    <row r="66" customFormat="false" ht="15" hidden="false" customHeight="false" outlineLevel="0" collapsed="false">
      <c r="A66" s="4" t="s">
        <v>54</v>
      </c>
    </row>
    <row r="67" customFormat="false" ht="15" hidden="false" customHeight="false" outlineLevel="0" collapsed="false">
      <c r="A67" s="4" t="s">
        <v>55</v>
      </c>
    </row>
    <row r="68" customFormat="false" ht="15" hidden="false" customHeight="false" outlineLevel="0" collapsed="false">
      <c r="A68" s="3"/>
    </row>
    <row r="69" customFormat="false" ht="15" hidden="false" customHeight="false" outlineLevel="0" collapsed="false">
      <c r="A69" s="5" t="s">
        <v>56</v>
      </c>
    </row>
    <row r="70" customFormat="false" ht="15" hidden="false" customHeight="false" outlineLevel="0" collapsed="false">
      <c r="A70" s="3" t="s">
        <v>57</v>
      </c>
    </row>
    <row r="71" customFormat="false" ht="15" hidden="false" customHeight="false" outlineLevel="0" collapsed="false">
      <c r="A71" s="3" t="s">
        <v>58</v>
      </c>
    </row>
    <row r="72" customFormat="false" ht="15" hidden="false" customHeight="false" outlineLevel="0" collapsed="false">
      <c r="A72" s="3" t="s">
        <v>59</v>
      </c>
    </row>
    <row r="73" customFormat="false" ht="15" hidden="false" customHeight="false" outlineLevel="0" collapsed="false">
      <c r="A73" s="3"/>
    </row>
    <row r="74" customFormat="false" ht="15" hidden="false" customHeight="false" outlineLevel="0" collapsed="false">
      <c r="A74" s="5" t="s">
        <v>60</v>
      </c>
    </row>
    <row r="75" customFormat="false" ht="15" hidden="false" customHeight="false" outlineLevel="0" collapsed="false">
      <c r="A75" s="4" t="s">
        <v>61</v>
      </c>
    </row>
    <row r="76" customFormat="false" ht="15" hidden="false" customHeight="false" outlineLevel="0" collapsed="false">
      <c r="A76" s="3" t="s">
        <v>62</v>
      </c>
    </row>
    <row r="77" customFormat="false" ht="15" hidden="false" customHeight="false" outlineLevel="0" collapsed="false">
      <c r="A77" s="3" t="s">
        <v>63</v>
      </c>
    </row>
    <row r="78" customFormat="false" ht="15" hidden="false" customHeight="false" outlineLevel="0" collapsed="false">
      <c r="A78" s="3"/>
    </row>
    <row r="79" customFormat="false" ht="15" hidden="false" customHeight="false" outlineLevel="0" collapsed="false">
      <c r="A79" s="5" t="s">
        <v>64</v>
      </c>
    </row>
    <row r="80" customFormat="false" ht="15" hidden="false" customHeight="false" outlineLevel="0" collapsed="false">
      <c r="A80" s="3" t="s">
        <v>65</v>
      </c>
    </row>
    <row r="81" customFormat="false" ht="15" hidden="false" customHeight="false" outlineLevel="0" collapsed="false">
      <c r="A81" s="3" t="s">
        <v>66</v>
      </c>
    </row>
    <row r="82" customFormat="false" ht="15" hidden="false" customHeight="false" outlineLevel="0" collapsed="false">
      <c r="A82" s="4" t="s">
        <v>67</v>
      </c>
    </row>
    <row r="83" customFormat="false" ht="15" hidden="false" customHeight="false" outlineLevel="0" collapsed="false">
      <c r="A83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6" t="s">
        <v>69</v>
      </c>
    </row>
    <row r="2" customFormat="false" ht="15" hidden="false" customHeight="false" outlineLevel="0" collapsed="false">
      <c r="A2" s="7" t="str">
        <f aca="false">"模型端＝目前情境：" &amp; CHOOSE(輸入與假設!$C$5,"保守 4.2 GW","基準 5.6 GW","積極 8 GW") &amp; "（預設＝基準）；共識＝data/consensus_crwv_20260925.json（2026-09-25）"</f>
        <v>模型端＝目前情境：基準 5.6 GW（預設＝基準）；共識＝data/consensus_crwv_20260925.json（2026-09-25）</v>
      </c>
    </row>
    <row r="4" customFormat="false" ht="15" hidden="false" customHeight="false" outlineLevel="0" collapsed="false">
      <c r="A4" s="8" t="s">
        <v>70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3" t="s">
        <v>71</v>
      </c>
      <c r="C5" s="10" t="n">
        <f aca="false">評價_DCF與目標價!C57</f>
        <v>-1</v>
      </c>
    </row>
    <row r="6" customFormat="false" ht="15" hidden="false" customHeight="false" outlineLevel="1" collapsed="false">
      <c r="A6" s="3" t="s">
        <v>72</v>
      </c>
      <c r="C6" s="11" t="str">
        <f aca="false">CHOOSE(C5+2,"賣出","中立","買進")</f>
        <v>賣出</v>
      </c>
    </row>
    <row r="7" customFormat="false" ht="15" hidden="false" customHeight="false" outlineLevel="1" collapsed="false">
      <c r="A7" s="2" t="s">
        <v>73</v>
      </c>
      <c r="B7" s="12" t="s">
        <v>74</v>
      </c>
      <c r="C7" s="13" t="n">
        <f aca="false">評價_DCF與目標價!C48</f>
        <v>31.9865189051237</v>
      </c>
    </row>
    <row r="8" customFormat="false" ht="15" hidden="false" customHeight="false" outlineLevel="1" collapsed="false">
      <c r="A8" s="3" t="s">
        <v>75</v>
      </c>
      <c r="B8" s="12" t="s">
        <v>74</v>
      </c>
      <c r="C8" s="13" t="n">
        <f aca="false">輸入與假設!$C$213</f>
        <v>90.13</v>
      </c>
    </row>
    <row r="9" customFormat="false" ht="15" hidden="false" customHeight="false" outlineLevel="1" collapsed="false">
      <c r="A9" s="3" t="s">
        <v>76</v>
      </c>
      <c r="B9" s="12" t="s">
        <v>77</v>
      </c>
      <c r="C9" s="14" t="n">
        <f aca="false">C7/C8-1</f>
        <v>-0.645106857815115</v>
      </c>
    </row>
    <row r="10" customFormat="false" ht="15" hidden="false" customHeight="false" outlineLevel="1" collapsed="false">
      <c r="A10" s="3" t="s">
        <v>78</v>
      </c>
      <c r="B10" s="12" t="s">
        <v>74</v>
      </c>
      <c r="C10" s="13" t="n">
        <f aca="false">評價_DCF與目標價!C62</f>
        <v>14.7158090153289</v>
      </c>
      <c r="D10" s="13" t="n">
        <f aca="false">評價_DCF與目標價!D62</f>
        <v>42.7024438874061</v>
      </c>
    </row>
    <row r="11" customFormat="false" ht="15" hidden="false" customHeight="false" outlineLevel="1" collapsed="false">
      <c r="A11" s="3" t="s">
        <v>79</v>
      </c>
      <c r="B11" s="12" t="s">
        <v>74</v>
      </c>
      <c r="C11" s="13" t="n">
        <f aca="false">評價_DCF與目標價!C64</f>
        <v>19.7462033231064</v>
      </c>
      <c r="D11" s="13" t="n">
        <f aca="false">評價_DCF與目標價!D64</f>
        <v>31.9865189051237</v>
      </c>
    </row>
    <row r="12" customFormat="false" ht="15" hidden="false" customHeight="false" outlineLevel="1" collapsed="false">
      <c r="A12" s="3" t="s">
        <v>80</v>
      </c>
      <c r="B12" s="12" t="s">
        <v>74</v>
      </c>
      <c r="C12" s="13" t="n">
        <f aca="false">評價_DCF與目標價!$C$58</f>
        <v>76.6105</v>
      </c>
    </row>
    <row r="13" customFormat="false" ht="15" hidden="false" customHeight="false" outlineLevel="1" collapsed="false">
      <c r="A13" s="3" t="s">
        <v>81</v>
      </c>
      <c r="B13" s="12" t="s">
        <v>74</v>
      </c>
      <c r="C13" s="13" t="n">
        <f aca="false">C7-C12</f>
        <v>-44.6239810948763</v>
      </c>
    </row>
    <row r="14" customFormat="false" ht="15" hidden="false" customHeight="false" outlineLevel="1" collapsed="false">
      <c r="A14" s="2" t="s">
        <v>82</v>
      </c>
      <c r="C14" s="11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$"&amp;TEXT(ABS(C13),"0.0")&amp;"。"&amp;IF(評價_DCF與目標價!C29=1,"DCF：失效（以 0 計入）。","")</f>
        <v>賣出：點位 $32.0，較現價 $90.13 低 65%；情境區間 $14.7–$42.7，方法區間 $19.7–$32.0；點位低於賣出門檻 $76.6 達 $44.6。</v>
      </c>
    </row>
    <row r="15" customFormat="false" ht="15" hidden="false" customHeight="false" outlineLevel="1" collapsed="false">
      <c r="A15" s="3" t="s">
        <v>83</v>
      </c>
      <c r="C15" s="11" t="str">
        <f aca="false">評價_DCF與目標價!C70</f>
        <v>情境區間上緣 $42.7 低於現價 $90.13：賣出在三個擴張情境下都成立。</v>
      </c>
    </row>
    <row r="16" customFormat="false" ht="15" hidden="false" customHeight="false" outlineLevel="1" collapsed="false">
      <c r="A16" s="3" t="s">
        <v>84</v>
      </c>
      <c r="C16" s="11" t="str">
        <f aca="false">"每 MW（FY27）：年收入 $"&amp;TEXT(每MW經濟性!D8,"0.0")&amp;"m、現金成本 $"&amp;TEXT(每MW經濟性!D16,"0.0")&amp;"m（含租金 $"&amp;TEXT(每MW經濟性!D15,"0.0")&amp;"m）、EBITDA $"&amp;TEXT(每MW經濟性!D17,"0.0")&amp;"m；計費單價為 Tokenomics 經濟持有成本（含廠房資本回收的打平線）$"&amp;TEXT(每MW經濟性!D110,"0.0")&amp;"m 的 "&amp;TEXT(每MW經濟性!D111,"0.00")&amp;" 倍"&amp;IF(每MW經濟性!D111&lt;1,"，未回收全部持有成本","")&amp;"。"</f>
        <v>每 MW（FY27）：年收入 $8.7m、現金成本 $3.4m（含租金 $1.6m）、EBITDA $5.3m；計費單價為 Tokenomics 經濟持有成本（含廠房資本回收的打平線）$10.4m 的 0.90 倍，未回收全部持有成本。</v>
      </c>
      <c r="I16" s="7" t="s">
        <v>85</v>
      </c>
    </row>
    <row r="18" customFormat="false" ht="15" hidden="false" customHeight="false" outlineLevel="0" collapsed="false">
      <c r="A18" s="8" t="s">
        <v>86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15" t="s">
        <v>87</v>
      </c>
      <c r="B19" s="15" t="s">
        <v>88</v>
      </c>
      <c r="C19" s="16" t="s">
        <v>89</v>
      </c>
      <c r="D19" s="16" t="s">
        <v>90</v>
      </c>
      <c r="E19" s="16" t="s">
        <v>91</v>
      </c>
    </row>
    <row r="20" customFormat="false" ht="15" hidden="false" customHeight="false" outlineLevel="1" collapsed="false">
      <c r="A20" s="3" t="s">
        <v>92</v>
      </c>
      <c r="B20" s="12" t="s">
        <v>93</v>
      </c>
      <c r="C20" s="11" t="n">
        <f aca="false">損益!C26</f>
        <v>11.5476176117778</v>
      </c>
      <c r="D20" s="11" t="n">
        <f aca="false">損益!D26</f>
        <v>21.5968269467532</v>
      </c>
      <c r="E20" s="11" t="n">
        <f aca="false">損益!E26</f>
        <v>31.8088250207794</v>
      </c>
    </row>
    <row r="21" customFormat="false" ht="15" hidden="false" customHeight="false" outlineLevel="1" collapsed="false">
      <c r="A21" s="3" t="s">
        <v>94</v>
      </c>
      <c r="B21" s="12" t="s">
        <v>93</v>
      </c>
      <c r="C21" s="11" t="n">
        <f aca="false">輸入與假設!$C$307</f>
        <v>12.882</v>
      </c>
      <c r="D21" s="11" t="n">
        <f aca="false">輸入與假設!$D$307</f>
        <v>26.376</v>
      </c>
      <c r="E21" s="11" t="n">
        <f aca="false">輸入與假設!$E$307</f>
        <v>42.55</v>
      </c>
    </row>
    <row r="22" customFormat="false" ht="15" hidden="false" customHeight="false" outlineLevel="1" collapsed="false">
      <c r="A22" s="3" t="s">
        <v>95</v>
      </c>
      <c r="B22" s="12" t="s">
        <v>77</v>
      </c>
      <c r="C22" s="14" t="n">
        <f aca="false">C20/C21-1</f>
        <v>-0.103585032465627</v>
      </c>
      <c r="D22" s="14" t="n">
        <f aca="false">D20/D21-1</f>
        <v>-0.181194004141903</v>
      </c>
      <c r="E22" s="14" t="n">
        <f aca="false">E20/E21-1</f>
        <v>-0.25243654475254</v>
      </c>
    </row>
    <row r="23" customFormat="false" ht="15" hidden="false" customHeight="false" outlineLevel="1" collapsed="false">
      <c r="A23" s="3" t="s">
        <v>96</v>
      </c>
      <c r="B23" s="12" t="s">
        <v>93</v>
      </c>
      <c r="C23" s="11" t="n">
        <f aca="false">輸入與假設!$C$279+損益!C19</f>
        <v>6.74093505401801</v>
      </c>
      <c r="D23" s="11" t="n">
        <f aca="false">損益!D31</f>
        <v>13.0962322332869</v>
      </c>
      <c r="E23" s="11" t="n">
        <f aca="false">損益!E31</f>
        <v>20.2397611475271</v>
      </c>
    </row>
    <row r="24" customFormat="false" ht="15" hidden="false" customHeight="false" outlineLevel="1" collapsed="false">
      <c r="A24" s="3" t="s">
        <v>97</v>
      </c>
      <c r="B24" s="12" t="s">
        <v>93</v>
      </c>
      <c r="C24" s="11" t="n">
        <f aca="false">輸入與假設!$C$308</f>
        <v>7.574</v>
      </c>
      <c r="D24" s="11" t="n">
        <f aca="false">輸入與假設!$D$308</f>
        <v>16.656</v>
      </c>
      <c r="E24" s="11" t="n">
        <f aca="false">輸入與假設!$E$308</f>
        <v>28.857</v>
      </c>
    </row>
    <row r="25" customFormat="false" ht="15" hidden="false" customHeight="false" outlineLevel="1" collapsed="false">
      <c r="A25" s="3" t="s">
        <v>98</v>
      </c>
      <c r="B25" s="12" t="s">
        <v>77</v>
      </c>
      <c r="C25" s="14" t="n">
        <f aca="false">C23/C24-1</f>
        <v>-0.109990090570635</v>
      </c>
      <c r="D25" s="14" t="n">
        <f aca="false">D23/D24-1</f>
        <v>-0.213722848625908</v>
      </c>
      <c r="E25" s="14" t="n">
        <f aca="false">E23/E24-1</f>
        <v>-0.298618666267212</v>
      </c>
      <c r="I25" s="12" t="s">
        <v>99</v>
      </c>
    </row>
    <row r="26" customFormat="false" ht="15" hidden="false" customHeight="false" outlineLevel="1" collapsed="false">
      <c r="A26" s="3" t="s">
        <v>100</v>
      </c>
      <c r="B26" s="12" t="s">
        <v>93</v>
      </c>
      <c r="C26" s="11" t="n">
        <f aca="false">C23-C24</f>
        <v>-0.833064945981992</v>
      </c>
      <c r="D26" s="11" t="n">
        <f aca="false">D23-D24</f>
        <v>-3.55976776671312</v>
      </c>
      <c r="E26" s="11" t="n">
        <f aca="false">E23-E24</f>
        <v>-8.61723885247293</v>
      </c>
      <c r="I26" s="7" t="s">
        <v>101</v>
      </c>
    </row>
    <row r="27" customFormat="false" ht="15" hidden="false" customHeight="false" outlineLevel="1" collapsed="false">
      <c r="A27" s="3" t="s">
        <v>102</v>
      </c>
      <c r="B27" s="12" t="s">
        <v>77</v>
      </c>
      <c r="C27" s="14" t="n">
        <f aca="false">C23/C20</f>
        <v>0.583751149426935</v>
      </c>
      <c r="D27" s="14" t="n">
        <f aca="false">D23/D20</f>
        <v>0.606396127800419</v>
      </c>
      <c r="E27" s="14" t="n">
        <f aca="false">E23/E20</f>
        <v>0.636293894361242</v>
      </c>
    </row>
    <row r="28" customFormat="false" ht="15" hidden="false" customHeight="false" outlineLevel="1" collapsed="false">
      <c r="A28" s="3" t="s">
        <v>103</v>
      </c>
      <c r="B28" s="12" t="s">
        <v>77</v>
      </c>
      <c r="C28" s="14" t="n">
        <f aca="false">輸入與假設!$C$309</f>
        <v>0.588</v>
      </c>
      <c r="D28" s="14" t="n">
        <f aca="false">輸入與假設!$D$309</f>
        <v>0.632</v>
      </c>
      <c r="E28" s="14" t="n">
        <f aca="false">輸入與假設!$E$309</f>
        <v>0.678</v>
      </c>
    </row>
    <row r="29" customFormat="false" ht="15" hidden="false" customHeight="false" outlineLevel="1" collapsed="false">
      <c r="A29" s="3" t="s">
        <v>104</v>
      </c>
      <c r="B29" s="12" t="s">
        <v>105</v>
      </c>
      <c r="C29" s="14" t="n">
        <f aca="false">C27-C28</f>
        <v>-0.00424885057306501</v>
      </c>
      <c r="D29" s="14" t="n">
        <f aca="false">D27-D28</f>
        <v>-0.0256038721995808</v>
      </c>
      <c r="E29" s="14" t="n">
        <f aca="false">E27-E28</f>
        <v>-0.0417061056387577</v>
      </c>
      <c r="I29" s="12" t="s">
        <v>106</v>
      </c>
    </row>
    <row r="30" customFormat="false" ht="15" hidden="false" customHeight="false" outlineLevel="1" collapsed="false">
      <c r="A30" s="3" t="s">
        <v>107</v>
      </c>
      <c r="B30" s="12" t="s">
        <v>93</v>
      </c>
      <c r="C30" s="11" t="n">
        <f aca="false">輸入與假設!$C$263+輸入與假設!C$185</f>
        <v>35</v>
      </c>
      <c r="D30" s="11" t="n">
        <f aca="false">輸入與假設!D$185</f>
        <v>39.36304097</v>
      </c>
      <c r="E30" s="11" t="n">
        <f aca="false">輸入與假設!E$185</f>
        <v>32.51219448</v>
      </c>
    </row>
    <row r="31" customFormat="false" ht="15" hidden="false" customHeight="false" outlineLevel="1" collapsed="false">
      <c r="A31" s="3" t="s">
        <v>108</v>
      </c>
      <c r="B31" s="12" t="s">
        <v>93</v>
      </c>
      <c r="C31" s="11" t="n">
        <f aca="false">輸入與假設!$C$314</f>
        <v>35.953</v>
      </c>
      <c r="D31" s="11" t="n">
        <f aca="false">輸入與假設!$D$314</f>
        <v>46.476</v>
      </c>
      <c r="E31" s="11" t="n">
        <f aca="false">輸入與假設!$E$314</f>
        <v>50.129</v>
      </c>
    </row>
    <row r="32" customFormat="false" ht="15" hidden="false" customHeight="false" outlineLevel="1" collapsed="false">
      <c r="A32" s="3" t="s">
        <v>109</v>
      </c>
      <c r="B32" s="12" t="s">
        <v>77</v>
      </c>
      <c r="C32" s="14" t="n">
        <f aca="false">C30/C31-1</f>
        <v>-0.0265068283592469</v>
      </c>
      <c r="D32" s="14" t="n">
        <f aca="false">D30/D31-1</f>
        <v>-0.153045852267837</v>
      </c>
      <c r="E32" s="14" t="n">
        <f aca="false">E30/E31-1</f>
        <v>-0.351429422489976</v>
      </c>
      <c r="I32" s="7" t="s">
        <v>110</v>
      </c>
    </row>
    <row r="33" customFormat="false" ht="15" hidden="false" customHeight="false" outlineLevel="1" collapsed="false">
      <c r="A33" s="3" t="s">
        <v>111</v>
      </c>
      <c r="B33" s="12" t="s">
        <v>93</v>
      </c>
      <c r="C33" s="11" t="n">
        <f aca="false">資產負債_新債與新股!C22</f>
        <v>44.419180251278</v>
      </c>
      <c r="D33" s="11" t="n">
        <f aca="false">資產負債_新債與新股!D22</f>
        <v>74.819038146256</v>
      </c>
      <c r="E33" s="11" t="n">
        <f aca="false">資產負債_新債與新股!E22</f>
        <v>81.8860944066101</v>
      </c>
    </row>
    <row r="34" customFormat="false" ht="15" hidden="false" customHeight="false" outlineLevel="1" collapsed="false">
      <c r="A34" s="3" t="s">
        <v>112</v>
      </c>
      <c r="B34" s="12" t="s">
        <v>93</v>
      </c>
      <c r="C34" s="11" t="n">
        <f aca="false">輸入與假設!$C$316</f>
        <v>46.442</v>
      </c>
      <c r="D34" s="11" t="n">
        <f aca="false">輸入與假設!$D$316</f>
        <v>74.707</v>
      </c>
      <c r="E34" s="11" t="n">
        <f aca="false">輸入與假設!$E$316</f>
        <v>96.039</v>
      </c>
    </row>
    <row r="35" customFormat="false" ht="15" hidden="false" customHeight="false" outlineLevel="1" collapsed="false">
      <c r="A35" s="3" t="s">
        <v>113</v>
      </c>
      <c r="B35" s="12" t="s">
        <v>77</v>
      </c>
      <c r="C35" s="14" t="n">
        <f aca="false">C33/C34-1</f>
        <v>-0.0435558276715478</v>
      </c>
      <c r="D35" s="14" t="n">
        <f aca="false">D33/D34-1</f>
        <v>0.00149970078113149</v>
      </c>
      <c r="E35" s="14" t="n">
        <f aca="false">E33/E34-1</f>
        <v>-0.147366232399232</v>
      </c>
      <c r="I35" s="7" t="s">
        <v>114</v>
      </c>
    </row>
    <row r="36" customFormat="false" ht="15" hidden="false" customHeight="false" outlineLevel="1" collapsed="false">
      <c r="A36" s="3" t="s">
        <v>115</v>
      </c>
      <c r="B36" s="12" t="s">
        <v>93</v>
      </c>
      <c r="C36" s="11" t="n">
        <f aca="false">C33-C34</f>
        <v>-2.02281974872202</v>
      </c>
      <c r="D36" s="11" t="n">
        <f aca="false">D33-D34</f>
        <v>0.112038146255998</v>
      </c>
      <c r="E36" s="11" t="n">
        <f aca="false">E33-E34</f>
        <v>-14.1529055933899</v>
      </c>
      <c r="I36" s="7" t="s">
        <v>101</v>
      </c>
    </row>
    <row r="37" customFormat="false" ht="15" hidden="false" customHeight="false" outlineLevel="1" collapsed="false">
      <c r="A37" s="3" t="s">
        <v>116</v>
      </c>
      <c r="C37" s="11" t="str">
        <f aca="false">MID(IF(ABS(C22)&gt;輸入與假設!$C$349,"、營收 "&amp;IF(C22&lt;0,"−","+")&amp;TEXT(ABS(C22)*100,"0.0")&amp;"%","")&amp;IF(ABS(C25)&gt;輸入與假設!$C$349,"、EBITDA "&amp;IF(C26&lt;0,"−","+")&amp;"$"&amp;TEXT(ABS(C26),"#,##0.00")&amp;"bn"&amp;"／"&amp;IF(C29&lt;0,"−","+")&amp;TEXT(ABS(C29)*100,"0.0")&amp;"pt","")&amp;IF(ABS(C32)&gt;輸入與假設!$C$349,"、CapEx "&amp;IF(C32&lt;0,"−","+")&amp;TEXT(ABS(C32)*100,"0.0")&amp;"%",""),2,999)</f>
        <v>營收 −10.4%、EBITDA −$0.83bn／−0.4pt</v>
      </c>
      <c r="D37" s="11" t="str">
        <f aca="false">MID(IF(ABS(D22)&gt;輸入與假設!$C$349,"、營收 "&amp;IF(D22&lt;0,"−","+")&amp;TEXT(ABS(D22)*100,"0.0")&amp;"%","")&amp;IF(ABS(D25)&gt;輸入與假設!$C$349,"、EBITDA "&amp;IF(D26&lt;0,"−","+")&amp;"$"&amp;TEXT(ABS(D26),"#,##0.00")&amp;"bn"&amp;"／"&amp;IF(D29&lt;0,"−","+")&amp;TEXT(ABS(D29)*100,"0.0")&amp;"pt","")&amp;IF(ABS(D32)&gt;輸入與假設!$C$349,"、CapEx "&amp;IF(D32&lt;0,"−","+")&amp;TEXT(ABS(D32)*100,"0.0")&amp;"%",""),2,999)</f>
        <v>營收 −18.1%、EBITDA −$3.56bn／−2.6pt、CapEx −15.3%</v>
      </c>
      <c r="E37" s="11" t="str">
        <f aca="false">MID(IF(ABS(E22)&gt;輸入與假設!$C$349,"、營收 "&amp;IF(E22&lt;0,"−","+")&amp;TEXT(ABS(E22)*100,"0.0")&amp;"%","")&amp;IF(ABS(E25)&gt;輸入與假設!$C$349,"、EBITDA "&amp;IF(E26&lt;0,"−","+")&amp;"$"&amp;TEXT(ABS(E26),"#,##0.00")&amp;"bn"&amp;"／"&amp;IF(E29&lt;0,"−","+")&amp;TEXT(ABS(E29)*100,"0.0")&amp;"pt","")&amp;IF(ABS(E32)&gt;輸入與假設!$C$349,"、CapEx "&amp;IF(E32&lt;0,"−","+")&amp;TEXT(ABS(E32)*100,"0.0")&amp;"%",""),2,999)</f>
        <v>營收 −25.2%、EBITDA −$8.62bn／−4.2pt、CapEx −35.1%</v>
      </c>
      <c r="I37" s="7" t="s">
        <v>117</v>
      </c>
    </row>
    <row r="38" customFormat="false" ht="15" hidden="false" customHeight="false" outlineLevel="1" collapsed="false">
      <c r="A38" s="3" t="s">
        <v>118</v>
      </c>
      <c r="C38" s="10" t="n">
        <f aca="false">IF(C37&lt;&gt;"",1,IF(D37&lt;&gt;"",2,IF(E37&lt;&gt;"",3,0)))</f>
        <v>1</v>
      </c>
    </row>
    <row r="39" customFormat="false" ht="15" hidden="false" customHeight="false" outlineLevel="1" collapsed="false">
      <c r="A39" s="2" t="s">
        <v>119</v>
      </c>
      <c r="C39" s="11" t="str">
        <f aca="false">CHOOSE(C38+1,"FY26–FY28 營收、EBITDA、CapEx 與共識差距皆在 "&amp;IF(ROUND(ABS(輸入與假設!$C$349)*100,4)=INT(ROUND(ABS(輸入與假設!$C$349)*100,4)),TEXT(ROUND(ABS(輸入與假設!$C$349)*100,4),"0"),TEXT(ROUND(ABS(輸入與假設!$C$349)*100,4),"0.0"))&amp;"%"&amp;" 以內。","分歧始於 FY26（"&amp;C37&amp;"）"&amp;"；FY27 "&amp;IF(D37="","回到 "&amp;IF(ROUND(ABS(輸入與假設!$C$349)*100,4)=INT(ROUND(ABS(輸入與假設!$C$349)*100,4)),TEXT(ROUND(ABS(輸入與假設!$C$349)*100,4),"0"),TEXT(ROUND(ABS(輸入與假設!$C$349)*100,4),"0.0"))&amp;"%"&amp;" 以內",D37)&amp;"；FY28 "&amp;IF(E37="","回到 "&amp;IF(ROUND(ABS(輸入與假設!$C$349)*100,4)=INT(ROUND(ABS(輸入與假設!$C$349)*100,4)),TEXT(ROUND(ABS(輸入與假設!$C$349)*100,4),"0"),TEXT(ROUND(ABS(輸入與假設!$C$349)*100,4),"0.0"))&amp;"%"&amp;" 以內",E37)&amp;"。","FY26 營收、EBITDA、CapEx 與共識差距在 "&amp;IF(ROUND(ABS(輸入與假設!$C$349)*100,4)=INT(ROUND(ABS(輸入與假設!$C$349)*100,4)),TEXT(ROUND(ABS(輸入與假設!$C$349)*100,4),"0"),TEXT(ROUND(ABS(輸入與假設!$C$349)*100,4),"0.0"))&amp;"%"&amp;" 以內；分歧始於 FY27（"&amp;D37&amp;"）"&amp;"；FY28 "&amp;IF(E37="","回到 "&amp;IF(ROUND(ABS(輸入與假設!$C$349)*100,4)=INT(ROUND(ABS(輸入與假設!$C$349)*100,4)),TEXT(ROUND(ABS(輸入與假設!$C$349)*100,4),"0"),TEXT(ROUND(ABS(輸入與假設!$C$349)*100,4),"0.0"))&amp;"%"&amp;" 以內",E37)&amp;"。","FY26–FY27 營收、EBITDA、CapEx 與共識差距在 "&amp;IF(ROUND(ABS(輸入與假設!$C$349)*100,4)=INT(ROUND(ABS(輸入與假設!$C$349)*100,4)),TEXT(ROUND(ABS(輸入與假設!$C$349)*100,4),"0"),TEXT(ROUND(ABS(輸入與假設!$C$349)*100,4),"0.0"))&amp;"%"&amp;" 以內；分歧始於 FY28（"&amp;E37&amp;"）。")</f>
        <v>分歧始於 FY26（營收 −10.4%、EBITDA −$0.83bn／−0.4pt）；FY27 營收 −18.1%、EBITDA −$3.56bn／−2.6pt、CapEx −15.3%；FY28 營收 −25.2%、EBITDA −$8.62bn／−4.2pt、CapEx −35.1%。</v>
      </c>
    </row>
    <row r="40" customFormat="false" ht="15" hidden="false" customHeight="false" outlineLevel="1" collapsed="false">
      <c r="A40" s="3" t="s">
        <v>120</v>
      </c>
      <c r="C40" s="11" t="str">
        <f aca="false">IF(ABS(C22)&gt;輸入與假設!$C$349,"觀點","")</f>
        <v>觀點</v>
      </c>
      <c r="D40" s="11" t="str">
        <f aca="false">IF(ABS(C22)&gt;輸入與假設!$C$349,"營收依 Tokenomics 錨推導：在役世代 IF_HoldEcon（WACC 10% 打平租金）× 定價倍數 k（長約倍數 0.76，以市場長約價為證據；隨需占比 0%），不以公司 ARR 指引或 Q2 營收校準；營收差距 "&amp;IF((C22)&lt;0,"−","+")&amp;TEXT(ABS((C22))*100,"#,##0.0")&amp;"%","")</f>
        <v>營收依 Tokenomics 錨推導：在役世代 IF_HoldEcon（WACC 10% 打平租金）× 定價倍數 k（長約倍數 0.76，以市場長約價為證據；隨需占比 0%），不以公司 ARR 指引或 Q2 營收校準；營收差距 −10.4%</v>
      </c>
      <c r="I40" s="12" t="s">
        <v>121</v>
      </c>
    </row>
    <row r="41" customFormat="false" ht="15" hidden="false" customHeight="false" outlineLevel="1" collapsed="false">
      <c r="A41" s="3" t="s">
        <v>122</v>
      </c>
      <c r="C41" s="11" t="str">
        <f aca="false">IF(ABS(C29)&gt;輸入與假設!$C$350,"觀點","")</f>
        <v/>
      </c>
      <c r="D41" s="11" t="str">
        <f aca="false">IF(ABS(C29)&gt;輸入與假設!$C$350,"EBITDA 率 "&amp;IF((C27)&lt;0,"−","")&amp;TEXT(ABS((C27))*100,"#,##0.0")&amp;"%"&amp;" 對共識 "&amp;IF((C28)&lt;0,"−","")&amp;TEXT(ABS((C28))*100,"#,##0.0")&amp;"%"&amp;"：模型改為由下而上（Tokenomics 電費與維護 × 平均在役 MW＋管銷率，再扣租金），不含爬坡期閒置產能與未揭露成本；營收差距 "&amp;IF((C22)&lt;0,"−","+")&amp;TEXT(ABS((C22))*100,"#,##0.0")&amp;"%","")</f>
        <v/>
      </c>
    </row>
    <row r="42" customFormat="false" ht="15" hidden="false" customHeight="false" outlineLevel="1" collapsed="false">
      <c r="A42" s="3" t="s">
        <v>123</v>
      </c>
      <c r="C42" s="11" t="str">
        <f aca="false">IF(ABS(C32)&gt;輸入與假設!$C$349,"觀點","")</f>
        <v/>
      </c>
      <c r="D42" s="11" t="str">
        <f aca="false">IF(ABS(C32)&gt;輸入與假設!$C$349,"CapEx 依新增 MW 計算：新增 "&amp;IF((輸入與假設!C$178)&lt;0,"−","")&amp;TEXT(ABS((輸入與假設!C$178)),"#,##0")&amp;" MW × Tokenomics 每 MW $"&amp;IF((輸入與假設!C$168)&lt;0,"−","")&amp;TEXT(ABS((輸入與假設!C$168)),"#,##0")&amp;"m（IF_CapexIT × 新增世代，含次年預建）；共識口徑未揭露","")</f>
        <v/>
      </c>
    </row>
    <row r="43" customFormat="false" ht="15" hidden="false" customHeight="false" outlineLevel="1" collapsed="false">
      <c r="A43" s="3" t="s">
        <v>124</v>
      </c>
      <c r="C43" s="11" t="str">
        <f aca="false">IF(ABS(C35)&gt;輸入與假設!$C$349,"觀點","")</f>
        <v/>
      </c>
      <c r="D43" s="11" t="str">
        <f aca="false">IF(ABS(C35)&gt;輸入與假設!$C$349,"淨負債隨 CapEx 與融資需求而定（模型 CapEx 差距 "&amp;IF((C32)&lt;0,"−","+")&amp;TEXT(ABS((C32))*100,"#,##0.0")&amp;"%"&amp;"）；共識淨負債不含租賃、口徑未揭露","")</f>
        <v/>
      </c>
    </row>
    <row r="44" customFormat="false" ht="15" hidden="false" customHeight="false" outlineLevel="1" collapsed="false">
      <c r="A44" s="3" t="s">
        <v>125</v>
      </c>
      <c r="C44" s="11" t="str">
        <f aca="false">IF(ABS(D22)&gt;輸入與假設!$C$349,"觀點","")</f>
        <v>觀點</v>
      </c>
      <c r="D44" s="11" t="str">
        <f aca="false">IF(ABS(D22)&gt;輸入與假設!$C$349,"營收依 Tokenomics 錨推導：在役世代 IF_HoldEcon（WACC 10% 打平租金）× 定價倍數 k（長約倍數 0.76，以市場長約價為證據；隨需占比 0%），不以公司 ARR 指引或 Q2 營收校準；營收差距 "&amp;IF((D22)&lt;0,"−","+")&amp;TEXT(ABS((D22))*100,"#,##0.0")&amp;"%","")</f>
        <v>營收依 Tokenomics 錨推導：在役世代 IF_HoldEcon（WACC 10% 打平租金）× 定價倍數 k（長約倍數 0.76，以市場長約價為證據；隨需占比 0%），不以公司 ARR 指引或 Q2 營收校準；營收差距 −18.1%</v>
      </c>
    </row>
    <row r="45" customFormat="false" ht="15" hidden="false" customHeight="false" outlineLevel="1" collapsed="false">
      <c r="A45" s="3" t="s">
        <v>126</v>
      </c>
      <c r="C45" s="11" t="str">
        <f aca="false">IF(ABS(D29)&gt;輸入與假設!$C$350,"觀點","")</f>
        <v>觀點</v>
      </c>
      <c r="D45" s="11" t="str">
        <f aca="false">IF(ABS(D29)&gt;輸入與假設!$C$350,"EBITDA 率 "&amp;IF((D27)&lt;0,"−","")&amp;TEXT(ABS((D27))*100,"#,##0.0")&amp;"%"&amp;" 對共識 "&amp;IF((D28)&lt;0,"−","")&amp;TEXT(ABS((D28))*100,"#,##0.0")&amp;"%"&amp;"：模型改為由下而上（Tokenomics 電費與維護 × 平均在役 MW＋管銷率，再扣租金），不含爬坡期閒置產能與未揭露成本；營收差距 "&amp;IF((D22)&lt;0,"−","+")&amp;TEXT(ABS((D22))*100,"#,##0.0")&amp;"%","")</f>
        <v>EBITDA 率 60.6% 對共識 63.2%：模型改為由下而上（Tokenomics 電費與維護 × 平均在役 MW＋管銷率，再扣租金），不含爬坡期閒置產能與未揭露成本；營收差距 −18.1%</v>
      </c>
    </row>
    <row r="46" customFormat="false" ht="15" hidden="false" customHeight="false" outlineLevel="1" collapsed="false">
      <c r="A46" s="3" t="s">
        <v>127</v>
      </c>
      <c r="C46" s="11" t="str">
        <f aca="false">IF(ABS(D32)&gt;輸入與假設!$C$349,"觀點","")</f>
        <v>觀點</v>
      </c>
      <c r="D46" s="11" t="str">
        <f aca="false">IF(ABS(D32)&gt;輸入與假設!$C$349,"CapEx 依新增 MW 計算：新增 "&amp;IF((輸入與假設!D$178)&lt;0,"−","")&amp;TEXT(ABS((輸入與假設!D$178)),"#,##0")&amp;" MW × 每 MW $"&amp;IF((輸入與假設!D$168)&lt;0,"−","")&amp;TEXT(ABS((輸入與假設!D$168)),"#,##0")&amp;"m（含次年預建）；共識口徑未揭露","")</f>
        <v>CapEx 依新增 MW 計算：新增 1,250 MW × 每 MW $35m（含次年預建）；共識口徑未揭露</v>
      </c>
    </row>
    <row r="47" customFormat="false" ht="15" hidden="false" customHeight="false" outlineLevel="1" collapsed="false">
      <c r="A47" s="3" t="s">
        <v>128</v>
      </c>
      <c r="C47" s="11" t="str">
        <f aca="false">IF(ABS(D35)&gt;輸入與假設!$C$349,"觀點","")</f>
        <v/>
      </c>
      <c r="D47" s="11" t="str">
        <f aca="false">IF(ABS(D35)&gt;輸入與假設!$C$349,"淨負債隨 CapEx 與融資需求而定（模型 CapEx 差距 "&amp;IF((D32)&lt;0,"−","+")&amp;TEXT(ABS((D32))*100,"#,##0.0")&amp;"%"&amp;"）；共識淨負債不含租賃、口徑未揭露","")</f>
        <v/>
      </c>
    </row>
    <row r="48" customFormat="false" ht="15" hidden="false" customHeight="false" outlineLevel="1" collapsed="false">
      <c r="A48" s="3" t="s">
        <v>129</v>
      </c>
      <c r="C48" s="11" t="str">
        <f aca="false">IF(ABS(E22)&gt;輸入與假設!$C$349,"觀點","")</f>
        <v>觀點</v>
      </c>
      <c r="D48" s="11" t="str">
        <f aca="false">IF(ABS(E22)&gt;輸入與假設!$C$349,"營收依 Tokenomics 錨推導：在役世代 IF_HoldEcon（WACC 10% 打平租金）× 定價倍數 k（長約倍數 0.76，以市場長約價為證據；隨需占比 0%），不以公司 ARR 指引或 Q2 營收校準；營收差距 "&amp;IF((E22)&lt;0,"−","+")&amp;TEXT(ABS((E22))*100,"#,##0.0")&amp;"%","")</f>
        <v>營收依 Tokenomics 錨推導：在役世代 IF_HoldEcon（WACC 10% 打平租金）× 定價倍數 k（長約倍數 0.76，以市場長約價為證據；隨需占比 0%），不以公司 ARR 指引或 Q2 營收校準；營收差距 −25.2%</v>
      </c>
    </row>
    <row r="49" customFormat="false" ht="15" hidden="false" customHeight="false" outlineLevel="1" collapsed="false">
      <c r="A49" s="3" t="s">
        <v>130</v>
      </c>
      <c r="C49" s="11" t="str">
        <f aca="false">IF(ABS(E29)&gt;輸入與假設!$C$350,"觀點","")</f>
        <v>觀點</v>
      </c>
      <c r="D49" s="11" t="str">
        <f aca="false">IF(ABS(E29)&gt;輸入與假設!$C$350,"EBITDA 率 "&amp;IF((E27)&lt;0,"−","")&amp;TEXT(ABS((E27))*100,"#,##0.0")&amp;"%"&amp;" 對共識 "&amp;IF((E28)&lt;0,"−","")&amp;TEXT(ABS((E28))*100,"#,##0.0")&amp;"%"&amp;"：模型改為由下而上（Tokenomics 電費與維護 × 平均在役 MW＋管銷率，再扣租金），不含爬坡期閒置產能與未揭露成本；營收差距 "&amp;IF((E22)&lt;0,"−","+")&amp;TEXT(ABS((E22))*100,"#,##0.0")&amp;"%","")</f>
        <v>EBITDA 率 63.6% 對共識 67.8%：模型改為由下而上（Tokenomics 電費與維護 × 平均在役 MW＋管銷率，再扣租金），不含爬坡期閒置產能與未揭露成本；營收差距 −25.2%</v>
      </c>
    </row>
    <row r="50" customFormat="false" ht="15" hidden="false" customHeight="false" outlineLevel="1" collapsed="false">
      <c r="A50" s="3" t="s">
        <v>131</v>
      </c>
      <c r="C50" s="11" t="str">
        <f aca="false">IF(ABS(E32)&gt;輸入與假設!$C$349,"觀點","")</f>
        <v>觀點</v>
      </c>
      <c r="D50" s="11" t="str">
        <f aca="false">IF(ABS(E32)&gt;輸入與假設!$C$349,"CapEx 依新增 MW 計算：新增 "&amp;IF((輸入與假設!E$178)&lt;0,"−","")&amp;TEXT(ABS((輸入與假設!E$178)),"#,##0")&amp;" MW × 每 MW $"&amp;IF((輸入與假設!E$168)&lt;0,"−","")&amp;TEXT(ABS((輸入與假設!E$168)),"#,##0")&amp;"m（含次年預建）；共識口徑未揭露","")</f>
        <v>CapEx 依新增 MW 計算：新增 900 MW × 每 MW $38m（含次年預建）；共識口徑未揭露</v>
      </c>
    </row>
    <row r="51" customFormat="false" ht="15" hidden="false" customHeight="false" outlineLevel="1" collapsed="false">
      <c r="A51" s="3" t="s">
        <v>132</v>
      </c>
      <c r="C51" s="11" t="str">
        <f aca="false">IF(ABS(E35)&gt;輸入與假設!$C$349,"觀點","")</f>
        <v>觀點</v>
      </c>
      <c r="D51" s="11" t="str">
        <f aca="false">IF(ABS(E35)&gt;輸入與假設!$C$349,"淨負債隨 CapEx 與融資需求而定（模型 CapEx 差距 "&amp;IF((E32)&lt;0,"−","+")&amp;TEXT(ABS((E32))*100,"#,##0.0")&amp;"%"&amp;"）；共識淨負債不含租賃、口徑未揭露","")</f>
        <v>淨負債隨 CapEx 與融資需求而定（模型 CapEx 差距 −35.1%）；共識淨負債不含租賃、口徑未揭露</v>
      </c>
    </row>
    <row r="52" customFormat="false" ht="15" hidden="false" customHeight="false" outlineLevel="1" collapsed="false">
      <c r="A52" s="3" t="s">
        <v>133</v>
      </c>
      <c r="C52" s="10" t="n">
        <f aca="false">SUMPRODUCT(--(ABS(C22:E22)&gt;輸入與假設!$C$349))+SUMPRODUCT(--(ABS(C29:E29)&gt;輸入與假設!$C$350))+SUMPRODUCT(--(ABS(C32:E32)&gt;輸入與假設!$C$349))+SUMPRODUCT(--(ABS(C35:E35)&gt;輸入與假設!$C$349))</f>
        <v>8</v>
      </c>
      <c r="I52" s="7" t="s">
        <v>134</v>
      </c>
    </row>
    <row r="53" customFormat="false" ht="15" hidden="false" customHeight="false" outlineLevel="1" collapsed="false">
      <c r="A53" s="3" t="s">
        <v>135</v>
      </c>
      <c r="C53" s="11" t="str">
        <f aca="false">IF(C52=0,"","需附原因的 "&amp;C52&amp;" 項差距："&amp;MID(IF((COUNTIF(C40,"觀點")+COUNTIF(C41,"觀點")+COUNTIF(C42,"觀點")+COUNTIF(C43,"觀點")+COUNTIF(C44,"觀點")+COUNTIF(C45,"觀點")+COUNTIF(C46,"觀點")+COUNTIF(C47,"觀點")+COUNTIF(C48,"觀點")+COUNTIF(C49,"觀點")+COUNTIF(C50,"觀點")+COUNTIF(C51,"觀點"))&gt;0,"、觀點 "&amp;(COUNTIF(C40,"觀點")+COUNTIF(C41,"觀點")+COUNTIF(C42,"觀點")+COUNTIF(C43,"觀點")+COUNTIF(C44,"觀點")+COUNTIF(C45,"觀點")+COUNTIF(C46,"觀點")+COUNTIF(C47,"觀點")+COUNTIF(C48,"觀點")+COUNTIF(C49,"觀點")+COUNTIF(C50,"觀點")+COUNTIF(C51,"觀點"))&amp;" 項","")&amp;IF((COUNTIF(C40,"拆法")+COUNTIF(C41,"拆法")+COUNTIF(C42,"拆法")+COUNTIF(C43,"拆法")+COUNTIF(C44,"拆法")+COUNTIF(C45,"拆法")+COUNTIF(C46,"拆法")+COUNTIF(C47,"拆法")+COUNTIF(C48,"拆法")+COUNTIF(C49,"拆法")+COUNTIF(C50,"拆法")+COUNTIF(C51,"拆法"))&gt;0,"、拆法 "&amp;(COUNTIF(C40,"拆法")+COUNTIF(C41,"拆法")+COUNTIF(C42,"拆法")+COUNTIF(C43,"拆法")+COUNTIF(C44,"拆法")+COUNTIF(C45,"拆法")+COUNTIF(C46,"拆法")+COUNTIF(C47,"拆法")+COUNTIF(C48,"拆法")+COUNTIF(C49,"拆法")+COUNTIF(C50,"拆法")+COUNTIF(C51,"拆法"))&amp;" 項","")&amp;IF(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gt;0,"、已知限制 "&amp;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amp;" 項","")&amp;IF(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gt;0,"、未歸類 "&amp;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amp;" 項",""),2,999)&amp;"；原因見「損益與評價 → 市場共識」。")</f>
        <v>需附原因的 8 項差距：觀點 8 項；原因見「損益與評價 → 市場共識」。</v>
      </c>
      <c r="I53" s="7" t="s">
        <v>136</v>
      </c>
    </row>
    <row r="55" customFormat="false" ht="15" hidden="false" customHeight="false" outlineLevel="0" collapsed="false">
      <c r="A55" s="8" t="s">
        <v>137</v>
      </c>
      <c r="B55" s="9"/>
      <c r="C55" s="9"/>
      <c r="D55" s="9"/>
      <c r="E55" s="9"/>
      <c r="F55" s="9"/>
      <c r="G55" s="9"/>
      <c r="H55" s="9"/>
    </row>
    <row r="56" customFormat="false" ht="15" hidden="false" customHeight="false" outlineLevel="1" collapsed="false">
      <c r="A56" s="3" t="s">
        <v>138</v>
      </c>
      <c r="B56" s="12" t="s">
        <v>139</v>
      </c>
      <c r="C56" s="17" t="n">
        <f aca="false">(輸入與假設!$C$290*輸入與假設!$C$214+輸入與假設!$E$316)/輸入與假設!$E$308</f>
        <v>6.19241327927366</v>
      </c>
      <c r="I56" s="7" t="s">
        <v>140</v>
      </c>
    </row>
    <row r="57" customFormat="false" ht="15" hidden="false" customHeight="false" outlineLevel="1" collapsed="false">
      <c r="A57" s="3" t="s">
        <v>141</v>
      </c>
      <c r="B57" s="12" t="s">
        <v>139</v>
      </c>
      <c r="C57" s="17" t="n">
        <f aca="false">(輸入與假設!$C$213*輸入與假設!$C$214+輸入與假設!$E$316)/輸入與假設!$E$308</f>
        <v>5.16149669057768</v>
      </c>
      <c r="I57" s="7" t="s">
        <v>142</v>
      </c>
    </row>
    <row r="58" customFormat="false" ht="15" hidden="false" customHeight="false" outlineLevel="1" collapsed="false">
      <c r="A58" s="3" t="s">
        <v>143</v>
      </c>
      <c r="B58" s="12" t="s">
        <v>139</v>
      </c>
      <c r="C58" s="17" t="n">
        <f aca="false">MAX(輸入與假設!$C$227,輸入與假設!$C$228)</f>
        <v>6</v>
      </c>
      <c r="I58" s="7" t="s">
        <v>144</v>
      </c>
    </row>
    <row r="59" customFormat="false" ht="15" hidden="false" customHeight="false" outlineLevel="1" collapsed="false">
      <c r="A59" s="2" t="s">
        <v>145</v>
      </c>
      <c r="C59" s="11" t="str">
        <f aca="false">"共識平均目標價 $"&amp;TEXT(輸入與假設!$C$290,"0.00")&amp;" 隱含 FY28 EV/EBITDA "&amp;TEXT(C56,"0.0")&amp;"x，"&amp;IF(ROUND(C56,1)&gt;C58,"高於",IF(ROUND(C56,1)&lt;C58,"低於","等於"))&amp;"模型方法區間上緣 "&amp;IF(C58=INT(C58),TEXT(C58,"0"),TEXT(C58,"0.0"))&amp;"x；現價 $"&amp;TEXT(輸入與假設!$C$213,"0.00")&amp;" 隱含 "&amp;TEXT(C57,"0.0")&amp;"x。"</f>
        <v>共識平均目標價 $140.81 隱含 FY28 EV/EBITDA 6.2x，高於模型方法區間上緣 6x；現價 $90.13 隱含 5.2x。</v>
      </c>
    </row>
    <row r="60" customFormat="false" ht="15" hidden="false" customHeight="false" outlineLevel="1" collapsed="false">
      <c r="A60" s="3" t="s">
        <v>146</v>
      </c>
      <c r="C60" s="18" t="n">
        <f aca="false">評價_反向DCF!B18</f>
        <v>10.2123</v>
      </c>
      <c r="D60" s="18" t="n">
        <f aca="false">評價_反向DCF!C18</f>
        <v>15.1438</v>
      </c>
      <c r="E60" s="14" t="n">
        <f aca="false">評價_反向DCF!D18</f>
        <v>0.4829</v>
      </c>
      <c r="I60" s="7" t="s">
        <v>147</v>
      </c>
    </row>
    <row r="61" customFormat="false" ht="15" hidden="false" customHeight="false" outlineLevel="1" collapsed="false">
      <c r="A61" s="3" t="s">
        <v>148</v>
      </c>
      <c r="C61" s="18" t="n">
        <f aca="false">評價_反向DCF!B19</f>
        <v>37.5864</v>
      </c>
      <c r="D61" s="18" t="n">
        <f aca="false">評價_反向DCF!C19</f>
        <v>17.463</v>
      </c>
      <c r="E61" s="14" t="n">
        <f aca="false">評價_反向DCF!D19</f>
        <v>-0.5354</v>
      </c>
    </row>
    <row r="62" customFormat="false" ht="15" hidden="false" customHeight="false" outlineLevel="1" collapsed="false">
      <c r="A62" s="3" t="s">
        <v>149</v>
      </c>
      <c r="C62" s="14" t="n">
        <f aca="false">評價_反向DCF!B20</f>
        <v>0.6287</v>
      </c>
      <c r="D62" s="14" t="n">
        <f aca="false">評價_反向DCF!C20</f>
        <v>0.9317</v>
      </c>
      <c r="E62" s="14" t="n">
        <f aca="false">評價_反向DCF!D20</f>
        <v>0.303</v>
      </c>
    </row>
    <row r="63" customFormat="false" ht="15" hidden="false" customHeight="false" outlineLevel="1" collapsed="false">
      <c r="A63" s="3" t="s">
        <v>150</v>
      </c>
      <c r="C63" s="18" t="n">
        <f aca="false">評價_反向DCF!B21</f>
        <v>10.2123</v>
      </c>
      <c r="D63" s="18" t="n">
        <f aca="false">評價_反向DCF!C21</f>
        <v>13.2972</v>
      </c>
      <c r="E63" s="14" t="n">
        <f aca="false">評價_反向DCF!D21</f>
        <v>0.3021</v>
      </c>
    </row>
    <row r="65" customFormat="false" ht="15" hidden="false" customHeight="false" outlineLevel="0" collapsed="false">
      <c r="A65" s="8" t="s">
        <v>151</v>
      </c>
      <c r="B65" s="9"/>
      <c r="C65" s="9"/>
      <c r="D65" s="9"/>
      <c r="E65" s="9"/>
      <c r="F65" s="9"/>
      <c r="G65" s="9"/>
      <c r="H65" s="9"/>
    </row>
    <row r="66" customFormat="false" ht="15" hidden="false" customHeight="false" outlineLevel="1" collapsed="false">
      <c r="A66" s="3" t="s">
        <v>152</v>
      </c>
      <c r="C66" s="11" t="str">
        <f aca="false">季度追蹤!C12</f>
        <v>Q3'26</v>
      </c>
      <c r="I66" s="7" t="s">
        <v>153</v>
      </c>
    </row>
    <row r="67" customFormat="false" ht="15" hidden="false" customHeight="false" outlineLevel="1" collapsed="false">
      <c r="A67" s="3" t="s">
        <v>154</v>
      </c>
      <c r="B67" s="12" t="s">
        <v>93</v>
      </c>
      <c r="C67" s="11" t="n">
        <f aca="false">季度追蹤!C6</f>
        <v>3.15653920392593</v>
      </c>
      <c r="D67" s="11" t="n">
        <f aca="false">季度追蹤!D6</f>
        <v>3.541</v>
      </c>
      <c r="E67" s="11" t="n">
        <f aca="false">季度追蹤!F6</f>
        <v>3.45</v>
      </c>
      <c r="F67" s="11" t="n">
        <f aca="false">季度追蹤!G6</f>
        <v>3.6</v>
      </c>
      <c r="G67" s="11" t="str">
        <f aca="false">季度追蹤!I6</f>
        <v>待公布</v>
      </c>
      <c r="I67" s="7" t="s">
        <v>155</v>
      </c>
    </row>
    <row r="68" customFormat="false" ht="15" hidden="false" customHeight="false" outlineLevel="1" collapsed="false">
      <c r="A68" s="2" t="s">
        <v>156</v>
      </c>
      <c r="C68" s="11" t="str">
        <f aca="false">INDEX(季度追蹤!$C$139:$H$139,輸入與假設!$C$355)</f>
        <v>營收：模型 $3.16bn｜共識 $3.54bn（−10.9%）｜指引 $3.45–3.60bn（中點 −10.5%，低於下緣）〔觀點〕</v>
      </c>
    </row>
    <row r="69" customFormat="false" ht="15" hidden="false" customHeight="false" outlineLevel="1" collapsed="false">
      <c r="A69" s="3" t="s">
        <v>157</v>
      </c>
      <c r="B69" s="12" t="s">
        <v>93</v>
      </c>
      <c r="C69" s="11" t="n">
        <f aca="false">季度追蹤!C9</f>
        <v>-0.287151456914161</v>
      </c>
      <c r="D69" s="11" t="str">
        <f aca="false">季度追蹤!D9</f>
        <v>不適用</v>
      </c>
      <c r="E69" s="11" t="n">
        <f aca="false">季度追蹤!F9</f>
        <v>0.2</v>
      </c>
      <c r="F69" s="11" t="n">
        <f aca="false">季度追蹤!G9</f>
        <v>0.26</v>
      </c>
      <c r="G69" s="11" t="str">
        <f aca="false">季度追蹤!I9</f>
        <v>待公布</v>
      </c>
      <c r="I69" s="7" t="s">
        <v>155</v>
      </c>
    </row>
    <row r="70" customFormat="false" ht="15" hidden="false" customHeight="false" outlineLevel="1" collapsed="false">
      <c r="A70" s="2" t="s">
        <v>158</v>
      </c>
      <c r="C70" s="11" t="str">
        <f aca="false">INDEX(季度追蹤!$C$142:$H$142,輸入與假設!$C$355)</f>
        <v>調整後營業利益：模型 −$0.29bn｜指引 $0.20–0.26bn（中點 −$0.52bn／−15.6pt，低於下緣）〔已知限制〕</v>
      </c>
    </row>
    <row r="71" customFormat="false" ht="15" hidden="false" customHeight="false" outlineLevel="1" collapsed="false">
      <c r="A71" s="3" t="s">
        <v>159</v>
      </c>
      <c r="B71" s="12" t="s">
        <v>93</v>
      </c>
      <c r="C71" s="11" t="n">
        <f aca="false">季度追蹤!C10</f>
        <v>12.5</v>
      </c>
      <c r="D71" s="11" t="str">
        <f aca="false">季度追蹤!D10</f>
        <v>不適用</v>
      </c>
      <c r="E71" s="11" t="n">
        <f aca="false">季度追蹤!F10</f>
        <v>11.5</v>
      </c>
      <c r="F71" s="11" t="n">
        <f aca="false">季度追蹤!G10</f>
        <v>13.5</v>
      </c>
      <c r="G71" s="11" t="str">
        <f aca="false">季度追蹤!I10</f>
        <v>待公布</v>
      </c>
      <c r="I71" s="7" t="s">
        <v>155</v>
      </c>
    </row>
    <row r="72" customFormat="false" ht="15" hidden="false" customHeight="false" outlineLevel="1" collapsed="false">
      <c r="A72" s="2" t="s">
        <v>160</v>
      </c>
      <c r="C72" s="11" t="str">
        <f aca="false">INDEX(季度追蹤!$C$143:$H$143,輸入與假設!$C$355)</f>
        <v>CapEx（毛額）：模型 $12.50bn｜指引 $11.50–13.50bn（中點 +0.0%，區間上半部）</v>
      </c>
    </row>
    <row r="73" customFormat="false" ht="15" hidden="false" customHeight="false" outlineLevel="1" collapsed="false">
      <c r="A73" s="3" t="s">
        <v>161</v>
      </c>
      <c r="B73" s="7" t="s">
        <v>162</v>
      </c>
      <c r="C73" s="10" t="n">
        <f aca="false">輸入與假設!$C$300</f>
        <v>21</v>
      </c>
      <c r="D73" s="10" t="n">
        <f aca="false">輸入與假設!$C$301</f>
        <v>7</v>
      </c>
      <c r="E73" s="10" t="n">
        <f aca="false">輸入與假設!$C$302</f>
        <v>9</v>
      </c>
      <c r="F73" s="10" t="n">
        <f aca="false">輸入與假設!$C$303</f>
        <v>1</v>
      </c>
      <c r="G73" s="10" t="n">
        <f aca="false">輸入與假設!$C$304</f>
        <v>2</v>
      </c>
      <c r="I73" s="12" t="s">
        <v>163</v>
      </c>
    </row>
    <row r="74" customFormat="false" ht="15" hidden="false" customHeight="false" outlineLevel="1" collapsed="false">
      <c r="A74" s="3" t="s">
        <v>164</v>
      </c>
      <c r="B74" s="12" t="s">
        <v>74</v>
      </c>
      <c r="C74" s="13" t="n">
        <f aca="false">輸入與假設!$C$290</f>
        <v>140.81</v>
      </c>
      <c r="D74" s="13" t="n">
        <f aca="false">輸入與假設!$C$291</f>
        <v>140</v>
      </c>
      <c r="E74" s="13" t="n">
        <f aca="false">輸入與假設!$C$292</f>
        <v>39</v>
      </c>
      <c r="F74" s="13" t="n">
        <f aca="false">輸入與假設!$C$293</f>
        <v>317</v>
      </c>
      <c r="I74" s="12" t="s">
        <v>165</v>
      </c>
    </row>
    <row r="75" customFormat="false" ht="15" hidden="false" customHeight="false" outlineLevel="1" collapsed="false"/>
    <row r="76" customFormat="false" ht="15" hidden="false" customHeight="false" outlineLevel="1" collapsed="false">
      <c r="A76" s="7" t="s">
        <v>166</v>
      </c>
    </row>
    <row r="77" customFormat="false" ht="15" hidden="false" customHeight="false" outlineLevel="1" collapsed="false">
      <c r="A77" s="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3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6" t="s">
        <v>168</v>
      </c>
    </row>
    <row r="2" customFormat="false" ht="15" hidden="false" customHeight="false" outlineLevel="0" collapsed="false">
      <c r="A2" s="12" t="s">
        <v>169</v>
      </c>
    </row>
    <row r="4" customFormat="false" ht="15" hidden="false" customHeight="false" outlineLevel="0" collapsed="false">
      <c r="A4" s="8" t="s">
        <v>170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2" t="s">
        <v>171</v>
      </c>
      <c r="C5" s="19" t="n">
        <v>2</v>
      </c>
      <c r="D5" s="2" t="str">
        <f aca="false">CHOOSE(C5,"保守 4.2 GW","基準 5.6 GW","積極 8 GW")</f>
        <v>基準 5.6 GW</v>
      </c>
      <c r="I5" s="7" t="s">
        <v>172</v>
      </c>
    </row>
    <row r="6" customFormat="false" ht="15" hidden="false" customHeight="false" outlineLevel="1" collapsed="false">
      <c r="A6" s="20" t="s">
        <v>173</v>
      </c>
      <c r="B6" s="21"/>
      <c r="C6" s="21"/>
      <c r="D6" s="21"/>
      <c r="E6" s="21"/>
      <c r="F6" s="21"/>
      <c r="G6" s="21"/>
      <c r="H6" s="21"/>
    </row>
    <row r="7" customFormat="false" ht="17.15" hidden="false" customHeight="false" outlineLevel="2" collapsed="false">
      <c r="A7" s="16" t="s">
        <v>174</v>
      </c>
      <c r="B7" s="15" t="s">
        <v>88</v>
      </c>
      <c r="C7" s="16" t="s">
        <v>89</v>
      </c>
      <c r="D7" s="16" t="s">
        <v>90</v>
      </c>
      <c r="E7" s="16" t="s">
        <v>91</v>
      </c>
      <c r="F7" s="16" t="s">
        <v>175</v>
      </c>
      <c r="G7" s="16" t="s">
        <v>176</v>
      </c>
      <c r="I7" s="16" t="s">
        <v>177</v>
      </c>
    </row>
    <row r="8" customFormat="false" ht="15" hidden="false" customHeight="false" outlineLevel="2" collapsed="false">
      <c r="A8" s="3" t="s">
        <v>178</v>
      </c>
      <c r="B8" s="12" t="s">
        <v>179</v>
      </c>
      <c r="C8" s="22" t="n">
        <v>1850</v>
      </c>
      <c r="D8" s="22" t="n">
        <v>3100</v>
      </c>
      <c r="E8" s="22" t="n">
        <v>3800</v>
      </c>
      <c r="F8" s="22" t="n">
        <v>4200</v>
      </c>
      <c r="G8" s="22" t="n">
        <v>4200</v>
      </c>
      <c r="I8" s="22" t="n">
        <v>0</v>
      </c>
      <c r="J8" s="7" t="s">
        <v>180</v>
      </c>
    </row>
    <row r="9" customFormat="false" ht="15" hidden="false" customHeight="false" outlineLevel="2" collapsed="false">
      <c r="A9" s="3" t="s">
        <v>181</v>
      </c>
      <c r="B9" s="12" t="s">
        <v>179</v>
      </c>
      <c r="C9" s="22" t="n">
        <v>1850</v>
      </c>
      <c r="D9" s="22" t="n">
        <v>3100</v>
      </c>
      <c r="E9" s="22" t="n">
        <v>4000</v>
      </c>
      <c r="F9" s="22" t="n">
        <v>4800</v>
      </c>
      <c r="G9" s="22" t="n">
        <v>5600</v>
      </c>
      <c r="I9" s="22" t="n">
        <v>500</v>
      </c>
      <c r="J9" s="12" t="s">
        <v>182</v>
      </c>
    </row>
    <row r="10" customFormat="false" ht="15" hidden="false" customHeight="false" outlineLevel="2" collapsed="false">
      <c r="A10" s="3" t="s">
        <v>183</v>
      </c>
      <c r="B10" s="12" t="s">
        <v>179</v>
      </c>
      <c r="C10" s="22" t="n">
        <v>1850</v>
      </c>
      <c r="D10" s="22" t="n">
        <v>3100</v>
      </c>
      <c r="E10" s="22" t="n">
        <v>4600</v>
      </c>
      <c r="F10" s="22" t="n">
        <v>6300</v>
      </c>
      <c r="G10" s="22" t="n">
        <v>8000</v>
      </c>
      <c r="I10" s="22" t="n">
        <v>1000</v>
      </c>
      <c r="J10" s="7" t="s">
        <v>184</v>
      </c>
    </row>
    <row r="11" customFormat="false" ht="15" hidden="false" customHeight="false" outlineLevel="2" collapsed="false">
      <c r="A11" s="4" t="s">
        <v>185</v>
      </c>
      <c r="B11" s="12" t="s">
        <v>77</v>
      </c>
      <c r="C11" s="23" t="n">
        <v>0.918918918918919</v>
      </c>
      <c r="D11" s="23" t="n">
        <v>0.935483870967742</v>
      </c>
      <c r="E11" s="23" t="n">
        <v>0.934782608695652</v>
      </c>
      <c r="F11" s="23" t="n">
        <v>0.936507936507937</v>
      </c>
      <c r="G11" s="23" t="n">
        <v>0.9375</v>
      </c>
      <c r="I11" s="7" t="s">
        <v>186</v>
      </c>
    </row>
    <row r="12" customFormat="false" ht="15" hidden="false" customHeight="false" outlineLevel="2" collapsed="false">
      <c r="A12" s="3" t="s">
        <v>187</v>
      </c>
      <c r="B12" s="12" t="s">
        <v>93</v>
      </c>
      <c r="C12" s="24" t="n">
        <v>0.3</v>
      </c>
      <c r="D12" s="24" t="n">
        <v>1.6</v>
      </c>
      <c r="E12" s="24" t="n">
        <v>3</v>
      </c>
      <c r="F12" s="24" t="n">
        <v>4</v>
      </c>
      <c r="G12" s="24" t="n">
        <v>4.6</v>
      </c>
      <c r="I12" s="7" t="s">
        <v>188</v>
      </c>
    </row>
    <row r="13" customFormat="false" ht="15" hidden="false" customHeight="false" outlineLevel="2" collapsed="false">
      <c r="A13" s="3" t="s">
        <v>189</v>
      </c>
      <c r="B13" s="12" t="s">
        <v>179</v>
      </c>
      <c r="C13" s="22" t="n">
        <v>1500</v>
      </c>
      <c r="I13" s="12" t="s">
        <v>190</v>
      </c>
    </row>
    <row r="14" customFormat="false" ht="15" hidden="false" customHeight="false" outlineLevel="0" collapsed="false">
      <c r="A14" s="8" t="s">
        <v>191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4" t="s">
        <v>192</v>
      </c>
      <c r="B15" s="12" t="s">
        <v>93</v>
      </c>
      <c r="C15" s="25" t="n">
        <v>103.7</v>
      </c>
      <c r="I15" s="12" t="s">
        <v>193</v>
      </c>
    </row>
    <row r="16" customFormat="false" ht="15" hidden="false" customHeight="false" outlineLevel="1" collapsed="false">
      <c r="A16" s="4" t="s">
        <v>194</v>
      </c>
      <c r="B16" s="12" t="s">
        <v>93</v>
      </c>
      <c r="C16" s="24" t="n">
        <v>25</v>
      </c>
      <c r="I16" s="7" t="s">
        <v>195</v>
      </c>
    </row>
    <row r="17" customFormat="false" ht="15" hidden="false" customHeight="false" outlineLevel="1" collapsed="false">
      <c r="A17" s="3" t="s">
        <v>196</v>
      </c>
      <c r="B17" s="12" t="s">
        <v>77</v>
      </c>
      <c r="C17" s="26" t="n">
        <v>0.84</v>
      </c>
      <c r="I17" s="12" t="s">
        <v>197</v>
      </c>
    </row>
    <row r="18" customFormat="false" ht="15" hidden="false" customHeight="false" outlineLevel="1" collapsed="false">
      <c r="A18" s="4" t="s">
        <v>198</v>
      </c>
      <c r="B18" s="12" t="s">
        <v>77</v>
      </c>
      <c r="C18" s="23" t="n">
        <v>0.84</v>
      </c>
      <c r="I18" s="7" t="s">
        <v>199</v>
      </c>
    </row>
    <row r="19" customFormat="false" ht="15" hidden="false" customHeight="false" outlineLevel="1" collapsed="false">
      <c r="A19" s="4" t="s">
        <v>200</v>
      </c>
      <c r="B19" s="12" t="s">
        <v>179</v>
      </c>
      <c r="C19" s="22" t="n">
        <v>850</v>
      </c>
      <c r="I19" s="12" t="s">
        <v>201</v>
      </c>
    </row>
    <row r="20" customFormat="false" ht="15" hidden="false" customHeight="false" outlineLevel="1" collapsed="false">
      <c r="A20" s="4" t="s">
        <v>202</v>
      </c>
      <c r="B20" s="12" t="s">
        <v>179</v>
      </c>
      <c r="C20" s="22" t="n">
        <v>1350</v>
      </c>
      <c r="I20" s="7" t="s">
        <v>203</v>
      </c>
    </row>
    <row r="21" customFormat="false" ht="15" hidden="false" customHeight="false" outlineLevel="1" collapsed="false">
      <c r="A21" s="3" t="s">
        <v>204</v>
      </c>
      <c r="B21" s="7"/>
      <c r="C21" s="22" t="n">
        <v>1</v>
      </c>
      <c r="I21" s="12" t="s">
        <v>205</v>
      </c>
    </row>
    <row r="22" customFormat="false" ht="15" hidden="false" customHeight="false" outlineLevel="1" collapsed="false">
      <c r="A22" s="3" t="s">
        <v>206</v>
      </c>
      <c r="B22" s="12" t="s">
        <v>77</v>
      </c>
      <c r="C22" s="23" t="n">
        <v>1</v>
      </c>
      <c r="I22" s="7" t="s">
        <v>207</v>
      </c>
    </row>
    <row r="23" customFormat="false" ht="15" hidden="false" customHeight="false" outlineLevel="1" collapsed="false">
      <c r="A23" s="15" t="s">
        <v>87</v>
      </c>
      <c r="B23" s="15" t="s">
        <v>88</v>
      </c>
      <c r="C23" s="27" t="s">
        <v>89</v>
      </c>
      <c r="D23" s="27" t="s">
        <v>90</v>
      </c>
      <c r="E23" s="27" t="s">
        <v>91</v>
      </c>
      <c r="F23" s="27" t="s">
        <v>175</v>
      </c>
      <c r="G23" s="27" t="s">
        <v>176</v>
      </c>
      <c r="I23" s="15" t="s">
        <v>208</v>
      </c>
    </row>
    <row r="24" customFormat="false" ht="15" hidden="false" customHeight="false" outlineLevel="1" collapsed="false">
      <c r="A24" s="3" t="s">
        <v>209</v>
      </c>
      <c r="B24" s="7"/>
      <c r="C24" s="24" t="n">
        <v>0.5</v>
      </c>
      <c r="D24" s="24" t="n">
        <v>1</v>
      </c>
      <c r="E24" s="24" t="n">
        <v>1</v>
      </c>
      <c r="F24" s="24" t="n">
        <v>1</v>
      </c>
      <c r="G24" s="24" t="n">
        <v>1</v>
      </c>
      <c r="I24" s="7" t="s">
        <v>210</v>
      </c>
    </row>
    <row r="25" customFormat="false" ht="15" hidden="false" customHeight="false" outlineLevel="1" collapsed="false">
      <c r="A25" s="4" t="s">
        <v>211</v>
      </c>
      <c r="B25" s="12" t="s">
        <v>77</v>
      </c>
      <c r="C25" s="23" t="n">
        <v>0.1025</v>
      </c>
      <c r="D25" s="23" t="n">
        <v>0.205</v>
      </c>
      <c r="E25" s="23" t="n">
        <v>0.2</v>
      </c>
      <c r="F25" s="23" t="n">
        <v>0.195</v>
      </c>
      <c r="G25" s="23" t="n">
        <v>0.1375</v>
      </c>
      <c r="H25" s="28" t="n">
        <f aca="false">SUM(C25:G25)</f>
        <v>0.84</v>
      </c>
      <c r="I25" s="12" t="s">
        <v>212</v>
      </c>
    </row>
    <row r="26" customFormat="false" ht="15" hidden="false" customHeight="false" outlineLevel="1" collapsed="false">
      <c r="A26" s="4" t="s">
        <v>213</v>
      </c>
      <c r="B26" s="12" t="s">
        <v>179</v>
      </c>
      <c r="C26" s="29" t="n">
        <f aca="false">CHOOSE(輸入與假設!$C$5,C8,C9,C10)</f>
        <v>1850</v>
      </c>
      <c r="D26" s="29" t="n">
        <f aca="false">CHOOSE(輸入與假設!$C$5,D8,D9,D10)</f>
        <v>3100</v>
      </c>
      <c r="E26" s="29" t="n">
        <f aca="false">CHOOSE(輸入與假設!$C$5,E8,E9,E10)</f>
        <v>4000</v>
      </c>
      <c r="F26" s="29" t="n">
        <f aca="false">CHOOSE(輸入與假設!$C$5,F8,F9,F10)</f>
        <v>4800</v>
      </c>
      <c r="G26" s="29" t="n">
        <f aca="false">CHOOSE(輸入與假設!$C$5,G8,G9,G10)</f>
        <v>5600</v>
      </c>
      <c r="I26" s="7" t="s">
        <v>214</v>
      </c>
    </row>
    <row r="27" customFormat="false" ht="15" hidden="false" customHeight="false" outlineLevel="1" collapsed="false">
      <c r="A27" s="4" t="s">
        <v>215</v>
      </c>
      <c r="B27" s="12" t="s">
        <v>179</v>
      </c>
      <c r="C27" s="29" t="n">
        <f aca="false">ROUND(C26*C11,0)</f>
        <v>1700</v>
      </c>
      <c r="D27" s="29" t="n">
        <f aca="false">ROUND(D26*D11,0)</f>
        <v>2900</v>
      </c>
      <c r="E27" s="29" t="n">
        <f aca="false">ROUND(E26*E11,0)</f>
        <v>3739</v>
      </c>
      <c r="F27" s="29" t="n">
        <f aca="false">ROUND(F26*F11,0)</f>
        <v>4495</v>
      </c>
      <c r="G27" s="29" t="n">
        <f aca="false">ROUND(G26*G11,0)</f>
        <v>5250</v>
      </c>
      <c r="I27" s="7" t="s">
        <v>216</v>
      </c>
    </row>
    <row r="28" customFormat="false" ht="15" hidden="false" customHeight="false" outlineLevel="1" collapsed="false">
      <c r="A28" s="3" t="s">
        <v>217</v>
      </c>
      <c r="B28" s="12" t="s">
        <v>77</v>
      </c>
      <c r="C28" s="23" t="n">
        <v>0.95</v>
      </c>
      <c r="D28" s="23" t="n">
        <v>0.95</v>
      </c>
      <c r="E28" s="23" t="n">
        <v>0.94</v>
      </c>
      <c r="F28" s="23" t="n">
        <v>0.93</v>
      </c>
      <c r="G28" s="23" t="n">
        <v>0.92</v>
      </c>
      <c r="I28" s="7" t="s">
        <v>218</v>
      </c>
    </row>
    <row r="29" customFormat="false" ht="15" hidden="false" customHeight="false" outlineLevel="1" collapsed="false">
      <c r="A29" s="3" t="s">
        <v>219</v>
      </c>
      <c r="B29" s="12" t="s">
        <v>220</v>
      </c>
      <c r="C29" s="30" t="n">
        <f aca="false">每MW經濟性!C142/1000</f>
        <v>0.0091038724580194</v>
      </c>
      <c r="D29" s="30" t="n">
        <f aca="false">每MW經濟性!D142/1000</f>
        <v>0.009426465421855</v>
      </c>
      <c r="E29" s="30" t="n">
        <f aca="false">每MW經濟性!E142/1000</f>
        <v>0.00976920354961724</v>
      </c>
      <c r="F29" s="30" t="n">
        <f aca="false">每MW經濟性!F142/1000</f>
        <v>0.0100043685124483</v>
      </c>
      <c r="G29" s="30" t="n">
        <f aca="false">每MW經濟性!G142/1000</f>
        <v>0.0102123441461699</v>
      </c>
      <c r="I29" s="12" t="s">
        <v>221</v>
      </c>
    </row>
    <row r="30" customFormat="false" ht="15" hidden="false" customHeight="false" outlineLevel="1" collapsed="false">
      <c r="A30" s="3" t="s">
        <v>222</v>
      </c>
      <c r="B30" s="12" t="s">
        <v>77</v>
      </c>
      <c r="C30" s="23" t="n">
        <v>1</v>
      </c>
      <c r="D30" s="23" t="n">
        <v>1</v>
      </c>
      <c r="E30" s="23" t="n">
        <v>0.9</v>
      </c>
      <c r="F30" s="23" t="n">
        <v>0.85</v>
      </c>
      <c r="G30" s="23" t="n">
        <v>0.8</v>
      </c>
      <c r="I30" s="7" t="s">
        <v>223</v>
      </c>
    </row>
    <row r="31" customFormat="false" ht="15" hidden="false" customHeight="false" outlineLevel="1" collapsed="false">
      <c r="A31" s="3" t="s">
        <v>224</v>
      </c>
      <c r="B31" s="12" t="s">
        <v>77</v>
      </c>
      <c r="C31" s="23" t="n">
        <v>0.005</v>
      </c>
      <c r="D31" s="23" t="n">
        <v>0.01</v>
      </c>
      <c r="E31" s="23" t="n">
        <v>0.015</v>
      </c>
      <c r="F31" s="23" t="n">
        <v>0.02</v>
      </c>
      <c r="G31" s="23" t="n">
        <v>0.025</v>
      </c>
      <c r="I31" s="7" t="s">
        <v>225</v>
      </c>
    </row>
    <row r="32" customFormat="false" ht="15" hidden="false" customHeight="false" outlineLevel="1" collapsed="false">
      <c r="A32" s="3" t="s">
        <v>226</v>
      </c>
      <c r="B32" s="12" t="s">
        <v>77</v>
      </c>
      <c r="C32" s="23" t="n">
        <v>0.5</v>
      </c>
      <c r="D32" s="23" t="n">
        <v>0.5</v>
      </c>
      <c r="E32" s="23" t="n">
        <v>0.5</v>
      </c>
      <c r="F32" s="23" t="n">
        <v>0.5</v>
      </c>
      <c r="G32" s="23" t="n">
        <v>0.5</v>
      </c>
      <c r="I32" s="12" t="s">
        <v>227</v>
      </c>
    </row>
    <row r="33" customFormat="false" ht="15" hidden="false" customHeight="false" outlineLevel="1" collapsed="false">
      <c r="A33" s="3" t="s">
        <v>228</v>
      </c>
      <c r="B33" s="12" t="s">
        <v>93</v>
      </c>
      <c r="C33" s="24" t="n">
        <v>0.3</v>
      </c>
      <c r="D33" s="24" t="n">
        <v>1</v>
      </c>
      <c r="E33" s="24" t="n">
        <v>1.8</v>
      </c>
      <c r="F33" s="24" t="n">
        <v>2.8</v>
      </c>
      <c r="G33" s="24" t="n">
        <v>3.8</v>
      </c>
      <c r="I33" s="7" t="s">
        <v>229</v>
      </c>
    </row>
    <row r="34" customFormat="false" ht="15" hidden="false" customHeight="false" outlineLevel="1" collapsed="false"/>
    <row r="35" customFormat="false" ht="15" hidden="false" customHeight="false" outlineLevel="1" collapsed="true">
      <c r="A35" s="20" t="s">
        <v>230</v>
      </c>
      <c r="B35" s="21"/>
      <c r="C35" s="21"/>
      <c r="D35" s="21"/>
      <c r="E35" s="21"/>
      <c r="F35" s="21"/>
      <c r="G35" s="21"/>
      <c r="H35" s="21"/>
    </row>
    <row r="36" customFormat="false" ht="15" hidden="true" customHeight="false" outlineLevel="2" collapsed="false">
      <c r="A36" s="2" t="s">
        <v>231</v>
      </c>
      <c r="C36" s="4" t="s">
        <v>232</v>
      </c>
      <c r="I36" s="12" t="s">
        <v>233</v>
      </c>
    </row>
    <row r="37" customFormat="false" ht="15" hidden="true" customHeight="false" outlineLevel="2" collapsed="false">
      <c r="A37" s="4" t="s">
        <v>234</v>
      </c>
      <c r="B37" s="7"/>
      <c r="C37" s="22" t="n">
        <v>1</v>
      </c>
      <c r="I37" s="12" t="s">
        <v>235</v>
      </c>
    </row>
    <row r="38" customFormat="false" ht="15" hidden="true" customHeight="false" outlineLevel="2" collapsed="false">
      <c r="A38" s="4" t="s">
        <v>236</v>
      </c>
      <c r="B38" s="7"/>
      <c r="C38" s="22" t="n">
        <v>2</v>
      </c>
      <c r="I38" s="7" t="s">
        <v>237</v>
      </c>
    </row>
    <row r="39" customFormat="false" ht="15" hidden="true" customHeight="false" outlineLevel="2" collapsed="false">
      <c r="A39" s="3" t="s">
        <v>238</v>
      </c>
      <c r="B39" s="7"/>
      <c r="C39" s="22" t="n">
        <v>0</v>
      </c>
      <c r="I39" s="12" t="s">
        <v>239</v>
      </c>
    </row>
    <row r="40" customFormat="false" ht="15" hidden="true" customHeight="false" outlineLevel="2" collapsed="false">
      <c r="A40" s="4" t="s">
        <v>240</v>
      </c>
      <c r="B40" s="7"/>
      <c r="C40" s="22" t="n">
        <v>2</v>
      </c>
      <c r="I40" s="7" t="s">
        <v>241</v>
      </c>
    </row>
    <row r="41" customFormat="false" ht="15" hidden="true" customHeight="false" outlineLevel="2" collapsed="false">
      <c r="A41" s="3" t="s">
        <v>242</v>
      </c>
      <c r="B41" s="12" t="s">
        <v>179</v>
      </c>
      <c r="C41" s="22" t="n">
        <v>1500</v>
      </c>
      <c r="I41" s="12" t="s">
        <v>243</v>
      </c>
    </row>
    <row r="42" customFormat="false" ht="15" hidden="true" customHeight="false" outlineLevel="2" collapsed="false">
      <c r="A42" s="3" t="s">
        <v>244</v>
      </c>
      <c r="B42" s="12" t="s">
        <v>77</v>
      </c>
      <c r="C42" s="23" t="n">
        <v>0.272667</v>
      </c>
      <c r="I42" s="12" t="s">
        <v>245</v>
      </c>
    </row>
    <row r="43" customFormat="false" ht="15" hidden="true" customHeight="false" outlineLevel="2" collapsed="false">
      <c r="A43" s="3" t="s">
        <v>246</v>
      </c>
      <c r="B43" s="12" t="s">
        <v>77</v>
      </c>
      <c r="C43" s="23" t="n">
        <v>0.293667</v>
      </c>
      <c r="I43" s="12" t="s">
        <v>247</v>
      </c>
    </row>
    <row r="44" customFormat="false" ht="15" hidden="true" customHeight="false" outlineLevel="2" collapsed="false">
      <c r="A44" s="3" t="s">
        <v>248</v>
      </c>
      <c r="B44" s="12" t="s">
        <v>77</v>
      </c>
      <c r="C44" s="23" t="n">
        <v>0.433666</v>
      </c>
      <c r="I44" s="12" t="s">
        <v>247</v>
      </c>
    </row>
    <row r="45" customFormat="false" ht="15" hidden="true" customHeight="false" outlineLevel="2" collapsed="false">
      <c r="A45" s="3" t="s">
        <v>249</v>
      </c>
      <c r="B45" s="12" t="s">
        <v>77</v>
      </c>
      <c r="C45" s="23" t="n">
        <v>0</v>
      </c>
      <c r="I45" s="12" t="s">
        <v>247</v>
      </c>
    </row>
    <row r="46" customFormat="false" ht="15" hidden="true" customHeight="false" outlineLevel="2" collapsed="false">
      <c r="A46" s="3" t="s">
        <v>250</v>
      </c>
      <c r="B46" s="12" t="s">
        <v>77</v>
      </c>
      <c r="C46" s="23" t="n">
        <v>0</v>
      </c>
      <c r="I46" s="12" t="s">
        <v>247</v>
      </c>
    </row>
    <row r="47" customFormat="false" ht="15" hidden="true" customHeight="false" outlineLevel="2" collapsed="false">
      <c r="A47" s="3" t="s">
        <v>251</v>
      </c>
      <c r="B47" s="12" t="s">
        <v>179</v>
      </c>
      <c r="C47" s="22" t="n">
        <v>70</v>
      </c>
      <c r="I47" s="12" t="s">
        <v>252</v>
      </c>
    </row>
    <row r="48" customFormat="false" ht="15" hidden="true" customHeight="false" outlineLevel="2" collapsed="false">
      <c r="A48" s="3" t="s">
        <v>253</v>
      </c>
      <c r="B48" s="7" t="s">
        <v>254</v>
      </c>
      <c r="C48" s="31" t="n">
        <v>3</v>
      </c>
      <c r="I48" s="7" t="s">
        <v>255</v>
      </c>
    </row>
    <row r="49" customFormat="false" ht="15" hidden="true" customHeight="false" outlineLevel="2" collapsed="false">
      <c r="A49" s="3" t="s">
        <v>256</v>
      </c>
      <c r="B49" s="12" t="s">
        <v>77</v>
      </c>
      <c r="C49" s="23" t="n">
        <v>1</v>
      </c>
      <c r="I49" s="12" t="s">
        <v>257</v>
      </c>
    </row>
    <row r="50" customFormat="false" ht="15" hidden="true" customHeight="false" outlineLevel="2" collapsed="false">
      <c r="A50" s="3" t="s">
        <v>258</v>
      </c>
      <c r="B50" s="12" t="s">
        <v>77</v>
      </c>
      <c r="C50" s="23" t="n">
        <v>0</v>
      </c>
      <c r="I50" s="7" t="s">
        <v>259</v>
      </c>
    </row>
    <row r="51" customFormat="false" ht="15" hidden="true" customHeight="false" outlineLevel="2" collapsed="false">
      <c r="A51" s="3" t="s">
        <v>260</v>
      </c>
      <c r="B51" s="12" t="s">
        <v>77</v>
      </c>
      <c r="C51" s="23" t="n">
        <v>0</v>
      </c>
      <c r="I51" s="7" t="s">
        <v>259</v>
      </c>
    </row>
    <row r="52" customFormat="false" ht="15" hidden="true" customHeight="false" outlineLevel="2" collapsed="false">
      <c r="A52" s="3" t="s">
        <v>261</v>
      </c>
      <c r="B52" s="12" t="s">
        <v>77</v>
      </c>
      <c r="C52" s="23" t="n">
        <v>0</v>
      </c>
      <c r="I52" s="7" t="s">
        <v>259</v>
      </c>
    </row>
    <row r="53" customFormat="false" ht="15" hidden="true" customHeight="false" outlineLevel="2" collapsed="false">
      <c r="A53" s="3" t="s">
        <v>262</v>
      </c>
      <c r="B53" s="12" t="s">
        <v>77</v>
      </c>
      <c r="C53" s="23" t="n">
        <v>0</v>
      </c>
      <c r="I53" s="7" t="s">
        <v>259</v>
      </c>
    </row>
    <row r="54" customFormat="false" ht="15" hidden="true" customHeight="false" outlineLevel="2" collapsed="false">
      <c r="A54" s="3" t="s">
        <v>263</v>
      </c>
      <c r="B54" s="12" t="s">
        <v>179</v>
      </c>
      <c r="C54" s="22" t="n">
        <v>290</v>
      </c>
      <c r="I54" s="7" t="s">
        <v>259</v>
      </c>
    </row>
    <row r="55" customFormat="false" ht="15" hidden="true" customHeight="false" outlineLevel="2" collapsed="false">
      <c r="A55" s="3" t="s">
        <v>264</v>
      </c>
      <c r="B55" s="7" t="s">
        <v>254</v>
      </c>
      <c r="C55" s="31" t="n">
        <v>2</v>
      </c>
      <c r="I55" s="7" t="s">
        <v>265</v>
      </c>
    </row>
    <row r="56" customFormat="false" ht="15" hidden="true" customHeight="false" outlineLevel="2" collapsed="false">
      <c r="A56" s="3" t="s">
        <v>266</v>
      </c>
      <c r="B56" s="12" t="s">
        <v>77</v>
      </c>
      <c r="C56" s="23" t="n">
        <v>1</v>
      </c>
      <c r="I56" s="12" t="s">
        <v>257</v>
      </c>
    </row>
    <row r="57" customFormat="false" ht="15" hidden="true" customHeight="false" outlineLevel="2" collapsed="false">
      <c r="A57" s="3" t="s">
        <v>267</v>
      </c>
      <c r="B57" s="12" t="s">
        <v>77</v>
      </c>
      <c r="C57" s="23" t="n">
        <v>0</v>
      </c>
      <c r="I57" s="7" t="s">
        <v>259</v>
      </c>
    </row>
    <row r="58" customFormat="false" ht="15" hidden="true" customHeight="false" outlineLevel="2" collapsed="false">
      <c r="A58" s="3" t="s">
        <v>268</v>
      </c>
      <c r="B58" s="12" t="s">
        <v>77</v>
      </c>
      <c r="C58" s="23" t="n">
        <v>0</v>
      </c>
      <c r="I58" s="7" t="s">
        <v>259</v>
      </c>
    </row>
    <row r="59" customFormat="false" ht="15" hidden="true" customHeight="false" outlineLevel="2" collapsed="false">
      <c r="A59" s="3" t="s">
        <v>269</v>
      </c>
      <c r="B59" s="12" t="s">
        <v>77</v>
      </c>
      <c r="C59" s="23" t="n">
        <v>0</v>
      </c>
      <c r="I59" s="7" t="s">
        <v>259</v>
      </c>
    </row>
    <row r="60" customFormat="false" ht="15" hidden="true" customHeight="false" outlineLevel="2" collapsed="false">
      <c r="A60" s="3" t="s">
        <v>270</v>
      </c>
      <c r="B60" s="12" t="s">
        <v>77</v>
      </c>
      <c r="C60" s="23" t="n">
        <v>0</v>
      </c>
      <c r="I60" s="7" t="s">
        <v>259</v>
      </c>
    </row>
    <row r="61" customFormat="false" ht="15" hidden="true" customHeight="false" outlineLevel="2" collapsed="false">
      <c r="A61" s="3" t="s">
        <v>271</v>
      </c>
      <c r="B61" s="12" t="s">
        <v>179</v>
      </c>
      <c r="C61" s="22" t="n">
        <v>490</v>
      </c>
      <c r="I61" s="7" t="s">
        <v>259</v>
      </c>
    </row>
    <row r="62" customFormat="false" ht="15" hidden="true" customHeight="false" outlineLevel="2" collapsed="false">
      <c r="A62" s="3" t="s">
        <v>272</v>
      </c>
      <c r="B62" s="7" t="s">
        <v>254</v>
      </c>
      <c r="C62" s="31" t="n">
        <v>1</v>
      </c>
      <c r="I62" s="7" t="s">
        <v>273</v>
      </c>
    </row>
    <row r="63" customFormat="false" ht="15" hidden="true" customHeight="false" outlineLevel="2" collapsed="false">
      <c r="A63" s="3" t="s">
        <v>274</v>
      </c>
      <c r="B63" s="12" t="s">
        <v>77</v>
      </c>
      <c r="C63" s="23" t="n">
        <v>0.1</v>
      </c>
      <c r="I63" s="12" t="s">
        <v>257</v>
      </c>
    </row>
    <row r="64" customFormat="false" ht="15" hidden="true" customHeight="false" outlineLevel="2" collapsed="false">
      <c r="A64" s="3" t="s">
        <v>275</v>
      </c>
      <c r="B64" s="12" t="s">
        <v>77</v>
      </c>
      <c r="C64" s="23" t="n">
        <v>0.7</v>
      </c>
      <c r="I64" s="7" t="s">
        <v>259</v>
      </c>
    </row>
    <row r="65" customFormat="false" ht="15" hidden="true" customHeight="false" outlineLevel="2" collapsed="false">
      <c r="A65" s="3" t="s">
        <v>276</v>
      </c>
      <c r="B65" s="12" t="s">
        <v>77</v>
      </c>
      <c r="C65" s="23" t="n">
        <v>0.2</v>
      </c>
      <c r="I65" s="7" t="s">
        <v>259</v>
      </c>
    </row>
    <row r="66" customFormat="false" ht="15" hidden="true" customHeight="false" outlineLevel="2" collapsed="false">
      <c r="A66" s="3" t="s">
        <v>277</v>
      </c>
      <c r="B66" s="12" t="s">
        <v>77</v>
      </c>
      <c r="C66" s="23" t="n">
        <v>0</v>
      </c>
      <c r="I66" s="7" t="s">
        <v>259</v>
      </c>
    </row>
    <row r="67" customFormat="false" ht="15" hidden="true" customHeight="false" outlineLevel="2" collapsed="false">
      <c r="A67" s="3" t="s">
        <v>278</v>
      </c>
      <c r="B67" s="12" t="s">
        <v>77</v>
      </c>
      <c r="C67" s="23" t="n">
        <v>0</v>
      </c>
      <c r="I67" s="7" t="s">
        <v>259</v>
      </c>
    </row>
    <row r="68" customFormat="false" ht="15" hidden="true" customHeight="false" outlineLevel="2" collapsed="false">
      <c r="A68" s="3" t="s">
        <v>279</v>
      </c>
      <c r="B68" s="12" t="s">
        <v>179</v>
      </c>
      <c r="C68" s="22" t="n">
        <v>650</v>
      </c>
      <c r="I68" s="7" t="s">
        <v>259</v>
      </c>
    </row>
    <row r="69" customFormat="false" ht="15" hidden="true" customHeight="false" outlineLevel="2" collapsed="false">
      <c r="A69" s="3" t="s">
        <v>280</v>
      </c>
      <c r="B69" s="7" t="s">
        <v>254</v>
      </c>
      <c r="C69" s="31" t="n">
        <v>0.25</v>
      </c>
      <c r="I69" s="7" t="s">
        <v>281</v>
      </c>
    </row>
    <row r="70" customFormat="false" ht="15" hidden="true" customHeight="false" outlineLevel="2" collapsed="false">
      <c r="A70" s="3" t="s">
        <v>282</v>
      </c>
      <c r="B70" s="12" t="s">
        <v>77</v>
      </c>
      <c r="C70" s="23" t="n">
        <v>0</v>
      </c>
      <c r="I70" s="12" t="s">
        <v>257</v>
      </c>
    </row>
    <row r="71" customFormat="false" ht="15" hidden="true" customHeight="false" outlineLevel="2" collapsed="false">
      <c r="A71" s="3" t="s">
        <v>283</v>
      </c>
      <c r="B71" s="12" t="s">
        <v>77</v>
      </c>
      <c r="C71" s="23" t="n">
        <v>0.15</v>
      </c>
      <c r="I71" s="7" t="s">
        <v>259</v>
      </c>
    </row>
    <row r="72" customFormat="false" ht="15" hidden="true" customHeight="false" outlineLevel="2" collapsed="false">
      <c r="A72" s="3" t="s">
        <v>284</v>
      </c>
      <c r="B72" s="12" t="s">
        <v>77</v>
      </c>
      <c r="C72" s="23" t="n">
        <v>0.85</v>
      </c>
      <c r="I72" s="7" t="s">
        <v>259</v>
      </c>
    </row>
    <row r="73" customFormat="false" ht="15" hidden="true" customHeight="false" outlineLevel="2" collapsed="false">
      <c r="A73" s="3" t="s">
        <v>285</v>
      </c>
      <c r="B73" s="12" t="s">
        <v>77</v>
      </c>
      <c r="C73" s="23" t="n">
        <v>0</v>
      </c>
      <c r="I73" s="7" t="s">
        <v>259</v>
      </c>
    </row>
    <row r="74" customFormat="false" ht="15" hidden="true" customHeight="false" outlineLevel="2" collapsed="false">
      <c r="A74" s="3" t="s">
        <v>286</v>
      </c>
      <c r="B74" s="12" t="s">
        <v>77</v>
      </c>
      <c r="C74" s="23" t="n">
        <v>0</v>
      </c>
      <c r="I74" s="7" t="s">
        <v>259</v>
      </c>
    </row>
    <row r="75" customFormat="false" ht="17.15" hidden="true" customHeight="false" outlineLevel="2" collapsed="false">
      <c r="A75" s="15" t="s">
        <v>287</v>
      </c>
      <c r="B75" s="15" t="s">
        <v>88</v>
      </c>
      <c r="C75" s="27" t="s">
        <v>89</v>
      </c>
      <c r="D75" s="27" t="s">
        <v>90</v>
      </c>
      <c r="E75" s="27" t="s">
        <v>91</v>
      </c>
      <c r="F75" s="27" t="s">
        <v>175</v>
      </c>
      <c r="G75" s="27" t="s">
        <v>176</v>
      </c>
      <c r="I75" s="15" t="s">
        <v>208</v>
      </c>
    </row>
    <row r="76" customFormat="false" ht="15" hidden="true" customHeight="false" outlineLevel="2" collapsed="false">
      <c r="A76" s="3" t="s">
        <v>288</v>
      </c>
      <c r="B76" s="12" t="s">
        <v>77</v>
      </c>
      <c r="C76" s="23" t="n">
        <v>0</v>
      </c>
      <c r="D76" s="23" t="n">
        <v>0</v>
      </c>
      <c r="E76" s="23" t="n">
        <v>0</v>
      </c>
      <c r="F76" s="23" t="n">
        <v>0</v>
      </c>
      <c r="G76" s="23" t="n">
        <v>0</v>
      </c>
      <c r="I76" s="7" t="s">
        <v>289</v>
      </c>
    </row>
    <row r="77" customFormat="false" ht="15" hidden="true" customHeight="false" outlineLevel="2" collapsed="false">
      <c r="A77" s="3" t="s">
        <v>290</v>
      </c>
      <c r="B77" s="12" t="s">
        <v>77</v>
      </c>
      <c r="C77" s="23" t="n">
        <v>0.2</v>
      </c>
      <c r="D77" s="23" t="n">
        <v>0</v>
      </c>
      <c r="E77" s="23" t="n">
        <v>0</v>
      </c>
      <c r="F77" s="23" t="n">
        <v>0</v>
      </c>
      <c r="G77" s="23" t="n">
        <v>0</v>
      </c>
    </row>
    <row r="78" customFormat="false" ht="15" hidden="true" customHeight="false" outlineLevel="2" collapsed="false">
      <c r="A78" s="3" t="s">
        <v>291</v>
      </c>
      <c r="B78" s="12" t="s">
        <v>77</v>
      </c>
      <c r="C78" s="23" t="n">
        <v>0.8</v>
      </c>
      <c r="D78" s="23" t="n">
        <v>0.5</v>
      </c>
      <c r="E78" s="23" t="n">
        <v>0</v>
      </c>
      <c r="F78" s="23" t="n">
        <v>0</v>
      </c>
      <c r="G78" s="23" t="n">
        <v>0</v>
      </c>
    </row>
    <row r="79" customFormat="false" ht="15" hidden="true" customHeight="false" outlineLevel="2" collapsed="false">
      <c r="A79" s="3" t="s">
        <v>292</v>
      </c>
      <c r="B79" s="12" t="s">
        <v>77</v>
      </c>
      <c r="C79" s="23" t="n">
        <v>0</v>
      </c>
      <c r="D79" s="23" t="n">
        <v>0.5</v>
      </c>
      <c r="E79" s="23" t="n">
        <v>1</v>
      </c>
      <c r="F79" s="23" t="n">
        <v>1</v>
      </c>
      <c r="G79" s="23" t="n">
        <v>1</v>
      </c>
    </row>
    <row r="80" customFormat="false" ht="15" hidden="true" customHeight="false" outlineLevel="2" collapsed="false">
      <c r="A80" s="3" t="s">
        <v>293</v>
      </c>
      <c r="B80" s="12" t="s">
        <v>77</v>
      </c>
      <c r="C80" s="23" t="n">
        <v>0</v>
      </c>
      <c r="D80" s="23" t="n">
        <v>0</v>
      </c>
      <c r="E80" s="23" t="n">
        <v>0</v>
      </c>
      <c r="F80" s="23" t="n">
        <v>0</v>
      </c>
      <c r="G80" s="23" t="n">
        <v>0</v>
      </c>
    </row>
    <row r="81" customFormat="false" ht="15" hidden="true" customHeight="false" outlineLevel="2" collapsed="false">
      <c r="A81" s="3" t="s">
        <v>294</v>
      </c>
      <c r="B81" s="12" t="s">
        <v>77</v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I81" s="12" t="s">
        <v>295</v>
      </c>
    </row>
    <row r="82" customFormat="false" ht="15" hidden="true" customHeight="false" outlineLevel="2" collapsed="false">
      <c r="A82" s="3" t="s">
        <v>296</v>
      </c>
      <c r="B82" s="12" t="s">
        <v>77</v>
      </c>
      <c r="C82" s="23" t="n">
        <v>0.2</v>
      </c>
      <c r="D82" s="23" t="n">
        <v>0</v>
      </c>
      <c r="E82" s="23" t="n">
        <v>0</v>
      </c>
      <c r="F82" s="23" t="n">
        <v>0</v>
      </c>
      <c r="G82" s="23" t="n">
        <v>0</v>
      </c>
    </row>
    <row r="83" customFormat="false" ht="15" hidden="true" customHeight="false" outlineLevel="2" collapsed="false">
      <c r="A83" s="3" t="s">
        <v>297</v>
      </c>
      <c r="B83" s="12" t="s">
        <v>77</v>
      </c>
      <c r="C83" s="23" t="n">
        <v>0.8</v>
      </c>
      <c r="D83" s="23" t="n">
        <v>0.5</v>
      </c>
      <c r="E83" s="23" t="n">
        <v>0</v>
      </c>
      <c r="F83" s="23" t="n">
        <v>0</v>
      </c>
      <c r="G83" s="23" t="n">
        <v>0</v>
      </c>
    </row>
    <row r="84" customFormat="false" ht="15" hidden="true" customHeight="false" outlineLevel="2" collapsed="false">
      <c r="A84" s="3" t="s">
        <v>298</v>
      </c>
      <c r="B84" s="12" t="s">
        <v>77</v>
      </c>
      <c r="C84" s="23" t="n">
        <v>0</v>
      </c>
      <c r="D84" s="23" t="n">
        <v>0.5</v>
      </c>
      <c r="E84" s="23" t="n">
        <v>1</v>
      </c>
      <c r="F84" s="23" t="n">
        <v>0</v>
      </c>
      <c r="G84" s="23" t="n">
        <v>0</v>
      </c>
    </row>
    <row r="85" customFormat="false" ht="15" hidden="true" customHeight="false" outlineLevel="2" collapsed="false">
      <c r="A85" s="3" t="s">
        <v>299</v>
      </c>
      <c r="B85" s="12" t="s">
        <v>77</v>
      </c>
      <c r="C85" s="23" t="n">
        <v>0</v>
      </c>
      <c r="D85" s="23" t="n">
        <v>0</v>
      </c>
      <c r="E85" s="23" t="n">
        <v>0</v>
      </c>
      <c r="F85" s="23" t="n">
        <v>1</v>
      </c>
      <c r="G85" s="23" t="n">
        <v>1</v>
      </c>
    </row>
    <row r="86" customFormat="false" ht="15" hidden="true" customHeight="false" outlineLevel="2" collapsed="false">
      <c r="A86" s="3" t="s">
        <v>300</v>
      </c>
      <c r="B86" s="12" t="s">
        <v>77</v>
      </c>
      <c r="C86" s="32" t="n">
        <f aca="false">IF(輸入與假設!$C$39=1,C81,C76)</f>
        <v>0</v>
      </c>
      <c r="D86" s="32" t="n">
        <f aca="false">IF(輸入與假設!$C$39=1,D81,D76)</f>
        <v>0</v>
      </c>
      <c r="E86" s="32" t="n">
        <f aca="false">IF(輸入與假設!$C$39=1,E81,E76)</f>
        <v>0</v>
      </c>
      <c r="F86" s="32" t="n">
        <f aca="false">IF(輸入與假設!$C$39=1,F81,F76)</f>
        <v>0</v>
      </c>
      <c r="G86" s="32" t="n">
        <f aca="false">IF(輸入與假設!$C$39=1,G81,G76)</f>
        <v>0</v>
      </c>
      <c r="I86" s="7" t="s">
        <v>301</v>
      </c>
    </row>
    <row r="87" customFormat="false" ht="15" hidden="true" customHeight="false" outlineLevel="2" collapsed="false">
      <c r="A87" s="3" t="s">
        <v>302</v>
      </c>
      <c r="B87" s="12" t="s">
        <v>77</v>
      </c>
      <c r="C87" s="32" t="n">
        <f aca="false">IF(輸入與假設!$C$39=1,C82,C77)</f>
        <v>0.2</v>
      </c>
      <c r="D87" s="32" t="n">
        <f aca="false">IF(輸入與假設!$C$39=1,D82,D77)</f>
        <v>0</v>
      </c>
      <c r="E87" s="32" t="n">
        <f aca="false">IF(輸入與假設!$C$39=1,E82,E77)</f>
        <v>0</v>
      </c>
      <c r="F87" s="32" t="n">
        <f aca="false">IF(輸入與假設!$C$39=1,F82,F77)</f>
        <v>0</v>
      </c>
      <c r="G87" s="32" t="n">
        <f aca="false">IF(輸入與假設!$C$39=1,G82,G77)</f>
        <v>0</v>
      </c>
    </row>
    <row r="88" customFormat="false" ht="15" hidden="true" customHeight="false" outlineLevel="2" collapsed="false">
      <c r="A88" s="3" t="s">
        <v>303</v>
      </c>
      <c r="B88" s="12" t="s">
        <v>77</v>
      </c>
      <c r="C88" s="32" t="n">
        <f aca="false">IF(輸入與假設!$C$39=1,C83,C78)</f>
        <v>0.8</v>
      </c>
      <c r="D88" s="32" t="n">
        <f aca="false">IF(輸入與假設!$C$39=1,D83,D78)</f>
        <v>0.5</v>
      </c>
      <c r="E88" s="32" t="n">
        <f aca="false">IF(輸入與假設!$C$39=1,E83,E78)</f>
        <v>0</v>
      </c>
      <c r="F88" s="32" t="n">
        <f aca="false">IF(輸入與假設!$C$39=1,F83,F78)</f>
        <v>0</v>
      </c>
      <c r="G88" s="32" t="n">
        <f aca="false">IF(輸入與假設!$C$39=1,G83,G78)</f>
        <v>0</v>
      </c>
    </row>
    <row r="89" customFormat="false" ht="15" hidden="true" customHeight="false" outlineLevel="2" collapsed="false">
      <c r="A89" s="3" t="s">
        <v>304</v>
      </c>
      <c r="B89" s="12" t="s">
        <v>77</v>
      </c>
      <c r="C89" s="32" t="n">
        <f aca="false">IF(輸入與假設!$C$39=1,C84,C79)</f>
        <v>0</v>
      </c>
      <c r="D89" s="32" t="n">
        <f aca="false">IF(輸入與假設!$C$39=1,D84,D79)</f>
        <v>0.5</v>
      </c>
      <c r="E89" s="32" t="n">
        <f aca="false">IF(輸入與假設!$C$39=1,E84,E79)</f>
        <v>1</v>
      </c>
      <c r="F89" s="32" t="n">
        <f aca="false">IF(輸入與假設!$C$39=1,F84,F79)</f>
        <v>1</v>
      </c>
      <c r="G89" s="32" t="n">
        <f aca="false">IF(輸入與假設!$C$39=1,G84,G79)</f>
        <v>1</v>
      </c>
    </row>
    <row r="90" customFormat="false" ht="15" hidden="true" customHeight="false" outlineLevel="2" collapsed="false">
      <c r="A90" s="3" t="s">
        <v>305</v>
      </c>
      <c r="B90" s="12" t="s">
        <v>77</v>
      </c>
      <c r="C90" s="32" t="n">
        <f aca="false">IF(輸入與假設!$C$39=1,C85,C80)</f>
        <v>0</v>
      </c>
      <c r="D90" s="32" t="n">
        <f aca="false">IF(輸入與假設!$C$39=1,D85,D80)</f>
        <v>0</v>
      </c>
      <c r="E90" s="32" t="n">
        <f aca="false">IF(輸入與假設!$C$39=1,E85,E80)</f>
        <v>0</v>
      </c>
      <c r="F90" s="32" t="n">
        <f aca="false">IF(輸入與假設!$C$39=1,F85,F80)</f>
        <v>0</v>
      </c>
      <c r="G90" s="32" t="n">
        <f aca="false">IF(輸入與假設!$C$39=1,G85,G80)</f>
        <v>0</v>
      </c>
    </row>
    <row r="91" customFormat="false" ht="15" hidden="true" customHeight="false" outlineLevel="2" collapsed="false">
      <c r="A91" s="3" t="s">
        <v>306</v>
      </c>
      <c r="B91" s="12" t="s">
        <v>77</v>
      </c>
      <c r="C91" s="32" t="n">
        <f aca="false">SUM(C86:C90)</f>
        <v>1</v>
      </c>
      <c r="D91" s="32" t="n">
        <f aca="false">SUM(D86:D90)</f>
        <v>1</v>
      </c>
      <c r="E91" s="32" t="n">
        <f aca="false">SUM(E86:E90)</f>
        <v>1</v>
      </c>
      <c r="F91" s="32" t="n">
        <f aca="false">SUM(F86:F90)</f>
        <v>1</v>
      </c>
      <c r="G91" s="32" t="n">
        <f aca="false">SUM(G86:G90)</f>
        <v>1</v>
      </c>
      <c r="I91" s="7" t="s">
        <v>307</v>
      </c>
    </row>
    <row r="92" customFormat="false" ht="17.15" hidden="true" customHeight="false" outlineLevel="2" collapsed="false">
      <c r="A92" s="16" t="s">
        <v>308</v>
      </c>
      <c r="B92" s="15" t="s">
        <v>309</v>
      </c>
      <c r="C92" s="16" t="s">
        <v>310</v>
      </c>
      <c r="D92" s="15" t="s">
        <v>311</v>
      </c>
      <c r="E92" s="15" t="s">
        <v>312</v>
      </c>
      <c r="F92" s="16" t="s">
        <v>313</v>
      </c>
      <c r="G92" s="15" t="s">
        <v>314</v>
      </c>
      <c r="I92" s="12" t="s">
        <v>315</v>
      </c>
    </row>
    <row r="93" customFormat="false" ht="15" hidden="true" customHeight="false" outlineLevel="2" collapsed="false">
      <c r="A93" s="4" t="s">
        <v>316</v>
      </c>
      <c r="B93" s="12" t="s">
        <v>317</v>
      </c>
      <c r="C93" s="33" t="n">
        <f aca="true">OFFSET(TK_CapexIT_H100,0,輸入與假設!$C$38-2)*F93</f>
        <v>27.510214</v>
      </c>
      <c r="D93" s="33" t="n">
        <f aca="true">OFFSET(TK_CapexTotal_H100,0,輸入與假設!$C$38-2)*F93</f>
        <v>40.180214</v>
      </c>
      <c r="E93" s="33" t="n">
        <f aca="false">TK_FacilityGW_H100</f>
        <v>1.2</v>
      </c>
      <c r="F93" s="33" t="n">
        <f aca="false">IF(輸入與假設!$C$37=2,1/E93,1)</f>
        <v>1</v>
      </c>
      <c r="G93" s="33" t="n">
        <f aca="false">TK_DeprLifeIT_H100</f>
        <v>6</v>
      </c>
    </row>
    <row r="94" customFormat="false" ht="15" hidden="true" customHeight="false" outlineLevel="2" collapsed="false">
      <c r="A94" s="4" t="s">
        <v>318</v>
      </c>
      <c r="B94" s="12" t="s">
        <v>319</v>
      </c>
      <c r="C94" s="33" t="n">
        <f aca="true">OFFSET(TK_CapexIT_GB200,0,輸入與假設!$C$38-2)*F94</f>
        <v>24.015174</v>
      </c>
      <c r="D94" s="33" t="n">
        <f aca="true">OFFSET(TK_CapexTotal_GB200,0,輸入與假設!$C$38-2)*F94</f>
        <v>36.685174</v>
      </c>
      <c r="E94" s="33" t="n">
        <f aca="false">TK_FacilityGW_GB200</f>
        <v>1.2</v>
      </c>
      <c r="F94" s="33" t="n">
        <f aca="false">IF(輸入與假設!$C$37=2,1/E94,1)</f>
        <v>1</v>
      </c>
      <c r="G94" s="33" t="n">
        <f aca="false">TK_DeprLifeIT_GB200</f>
        <v>6</v>
      </c>
    </row>
    <row r="95" customFormat="false" ht="15" hidden="true" customHeight="false" outlineLevel="2" collapsed="false">
      <c r="A95" s="4" t="s">
        <v>320</v>
      </c>
      <c r="B95" s="12" t="s">
        <v>321</v>
      </c>
      <c r="C95" s="33" t="n">
        <f aca="true">OFFSET(TK_CapexIT_GB300,0,輸入與假設!$C$38-2)*F95</f>
        <v>32.237224</v>
      </c>
      <c r="D95" s="33" t="n">
        <f aca="true">OFFSET(TK_CapexTotal_GB300,0,輸入與假設!$C$38-2)*F95</f>
        <v>44.907224</v>
      </c>
      <c r="E95" s="33" t="n">
        <f aca="false">TK_FacilityGW_GB300</f>
        <v>1.2</v>
      </c>
      <c r="F95" s="33" t="n">
        <f aca="false">IF(輸入與假設!$C$37=2,1/E95,1)</f>
        <v>1</v>
      </c>
      <c r="G95" s="33" t="n">
        <f aca="false">TK_DeprLifeIT_GB300</f>
        <v>6</v>
      </c>
    </row>
    <row r="96" customFormat="false" ht="15" hidden="true" customHeight="false" outlineLevel="2" collapsed="false">
      <c r="A96" s="4" t="s">
        <v>322</v>
      </c>
      <c r="B96" s="12" t="s">
        <v>323</v>
      </c>
      <c r="C96" s="33" t="n">
        <f aca="true">OFFSET(TK_CapexIT_VR200,0,輸入與假設!$C$38-2)*F96</f>
        <v>37.586352</v>
      </c>
      <c r="D96" s="33" t="n">
        <f aca="true">OFFSET(TK_CapexTotal_VR200,0,輸入與假設!$C$38-2)*F96</f>
        <v>50.256352</v>
      </c>
      <c r="E96" s="33" t="n">
        <f aca="false">TK_FacilityGW_VR200</f>
        <v>1.2</v>
      </c>
      <c r="F96" s="33" t="n">
        <f aca="false">IF(輸入與假設!$C$37=2,1/E96,1)</f>
        <v>1</v>
      </c>
      <c r="G96" s="33" t="n">
        <f aca="false">TK_DeprLifeIT_VR200</f>
        <v>6</v>
      </c>
    </row>
    <row r="97" customFormat="false" ht="15" hidden="true" customHeight="false" outlineLevel="2" collapsed="false">
      <c r="A97" s="4" t="s">
        <v>324</v>
      </c>
      <c r="B97" s="12" t="s">
        <v>325</v>
      </c>
      <c r="C97" s="33" t="n">
        <f aca="true">OFFSET(TK_CapexIT_RU,0,輸入與假設!$C$38-2)*F97</f>
        <v>50.08578</v>
      </c>
      <c r="D97" s="33" t="n">
        <f aca="true">OFFSET(TK_CapexTotal_RU,0,輸入與假設!$C$38-2)*F97</f>
        <v>62.75578</v>
      </c>
      <c r="E97" s="33" t="n">
        <f aca="false">TK_FacilityGW_RU</f>
        <v>1.2</v>
      </c>
      <c r="F97" s="33" t="n">
        <f aca="false">IF(輸入與假設!$C$37=2,1/E97,1)</f>
        <v>1</v>
      </c>
      <c r="G97" s="33" t="n">
        <f aca="false">TK_DeprLifeIT_RU</f>
        <v>6</v>
      </c>
    </row>
    <row r="98" customFormat="false" ht="17.15" hidden="true" customHeight="false" outlineLevel="2" collapsed="false">
      <c r="A98" s="16" t="s">
        <v>326</v>
      </c>
      <c r="B98" s="15" t="s">
        <v>309</v>
      </c>
      <c r="C98" s="15" t="s">
        <v>327</v>
      </c>
      <c r="D98" s="16" t="s">
        <v>328</v>
      </c>
      <c r="E98" s="15" t="s">
        <v>329</v>
      </c>
      <c r="F98" s="15" t="s">
        <v>330</v>
      </c>
      <c r="I98" s="12" t="s">
        <v>331</v>
      </c>
    </row>
    <row r="99" customFormat="false" ht="15" hidden="true" customHeight="false" outlineLevel="2" collapsed="false">
      <c r="A99" s="4" t="s">
        <v>332</v>
      </c>
      <c r="B99" s="12" t="s">
        <v>317</v>
      </c>
      <c r="C99" s="33" t="n">
        <f aca="true">OFFSET(TK_PowerCost_H100,0,輸入與假設!$C$38-2)*F93</f>
        <v>0.672768</v>
      </c>
      <c r="D99" s="33" t="n">
        <f aca="true">OFFSET(TK_MaintIT_H100,0,輸入與假設!$C$38-2)*F93</f>
        <v>0.43259841019734</v>
      </c>
      <c r="E99" s="33" t="n">
        <f aca="true">OFFSET(TK_StaffSW_H100,0,輸入與假設!$C$38-2)*F93</f>
        <v>0.325</v>
      </c>
      <c r="F99" s="33" t="n">
        <f aca="true">OFFSET(TK_TaxIns_H100,0,輸入與假設!$C$38-2)*F93*C93/D93</f>
        <v>0.13755107</v>
      </c>
    </row>
    <row r="100" customFormat="false" ht="15" hidden="true" customHeight="false" outlineLevel="2" collapsed="false">
      <c r="A100" s="4" t="s">
        <v>333</v>
      </c>
      <c r="B100" s="12" t="s">
        <v>319</v>
      </c>
      <c r="C100" s="33" t="n">
        <f aca="true">OFFSET(TK_PowerCost_GB200,0,輸入與假設!$C$38-2)*F94</f>
        <v>0.672768</v>
      </c>
      <c r="D100" s="33" t="n">
        <f aca="true">OFFSET(TK_MaintIT_GB200,0,輸入與假設!$C$38-2)*F94</f>
        <v>0.377638868712999</v>
      </c>
      <c r="E100" s="33" t="n">
        <f aca="true">OFFSET(TK_StaffSW_GB200,0,輸入與假設!$C$38-2)*F94</f>
        <v>0.325</v>
      </c>
      <c r="F100" s="33" t="n">
        <f aca="true">OFFSET(TK_TaxIns_GB200,0,輸入與假設!$C$38-2)*F94*C94/D94</f>
        <v>0.12007587</v>
      </c>
    </row>
    <row r="101" customFormat="false" ht="15" hidden="true" customHeight="false" outlineLevel="2" collapsed="false">
      <c r="A101" s="4" t="s">
        <v>334</v>
      </c>
      <c r="B101" s="12" t="s">
        <v>321</v>
      </c>
      <c r="C101" s="33" t="n">
        <f aca="true">OFFSET(TK_PowerCost_GB300,0,輸入與假設!$C$38-2)*F95</f>
        <v>0.672768</v>
      </c>
      <c r="D101" s="33" t="n">
        <f aca="true">OFFSET(TK_MaintIT_GB300,0,輸入與假設!$C$38-2)*F95</f>
        <v>0.506930693144573</v>
      </c>
      <c r="E101" s="33" t="n">
        <f aca="true">OFFSET(TK_StaffSW_GB300,0,輸入與假設!$C$38-2)*F95</f>
        <v>0.325</v>
      </c>
      <c r="F101" s="33" t="n">
        <f aca="true">OFFSET(TK_TaxIns_GB300,0,輸入與假設!$C$38-2)*F95*C95/D95</f>
        <v>0.16118612</v>
      </c>
    </row>
    <row r="102" customFormat="false" ht="15" hidden="true" customHeight="false" outlineLevel="2" collapsed="false">
      <c r="A102" s="4" t="s">
        <v>335</v>
      </c>
      <c r="B102" s="12" t="s">
        <v>323</v>
      </c>
      <c r="C102" s="33" t="n">
        <f aca="true">OFFSET(TK_PowerCost_VR200,0,輸入與假設!$C$38-2)*F96</f>
        <v>0.672768</v>
      </c>
      <c r="D102" s="33" t="n">
        <f aca="true">OFFSET(TK_MaintIT_VR200,0,輸入與假設!$C$38-2)*F96</f>
        <v>0.591045788314028</v>
      </c>
      <c r="E102" s="33" t="n">
        <f aca="true">OFFSET(TK_StaffSW_VR200,0,輸入與假設!$C$38-2)*F96</f>
        <v>0.325</v>
      </c>
      <c r="F102" s="33" t="n">
        <f aca="true">OFFSET(TK_TaxIns_VR200,0,輸入與假設!$C$38-2)*F96*C96/D96</f>
        <v>0.18793176</v>
      </c>
    </row>
    <row r="103" customFormat="false" ht="15" hidden="true" customHeight="false" outlineLevel="2" collapsed="false">
      <c r="A103" s="4" t="s">
        <v>336</v>
      </c>
      <c r="B103" s="12" t="s">
        <v>325</v>
      </c>
      <c r="C103" s="33" t="n">
        <f aca="true">OFFSET(TK_PowerCost_RU,0,輸入與假設!$C$38-2)*F97</f>
        <v>0.672768</v>
      </c>
      <c r="D103" s="33" t="n">
        <f aca="true">OFFSET(TK_MaintIT_RU,0,輸入與假設!$C$38-2)*F97</f>
        <v>0.787599427670528</v>
      </c>
      <c r="E103" s="33" t="n">
        <f aca="true">OFFSET(TK_StaffSW_RU,0,輸入與假設!$C$38-2)*F97</f>
        <v>0.325</v>
      </c>
      <c r="F103" s="33" t="n">
        <f aca="true">OFFSET(TK_TaxIns_RU,0,輸入與假設!$C$38-2)*F97*C97/D97</f>
        <v>0.2504289</v>
      </c>
    </row>
    <row r="104" customFormat="false" ht="17.15" hidden="true" customHeight="false" outlineLevel="2" collapsed="false">
      <c r="A104" s="16" t="s">
        <v>337</v>
      </c>
      <c r="B104" s="15" t="s">
        <v>309</v>
      </c>
      <c r="C104" s="15" t="s">
        <v>338</v>
      </c>
      <c r="D104" s="15" t="s">
        <v>339</v>
      </c>
      <c r="I104" s="12" t="s">
        <v>340</v>
      </c>
    </row>
    <row r="105" customFormat="false" ht="15" hidden="true" customHeight="false" outlineLevel="2" collapsed="false">
      <c r="A105" s="4" t="s">
        <v>341</v>
      </c>
      <c r="B105" s="12" t="s">
        <v>317</v>
      </c>
      <c r="C105" s="33" t="n">
        <f aca="true">OFFSET(TK_MaintITWarr_H100,0,輸入與假設!$C$38-2)*F93</f>
        <v>0.13755107</v>
      </c>
      <c r="D105" s="33" t="n">
        <f aca="true">OFFSET(TK_MaintITPost_H100,0,輸入與假設!$C$38-2)*F93</f>
        <v>0.82530642</v>
      </c>
    </row>
    <row r="106" customFormat="false" ht="15" hidden="true" customHeight="false" outlineLevel="2" collapsed="false">
      <c r="A106" s="4" t="s">
        <v>342</v>
      </c>
      <c r="B106" s="12" t="s">
        <v>319</v>
      </c>
      <c r="C106" s="33" t="n">
        <f aca="true">OFFSET(TK_MaintITWarr_GB200,0,輸入與假設!$C$38-2)*F94</f>
        <v>0.12007587</v>
      </c>
      <c r="D106" s="33" t="n">
        <f aca="true">OFFSET(TK_MaintITPost_GB200,0,輸入與假設!$C$38-2)*F94</f>
        <v>0.72045522</v>
      </c>
    </row>
    <row r="107" customFormat="false" ht="15" hidden="true" customHeight="false" outlineLevel="2" collapsed="false">
      <c r="A107" s="4" t="s">
        <v>343</v>
      </c>
      <c r="B107" s="12" t="s">
        <v>321</v>
      </c>
      <c r="C107" s="33" t="n">
        <f aca="true">OFFSET(TK_MaintITWarr_GB300,0,輸入與假設!$C$38-2)*F95</f>
        <v>0.16118612</v>
      </c>
      <c r="D107" s="33" t="n">
        <f aca="true">OFFSET(TK_MaintITPost_GB300,0,輸入與假設!$C$38-2)*F95</f>
        <v>0.96711672</v>
      </c>
    </row>
    <row r="108" customFormat="false" ht="15" hidden="true" customHeight="false" outlineLevel="2" collapsed="false">
      <c r="A108" s="4" t="s">
        <v>344</v>
      </c>
      <c r="B108" s="12" t="s">
        <v>323</v>
      </c>
      <c r="C108" s="33" t="n">
        <f aca="true">OFFSET(TK_MaintITWarr_VR200,0,輸入與假設!$C$38-2)*F96</f>
        <v>0.18793176</v>
      </c>
      <c r="D108" s="33" t="n">
        <f aca="true">OFFSET(TK_MaintITPost_VR200,0,輸入與假設!$C$38-2)*F96</f>
        <v>1.12759056</v>
      </c>
    </row>
    <row r="109" customFormat="false" ht="15" hidden="true" customHeight="false" outlineLevel="2" collapsed="false">
      <c r="A109" s="4" t="s">
        <v>345</v>
      </c>
      <c r="B109" s="12" t="s">
        <v>325</v>
      </c>
      <c r="C109" s="33" t="n">
        <f aca="true">OFFSET(TK_MaintITWarr_RU,0,輸入與假設!$C$38-2)*F97</f>
        <v>0.2504289</v>
      </c>
      <c r="D109" s="33" t="n">
        <f aca="true">OFFSET(TK_MaintITPost_RU,0,輸入與假設!$C$38-2)*F97</f>
        <v>1.5025734</v>
      </c>
    </row>
    <row r="110" customFormat="false" ht="15" hidden="true" customHeight="false" outlineLevel="2" collapsed="false">
      <c r="A110" s="4" t="s">
        <v>346</v>
      </c>
      <c r="B110" s="7" t="s">
        <v>254</v>
      </c>
      <c r="C110" s="34" t="n">
        <f aca="false">TK_WarrantyYrs</f>
        <v>3</v>
      </c>
      <c r="I110" s="12" t="s">
        <v>347</v>
      </c>
    </row>
    <row r="111" customFormat="false" ht="17.15" hidden="true" customHeight="false" outlineLevel="2" collapsed="false">
      <c r="A111" s="16" t="s">
        <v>348</v>
      </c>
      <c r="B111" s="15" t="s">
        <v>309</v>
      </c>
      <c r="C111" s="16" t="s">
        <v>349</v>
      </c>
      <c r="D111" s="16" t="s">
        <v>350</v>
      </c>
      <c r="E111" s="15" t="s">
        <v>351</v>
      </c>
      <c r="F111" s="15" t="s">
        <v>352</v>
      </c>
      <c r="I111" s="12" t="s">
        <v>353</v>
      </c>
    </row>
    <row r="112" customFormat="false" ht="15" hidden="true" customHeight="false" outlineLevel="2" collapsed="false">
      <c r="A112" s="4" t="s">
        <v>354</v>
      </c>
      <c r="B112" s="12" t="s">
        <v>317</v>
      </c>
      <c r="C112" s="33" t="n">
        <f aca="false">TK_GPUsPerGW_H100*F93/1000</f>
        <v>718.048</v>
      </c>
      <c r="D112" s="33" t="n">
        <f aca="true">OFFSET(TK_GPUhrEcon_H100,0,輸入與假設!$C$38-2)</f>
        <v>1.54259654785589</v>
      </c>
      <c r="E112" s="33" t="n">
        <f aca="true">OFFSET(TK_HoldEcon_H100,0,輸入與假設!$C$38-2)*F93</f>
        <v>9.70308728611469</v>
      </c>
      <c r="F112" s="33"/>
    </row>
    <row r="113" customFormat="false" ht="15" hidden="true" customHeight="false" outlineLevel="2" collapsed="false">
      <c r="A113" s="4" t="s">
        <v>355</v>
      </c>
      <c r="B113" s="12" t="s">
        <v>319</v>
      </c>
      <c r="C113" s="33" t="n">
        <f aca="false">TK_GPUsPerGW_GB200*F94/1000</f>
        <v>501.768</v>
      </c>
      <c r="D113" s="33" t="n">
        <f aca="true">OFFSET(TK_GPUhrEcon_GB200,0,輸入與假設!$C$38-2)</f>
        <v>2.00846099652078</v>
      </c>
      <c r="E113" s="33" t="n">
        <f aca="true">OFFSET(TK_HoldEcon_GB200,0,輸入與假設!$C$38-2)*F94</f>
        <v>8.82816556596761</v>
      </c>
      <c r="F113" s="33"/>
    </row>
    <row r="114" customFormat="false" ht="15" hidden="true" customHeight="false" outlineLevel="2" collapsed="false">
      <c r="A114" s="4" t="s">
        <v>356</v>
      </c>
      <c r="B114" s="12" t="s">
        <v>321</v>
      </c>
      <c r="C114" s="33" t="n">
        <f aca="false">TK_GPUsPerGW_GB300*F95/1000</f>
        <v>487.008</v>
      </c>
      <c r="D114" s="33" t="n">
        <f aca="true">OFFSET(TK_GPUhrEcon_GB300,0,輸入與假設!$C$38-2)</f>
        <v>2.55178761329595</v>
      </c>
      <c r="E114" s="33" t="n">
        <f aca="true">OFFSET(TK_HoldEcon_GB300,0,輸入與假設!$C$38-2)*F95</f>
        <v>10.8864110021101</v>
      </c>
      <c r="F114" s="33"/>
    </row>
    <row r="115" customFormat="false" ht="15" hidden="true" customHeight="false" outlineLevel="2" collapsed="false">
      <c r="A115" s="4" t="s">
        <v>357</v>
      </c>
      <c r="B115" s="12" t="s">
        <v>323</v>
      </c>
      <c r="C115" s="33" t="n">
        <f aca="false">TK_GPUsPerGW_VR200*F96/1000</f>
        <v>291.744</v>
      </c>
      <c r="D115" s="33" t="n">
        <f aca="true">OFFSET(TK_GPUhrEcon_VR200,0,輸入與假設!$C$38-2)</f>
        <v>4.78365180724219</v>
      </c>
      <c r="E115" s="33" t="n">
        <f aca="true">OFFSET(TK_HoldEcon_VR200,0,輸入與假設!$C$38-2)*F96</f>
        <v>12.2254710045841</v>
      </c>
      <c r="F115" s="33"/>
    </row>
    <row r="116" customFormat="false" ht="15" hidden="true" customHeight="false" outlineLevel="2" collapsed="false">
      <c r="A116" s="4" t="s">
        <v>358</v>
      </c>
      <c r="B116" s="12" t="s">
        <v>325</v>
      </c>
      <c r="C116" s="33" t="n">
        <f aca="false">TK_GPUsPerGW_RU*F97/1000</f>
        <v>194.76</v>
      </c>
      <c r="D116" s="33" t="n">
        <f aca="true">OFFSET(TK_GPUhrEcon_RU,0,輸入與假設!$C$38-2)</f>
        <v>8.99976806898525</v>
      </c>
      <c r="E116" s="33" t="n">
        <f aca="true">OFFSET(TK_HoldEcon_RU,0,輸入與假設!$C$38-2)*F97</f>
        <v>15.3544827030524</v>
      </c>
      <c r="F116" s="33"/>
    </row>
    <row r="117" customFormat="false" ht="17.15" hidden="true" customHeight="false" outlineLevel="2" collapsed="false">
      <c r="A117" s="15" t="s">
        <v>359</v>
      </c>
      <c r="B117" s="15" t="s">
        <v>88</v>
      </c>
      <c r="C117" s="27" t="s">
        <v>89</v>
      </c>
      <c r="D117" s="27" t="s">
        <v>90</v>
      </c>
      <c r="E117" s="27" t="s">
        <v>91</v>
      </c>
      <c r="F117" s="27" t="s">
        <v>175</v>
      </c>
      <c r="G117" s="27" t="s">
        <v>176</v>
      </c>
      <c r="I117" s="15" t="s">
        <v>208</v>
      </c>
    </row>
    <row r="118" customFormat="false" ht="15" hidden="true" customHeight="false" outlineLevel="2" collapsed="false">
      <c r="A118" s="3" t="s">
        <v>360</v>
      </c>
      <c r="B118" s="7" t="s">
        <v>361</v>
      </c>
      <c r="C118" s="35" t="n">
        <f aca="false">9.7/TK_HoldEcon_GB300</f>
        <v>0.891019087752599</v>
      </c>
      <c r="I118" s="12" t="s">
        <v>362</v>
      </c>
    </row>
    <row r="119" customFormat="false" ht="15" hidden="true" customHeight="false" outlineLevel="2" collapsed="false">
      <c r="A119" s="3" t="s">
        <v>363</v>
      </c>
      <c r="B119" s="7" t="s">
        <v>361</v>
      </c>
      <c r="C119" s="35" t="n">
        <f aca="false">2.82/TK_GPUhrEcon_H100</f>
        <v>1.82808654921445</v>
      </c>
      <c r="I119" s="12" t="s">
        <v>364</v>
      </c>
    </row>
    <row r="120" customFormat="false" ht="15" hidden="true" customHeight="false" outlineLevel="2" collapsed="false">
      <c r="A120" s="3" t="s">
        <v>365</v>
      </c>
      <c r="B120" s="12" t="s">
        <v>77</v>
      </c>
      <c r="C120" s="23" t="n">
        <v>0</v>
      </c>
      <c r="I120" s="12" t="s">
        <v>366</v>
      </c>
    </row>
    <row r="121" customFormat="false" ht="15" hidden="true" customHeight="false" outlineLevel="2" collapsed="false">
      <c r="A121" s="3" t="s">
        <v>367</v>
      </c>
      <c r="B121" s="7"/>
      <c r="C121" s="22" t="n">
        <v>1</v>
      </c>
      <c r="I121" s="12" t="s">
        <v>368</v>
      </c>
    </row>
    <row r="122" customFormat="false" ht="15" hidden="true" customHeight="false" outlineLevel="2" collapsed="false">
      <c r="A122" s="3" t="s">
        <v>369</v>
      </c>
      <c r="B122" s="12" t="s">
        <v>77</v>
      </c>
      <c r="C122" s="23" t="n">
        <v>0</v>
      </c>
      <c r="I122" s="12" t="s">
        <v>370</v>
      </c>
    </row>
    <row r="123" customFormat="false" ht="17.15" hidden="true" customHeight="false" outlineLevel="2" collapsed="false">
      <c r="A123" s="16" t="s">
        <v>371</v>
      </c>
      <c r="B123" s="15" t="s">
        <v>309</v>
      </c>
      <c r="C123" s="16" t="s">
        <v>372</v>
      </c>
      <c r="I123" s="12" t="s">
        <v>373</v>
      </c>
    </row>
    <row r="124" customFormat="false" ht="15" hidden="true" customHeight="false" outlineLevel="2" collapsed="false">
      <c r="A124" s="4" t="s">
        <v>374</v>
      </c>
      <c r="B124" s="12" t="s">
        <v>317</v>
      </c>
      <c r="C124" s="33" t="n">
        <f aca="true">OFFSET(TK_RevGWFleet_H100,0,輸入與假設!$C$38-2)*F93</f>
        <v>4.00488774987164</v>
      </c>
    </row>
    <row r="125" customFormat="false" ht="15" hidden="true" customHeight="false" outlineLevel="2" collapsed="false">
      <c r="A125" s="4" t="s">
        <v>375</v>
      </c>
      <c r="B125" s="12" t="s">
        <v>319</v>
      </c>
      <c r="C125" s="33" t="n">
        <f aca="true">OFFSET(TK_RevGWFleet_GB200,0,輸入與假設!$C$38-2)*F94</f>
        <v>20.1746158611128</v>
      </c>
    </row>
    <row r="126" customFormat="false" ht="15" hidden="true" customHeight="false" outlineLevel="2" collapsed="false">
      <c r="A126" s="4" t="s">
        <v>376</v>
      </c>
      <c r="B126" s="12" t="s">
        <v>321</v>
      </c>
      <c r="C126" s="33" t="n">
        <f aca="true">OFFSET(TK_RevGWFleet_GB300,0,輸入與假設!$C$38-2)*F95</f>
        <v>26.2652356996766</v>
      </c>
    </row>
    <row r="127" customFormat="false" ht="15" hidden="true" customHeight="false" outlineLevel="2" collapsed="false">
      <c r="A127" s="4" t="s">
        <v>377</v>
      </c>
      <c r="B127" s="12" t="s">
        <v>323</v>
      </c>
      <c r="C127" s="33" t="n">
        <f aca="true">OFFSET(TK_RevGWFleet_VR200,0,輸入與假設!$C$38-2)*F96</f>
        <v>48.7237019639935</v>
      </c>
    </row>
    <row r="128" customFormat="false" ht="15" hidden="true" customHeight="false" outlineLevel="2" collapsed="false">
      <c r="A128" s="4" t="s">
        <v>378</v>
      </c>
      <c r="B128" s="12" t="s">
        <v>325</v>
      </c>
      <c r="C128" s="33" t="n">
        <f aca="true">OFFSET(TK_RevGWFleet_RU,0,輸入與假設!$C$38-2)*F97</f>
        <v>68.9276257152094</v>
      </c>
    </row>
    <row r="130" customFormat="false" ht="15" hidden="false" customHeight="false" outlineLevel="0" collapsed="false">
      <c r="A130" s="8" t="s">
        <v>379</v>
      </c>
      <c r="B130" s="9"/>
      <c r="C130" s="9"/>
      <c r="D130" s="9"/>
      <c r="E130" s="9"/>
      <c r="F130" s="9"/>
      <c r="G130" s="9"/>
      <c r="H130" s="9"/>
    </row>
    <row r="131" customFormat="false" ht="15" hidden="false" customHeight="false" outlineLevel="1" collapsed="false">
      <c r="A131" s="3" t="s">
        <v>380</v>
      </c>
      <c r="B131" s="12" t="s">
        <v>77</v>
      </c>
      <c r="C131" s="26" t="n">
        <v>0.59</v>
      </c>
      <c r="I131" s="12" t="s">
        <v>381</v>
      </c>
    </row>
    <row r="132" customFormat="false" ht="15" hidden="false" customHeight="false" outlineLevel="1" collapsed="false">
      <c r="A132" s="3" t="s">
        <v>382</v>
      </c>
      <c r="B132" s="12" t="s">
        <v>77</v>
      </c>
      <c r="C132" s="36" t="n">
        <f aca="false">每MW經濟性!G98</f>
        <v>0.628749311717266</v>
      </c>
      <c r="I132" s="12" t="s">
        <v>383</v>
      </c>
    </row>
    <row r="133" customFormat="false" ht="15" hidden="false" customHeight="false" outlineLevel="1" collapsed="false">
      <c r="A133" s="15" t="s">
        <v>87</v>
      </c>
      <c r="B133" s="15" t="s">
        <v>88</v>
      </c>
      <c r="C133" s="27" t="s">
        <v>89</v>
      </c>
      <c r="D133" s="27" t="s">
        <v>90</v>
      </c>
      <c r="E133" s="27" t="s">
        <v>91</v>
      </c>
      <c r="F133" s="27" t="s">
        <v>175</v>
      </c>
      <c r="G133" s="27" t="s">
        <v>176</v>
      </c>
      <c r="I133" s="15" t="s">
        <v>208</v>
      </c>
    </row>
    <row r="134" customFormat="false" ht="15" hidden="false" customHeight="false" outlineLevel="1" collapsed="false">
      <c r="A134" s="4" t="s">
        <v>384</v>
      </c>
      <c r="B134" s="12" t="s">
        <v>77</v>
      </c>
      <c r="C134" s="32" t="n">
        <f aca="false">每MW經濟性!C98+(輸入與假設!$C$132-每MW經濟性!$G$98)*0/4</f>
        <v>0.590886294703084</v>
      </c>
      <c r="D134" s="32" t="n">
        <f aca="false">每MW經濟性!D98+(輸入與假設!$C$132-每MW經濟性!$G$98)*1/4</f>
        <v>0.606396127800419</v>
      </c>
      <c r="E134" s="32" t="n">
        <f aca="false">每MW經濟性!E98+(輸入與假設!$C$132-每MW經濟性!$G$98)*2/4</f>
        <v>0.636293894361242</v>
      </c>
      <c r="F134" s="32" t="n">
        <f aca="false">每MW經濟性!F98+(輸入與假設!$C$132-每MW經濟性!$G$98)*3/4</f>
        <v>0.639061243175207</v>
      </c>
      <c r="G134" s="32" t="n">
        <f aca="false">每MW經濟性!G98+(輸入與假設!$C$132-每MW經濟性!$G$98)*4/4</f>
        <v>0.628749311717266</v>
      </c>
      <c r="I134" s="12" t="s">
        <v>385</v>
      </c>
    </row>
    <row r="135" customFormat="false" ht="15" hidden="false" customHeight="false" outlineLevel="1" collapsed="false">
      <c r="A135" s="3" t="s">
        <v>386</v>
      </c>
      <c r="B135" s="12" t="s">
        <v>93</v>
      </c>
      <c r="C135" s="37" t="n">
        <f aca="false">輸入與假設!C$33*運營_產能與收入!C35</f>
        <v>0.2355722402111</v>
      </c>
      <c r="D135" s="37" t="n">
        <f aca="false">輸入與假設!D$33*運營_產能與收入!D35</f>
        <v>0.788784031806483</v>
      </c>
      <c r="E135" s="37" t="n">
        <f aca="false">輸入與假設!E$33*運營_產能與收入!E35</f>
        <v>1.41272771772835</v>
      </c>
      <c r="F135" s="37" t="n">
        <f aca="false">輸入與假設!F$33*運營_產能與收入!F35</f>
        <v>2.15601484531796</v>
      </c>
      <c r="G135" s="37" t="n">
        <f aca="false">輸入與假設!G$33*運營_產能與收入!G35</f>
        <v>2.83790506812316</v>
      </c>
      <c r="I135" s="7" t="s">
        <v>387</v>
      </c>
    </row>
    <row r="136" customFormat="false" ht="15" hidden="false" customHeight="false" outlineLevel="1" collapsed="true">
      <c r="A136" s="20" t="s">
        <v>388</v>
      </c>
      <c r="B136" s="21"/>
      <c r="C136" s="21"/>
      <c r="D136" s="21"/>
      <c r="E136" s="21"/>
      <c r="F136" s="21"/>
      <c r="G136" s="21"/>
      <c r="H136" s="21"/>
    </row>
    <row r="137" customFormat="false" ht="15" hidden="true" customHeight="false" outlineLevel="2" collapsed="false">
      <c r="A137" s="3" t="s">
        <v>389</v>
      </c>
      <c r="B137" s="7"/>
      <c r="C137" s="22" t="n">
        <v>0</v>
      </c>
      <c r="I137" s="12" t="s">
        <v>390</v>
      </c>
    </row>
    <row r="138" customFormat="false" ht="15" hidden="true" customHeight="false" outlineLevel="2" collapsed="false">
      <c r="A138" s="3" t="s">
        <v>391</v>
      </c>
      <c r="B138" s="12" t="s">
        <v>392</v>
      </c>
      <c r="C138" s="22" t="n">
        <v>60</v>
      </c>
      <c r="D138" s="22" t="n">
        <v>62</v>
      </c>
      <c r="E138" s="22" t="n">
        <v>64</v>
      </c>
      <c r="F138" s="22" t="n">
        <v>66</v>
      </c>
      <c r="G138" s="22" t="n">
        <v>68</v>
      </c>
      <c r="I138" s="12" t="s">
        <v>393</v>
      </c>
    </row>
    <row r="139" customFormat="false" ht="15" hidden="true" customHeight="false" outlineLevel="2" collapsed="false">
      <c r="A139" s="4" t="s">
        <v>394</v>
      </c>
      <c r="B139" s="7"/>
      <c r="C139" s="31" t="n">
        <v>1.25</v>
      </c>
      <c r="D139" s="31" t="n">
        <v>1.24</v>
      </c>
      <c r="E139" s="31" t="n">
        <v>1.22</v>
      </c>
      <c r="F139" s="31" t="n">
        <v>1.2</v>
      </c>
      <c r="G139" s="31" t="n">
        <v>1.2</v>
      </c>
      <c r="I139" s="12" t="s">
        <v>393</v>
      </c>
    </row>
    <row r="140" customFormat="false" ht="15" hidden="true" customHeight="false" outlineLevel="2" collapsed="false">
      <c r="A140" s="3" t="s">
        <v>395</v>
      </c>
      <c r="B140" s="12" t="s">
        <v>396</v>
      </c>
      <c r="C140" s="31" t="n">
        <v>0.15</v>
      </c>
      <c r="D140" s="31" t="n">
        <v>0.15</v>
      </c>
      <c r="E140" s="31" t="n">
        <v>0.16</v>
      </c>
      <c r="F140" s="31" t="n">
        <v>0.16</v>
      </c>
      <c r="G140" s="31" t="n">
        <v>0.17</v>
      </c>
      <c r="I140" s="12" t="s">
        <v>393</v>
      </c>
    </row>
    <row r="141" customFormat="false" ht="15" hidden="false" customHeight="false" outlineLevel="1" collapsed="true">
      <c r="A141" s="20" t="s">
        <v>397</v>
      </c>
      <c r="B141" s="21"/>
      <c r="C141" s="21"/>
      <c r="D141" s="21"/>
      <c r="E141" s="21"/>
      <c r="F141" s="21"/>
      <c r="G141" s="21"/>
      <c r="H141" s="21"/>
    </row>
    <row r="142" customFormat="false" ht="15" hidden="true" customHeight="false" outlineLevel="2" collapsed="false">
      <c r="A142" s="3" t="s">
        <v>398</v>
      </c>
      <c r="B142" s="12" t="s">
        <v>93</v>
      </c>
      <c r="C142" s="24" t="n">
        <v>2.575</v>
      </c>
      <c r="I142" s="12" t="s">
        <v>399</v>
      </c>
    </row>
    <row r="143" customFormat="false" ht="15" hidden="true" customHeight="false" outlineLevel="2" collapsed="false">
      <c r="A143" s="3" t="s">
        <v>400</v>
      </c>
      <c r="B143" s="12" t="s">
        <v>93</v>
      </c>
      <c r="C143" s="24" t="n">
        <v>0.879</v>
      </c>
      <c r="I143" s="12" t="s">
        <v>399</v>
      </c>
    </row>
    <row r="144" customFormat="false" ht="15" hidden="true" customHeight="false" outlineLevel="2" collapsed="false">
      <c r="A144" s="3" t="s">
        <v>401</v>
      </c>
      <c r="B144" s="12" t="s">
        <v>93</v>
      </c>
      <c r="C144" s="24" t="n">
        <v>1.507</v>
      </c>
      <c r="I144" s="12" t="s">
        <v>402</v>
      </c>
    </row>
    <row r="145" customFormat="false" ht="15" hidden="true" customHeight="false" outlineLevel="2" collapsed="false">
      <c r="A145" s="3" t="s">
        <v>403</v>
      </c>
      <c r="B145" s="12" t="s">
        <v>93</v>
      </c>
      <c r="C145" s="24" t="n">
        <v>0.06</v>
      </c>
      <c r="I145" s="12" t="s">
        <v>399</v>
      </c>
    </row>
    <row r="146" customFormat="false" ht="15" hidden="true" customHeight="false" outlineLevel="2" collapsed="false">
      <c r="A146" s="3" t="s">
        <v>404</v>
      </c>
      <c r="B146" s="12" t="s">
        <v>93</v>
      </c>
      <c r="C146" s="24" t="n">
        <v>0.012</v>
      </c>
      <c r="I146" s="12" t="s">
        <v>405</v>
      </c>
    </row>
    <row r="147" customFormat="false" ht="15" hidden="true" customHeight="false" outlineLevel="2" collapsed="false">
      <c r="A147" s="3" t="s">
        <v>406</v>
      </c>
      <c r="B147" s="12" t="s">
        <v>93</v>
      </c>
      <c r="C147" s="24" t="n">
        <v>0.178</v>
      </c>
      <c r="I147" s="12" t="s">
        <v>399</v>
      </c>
    </row>
    <row r="148" customFormat="false" ht="15" hidden="true" customHeight="false" outlineLevel="2" collapsed="false">
      <c r="A148" s="3" t="s">
        <v>407</v>
      </c>
      <c r="B148" s="12" t="s">
        <v>93</v>
      </c>
      <c r="C148" s="24" t="n">
        <v>0.084</v>
      </c>
      <c r="I148" s="12" t="s">
        <v>405</v>
      </c>
    </row>
    <row r="149" customFormat="false" ht="15" hidden="true" customHeight="false" outlineLevel="2" collapsed="false">
      <c r="A149" s="3" t="s">
        <v>408</v>
      </c>
      <c r="B149" s="12" t="s">
        <v>93</v>
      </c>
      <c r="C149" s="24" t="n">
        <v>1.393</v>
      </c>
      <c r="I149" s="12" t="s">
        <v>409</v>
      </c>
    </row>
    <row r="150" customFormat="false" ht="15" hidden="true" customHeight="false" outlineLevel="2" collapsed="false">
      <c r="A150" s="3" t="s">
        <v>410</v>
      </c>
      <c r="B150" s="12" t="s">
        <v>93</v>
      </c>
      <c r="C150" s="24" t="n">
        <v>0.069</v>
      </c>
      <c r="I150" s="12" t="s">
        <v>411</v>
      </c>
    </row>
    <row r="151" customFormat="false" ht="15" hidden="true" customHeight="false" outlineLevel="2" collapsed="false">
      <c r="A151" s="3" t="s">
        <v>412</v>
      </c>
      <c r="B151" s="12" t="s">
        <v>93</v>
      </c>
      <c r="C151" s="24" t="n">
        <v>0.5</v>
      </c>
      <c r="I151" s="12" t="s">
        <v>413</v>
      </c>
    </row>
    <row r="152" customFormat="false" ht="15" hidden="true" customHeight="false" outlineLevel="2" collapsed="false">
      <c r="A152" s="3" t="s">
        <v>414</v>
      </c>
      <c r="B152" s="12" t="s">
        <v>93</v>
      </c>
      <c r="C152" s="24" t="n">
        <v>0.15</v>
      </c>
      <c r="I152" s="12" t="s">
        <v>413</v>
      </c>
    </row>
    <row r="153" customFormat="false" ht="15" hidden="true" customHeight="false" outlineLevel="2" collapsed="false">
      <c r="A153" s="3" t="s">
        <v>415</v>
      </c>
      <c r="B153" s="7"/>
      <c r="C153" s="22" t="n">
        <v>1</v>
      </c>
      <c r="I153" s="12" t="s">
        <v>416</v>
      </c>
    </row>
    <row r="154" customFormat="false" ht="15" hidden="true" customHeight="false" outlineLevel="2" collapsed="false">
      <c r="A154" s="3" t="s">
        <v>417</v>
      </c>
      <c r="B154" s="12" t="s">
        <v>77</v>
      </c>
      <c r="C154" s="32" t="n">
        <f aca="false">IF(輸入與假設!$C$153=2,(輸入與假設!$C$145+輸入與假設!$C$147)/輸入與假設!$C$142,(輸入與假設!$C$145-輸入與假設!$C$146+輸入與假設!$C$147-輸入與假設!$C$148)/輸入與假設!$C$142)</f>
        <v>0.0551456310679611</v>
      </c>
      <c r="I154" s="7" t="s">
        <v>418</v>
      </c>
    </row>
    <row r="155" customFormat="false" ht="15" hidden="true" customHeight="false" outlineLevel="2" collapsed="false">
      <c r="A155" s="3" t="s">
        <v>419</v>
      </c>
      <c r="B155" s="12" t="s">
        <v>179</v>
      </c>
      <c r="C155" s="22" t="n">
        <v>500</v>
      </c>
      <c r="I155" s="7" t="s">
        <v>420</v>
      </c>
    </row>
    <row r="156" customFormat="false" ht="15" hidden="true" customHeight="false" outlineLevel="2" collapsed="false">
      <c r="A156" s="3" t="s">
        <v>421</v>
      </c>
      <c r="B156" s="7" t="s">
        <v>361</v>
      </c>
      <c r="C156" s="38" t="n">
        <v>1</v>
      </c>
      <c r="I156" s="12" t="s">
        <v>422</v>
      </c>
    </row>
    <row r="158" customFormat="false" ht="15" hidden="false" customHeight="false" outlineLevel="0" collapsed="false">
      <c r="A158" s="8" t="s">
        <v>423</v>
      </c>
      <c r="B158" s="9"/>
      <c r="C158" s="9"/>
      <c r="D158" s="9"/>
      <c r="E158" s="9"/>
      <c r="F158" s="9"/>
      <c r="G158" s="9"/>
      <c r="H158" s="9"/>
    </row>
    <row r="159" customFormat="false" ht="15" hidden="false" customHeight="false" outlineLevel="1" collapsed="false">
      <c r="A159" s="3" t="s">
        <v>424</v>
      </c>
      <c r="B159" s="12" t="s">
        <v>77</v>
      </c>
      <c r="C159" s="23" t="n">
        <v>0.35</v>
      </c>
      <c r="I159" s="7" t="s">
        <v>425</v>
      </c>
    </row>
    <row r="160" customFormat="false" ht="15" hidden="false" customHeight="false" outlineLevel="1" collapsed="false">
      <c r="A160" s="4" t="s">
        <v>426</v>
      </c>
      <c r="B160" s="12" t="s">
        <v>179</v>
      </c>
      <c r="C160" s="29" t="n">
        <f aca="false">CHOOSE(輸入與假設!$C$5,I8,I9,I10)</f>
        <v>500</v>
      </c>
      <c r="I160" s="7" t="s">
        <v>427</v>
      </c>
    </row>
    <row r="161" customFormat="false" ht="15" hidden="false" customHeight="false" outlineLevel="1" collapsed="false">
      <c r="A161" s="4" t="s">
        <v>428</v>
      </c>
      <c r="B161" s="12" t="s">
        <v>93</v>
      </c>
      <c r="C161" s="24" t="n">
        <v>35</v>
      </c>
      <c r="I161" s="7" t="s">
        <v>429</v>
      </c>
    </row>
    <row r="162" customFormat="false" ht="15" hidden="false" customHeight="false" outlineLevel="1" collapsed="false">
      <c r="A162" s="4" t="s">
        <v>430</v>
      </c>
      <c r="B162" s="7" t="s">
        <v>254</v>
      </c>
      <c r="C162" s="29" t="n">
        <f aca="false">ROUND(SUMPRODUCT($C$42:$C$46,$G$93:$G$97),0)</f>
        <v>6</v>
      </c>
      <c r="I162" s="7" t="s">
        <v>431</v>
      </c>
    </row>
    <row r="163" customFormat="false" ht="15" hidden="false" customHeight="false" outlineLevel="1" collapsed="false">
      <c r="A163" s="4" t="s">
        <v>432</v>
      </c>
      <c r="B163" s="12" t="s">
        <v>179</v>
      </c>
      <c r="C163" s="22" t="n">
        <v>70</v>
      </c>
      <c r="I163" s="12" t="s">
        <v>433</v>
      </c>
    </row>
    <row r="164" customFormat="false" ht="15" hidden="false" customHeight="false" outlineLevel="1" collapsed="false">
      <c r="A164" s="4" t="s">
        <v>434</v>
      </c>
      <c r="B164" s="12" t="s">
        <v>179</v>
      </c>
      <c r="C164" s="22" t="n">
        <v>360</v>
      </c>
      <c r="I164" s="12" t="s">
        <v>435</v>
      </c>
    </row>
    <row r="165" customFormat="false" ht="15" hidden="false" customHeight="false" outlineLevel="1" collapsed="false">
      <c r="A165" s="4" t="s">
        <v>436</v>
      </c>
      <c r="B165" s="12" t="s">
        <v>93</v>
      </c>
      <c r="C165" s="24" t="n">
        <v>46.736</v>
      </c>
      <c r="I165" s="12" t="s">
        <v>437</v>
      </c>
    </row>
    <row r="166" customFormat="false" ht="15" hidden="false" customHeight="false" outlineLevel="1" collapsed="false">
      <c r="A166" s="3" t="s">
        <v>438</v>
      </c>
      <c r="B166" s="12" t="s">
        <v>77</v>
      </c>
      <c r="C166" s="23" t="n">
        <v>1</v>
      </c>
      <c r="I166" s="7" t="s">
        <v>439</v>
      </c>
    </row>
    <row r="167" customFormat="false" ht="15" hidden="false" customHeight="false" outlineLevel="1" collapsed="false">
      <c r="A167" s="15" t="s">
        <v>87</v>
      </c>
      <c r="B167" s="15" t="s">
        <v>88</v>
      </c>
      <c r="C167" s="27" t="s">
        <v>89</v>
      </c>
      <c r="D167" s="27" t="s">
        <v>90</v>
      </c>
      <c r="E167" s="27" t="s">
        <v>91</v>
      </c>
      <c r="F167" s="27" t="s">
        <v>175</v>
      </c>
      <c r="G167" s="27" t="s">
        <v>176</v>
      </c>
      <c r="I167" s="15" t="s">
        <v>208</v>
      </c>
    </row>
    <row r="168" customFormat="false" ht="15" hidden="false" customHeight="false" outlineLevel="1" collapsed="false">
      <c r="A168" s="3" t="s">
        <v>440</v>
      </c>
      <c r="B168" s="12" t="s">
        <v>396</v>
      </c>
      <c r="C168" s="39" t="n">
        <f aca="false">SUMPRODUCT(C86:C90,$C$93:$C$97)</f>
        <v>30.592814</v>
      </c>
      <c r="D168" s="39" t="n">
        <f aca="false">SUMPRODUCT(D86:D90,$C$93:$C$97)</f>
        <v>34.911788</v>
      </c>
      <c r="E168" s="39" t="n">
        <f aca="false">SUMPRODUCT(E86:E90,$C$93:$C$97)</f>
        <v>37.586352</v>
      </c>
      <c r="F168" s="39" t="n">
        <f aca="false">SUMPRODUCT(F86:F90,$C$93:$C$97)</f>
        <v>37.586352</v>
      </c>
      <c r="G168" s="39" t="n">
        <f aca="false">SUMPRODUCT(G86:G90,$C$93:$C$97)</f>
        <v>37.586352</v>
      </c>
      <c r="I168" s="7" t="s">
        <v>441</v>
      </c>
    </row>
    <row r="169" customFormat="false" ht="15" hidden="false" customHeight="false" outlineLevel="1" collapsed="false">
      <c r="A169" s="3" t="s">
        <v>442</v>
      </c>
      <c r="B169" s="12" t="s">
        <v>396</v>
      </c>
      <c r="C169" s="40" t="n">
        <v>34</v>
      </c>
      <c r="D169" s="40" t="n">
        <v>34</v>
      </c>
      <c r="E169" s="40" t="n">
        <v>34</v>
      </c>
      <c r="F169" s="40" t="n">
        <v>34</v>
      </c>
      <c r="G169" s="40" t="n">
        <v>34</v>
      </c>
      <c r="I169" s="7" t="s">
        <v>443</v>
      </c>
    </row>
    <row r="170" customFormat="false" ht="15" hidden="false" customHeight="false" outlineLevel="1" collapsed="false">
      <c r="A170" s="3" t="s">
        <v>444</v>
      </c>
      <c r="B170" s="12" t="s">
        <v>77</v>
      </c>
      <c r="C170" s="23" t="n">
        <v>0.08</v>
      </c>
      <c r="D170" s="23" t="n">
        <v>0.08</v>
      </c>
      <c r="E170" s="23" t="n">
        <v>0.08</v>
      </c>
      <c r="F170" s="23" t="n">
        <v>0.08</v>
      </c>
      <c r="G170" s="23" t="n">
        <v>0.08</v>
      </c>
      <c r="I170" s="12" t="s">
        <v>445</v>
      </c>
    </row>
    <row r="171" customFormat="false" ht="15" hidden="false" customHeight="false" outlineLevel="1" collapsed="false">
      <c r="A171" s="3" t="s">
        <v>446</v>
      </c>
      <c r="B171" s="12" t="s">
        <v>93</v>
      </c>
      <c r="C171" s="24" t="n">
        <v>1.04</v>
      </c>
      <c r="D171" s="24" t="n">
        <v>2.339</v>
      </c>
      <c r="E171" s="24" t="n">
        <v>2.306</v>
      </c>
      <c r="F171" s="24" t="n">
        <v>2.373</v>
      </c>
      <c r="G171" s="24" t="n">
        <v>2.289</v>
      </c>
      <c r="I171" s="7" t="s">
        <v>447</v>
      </c>
    </row>
    <row r="172" customFormat="false" ht="15" hidden="false" customHeight="false" outlineLevel="1" collapsed="false">
      <c r="A172" s="3" t="s">
        <v>448</v>
      </c>
      <c r="B172" s="12" t="s">
        <v>93</v>
      </c>
      <c r="C172" s="37" t="n">
        <f aca="false">C12*MAX(0,C26-輸入與假設!$C$13)/(C10-輸入與假設!$C$13)</f>
        <v>0.3</v>
      </c>
      <c r="D172" s="37" t="n">
        <f aca="false">D12*MAX(0,D26-輸入與假設!$C$13)/(D10-輸入與假設!$C$13)</f>
        <v>1.6</v>
      </c>
      <c r="E172" s="37" t="n">
        <f aca="false">E12*MAX(0,E26-輸入與假設!$C$13)/(E10-輸入與假設!$C$13)</f>
        <v>2.41935483870968</v>
      </c>
      <c r="F172" s="37" t="n">
        <f aca="false">F12*MAX(0,F26-輸入與假設!$C$13)/(F10-輸入與假設!$C$13)</f>
        <v>2.75</v>
      </c>
      <c r="G172" s="37" t="n">
        <f aca="false">G12*MAX(0,G26-輸入與假設!$C$13)/(G10-輸入與假設!$C$13)</f>
        <v>2.90153846153846</v>
      </c>
      <c r="I172" s="7" t="s">
        <v>449</v>
      </c>
    </row>
    <row r="173" customFormat="false" ht="15" hidden="false" customHeight="false" outlineLevel="1" collapsed="false">
      <c r="A173" s="4" t="s">
        <v>450</v>
      </c>
      <c r="B173" s="12" t="s">
        <v>93</v>
      </c>
      <c r="C173" s="24" t="n">
        <v>1.15</v>
      </c>
      <c r="D173" s="24" t="n">
        <v>0</v>
      </c>
      <c r="E173" s="24" t="n">
        <v>0</v>
      </c>
      <c r="F173" s="24" t="n">
        <v>0</v>
      </c>
      <c r="G173" s="24" t="n">
        <v>0</v>
      </c>
      <c r="I173" s="12" t="s">
        <v>451</v>
      </c>
    </row>
    <row r="174" customFormat="false" ht="15" hidden="false" customHeight="false" outlineLevel="1" collapsed="false">
      <c r="A174" s="4" t="s">
        <v>452</v>
      </c>
      <c r="B174" s="12" t="s">
        <v>93</v>
      </c>
      <c r="C174" s="24" t="n">
        <v>0.1</v>
      </c>
      <c r="D174" s="24" t="n">
        <v>0.4</v>
      </c>
      <c r="E174" s="24" t="n">
        <v>0.3</v>
      </c>
      <c r="F174" s="24" t="n">
        <v>0.2</v>
      </c>
      <c r="G174" s="24" t="n">
        <v>0.2</v>
      </c>
      <c r="I174" s="7" t="s">
        <v>453</v>
      </c>
    </row>
    <row r="175" customFormat="false" ht="15" hidden="false" customHeight="false" outlineLevel="1" collapsed="false">
      <c r="A175" s="4" t="s">
        <v>454</v>
      </c>
      <c r="B175" s="12" t="s">
        <v>93</v>
      </c>
      <c r="C175" s="37" t="n">
        <f aca="false">C173+C174</f>
        <v>1.25</v>
      </c>
      <c r="D175" s="37" t="n">
        <f aca="false">D173+D174</f>
        <v>0.4</v>
      </c>
      <c r="E175" s="37" t="n">
        <f aca="false">E173+E174</f>
        <v>0.3</v>
      </c>
      <c r="F175" s="37" t="n">
        <f aca="false">F173+F174</f>
        <v>0.2</v>
      </c>
      <c r="G175" s="37" t="n">
        <f aca="false">G173+G174</f>
        <v>0.2</v>
      </c>
      <c r="I175" s="7" t="s">
        <v>455</v>
      </c>
    </row>
    <row r="176" customFormat="false" ht="15" hidden="false" customHeight="false" outlineLevel="1" collapsed="true">
      <c r="A176" s="41" t="s">
        <v>456</v>
      </c>
      <c r="B176" s="21"/>
      <c r="C176" s="21"/>
      <c r="D176" s="21"/>
      <c r="E176" s="21"/>
      <c r="F176" s="21"/>
      <c r="G176" s="21"/>
      <c r="H176" s="21"/>
    </row>
    <row r="177" customFormat="false" ht="15" hidden="true" customHeight="false" outlineLevel="2" collapsed="false">
      <c r="A177" s="3" t="s">
        <v>457</v>
      </c>
      <c r="B177" s="12" t="s">
        <v>179</v>
      </c>
      <c r="C177" s="29" t="n">
        <f aca="false">輸入與假設!$C$19</f>
        <v>850</v>
      </c>
      <c r="D177" s="29" t="n">
        <f aca="false">C26</f>
        <v>1850</v>
      </c>
      <c r="E177" s="29" t="n">
        <f aca="false">D26</f>
        <v>3100</v>
      </c>
      <c r="F177" s="29" t="n">
        <f aca="false">E26</f>
        <v>4000</v>
      </c>
      <c r="G177" s="29" t="n">
        <f aca="false">F26</f>
        <v>4800</v>
      </c>
      <c r="I177" s="12" t="s">
        <v>458</v>
      </c>
    </row>
    <row r="178" customFormat="false" ht="15" hidden="true" customHeight="false" outlineLevel="2" collapsed="false">
      <c r="A178" s="3" t="s">
        <v>459</v>
      </c>
      <c r="B178" s="12" t="s">
        <v>179</v>
      </c>
      <c r="C178" s="29" t="n">
        <f aca="false">C26-C177</f>
        <v>1000</v>
      </c>
      <c r="D178" s="29" t="n">
        <f aca="false">D26-D177</f>
        <v>1250</v>
      </c>
      <c r="E178" s="29" t="n">
        <f aca="false">E26-E177</f>
        <v>900</v>
      </c>
      <c r="F178" s="29" t="n">
        <f aca="false">F26-F177</f>
        <v>800</v>
      </c>
      <c r="G178" s="29" t="n">
        <f aca="false">G26-G177</f>
        <v>800</v>
      </c>
    </row>
    <row r="179" customFormat="false" ht="15" hidden="true" customHeight="false" outlineLevel="2" collapsed="false">
      <c r="A179" s="3" t="s">
        <v>460</v>
      </c>
      <c r="B179" s="12" t="s">
        <v>179</v>
      </c>
      <c r="C179" s="29" t="n">
        <f aca="false">D26-C26</f>
        <v>1250</v>
      </c>
      <c r="D179" s="29" t="n">
        <f aca="false">E26-D26</f>
        <v>900</v>
      </c>
      <c r="E179" s="29" t="n">
        <f aca="false">F26-E26</f>
        <v>800</v>
      </c>
      <c r="F179" s="29" t="n">
        <f aca="false">G26-F26</f>
        <v>800</v>
      </c>
      <c r="G179" s="29" t="n">
        <f aca="false">輸入與假設!$C$160</f>
        <v>500</v>
      </c>
    </row>
    <row r="180" customFormat="false" ht="15" hidden="true" customHeight="false" outlineLevel="2" collapsed="false">
      <c r="A180" s="3" t="s">
        <v>461</v>
      </c>
      <c r="B180" s="12" t="s">
        <v>93</v>
      </c>
      <c r="C180" s="37" t="n">
        <f aca="false">(C178*(1-輸入與假設!$C$159)+C179*輸入與假設!$C$159)*C168*輸入與假設!$C$166/1000</f>
        <v>33.269685225</v>
      </c>
      <c r="D180" s="37" t="n">
        <f aca="false">(D178*(1-輸入與假設!$C$159)+D179*輸入與假設!$C$159)*D168*輸入與假設!$C$166/1000</f>
        <v>39.36304097</v>
      </c>
      <c r="E180" s="37" t="n">
        <f aca="false">(E178*(1-輸入與假設!$C$159)+E179*輸入與假設!$C$159)*E168*輸入與假設!$C$166/1000</f>
        <v>32.51219448</v>
      </c>
      <c r="F180" s="37" t="n">
        <f aca="false">(F178*(1-輸入與假設!$C$159)+F179*輸入與假設!$C$159)*F168*輸入與假設!$C$166/1000</f>
        <v>30.0690816</v>
      </c>
      <c r="G180" s="37" t="n">
        <f aca="false">(G178*(1-輸入與假設!$C$159)+G179*輸入與假設!$C$159)*G168*輸入與假設!$C$166/1000</f>
        <v>26.12251464</v>
      </c>
      <c r="I180" s="7" t="s">
        <v>462</v>
      </c>
    </row>
    <row r="181" customFormat="false" ht="15" hidden="true" customHeight="false" outlineLevel="2" collapsed="false">
      <c r="A181" s="3" t="s">
        <v>463</v>
      </c>
      <c r="B181" s="12" t="s">
        <v>93</v>
      </c>
      <c r="C181" s="37" t="n">
        <f aca="false">MAX(C180,輸入與假設!$C$161)-輸入與假設!$C$263</f>
        <v>18.861</v>
      </c>
      <c r="D181" s="37" t="n">
        <f aca="false">D180</f>
        <v>39.36304097</v>
      </c>
      <c r="E181" s="37" t="n">
        <f aca="false">E180</f>
        <v>32.51219448</v>
      </c>
      <c r="F181" s="37" t="n">
        <f aca="false">F180</f>
        <v>30.0690816</v>
      </c>
      <c r="G181" s="37" t="n">
        <f aca="false">G180</f>
        <v>26.12251464</v>
      </c>
      <c r="I181" s="12" t="s">
        <v>464</v>
      </c>
    </row>
    <row r="182" customFormat="false" ht="15" hidden="true" customHeight="false" outlineLevel="2" collapsed="false">
      <c r="A182" s="4" t="s">
        <v>465</v>
      </c>
      <c r="B182" s="12" t="s">
        <v>93</v>
      </c>
      <c r="C182" s="37" t="n">
        <f aca="false">IF(2026-輸入與假設!$C$162=2023,輸入與假設!$C$163,IF(2026-輸入與假設!$C$162=2024,輸入與假設!$C$164-輸入與假設!$C$163,IF(2026-輸入與假設!$C$162=2025,輸入與假設!$C$19-輸入與假設!$C$164,0)))*C168*輸入與假設!$C$166/1000</f>
        <v>0</v>
      </c>
      <c r="D182" s="37" t="n">
        <f aca="false">IF(2027-輸入與假設!$C$162=2023,輸入與假設!$C$163,IF(2027-輸入與假設!$C$162=2024,輸入與假設!$C$164-輸入與假設!$C$163,IF(2027-輸入與假設!$C$162=2025,輸入與假設!$C$19-輸入與假設!$C$164,0)))*D168*輸入與假設!$C$166/1000</f>
        <v>0</v>
      </c>
      <c r="E182" s="37" t="n">
        <f aca="false">IF(2028-輸入與假設!$C$162=2023,輸入與假設!$C$163,IF(2028-輸入與假設!$C$162=2024,輸入與假設!$C$164-輸入與假設!$C$163,IF(2028-輸入與假設!$C$162=2025,輸入與假設!$C$19-輸入與假設!$C$164,0)))*E168*輸入與假設!$C$166/1000</f>
        <v>0</v>
      </c>
      <c r="F182" s="37" t="n">
        <f aca="false">IF(2029-輸入與假設!$C$162=2023,輸入與假設!$C$163,IF(2029-輸入與假設!$C$162=2024,輸入與假設!$C$164-輸入與假設!$C$163,IF(2029-輸入與假設!$C$162=2025,輸入與假設!$C$19-輸入與假設!$C$164,0)))*F168*輸入與假設!$C$166/1000</f>
        <v>2.63104464</v>
      </c>
      <c r="G182" s="37" t="n">
        <f aca="false">IF(2030-輸入與假設!$C$162=2023,輸入與假設!$C$163,IF(2030-輸入與假設!$C$162=2024,輸入與假設!$C$164-輸入與假設!$C$163,IF(2030-輸入與假設!$C$162=2025,輸入與假設!$C$19-輸入與假設!$C$164,0)))*G168*輸入與假設!$C$166/1000</f>
        <v>10.90004208</v>
      </c>
      <c r="I182" s="7" t="s">
        <v>466</v>
      </c>
    </row>
    <row r="183" customFormat="false" ht="15" hidden="true" customHeight="false" outlineLevel="2" collapsed="false">
      <c r="A183" s="3" t="s">
        <v>467</v>
      </c>
      <c r="B183" s="12" t="s">
        <v>93</v>
      </c>
      <c r="C183" s="37" t="n">
        <f aca="false">輸入與假設!$C$165</f>
        <v>46.736</v>
      </c>
      <c r="D183" s="37" t="n">
        <f aca="false">C183+C181</f>
        <v>65.597</v>
      </c>
      <c r="E183" s="37" t="n">
        <f aca="false">D183+D181</f>
        <v>104.96004097</v>
      </c>
      <c r="F183" s="37" t="n">
        <f aca="false">E183+E181</f>
        <v>137.47223545</v>
      </c>
      <c r="G183" s="37" t="n">
        <f aca="false">F183+F181</f>
        <v>167.54131705</v>
      </c>
      <c r="I183" s="7" t="s">
        <v>468</v>
      </c>
    </row>
    <row r="184" customFormat="false" ht="15" hidden="false" customHeight="false" outlineLevel="1" collapsed="false">
      <c r="A184" s="41" t="s">
        <v>469</v>
      </c>
      <c r="B184" s="21"/>
      <c r="C184" s="21"/>
      <c r="D184" s="21"/>
      <c r="E184" s="21"/>
      <c r="F184" s="21"/>
      <c r="G184" s="21"/>
      <c r="H184" s="21"/>
    </row>
    <row r="185" customFormat="false" ht="15" hidden="false" customHeight="false" outlineLevel="2" collapsed="false">
      <c r="A185" s="3" t="s">
        <v>470</v>
      </c>
      <c r="B185" s="12" t="s">
        <v>93</v>
      </c>
      <c r="C185" s="42" t="n">
        <f aca="false">C181+C182</f>
        <v>18.861</v>
      </c>
      <c r="D185" s="42" t="n">
        <f aca="false">D181+D182</f>
        <v>39.36304097</v>
      </c>
      <c r="E185" s="42" t="n">
        <f aca="false">E181+E182</f>
        <v>32.51219448</v>
      </c>
      <c r="F185" s="42" t="n">
        <f aca="false">F181+F182</f>
        <v>32.70012624</v>
      </c>
      <c r="G185" s="42" t="n">
        <f aca="false">G181+G182</f>
        <v>37.02255672</v>
      </c>
      <c r="I185" s="7" t="s">
        <v>471</v>
      </c>
    </row>
    <row r="186" customFormat="false" ht="15" hidden="false" customHeight="false" outlineLevel="2" collapsed="false">
      <c r="A186" s="4" t="s">
        <v>472</v>
      </c>
      <c r="B186" s="12" t="s">
        <v>93</v>
      </c>
      <c r="C186" s="42" t="n">
        <f aca="false">(C183+0.5*C181)/輸入與假設!$C$162*C24</f>
        <v>4.68054166666667</v>
      </c>
      <c r="D186" s="42" t="n">
        <f aca="false">(D183+0.5*D181)/輸入與假設!$C$162*D24</f>
        <v>14.2130867475</v>
      </c>
      <c r="E186" s="42" t="n">
        <f aca="false">(E183+0.5*E181)/輸入與假設!$C$162*E24</f>
        <v>20.2026897016667</v>
      </c>
      <c r="F186" s="42" t="n">
        <f aca="false">(F183+0.5*F181)/輸入與假設!$C$162*F24</f>
        <v>25.4177960416667</v>
      </c>
      <c r="G186" s="42" t="n">
        <f aca="false">(G183+0.5*G181)/輸入與假設!$C$162*G24</f>
        <v>30.1004290616667</v>
      </c>
      <c r="I186" s="7" t="s">
        <v>473</v>
      </c>
    </row>
    <row r="188" customFormat="false" ht="15" hidden="false" customHeight="false" outlineLevel="0" collapsed="false">
      <c r="A188" s="8" t="s">
        <v>474</v>
      </c>
      <c r="B188" s="9"/>
      <c r="C188" s="9"/>
      <c r="D188" s="9"/>
      <c r="E188" s="9"/>
      <c r="F188" s="9"/>
      <c r="G188" s="9"/>
      <c r="H188" s="9"/>
    </row>
    <row r="189" customFormat="false" ht="15" hidden="false" customHeight="false" outlineLevel="1" collapsed="false">
      <c r="A189" s="3" t="s">
        <v>475</v>
      </c>
      <c r="B189" s="12" t="s">
        <v>93</v>
      </c>
      <c r="C189" s="24" t="n">
        <v>5.5</v>
      </c>
      <c r="I189" s="12" t="s">
        <v>476</v>
      </c>
    </row>
    <row r="190" customFormat="false" ht="15" hidden="false" customHeight="false" outlineLevel="1" collapsed="false">
      <c r="A190" s="3" t="s">
        <v>477</v>
      </c>
      <c r="B190" s="12" t="s">
        <v>93</v>
      </c>
      <c r="C190" s="24" t="n">
        <v>6.2</v>
      </c>
      <c r="I190" s="12" t="s">
        <v>478</v>
      </c>
    </row>
    <row r="191" customFormat="false" ht="15" hidden="false" customHeight="false" outlineLevel="1" collapsed="false">
      <c r="A191" s="3" t="s">
        <v>479</v>
      </c>
      <c r="B191" s="7"/>
      <c r="C191" s="22" t="n">
        <v>1</v>
      </c>
      <c r="I191" s="7" t="s">
        <v>480</v>
      </c>
    </row>
    <row r="192" customFormat="false" ht="15" hidden="false" customHeight="false" outlineLevel="1" collapsed="false">
      <c r="A192" s="3" t="s">
        <v>481</v>
      </c>
      <c r="B192" s="12" t="s">
        <v>93</v>
      </c>
      <c r="C192" s="24" t="n">
        <v>10</v>
      </c>
      <c r="I192" s="12" t="s">
        <v>482</v>
      </c>
    </row>
    <row r="193" customFormat="false" ht="15" hidden="false" customHeight="false" outlineLevel="1" collapsed="false">
      <c r="A193" s="3" t="s">
        <v>483</v>
      </c>
      <c r="B193" s="7"/>
      <c r="C193" s="22" t="n">
        <v>1</v>
      </c>
      <c r="I193" s="7" t="s">
        <v>484</v>
      </c>
    </row>
    <row r="194" customFormat="false" ht="15" hidden="false" customHeight="false" outlineLevel="1" collapsed="false">
      <c r="A194" s="3" t="s">
        <v>485</v>
      </c>
      <c r="B194" s="7"/>
      <c r="C194" s="22" t="n">
        <v>1</v>
      </c>
      <c r="I194" s="12" t="s">
        <v>486</v>
      </c>
    </row>
    <row r="195" customFormat="false" ht="15" hidden="false" customHeight="false" outlineLevel="1" collapsed="false">
      <c r="A195" s="3" t="s">
        <v>487</v>
      </c>
      <c r="B195" s="12" t="s">
        <v>139</v>
      </c>
      <c r="C195" s="43" t="n">
        <v>1</v>
      </c>
      <c r="I195" s="7" t="s">
        <v>488</v>
      </c>
    </row>
    <row r="196" customFormat="false" ht="15" hidden="false" customHeight="false" outlineLevel="1" collapsed="false">
      <c r="A196" s="3" t="s">
        <v>489</v>
      </c>
      <c r="B196" s="7" t="s">
        <v>254</v>
      </c>
      <c r="C196" s="22" t="n">
        <v>5</v>
      </c>
      <c r="I196" s="12" t="s">
        <v>490</v>
      </c>
    </row>
    <row r="197" customFormat="false" ht="15" hidden="false" customHeight="false" outlineLevel="1" collapsed="false">
      <c r="A197" s="3" t="s">
        <v>491</v>
      </c>
      <c r="B197" s="12" t="s">
        <v>93</v>
      </c>
      <c r="C197" s="24" t="n">
        <v>2</v>
      </c>
      <c r="I197" s="7" t="s">
        <v>492</v>
      </c>
    </row>
    <row r="198" customFormat="false" ht="15" hidden="false" customHeight="false" outlineLevel="1" collapsed="false">
      <c r="A198" s="3" t="s">
        <v>493</v>
      </c>
      <c r="B198" s="12" t="s">
        <v>74</v>
      </c>
      <c r="C198" s="44" t="n">
        <v>90.13</v>
      </c>
      <c r="I198" s="7" t="s">
        <v>494</v>
      </c>
    </row>
    <row r="199" customFormat="false" ht="15" hidden="false" customHeight="false" outlineLevel="1" collapsed="false">
      <c r="A199" s="3" t="s">
        <v>495</v>
      </c>
      <c r="B199" s="12" t="s">
        <v>77</v>
      </c>
      <c r="C199" s="23" t="n">
        <v>0.1</v>
      </c>
      <c r="I199" s="7" t="s">
        <v>496</v>
      </c>
    </row>
    <row r="200" customFormat="false" ht="15" hidden="false" customHeight="false" outlineLevel="1" collapsed="false">
      <c r="A200" s="3" t="s">
        <v>497</v>
      </c>
      <c r="B200" s="12" t="s">
        <v>77</v>
      </c>
      <c r="C200" s="23" t="n">
        <v>0.2</v>
      </c>
      <c r="I200" s="12" t="s">
        <v>498</v>
      </c>
    </row>
    <row r="201" customFormat="false" ht="15" hidden="false" customHeight="false" outlineLevel="1" collapsed="false">
      <c r="A201" s="3" t="s">
        <v>499</v>
      </c>
      <c r="B201" s="12" t="s">
        <v>500</v>
      </c>
      <c r="C201" s="45" t="n">
        <v>0.5865</v>
      </c>
      <c r="I201" s="7" t="s">
        <v>501</v>
      </c>
    </row>
    <row r="202" customFormat="false" ht="15" hidden="false" customHeight="false" outlineLevel="1" collapsed="false">
      <c r="A202" s="3" t="s">
        <v>502</v>
      </c>
      <c r="B202" s="12" t="s">
        <v>77</v>
      </c>
      <c r="C202" s="23" t="n">
        <v>0.12</v>
      </c>
      <c r="I202" s="7" t="s">
        <v>503</v>
      </c>
    </row>
    <row r="203" customFormat="false" ht="15" hidden="false" customHeight="false" outlineLevel="1" collapsed="false">
      <c r="A203" s="4" t="s">
        <v>504</v>
      </c>
      <c r="B203" s="12" t="s">
        <v>505</v>
      </c>
      <c r="C203" s="22" t="n">
        <v>720</v>
      </c>
      <c r="I203" s="12" t="s">
        <v>506</v>
      </c>
    </row>
    <row r="204" customFormat="false" ht="15" hidden="false" customHeight="false" outlineLevel="1" collapsed="false">
      <c r="A204" s="4" t="s">
        <v>507</v>
      </c>
      <c r="B204" s="7"/>
      <c r="C204" s="22" t="n">
        <v>0</v>
      </c>
      <c r="I204" s="7" t="s">
        <v>508</v>
      </c>
    </row>
    <row r="205" customFormat="false" ht="15" hidden="false" customHeight="false" outlineLevel="1" collapsed="false">
      <c r="A205" s="4" t="s">
        <v>509</v>
      </c>
      <c r="B205" s="12" t="s">
        <v>505</v>
      </c>
      <c r="C205" s="22" t="n">
        <v>450</v>
      </c>
      <c r="I205" s="12" t="s">
        <v>510</v>
      </c>
    </row>
    <row r="206" customFormat="false" ht="15" hidden="false" customHeight="false" outlineLevel="1" collapsed="false">
      <c r="A206" s="4" t="s">
        <v>511</v>
      </c>
      <c r="B206" s="12" t="s">
        <v>77</v>
      </c>
      <c r="C206" s="23" t="n">
        <v>0.4</v>
      </c>
      <c r="I206" s="7" t="s">
        <v>512</v>
      </c>
    </row>
    <row r="207" customFormat="false" ht="15" hidden="false" customHeight="false" outlineLevel="1" collapsed="false">
      <c r="A207" s="15" t="s">
        <v>87</v>
      </c>
      <c r="B207" s="15" t="s">
        <v>88</v>
      </c>
      <c r="C207" s="27" t="s">
        <v>89</v>
      </c>
      <c r="D207" s="27" t="s">
        <v>90</v>
      </c>
      <c r="E207" s="27" t="s">
        <v>91</v>
      </c>
      <c r="F207" s="27" t="s">
        <v>175</v>
      </c>
      <c r="G207" s="27" t="s">
        <v>176</v>
      </c>
      <c r="I207" s="15" t="s">
        <v>208</v>
      </c>
    </row>
    <row r="208" customFormat="false" ht="15" hidden="false" customHeight="false" outlineLevel="1" collapsed="false">
      <c r="A208" s="3" t="s">
        <v>513</v>
      </c>
      <c r="B208" s="12" t="s">
        <v>93</v>
      </c>
      <c r="C208" s="24" t="n">
        <v>4.413</v>
      </c>
      <c r="D208" s="24" t="n">
        <v>6.184</v>
      </c>
      <c r="E208" s="24" t="n">
        <v>4.416</v>
      </c>
      <c r="F208" s="24" t="n">
        <v>2.421</v>
      </c>
      <c r="G208" s="24" t="n">
        <v>3.221</v>
      </c>
      <c r="I208" s="7" t="s">
        <v>514</v>
      </c>
    </row>
    <row r="209" customFormat="false" ht="15" hidden="false" customHeight="false" outlineLevel="1" collapsed="false">
      <c r="A209" s="3" t="s">
        <v>515</v>
      </c>
      <c r="B209" s="12" t="s">
        <v>77</v>
      </c>
      <c r="C209" s="23" t="n">
        <v>0.09</v>
      </c>
      <c r="D209" s="23" t="n">
        <v>0.09</v>
      </c>
      <c r="E209" s="23" t="n">
        <v>0.09</v>
      </c>
      <c r="F209" s="23" t="n">
        <v>0.09</v>
      </c>
      <c r="G209" s="23" t="n">
        <v>0.09</v>
      </c>
      <c r="I209" s="7" t="s">
        <v>516</v>
      </c>
    </row>
    <row r="210" customFormat="false" ht="15" hidden="false" customHeight="false" outlineLevel="1" collapsed="false">
      <c r="A210" s="3" t="s">
        <v>517</v>
      </c>
      <c r="B210" s="12" t="s">
        <v>93</v>
      </c>
      <c r="C210" s="46" t="n">
        <f aca="false">資產負債_既有債務!C35</f>
        <v>1.80589628695395</v>
      </c>
      <c r="D210" s="46" t="n">
        <f aca="false">資產負債_既有債務!D35</f>
        <v>2.46600676169447</v>
      </c>
      <c r="E210" s="46" t="n">
        <f aca="false">資產負債_既有債務!E35</f>
        <v>2.02009474796771</v>
      </c>
      <c r="F210" s="46" t="n">
        <f aca="false">資產負債_既有債務!F35</f>
        <v>1.73248149911395</v>
      </c>
      <c r="G210" s="46" t="n">
        <f aca="false">資產負債_既有債務!G35</f>
        <v>1.49513851973222</v>
      </c>
      <c r="I210" s="7" t="s">
        <v>518</v>
      </c>
    </row>
    <row r="212" customFormat="false" ht="15" hidden="false" customHeight="false" outlineLevel="0" collapsed="false">
      <c r="A212" s="8" t="s">
        <v>519</v>
      </c>
      <c r="B212" s="9"/>
      <c r="C212" s="9"/>
      <c r="D212" s="9"/>
      <c r="E212" s="9"/>
      <c r="F212" s="9"/>
      <c r="G212" s="9"/>
      <c r="H212" s="9"/>
    </row>
    <row r="213" customFormat="false" ht="15" hidden="false" customHeight="false" outlineLevel="1" collapsed="false">
      <c r="A213" s="3" t="s">
        <v>520</v>
      </c>
      <c r="B213" s="12" t="s">
        <v>74</v>
      </c>
      <c r="C213" s="44" t="n">
        <v>90.13</v>
      </c>
      <c r="I213" s="12" t="s">
        <v>521</v>
      </c>
    </row>
    <row r="214" customFormat="false" ht="15" hidden="false" customHeight="false" outlineLevel="1" collapsed="false">
      <c r="A214" s="3" t="s">
        <v>522</v>
      </c>
      <c r="B214" s="12" t="s">
        <v>500</v>
      </c>
      <c r="C214" s="38" t="n">
        <v>0.587</v>
      </c>
      <c r="I214" s="12" t="s">
        <v>523</v>
      </c>
    </row>
    <row r="215" customFormat="false" ht="15" hidden="false" customHeight="false" outlineLevel="1" collapsed="false">
      <c r="A215" s="3" t="s">
        <v>524</v>
      </c>
      <c r="B215" s="12" t="s">
        <v>93</v>
      </c>
      <c r="C215" s="24" t="n">
        <v>30</v>
      </c>
      <c r="I215" s="7" t="s">
        <v>525</v>
      </c>
    </row>
    <row r="216" customFormat="false" ht="15" hidden="false" customHeight="false" outlineLevel="1" collapsed="false">
      <c r="A216" s="4" t="s">
        <v>526</v>
      </c>
      <c r="B216" s="12" t="s">
        <v>77</v>
      </c>
      <c r="C216" s="23" t="n">
        <v>0.11</v>
      </c>
      <c r="I216" s="12" t="s">
        <v>227</v>
      </c>
    </row>
    <row r="217" customFormat="false" ht="15" hidden="false" customHeight="false" outlineLevel="1" collapsed="false">
      <c r="A217" s="3" t="s">
        <v>527</v>
      </c>
      <c r="B217" s="12" t="s">
        <v>77</v>
      </c>
      <c r="C217" s="23" t="n">
        <v>0.03</v>
      </c>
      <c r="I217" s="12" t="s">
        <v>227</v>
      </c>
    </row>
    <row r="218" customFormat="false" ht="15" hidden="false" customHeight="false" outlineLevel="1" collapsed="false">
      <c r="A218" s="3" t="s">
        <v>528</v>
      </c>
      <c r="B218" s="12" t="s">
        <v>77</v>
      </c>
      <c r="C218" s="23" t="n">
        <v>0.8</v>
      </c>
      <c r="I218" s="7" t="s">
        <v>529</v>
      </c>
    </row>
    <row r="219" customFormat="false" ht="15" hidden="false" customHeight="false" outlineLevel="1" collapsed="false">
      <c r="A219" s="3" t="s">
        <v>530</v>
      </c>
      <c r="B219" s="12" t="s">
        <v>77</v>
      </c>
      <c r="C219" s="23" t="n">
        <v>0.21</v>
      </c>
      <c r="I219" s="7" t="s">
        <v>531</v>
      </c>
    </row>
    <row r="220" customFormat="false" ht="15" hidden="false" customHeight="false" outlineLevel="1" collapsed="false">
      <c r="A220" s="3" t="s">
        <v>532</v>
      </c>
      <c r="B220" s="12" t="s">
        <v>93</v>
      </c>
      <c r="C220" s="24" t="n">
        <v>4</v>
      </c>
      <c r="I220" s="12" t="s">
        <v>533</v>
      </c>
    </row>
    <row r="221" customFormat="false" ht="15" hidden="false" customHeight="false" outlineLevel="1" collapsed="false">
      <c r="A221" s="4" t="s">
        <v>534</v>
      </c>
      <c r="B221" s="12" t="s">
        <v>77</v>
      </c>
      <c r="C221" s="23" t="n">
        <v>0.8</v>
      </c>
      <c r="I221" s="7" t="s">
        <v>535</v>
      </c>
    </row>
    <row r="222" customFormat="false" ht="15" hidden="false" customHeight="false" outlineLevel="1" collapsed="false">
      <c r="A222" s="3" t="s">
        <v>536</v>
      </c>
      <c r="B222" s="12" t="s">
        <v>77</v>
      </c>
      <c r="C222" s="23" t="n">
        <v>0.02</v>
      </c>
      <c r="I222" s="7" t="s">
        <v>537</v>
      </c>
    </row>
    <row r="223" customFormat="false" ht="15" hidden="false" customHeight="false" outlineLevel="1" collapsed="false">
      <c r="A223" s="4" t="s">
        <v>538</v>
      </c>
      <c r="B223" s="12" t="s">
        <v>139</v>
      </c>
      <c r="C223" s="47" t="n">
        <v>6</v>
      </c>
      <c r="I223" s="7" t="s">
        <v>539</v>
      </c>
    </row>
    <row r="224" customFormat="false" ht="15" hidden="false" customHeight="false" outlineLevel="1" collapsed="false">
      <c r="A224" s="4" t="s">
        <v>540</v>
      </c>
      <c r="B224" s="7"/>
      <c r="C224" s="19" t="n">
        <v>3</v>
      </c>
      <c r="I224" s="7" t="s">
        <v>541</v>
      </c>
    </row>
    <row r="225" customFormat="false" ht="15" hidden="false" customHeight="false" outlineLevel="1" collapsed="false">
      <c r="A225" s="3" t="s">
        <v>542</v>
      </c>
      <c r="B225" s="12" t="s">
        <v>77</v>
      </c>
      <c r="C225" s="23" t="n">
        <v>0.45</v>
      </c>
      <c r="I225" s="7"/>
    </row>
    <row r="226" customFormat="false" ht="15" hidden="false" customHeight="false" outlineLevel="1" collapsed="false">
      <c r="A226" s="3" t="s">
        <v>543</v>
      </c>
      <c r="B226" s="12" t="s">
        <v>77</v>
      </c>
      <c r="C226" s="23" t="n">
        <v>0.55</v>
      </c>
      <c r="I226" s="7"/>
    </row>
    <row r="227" customFormat="false" ht="15" hidden="false" customHeight="false" outlineLevel="1" collapsed="false">
      <c r="A227" s="3" t="s">
        <v>544</v>
      </c>
      <c r="B227" s="12" t="s">
        <v>139</v>
      </c>
      <c r="C227" s="47" t="n">
        <v>5</v>
      </c>
      <c r="I227" s="12" t="s">
        <v>545</v>
      </c>
    </row>
    <row r="228" customFormat="false" ht="15" hidden="false" customHeight="false" outlineLevel="1" collapsed="false">
      <c r="A228" s="3" t="s">
        <v>546</v>
      </c>
      <c r="B228" s="12" t="s">
        <v>139</v>
      </c>
      <c r="C228" s="47" t="n">
        <v>6</v>
      </c>
      <c r="I228" s="7"/>
    </row>
    <row r="229" customFormat="false" ht="15" hidden="false" customHeight="false" outlineLevel="1" collapsed="false">
      <c r="A229" s="3" t="s">
        <v>547</v>
      </c>
      <c r="B229" s="12" t="s">
        <v>77</v>
      </c>
      <c r="C229" s="23" t="n">
        <v>0.01</v>
      </c>
      <c r="I229" s="12" t="s">
        <v>548</v>
      </c>
    </row>
    <row r="230" customFormat="false" ht="15" hidden="false" customHeight="false" outlineLevel="1" collapsed="false">
      <c r="A230" s="3" t="s">
        <v>549</v>
      </c>
      <c r="B230" s="12" t="s">
        <v>93</v>
      </c>
      <c r="C230" s="24" t="n">
        <v>0.7</v>
      </c>
      <c r="I230" s="12" t="s">
        <v>550</v>
      </c>
    </row>
    <row r="231" customFormat="false" ht="15" hidden="false" customHeight="false" outlineLevel="1" collapsed="false">
      <c r="A231" s="41" t="s">
        <v>551</v>
      </c>
      <c r="B231" s="21"/>
      <c r="C231" s="21"/>
      <c r="D231" s="21"/>
      <c r="E231" s="21"/>
      <c r="F231" s="21"/>
      <c r="G231" s="21"/>
      <c r="H231" s="21"/>
    </row>
    <row r="232" customFormat="false" ht="15" hidden="false" customHeight="false" outlineLevel="2" collapsed="false">
      <c r="A232" s="4" t="s">
        <v>552</v>
      </c>
      <c r="B232" s="7"/>
      <c r="C232" s="19" t="n">
        <v>1</v>
      </c>
      <c r="I232" s="12" t="s">
        <v>553</v>
      </c>
    </row>
    <row r="233" customFormat="false" ht="15" hidden="false" customHeight="false" outlineLevel="2" collapsed="false">
      <c r="A233" s="3" t="s">
        <v>554</v>
      </c>
      <c r="B233" s="12" t="s">
        <v>77</v>
      </c>
      <c r="C233" s="23" t="n">
        <v>0.5</v>
      </c>
      <c r="I233" s="7" t="s">
        <v>555</v>
      </c>
    </row>
    <row r="234" customFormat="false" ht="15" hidden="false" customHeight="false" outlineLevel="2" collapsed="false">
      <c r="A234" s="3" t="s">
        <v>556</v>
      </c>
      <c r="B234" s="12" t="s">
        <v>77</v>
      </c>
      <c r="C234" s="23" t="n">
        <v>0.04</v>
      </c>
      <c r="I234" s="7" t="s">
        <v>555</v>
      </c>
    </row>
    <row r="235" customFormat="false" ht="15" hidden="false" customHeight="false" outlineLevel="2" collapsed="false">
      <c r="A235" s="3" t="s">
        <v>557</v>
      </c>
      <c r="B235" s="7" t="s">
        <v>254</v>
      </c>
      <c r="C235" s="40" t="n">
        <v>4.5</v>
      </c>
      <c r="I235" s="7" t="s">
        <v>558</v>
      </c>
    </row>
    <row r="236" customFormat="false" ht="15" hidden="false" customHeight="false" outlineLevel="1" collapsed="false">
      <c r="A236" s="20" t="s">
        <v>559</v>
      </c>
      <c r="B236" s="21"/>
      <c r="C236" s="21"/>
      <c r="D236" s="21"/>
      <c r="E236" s="21"/>
      <c r="F236" s="21"/>
      <c r="G236" s="21"/>
      <c r="H236" s="21"/>
    </row>
    <row r="237" customFormat="false" ht="15" hidden="false" customHeight="false" outlineLevel="2" collapsed="false">
      <c r="A237" s="3" t="s">
        <v>560</v>
      </c>
      <c r="B237" s="7" t="s">
        <v>561</v>
      </c>
      <c r="C237" s="29" t="n">
        <v>12</v>
      </c>
      <c r="I237" s="12" t="s">
        <v>562</v>
      </c>
    </row>
    <row r="238" customFormat="false" ht="15" hidden="false" customHeight="false" outlineLevel="2" collapsed="false">
      <c r="A238" s="3" t="s">
        <v>563</v>
      </c>
      <c r="B238" s="7"/>
      <c r="C238" s="48" t="s">
        <v>564</v>
      </c>
      <c r="I238" s="12" t="s">
        <v>565</v>
      </c>
    </row>
    <row r="239" customFormat="false" ht="15" hidden="false" customHeight="false" outlineLevel="2" collapsed="false">
      <c r="A239" s="3" t="s">
        <v>566</v>
      </c>
      <c r="B239" s="7"/>
      <c r="C239" s="48" t="s">
        <v>567</v>
      </c>
      <c r="I239" s="12" t="s">
        <v>568</v>
      </c>
    </row>
    <row r="240" customFormat="false" ht="15" hidden="false" customHeight="false" outlineLevel="2" collapsed="false">
      <c r="A240" s="3" t="s">
        <v>569</v>
      </c>
      <c r="B240" s="7"/>
      <c r="C240" s="48" t="s">
        <v>570</v>
      </c>
      <c r="I240" s="7" t="s">
        <v>571</v>
      </c>
    </row>
    <row r="241" customFormat="false" ht="15" hidden="false" customHeight="false" outlineLevel="2" collapsed="false">
      <c r="A241" s="3" t="s">
        <v>572</v>
      </c>
      <c r="B241" s="7" t="s">
        <v>254</v>
      </c>
      <c r="C241" s="37" t="n">
        <v>1</v>
      </c>
      <c r="I241" s="7"/>
    </row>
    <row r="242" customFormat="false" ht="15" hidden="false" customHeight="false" outlineLevel="2" collapsed="false">
      <c r="A242" s="3" t="s">
        <v>573</v>
      </c>
      <c r="B242" s="7"/>
      <c r="C242" s="48" t="s">
        <v>574</v>
      </c>
      <c r="I242" s="7" t="s">
        <v>575</v>
      </c>
    </row>
    <row r="243" customFormat="false" ht="15" hidden="false" customHeight="false" outlineLevel="2" collapsed="false">
      <c r="A243" s="3" t="s">
        <v>576</v>
      </c>
      <c r="B243" s="7"/>
      <c r="C243" s="48" t="s">
        <v>577</v>
      </c>
      <c r="I243" s="12" t="s">
        <v>578</v>
      </c>
    </row>
    <row r="244" customFormat="false" ht="15" hidden="false" customHeight="false" outlineLevel="2" collapsed="false">
      <c r="A244" s="3" t="s">
        <v>579</v>
      </c>
      <c r="B244" s="7"/>
      <c r="C244" s="48" t="s">
        <v>580</v>
      </c>
      <c r="I244" s="12" t="s">
        <v>581</v>
      </c>
    </row>
    <row r="245" customFormat="false" ht="15" hidden="false" customHeight="false" outlineLevel="2" collapsed="false">
      <c r="A245" s="3" t="s">
        <v>582</v>
      </c>
      <c r="B245" s="7" t="s">
        <v>254</v>
      </c>
      <c r="C245" s="37" t="n">
        <v>0.5</v>
      </c>
      <c r="I245" s="12" t="s">
        <v>583</v>
      </c>
    </row>
    <row r="246" customFormat="false" ht="15" hidden="false" customHeight="false" outlineLevel="2" collapsed="false">
      <c r="A246" s="15" t="s">
        <v>584</v>
      </c>
      <c r="B246" s="15" t="s">
        <v>88</v>
      </c>
      <c r="C246" s="27" t="s">
        <v>89</v>
      </c>
      <c r="D246" s="27" t="s">
        <v>90</v>
      </c>
      <c r="E246" s="27" t="s">
        <v>91</v>
      </c>
      <c r="F246" s="27" t="s">
        <v>175</v>
      </c>
      <c r="G246" s="27" t="s">
        <v>176</v>
      </c>
      <c r="I246" s="15" t="s">
        <v>208</v>
      </c>
    </row>
    <row r="247" customFormat="false" ht="15" hidden="false" customHeight="false" outlineLevel="2" collapsed="false">
      <c r="A247" s="3" t="s">
        <v>585</v>
      </c>
      <c r="B247" s="7"/>
      <c r="C247" s="48" t="s">
        <v>586</v>
      </c>
      <c r="D247" s="48" t="s">
        <v>587</v>
      </c>
      <c r="E247" s="48" t="s">
        <v>588</v>
      </c>
      <c r="F247" s="48" t="s">
        <v>589</v>
      </c>
      <c r="G247" s="48" t="s">
        <v>590</v>
      </c>
      <c r="I247" s="7" t="s">
        <v>591</v>
      </c>
    </row>
    <row r="248" customFormat="false" ht="15" hidden="false" customHeight="false" outlineLevel="2" collapsed="false">
      <c r="A248" s="3" t="s">
        <v>592</v>
      </c>
      <c r="B248" s="7" t="s">
        <v>254</v>
      </c>
      <c r="C248" s="37" t="n">
        <v>0.5</v>
      </c>
      <c r="D248" s="37" t="n">
        <v>1.5</v>
      </c>
      <c r="E248" s="37" t="n">
        <v>2.5</v>
      </c>
      <c r="F248" s="37" t="n">
        <v>3.5</v>
      </c>
      <c r="G248" s="37" t="n">
        <v>4.5</v>
      </c>
      <c r="I248" s="7" t="s">
        <v>591</v>
      </c>
    </row>
    <row r="249" customFormat="false" ht="15" hidden="false" customHeight="false" outlineLevel="2" collapsed="false">
      <c r="A249" s="3" t="s">
        <v>593</v>
      </c>
      <c r="B249" s="7" t="s">
        <v>254</v>
      </c>
      <c r="C249" s="37" t="n">
        <v>0</v>
      </c>
      <c r="D249" s="37" t="n">
        <v>0.5</v>
      </c>
      <c r="E249" s="37" t="n">
        <v>1.5</v>
      </c>
      <c r="F249" s="37" t="n">
        <v>2.5</v>
      </c>
      <c r="G249" s="37" t="n">
        <v>3.5</v>
      </c>
      <c r="I249" s="7" t="s">
        <v>591</v>
      </c>
    </row>
    <row r="250" customFormat="false" ht="15" hidden="false" customHeight="false" outlineLevel="1" collapsed="false">
      <c r="A250" s="20" t="s">
        <v>594</v>
      </c>
      <c r="B250" s="21"/>
      <c r="C250" s="21"/>
      <c r="D250" s="21"/>
      <c r="E250" s="21"/>
      <c r="F250" s="21"/>
      <c r="G250" s="21"/>
      <c r="H250" s="21"/>
    </row>
    <row r="251" customFormat="false" ht="15" hidden="false" customHeight="false" outlineLevel="2" collapsed="false">
      <c r="A251" s="3" t="s">
        <v>595</v>
      </c>
      <c r="B251" s="12" t="s">
        <v>77</v>
      </c>
      <c r="C251" s="23" t="n">
        <v>0.25</v>
      </c>
      <c r="I251" s="7" t="s">
        <v>596</v>
      </c>
    </row>
    <row r="252" customFormat="false" ht="15" hidden="false" customHeight="false" outlineLevel="2" collapsed="false">
      <c r="A252" s="3" t="s">
        <v>597</v>
      </c>
      <c r="B252" s="12" t="s">
        <v>77</v>
      </c>
      <c r="C252" s="23" t="n">
        <v>0.9</v>
      </c>
      <c r="I252" s="7" t="s">
        <v>598</v>
      </c>
    </row>
    <row r="253" customFormat="false" ht="15" hidden="false" customHeight="false" outlineLevel="2" collapsed="false">
      <c r="A253" s="3" t="s">
        <v>599</v>
      </c>
      <c r="B253" s="12" t="s">
        <v>77</v>
      </c>
      <c r="C253" s="23" t="n">
        <v>-0.15</v>
      </c>
      <c r="I253" s="7" t="s">
        <v>600</v>
      </c>
    </row>
    <row r="254" customFormat="false" ht="15" hidden="false" customHeight="false" outlineLevel="2" collapsed="false">
      <c r="A254" s="3" t="s">
        <v>601</v>
      </c>
      <c r="B254" s="12" t="s">
        <v>139</v>
      </c>
      <c r="C254" s="47" t="n">
        <v>1.5</v>
      </c>
      <c r="I254" s="7" t="s">
        <v>602</v>
      </c>
    </row>
    <row r="255" customFormat="false" ht="15" hidden="false" customHeight="false" outlineLevel="2" collapsed="false">
      <c r="A255" s="3" t="s">
        <v>603</v>
      </c>
      <c r="B255" s="12" t="s">
        <v>77</v>
      </c>
      <c r="C255" s="23" t="n">
        <v>-0.08</v>
      </c>
      <c r="I255" s="7" t="s">
        <v>604</v>
      </c>
    </row>
    <row r="256" customFormat="false" ht="15" hidden="false" customHeight="false" outlineLevel="2" collapsed="false">
      <c r="A256" s="3" t="s">
        <v>605</v>
      </c>
      <c r="B256" s="12" t="s">
        <v>77</v>
      </c>
      <c r="C256" s="23" t="n">
        <v>0.05</v>
      </c>
      <c r="I256" s="7" t="s">
        <v>606</v>
      </c>
    </row>
    <row r="257" customFormat="false" ht="15" hidden="false" customHeight="false" outlineLevel="2" collapsed="false">
      <c r="A257" s="3" t="s">
        <v>607</v>
      </c>
      <c r="B257" s="12" t="s">
        <v>77</v>
      </c>
      <c r="C257" s="23" t="n">
        <v>0.85</v>
      </c>
      <c r="I257" s="7" t="s">
        <v>608</v>
      </c>
    </row>
    <row r="259" customFormat="false" ht="15" hidden="false" customHeight="false" outlineLevel="0" collapsed="true">
      <c r="A259" s="8" t="s">
        <v>609</v>
      </c>
      <c r="B259" s="9"/>
      <c r="C259" s="9"/>
      <c r="D259" s="9"/>
      <c r="E259" s="9"/>
      <c r="F259" s="9"/>
      <c r="G259" s="9"/>
      <c r="H259" s="9"/>
    </row>
    <row r="260" customFormat="false" ht="15" hidden="true" customHeight="false" outlineLevel="1" collapsed="false">
      <c r="A260" s="4" t="s">
        <v>610</v>
      </c>
      <c r="B260" s="12" t="s">
        <v>93</v>
      </c>
      <c r="C260" s="24" t="n">
        <v>3.127</v>
      </c>
      <c r="I260" s="12" t="s">
        <v>611</v>
      </c>
    </row>
    <row r="261" customFormat="false" ht="15" hidden="true" customHeight="false" outlineLevel="1" collapsed="false">
      <c r="A261" s="3" t="s">
        <v>612</v>
      </c>
      <c r="B261" s="12" t="s">
        <v>93</v>
      </c>
      <c r="C261" s="24" t="n">
        <v>3.663</v>
      </c>
      <c r="I261" s="7" t="s">
        <v>613</v>
      </c>
    </row>
    <row r="262" customFormat="false" ht="15" hidden="true" customHeight="false" outlineLevel="1" collapsed="false">
      <c r="A262" s="3" t="s">
        <v>614</v>
      </c>
      <c r="B262" s="12" t="s">
        <v>93</v>
      </c>
      <c r="C262" s="24" t="n">
        <v>14.117</v>
      </c>
      <c r="I262" s="7" t="s">
        <v>615</v>
      </c>
    </row>
    <row r="263" customFormat="false" ht="15" hidden="true" customHeight="false" outlineLevel="1" collapsed="false">
      <c r="A263" s="4" t="s">
        <v>616</v>
      </c>
      <c r="B263" s="12" t="s">
        <v>93</v>
      </c>
      <c r="C263" s="24" t="n">
        <v>16.139</v>
      </c>
      <c r="I263" s="12" t="s">
        <v>617</v>
      </c>
    </row>
    <row r="264" customFormat="false" ht="15" hidden="true" customHeight="false" outlineLevel="1" collapsed="false">
      <c r="A264" s="4" t="s">
        <v>618</v>
      </c>
      <c r="B264" s="12" t="s">
        <v>93</v>
      </c>
      <c r="C264" s="24" t="n">
        <v>0.688</v>
      </c>
      <c r="I264" s="12" t="s">
        <v>619</v>
      </c>
    </row>
    <row r="265" customFormat="false" ht="15" hidden="true" customHeight="false" outlineLevel="1" collapsed="false">
      <c r="A265" s="3" t="s">
        <v>620</v>
      </c>
      <c r="B265" s="12" t="s">
        <v>93</v>
      </c>
      <c r="C265" s="24" t="n">
        <v>16.747</v>
      </c>
      <c r="I265" s="7" t="s">
        <v>621</v>
      </c>
    </row>
    <row r="266" customFormat="false" ht="15" hidden="true" customHeight="false" outlineLevel="1" collapsed="false">
      <c r="A266" s="3" t="s">
        <v>622</v>
      </c>
      <c r="B266" s="12" t="s">
        <v>93</v>
      </c>
      <c r="C266" s="24" t="n">
        <v>5.219</v>
      </c>
      <c r="I266" s="7" t="s">
        <v>623</v>
      </c>
    </row>
    <row r="267" customFormat="false" ht="15" hidden="true" customHeight="false" outlineLevel="1" collapsed="false">
      <c r="A267" s="4" t="s">
        <v>624</v>
      </c>
      <c r="B267" s="12" t="s">
        <v>93</v>
      </c>
      <c r="C267" s="24" t="n">
        <v>0.492</v>
      </c>
      <c r="I267" s="12" t="s">
        <v>625</v>
      </c>
    </row>
    <row r="268" customFormat="false" ht="15" hidden="true" customHeight="false" outlineLevel="1" collapsed="false">
      <c r="A268" s="3" t="s">
        <v>626</v>
      </c>
      <c r="B268" s="12" t="s">
        <v>93</v>
      </c>
      <c r="C268" s="24" t="n">
        <v>2.982</v>
      </c>
      <c r="I268" s="12" t="s">
        <v>627</v>
      </c>
    </row>
    <row r="269" customFormat="false" ht="15" hidden="true" customHeight="false" outlineLevel="1" collapsed="false">
      <c r="A269" s="3" t="s">
        <v>628</v>
      </c>
      <c r="B269" s="12" t="s">
        <v>93</v>
      </c>
      <c r="C269" s="24" t="n">
        <v>1.176</v>
      </c>
      <c r="I269" s="7" t="s">
        <v>629</v>
      </c>
    </row>
    <row r="270" customFormat="false" ht="15" hidden="true" customHeight="false" outlineLevel="1" collapsed="false">
      <c r="A270" s="3" t="s">
        <v>630</v>
      </c>
      <c r="B270" s="12" t="s">
        <v>93</v>
      </c>
      <c r="C270" s="24" t="n">
        <v>0.748</v>
      </c>
      <c r="I270" s="7" t="s">
        <v>631</v>
      </c>
    </row>
    <row r="271" customFormat="false" ht="15" hidden="true" customHeight="false" outlineLevel="1" collapsed="false">
      <c r="A271" s="3" t="s">
        <v>632</v>
      </c>
      <c r="B271" s="12" t="s">
        <v>93</v>
      </c>
      <c r="C271" s="24" t="n">
        <v>4.653</v>
      </c>
      <c r="I271" s="12" t="s">
        <v>633</v>
      </c>
    </row>
    <row r="272" customFormat="false" ht="15" hidden="true" customHeight="false" outlineLevel="1" collapsed="false">
      <c r="A272" s="4" t="s">
        <v>634</v>
      </c>
      <c r="B272" s="12" t="s">
        <v>93</v>
      </c>
      <c r="C272" s="24" t="n">
        <v>-0.193</v>
      </c>
      <c r="I272" s="12" t="s">
        <v>635</v>
      </c>
    </row>
    <row r="273" customFormat="false" ht="15" hidden="true" customHeight="false" outlineLevel="1" collapsed="false">
      <c r="A273" s="3" t="s">
        <v>636</v>
      </c>
      <c r="B273" s="12" t="s">
        <v>93</v>
      </c>
      <c r="C273" s="24" t="n">
        <v>-1.366</v>
      </c>
      <c r="I273" s="12" t="s">
        <v>635</v>
      </c>
    </row>
    <row r="274" customFormat="false" ht="15" hidden="true" customHeight="false" outlineLevel="1" collapsed="false">
      <c r="A274" s="3" t="s">
        <v>637</v>
      </c>
      <c r="B274" s="12" t="s">
        <v>93</v>
      </c>
      <c r="C274" s="24" t="n">
        <v>1.365</v>
      </c>
      <c r="I274" s="7" t="s">
        <v>631</v>
      </c>
    </row>
    <row r="275" customFormat="false" ht="15" hidden="true" customHeight="false" outlineLevel="1" collapsed="false">
      <c r="A275" s="4" t="s">
        <v>638</v>
      </c>
      <c r="B275" s="12" t="s">
        <v>93</v>
      </c>
      <c r="C275" s="24" t="n">
        <v>2.54</v>
      </c>
      <c r="I275" s="7" t="s">
        <v>639</v>
      </c>
    </row>
    <row r="276" customFormat="false" ht="15" hidden="true" customHeight="false" outlineLevel="1" collapsed="false">
      <c r="A276" s="4" t="s">
        <v>640</v>
      </c>
      <c r="B276" s="12" t="s">
        <v>93</v>
      </c>
      <c r="C276" s="24" t="n">
        <v>0.318</v>
      </c>
      <c r="I276" s="7" t="s">
        <v>639</v>
      </c>
    </row>
    <row r="277" customFormat="false" ht="15" hidden="true" customHeight="false" outlineLevel="1" collapsed="false">
      <c r="A277" s="4" t="s">
        <v>641</v>
      </c>
      <c r="B277" s="12" t="s">
        <v>74</v>
      </c>
      <c r="C277" s="24" t="n">
        <v>-2.53</v>
      </c>
      <c r="I277" s="7" t="s">
        <v>642</v>
      </c>
    </row>
    <row r="278" customFormat="false" ht="15" hidden="true" customHeight="false" outlineLevel="1" collapsed="false">
      <c r="A278" s="4" t="s">
        <v>643</v>
      </c>
      <c r="B278" s="12" t="s">
        <v>74</v>
      </c>
      <c r="C278" s="24" t="n">
        <v>-1.94</v>
      </c>
      <c r="I278" s="12" t="s">
        <v>644</v>
      </c>
    </row>
    <row r="279" customFormat="false" ht="15" hidden="true" customHeight="false" outlineLevel="1" collapsed="false">
      <c r="A279" s="3" t="s">
        <v>645</v>
      </c>
      <c r="B279" s="12" t="s">
        <v>93</v>
      </c>
      <c r="C279" s="24" t="n">
        <v>2.667</v>
      </c>
      <c r="I279" s="12" t="s">
        <v>646</v>
      </c>
    </row>
    <row r="281" customFormat="false" ht="15" hidden="false" customHeight="false" outlineLevel="0" collapsed="false">
      <c r="A281" s="8" t="s">
        <v>647</v>
      </c>
      <c r="B281" s="9"/>
      <c r="C281" s="9"/>
      <c r="D281" s="9"/>
      <c r="E281" s="9"/>
      <c r="F281" s="9"/>
      <c r="G281" s="9"/>
      <c r="H281" s="9"/>
      <c r="I281" s="7" t="s">
        <v>648</v>
      </c>
    </row>
    <row r="282" customFormat="false" ht="15" hidden="false" customHeight="false" outlineLevel="1" collapsed="false">
      <c r="A282" s="3" t="s">
        <v>649</v>
      </c>
      <c r="D282" s="13" t="n">
        <f aca="false">評價_DCF與目標價!C48</f>
        <v>31.9865189051237</v>
      </c>
      <c r="E282" s="10" t="n">
        <f aca="false">評價_DCF與目標價!C57</f>
        <v>-1</v>
      </c>
    </row>
    <row r="283" customFormat="false" ht="15" hidden="false" customHeight="false" outlineLevel="1" collapsed="false">
      <c r="A283" s="3" t="s">
        <v>650</v>
      </c>
      <c r="C283" s="10" t="n">
        <v>1</v>
      </c>
      <c r="D283" s="49" t="n">
        <f t="dataTable" ref="D283:E285" dt2D="0" dtr="0" r1="C5"/>
        <v>42.7024438874061</v>
      </c>
      <c r="E283" s="50" t="n">
        <v>-1</v>
      </c>
    </row>
    <row r="284" customFormat="false" ht="15" hidden="false" customHeight="false" outlineLevel="1" collapsed="false">
      <c r="A284" s="3" t="s">
        <v>651</v>
      </c>
      <c r="C284" s="10" t="n">
        <v>2</v>
      </c>
      <c r="D284" s="49" t="n">
        <v>31.9865189051237</v>
      </c>
      <c r="E284" s="50" t="n">
        <v>-1</v>
      </c>
    </row>
    <row r="285" customFormat="false" ht="15" hidden="false" customHeight="false" outlineLevel="1" collapsed="false">
      <c r="A285" s="3" t="s">
        <v>652</v>
      </c>
      <c r="C285" s="10" t="n">
        <v>3</v>
      </c>
      <c r="D285" s="49" t="n">
        <v>14.7158090153289</v>
      </c>
      <c r="E285" s="50" t="n">
        <v>-1</v>
      </c>
    </row>
    <row r="287" customFormat="false" ht="15" hidden="false" customHeight="false" outlineLevel="0" collapsed="false">
      <c r="A287" s="8" t="s">
        <v>653</v>
      </c>
      <c r="B287" s="9"/>
      <c r="C287" s="9"/>
      <c r="D287" s="9"/>
      <c r="E287" s="9"/>
      <c r="F287" s="9"/>
      <c r="G287" s="9"/>
      <c r="H287" s="9"/>
      <c r="I287" s="7" t="s">
        <v>654</v>
      </c>
    </row>
    <row r="288" customFormat="false" ht="15" hidden="false" customHeight="false" outlineLevel="1" collapsed="false">
      <c r="A288" s="15" t="s">
        <v>655</v>
      </c>
      <c r="B288" s="15" t="s">
        <v>88</v>
      </c>
      <c r="C288" s="15" t="s">
        <v>656</v>
      </c>
      <c r="D288" s="15"/>
      <c r="E288" s="15"/>
      <c r="F288" s="15" t="s">
        <v>657</v>
      </c>
      <c r="G288" s="15" t="s">
        <v>658</v>
      </c>
      <c r="H288" s="15"/>
      <c r="I288" s="15" t="s">
        <v>659</v>
      </c>
      <c r="J288" s="15" t="s">
        <v>660</v>
      </c>
    </row>
    <row r="289" customFormat="false" ht="15" hidden="false" customHeight="false" outlineLevel="1" collapsed="false">
      <c r="A289" s="3" t="s">
        <v>661</v>
      </c>
      <c r="B289" s="12" t="s">
        <v>74</v>
      </c>
      <c r="C289" s="44" t="n">
        <v>90.13</v>
      </c>
      <c r="F289" s="12" t="s">
        <v>580</v>
      </c>
      <c r="G289" s="12" t="s">
        <v>662</v>
      </c>
      <c r="I289" s="12" t="s">
        <v>663</v>
      </c>
      <c r="J289" s="7" t="s">
        <v>664</v>
      </c>
    </row>
    <row r="290" customFormat="false" ht="15" hidden="false" customHeight="false" outlineLevel="1" collapsed="false">
      <c r="A290" s="3" t="s">
        <v>665</v>
      </c>
      <c r="B290" s="12" t="s">
        <v>74</v>
      </c>
      <c r="C290" s="44" t="n">
        <v>140.81</v>
      </c>
      <c r="F290" s="12" t="s">
        <v>577</v>
      </c>
      <c r="G290" s="12" t="s">
        <v>666</v>
      </c>
      <c r="I290" s="12" t="s">
        <v>667</v>
      </c>
      <c r="J290" s="7"/>
    </row>
    <row r="291" customFormat="false" ht="15" hidden="false" customHeight="false" outlineLevel="1" collapsed="false">
      <c r="A291" s="3" t="s">
        <v>668</v>
      </c>
      <c r="B291" s="12" t="s">
        <v>74</v>
      </c>
      <c r="C291" s="44" t="n">
        <v>140</v>
      </c>
      <c r="F291" s="12" t="s">
        <v>577</v>
      </c>
      <c r="G291" s="12" t="s">
        <v>666</v>
      </c>
      <c r="I291" s="12" t="s">
        <v>667</v>
      </c>
      <c r="J291" s="7"/>
    </row>
    <row r="292" customFormat="false" ht="15" hidden="false" customHeight="false" outlineLevel="1" collapsed="false">
      <c r="A292" s="3" t="s">
        <v>669</v>
      </c>
      <c r="B292" s="12" t="s">
        <v>74</v>
      </c>
      <c r="C292" s="44" t="n">
        <v>39</v>
      </c>
      <c r="F292" s="12" t="s">
        <v>577</v>
      </c>
      <c r="G292" s="12" t="s">
        <v>666</v>
      </c>
      <c r="I292" s="12" t="s">
        <v>667</v>
      </c>
      <c r="J292" s="7"/>
    </row>
    <row r="293" customFormat="false" ht="15" hidden="false" customHeight="false" outlineLevel="1" collapsed="false">
      <c r="A293" s="3" t="s">
        <v>670</v>
      </c>
      <c r="B293" s="12" t="s">
        <v>74</v>
      </c>
      <c r="C293" s="44" t="n">
        <v>317</v>
      </c>
      <c r="F293" s="12" t="s">
        <v>577</v>
      </c>
      <c r="G293" s="12" t="s">
        <v>666</v>
      </c>
      <c r="I293" s="12" t="s">
        <v>667</v>
      </c>
      <c r="J293" s="7"/>
    </row>
    <row r="294" customFormat="false" ht="15" hidden="false" customHeight="false" outlineLevel="1" collapsed="false">
      <c r="A294" s="3" t="s">
        <v>671</v>
      </c>
      <c r="B294" s="7" t="s">
        <v>162</v>
      </c>
      <c r="C294" s="22" t="n">
        <v>40</v>
      </c>
      <c r="F294" s="12" t="s">
        <v>577</v>
      </c>
      <c r="G294" s="12" t="s">
        <v>666</v>
      </c>
      <c r="I294" s="12" t="s">
        <v>667</v>
      </c>
      <c r="J294" s="7"/>
    </row>
    <row r="295" customFormat="false" ht="15" hidden="false" customHeight="false" outlineLevel="1" collapsed="false">
      <c r="A295" s="3" t="s">
        <v>672</v>
      </c>
      <c r="B295" s="7"/>
      <c r="C295" s="4" t="s">
        <v>673</v>
      </c>
      <c r="F295" s="12" t="s">
        <v>577</v>
      </c>
      <c r="G295" s="12" t="s">
        <v>666</v>
      </c>
      <c r="I295" s="12" t="s">
        <v>667</v>
      </c>
      <c r="J295" s="7"/>
    </row>
    <row r="296" customFormat="false" ht="15" hidden="false" customHeight="false" outlineLevel="1" collapsed="false">
      <c r="A296" s="3" t="s">
        <v>674</v>
      </c>
      <c r="B296" s="12" t="s">
        <v>74</v>
      </c>
      <c r="C296" s="44" t="n">
        <v>140.95</v>
      </c>
      <c r="F296" s="12" t="s">
        <v>577</v>
      </c>
      <c r="G296" s="12" t="s">
        <v>666</v>
      </c>
      <c r="I296" s="12" t="s">
        <v>675</v>
      </c>
      <c r="J296" s="7"/>
    </row>
    <row r="297" customFormat="false" ht="15" hidden="false" customHeight="false" outlineLevel="1" collapsed="false">
      <c r="A297" s="3" t="s">
        <v>676</v>
      </c>
      <c r="B297" s="7" t="s">
        <v>162</v>
      </c>
      <c r="C297" s="22" t="n">
        <v>40</v>
      </c>
      <c r="F297" s="12" t="s">
        <v>577</v>
      </c>
      <c r="G297" s="12" t="s">
        <v>666</v>
      </c>
      <c r="I297" s="12" t="s">
        <v>675</v>
      </c>
      <c r="J297" s="7"/>
    </row>
    <row r="298" customFormat="false" ht="15" hidden="false" customHeight="false" outlineLevel="1" collapsed="false">
      <c r="A298" s="3" t="s">
        <v>677</v>
      </c>
      <c r="B298" s="7"/>
      <c r="C298" s="4" t="s">
        <v>678</v>
      </c>
      <c r="F298" s="12" t="s">
        <v>577</v>
      </c>
      <c r="G298" s="12" t="s">
        <v>666</v>
      </c>
      <c r="I298" s="12" t="s">
        <v>675</v>
      </c>
      <c r="J298" s="7"/>
    </row>
    <row r="299" customFormat="false" ht="17.15" hidden="false" customHeight="false" outlineLevel="1" collapsed="false">
      <c r="A299" s="15" t="s">
        <v>679</v>
      </c>
      <c r="B299" s="15" t="s">
        <v>88</v>
      </c>
      <c r="C299" s="15" t="s">
        <v>656</v>
      </c>
      <c r="D299" s="15"/>
      <c r="E299" s="15"/>
      <c r="F299" s="15" t="s">
        <v>657</v>
      </c>
      <c r="G299" s="15" t="s">
        <v>658</v>
      </c>
      <c r="H299" s="15"/>
      <c r="I299" s="15" t="s">
        <v>659</v>
      </c>
      <c r="J299" s="15" t="s">
        <v>660</v>
      </c>
    </row>
    <row r="300" customFormat="false" ht="15" hidden="false" customHeight="false" outlineLevel="1" collapsed="false">
      <c r="A300" s="3" t="s">
        <v>680</v>
      </c>
      <c r="B300" s="7" t="s">
        <v>162</v>
      </c>
      <c r="C300" s="22" t="n">
        <v>21</v>
      </c>
      <c r="F300" s="12" t="s">
        <v>577</v>
      </c>
      <c r="G300" s="12" t="s">
        <v>666</v>
      </c>
      <c r="I300" s="12" t="s">
        <v>667</v>
      </c>
      <c r="J300" s="7"/>
    </row>
    <row r="301" customFormat="false" ht="15" hidden="false" customHeight="false" outlineLevel="1" collapsed="false">
      <c r="A301" s="3" t="s">
        <v>681</v>
      </c>
      <c r="B301" s="7" t="s">
        <v>162</v>
      </c>
      <c r="C301" s="22" t="n">
        <v>7</v>
      </c>
      <c r="F301" s="12" t="s">
        <v>577</v>
      </c>
      <c r="G301" s="12" t="s">
        <v>666</v>
      </c>
      <c r="I301" s="12" t="s">
        <v>667</v>
      </c>
      <c r="J301" s="7"/>
    </row>
    <row r="302" customFormat="false" ht="15" hidden="false" customHeight="false" outlineLevel="1" collapsed="false">
      <c r="A302" s="3" t="s">
        <v>682</v>
      </c>
      <c r="B302" s="7" t="s">
        <v>162</v>
      </c>
      <c r="C302" s="22" t="n">
        <v>9</v>
      </c>
      <c r="F302" s="12" t="s">
        <v>577</v>
      </c>
      <c r="G302" s="12" t="s">
        <v>666</v>
      </c>
      <c r="I302" s="12" t="s">
        <v>667</v>
      </c>
      <c r="J302" s="7"/>
    </row>
    <row r="303" customFormat="false" ht="15" hidden="false" customHeight="false" outlineLevel="1" collapsed="false">
      <c r="A303" s="3" t="s">
        <v>683</v>
      </c>
      <c r="B303" s="7" t="s">
        <v>162</v>
      </c>
      <c r="C303" s="22" t="n">
        <v>1</v>
      </c>
      <c r="F303" s="12" t="s">
        <v>577</v>
      </c>
      <c r="G303" s="12" t="s">
        <v>666</v>
      </c>
      <c r="I303" s="12" t="s">
        <v>667</v>
      </c>
      <c r="J303" s="7"/>
    </row>
    <row r="304" customFormat="false" ht="15" hidden="false" customHeight="false" outlineLevel="1" collapsed="false">
      <c r="A304" s="3" t="s">
        <v>684</v>
      </c>
      <c r="B304" s="7" t="s">
        <v>162</v>
      </c>
      <c r="C304" s="22" t="n">
        <v>2</v>
      </c>
      <c r="F304" s="12" t="s">
        <v>577</v>
      </c>
      <c r="G304" s="12" t="s">
        <v>666</v>
      </c>
      <c r="I304" s="12" t="s">
        <v>667</v>
      </c>
      <c r="J304" s="7"/>
    </row>
    <row r="305" customFormat="false" ht="15" hidden="false" customHeight="false" outlineLevel="1" collapsed="false">
      <c r="A305" s="3" t="s">
        <v>685</v>
      </c>
      <c r="B305" s="7" t="s">
        <v>162</v>
      </c>
      <c r="C305" s="22" t="n">
        <v>40</v>
      </c>
      <c r="F305" s="12" t="s">
        <v>577</v>
      </c>
      <c r="G305" s="12" t="s">
        <v>666</v>
      </c>
      <c r="I305" s="12" t="s">
        <v>667</v>
      </c>
      <c r="J305" s="7"/>
    </row>
    <row r="306" customFormat="false" ht="17.15" hidden="false" customHeight="false" outlineLevel="1" collapsed="false">
      <c r="A306" s="15" t="s">
        <v>686</v>
      </c>
      <c r="B306" s="15" t="s">
        <v>88</v>
      </c>
      <c r="C306" s="15" t="s">
        <v>656</v>
      </c>
      <c r="D306" s="15"/>
      <c r="E306" s="15"/>
      <c r="F306" s="15" t="s">
        <v>657</v>
      </c>
      <c r="G306" s="15" t="s">
        <v>658</v>
      </c>
      <c r="H306" s="15"/>
      <c r="I306" s="15" t="s">
        <v>659</v>
      </c>
      <c r="J306" s="15" t="s">
        <v>660</v>
      </c>
    </row>
    <row r="307" customFormat="false" ht="15" hidden="false" customHeight="false" outlineLevel="1" collapsed="false">
      <c r="A307" s="3" t="s">
        <v>687</v>
      </c>
      <c r="B307" s="12" t="s">
        <v>93</v>
      </c>
      <c r="C307" s="51" t="n">
        <v>12.882</v>
      </c>
      <c r="D307" s="51" t="n">
        <v>26.376</v>
      </c>
      <c r="E307" s="51" t="n">
        <v>42.55</v>
      </c>
      <c r="F307" s="12" t="s">
        <v>577</v>
      </c>
      <c r="G307" s="12" t="s">
        <v>666</v>
      </c>
      <c r="I307" s="12" t="s">
        <v>688</v>
      </c>
      <c r="J307" s="7"/>
    </row>
    <row r="308" customFormat="false" ht="15" hidden="false" customHeight="false" outlineLevel="1" collapsed="false">
      <c r="A308" s="3" t="s">
        <v>689</v>
      </c>
      <c r="B308" s="12" t="s">
        <v>93</v>
      </c>
      <c r="C308" s="51" t="n">
        <v>7.574</v>
      </c>
      <c r="D308" s="51" t="n">
        <v>16.656</v>
      </c>
      <c r="E308" s="51" t="n">
        <v>28.857</v>
      </c>
      <c r="F308" s="12" t="s">
        <v>577</v>
      </c>
      <c r="G308" s="12" t="s">
        <v>666</v>
      </c>
      <c r="I308" s="12" t="s">
        <v>688</v>
      </c>
      <c r="J308" s="7"/>
    </row>
    <row r="309" customFormat="false" ht="15" hidden="false" customHeight="false" outlineLevel="1" collapsed="false">
      <c r="A309" s="3" t="s">
        <v>690</v>
      </c>
      <c r="B309" s="12" t="s">
        <v>77</v>
      </c>
      <c r="C309" s="23" t="n">
        <v>0.588</v>
      </c>
      <c r="D309" s="23" t="n">
        <v>0.632</v>
      </c>
      <c r="E309" s="23" t="n">
        <v>0.678</v>
      </c>
      <c r="F309" s="12" t="s">
        <v>577</v>
      </c>
      <c r="G309" s="12" t="s">
        <v>666</v>
      </c>
      <c r="I309" s="12" t="s">
        <v>688</v>
      </c>
      <c r="J309" s="7"/>
    </row>
    <row r="310" customFormat="false" ht="15" hidden="false" customHeight="false" outlineLevel="1" collapsed="false">
      <c r="A310" s="3" t="s">
        <v>691</v>
      </c>
      <c r="B310" s="12" t="s">
        <v>93</v>
      </c>
      <c r="C310" s="51" t="n">
        <v>1.063</v>
      </c>
      <c r="D310" s="51" t="n">
        <v>4.119</v>
      </c>
      <c r="E310" s="51" t="n">
        <v>8.418</v>
      </c>
      <c r="F310" s="12" t="s">
        <v>577</v>
      </c>
      <c r="G310" s="12" t="s">
        <v>666</v>
      </c>
      <c r="I310" s="12" t="s">
        <v>688</v>
      </c>
      <c r="J310" s="7"/>
    </row>
    <row r="311" customFormat="false" ht="15" hidden="false" customHeight="false" outlineLevel="1" collapsed="false">
      <c r="A311" s="3" t="s">
        <v>692</v>
      </c>
      <c r="B311" s="12" t="s">
        <v>93</v>
      </c>
      <c r="C311" s="51" t="n">
        <v>2.965</v>
      </c>
      <c r="D311" s="51" t="n">
        <v>5.22</v>
      </c>
      <c r="E311" s="51" t="n">
        <v>7.361</v>
      </c>
      <c r="F311" s="12" t="s">
        <v>577</v>
      </c>
      <c r="G311" s="12" t="s">
        <v>666</v>
      </c>
      <c r="I311" s="12" t="s">
        <v>688</v>
      </c>
      <c r="J311" s="7"/>
    </row>
    <row r="312" customFormat="false" ht="15" hidden="false" customHeight="false" outlineLevel="1" collapsed="false">
      <c r="A312" s="3" t="s">
        <v>693</v>
      </c>
      <c r="B312" s="12" t="s">
        <v>93</v>
      </c>
      <c r="C312" s="51" t="n">
        <v>-2.786</v>
      </c>
      <c r="D312" s="51" t="n">
        <v>-2.526</v>
      </c>
      <c r="E312" s="51" t="n">
        <v>-1.559</v>
      </c>
      <c r="F312" s="12" t="s">
        <v>577</v>
      </c>
      <c r="G312" s="12" t="s">
        <v>666</v>
      </c>
      <c r="I312" s="12" t="s">
        <v>688</v>
      </c>
      <c r="J312" s="7"/>
    </row>
    <row r="313" customFormat="false" ht="15" hidden="false" customHeight="false" outlineLevel="1" collapsed="false">
      <c r="A313" s="3" t="s">
        <v>694</v>
      </c>
      <c r="B313" s="12" t="s">
        <v>74</v>
      </c>
      <c r="C313" s="44" t="n">
        <v>-5.074</v>
      </c>
      <c r="D313" s="44" t="n">
        <v>-4.186</v>
      </c>
      <c r="E313" s="44" t="n">
        <v>-2.177</v>
      </c>
      <c r="F313" s="12" t="s">
        <v>577</v>
      </c>
      <c r="G313" s="12" t="s">
        <v>666</v>
      </c>
      <c r="I313" s="12" t="s">
        <v>688</v>
      </c>
      <c r="J313" s="7"/>
    </row>
    <row r="314" customFormat="false" ht="15" hidden="false" customHeight="false" outlineLevel="1" collapsed="false">
      <c r="A314" s="3" t="s">
        <v>695</v>
      </c>
      <c r="B314" s="12" t="s">
        <v>93</v>
      </c>
      <c r="C314" s="51" t="n">
        <v>35.953</v>
      </c>
      <c r="D314" s="51" t="n">
        <v>46.476</v>
      </c>
      <c r="E314" s="51" t="n">
        <v>50.129</v>
      </c>
      <c r="F314" s="12" t="s">
        <v>577</v>
      </c>
      <c r="G314" s="12" t="s">
        <v>666</v>
      </c>
      <c r="I314" s="12" t="s">
        <v>688</v>
      </c>
      <c r="J314" s="7"/>
    </row>
    <row r="315" customFormat="false" ht="15" hidden="false" customHeight="false" outlineLevel="1" collapsed="false">
      <c r="A315" s="3" t="s">
        <v>696</v>
      </c>
      <c r="B315" s="12" t="s">
        <v>93</v>
      </c>
      <c r="C315" s="51" t="n">
        <v>-28.831</v>
      </c>
      <c r="D315" s="51" t="n">
        <v>-33.741</v>
      </c>
      <c r="E315" s="51" t="n">
        <v>-25.222</v>
      </c>
      <c r="F315" s="12" t="s">
        <v>577</v>
      </c>
      <c r="G315" s="12" t="s">
        <v>666</v>
      </c>
      <c r="I315" s="12" t="s">
        <v>688</v>
      </c>
      <c r="J315" s="7"/>
    </row>
    <row r="316" customFormat="false" ht="15" hidden="false" customHeight="false" outlineLevel="1" collapsed="false">
      <c r="A316" s="3" t="s">
        <v>697</v>
      </c>
      <c r="B316" s="12" t="s">
        <v>93</v>
      </c>
      <c r="C316" s="51" t="n">
        <v>46.442</v>
      </c>
      <c r="D316" s="51" t="n">
        <v>74.707</v>
      </c>
      <c r="E316" s="51" t="n">
        <v>96.039</v>
      </c>
      <c r="F316" s="12" t="s">
        <v>577</v>
      </c>
      <c r="G316" s="12" t="s">
        <v>666</v>
      </c>
      <c r="I316" s="12" t="s">
        <v>688</v>
      </c>
      <c r="J316" s="7"/>
    </row>
    <row r="317" customFormat="false" ht="15" hidden="false" customHeight="false" outlineLevel="1" collapsed="false">
      <c r="A317" s="3" t="s">
        <v>698</v>
      </c>
      <c r="B317" s="7"/>
      <c r="C317" s="4" t="s">
        <v>699</v>
      </c>
      <c r="F317" s="12" t="s">
        <v>577</v>
      </c>
      <c r="G317" s="12" t="s">
        <v>666</v>
      </c>
      <c r="I317" s="12" t="s">
        <v>688</v>
      </c>
      <c r="J317" s="7"/>
    </row>
    <row r="318" customFormat="false" ht="17.15" hidden="false" customHeight="false" outlineLevel="1" collapsed="false">
      <c r="A318" s="16" t="s">
        <v>700</v>
      </c>
      <c r="B318" s="15" t="s">
        <v>88</v>
      </c>
      <c r="C318" s="15" t="s">
        <v>656</v>
      </c>
      <c r="D318" s="15"/>
      <c r="E318" s="15"/>
      <c r="F318" s="15" t="s">
        <v>657</v>
      </c>
      <c r="G318" s="15" t="s">
        <v>658</v>
      </c>
      <c r="H318" s="15"/>
      <c r="I318" s="15" t="s">
        <v>659</v>
      </c>
      <c r="J318" s="15" t="s">
        <v>660</v>
      </c>
    </row>
    <row r="319" customFormat="false" ht="15" hidden="false" customHeight="false" outlineLevel="1" collapsed="false">
      <c r="A319" s="3" t="s">
        <v>701</v>
      </c>
      <c r="B319" s="12" t="s">
        <v>93</v>
      </c>
      <c r="C319" s="51" t="n">
        <v>12.88</v>
      </c>
      <c r="D319" s="51" t="n">
        <v>26.39</v>
      </c>
      <c r="F319" s="12" t="s">
        <v>577</v>
      </c>
      <c r="G319" s="12" t="s">
        <v>666</v>
      </c>
      <c r="I319" s="12" t="s">
        <v>667</v>
      </c>
      <c r="J319" s="7"/>
    </row>
    <row r="320" customFormat="false" ht="15" hidden="false" customHeight="false" outlineLevel="1" collapsed="false">
      <c r="A320" s="3" t="s">
        <v>702</v>
      </c>
      <c r="B320" s="12" t="s">
        <v>93</v>
      </c>
      <c r="C320" s="51" t="n">
        <v>12.4</v>
      </c>
      <c r="D320" s="51" t="n">
        <v>13.2</v>
      </c>
      <c r="F320" s="12" t="s">
        <v>577</v>
      </c>
      <c r="G320" s="12" t="s">
        <v>666</v>
      </c>
      <c r="I320" s="12" t="s">
        <v>667</v>
      </c>
      <c r="J320" s="7"/>
    </row>
    <row r="321" customFormat="false" ht="15" hidden="false" customHeight="false" outlineLevel="1" collapsed="false">
      <c r="A321" s="3" t="s">
        <v>703</v>
      </c>
      <c r="B321" s="12" t="s">
        <v>74</v>
      </c>
      <c r="C321" s="44" t="n">
        <v>-3.95</v>
      </c>
      <c r="D321" s="44" t="n">
        <v>-1.82</v>
      </c>
      <c r="F321" s="12" t="s">
        <v>577</v>
      </c>
      <c r="G321" s="12" t="s">
        <v>666</v>
      </c>
      <c r="I321" s="12" t="s">
        <v>667</v>
      </c>
      <c r="J321" s="7"/>
    </row>
    <row r="322" customFormat="false" ht="15" hidden="false" customHeight="false" outlineLevel="1" collapsed="false">
      <c r="A322" s="3" t="s">
        <v>704</v>
      </c>
      <c r="B322" s="12" t="s">
        <v>74</v>
      </c>
      <c r="C322" s="44" t="n">
        <v>-4.81</v>
      </c>
      <c r="D322" s="44" t="n">
        <v>-1.33</v>
      </c>
      <c r="F322" s="12" t="s">
        <v>577</v>
      </c>
      <c r="G322" s="12" t="s">
        <v>666</v>
      </c>
      <c r="I322" s="12" t="s">
        <v>667</v>
      </c>
      <c r="J322" s="7"/>
    </row>
    <row r="323" customFormat="false" ht="15" hidden="false" customHeight="false" outlineLevel="1" collapsed="false">
      <c r="A323" s="3" t="s">
        <v>705</v>
      </c>
      <c r="B323" s="7" t="s">
        <v>162</v>
      </c>
      <c r="C323" s="22" t="n">
        <v>38</v>
      </c>
      <c r="F323" s="12" t="s">
        <v>577</v>
      </c>
      <c r="G323" s="12" t="s">
        <v>666</v>
      </c>
      <c r="I323" s="12" t="s">
        <v>667</v>
      </c>
      <c r="J323" s="12" t="s">
        <v>706</v>
      </c>
    </row>
    <row r="324" customFormat="false" ht="17.15" hidden="false" customHeight="false" outlineLevel="1" collapsed="false">
      <c r="A324" s="15" t="s">
        <v>707</v>
      </c>
      <c r="B324" s="15" t="s">
        <v>88</v>
      </c>
      <c r="C324" s="15" t="s">
        <v>656</v>
      </c>
      <c r="D324" s="15"/>
      <c r="E324" s="15"/>
      <c r="F324" s="15" t="s">
        <v>657</v>
      </c>
      <c r="G324" s="15" t="s">
        <v>658</v>
      </c>
      <c r="H324" s="15"/>
      <c r="I324" s="15" t="s">
        <v>659</v>
      </c>
      <c r="J324" s="15" t="s">
        <v>660</v>
      </c>
    </row>
    <row r="325" customFormat="false" ht="15" hidden="false" customHeight="false" outlineLevel="1" collapsed="false">
      <c r="A325" s="3" t="s">
        <v>708</v>
      </c>
      <c r="B325" s="12" t="s">
        <v>93</v>
      </c>
      <c r="C325" s="51" t="n">
        <v>3.541</v>
      </c>
      <c r="D325" s="51" t="n">
        <v>4.706</v>
      </c>
      <c r="F325" s="12" t="s">
        <v>577</v>
      </c>
      <c r="G325" s="12" t="s">
        <v>666</v>
      </c>
      <c r="I325" s="12" t="s">
        <v>688</v>
      </c>
      <c r="J325" s="7"/>
    </row>
    <row r="326" customFormat="false" ht="15" hidden="false" customHeight="false" outlineLevel="1" collapsed="false">
      <c r="A326" s="3" t="s">
        <v>709</v>
      </c>
      <c r="B326" s="12" t="s">
        <v>93</v>
      </c>
      <c r="C326" s="51" t="n">
        <v>2.047</v>
      </c>
      <c r="D326" s="51" t="n">
        <v>2.897</v>
      </c>
      <c r="F326" s="12" t="s">
        <v>577</v>
      </c>
      <c r="G326" s="12" t="s">
        <v>666</v>
      </c>
      <c r="I326" s="12" t="s">
        <v>688</v>
      </c>
      <c r="J326" s="7"/>
    </row>
    <row r="327" customFormat="false" ht="15" hidden="false" customHeight="false" outlineLevel="1" collapsed="false">
      <c r="A327" s="3" t="s">
        <v>710</v>
      </c>
      <c r="B327" s="12" t="s">
        <v>93</v>
      </c>
      <c r="C327" s="51" t="n">
        <v>0.2408</v>
      </c>
      <c r="D327" s="51" t="n">
        <v>0.6805</v>
      </c>
      <c r="F327" s="12" t="s">
        <v>577</v>
      </c>
      <c r="G327" s="12" t="s">
        <v>666</v>
      </c>
      <c r="I327" s="12" t="s">
        <v>688</v>
      </c>
      <c r="J327" s="7"/>
    </row>
    <row r="328" customFormat="false" ht="15" hidden="false" customHeight="false" outlineLevel="1" collapsed="false">
      <c r="A328" s="3" t="s">
        <v>711</v>
      </c>
      <c r="B328" s="12" t="s">
        <v>93</v>
      </c>
      <c r="C328" s="51" t="n">
        <v>-0.8388</v>
      </c>
      <c r="D328" s="51" t="n">
        <v>-0.5706</v>
      </c>
      <c r="F328" s="12" t="s">
        <v>577</v>
      </c>
      <c r="G328" s="12" t="s">
        <v>666</v>
      </c>
      <c r="I328" s="12" t="s">
        <v>688</v>
      </c>
      <c r="J328" s="7"/>
    </row>
    <row r="329" customFormat="false" ht="15" hidden="false" customHeight="false" outlineLevel="1" collapsed="false">
      <c r="A329" s="3" t="s">
        <v>712</v>
      </c>
      <c r="B329" s="7"/>
      <c r="C329" s="4" t="s">
        <v>713</v>
      </c>
      <c r="F329" s="12" t="s">
        <v>577</v>
      </c>
      <c r="G329" s="12" t="s">
        <v>666</v>
      </c>
      <c r="I329" s="12" t="s">
        <v>688</v>
      </c>
      <c r="J329" s="7"/>
    </row>
    <row r="330" customFormat="false" ht="15" hidden="false" customHeight="false" outlineLevel="1" collapsed="false">
      <c r="A330" s="15" t="s">
        <v>714</v>
      </c>
      <c r="B330" s="15" t="s">
        <v>88</v>
      </c>
      <c r="C330" s="15" t="s">
        <v>656</v>
      </c>
      <c r="D330" s="15"/>
      <c r="E330" s="15"/>
      <c r="F330" s="15" t="s">
        <v>657</v>
      </c>
      <c r="G330" s="15" t="s">
        <v>658</v>
      </c>
      <c r="H330" s="15"/>
      <c r="I330" s="15" t="s">
        <v>659</v>
      </c>
      <c r="J330" s="15" t="s">
        <v>660</v>
      </c>
    </row>
    <row r="331" customFormat="false" ht="15" hidden="false" customHeight="false" outlineLevel="1" collapsed="false">
      <c r="A331" s="3" t="s">
        <v>715</v>
      </c>
      <c r="B331" s="12" t="s">
        <v>93</v>
      </c>
      <c r="C331" s="51" t="n">
        <v>12.4</v>
      </c>
      <c r="D331" s="51" t="n">
        <v>13.2</v>
      </c>
      <c r="F331" s="7" t="s">
        <v>716</v>
      </c>
      <c r="G331" s="12" t="s">
        <v>666</v>
      </c>
      <c r="I331" s="12" t="s">
        <v>717</v>
      </c>
      <c r="J331" s="7"/>
    </row>
    <row r="332" customFormat="false" ht="15" hidden="false" customHeight="false" outlineLevel="1" collapsed="false">
      <c r="A332" s="3" t="s">
        <v>718</v>
      </c>
      <c r="B332" s="12" t="s">
        <v>93</v>
      </c>
      <c r="C332" s="51" t="n">
        <v>0.96</v>
      </c>
      <c r="D332" s="51" t="n">
        <v>1.15</v>
      </c>
      <c r="F332" s="7" t="s">
        <v>716</v>
      </c>
      <c r="G332" s="12" t="s">
        <v>666</v>
      </c>
      <c r="I332" s="12" t="s">
        <v>717</v>
      </c>
      <c r="J332" s="7"/>
    </row>
    <row r="333" customFormat="false" ht="15" hidden="false" customHeight="false" outlineLevel="1" collapsed="false">
      <c r="A333" s="3" t="s">
        <v>719</v>
      </c>
      <c r="B333" s="12" t="s">
        <v>93</v>
      </c>
      <c r="C333" s="51" t="n">
        <v>35</v>
      </c>
      <c r="D333" s="51" t="n">
        <v>39</v>
      </c>
      <c r="F333" s="7" t="s">
        <v>716</v>
      </c>
      <c r="G333" s="12" t="s">
        <v>666</v>
      </c>
      <c r="I333" s="12" t="s">
        <v>717</v>
      </c>
      <c r="J333" s="7"/>
    </row>
    <row r="334" customFormat="false" ht="15" hidden="false" customHeight="false" outlineLevel="1" collapsed="false">
      <c r="A334" s="3" t="s">
        <v>720</v>
      </c>
      <c r="B334" s="12" t="s">
        <v>93</v>
      </c>
      <c r="C334" s="51" t="n">
        <v>3.45</v>
      </c>
      <c r="D334" s="51" t="n">
        <v>3.6</v>
      </c>
      <c r="F334" s="7" t="s">
        <v>716</v>
      </c>
      <c r="G334" s="12" t="s">
        <v>666</v>
      </c>
      <c r="I334" s="12" t="s">
        <v>717</v>
      </c>
      <c r="J334" s="7" t="s">
        <v>721</v>
      </c>
    </row>
    <row r="335" customFormat="false" ht="17.15" hidden="false" customHeight="false" outlineLevel="1" collapsed="false">
      <c r="A335" s="15" t="s">
        <v>722</v>
      </c>
      <c r="B335" s="15" t="s">
        <v>88</v>
      </c>
      <c r="C335" s="15" t="s">
        <v>656</v>
      </c>
      <c r="D335" s="15"/>
      <c r="E335" s="15"/>
      <c r="F335" s="15" t="s">
        <v>657</v>
      </c>
      <c r="G335" s="15" t="s">
        <v>658</v>
      </c>
      <c r="H335" s="15"/>
      <c r="I335" s="15" t="s">
        <v>659</v>
      </c>
      <c r="J335" s="15" t="s">
        <v>660</v>
      </c>
    </row>
    <row r="336" customFormat="false" ht="15" hidden="false" customHeight="false" outlineLevel="1" collapsed="false">
      <c r="A336" s="3" t="s">
        <v>723</v>
      </c>
      <c r="B336" s="12" t="s">
        <v>93</v>
      </c>
      <c r="C336" s="51" t="n">
        <v>12.63</v>
      </c>
      <c r="F336" s="12" t="s">
        <v>724</v>
      </c>
      <c r="G336" s="12" t="s">
        <v>666</v>
      </c>
      <c r="I336" s="12" t="s">
        <v>725</v>
      </c>
      <c r="J336" s="7"/>
    </row>
    <row r="337" customFormat="false" ht="15" hidden="false" customHeight="false" outlineLevel="1" collapsed="false">
      <c r="A337" s="3" t="s">
        <v>726</v>
      </c>
      <c r="B337" s="12" t="s">
        <v>93</v>
      </c>
      <c r="C337" s="51" t="n">
        <v>3.43</v>
      </c>
      <c r="F337" s="12" t="s">
        <v>724</v>
      </c>
      <c r="G337" s="12" t="s">
        <v>666</v>
      </c>
      <c r="I337" s="12" t="s">
        <v>725</v>
      </c>
      <c r="J337" s="12" t="s">
        <v>727</v>
      </c>
    </row>
    <row r="338" customFormat="false" ht="15" hidden="false" customHeight="false" outlineLevel="1" collapsed="false">
      <c r="A338" s="15" t="s">
        <v>728</v>
      </c>
      <c r="B338" s="15" t="s">
        <v>88</v>
      </c>
      <c r="C338" s="15" t="s">
        <v>656</v>
      </c>
      <c r="D338" s="15"/>
      <c r="E338" s="15"/>
      <c r="F338" s="15" t="s">
        <v>657</v>
      </c>
      <c r="G338" s="15" t="s">
        <v>658</v>
      </c>
      <c r="H338" s="15"/>
      <c r="I338" s="15" t="s">
        <v>659</v>
      </c>
      <c r="J338" s="15" t="s">
        <v>660</v>
      </c>
    </row>
    <row r="339" customFormat="false" ht="15" hidden="false" customHeight="false" outlineLevel="1" collapsed="false">
      <c r="A339" s="3" t="s">
        <v>729</v>
      </c>
      <c r="B339" s="12" t="s">
        <v>74</v>
      </c>
      <c r="C339" s="3" t="s">
        <v>730</v>
      </c>
      <c r="F339" s="12" t="s">
        <v>577</v>
      </c>
      <c r="G339" s="12" t="s">
        <v>666</v>
      </c>
      <c r="I339" s="12" t="s">
        <v>731</v>
      </c>
      <c r="J339" s="12" t="s">
        <v>732</v>
      </c>
    </row>
    <row r="340" customFormat="false" ht="15" hidden="false" customHeight="false" outlineLevel="1" collapsed="false">
      <c r="A340" s="3" t="s">
        <v>733</v>
      </c>
      <c r="B340" s="12" t="s">
        <v>74</v>
      </c>
      <c r="C340" s="44" t="n">
        <v>125</v>
      </c>
      <c r="F340" s="12" t="s">
        <v>577</v>
      </c>
      <c r="G340" s="12" t="s">
        <v>666</v>
      </c>
      <c r="I340" s="12" t="s">
        <v>731</v>
      </c>
      <c r="J340" s="12" t="s">
        <v>734</v>
      </c>
    </row>
    <row r="341" customFormat="false" ht="15" hidden="false" customHeight="false" outlineLevel="1" collapsed="false">
      <c r="A341" s="3" t="s">
        <v>735</v>
      </c>
      <c r="B341" s="12" t="s">
        <v>74</v>
      </c>
      <c r="C341" s="44" t="n">
        <v>120</v>
      </c>
      <c r="F341" s="12" t="s">
        <v>577</v>
      </c>
      <c r="G341" s="12" t="s">
        <v>666</v>
      </c>
      <c r="I341" s="12" t="s">
        <v>731</v>
      </c>
      <c r="J341" s="12" t="s">
        <v>736</v>
      </c>
    </row>
    <row r="342" customFormat="false" ht="15" hidden="false" customHeight="false" outlineLevel="1" collapsed="false">
      <c r="A342" s="3" t="s">
        <v>737</v>
      </c>
      <c r="B342" s="12" t="s">
        <v>74</v>
      </c>
      <c r="C342" s="3" t="s">
        <v>730</v>
      </c>
      <c r="F342" s="12" t="s">
        <v>577</v>
      </c>
      <c r="G342" s="12" t="s">
        <v>666</v>
      </c>
      <c r="I342" s="12" t="s">
        <v>731</v>
      </c>
      <c r="J342" s="12" t="s">
        <v>738</v>
      </c>
    </row>
    <row r="343" customFormat="false" ht="15" hidden="false" customHeight="false" outlineLevel="1" collapsed="false">
      <c r="A343" s="3" t="s">
        <v>739</v>
      </c>
      <c r="B343" s="12" t="s">
        <v>74</v>
      </c>
      <c r="C343" s="44" t="n">
        <v>151</v>
      </c>
      <c r="F343" s="12" t="s">
        <v>577</v>
      </c>
      <c r="G343" s="12" t="s">
        <v>666</v>
      </c>
      <c r="I343" s="12" t="s">
        <v>731</v>
      </c>
      <c r="J343" s="12" t="s">
        <v>740</v>
      </c>
    </row>
    <row r="344" customFormat="false" ht="15" hidden="false" customHeight="false" outlineLevel="1" collapsed="false">
      <c r="A344" s="15" t="s">
        <v>741</v>
      </c>
      <c r="B344" s="15" t="s">
        <v>88</v>
      </c>
      <c r="C344" s="15" t="s">
        <v>656</v>
      </c>
      <c r="D344" s="15"/>
      <c r="E344" s="15"/>
      <c r="F344" s="15" t="s">
        <v>657</v>
      </c>
      <c r="G344" s="15" t="s">
        <v>658</v>
      </c>
      <c r="H344" s="15"/>
      <c r="I344" s="15" t="s">
        <v>659</v>
      </c>
      <c r="J344" s="15" t="s">
        <v>660</v>
      </c>
    </row>
    <row r="345" customFormat="false" ht="15" hidden="false" customHeight="false" outlineLevel="1" collapsed="false">
      <c r="A345" s="3" t="s">
        <v>742</v>
      </c>
      <c r="B345" s="7"/>
      <c r="C345" s="4" t="s">
        <v>743</v>
      </c>
      <c r="F345" s="12" t="s">
        <v>577</v>
      </c>
      <c r="G345" s="7"/>
      <c r="I345" s="7" t="s">
        <v>744</v>
      </c>
      <c r="J345" s="7"/>
    </row>
    <row r="346" customFormat="false" ht="15" hidden="false" customHeight="false" outlineLevel="1" collapsed="false">
      <c r="A346" s="3" t="s">
        <v>745</v>
      </c>
      <c r="B346" s="7"/>
      <c r="C346" s="4" t="s">
        <v>746</v>
      </c>
      <c r="F346" s="12" t="s">
        <v>577</v>
      </c>
      <c r="G346" s="7"/>
      <c r="I346" s="7" t="s">
        <v>744</v>
      </c>
      <c r="J346" s="7"/>
    </row>
    <row r="347" customFormat="false" ht="15" hidden="false" customHeight="false" outlineLevel="1" collapsed="false">
      <c r="A347" s="3" t="s">
        <v>747</v>
      </c>
      <c r="B347" s="7"/>
      <c r="C347" s="4" t="s">
        <v>748</v>
      </c>
      <c r="F347" s="12" t="s">
        <v>577</v>
      </c>
      <c r="G347" s="7"/>
      <c r="I347" s="7" t="s">
        <v>744</v>
      </c>
      <c r="J347" s="7"/>
    </row>
    <row r="348" customFormat="false" ht="15" hidden="false" customHeight="false" outlineLevel="1" collapsed="false">
      <c r="A348" s="3" t="s">
        <v>749</v>
      </c>
      <c r="B348" s="7"/>
      <c r="C348" s="3" t="s">
        <v>750</v>
      </c>
      <c r="F348" s="12" t="s">
        <v>577</v>
      </c>
      <c r="G348" s="7"/>
      <c r="I348" s="7" t="s">
        <v>744</v>
      </c>
      <c r="J348" s="7"/>
    </row>
    <row r="349" customFormat="false" ht="15" hidden="false" customHeight="false" outlineLevel="1" collapsed="false">
      <c r="A349" s="3" t="s">
        <v>751</v>
      </c>
      <c r="B349" s="12" t="s">
        <v>77</v>
      </c>
      <c r="C349" s="23" t="n">
        <v>0.05</v>
      </c>
      <c r="I349" s="7" t="s">
        <v>752</v>
      </c>
    </row>
    <row r="350" customFormat="false" ht="15" hidden="false" customHeight="false" outlineLevel="1" collapsed="false">
      <c r="A350" s="3" t="s">
        <v>753</v>
      </c>
      <c r="B350" s="12" t="s">
        <v>105</v>
      </c>
      <c r="C350" s="23" t="n">
        <v>0.02</v>
      </c>
      <c r="I350" s="7" t="s">
        <v>754</v>
      </c>
    </row>
    <row r="352" customFormat="false" ht="15" hidden="false" customHeight="false" outlineLevel="0" collapsed="false">
      <c r="A352" s="8" t="s">
        <v>755</v>
      </c>
      <c r="B352" s="9"/>
      <c r="C352" s="9"/>
      <c r="D352" s="9"/>
      <c r="E352" s="9"/>
      <c r="F352" s="9"/>
      <c r="G352" s="9"/>
      <c r="H352" s="9"/>
    </row>
    <row r="353" customFormat="false" ht="15" hidden="false" customHeight="false" outlineLevel="1" collapsed="false">
      <c r="A353" s="15" t="s">
        <v>756</v>
      </c>
      <c r="B353" s="15" t="s">
        <v>88</v>
      </c>
      <c r="C353" s="16" t="s">
        <v>757</v>
      </c>
      <c r="D353" s="16" t="s">
        <v>758</v>
      </c>
      <c r="E353" s="16" t="s">
        <v>759</v>
      </c>
      <c r="F353" s="16" t="s">
        <v>760</v>
      </c>
      <c r="G353" s="16" t="s">
        <v>761</v>
      </c>
      <c r="H353" s="16" t="s">
        <v>762</v>
      </c>
      <c r="J353" s="15" t="s">
        <v>763</v>
      </c>
    </row>
    <row r="354" customFormat="false" ht="15" hidden="false" customHeight="false" outlineLevel="1" collapsed="false">
      <c r="A354" s="3" t="s">
        <v>764</v>
      </c>
      <c r="C354" s="29" t="n">
        <v>1</v>
      </c>
      <c r="D354" s="29" t="n">
        <v>1</v>
      </c>
      <c r="E354" s="29" t="n">
        <v>2</v>
      </c>
      <c r="F354" s="29" t="n">
        <v>2</v>
      </c>
      <c r="G354" s="29" t="n">
        <v>2</v>
      </c>
      <c r="H354" s="29" t="n">
        <v>2</v>
      </c>
      <c r="J354" s="7" t="s">
        <v>765</v>
      </c>
    </row>
    <row r="355" customFormat="false" ht="15" hidden="false" customHeight="false" outlineLevel="1" collapsed="false">
      <c r="A355" s="3" t="s">
        <v>766</v>
      </c>
      <c r="C355" s="19" t="n">
        <v>1</v>
      </c>
      <c r="J355" s="7" t="s">
        <v>767</v>
      </c>
    </row>
    <row r="356" customFormat="false" ht="15" hidden="false" customHeight="false" outlineLevel="1" collapsed="false">
      <c r="A356" s="3" t="s">
        <v>768</v>
      </c>
      <c r="B356" s="12" t="s">
        <v>93</v>
      </c>
      <c r="C356" s="51" t="n">
        <v>2.575</v>
      </c>
      <c r="J356" s="7" t="s">
        <v>769</v>
      </c>
    </row>
    <row r="357" customFormat="false" ht="15" hidden="false" customHeight="false" outlineLevel="1" collapsed="false">
      <c r="A357" s="3" t="s">
        <v>770</v>
      </c>
      <c r="B357" s="12" t="s">
        <v>179</v>
      </c>
      <c r="C357" s="22" t="n">
        <v>1500</v>
      </c>
      <c r="J357" s="12" t="s">
        <v>771</v>
      </c>
    </row>
    <row r="358" customFormat="false" ht="15" hidden="false" customHeight="false" outlineLevel="1" collapsed="false">
      <c r="A358" s="3" t="s">
        <v>772</v>
      </c>
      <c r="B358" s="12" t="s">
        <v>93</v>
      </c>
      <c r="C358" s="51"/>
      <c r="D358" s="51"/>
      <c r="E358" s="51"/>
      <c r="F358" s="51"/>
      <c r="G358" s="51"/>
      <c r="H358" s="51"/>
      <c r="J358" s="7" t="s">
        <v>773</v>
      </c>
    </row>
    <row r="359" customFormat="false" ht="15" hidden="false" customHeight="false" outlineLevel="1" collapsed="false">
      <c r="A359" s="3" t="s">
        <v>774</v>
      </c>
      <c r="B359" s="12" t="s">
        <v>93</v>
      </c>
      <c r="C359" s="51"/>
      <c r="D359" s="51"/>
      <c r="E359" s="51"/>
      <c r="F359" s="51"/>
      <c r="G359" s="51"/>
      <c r="H359" s="51"/>
    </row>
    <row r="360" customFormat="false" ht="15" hidden="false" customHeight="false" outlineLevel="1" collapsed="false">
      <c r="A360" s="3" t="s">
        <v>775</v>
      </c>
      <c r="B360" s="12" t="s">
        <v>93</v>
      </c>
      <c r="C360" s="51"/>
      <c r="D360" s="51"/>
      <c r="E360" s="51"/>
      <c r="F360" s="51"/>
      <c r="G360" s="51"/>
      <c r="H360" s="51"/>
    </row>
    <row r="361" customFormat="false" ht="15" hidden="false" customHeight="false" outlineLevel="1" collapsed="false">
      <c r="A361" s="3" t="s">
        <v>776</v>
      </c>
      <c r="B361" s="12" t="s">
        <v>93</v>
      </c>
      <c r="C361" s="51"/>
      <c r="D361" s="51"/>
      <c r="E361" s="51"/>
      <c r="F361" s="51"/>
      <c r="G361" s="51"/>
      <c r="H361" s="51"/>
    </row>
    <row r="362" customFormat="false" ht="15" hidden="false" customHeight="false" outlineLevel="1" collapsed="false">
      <c r="A362" s="3" t="s">
        <v>777</v>
      </c>
      <c r="B362" s="12" t="s">
        <v>179</v>
      </c>
      <c r="C362" s="22"/>
      <c r="D362" s="22"/>
      <c r="E362" s="22"/>
      <c r="F362" s="22"/>
      <c r="G362" s="22"/>
      <c r="H362" s="22"/>
    </row>
    <row r="363" customFormat="false" ht="15" hidden="false" customHeight="false" outlineLevel="1" collapsed="false">
      <c r="A363" s="3" t="s">
        <v>778</v>
      </c>
      <c r="C363" s="52"/>
      <c r="D363" s="52"/>
      <c r="E363" s="52"/>
      <c r="F363" s="52"/>
      <c r="G363" s="52"/>
      <c r="H363" s="52"/>
    </row>
    <row r="364" customFormat="false" ht="15" hidden="false" customHeight="false" outlineLevel="1" collapsed="false">
      <c r="A364" s="3" t="s">
        <v>779</v>
      </c>
      <c r="C364" s="52"/>
      <c r="D364" s="52"/>
      <c r="E364" s="52"/>
      <c r="F364" s="52"/>
      <c r="G364" s="52"/>
      <c r="H364" s="52"/>
    </row>
    <row r="365" customFormat="false" ht="15" hidden="false" customHeight="false" outlineLevel="1" collapsed="false">
      <c r="A365" s="3" t="s">
        <v>780</v>
      </c>
      <c r="C365" s="52"/>
      <c r="D365" s="52"/>
      <c r="E365" s="52"/>
      <c r="F365" s="52"/>
      <c r="G365" s="52"/>
      <c r="H365" s="52"/>
    </row>
    <row r="366" customFormat="false" ht="15" hidden="false" customHeight="false" outlineLevel="1" collapsed="false">
      <c r="A366" s="3" t="s">
        <v>781</v>
      </c>
      <c r="B366" s="12" t="s">
        <v>93</v>
      </c>
      <c r="C366" s="51" t="n">
        <v>3.45</v>
      </c>
      <c r="D366" s="51"/>
      <c r="E366" s="51"/>
      <c r="F366" s="51"/>
      <c r="G366" s="51"/>
      <c r="H366" s="51"/>
      <c r="J366" s="12" t="s">
        <v>782</v>
      </c>
    </row>
    <row r="367" customFormat="false" ht="15" hidden="false" customHeight="false" outlineLevel="1" collapsed="false">
      <c r="A367" s="3" t="s">
        <v>783</v>
      </c>
      <c r="B367" s="12" t="s">
        <v>93</v>
      </c>
      <c r="C367" s="51" t="n">
        <v>3.6</v>
      </c>
      <c r="D367" s="51"/>
      <c r="E367" s="51"/>
      <c r="F367" s="51"/>
      <c r="G367" s="51"/>
      <c r="H367" s="51"/>
    </row>
    <row r="368" customFormat="false" ht="15" hidden="false" customHeight="false" outlineLevel="1" collapsed="false">
      <c r="A368" s="3" t="s">
        <v>784</v>
      </c>
      <c r="B368" s="12" t="s">
        <v>93</v>
      </c>
      <c r="C368" s="51" t="n">
        <v>0.2</v>
      </c>
      <c r="D368" s="51"/>
      <c r="E368" s="51"/>
      <c r="F368" s="51"/>
      <c r="G368" s="51"/>
      <c r="H368" s="51"/>
      <c r="J368" s="12" t="s">
        <v>782</v>
      </c>
    </row>
    <row r="369" customFormat="false" ht="15" hidden="false" customHeight="false" outlineLevel="1" collapsed="false">
      <c r="A369" s="3" t="s">
        <v>785</v>
      </c>
      <c r="B369" s="12" t="s">
        <v>93</v>
      </c>
      <c r="C369" s="51" t="n">
        <v>0.26</v>
      </c>
      <c r="D369" s="51"/>
      <c r="E369" s="51"/>
      <c r="F369" s="51"/>
      <c r="G369" s="51"/>
      <c r="H369" s="51"/>
    </row>
    <row r="370" customFormat="false" ht="15" hidden="false" customHeight="false" outlineLevel="1" collapsed="false">
      <c r="A370" s="3" t="s">
        <v>786</v>
      </c>
      <c r="B370" s="12" t="s">
        <v>93</v>
      </c>
      <c r="C370" s="51" t="n">
        <v>11.5</v>
      </c>
      <c r="D370" s="51"/>
      <c r="E370" s="51"/>
      <c r="F370" s="51"/>
      <c r="G370" s="51"/>
      <c r="H370" s="51"/>
      <c r="J370" s="12" t="s">
        <v>782</v>
      </c>
    </row>
    <row r="371" customFormat="false" ht="15" hidden="false" customHeight="false" outlineLevel="1" collapsed="false">
      <c r="A371" s="3" t="s">
        <v>787</v>
      </c>
      <c r="B371" s="12" t="s">
        <v>93</v>
      </c>
      <c r="C371" s="51" t="n">
        <v>13.5</v>
      </c>
      <c r="D371" s="51"/>
      <c r="E371" s="51"/>
      <c r="F371" s="51"/>
      <c r="G371" s="51"/>
      <c r="H371" s="51"/>
    </row>
    <row r="372" customFormat="false" ht="15" hidden="false" customHeight="false" outlineLevel="1" collapsed="false">
      <c r="A372" s="3" t="s">
        <v>788</v>
      </c>
      <c r="C372" s="52"/>
      <c r="D372" s="53" t="s">
        <v>789</v>
      </c>
      <c r="E372" s="52"/>
      <c r="F372" s="52"/>
      <c r="G372" s="52"/>
      <c r="H372" s="52"/>
      <c r="J372" s="12" t="s">
        <v>790</v>
      </c>
    </row>
    <row r="373" customFormat="false" ht="15" hidden="false" customHeight="false" outlineLevel="1" collapsed="false">
      <c r="A373" s="3" t="s">
        <v>791</v>
      </c>
      <c r="B373" s="12" t="s">
        <v>93</v>
      </c>
      <c r="C373" s="51" t="n">
        <v>12.4</v>
      </c>
      <c r="D373" s="51" t="n">
        <v>13.2</v>
      </c>
      <c r="E373" s="51" t="n">
        <v>4.653</v>
      </c>
      <c r="J373" s="7" t="s">
        <v>792</v>
      </c>
    </row>
    <row r="374" customFormat="false" ht="15" hidden="false" customHeight="false" outlineLevel="1" collapsed="false">
      <c r="A374" s="3" t="s">
        <v>793</v>
      </c>
      <c r="B374" s="12" t="s">
        <v>93</v>
      </c>
      <c r="C374" s="51" t="n">
        <v>35</v>
      </c>
      <c r="D374" s="51" t="n">
        <v>39</v>
      </c>
      <c r="E374" s="51" t="n">
        <v>16.139</v>
      </c>
      <c r="J374" s="7" t="s">
        <v>792</v>
      </c>
    </row>
  </sheetData>
  <dataValidations count="1">
    <dataValidation allowBlank="false" error="請輸入 1–4" errorStyle="stop" errorTitle="錨定年度" operator="between" showDropDown="false" showErrorMessage="true" showInputMessage="false" sqref="C224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6" t="s">
        <v>794</v>
      </c>
    </row>
    <row r="2" customFormat="false" ht="15" hidden="false" customHeight="false" outlineLevel="0" collapsed="false">
      <c r="A2" s="12" t="s">
        <v>795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796</v>
      </c>
    </row>
    <row r="5" customFormat="false" ht="15" hidden="false" customHeight="false" outlineLevel="0" collapsed="false">
      <c r="A5" s="54" t="s">
        <v>797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798</v>
      </c>
      <c r="B6" s="12" t="s">
        <v>93</v>
      </c>
      <c r="C6" s="37" t="n">
        <f aca="false">輸入與假設!$C$263+輸入與假設!C$185</f>
        <v>35</v>
      </c>
      <c r="D6" s="37" t="n">
        <f aca="false">輸入與假設!D$185</f>
        <v>39.36304097</v>
      </c>
      <c r="E6" s="37" t="n">
        <f aca="false">輸入與假設!E$185</f>
        <v>32.51219448</v>
      </c>
      <c r="F6" s="37" t="n">
        <f aca="false">輸入與假設!F$185</f>
        <v>32.70012624</v>
      </c>
      <c r="G6" s="37" t="n">
        <f aca="false">輸入與假設!G$185</f>
        <v>37.02255672</v>
      </c>
      <c r="I6" s="12" t="s">
        <v>799</v>
      </c>
    </row>
    <row r="7" customFormat="false" ht="15" hidden="false" customHeight="false" outlineLevel="1" collapsed="false">
      <c r="A7" s="3" t="s">
        <v>800</v>
      </c>
      <c r="B7" s="12" t="s">
        <v>77</v>
      </c>
      <c r="C7" s="55" t="n">
        <f aca="false">輸入與假設!C$170</f>
        <v>0.08</v>
      </c>
      <c r="D7" s="55" t="n">
        <f aca="false">輸入與假設!D$170</f>
        <v>0.08</v>
      </c>
      <c r="E7" s="55" t="n">
        <f aca="false">輸入與假設!E$170</f>
        <v>0.08</v>
      </c>
      <c r="F7" s="55" t="n">
        <f aca="false">輸入與假設!F$170</f>
        <v>0.08</v>
      </c>
      <c r="G7" s="55" t="n">
        <f aca="false">輸入與假設!G$170</f>
        <v>0.08</v>
      </c>
    </row>
    <row r="8" customFormat="false" ht="15" hidden="false" customHeight="false" outlineLevel="1" collapsed="false">
      <c r="A8" s="3" t="s">
        <v>801</v>
      </c>
      <c r="B8" s="12" t="s">
        <v>93</v>
      </c>
      <c r="C8" s="37" t="n">
        <f aca="false">輸入與假設!C$185*C7</f>
        <v>1.50888</v>
      </c>
      <c r="D8" s="37" t="n">
        <f aca="false">輸入與假設!D$185*D7</f>
        <v>3.1490432776</v>
      </c>
      <c r="E8" s="37" t="n">
        <f aca="false">輸入與假設!E$185*E7</f>
        <v>2.6009755584</v>
      </c>
      <c r="F8" s="37" t="n">
        <f aca="false">輸入與假設!F$185*F7</f>
        <v>2.6160100992</v>
      </c>
      <c r="G8" s="37" t="n">
        <f aca="false">輸入與假設!G$185*G7</f>
        <v>2.9618045376</v>
      </c>
      <c r="I8" s="12" t="s">
        <v>802</v>
      </c>
    </row>
    <row r="9" customFormat="false" ht="15" hidden="false" customHeight="false" outlineLevel="1" collapsed="false">
      <c r="A9" s="4" t="s">
        <v>803</v>
      </c>
      <c r="B9" s="12" t="s">
        <v>93</v>
      </c>
      <c r="C9" s="37" t="n">
        <f aca="false">輸入與假設!$C$262+輸入與假設!C$185</f>
        <v>32.978</v>
      </c>
      <c r="D9" s="37" t="n">
        <f aca="false">輸入與假設!D$185</f>
        <v>39.36304097</v>
      </c>
      <c r="E9" s="37" t="n">
        <f aca="false">輸入與假設!E$185</f>
        <v>32.51219448</v>
      </c>
      <c r="F9" s="37" t="n">
        <f aca="false">輸入與假設!F$185</f>
        <v>32.70012624</v>
      </c>
      <c r="G9" s="37" t="n">
        <f aca="false">輸入與假設!G$185</f>
        <v>37.02255672</v>
      </c>
      <c r="I9" s="12" t="s">
        <v>804</v>
      </c>
    </row>
    <row r="10" customFormat="false" ht="15" hidden="false" customHeight="false" outlineLevel="1" collapsed="false">
      <c r="A10" s="3" t="s">
        <v>805</v>
      </c>
      <c r="B10" s="12" t="s">
        <v>93</v>
      </c>
      <c r="C10" s="46" t="n">
        <f aca="false">輸入與假設!C$171</f>
        <v>1.04</v>
      </c>
      <c r="D10" s="46" t="n">
        <f aca="false">輸入與假設!D$171</f>
        <v>2.339</v>
      </c>
      <c r="E10" s="46" t="n">
        <f aca="false">輸入與假設!E$171</f>
        <v>2.306</v>
      </c>
      <c r="F10" s="46" t="n">
        <f aca="false">輸入與假設!F$171</f>
        <v>2.373</v>
      </c>
      <c r="G10" s="46" t="n">
        <f aca="false">輸入與假設!G$171</f>
        <v>2.289</v>
      </c>
      <c r="I10" s="7" t="s">
        <v>806</v>
      </c>
    </row>
    <row r="11" customFormat="false" ht="15" hidden="false" customHeight="false" outlineLevel="1" collapsed="false">
      <c r="A11" s="3" t="s">
        <v>807</v>
      </c>
      <c r="B11" s="12" t="s">
        <v>93</v>
      </c>
      <c r="C11" s="46" t="n">
        <f aca="false">輸入與假設!C$172</f>
        <v>0.3</v>
      </c>
      <c r="D11" s="46" t="n">
        <f aca="false">輸入與假設!D$172</f>
        <v>1.6</v>
      </c>
      <c r="E11" s="46" t="n">
        <f aca="false">輸入與假設!E$172</f>
        <v>2.41935483870968</v>
      </c>
      <c r="F11" s="46" t="n">
        <f aca="false">輸入與假設!F$172</f>
        <v>2.75</v>
      </c>
      <c r="G11" s="46" t="n">
        <f aca="false">輸入與假設!G$172</f>
        <v>2.90153846153846</v>
      </c>
      <c r="I11" s="7" t="s">
        <v>808</v>
      </c>
    </row>
    <row r="12" customFormat="false" ht="15" hidden="false" customHeight="false" outlineLevel="1" collapsed="false">
      <c r="A12" s="3" t="s">
        <v>809</v>
      </c>
      <c r="B12" s="12" t="s">
        <v>93</v>
      </c>
      <c r="C12" s="37" t="n">
        <f aca="false">C10+C11</f>
        <v>1.34</v>
      </c>
      <c r="D12" s="37" t="n">
        <f aca="false">D10+D11</f>
        <v>3.939</v>
      </c>
      <c r="E12" s="37" t="n">
        <f aca="false">E10+E11</f>
        <v>4.72535483870968</v>
      </c>
      <c r="F12" s="37" t="n">
        <f aca="false">F10+F11</f>
        <v>5.123</v>
      </c>
      <c r="G12" s="37" t="n">
        <f aca="false">G10+G11</f>
        <v>5.19053846153846</v>
      </c>
    </row>
    <row r="13" customFormat="false" ht="15" hidden="false" customHeight="false" outlineLevel="1" collapsed="false">
      <c r="A13" s="3" t="s">
        <v>810</v>
      </c>
      <c r="B13" s="12" t="s">
        <v>93</v>
      </c>
      <c r="C13" s="46" t="n">
        <f aca="false">輸入與假設!C$210</f>
        <v>1.80589628695395</v>
      </c>
      <c r="D13" s="46" t="n">
        <f aca="false">輸入與假設!D$210</f>
        <v>2.46600676169447</v>
      </c>
      <c r="E13" s="46" t="n">
        <f aca="false">輸入與假設!E$210</f>
        <v>2.02009474796771</v>
      </c>
      <c r="F13" s="46" t="n">
        <f aca="false">輸入與假設!F$210</f>
        <v>1.73248149911395</v>
      </c>
      <c r="G13" s="46" t="n">
        <f aca="false">輸入與假設!G$210</f>
        <v>1.49513851973222</v>
      </c>
      <c r="I13" s="7" t="str">
        <f aca="false">"6/30 債務餘額的利息。FY26 全年利息＝1H 實際 1.176＋2H "&amp;TEXT(C13,"0.0")&amp;"＝"&amp;TEXT(1.176+C13,"0.00")&amp;"（見下方備忘）"</f>
        <v>6/30 債務餘額的利息。FY26 全年利息＝1H 實際 1.176＋2H 1.8＝2.98（見下方備忘）</v>
      </c>
    </row>
    <row r="14" customFormat="false" ht="15" hidden="false" customHeight="false" outlineLevel="1" collapsed="false">
      <c r="A14" s="3" t="s">
        <v>811</v>
      </c>
      <c r="B14" s="12" t="s">
        <v>93</v>
      </c>
      <c r="C14" s="37" t="n">
        <f aca="false">輸入與假設!$C$260</f>
        <v>3.127</v>
      </c>
      <c r="D14" s="37" t="n">
        <f aca="false">C41</f>
        <v>2</v>
      </c>
      <c r="E14" s="37" t="n">
        <f aca="false">D41</f>
        <v>2</v>
      </c>
      <c r="F14" s="37" t="n">
        <f aca="false">E41</f>
        <v>2</v>
      </c>
      <c r="G14" s="37" t="n">
        <f aca="false">F41</f>
        <v>2</v>
      </c>
      <c r="I14" s="12" t="s">
        <v>812</v>
      </c>
    </row>
    <row r="15" customFormat="false" ht="15" hidden="false" customHeight="false" outlineLevel="1" collapsed="false">
      <c r="A15" s="3" t="s">
        <v>813</v>
      </c>
      <c r="B15" s="12" t="s">
        <v>77</v>
      </c>
      <c r="C15" s="32" t="n">
        <f aca="false">IF(輸入與假設!$C$204=1,輸入與假設!C$209+MAX(0,輸入與假設!$C$203-450)/100*0.004,輸入與假設!C$209)</f>
        <v>0.09</v>
      </c>
      <c r="D15" s="32" t="n">
        <f aca="false">IF(輸入與假設!$C$204=1,輸入與假設!D$209+MAX(0,輸入與假設!$C$203-450)/100*0.004,輸入與假設!D$209)</f>
        <v>0.09</v>
      </c>
      <c r="E15" s="32" t="n">
        <f aca="false">IF(輸入與假設!$C$204=1,輸入與假設!E$209+MAX(0,輸入與假設!$C$203-450)/100*0.004,輸入與假設!E$209)</f>
        <v>0.09</v>
      </c>
      <c r="F15" s="32" t="n">
        <f aca="false">IF(輸入與假設!$C$204=1,輸入與假設!F$209+MAX(0,輸入與假設!$C$203-450)/100*0.004,輸入與假設!F$209)</f>
        <v>0.09</v>
      </c>
      <c r="G15" s="32" t="n">
        <f aca="false">IF(輸入與假設!$C$204=1,輸入與假設!G$209+MAX(0,輸入與假設!$C$203-450)/100*0.004,輸入與假設!G$209)</f>
        <v>0.09</v>
      </c>
      <c r="I15" s="12" t="s">
        <v>814</v>
      </c>
    </row>
    <row r="16" customFormat="false" ht="15" hidden="false" customHeight="false" outlineLevel="1" collapsed="false">
      <c r="A16" s="3" t="s">
        <v>815</v>
      </c>
      <c r="B16" s="12" t="s">
        <v>93</v>
      </c>
      <c r="C16" s="37" t="n">
        <f aca="false">C63</f>
        <v>0.521153111307509</v>
      </c>
      <c r="D16" s="37" t="n">
        <f aca="false">D63</f>
        <v>4.33485343316304</v>
      </c>
      <c r="E16" s="37" t="n">
        <f aca="false">E63</f>
        <v>5.47110982629968</v>
      </c>
      <c r="F16" s="37" t="n">
        <f aca="false">F63</f>
        <v>6.06996696397625</v>
      </c>
      <c r="G16" s="37" t="n">
        <f aca="false">G63</f>
        <v>7.80280572085231</v>
      </c>
      <c r="I16" s="7" t="s">
        <v>816</v>
      </c>
    </row>
    <row r="17" customFormat="false" ht="15" hidden="false" customHeight="false" outlineLevel="1" collapsed="false">
      <c r="A17" s="3" t="s">
        <v>817</v>
      </c>
      <c r="B17" s="12" t="s">
        <v>93</v>
      </c>
      <c r="C17" s="37" t="n">
        <f aca="false">C13+C16</f>
        <v>2.32704939826146</v>
      </c>
      <c r="D17" s="37" t="n">
        <f aca="false">D13+D16</f>
        <v>6.80086019485751</v>
      </c>
      <c r="E17" s="37" t="n">
        <f aca="false">E13+E16</f>
        <v>7.49120457426739</v>
      </c>
      <c r="F17" s="37" t="n">
        <f aca="false">F13+F16</f>
        <v>7.8024484630902</v>
      </c>
      <c r="G17" s="37" t="n">
        <f aca="false">G13+G16</f>
        <v>9.29794424058452</v>
      </c>
    </row>
    <row r="18" customFormat="false" ht="15" hidden="false" customHeight="false" outlineLevel="1" collapsed="false">
      <c r="A18" s="4" t="s">
        <v>818</v>
      </c>
      <c r="B18" s="12" t="s">
        <v>93</v>
      </c>
      <c r="C18" s="37" t="n">
        <f aca="false">輸入與假設!$C$264+輸入與假設!C$175</f>
        <v>1.938</v>
      </c>
      <c r="D18" s="37" t="n">
        <f aca="false">輸入與假設!D$175</f>
        <v>0.4</v>
      </c>
      <c r="E18" s="37" t="n">
        <f aca="false">輸入與假設!E$175</f>
        <v>0.3</v>
      </c>
      <c r="F18" s="37" t="n">
        <f aca="false">輸入與假設!F$175</f>
        <v>0.2</v>
      </c>
      <c r="G18" s="37" t="n">
        <f aca="false">輸入與假設!G$175</f>
        <v>0.2</v>
      </c>
      <c r="I18" s="12" t="s">
        <v>819</v>
      </c>
    </row>
    <row r="19" customFormat="false" ht="15" hidden="false" customHeight="false" outlineLevel="1" collapsed="false">
      <c r="A19" s="3" t="s">
        <v>820</v>
      </c>
      <c r="B19" s="12" t="s">
        <v>93</v>
      </c>
      <c r="C19" s="37" t="n">
        <f aca="false">0</f>
        <v>0</v>
      </c>
      <c r="D19" s="37" t="n">
        <f aca="false">0</f>
        <v>0</v>
      </c>
      <c r="E19" s="37" t="n">
        <f aca="false">0</f>
        <v>0</v>
      </c>
      <c r="F19" s="37" t="n">
        <f aca="false">0</f>
        <v>0</v>
      </c>
      <c r="G19" s="37" t="n">
        <f aca="false">0</f>
        <v>0</v>
      </c>
      <c r="I19" s="12" t="s">
        <v>821</v>
      </c>
    </row>
    <row r="20" customFormat="false" ht="15" hidden="false" customHeight="false" outlineLevel="1" collapsed="false">
      <c r="A20" s="3" t="s">
        <v>822</v>
      </c>
      <c r="B20" s="12" t="s">
        <v>93</v>
      </c>
      <c r="C20" s="37" t="n">
        <f aca="false">0</f>
        <v>0</v>
      </c>
      <c r="D20" s="37" t="n">
        <f aca="false">0</f>
        <v>0</v>
      </c>
      <c r="E20" s="37" t="n">
        <f aca="false">0</f>
        <v>0</v>
      </c>
      <c r="F20" s="37" t="n">
        <f aca="false">0</f>
        <v>0</v>
      </c>
      <c r="G20" s="37" t="n">
        <f aca="false">0</f>
        <v>0</v>
      </c>
    </row>
    <row r="21" customFormat="false" ht="15" hidden="false" customHeight="false" outlineLevel="1" collapsed="false">
      <c r="A21" s="3" t="s">
        <v>823</v>
      </c>
      <c r="B21" s="12" t="s">
        <v>93</v>
      </c>
      <c r="C21" s="37" t="n">
        <f aca="false">輸入與假設!$C$266+IF(輸入與假設!$C$194=1,輸入與假設!C$208,0)</f>
        <v>9.632</v>
      </c>
      <c r="D21" s="37" t="n">
        <f aca="false">IF(輸入與假設!$C$194=1,輸入與假設!D$208,0)</f>
        <v>6.184</v>
      </c>
      <c r="E21" s="37" t="n">
        <f aca="false">IF(輸入與假設!$C$194=1,輸入與假設!E$208,0)</f>
        <v>4.416</v>
      </c>
      <c r="F21" s="37" t="n">
        <f aca="false">IF(輸入與假設!$C$194=1,輸入與假設!F$208,0)</f>
        <v>2.421</v>
      </c>
      <c r="G21" s="37" t="n">
        <f aca="false">IF(輸入與假設!$C$194=1,輸入與假設!G$208,0)</f>
        <v>3.221</v>
      </c>
      <c r="I21" s="12" t="s">
        <v>824</v>
      </c>
    </row>
    <row r="22" customFormat="false" ht="15" hidden="false" customHeight="false" outlineLevel="1" collapsed="false">
      <c r="A22" s="4" t="s">
        <v>825</v>
      </c>
      <c r="B22" s="12" t="s">
        <v>93</v>
      </c>
      <c r="C22" s="37" t="n">
        <f aca="false">輸入與假設!$C$267</f>
        <v>0.492</v>
      </c>
      <c r="D22" s="37" t="n">
        <f aca="false">0</f>
        <v>0</v>
      </c>
      <c r="E22" s="37" t="n">
        <f aca="false">0</f>
        <v>0</v>
      </c>
      <c r="F22" s="37" t="n">
        <f aca="false">0</f>
        <v>0</v>
      </c>
      <c r="G22" s="37" t="n">
        <f aca="false">0</f>
        <v>0</v>
      </c>
      <c r="I22" s="12" t="s">
        <v>826</v>
      </c>
    </row>
    <row r="23" customFormat="false" ht="15" hidden="false" customHeight="false" outlineLevel="1" collapsed="false">
      <c r="A23" s="2" t="s">
        <v>827</v>
      </c>
      <c r="B23" s="12" t="s">
        <v>93</v>
      </c>
      <c r="C23" s="42" t="n">
        <f aca="false">C9+C12+C17+C18+C19+C20+C21+C22</f>
        <v>48.7070493982615</v>
      </c>
      <c r="D23" s="42" t="n">
        <f aca="false">D9+D12+D17+D18+D19+D20+D21+D22</f>
        <v>56.6869011648575</v>
      </c>
      <c r="E23" s="42" t="n">
        <f aca="false">E9+E12+E17+E18+E19+E20+E21+E22</f>
        <v>49.4447538929771</v>
      </c>
      <c r="F23" s="42" t="n">
        <f aca="false">F9+F12+F17+F18+F19+F20+F21+F22</f>
        <v>48.2465747030902</v>
      </c>
      <c r="G23" s="42" t="n">
        <f aca="false">G9+G12+G17+G18+G19+G20+G21+G22</f>
        <v>54.932039422123</v>
      </c>
      <c r="I23" s="12" t="s">
        <v>828</v>
      </c>
    </row>
    <row r="24" customFormat="false" ht="15" hidden="false" customHeight="false" outlineLevel="0" collapsed="false">
      <c r="A24" s="54" t="s">
        <v>829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830</v>
      </c>
      <c r="B25" s="12" t="s">
        <v>93</v>
      </c>
      <c r="C25" s="46" t="n">
        <f aca="false">輸入與假設!$C$261</f>
        <v>3.663</v>
      </c>
      <c r="D25" s="46" t="n">
        <f aca="false">0</f>
        <v>0</v>
      </c>
      <c r="E25" s="46" t="n">
        <f aca="false">0</f>
        <v>0</v>
      </c>
      <c r="F25" s="46" t="n">
        <f aca="false">0</f>
        <v>0</v>
      </c>
      <c r="G25" s="46" t="n">
        <f aca="false">0</f>
        <v>0</v>
      </c>
      <c r="I25" s="12" t="s">
        <v>831</v>
      </c>
    </row>
    <row r="26" customFormat="false" ht="15" hidden="false" customHeight="false" outlineLevel="1" collapsed="false">
      <c r="A26" s="4" t="s">
        <v>832</v>
      </c>
      <c r="B26" s="12" t="s">
        <v>93</v>
      </c>
      <c r="C26" s="46" t="n">
        <f aca="false">運營_產能與收入!C36</f>
        <v>5.16541690677239</v>
      </c>
      <c r="D26" s="46" t="n">
        <f aca="false">運營_產能與收入!D36</f>
        <v>16.165215960473</v>
      </c>
      <c r="E26" s="46" t="n">
        <f aca="false">運營_產能與收入!E36</f>
        <v>20.050491315789</v>
      </c>
      <c r="F26" s="46" t="n">
        <f aca="false">運營_產能與收入!F36</f>
        <v>19.1311936785239</v>
      </c>
      <c r="G26" s="46" t="n">
        <f aca="false">運營_產能與收入!G36</f>
        <v>13.0506642348033</v>
      </c>
    </row>
    <row r="27" customFormat="false" ht="15" hidden="false" customHeight="false" outlineLevel="1" collapsed="false">
      <c r="A27" s="3" t="s">
        <v>833</v>
      </c>
      <c r="B27" s="12" t="s">
        <v>93</v>
      </c>
      <c r="C27" s="46" t="n">
        <f aca="false">運營_產能與收入!C37</f>
        <v>0</v>
      </c>
      <c r="D27" s="46" t="n">
        <f aca="false">運營_產能與收入!D37</f>
        <v>0</v>
      </c>
      <c r="E27" s="46" t="n">
        <f aca="false">運營_產能與收入!E37</f>
        <v>3.32525404070556</v>
      </c>
      <c r="F27" s="46" t="n">
        <f aca="false">運營_產能與收入!F37</f>
        <v>8.55845993519271</v>
      </c>
      <c r="G27" s="46" t="n">
        <f aca="false">運營_產能與收入!G37</f>
        <v>16.5683423805441</v>
      </c>
    </row>
    <row r="28" customFormat="false" ht="15" hidden="false" customHeight="false" outlineLevel="1" collapsed="false">
      <c r="A28" s="3" t="s">
        <v>834</v>
      </c>
      <c r="B28" s="12" t="s">
        <v>93</v>
      </c>
      <c r="C28" s="46" t="n">
        <f aca="false">輸入與假設!C$135</f>
        <v>0.2355722402111</v>
      </c>
      <c r="D28" s="46" t="n">
        <f aca="false">輸入與假設!D$135</f>
        <v>0.788784031806483</v>
      </c>
      <c r="E28" s="46" t="n">
        <f aca="false">輸入與假設!E$135</f>
        <v>1.41272771772835</v>
      </c>
      <c r="F28" s="46" t="n">
        <f aca="false">輸入與假設!F$135</f>
        <v>2.15601484531796</v>
      </c>
      <c r="G28" s="46" t="n">
        <f aca="false">輸入與假設!G$135</f>
        <v>2.83790506812316</v>
      </c>
    </row>
    <row r="29" customFormat="false" ht="15" hidden="false" customHeight="false" outlineLevel="1" collapsed="false">
      <c r="A29" s="3" t="s">
        <v>835</v>
      </c>
      <c r="B29" s="12" t="s">
        <v>93</v>
      </c>
      <c r="C29" s="37" t="n">
        <f aca="false">C8</f>
        <v>1.50888</v>
      </c>
      <c r="D29" s="37" t="n">
        <f aca="false">D8</f>
        <v>3.1490432776</v>
      </c>
      <c r="E29" s="37" t="n">
        <f aca="false">E8</f>
        <v>2.6009755584</v>
      </c>
      <c r="F29" s="37" t="n">
        <f aca="false">F8</f>
        <v>2.6160100992</v>
      </c>
      <c r="G29" s="37" t="n">
        <f aca="false">G8</f>
        <v>2.9618045376</v>
      </c>
    </row>
    <row r="30" customFormat="false" ht="15" hidden="false" customHeight="false" outlineLevel="1" collapsed="false">
      <c r="A30" s="2" t="s">
        <v>836</v>
      </c>
      <c r="B30" s="12" t="s">
        <v>93</v>
      </c>
      <c r="C30" s="42" t="n">
        <f aca="false">C25+C26+C27+C28+C29</f>
        <v>10.5728691469835</v>
      </c>
      <c r="D30" s="42" t="n">
        <f aca="false">D25+D26+D27+D28+D29</f>
        <v>20.1030432698795</v>
      </c>
      <c r="E30" s="42" t="n">
        <f aca="false">E25+E26+E27+E28+E29</f>
        <v>27.3894486326229</v>
      </c>
      <c r="F30" s="42" t="n">
        <f aca="false">F25+F26+F27+F28+F29</f>
        <v>32.4616785582346</v>
      </c>
      <c r="G30" s="42" t="n">
        <f aca="false">G25+G26+G27+G28+G29</f>
        <v>35.4187162210706</v>
      </c>
    </row>
    <row r="31" customFormat="false" ht="15" hidden="false" customHeight="false" outlineLevel="1" collapsed="false">
      <c r="A31" s="3" t="s">
        <v>837</v>
      </c>
      <c r="B31" s="12" t="s">
        <v>93</v>
      </c>
      <c r="C31" s="37" t="n">
        <f aca="false">輸入與假設!$C$268+IF(輸入與假設!$C$191=1,輸入與假設!$C$190,0)</f>
        <v>9.182</v>
      </c>
      <c r="D31" s="37" t="n">
        <f aca="false">0</f>
        <v>0</v>
      </c>
      <c r="E31" s="37" t="n">
        <f aca="false">0</f>
        <v>0</v>
      </c>
      <c r="F31" s="37" t="n">
        <f aca="false">0</f>
        <v>0</v>
      </c>
      <c r="G31" s="37" t="n">
        <f aca="false">0</f>
        <v>0</v>
      </c>
      <c r="I31" s="12" t="s">
        <v>838</v>
      </c>
    </row>
    <row r="32" customFormat="false" ht="15" hidden="false" customHeight="false" outlineLevel="1" collapsed="false">
      <c r="A32" s="4" t="s">
        <v>839</v>
      </c>
      <c r="B32" s="12" t="s">
        <v>93</v>
      </c>
      <c r="C32" s="46" t="n">
        <f aca="false">輸入與假設!$C$265</f>
        <v>16.747</v>
      </c>
      <c r="D32" s="46" t="n">
        <f aca="false">0</f>
        <v>0</v>
      </c>
      <c r="E32" s="46" t="n">
        <f aca="false">0</f>
        <v>0</v>
      </c>
      <c r="F32" s="46" t="n">
        <f aca="false">0</f>
        <v>0</v>
      </c>
      <c r="G32" s="46" t="n">
        <f aca="false">0</f>
        <v>0</v>
      </c>
      <c r="I32" s="12" t="s">
        <v>840</v>
      </c>
    </row>
    <row r="33" customFormat="false" ht="15" hidden="false" customHeight="false" outlineLevel="1" collapsed="false">
      <c r="A33" s="3" t="s">
        <v>841</v>
      </c>
      <c r="B33" s="12" t="s">
        <v>93</v>
      </c>
      <c r="C33" s="37" t="n">
        <f aca="false">C58</f>
        <v>11.581180251278</v>
      </c>
      <c r="D33" s="37" t="n">
        <f aca="false">D58</f>
        <v>36.583857894978</v>
      </c>
      <c r="E33" s="37" t="n">
        <f aca="false">E58</f>
        <v>8.05701193686176</v>
      </c>
      <c r="F33" s="37" t="n">
        <f aca="false">F58</f>
        <v>0.888683990203305</v>
      </c>
      <c r="G33" s="37" t="n">
        <f aca="false">G58</f>
        <v>19.2537639652895</v>
      </c>
      <c r="I33" s="7" t="s">
        <v>842</v>
      </c>
    </row>
    <row r="34" customFormat="false" ht="15" hidden="false" customHeight="false" outlineLevel="1" collapsed="false">
      <c r="A34" s="3" t="s">
        <v>843</v>
      </c>
      <c r="B34" s="12" t="s">
        <v>93</v>
      </c>
      <c r="C34" s="37" t="n">
        <f aca="false">C61</f>
        <v>0</v>
      </c>
      <c r="D34" s="37" t="n">
        <f aca="false">D61</f>
        <v>0</v>
      </c>
      <c r="E34" s="37" t="n">
        <f aca="false">E61</f>
        <v>10.572249</v>
      </c>
      <c r="F34" s="37" t="n">
        <f aca="false">F61</f>
        <v>10.572249</v>
      </c>
      <c r="G34" s="37" t="n">
        <f aca="false">G61</f>
        <v>0.259559235762922</v>
      </c>
      <c r="I34" s="7" t="s">
        <v>844</v>
      </c>
    </row>
    <row r="35" customFormat="false" ht="15" hidden="false" customHeight="false" outlineLevel="1" collapsed="false">
      <c r="A35" s="3" t="s">
        <v>845</v>
      </c>
      <c r="B35" s="12" t="s">
        <v>93</v>
      </c>
      <c r="C35" s="37" t="n">
        <f aca="false">C62</f>
        <v>0</v>
      </c>
      <c r="D35" s="37" t="n">
        <f aca="false">D62</f>
        <v>0</v>
      </c>
      <c r="E35" s="37" t="n">
        <f aca="false">E62</f>
        <v>3.42604432349237</v>
      </c>
      <c r="F35" s="37" t="n">
        <f aca="false">F62</f>
        <v>4.32396315465228</v>
      </c>
      <c r="G35" s="37" t="n">
        <f aca="false">G62</f>
        <v>0</v>
      </c>
      <c r="I35" s="7" t="s">
        <v>846</v>
      </c>
    </row>
    <row r="36" customFormat="false" ht="15" hidden="false" customHeight="false" outlineLevel="1" collapsed="false">
      <c r="A36" s="2" t="s">
        <v>847</v>
      </c>
      <c r="B36" s="12" t="s">
        <v>93</v>
      </c>
      <c r="C36" s="42" t="n">
        <f aca="false">C30+C31+C32+C33+C34+C35</f>
        <v>48.0830493982615</v>
      </c>
      <c r="D36" s="42" t="n">
        <f aca="false">D30+D31+D32+D33+D34+D35</f>
        <v>56.6869011648575</v>
      </c>
      <c r="E36" s="42" t="n">
        <f aca="false">E30+E31+E32+E33+E34+E35</f>
        <v>49.4447538929771</v>
      </c>
      <c r="F36" s="42" t="n">
        <f aca="false">F30+F31+F32+F33+F34+F35</f>
        <v>48.2465747030902</v>
      </c>
      <c r="G36" s="42" t="n">
        <f aca="false">G30+G31+G32+G33+G34+G35</f>
        <v>54.932039422123</v>
      </c>
    </row>
    <row r="37" customFormat="false" ht="15" hidden="false" customHeight="false" outlineLevel="0" collapsed="false">
      <c r="A37" s="54" t="s">
        <v>848</v>
      </c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1" collapsed="false">
      <c r="A38" s="3" t="s">
        <v>849</v>
      </c>
      <c r="B38" s="12" t="s">
        <v>93</v>
      </c>
      <c r="C38" s="37" t="n">
        <f aca="false">輸入與假設!$C$189-(輸入與假設!$C$260+輸入與假設!$C$261+輸入與假設!$C$265+輸入與假設!$C$268-輸入與假設!$C$262-輸入與假設!$C$264-輸入與假設!$C$266-輸入與假設!$C$267)</f>
        <v>-0.502999999999997</v>
      </c>
      <c r="D38" s="37" t="n">
        <f aca="false">0</f>
        <v>0</v>
      </c>
      <c r="E38" s="37" t="n">
        <f aca="false">0</f>
        <v>0</v>
      </c>
      <c r="F38" s="37" t="n">
        <f aca="false">0</f>
        <v>0</v>
      </c>
      <c r="G38" s="37" t="n">
        <f aca="false">0</f>
        <v>0</v>
      </c>
      <c r="I38" s="7" t="s">
        <v>850</v>
      </c>
    </row>
    <row r="39" customFormat="false" ht="15" hidden="false" customHeight="false" outlineLevel="1" collapsed="false">
      <c r="A39" s="2" t="s">
        <v>851</v>
      </c>
      <c r="B39" s="12" t="s">
        <v>93</v>
      </c>
      <c r="C39" s="42" t="n">
        <f aca="false">C30-(C23-C21-C22)</f>
        <v>-28.010180251278</v>
      </c>
      <c r="D39" s="42" t="n">
        <f aca="false">D30-(D23-D21-D22)</f>
        <v>-30.399857894978</v>
      </c>
      <c r="E39" s="42" t="n">
        <f aca="false">E30-(E23-E21-E22)</f>
        <v>-17.6393052603541</v>
      </c>
      <c r="F39" s="42" t="n">
        <f aca="false">F30-(F23-F21-F22)</f>
        <v>-13.3638961448556</v>
      </c>
      <c r="G39" s="42" t="n">
        <f aca="false">G30-(G23-G21-G22)</f>
        <v>-16.2923232010524</v>
      </c>
      <c r="I39" s="7" t="s">
        <v>852</v>
      </c>
    </row>
    <row r="40" customFormat="false" ht="15" hidden="false" customHeight="false" outlineLevel="1" collapsed="false">
      <c r="A40" s="3" t="s">
        <v>853</v>
      </c>
      <c r="B40" s="12" t="s">
        <v>93</v>
      </c>
      <c r="C40" s="37" t="n">
        <f aca="false">C36-C23+C38</f>
        <v>-1.127</v>
      </c>
      <c r="D40" s="37" t="n">
        <f aca="false">D36-D23+D38</f>
        <v>0</v>
      </c>
      <c r="E40" s="37" t="n">
        <f aca="false">E36-E23+E38</f>
        <v>0</v>
      </c>
      <c r="F40" s="37" t="n">
        <f aca="false">F36-F23+F38</f>
        <v>0</v>
      </c>
      <c r="G40" s="37" t="n">
        <f aca="false">G36-G23+G38</f>
        <v>0</v>
      </c>
    </row>
    <row r="41" customFormat="false" ht="15" hidden="false" customHeight="false" outlineLevel="1" collapsed="false">
      <c r="A41" s="2" t="s">
        <v>854</v>
      </c>
      <c r="B41" s="12" t="s">
        <v>93</v>
      </c>
      <c r="C41" s="42" t="n">
        <f aca="false">C14+C40</f>
        <v>2</v>
      </c>
      <c r="D41" s="42" t="n">
        <f aca="false">D14+D40</f>
        <v>2</v>
      </c>
      <c r="E41" s="42" t="n">
        <f aca="false">E14+E40</f>
        <v>2</v>
      </c>
      <c r="F41" s="42" t="n">
        <f aca="false">F14+F40</f>
        <v>2</v>
      </c>
      <c r="G41" s="42" t="n">
        <f aca="false">G14+G40</f>
        <v>2</v>
      </c>
      <c r="I41" s="7" t="s">
        <v>855</v>
      </c>
    </row>
    <row r="43" customFormat="false" ht="15" hidden="false" customHeight="false" outlineLevel="0" collapsed="false">
      <c r="A43" s="54" t="s">
        <v>856</v>
      </c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1" collapsed="false">
      <c r="A44" s="3" t="s">
        <v>857</v>
      </c>
      <c r="B44" s="12" t="s">
        <v>93</v>
      </c>
      <c r="C44" s="37" t="n">
        <f aca="false">C9+C12+C13+C18+C19+C20+C21+C22</f>
        <v>48.185896286954</v>
      </c>
      <c r="D44" s="37" t="n">
        <f aca="false">D9+D12+D13+D18+D19+D20+D21+D22</f>
        <v>52.3520477316945</v>
      </c>
      <c r="E44" s="37" t="n">
        <f aca="false">E9+E12+E13+E18+E19+E20+E21+E22</f>
        <v>43.9736440666774</v>
      </c>
      <c r="F44" s="37" t="n">
        <f aca="false">F9+F12+F13+F18+F19+F20+F21+F22</f>
        <v>42.176607739114</v>
      </c>
      <c r="G44" s="37" t="n">
        <f aca="false">G9+G12+G13+G18+G19+G20+G21+G22</f>
        <v>47.1292337012707</v>
      </c>
      <c r="I44" s="7" t="s">
        <v>858</v>
      </c>
    </row>
    <row r="45" customFormat="false" ht="15" hidden="false" customHeight="false" outlineLevel="1" collapsed="false">
      <c r="A45" s="3" t="s">
        <v>859</v>
      </c>
      <c r="B45" s="12" t="s">
        <v>93</v>
      </c>
      <c r="C45" s="37" t="n">
        <f aca="false">0</f>
        <v>0</v>
      </c>
      <c r="D45" s="37" t="n">
        <f aca="false">C67</f>
        <v>11.581180251278</v>
      </c>
      <c r="E45" s="37" t="n">
        <f aca="false">D67</f>
        <v>48.165038146256</v>
      </c>
      <c r="F45" s="37" t="n">
        <f aca="false">E67</f>
        <v>56.2220500831178</v>
      </c>
      <c r="G45" s="37" t="n">
        <f aca="false">F67</f>
        <v>57.1107340733211</v>
      </c>
    </row>
    <row r="46" customFormat="false" ht="15" hidden="false" customHeight="false" outlineLevel="1" collapsed="false">
      <c r="A46" s="3" t="s">
        <v>860</v>
      </c>
      <c r="B46" s="12" t="s">
        <v>77</v>
      </c>
      <c r="C46" s="56" t="n">
        <f aca="false">C15*運營_產能與收入!C7</f>
        <v>0.045</v>
      </c>
      <c r="D46" s="56" t="n">
        <f aca="false">D15*運營_產能與收入!D7</f>
        <v>0.09</v>
      </c>
      <c r="E46" s="56" t="n">
        <f aca="false">E15*運營_產能與收入!E7</f>
        <v>0.09</v>
      </c>
      <c r="F46" s="56" t="n">
        <f aca="false">F15*運營_產能與收入!F7</f>
        <v>0.09</v>
      </c>
      <c r="G46" s="56" t="n">
        <f aca="false">G15*運營_產能與收入!G7</f>
        <v>0.09</v>
      </c>
    </row>
    <row r="47" customFormat="false" ht="15" hidden="false" customHeight="false" outlineLevel="1" collapsed="false">
      <c r="A47" s="3" t="s">
        <v>861</v>
      </c>
      <c r="B47" s="12" t="s">
        <v>93</v>
      </c>
      <c r="C47" s="37" t="n">
        <f aca="false">0</f>
        <v>0</v>
      </c>
      <c r="D47" s="37" t="n">
        <f aca="false">C69</f>
        <v>0</v>
      </c>
      <c r="E47" s="37" t="n">
        <f aca="false">D69</f>
        <v>0</v>
      </c>
      <c r="F47" s="37" t="n">
        <f aca="false">E69</f>
        <v>3.42604432349237</v>
      </c>
      <c r="G47" s="37" t="n">
        <f aca="false">F69</f>
        <v>7.75000747814466</v>
      </c>
    </row>
    <row r="48" customFormat="false" ht="15" hidden="false" customHeight="false" outlineLevel="1" collapsed="false">
      <c r="A48" s="3" t="s">
        <v>862</v>
      </c>
      <c r="B48" s="12" t="s">
        <v>77</v>
      </c>
      <c r="C48" s="56" t="n">
        <f aca="false">(輸入與假設!$C$202+IF(輸入與假設!$C$204=1,MAX(0,輸入與假設!$C$203-輸入與假設!$C$205)/10000*輸入與假設!$C$206,0))*運營_產能與收入!C7</f>
        <v>0.06</v>
      </c>
      <c r="D48" s="56" t="n">
        <f aca="false">(輸入與假設!$C$202+IF(輸入與假設!$C$204=1,MAX(0,輸入與假設!$C$203-輸入與假設!$C$205)/10000*輸入與假設!$C$206,0))*運營_產能與收入!D7</f>
        <v>0.12</v>
      </c>
      <c r="E48" s="56" t="n">
        <f aca="false">(輸入與假設!$C$202+IF(輸入與假設!$C$204=1,MAX(0,輸入與假設!$C$203-輸入與假設!$C$205)/10000*輸入與假設!$C$206,0))*運營_產能與收入!E7</f>
        <v>0.12</v>
      </c>
      <c r="F48" s="56" t="n">
        <f aca="false">(輸入與假設!$C$202+IF(輸入與假設!$C$204=1,MAX(0,輸入與假設!$C$203-輸入與假設!$C$205)/10000*輸入與假設!$C$206,0))*運營_產能與收入!F7</f>
        <v>0.12</v>
      </c>
      <c r="G48" s="56" t="n">
        <f aca="false">(輸入與假設!$C$202+IF(輸入與假設!$C$204=1,MAX(0,輸入與假設!$C$203-輸入與假設!$C$205)/10000*輸入與假設!$C$206,0))*運營_產能與收入!G7</f>
        <v>0.12</v>
      </c>
    </row>
    <row r="49" customFormat="false" ht="15" hidden="false" customHeight="false" outlineLevel="1" collapsed="false">
      <c r="A49" s="3" t="s">
        <v>863</v>
      </c>
      <c r="B49" s="12" t="s">
        <v>93</v>
      </c>
      <c r="C49" s="37" t="n">
        <f aca="false">C14+C30+C31+C32+C38-C44-C46*C45-C48*C47</f>
        <v>-9.06002713997047</v>
      </c>
      <c r="D49" s="37" t="n">
        <f aca="false">D14+D30+D31+D32+D38-D44-D46*D45-D48*D47</f>
        <v>-31.29131068443</v>
      </c>
      <c r="E49" s="37" t="n">
        <f aca="false">E14+E30+E31+E32+E38-E44-E46*E45-E48*E47</f>
        <v>-18.9190488672175</v>
      </c>
      <c r="F49" s="37" t="n">
        <f aca="false">F14+F30+F31+F32+F38-F44-F46*F45-F48*F47</f>
        <v>-13.186039007179</v>
      </c>
      <c r="G49" s="37" t="n">
        <f aca="false">G14+G30+G31+G32+G38-G44-G46*G45-G48*G47</f>
        <v>-15.7804844441764</v>
      </c>
    </row>
    <row r="50" customFormat="false" ht="15" hidden="false" customHeight="false" outlineLevel="1" collapsed="false">
      <c r="A50" s="2" t="s">
        <v>864</v>
      </c>
      <c r="B50" s="12" t="s">
        <v>93</v>
      </c>
      <c r="C50" s="42" t="n">
        <f aca="false">MAX(0,輸入與假設!$C$197-C49)</f>
        <v>11.0600271399705</v>
      </c>
      <c r="D50" s="42" t="n">
        <f aca="false">MAX(0,輸入與假設!$C$197-D49)</f>
        <v>33.29131068443</v>
      </c>
      <c r="E50" s="42" t="n">
        <f aca="false">MAX(0,輸入與假設!$C$197-E49)</f>
        <v>20.9190488672175</v>
      </c>
      <c r="F50" s="42" t="n">
        <f aca="false">MAX(0,輸入與假設!$C$197-F49)</f>
        <v>15.186039007179</v>
      </c>
      <c r="G50" s="42" t="n">
        <f aca="false">MAX(0,輸入與假設!$C$197-G49)</f>
        <v>17.7804844441764</v>
      </c>
    </row>
    <row r="51" customFormat="false" ht="15" hidden="false" customHeight="false" outlineLevel="1" collapsed="false">
      <c r="A51" s="3" t="s">
        <v>865</v>
      </c>
      <c r="B51" s="12" t="s">
        <v>93</v>
      </c>
      <c r="C51" s="37" t="n">
        <f aca="false">輸入與假設!$C$15+輸入與假設!$C$16</f>
        <v>128.7</v>
      </c>
      <c r="D51" s="37" t="n">
        <f aca="false">C53</f>
        <v>115.50825</v>
      </c>
      <c r="E51" s="37" t="n">
        <f aca="false">D53</f>
        <v>89.12475</v>
      </c>
      <c r="F51" s="37" t="n">
        <f aca="false">E53</f>
        <v>80.4600500831178</v>
      </c>
      <c r="G51" s="37" t="n">
        <f aca="false">F53</f>
        <v>78.9277340733211</v>
      </c>
      <c r="I51" s="12" t="s">
        <v>866</v>
      </c>
    </row>
    <row r="52" customFormat="false" ht="15" hidden="false" customHeight="false" outlineLevel="1" collapsed="false">
      <c r="A52" s="3" t="s">
        <v>867</v>
      </c>
      <c r="B52" s="12" t="s">
        <v>93</v>
      </c>
      <c r="C52" s="37" t="n">
        <f aca="false">MAX(0,運營_產能與收入!C23/運營_產能與收入!C7-0)*輸入與假設!$C$196</f>
        <v>0</v>
      </c>
      <c r="D52" s="37" t="n">
        <f aca="false">MAX(0,運營_產能與收入!D23/運營_產能與收入!D7-運營_產能與收入!C23/運營_產能與收入!C7)*輸入與假設!$C$196</f>
        <v>0</v>
      </c>
      <c r="E52" s="37" t="n">
        <f aca="false">MAX(0,運營_產能與收入!E23/運營_產能與收入!E7-運營_產能與收入!D23/運營_產能與收入!D7)*輸入與假設!$C$196</f>
        <v>21.3441251038972</v>
      </c>
      <c r="F52" s="37" t="n">
        <f aca="false">MAX(0,運營_產能與收入!F23/運營_產能與收入!F7-運營_產能與收入!E23/運營_產能與收入!E7)*輸入與假設!$C$196</f>
        <v>34.7912612637284</v>
      </c>
      <c r="G52" s="37" t="n">
        <f aca="false">MAX(0,運營_產能與收入!G23/運營_產能與收入!G7-運營_產能與收入!F23/運營_產能與收入!F7)*輸入與假設!$C$196</f>
        <v>56.1951140485183</v>
      </c>
    </row>
    <row r="53" customFormat="false" ht="15" hidden="false" customHeight="false" outlineLevel="1" collapsed="false">
      <c r="A53" s="3" t="s">
        <v>868</v>
      </c>
      <c r="B53" s="12" t="s">
        <v>93</v>
      </c>
      <c r="C53" s="37" t="n">
        <f aca="false">C51-運營_產能與收入!C17-運營_產能與收入!C23+C52</f>
        <v>115.50825</v>
      </c>
      <c r="D53" s="37" t="n">
        <f aca="false">D51-運營_產能與收入!D17-運營_產能與收入!D23+D52</f>
        <v>89.12475</v>
      </c>
      <c r="E53" s="37" t="n">
        <f aca="false">E51-運營_產能與收入!E17-運營_產能與收入!E23+E52</f>
        <v>80.4600500831178</v>
      </c>
      <c r="F53" s="37" t="n">
        <f aca="false">F51-運營_產能與收入!F17-運營_產能與收入!F23+F52</f>
        <v>78.9277340733211</v>
      </c>
      <c r="G53" s="37" t="n">
        <f aca="false">G51-運營_產能與收入!G17-運營_產能與收入!G23+G52</f>
        <v>94.9604980386106</v>
      </c>
      <c r="I53" s="7" t="s">
        <v>869</v>
      </c>
    </row>
    <row r="54" customFormat="false" ht="15" hidden="false" customHeight="false" outlineLevel="1" collapsed="false">
      <c r="A54" s="3" t="s">
        <v>870</v>
      </c>
      <c r="B54" s="12" t="s">
        <v>93</v>
      </c>
      <c r="C54" s="37" t="n">
        <f aca="false">IF(輸入與假設!$C$194=1,資產負債_既有債務!C30,35.551)+3.7</f>
        <v>34.838</v>
      </c>
      <c r="D54" s="37" t="n">
        <f aca="false">IF(輸入與假設!$C$194=1,資產負債_既有債務!D30,35.551)+3.7</f>
        <v>28.654</v>
      </c>
      <c r="E54" s="37" t="n">
        <f aca="false">IF(輸入與假設!$C$194=1,資產負債_既有債務!E30,35.551)+3.7</f>
        <v>24.238</v>
      </c>
      <c r="F54" s="37" t="n">
        <f aca="false">IF(輸入與假設!$C$194=1,資產負債_既有債務!F30,35.551)+3.7</f>
        <v>21.817</v>
      </c>
      <c r="G54" s="37" t="n">
        <f aca="false">IF(輸入與假設!$C$194=1,資產負債_既有債務!G30,35.551)+3.7</f>
        <v>18.596</v>
      </c>
      <c r="I54" s="7" t="s">
        <v>871</v>
      </c>
    </row>
    <row r="55" customFormat="false" ht="15" hidden="false" customHeight="false" outlineLevel="1" collapsed="false">
      <c r="A55" s="3" t="s">
        <v>872</v>
      </c>
      <c r="B55" s="12" t="s">
        <v>93</v>
      </c>
      <c r="C55" s="37" t="n">
        <f aca="false">輸入與假設!$C$195*C53</f>
        <v>115.50825</v>
      </c>
      <c r="D55" s="37" t="n">
        <f aca="false">輸入與假設!$C$195*D53</f>
        <v>89.12475</v>
      </c>
      <c r="E55" s="37" t="n">
        <f aca="false">輸入與假設!$C$195*E53</f>
        <v>80.4600500831178</v>
      </c>
      <c r="F55" s="37" t="n">
        <f aca="false">輸入與假設!$C$195*F53</f>
        <v>78.9277340733211</v>
      </c>
      <c r="G55" s="37" t="n">
        <f aca="false">輸入與假設!$C$195*G53</f>
        <v>94.9604980386106</v>
      </c>
    </row>
    <row r="56" customFormat="false" ht="15" hidden="false" customHeight="false" outlineLevel="1" collapsed="false">
      <c r="A56" s="3" t="s">
        <v>873</v>
      </c>
      <c r="B56" s="12" t="s">
        <v>93</v>
      </c>
      <c r="C56" s="37" t="n">
        <f aca="false">IF(輸入與假設!$C$193=1,輸入與假設!$C$192,0)</f>
        <v>10</v>
      </c>
      <c r="D56" s="37" t="n">
        <f aca="false">C68</f>
        <v>0</v>
      </c>
      <c r="E56" s="37" t="n">
        <f aca="false">D68</f>
        <v>0</v>
      </c>
      <c r="F56" s="37" t="n">
        <f aca="false">E68</f>
        <v>0</v>
      </c>
      <c r="G56" s="37" t="n">
        <f aca="false">F68</f>
        <v>0</v>
      </c>
    </row>
    <row r="57" customFormat="false" ht="15" hidden="false" customHeight="false" outlineLevel="1" collapsed="false">
      <c r="A57" s="3" t="s">
        <v>874</v>
      </c>
      <c r="B57" s="12" t="s">
        <v>93</v>
      </c>
      <c r="C57" s="37" t="n">
        <f aca="false">MAX(0,C55-(C54+C45),C56)</f>
        <v>80.67025</v>
      </c>
      <c r="D57" s="37" t="n">
        <f aca="false">MAX(0,D55-(D54+D45),D56)</f>
        <v>48.889569748722</v>
      </c>
      <c r="E57" s="37" t="n">
        <f aca="false">MAX(0,E55-(E54+E45),E56)</f>
        <v>8.05701193686176</v>
      </c>
      <c r="F57" s="37" t="n">
        <f aca="false">MAX(0,F55-(F54+F45),F56)</f>
        <v>0.888683990203305</v>
      </c>
      <c r="G57" s="37" t="n">
        <f aca="false">MAX(0,G55-(G54+G45),G56)</f>
        <v>19.2537639652895</v>
      </c>
      <c r="I57" s="7" t="s">
        <v>875</v>
      </c>
    </row>
    <row r="58" customFormat="false" ht="15" hidden="false" customHeight="false" outlineLevel="1" collapsed="false">
      <c r="A58" s="2" t="s">
        <v>876</v>
      </c>
      <c r="B58" s="12" t="s">
        <v>93</v>
      </c>
      <c r="C58" s="42" t="n">
        <f aca="false">MIN(C57,C50/(1-C46))</f>
        <v>11.581180251278</v>
      </c>
      <c r="D58" s="42" t="n">
        <f aca="false">MIN(D57,D50/(1-D46))</f>
        <v>36.583857894978</v>
      </c>
      <c r="E58" s="42" t="n">
        <f aca="false">MIN(E57,E50/(1-E46))</f>
        <v>8.05701193686176</v>
      </c>
      <c r="F58" s="42" t="n">
        <f aca="false">MIN(F57,F50/(1-F46))</f>
        <v>0.888683990203305</v>
      </c>
      <c r="G58" s="42" t="n">
        <f aca="false">MIN(G57,G50/(1-G46))</f>
        <v>19.2537639652895</v>
      </c>
      <c r="I58" s="7" t="s">
        <v>877</v>
      </c>
    </row>
    <row r="59" customFormat="false" ht="15" hidden="false" customHeight="false" outlineLevel="1" collapsed="false">
      <c r="A59" s="3" t="s">
        <v>878</v>
      </c>
      <c r="B59" s="12" t="s">
        <v>93</v>
      </c>
      <c r="C59" s="37" t="n">
        <f aca="false">MAX(0,C50+C46*C58-C58)</f>
        <v>0</v>
      </c>
      <c r="D59" s="37" t="n">
        <f aca="false">MAX(0,D50+D46*D58-D58)</f>
        <v>0</v>
      </c>
      <c r="E59" s="37" t="n">
        <f aca="false">MAX(0,E50+E46*E58-E58)</f>
        <v>13.5871680046733</v>
      </c>
      <c r="F59" s="37" t="n">
        <f aca="false">MAX(0,F50+F46*F58-F58)</f>
        <v>14.377336576094</v>
      </c>
      <c r="G59" s="37" t="n">
        <f aca="false">MAX(0,G50+G46*G58-G58)</f>
        <v>0.259559235762922</v>
      </c>
    </row>
    <row r="60" customFormat="false" ht="15" hidden="false" customHeight="false" outlineLevel="1" collapsed="false">
      <c r="A60" s="3" t="s">
        <v>879</v>
      </c>
      <c r="B60" s="12" t="s">
        <v>93</v>
      </c>
      <c r="C60" s="37" t="n">
        <f aca="false">IF(輸入與假設!$C$200&gt;=9,1E+099,輸入與假設!$C$200*輸入與假設!$C$198*輸入與假設!$C$201*運營_產能與收入!C7)</f>
        <v>5.2861245</v>
      </c>
      <c r="D60" s="37" t="n">
        <f aca="false">IF(輸入與假設!$C$200&gt;=9,1E+099,輸入與假設!$C$200*輸入與假設!$C$198*輸入與假設!$C$201*運營_產能與收入!D7)</f>
        <v>10.572249</v>
      </c>
      <c r="E60" s="37" t="n">
        <f aca="false">IF(輸入與假設!$C$200&gt;=9,1E+099,輸入與假設!$C$200*輸入與假設!$C$198*輸入與假設!$C$201*運營_產能與收入!E7)</f>
        <v>10.572249</v>
      </c>
      <c r="F60" s="37" t="n">
        <f aca="false">IF(輸入與假設!$C$200&gt;=9,1E+099,輸入與假設!$C$200*輸入與假設!$C$198*輸入與假設!$C$201*運營_產能與收入!F7)</f>
        <v>10.572249</v>
      </c>
      <c r="G60" s="37" t="n">
        <f aca="false">IF(輸入與假設!$C$200&gt;=9,1E+099,輸入與假設!$C$200*輸入與假設!$C$198*輸入與假設!$C$201*運營_產能與收入!G7)</f>
        <v>10.572249</v>
      </c>
      <c r="I60" s="7" t="s">
        <v>880</v>
      </c>
    </row>
    <row r="61" customFormat="false" ht="15" hidden="false" customHeight="false" outlineLevel="1" collapsed="false">
      <c r="A61" s="2" t="s">
        <v>881</v>
      </c>
      <c r="B61" s="12" t="s">
        <v>93</v>
      </c>
      <c r="C61" s="42" t="n">
        <f aca="false">MIN(C59,C60)</f>
        <v>0</v>
      </c>
      <c r="D61" s="42" t="n">
        <f aca="false">MIN(D59,D60)</f>
        <v>0</v>
      </c>
      <c r="E61" s="42" t="n">
        <f aca="false">MIN(E59,E60)</f>
        <v>10.572249</v>
      </c>
      <c r="F61" s="42" t="n">
        <f aca="false">MIN(F59,F60)</f>
        <v>10.572249</v>
      </c>
      <c r="G61" s="42" t="n">
        <f aca="false">MIN(G59,G60)</f>
        <v>0.259559235762922</v>
      </c>
    </row>
    <row r="62" customFormat="false" ht="15" hidden="false" customHeight="false" outlineLevel="1" collapsed="false">
      <c r="A62" s="2" t="s">
        <v>882</v>
      </c>
      <c r="B62" s="12" t="s">
        <v>93</v>
      </c>
      <c r="C62" s="42" t="n">
        <f aca="false">(C59-C61)/(1-C48)</f>
        <v>0</v>
      </c>
      <c r="D62" s="42" t="n">
        <f aca="false">(D59-D61)/(1-D48)</f>
        <v>0</v>
      </c>
      <c r="E62" s="42" t="n">
        <f aca="false">(E59-E61)/(1-E48)</f>
        <v>3.42604432349237</v>
      </c>
      <c r="F62" s="42" t="n">
        <f aca="false">(F59-F61)/(1-F48)</f>
        <v>4.32396315465228</v>
      </c>
      <c r="G62" s="42" t="n">
        <f aca="false">(G59-G61)/(1-G48)</f>
        <v>0</v>
      </c>
    </row>
    <row r="63" customFormat="false" ht="15" hidden="false" customHeight="false" outlineLevel="1" collapsed="false">
      <c r="A63" s="3" t="s">
        <v>883</v>
      </c>
      <c r="B63" s="12" t="s">
        <v>93</v>
      </c>
      <c r="C63" s="37" t="n">
        <f aca="false">C46*(C45+C58)+C48*(C47+C62)</f>
        <v>0.521153111307509</v>
      </c>
      <c r="D63" s="37" t="n">
        <f aca="false">D46*(D45+D58)+D48*(D47+D62)</f>
        <v>4.33485343316304</v>
      </c>
      <c r="E63" s="37" t="n">
        <f aca="false">E46*(E45+E58)+E48*(E47+E62)</f>
        <v>5.47110982629968</v>
      </c>
      <c r="F63" s="37" t="n">
        <f aca="false">F46*(F45+F58)+F48*(F47+F62)</f>
        <v>6.06996696397625</v>
      </c>
      <c r="G63" s="37" t="n">
        <f aca="false">G46*(G45+G58)+G48*(G47+G62)</f>
        <v>7.80280572085231</v>
      </c>
    </row>
    <row r="64" customFormat="false" ht="15" hidden="false" customHeight="false" outlineLevel="1" collapsed="false">
      <c r="A64" s="3" t="s">
        <v>884</v>
      </c>
      <c r="B64" s="12" t="s">
        <v>74</v>
      </c>
      <c r="C64" s="57" t="n">
        <f aca="false">輸入與假設!$C$198*(1-輸入與假設!$C$199)</f>
        <v>81.117</v>
      </c>
      <c r="D64" s="57" t="n">
        <f aca="false">輸入與假設!$C$198*(1-輸入與假設!$C$199)</f>
        <v>81.117</v>
      </c>
      <c r="E64" s="57" t="n">
        <f aca="false">輸入與假設!$C$198*(1-輸入與假設!$C$199)</f>
        <v>81.117</v>
      </c>
      <c r="F64" s="57" t="n">
        <f aca="false">輸入與假設!$C$198*(1-輸入與假設!$C$199)</f>
        <v>81.117</v>
      </c>
      <c r="G64" s="57" t="n">
        <f aca="false">輸入與假設!$C$198*(1-輸入與假設!$C$199)</f>
        <v>81.117</v>
      </c>
    </row>
    <row r="65" customFormat="false" ht="15" hidden="false" customHeight="false" outlineLevel="1" collapsed="false">
      <c r="A65" s="3" t="s">
        <v>885</v>
      </c>
      <c r="B65" s="12" t="s">
        <v>500</v>
      </c>
      <c r="C65" s="58" t="n">
        <f aca="false">C61/C64</f>
        <v>0</v>
      </c>
      <c r="D65" s="58" t="n">
        <f aca="false">D61/D64</f>
        <v>0</v>
      </c>
      <c r="E65" s="58" t="n">
        <f aca="false">E61/E64</f>
        <v>0.130333333333333</v>
      </c>
      <c r="F65" s="58" t="n">
        <f aca="false">F61/F64</f>
        <v>0.130333333333333</v>
      </c>
      <c r="G65" s="58" t="n">
        <f aca="false">G61/G64</f>
        <v>0.00319981305722501</v>
      </c>
    </row>
    <row r="66" customFormat="false" ht="15" hidden="false" customHeight="false" outlineLevel="1" collapsed="false">
      <c r="A66" s="2" t="s">
        <v>886</v>
      </c>
      <c r="B66" s="12" t="s">
        <v>500</v>
      </c>
      <c r="C66" s="59" t="n">
        <f aca="false">C65</f>
        <v>0</v>
      </c>
      <c r="D66" s="59" t="n">
        <f aca="false">C66+D65</f>
        <v>0</v>
      </c>
      <c r="E66" s="59" t="n">
        <f aca="false">D66+E65</f>
        <v>0.130333333333333</v>
      </c>
      <c r="F66" s="59" t="n">
        <f aca="false">E66+F65</f>
        <v>0.260666666666667</v>
      </c>
      <c r="G66" s="59" t="n">
        <f aca="false">F66+G65</f>
        <v>0.263866479723892</v>
      </c>
    </row>
    <row r="67" customFormat="false" ht="15" hidden="false" customHeight="false" outlineLevel="1" collapsed="false">
      <c r="A67" s="3" t="s">
        <v>887</v>
      </c>
      <c r="B67" s="12" t="s">
        <v>93</v>
      </c>
      <c r="C67" s="37" t="n">
        <f aca="false">C45+C58</f>
        <v>11.581180251278</v>
      </c>
      <c r="D67" s="37" t="n">
        <f aca="false">D45+D58</f>
        <v>48.165038146256</v>
      </c>
      <c r="E67" s="37" t="n">
        <f aca="false">E45+E58</f>
        <v>56.2220500831178</v>
      </c>
      <c r="F67" s="37" t="n">
        <f aca="false">F45+F58</f>
        <v>57.1107340733211</v>
      </c>
      <c r="G67" s="37" t="n">
        <f aca="false">G45+G58</f>
        <v>76.3644980386106</v>
      </c>
    </row>
    <row r="68" customFormat="false" ht="15" hidden="false" customHeight="false" outlineLevel="1" collapsed="false">
      <c r="A68" s="3" t="s">
        <v>888</v>
      </c>
      <c r="B68" s="12" t="s">
        <v>93</v>
      </c>
      <c r="C68" s="37" t="n">
        <f aca="false">C56-MIN(C56,C58)</f>
        <v>0</v>
      </c>
      <c r="D68" s="37" t="n">
        <f aca="false">D56-MIN(D56,D58)</f>
        <v>0</v>
      </c>
      <c r="E68" s="37" t="n">
        <f aca="false">E56-MIN(E56,E58)</f>
        <v>0</v>
      </c>
      <c r="F68" s="37" t="n">
        <f aca="false">F56-MIN(F56,F58)</f>
        <v>0</v>
      </c>
      <c r="G68" s="37" t="n">
        <f aca="false">G56-MIN(G56,G58)</f>
        <v>0</v>
      </c>
    </row>
    <row r="69" customFormat="false" ht="15" hidden="false" customHeight="false" outlineLevel="1" collapsed="false">
      <c r="A69" s="3" t="s">
        <v>889</v>
      </c>
      <c r="B69" s="12" t="s">
        <v>93</v>
      </c>
      <c r="C69" s="37" t="n">
        <f aca="false">C47+C62</f>
        <v>0</v>
      </c>
      <c r="D69" s="37" t="n">
        <f aca="false">D47+D62</f>
        <v>0</v>
      </c>
      <c r="E69" s="37" t="n">
        <f aca="false">E47+E62</f>
        <v>3.42604432349237</v>
      </c>
      <c r="F69" s="37" t="n">
        <f aca="false">F47+F62</f>
        <v>7.75000747814466</v>
      </c>
      <c r="G69" s="37" t="n">
        <f aca="false">G47+G62</f>
        <v>7.75000747814466</v>
      </c>
    </row>
    <row r="70" customFormat="false" ht="15" hidden="false" customHeight="false" outlineLevel="1" collapsed="false">
      <c r="A70" s="2" t="s">
        <v>890</v>
      </c>
      <c r="B70" s="12" t="s">
        <v>93</v>
      </c>
      <c r="C70" s="42" t="n">
        <f aca="false">C54+C67+C69</f>
        <v>46.419180251278</v>
      </c>
      <c r="D70" s="42" t="n">
        <f aca="false">D54+D67+D69</f>
        <v>76.819038146256</v>
      </c>
      <c r="E70" s="42" t="n">
        <f aca="false">E54+E67+E69</f>
        <v>83.8860944066101</v>
      </c>
      <c r="F70" s="42" t="n">
        <f aca="false">F54+F67+F69</f>
        <v>86.6777415514657</v>
      </c>
      <c r="G70" s="42" t="n">
        <f aca="false">G54+G67+G69</f>
        <v>102.710505516755</v>
      </c>
    </row>
    <row r="71" customFormat="false" ht="15" hidden="false" customHeight="false" outlineLevel="1" collapsed="false">
      <c r="A71" s="2" t="s">
        <v>891</v>
      </c>
      <c r="B71" s="12" t="s">
        <v>93</v>
      </c>
      <c r="C71" s="42" t="n">
        <f aca="false">C14+C30+C31+C32+C38-C44</f>
        <v>-9.06002713997047</v>
      </c>
      <c r="D71" s="42" t="n">
        <f aca="false">C71+D30+D31-D44</f>
        <v>-41.3090316017855</v>
      </c>
      <c r="E71" s="42" t="n">
        <f aca="false">D71+E30+E31-E44</f>
        <v>-57.8932270358399</v>
      </c>
      <c r="F71" s="42" t="n">
        <f aca="false">E71+F30+F31-F44</f>
        <v>-67.6081562167192</v>
      </c>
      <c r="G71" s="42" t="n">
        <f aca="false">F71+G30+G31-G44</f>
        <v>-79.3186736969194</v>
      </c>
      <c r="I71" s="7" t="s">
        <v>892</v>
      </c>
    </row>
    <row r="73" customFormat="false" ht="15" hidden="false" customHeight="false" outlineLevel="0" collapsed="true">
      <c r="A73" s="54" t="s">
        <v>893</v>
      </c>
      <c r="B73" s="9"/>
      <c r="C73" s="9"/>
      <c r="D73" s="9"/>
      <c r="E73" s="9"/>
      <c r="F73" s="9"/>
      <c r="G73" s="9"/>
      <c r="H73" s="9"/>
    </row>
    <row r="74" customFormat="false" ht="15" hidden="true" customHeight="false" outlineLevel="1" collapsed="false">
      <c r="A74" s="3" t="s">
        <v>894</v>
      </c>
      <c r="C74" s="60" t="n">
        <f aca="false">輸入與假設!$C$260</f>
        <v>3.127</v>
      </c>
    </row>
    <row r="75" customFormat="false" ht="15" hidden="true" customHeight="false" outlineLevel="1" collapsed="false">
      <c r="A75" s="3" t="s">
        <v>895</v>
      </c>
      <c r="C75" s="60" t="n">
        <f aca="false">SUM(C39:G39)</f>
        <v>-105.705562752518</v>
      </c>
    </row>
    <row r="76" customFormat="false" ht="15" hidden="true" customHeight="false" outlineLevel="1" collapsed="false">
      <c r="A76" s="3" t="s">
        <v>896</v>
      </c>
      <c r="C76" s="60" t="n">
        <f aca="false">SUM(C31:G31)</f>
        <v>9.182</v>
      </c>
    </row>
    <row r="77" customFormat="false" ht="15" hidden="true" customHeight="false" outlineLevel="1" collapsed="false">
      <c r="A77" s="3" t="s">
        <v>897</v>
      </c>
      <c r="C77" s="60" t="n">
        <f aca="false">SUM(C32:G32)</f>
        <v>16.747</v>
      </c>
    </row>
    <row r="78" customFormat="false" ht="15" hidden="true" customHeight="false" outlineLevel="1" collapsed="false">
      <c r="A78" s="4" t="s">
        <v>898</v>
      </c>
      <c r="C78" s="60" t="n">
        <f aca="false">-SUM(C22:G22)</f>
        <v>-0.492</v>
      </c>
    </row>
    <row r="79" customFormat="false" ht="15" hidden="true" customHeight="false" outlineLevel="1" collapsed="false">
      <c r="A79" s="3" t="s">
        <v>899</v>
      </c>
      <c r="C79" s="60" t="n">
        <f aca="false">SUM(C38:G38)</f>
        <v>-0.502999999999997</v>
      </c>
    </row>
    <row r="80" customFormat="false" ht="15" hidden="true" customHeight="false" outlineLevel="1" collapsed="false">
      <c r="A80" s="3" t="s">
        <v>900</v>
      </c>
      <c r="C80" s="60" t="n">
        <f aca="false">SUM(C33:G33)+SUM(C34:G34)+SUM(C35:G35)</f>
        <v>105.518562752518</v>
      </c>
    </row>
    <row r="81" customFormat="false" ht="15" hidden="true" customHeight="false" outlineLevel="1" collapsed="false">
      <c r="A81" s="3" t="s">
        <v>901</v>
      </c>
      <c r="C81" s="60" t="n">
        <f aca="false">-SUM(C21:G21)</f>
        <v>-25.874</v>
      </c>
    </row>
    <row r="82" customFormat="false" ht="15" hidden="true" customHeight="false" outlineLevel="1" collapsed="false">
      <c r="A82" s="2" t="s">
        <v>902</v>
      </c>
      <c r="C82" s="61" t="n">
        <f aca="false">SUM(C74:C81)</f>
        <v>1.99999999999999</v>
      </c>
    </row>
    <row r="83" customFormat="false" ht="15" hidden="true" customHeight="false" outlineLevel="1" collapsed="false">
      <c r="A83" s="3" t="s">
        <v>903</v>
      </c>
      <c r="C83" s="60" t="n">
        <f aca="false">G41</f>
        <v>2</v>
      </c>
    </row>
    <row r="84" customFormat="false" ht="15" hidden="true" customHeight="false" outlineLevel="1" collapsed="false">
      <c r="A84" s="2" t="s">
        <v>904</v>
      </c>
      <c r="C84" s="60" t="n">
        <f aca="false">C82-C83</f>
        <v>-1.15463194561016E-014</v>
      </c>
      <c r="I84" s="7" t="s">
        <v>905</v>
      </c>
    </row>
    <row r="86" customFormat="false" ht="15" hidden="false" customHeight="false" outlineLevel="0" collapsed="true">
      <c r="A86" s="8" t="s">
        <v>906</v>
      </c>
      <c r="B86" s="9"/>
      <c r="C86" s="9"/>
      <c r="D86" s="9"/>
      <c r="E86" s="9"/>
      <c r="F86" s="9"/>
      <c r="G86" s="9"/>
      <c r="H86" s="9"/>
    </row>
    <row r="87" customFormat="false" ht="15" hidden="true" customHeight="false" outlineLevel="1" collapsed="false">
      <c r="A87" s="4" t="s">
        <v>907</v>
      </c>
      <c r="C87" s="11" t="n">
        <f aca="false">運營_產能與收入!C27</f>
        <v>11.5476176117778</v>
      </c>
      <c r="I87" s="7" t="s">
        <v>908</v>
      </c>
    </row>
    <row r="88" customFormat="false" ht="15" hidden="true" customHeight="false" outlineLevel="1" collapsed="false">
      <c r="A88" s="4" t="s">
        <v>909</v>
      </c>
      <c r="C88" s="11" t="n">
        <f aca="false">C6</f>
        <v>35</v>
      </c>
      <c r="I88" s="7" t="s">
        <v>910</v>
      </c>
    </row>
    <row r="89" customFormat="false" ht="15" hidden="true" customHeight="false" outlineLevel="1" collapsed="false">
      <c r="A89" s="4" t="s">
        <v>911</v>
      </c>
      <c r="C89" s="11" t="n">
        <f aca="false">輸入與假設!$C$269+輸入與假設!C$210+C16</f>
        <v>3.50304939826146</v>
      </c>
      <c r="I89" s="12" t="s">
        <v>912</v>
      </c>
    </row>
    <row r="90" customFormat="false" ht="15" hidden="true" customHeight="false" outlineLevel="1" collapsed="false">
      <c r="A90" s="4" t="s">
        <v>913</v>
      </c>
      <c r="C90" s="11" t="n">
        <f aca="false">輸入與假設!$C$270+C12</f>
        <v>2.088</v>
      </c>
      <c r="I90" s="12" t="s">
        <v>914</v>
      </c>
    </row>
    <row r="91" customFormat="false" ht="15" hidden="true" customHeight="false" outlineLevel="1" collapsed="false">
      <c r="A91" s="4" t="s">
        <v>915</v>
      </c>
      <c r="C91" s="11" t="n">
        <f aca="false">C21</f>
        <v>9.632</v>
      </c>
      <c r="I91" s="12" t="s">
        <v>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6" t="s">
        <v>917</v>
      </c>
    </row>
    <row r="2" customFormat="false" ht="15" hidden="false" customHeight="false" outlineLevel="0" collapsed="false">
      <c r="A2" s="7" t="s">
        <v>918</v>
      </c>
    </row>
    <row r="4" customFormat="false" ht="15" hidden="false" customHeight="false" outlineLevel="0" collapsed="false">
      <c r="A4" s="8" t="s">
        <v>919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customFormat="false" ht="17.15" hidden="false" customHeight="false" outlineLevel="1" collapsed="false">
      <c r="A5" s="15" t="s">
        <v>920</v>
      </c>
      <c r="B5" s="15" t="s">
        <v>88</v>
      </c>
      <c r="C5" s="15" t="s">
        <v>921</v>
      </c>
      <c r="D5" s="15" t="s">
        <v>922</v>
      </c>
      <c r="E5" s="15" t="s">
        <v>923</v>
      </c>
      <c r="F5" s="15" t="s">
        <v>924</v>
      </c>
      <c r="G5" s="15" t="s">
        <v>925</v>
      </c>
      <c r="H5" s="15" t="s">
        <v>926</v>
      </c>
      <c r="I5" s="15" t="s">
        <v>927</v>
      </c>
      <c r="J5" s="15" t="s">
        <v>928</v>
      </c>
      <c r="K5" s="15" t="s">
        <v>929</v>
      </c>
      <c r="L5" s="15" t="s">
        <v>930</v>
      </c>
      <c r="M5" s="15" t="s">
        <v>931</v>
      </c>
      <c r="N5" s="15" t="s">
        <v>932</v>
      </c>
      <c r="O5" s="15" t="s">
        <v>928</v>
      </c>
      <c r="P5" s="15" t="s">
        <v>929</v>
      </c>
      <c r="Q5" s="15" t="s">
        <v>933</v>
      </c>
    </row>
    <row r="6" customFormat="false" ht="15" hidden="false" customHeight="false" outlineLevel="1" collapsed="false">
      <c r="A6" s="3" t="s">
        <v>934</v>
      </c>
      <c r="B6" s="12" t="s">
        <v>93</v>
      </c>
      <c r="C6" s="62" t="n">
        <f aca="false">INDEX($C$22:$H$22,輸入與假設!$C$355)</f>
        <v>3.15653920392593</v>
      </c>
      <c r="D6" s="62" t="n">
        <f aca="false">INDEX($C$41:$H$41,輸入與假設!$C$355)</f>
        <v>3.541</v>
      </c>
      <c r="E6" s="63" t="n">
        <f aca="false">INDEX($C$51:$H$51,輸入與假設!$C$355)</f>
        <v>-0.108574074011315</v>
      </c>
      <c r="F6" s="62" t="n">
        <f aca="false">IF(ISNUMBER(INDEX($C$31:$H$31,輸入與假設!$C$355)),INDEX($C$31:$H$31,輸入與假設!$C$355),"不適用")</f>
        <v>3.45</v>
      </c>
      <c r="G6" s="62" t="n">
        <f aca="false">INDEX($C$32:$H$32,輸入與假設!$C$355)</f>
        <v>3.6</v>
      </c>
      <c r="H6" s="63" t="n">
        <f aca="false">INDEX($C$52:$H$52,輸入與假設!$C$355)</f>
        <v>-0.104527885411083</v>
      </c>
      <c r="I6" s="62" t="str">
        <f aca="false">IF(ISNUMBER(INDEX($C$45:$H$45,輸入與假設!$C$355)),INDEX($C$45:$H$45,輸入與假設!$C$355),"待公布")</f>
        <v>待公布</v>
      </c>
      <c r="J6" s="63" t="str">
        <f aca="false">INDEX($C$53:$H$53,輸入與假設!$C$355)</f>
        <v/>
      </c>
      <c r="K6" s="63" t="str">
        <f aca="false">INDEX($C$54:$H$54,輸入與假設!$C$355)</f>
        <v/>
      </c>
      <c r="L6" s="63" t="str">
        <f aca="false">INDEX($C$55:$H$55,輸入與假設!$C$355)</f>
        <v/>
      </c>
      <c r="M6" s="63"/>
      <c r="N6" s="63"/>
      <c r="O6" s="63"/>
      <c r="P6" s="63"/>
      <c r="Q6" s="63"/>
    </row>
    <row r="7" customFormat="false" ht="15" hidden="false" customHeight="false" outlineLevel="1" collapsed="false">
      <c r="A7" s="3" t="s">
        <v>935</v>
      </c>
      <c r="B7" s="12" t="s">
        <v>93</v>
      </c>
      <c r="C7" s="62" t="n">
        <f aca="false">INDEX($C$28:$H$28,輸入與假設!$C$355)</f>
        <v>1.85665062641917</v>
      </c>
      <c r="D7" s="62" t="n">
        <f aca="false">INDEX($C$42:$H$42,輸入與假設!$C$355)</f>
        <v>2.047</v>
      </c>
      <c r="E7" s="62" t="n">
        <f aca="false">INDEX($C$56:$H$56,輸入與假設!$C$355)</f>
        <v>-0.190349373580828</v>
      </c>
      <c r="F7" s="64" t="s">
        <v>936</v>
      </c>
      <c r="G7" s="64" t="s">
        <v>936</v>
      </c>
      <c r="H7" s="62" t="str">
        <f aca="false">INDEX($C$57:$H$57,輸入與假設!$C$355)</f>
        <v>不適用</v>
      </c>
      <c r="I7" s="62" t="str">
        <f aca="false">IF(ISNUMBER(INDEX($C$46:$H$46,輸入與假設!$C$355)),INDEX($C$46:$H$46,輸入與假設!$C$355),"待公布")</f>
        <v>待公布</v>
      </c>
      <c r="J7" s="62" t="str">
        <f aca="false">INDEX($C$58:$H$58,輸入與假設!$C$355)</f>
        <v/>
      </c>
      <c r="K7" s="62" t="str">
        <f aca="false">INDEX($C$59:$H$59,輸入與假設!$C$355)</f>
        <v/>
      </c>
      <c r="L7" s="62" t="str">
        <f aca="false">INDEX($C$60:$H$60,輸入與假設!$C$355)</f>
        <v/>
      </c>
      <c r="M7" s="63" t="n">
        <f aca="false">INDEX($C$61:$H$61,輸入與假設!$C$355)</f>
        <v>0.0101065609705263</v>
      </c>
      <c r="N7" s="63" t="str">
        <f aca="false">INDEX($C$62:$H$62,輸入與假設!$C$355)</f>
        <v>不適用</v>
      </c>
      <c r="O7" s="63" t="str">
        <f aca="false">INDEX($C$63:$H$63,輸入與假設!$C$355)</f>
        <v/>
      </c>
      <c r="P7" s="63" t="str">
        <f aca="false">INDEX($C$64:$H$64,輸入與假設!$C$355)</f>
        <v/>
      </c>
      <c r="Q7" s="63" t="str">
        <f aca="false">INDEX($C$65:$H$65,輸入與假設!$C$355)</f>
        <v/>
      </c>
    </row>
    <row r="8" customFormat="false" ht="15" hidden="false" customHeight="false" outlineLevel="1" collapsed="false">
      <c r="A8" s="3" t="s">
        <v>937</v>
      </c>
      <c r="B8" s="12" t="s">
        <v>77</v>
      </c>
      <c r="C8" s="63" t="n">
        <f aca="false">INDEX($C$27:$H$27,輸入與假設!$C$355)</f>
        <v>0.588191847612718</v>
      </c>
      <c r="D8" s="63" t="n">
        <f aca="false">INDEX($C$43:$H$43,輸入與假設!$C$355)</f>
        <v>0.578085286642192</v>
      </c>
      <c r="E8" s="63" t="n">
        <f aca="false">INDEX($C$66:$H$66,輸入與假設!$C$355)</f>
        <v>0.0101065609705263</v>
      </c>
      <c r="F8" s="65" t="s">
        <v>936</v>
      </c>
      <c r="G8" s="65" t="s">
        <v>936</v>
      </c>
      <c r="H8" s="63" t="str">
        <f aca="false">INDEX($C$67:$H$67,輸入與假設!$C$355)</f>
        <v>不適用</v>
      </c>
      <c r="I8" s="63" t="str">
        <f aca="false">IF(ISNUMBER(INDEX($C$47:$H$47,輸入與假設!$C$355)),INDEX($C$47:$H$47,輸入與假設!$C$355),"待公布")</f>
        <v>待公布</v>
      </c>
      <c r="J8" s="63" t="str">
        <f aca="false">INDEX($C$68:$H$68,輸入與假設!$C$355)</f>
        <v/>
      </c>
      <c r="K8" s="63" t="str">
        <f aca="false">INDEX($C$69:$H$69,輸入與假設!$C$355)</f>
        <v/>
      </c>
      <c r="L8" s="63" t="str">
        <f aca="false">INDEX($C$70:$H$70,輸入與假設!$C$355)</f>
        <v/>
      </c>
      <c r="M8" s="63"/>
      <c r="N8" s="63"/>
      <c r="O8" s="63"/>
      <c r="P8" s="63"/>
      <c r="Q8" s="63"/>
    </row>
    <row r="9" customFormat="false" ht="15" hidden="false" customHeight="false" outlineLevel="1" collapsed="false">
      <c r="A9" s="3" t="s">
        <v>938</v>
      </c>
      <c r="B9" s="12" t="s">
        <v>93</v>
      </c>
      <c r="C9" s="62" t="n">
        <f aca="false">INDEX($C$30:$H$30,輸入與假設!$C$355)</f>
        <v>-0.287151456914161</v>
      </c>
      <c r="D9" s="64" t="s">
        <v>936</v>
      </c>
      <c r="E9" s="62" t="str">
        <f aca="false">INDEX($C$71:$H$71,輸入與假設!$C$355)</f>
        <v>不適用</v>
      </c>
      <c r="F9" s="62" t="n">
        <f aca="false">IF(ISNUMBER(INDEX($C$33:$H$33,輸入與假設!$C$355)),INDEX($C$33:$H$33,輸入與假設!$C$355),IF(INDEX($C$35:$H$35,輸入與假設!$C$355)&lt;&gt;"",INDEX($C$35:$H$35,輸入與假設!$C$355),"不適用"))</f>
        <v>0.2</v>
      </c>
      <c r="G9" s="62" t="n">
        <f aca="false">INDEX($C$34:$H$34,輸入與假設!$C$355)</f>
        <v>0.26</v>
      </c>
      <c r="H9" s="62" t="n">
        <f aca="false">INDEX($C$72:$H$72,輸入與假設!$C$355)</f>
        <v>-0.517151456914161</v>
      </c>
      <c r="I9" s="62" t="str">
        <f aca="false">IF(ISNUMBER(INDEX($C$48:$H$48,輸入與假設!$C$355)),INDEX($C$48:$H$48,輸入與假設!$C$355),"待公布")</f>
        <v>待公布</v>
      </c>
      <c r="J9" s="62" t="str">
        <f aca="false">INDEX($C$73:$H$73,輸入與假設!$C$355)</f>
        <v/>
      </c>
      <c r="K9" s="62" t="str">
        <f aca="false">INDEX($C$74:$H$74,輸入與假設!$C$355)</f>
        <v/>
      </c>
      <c r="L9" s="62" t="str">
        <f aca="false">INDEX($C$75:$H$75,輸入與假設!$C$355)</f>
        <v/>
      </c>
      <c r="M9" s="63" t="str">
        <f aca="false">INDEX($C$76:$H$76,輸入與假設!$C$355)</f>
        <v>不適用</v>
      </c>
      <c r="N9" s="63" t="n">
        <f aca="false">INDEX($C$77:$H$77,輸入與假設!$C$355)</f>
        <v>-0.156218570850097</v>
      </c>
      <c r="O9" s="63" t="str">
        <f aca="false">INDEX($C$78:$H$78,輸入與假設!$C$355)</f>
        <v/>
      </c>
      <c r="P9" s="63" t="str">
        <f aca="false">INDEX($C$79:$H$79,輸入與假設!$C$355)</f>
        <v/>
      </c>
      <c r="Q9" s="63" t="str">
        <f aca="false">INDEX($C$80:$H$80,輸入與假設!$C$355)</f>
        <v/>
      </c>
    </row>
    <row r="10" customFormat="false" ht="15" hidden="false" customHeight="false" outlineLevel="1" collapsed="false">
      <c r="A10" s="3" t="s">
        <v>939</v>
      </c>
      <c r="B10" s="12" t="s">
        <v>93</v>
      </c>
      <c r="C10" s="62" t="n">
        <f aca="false">INDEX($C$40:$H$40,輸入與假設!$C$355)</f>
        <v>12.5</v>
      </c>
      <c r="D10" s="64" t="s">
        <v>936</v>
      </c>
      <c r="E10" s="63" t="str">
        <f aca="false">INDEX($C$81:$H$81,輸入與假設!$C$355)</f>
        <v>不適用</v>
      </c>
      <c r="F10" s="62" t="n">
        <f aca="false">IF(ISNUMBER(INDEX($C$36:$H$36,輸入與假設!$C$355)),INDEX($C$36:$H$36,輸入與假設!$C$355),"不適用")</f>
        <v>11.5</v>
      </c>
      <c r="G10" s="62" t="n">
        <f aca="false">INDEX($C$37:$H$37,輸入與假設!$C$355)</f>
        <v>13.5</v>
      </c>
      <c r="H10" s="63" t="n">
        <f aca="false">INDEX($C$82:$H$82,輸入與假設!$C$355)</f>
        <v>0</v>
      </c>
      <c r="I10" s="62" t="str">
        <f aca="false">IF(ISNUMBER(INDEX($C$49:$H$49,輸入與假設!$C$355)),INDEX($C$49:$H$49,輸入與假設!$C$355),"待公布")</f>
        <v>待公布</v>
      </c>
      <c r="J10" s="63" t="str">
        <f aca="false">INDEX($C$83:$H$83,輸入與假設!$C$355)</f>
        <v/>
      </c>
      <c r="K10" s="63" t="str">
        <f aca="false">INDEX($C$84:$H$84,輸入與假設!$C$355)</f>
        <v/>
      </c>
      <c r="L10" s="63" t="str">
        <f aca="false">INDEX($C$85:$H$85,輸入與假設!$C$355)</f>
        <v/>
      </c>
      <c r="M10" s="63"/>
      <c r="N10" s="63"/>
      <c r="O10" s="63"/>
      <c r="P10" s="63"/>
      <c r="Q10" s="63"/>
    </row>
    <row r="11" customFormat="false" ht="15" hidden="false" customHeight="false" outlineLevel="1" collapsed="false">
      <c r="A11" s="3" t="s">
        <v>940</v>
      </c>
      <c r="B11" s="12" t="s">
        <v>179</v>
      </c>
      <c r="C11" s="66" t="n">
        <f aca="false">INDEX($C$19:$H$19,輸入與假設!$C$355)</f>
        <v>1675</v>
      </c>
      <c r="D11" s="67" t="s">
        <v>936</v>
      </c>
      <c r="E11" s="66" t="str">
        <f aca="false">INDEX($C$86:$H$86,輸入與假設!$C$355)</f>
        <v>不適用</v>
      </c>
      <c r="F11" s="67" t="s">
        <v>936</v>
      </c>
      <c r="G11" s="67" t="s">
        <v>936</v>
      </c>
      <c r="H11" s="66" t="str">
        <f aca="false">INDEX($C$87:$H$87,輸入與假設!$C$355)</f>
        <v>不適用</v>
      </c>
      <c r="I11" s="66" t="str">
        <f aca="false">IF(ISNUMBER(INDEX($C$50:$H$50,輸入與假設!$C$355)),INDEX($C$50:$H$50,輸入與假設!$C$355),"待公布")</f>
        <v>待公布</v>
      </c>
      <c r="J11" s="66" t="str">
        <f aca="false">INDEX($C$88:$H$88,輸入與假設!$C$355)</f>
        <v/>
      </c>
      <c r="K11" s="66" t="str">
        <f aca="false">INDEX($C$89:$H$89,輸入與假設!$C$355)</f>
        <v/>
      </c>
      <c r="L11" s="66" t="str">
        <f aca="false">INDEX($C$90:$H$90,輸入與假設!$C$355)</f>
        <v/>
      </c>
      <c r="M11" s="63"/>
      <c r="N11" s="63"/>
      <c r="O11" s="63"/>
      <c r="P11" s="63"/>
      <c r="Q11" s="63"/>
    </row>
    <row r="12" customFormat="false" ht="15" hidden="false" customHeight="false" outlineLevel="1" collapsed="false">
      <c r="A12" s="2" t="s">
        <v>941</v>
      </c>
      <c r="C12" s="2" t="str">
        <f aca="false">INDEX($C$16:$H$16,輸入與假設!$C$355)</f>
        <v>Q3'26</v>
      </c>
    </row>
    <row r="13" customFormat="false" ht="17.15" hidden="false" customHeight="false" outlineLevel="1" collapsed="false">
      <c r="A13" s="2" t="s">
        <v>942</v>
      </c>
      <c r="C13" s="0" t="str">
        <f aca="false">IF(INDEX($C$133:$H$133,輸入與假設!$C$355)="","無（差距皆在 "&amp;IF(ROUND(ABS(輸入與假設!$C$349)*100,4)=INT(ROUND(ABS(輸入與假設!$C$349)*100,4)),TEXT(ROUND(ABS(輸入與假設!$C$349)*100,4),"0"),TEXT(ROUND(ABS(輸入與假設!$C$349)*100,4),"0.0"))&amp;"%"&amp;" 以內）",INDEX($C$133:$H$133,輸入與假設!$C$355))</f>
        <v>營收 vs 共識 −10.9%：觀點（水準 −$0.581bn（2H26 模型 $6.895bn，共識合計 $8.247bn）；分配 +$0.196bn）；營收 vs 指引中點 −10.5%：觀點（水準 −$0.542bn（2H26 模型 $6.895bn，指引隱含 $8.147bn）；分配 +$0.173bn）；調整後營業利益 vs 指引中點 −$0.52bn／−15.6pt：已知限制（對照指引隱含折舊 1.82（＝共識 EBITDA 2.05 − 指引中點 0.23，Derived），模型折舊 2.14；缺口 −0.52 ≈ 折舊 −0.33 ＋ EBITDA −0.19；待辦 6 修正折舊）</v>
      </c>
    </row>
    <row r="15" customFormat="false" ht="15" hidden="false" customHeight="false" outlineLevel="0" collapsed="true">
      <c r="A15" s="8" t="s">
        <v>943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true" customHeight="false" outlineLevel="1" collapsed="false">
      <c r="A16" s="15" t="s">
        <v>87</v>
      </c>
      <c r="B16" s="15" t="s">
        <v>88</v>
      </c>
      <c r="C16" s="16" t="s">
        <v>757</v>
      </c>
      <c r="D16" s="16" t="s">
        <v>758</v>
      </c>
      <c r="E16" s="16" t="s">
        <v>759</v>
      </c>
      <c r="F16" s="16" t="s">
        <v>760</v>
      </c>
      <c r="G16" s="16" t="s">
        <v>761</v>
      </c>
      <c r="H16" s="16" t="s">
        <v>762</v>
      </c>
    </row>
    <row r="17" customFormat="false" ht="15" hidden="true" customHeight="false" outlineLevel="1" collapsed="false">
      <c r="A17" s="3" t="s">
        <v>944</v>
      </c>
      <c r="C17" s="68" t="n">
        <f aca="false">輸入與假設!C$354</f>
        <v>1</v>
      </c>
      <c r="D17" s="68" t="n">
        <f aca="false">輸入與假設!D$354</f>
        <v>1</v>
      </c>
      <c r="E17" s="68" t="n">
        <f aca="false">輸入與假設!E$354</f>
        <v>2</v>
      </c>
      <c r="F17" s="68" t="n">
        <f aca="false">輸入與假設!F$354</f>
        <v>2</v>
      </c>
      <c r="G17" s="68" t="n">
        <f aca="false">輸入與假設!G$354</f>
        <v>2</v>
      </c>
      <c r="H17" s="68" t="n">
        <f aca="false">輸入與假設!H$354</f>
        <v>2</v>
      </c>
      <c r="J17" s="12" t="s">
        <v>945</v>
      </c>
    </row>
    <row r="18" customFormat="false" ht="15" hidden="true" customHeight="false" outlineLevel="1" collapsed="false">
      <c r="A18" s="3" t="s">
        <v>946</v>
      </c>
      <c r="C18" s="29" t="n">
        <v>1</v>
      </c>
      <c r="D18" s="29" t="n">
        <v>2</v>
      </c>
      <c r="E18" s="29" t="n">
        <v>3</v>
      </c>
      <c r="F18" s="29" t="n">
        <v>4</v>
      </c>
      <c r="G18" s="29" t="n">
        <v>5</v>
      </c>
      <c r="H18" s="29" t="n">
        <v>6</v>
      </c>
      <c r="J18" s="12" t="s">
        <v>947</v>
      </c>
    </row>
    <row r="19" customFormat="false" ht="15" hidden="true" customHeight="false" outlineLevel="1" collapsed="false">
      <c r="A19" s="3" t="s">
        <v>948</v>
      </c>
      <c r="B19" s="12" t="s">
        <v>179</v>
      </c>
      <c r="C19" s="29" t="n">
        <f aca="false">輸入與假設!$C$357+(輸入與假設!C$26-輸入與假設!$C$357)*1/2</f>
        <v>1675</v>
      </c>
      <c r="D19" s="29" t="n">
        <f aca="false">輸入與假設!$C$357+(輸入與假設!C$26-輸入與假設!$C$357)*2/2</f>
        <v>1850</v>
      </c>
      <c r="E19" s="29" t="n">
        <f aca="false">輸入與假設!C$26+(輸入與假設!D$26-輸入與假設!C$26)*1/4</f>
        <v>2162.5</v>
      </c>
      <c r="F19" s="29" t="n">
        <f aca="false">輸入與假設!C$26+(輸入與假設!D$26-輸入與假設!C$26)*2/4</f>
        <v>2475</v>
      </c>
      <c r="G19" s="29" t="n">
        <f aca="false">輸入與假設!C$26+(輸入與假設!D$26-輸入與假設!C$26)*3/4</f>
        <v>2787.5</v>
      </c>
      <c r="H19" s="29" t="n">
        <f aca="false">輸入與假設!C$26+(輸入與假設!D$26-輸入與假設!C$26)*4/4</f>
        <v>3100</v>
      </c>
      <c r="J19" s="7" t="s">
        <v>949</v>
      </c>
    </row>
    <row r="20" customFormat="false" ht="15" hidden="true" customHeight="false" outlineLevel="1" collapsed="false">
      <c r="A20" s="3" t="s">
        <v>950</v>
      </c>
      <c r="B20" s="12" t="s">
        <v>179</v>
      </c>
      <c r="C20" s="29" t="n">
        <f aca="false">輸入與假設!$C$20+(輸入與假設!C$27-輸入與假設!$C$20)*1/4</f>
        <v>1437.5</v>
      </c>
      <c r="D20" s="29" t="n">
        <f aca="false">輸入與假設!$C$20+(輸入與假設!C$27-輸入與假設!$C$20)*3/4</f>
        <v>1612.5</v>
      </c>
      <c r="E20" s="29" t="n">
        <f aca="false">輸入與假設!C$27+(輸入與假設!D$27-輸入與假設!C$27)*1/8</f>
        <v>1850</v>
      </c>
      <c r="F20" s="29" t="n">
        <f aca="false">輸入與假設!C$27+(輸入與假設!D$27-輸入與假設!C$27)*3/8</f>
        <v>2150</v>
      </c>
      <c r="G20" s="29" t="n">
        <f aca="false">輸入與假設!C$27+(輸入與假設!D$27-輸入與假設!C$27)*5/8</f>
        <v>2450</v>
      </c>
      <c r="H20" s="29" t="n">
        <f aca="false">輸入與假設!C$27+(輸入與假設!D$27-輸入與假設!C$27)*7/8</f>
        <v>2750</v>
      </c>
      <c r="J20" s="7" t="s">
        <v>951</v>
      </c>
    </row>
    <row r="21" customFormat="false" ht="15" hidden="true" customHeight="false" outlineLevel="1" collapsed="false">
      <c r="A21" s="3" t="s">
        <v>952</v>
      </c>
      <c r="B21" s="12" t="s">
        <v>179</v>
      </c>
      <c r="C21" s="29" t="n">
        <f aca="false">C19-輸入與假設!$C$357</f>
        <v>175</v>
      </c>
      <c r="D21" s="29" t="n">
        <f aca="false">D19-C19</f>
        <v>175</v>
      </c>
      <c r="E21" s="29" t="n">
        <f aca="false">E19-輸入與假設!C$26</f>
        <v>312.5</v>
      </c>
      <c r="F21" s="29" t="n">
        <f aca="false">F19-E19</f>
        <v>312.5</v>
      </c>
      <c r="G21" s="29" t="n">
        <f aca="false">G19-F19</f>
        <v>312.5</v>
      </c>
      <c r="H21" s="29" t="n">
        <f aca="false">H19-G19</f>
        <v>312.5</v>
      </c>
      <c r="J21" s="12" t="s">
        <v>953</v>
      </c>
    </row>
    <row r="22" customFormat="false" ht="15" hidden="true" customHeight="false" outlineLevel="1" collapsed="false">
      <c r="A22" s="3" t="s">
        <v>954</v>
      </c>
      <c r="B22" s="12" t="s">
        <v>93</v>
      </c>
      <c r="C22" s="37" t="n">
        <f aca="false">輸入與假設!$C$356+1*(損益!C8-2*輸入與假設!$C$356)/3</f>
        <v>3.15653920392593</v>
      </c>
      <c r="D22" s="37" t="n">
        <f aca="false">輸入與假設!$C$356+2*(損益!C8-2*輸入與假設!$C$356)/3</f>
        <v>3.73807840785187</v>
      </c>
      <c r="E22" s="37" t="n">
        <f aca="false">損益!D8*E20/(E20+F20+G20+H20)</f>
        <v>4.34284020124928</v>
      </c>
      <c r="F22" s="37" t="n">
        <f aca="false">損益!D8*F20/(E20+F20+G20+H20)</f>
        <v>5.04708455820862</v>
      </c>
      <c r="G22" s="37" t="n">
        <f aca="false">損益!D8*G20/(E20+F20+G20+H20)</f>
        <v>5.75132891516797</v>
      </c>
      <c r="H22" s="37" t="n">
        <f aca="false">損益!D8*H20/(E20+F20+G20+H20)</f>
        <v>6.45557327212731</v>
      </c>
      <c r="J22" s="7" t="s">
        <v>955</v>
      </c>
    </row>
    <row r="23" customFormat="false" ht="15" hidden="true" customHeight="false" outlineLevel="1" collapsed="false">
      <c r="A23" s="4" t="s">
        <v>956</v>
      </c>
      <c r="C23" s="62" t="n">
        <f aca="false">C22+D22</f>
        <v>6.8946176117778</v>
      </c>
      <c r="D23" s="62" t="n">
        <f aca="false">E22+F22+G22+H22</f>
        <v>21.5968269467532</v>
      </c>
      <c r="J23" s="7" t="s">
        <v>957</v>
      </c>
    </row>
    <row r="24" customFormat="false" ht="15" hidden="true" customHeight="false" outlineLevel="1" collapsed="false">
      <c r="A24" s="4" t="s">
        <v>958</v>
      </c>
      <c r="C24" s="62" t="n">
        <f aca="false">C22*C18+D22*D18</f>
        <v>10.6326960196297</v>
      </c>
      <c r="D24" s="62" t="n">
        <f aca="false">E22*E18+F22*F18+G22*G18+H22*H18</f>
        <v>100.706943045186</v>
      </c>
      <c r="J24" s="7" t="s">
        <v>957</v>
      </c>
    </row>
    <row r="25" customFormat="false" ht="15" hidden="true" customHeight="false" outlineLevel="1" collapsed="false">
      <c r="A25" s="4" t="s">
        <v>959</v>
      </c>
      <c r="C25" s="62" t="n">
        <f aca="false">損益!C19</f>
        <v>4.07393505401801</v>
      </c>
      <c r="D25" s="62" t="n">
        <f aca="false">損益!D19</f>
        <v>13.0962322332869</v>
      </c>
      <c r="J25" s="7" t="s">
        <v>957</v>
      </c>
    </row>
    <row r="26" customFormat="false" ht="15" hidden="true" customHeight="false" outlineLevel="1" collapsed="false">
      <c r="A26" s="4" t="s">
        <v>960</v>
      </c>
      <c r="C26" s="69" t="n">
        <f aca="false">(C25*D24-C24*D25)/(C23*D24-C24*D23)</f>
        <v>0.583222133140111</v>
      </c>
      <c r="D26" s="69" t="n">
        <f aca="false">(C23*D25-D23*C25)/(C23*D24-C24*D23)</f>
        <v>0.00496971447260692</v>
      </c>
      <c r="J26" s="7" t="s">
        <v>961</v>
      </c>
    </row>
    <row r="27" customFormat="false" ht="15" hidden="true" customHeight="false" outlineLevel="1" collapsed="false">
      <c r="A27" s="4" t="s">
        <v>962</v>
      </c>
      <c r="B27" s="12" t="s">
        <v>77</v>
      </c>
      <c r="C27" s="32" t="n">
        <f aca="false">$C$26+$D$26*C18</f>
        <v>0.588191847612718</v>
      </c>
      <c r="D27" s="32" t="n">
        <f aca="false">$C$26+$D$26*D18</f>
        <v>0.593161562085325</v>
      </c>
      <c r="E27" s="32" t="n">
        <f aca="false">$C$26+$D$26*E18</f>
        <v>0.598131276557932</v>
      </c>
      <c r="F27" s="32" t="n">
        <f aca="false">$C$26+$D$26*F18</f>
        <v>0.603100991030539</v>
      </c>
      <c r="G27" s="32" t="n">
        <f aca="false">$C$26+$D$26*G18</f>
        <v>0.608070705503146</v>
      </c>
      <c r="H27" s="32" t="n">
        <f aca="false">$C$26+$D$26*H18</f>
        <v>0.613040419975752</v>
      </c>
      <c r="J27" s="7" t="s">
        <v>963</v>
      </c>
    </row>
    <row r="28" customFormat="false" ht="15" hidden="true" customHeight="false" outlineLevel="1" collapsed="false">
      <c r="A28" s="3" t="s">
        <v>964</v>
      </c>
      <c r="B28" s="12" t="s">
        <v>93</v>
      </c>
      <c r="C28" s="37" t="n">
        <f aca="false">C22*C27</f>
        <v>1.85665062641917</v>
      </c>
      <c r="D28" s="37" t="n">
        <f aca="false">D22*D27</f>
        <v>2.21728442759884</v>
      </c>
      <c r="E28" s="37" t="n">
        <f aca="false">E22*E27</f>
        <v>2.59758855346034</v>
      </c>
      <c r="F28" s="37" t="n">
        <f aca="false">F22*F27</f>
        <v>3.04390169887055</v>
      </c>
      <c r="G28" s="37" t="n">
        <f aca="false">G22*G27</f>
        <v>3.49721463102683</v>
      </c>
      <c r="H28" s="37" t="n">
        <f aca="false">H22*H27</f>
        <v>3.95752734992917</v>
      </c>
    </row>
    <row r="29" customFormat="false" ht="15" hidden="true" customHeight="false" outlineLevel="1" collapsed="false">
      <c r="A29" s="3" t="s">
        <v>965</v>
      </c>
      <c r="B29" s="12" t="s">
        <v>93</v>
      </c>
      <c r="C29" s="37" t="n">
        <f aca="false">(輸入與假設!C$183+輸入與假設!C$181*1/4)/輸入與假設!$C$162*輸入與假設!C$24/2</f>
        <v>2.14380208333333</v>
      </c>
      <c r="D29" s="37" t="n">
        <f aca="false">(輸入與假設!C$183+輸入與假設!C$181*3/4)/輸入與假設!$C$162*輸入與假設!C$24/2</f>
        <v>2.53673958333333</v>
      </c>
      <c r="E29" s="37" t="n">
        <f aca="false">(輸入與假設!D$183+輸入與假設!D$181*1/8)/輸入與假設!$C$162*輸入與假設!D$24/4</f>
        <v>2.93822417171875</v>
      </c>
      <c r="F29" s="37" t="n">
        <f aca="false">(輸入與假設!D$183+輸入與假設!D$181*3/8)/輸入與假設!$C$162*輸入與假設!D$24/4</f>
        <v>3.34825584848958</v>
      </c>
      <c r="G29" s="37" t="n">
        <f aca="false">(輸入與假設!D$183+輸入與假設!D$181*5/8)/輸入與假設!$C$162*輸入與假設!D$24/4</f>
        <v>3.75828752526042</v>
      </c>
      <c r="H29" s="37" t="n">
        <f aca="false">(輸入與假設!D$183+輸入與假設!D$181*7/8)/輸入與假設!$C$162*輸入與假設!D$24/4</f>
        <v>4.16831920203125</v>
      </c>
      <c r="J29" s="7" t="s">
        <v>966</v>
      </c>
    </row>
    <row r="30" customFormat="false" ht="15" hidden="true" customHeight="false" outlineLevel="1" collapsed="false">
      <c r="A30" s="3" t="s">
        <v>967</v>
      </c>
      <c r="B30" s="12" t="s">
        <v>93</v>
      </c>
      <c r="C30" s="37" t="n">
        <f aca="false">C28-C29</f>
        <v>-0.287151456914161</v>
      </c>
      <c r="D30" s="37" t="n">
        <f aca="false">D28-D29</f>
        <v>-0.319455155734497</v>
      </c>
      <c r="E30" s="37" t="n">
        <f aca="false">E28-E29</f>
        <v>-0.340635618258413</v>
      </c>
      <c r="F30" s="37" t="n">
        <f aca="false">F28-F29</f>
        <v>-0.304354149619035</v>
      </c>
      <c r="G30" s="37" t="n">
        <f aca="false">G28-G29</f>
        <v>-0.261072894233591</v>
      </c>
      <c r="H30" s="37" t="n">
        <f aca="false">H28-H29</f>
        <v>-0.210791852102082</v>
      </c>
      <c r="J30" s="7" t="s">
        <v>968</v>
      </c>
    </row>
    <row r="31" customFormat="false" ht="15" hidden="true" customHeight="false" outlineLevel="1" collapsed="false">
      <c r="A31" s="3" t="s">
        <v>969</v>
      </c>
      <c r="B31" s="12" t="s">
        <v>93</v>
      </c>
      <c r="C31" s="37" t="n">
        <f aca="false">IF(ISNUMBER(輸入與假設!C$366),輸入與假設!C$366,"不適用")</f>
        <v>3.45</v>
      </c>
      <c r="D31" s="37" t="str">
        <f aca="false">IF(ISNUMBER(輸入與假設!D$366),輸入與假設!D$366,"不適用")</f>
        <v>不適用</v>
      </c>
      <c r="E31" s="37" t="str">
        <f aca="false">IF(ISNUMBER(輸入與假設!E$366),輸入與假設!E$366,"不適用")</f>
        <v>不適用</v>
      </c>
      <c r="F31" s="37" t="str">
        <f aca="false">IF(ISNUMBER(輸入與假設!F$366),輸入與假設!F$366,"不適用")</f>
        <v>不適用</v>
      </c>
      <c r="G31" s="37" t="str">
        <f aca="false">IF(ISNUMBER(輸入與假設!G$366),輸入與假設!G$366,"不適用")</f>
        <v>不適用</v>
      </c>
      <c r="H31" s="37" t="str">
        <f aca="false">IF(ISNUMBER(輸入與假設!H$366),輸入與假設!H$366,"不適用")</f>
        <v>不適用</v>
      </c>
    </row>
    <row r="32" customFormat="false" ht="15" hidden="true" customHeight="false" outlineLevel="1" collapsed="false">
      <c r="A32" s="3" t="s">
        <v>970</v>
      </c>
      <c r="B32" s="12" t="s">
        <v>93</v>
      </c>
      <c r="C32" s="37" t="n">
        <f aca="false">IF(ISNUMBER(輸入與假設!C$367),輸入與假設!C$367,"不適用")</f>
        <v>3.6</v>
      </c>
      <c r="D32" s="37" t="str">
        <f aca="false">IF(ISNUMBER(輸入與假設!D$367),輸入與假設!D$367,"不適用")</f>
        <v>不適用</v>
      </c>
      <c r="E32" s="37" t="str">
        <f aca="false">IF(ISNUMBER(輸入與假設!E$367),輸入與假設!E$367,"不適用")</f>
        <v>不適用</v>
      </c>
      <c r="F32" s="37" t="str">
        <f aca="false">IF(ISNUMBER(輸入與假設!F$367),輸入與假設!F$367,"不適用")</f>
        <v>不適用</v>
      </c>
      <c r="G32" s="37" t="str">
        <f aca="false">IF(ISNUMBER(輸入與假設!G$367),輸入與假設!G$367,"不適用")</f>
        <v>不適用</v>
      </c>
      <c r="H32" s="37" t="str">
        <f aca="false">IF(ISNUMBER(輸入與假設!H$367),輸入與假設!H$367,"不適用")</f>
        <v>不適用</v>
      </c>
    </row>
    <row r="33" customFormat="false" ht="15" hidden="true" customHeight="false" outlineLevel="1" collapsed="false">
      <c r="A33" s="3" t="s">
        <v>971</v>
      </c>
      <c r="B33" s="12" t="s">
        <v>93</v>
      </c>
      <c r="C33" s="37" t="n">
        <f aca="false">IF(ISNUMBER(輸入與假設!C$368),輸入與假設!C$368,"不適用")</f>
        <v>0.2</v>
      </c>
      <c r="D33" s="37" t="str">
        <f aca="false">IF(ISNUMBER(輸入與假設!D$368),輸入與假設!D$368,"不適用")</f>
        <v>不適用</v>
      </c>
      <c r="E33" s="37" t="str">
        <f aca="false">IF(ISNUMBER(輸入與假設!E$368),輸入與假設!E$368,"不適用")</f>
        <v>不適用</v>
      </c>
      <c r="F33" s="37" t="str">
        <f aca="false">IF(ISNUMBER(輸入與假設!F$368),輸入與假設!F$368,"不適用")</f>
        <v>不適用</v>
      </c>
      <c r="G33" s="37" t="str">
        <f aca="false">IF(ISNUMBER(輸入與假設!G$368),輸入與假設!G$368,"不適用")</f>
        <v>不適用</v>
      </c>
      <c r="H33" s="37" t="str">
        <f aca="false">IF(ISNUMBER(輸入與假設!H$368),輸入與假設!H$368,"不適用")</f>
        <v>不適用</v>
      </c>
    </row>
    <row r="34" customFormat="false" ht="15" hidden="true" customHeight="false" outlineLevel="1" collapsed="false">
      <c r="A34" s="3" t="s">
        <v>972</v>
      </c>
      <c r="B34" s="12" t="s">
        <v>93</v>
      </c>
      <c r="C34" s="37" t="n">
        <f aca="false">IF(ISNUMBER(輸入與假設!C$369),輸入與假設!C$369,"不適用")</f>
        <v>0.26</v>
      </c>
      <c r="D34" s="37" t="str">
        <f aca="false">IF(ISNUMBER(輸入與假設!D$369),輸入與假設!D$369,"不適用")</f>
        <v>不適用</v>
      </c>
      <c r="E34" s="37" t="str">
        <f aca="false">IF(ISNUMBER(輸入與假設!E$369),輸入與假設!E$369,"不適用")</f>
        <v>不適用</v>
      </c>
      <c r="F34" s="37" t="str">
        <f aca="false">IF(ISNUMBER(輸入與假設!F$369),輸入與假設!F$369,"不適用")</f>
        <v>不適用</v>
      </c>
      <c r="G34" s="37" t="str">
        <f aca="false">IF(ISNUMBER(輸入與假設!G$369),輸入與假設!G$369,"不適用")</f>
        <v>不適用</v>
      </c>
      <c r="H34" s="37" t="str">
        <f aca="false">IF(ISNUMBER(輸入與假設!H$369),輸入與假設!H$369,"不適用")</f>
        <v>不適用</v>
      </c>
    </row>
    <row r="35" customFormat="false" ht="15" hidden="true" customHeight="false" outlineLevel="1" collapsed="false">
      <c r="A35" s="3" t="s">
        <v>973</v>
      </c>
      <c r="C35" s="48" t="str">
        <f aca="false">IF(ISTEXT(輸入與假設!C$372),輸入與假設!C$372,"")</f>
        <v/>
      </c>
      <c r="D35" s="48" t="str">
        <f aca="false">IF(ISTEXT(輸入與假設!D$372),輸入與假設!D$372,"")</f>
        <v>調整後營業利益率 low teens</v>
      </c>
      <c r="E35" s="48" t="str">
        <f aca="false">IF(ISTEXT(輸入與假設!E$372),輸入與假設!E$372,"")</f>
        <v/>
      </c>
      <c r="F35" s="48" t="str">
        <f aca="false">IF(ISTEXT(輸入與假設!F$372),輸入與假設!F$372,"")</f>
        <v/>
      </c>
      <c r="G35" s="48" t="str">
        <f aca="false">IF(ISTEXT(輸入與假設!G$372),輸入與假設!G$372,"")</f>
        <v/>
      </c>
      <c r="H35" s="48" t="str">
        <f aca="false">IF(ISTEXT(輸入與假設!H$372),輸入與假設!H$372,"")</f>
        <v/>
      </c>
      <c r="J35" s="7" t="s">
        <v>974</v>
      </c>
    </row>
    <row r="36" customFormat="false" ht="15" hidden="true" customHeight="false" outlineLevel="1" collapsed="false">
      <c r="A36" s="3" t="s">
        <v>975</v>
      </c>
      <c r="B36" s="12" t="s">
        <v>93</v>
      </c>
      <c r="C36" s="37" t="n">
        <f aca="false">IF(ISNUMBER(輸入與假設!C$370),輸入與假設!C$370,"不適用")</f>
        <v>11.5</v>
      </c>
      <c r="D36" s="37" t="str">
        <f aca="false">IF(ISNUMBER(輸入與假設!D$370),輸入與假設!D$370,"不適用")</f>
        <v>不適用</v>
      </c>
      <c r="E36" s="37" t="str">
        <f aca="false">IF(ISNUMBER(輸入與假設!E$370),輸入與假設!E$370,"不適用")</f>
        <v>不適用</v>
      </c>
      <c r="F36" s="37" t="str">
        <f aca="false">IF(ISNUMBER(輸入與假設!F$370),輸入與假設!F$370,"不適用")</f>
        <v>不適用</v>
      </c>
      <c r="G36" s="37" t="str">
        <f aca="false">IF(ISNUMBER(輸入與假設!G$370),輸入與假設!G$370,"不適用")</f>
        <v>不適用</v>
      </c>
      <c r="H36" s="37" t="str">
        <f aca="false">IF(ISNUMBER(輸入與假設!H$370),輸入與假設!H$370,"不適用")</f>
        <v>不適用</v>
      </c>
    </row>
    <row r="37" customFormat="false" ht="15" hidden="true" customHeight="false" outlineLevel="1" collapsed="false">
      <c r="A37" s="3" t="s">
        <v>976</v>
      </c>
      <c r="B37" s="12" t="s">
        <v>93</v>
      </c>
      <c r="C37" s="37" t="n">
        <f aca="false">IF(ISNUMBER(輸入與假設!C$371),輸入與假設!C$371,"不適用")</f>
        <v>13.5</v>
      </c>
      <c r="D37" s="37" t="str">
        <f aca="false">IF(ISNUMBER(輸入與假設!D$371),輸入與假設!D$371,"不適用")</f>
        <v>不適用</v>
      </c>
      <c r="E37" s="37" t="str">
        <f aca="false">IF(ISNUMBER(輸入與假設!E$371),輸入與假設!E$371,"不適用")</f>
        <v>不適用</v>
      </c>
      <c r="F37" s="37" t="str">
        <f aca="false">IF(ISNUMBER(輸入與假設!F$371),輸入與假設!F$371,"不適用")</f>
        <v>不適用</v>
      </c>
      <c r="G37" s="37" t="str">
        <f aca="false">IF(ISNUMBER(輸入與假設!G$371),輸入與假設!G$371,"不適用")</f>
        <v>不適用</v>
      </c>
      <c r="H37" s="37" t="str">
        <f aca="false">IF(ISNUMBER(輸入與假設!H$371),輸入與假設!H$371,"不適用")</f>
        <v>不適用</v>
      </c>
    </row>
    <row r="38" customFormat="false" ht="15" hidden="true" customHeight="false" outlineLevel="1" collapsed="false">
      <c r="A38" s="4" t="s">
        <v>977</v>
      </c>
      <c r="B38" s="12" t="s">
        <v>93</v>
      </c>
      <c r="C38" s="37" t="n">
        <f aca="false">IF(AND(ISNUMBER(C36),ISNUMBER(C37)),((C36+C37)/2),"")</f>
        <v>12.5</v>
      </c>
      <c r="D38" s="37" t="str">
        <f aca="false">IF(AND(ISNUMBER(D36),ISNUMBER(D37)),((D36+D37)/2),"")</f>
        <v/>
      </c>
      <c r="E38" s="37" t="str">
        <f aca="false">IF(AND(ISNUMBER(E36),ISNUMBER(E37)),((E36+E37)/2),"")</f>
        <v/>
      </c>
      <c r="F38" s="37" t="str">
        <f aca="false">IF(AND(ISNUMBER(F36),ISNUMBER(F37)),((F36+F37)/2),"")</f>
        <v/>
      </c>
      <c r="G38" s="37" t="str">
        <f aca="false">IF(AND(ISNUMBER(G36),ISNUMBER(G37)),((G36+G37)/2),"")</f>
        <v/>
      </c>
      <c r="H38" s="37" t="str">
        <f aca="false">IF(AND(ISNUMBER(H36),ISNUMBER(H37)),((H36+H37)/2),"")</f>
        <v/>
      </c>
      <c r="J38" s="7" t="s">
        <v>978</v>
      </c>
    </row>
    <row r="39" customFormat="false" ht="15" hidden="true" customHeight="false" outlineLevel="1" collapsed="false">
      <c r="A39" s="4" t="s">
        <v>979</v>
      </c>
      <c r="B39" s="12" t="s">
        <v>179</v>
      </c>
      <c r="C39" s="29" t="n">
        <f aca="false">IF(ISNUMBER(C38),0,C21)</f>
        <v>0</v>
      </c>
      <c r="D39" s="29" t="n">
        <f aca="false">IF(ISNUMBER(D38),0,D21)</f>
        <v>175</v>
      </c>
      <c r="E39" s="29" t="n">
        <f aca="false">IF(ISNUMBER(E38),0,E21)</f>
        <v>312.5</v>
      </c>
      <c r="F39" s="29" t="n">
        <f aca="false">IF(ISNUMBER(F38),0,F21)</f>
        <v>312.5</v>
      </c>
      <c r="G39" s="29" t="n">
        <f aca="false">IF(ISNUMBER(G38),0,G21)</f>
        <v>312.5</v>
      </c>
      <c r="H39" s="29" t="n">
        <f aca="false">IF(ISNUMBER(H38),0,H21)</f>
        <v>312.5</v>
      </c>
      <c r="J39" s="7" t="s">
        <v>980</v>
      </c>
    </row>
    <row r="40" customFormat="false" ht="15" hidden="true" customHeight="false" outlineLevel="1" collapsed="false">
      <c r="A40" s="4" t="s">
        <v>981</v>
      </c>
      <c r="B40" s="12" t="s">
        <v>93</v>
      </c>
      <c r="C40" s="37" t="n">
        <f aca="false">IF(ISNUMBER(C38),C38,IF((C39+D39)&gt;0,(輸入與假設!C$185-SUM(C38,D38))*C39/(C39+D39),(輸入與假設!C$185-SUM(C38,D38))/(2-COUNT(C38,D38))))</f>
        <v>12.5</v>
      </c>
      <c r="D40" s="37" t="n">
        <f aca="false">IF(ISNUMBER(D38),D38,IF((C39+D39)&gt;0,(輸入與假設!C$185-SUM(C38,D38))*D39/(C39+D39),(輸入與假設!C$185-SUM(C38,D38))/(2-COUNT(C38,D38))))</f>
        <v>6.361</v>
      </c>
      <c r="E40" s="37" t="n">
        <f aca="false">IF(ISNUMBER(E38),E38,IF((E39+F39+G39+H39)&gt;0,(輸入與假設!D$185-SUM(E38,F38,G38,H38))*E39/(E39+F39+G39+H39),(輸入與假設!D$185-SUM(E38,F38,G38,H38))/(4-COUNT(E38,F38,G38,H38))))</f>
        <v>9.8407602425</v>
      </c>
      <c r="F40" s="37" t="n">
        <f aca="false">IF(ISNUMBER(F38),F38,IF((E39+F39+G39+H39)&gt;0,(輸入與假設!D$185-SUM(E38,F38,G38,H38))*F39/(E39+F39+G39+H39),(輸入與假設!D$185-SUM(E38,F38,G38,H38))/(4-COUNT(E38,F38,G38,H38))))</f>
        <v>9.8407602425</v>
      </c>
      <c r="G40" s="37" t="n">
        <f aca="false">IF(ISNUMBER(G38),G38,IF((E39+F39+G39+H39)&gt;0,(輸入與假設!D$185-SUM(E38,F38,G38,H38))*G39/(E39+F39+G39+H39),(輸入與假設!D$185-SUM(E38,F38,G38,H38))/(4-COUNT(E38,F38,G38,H38))))</f>
        <v>9.8407602425</v>
      </c>
      <c r="H40" s="37" t="n">
        <f aca="false">IF(ISNUMBER(H38),H38,IF((E39+F39+G39+H39)&gt;0,(輸入與假設!D$185-SUM(E38,F38,G38,H38))*H39/(E39+F39+G39+H39),(輸入與假設!D$185-SUM(E38,F38,G38,H38))/(4-COUNT(E38,F38,G38,H38))))</f>
        <v>9.8407602425</v>
      </c>
      <c r="J40" s="7" t="s">
        <v>982</v>
      </c>
    </row>
    <row r="41" customFormat="false" ht="15" hidden="true" customHeight="false" outlineLevel="1" collapsed="false">
      <c r="A41" s="3" t="s">
        <v>983</v>
      </c>
      <c r="B41" s="12" t="s">
        <v>93</v>
      </c>
      <c r="C41" s="37" t="n">
        <f aca="false">IF(ISNUMBER(輸入與假設!$C$325),輸入與假設!$C$325,"不適用")</f>
        <v>3.541</v>
      </c>
      <c r="D41" s="37" t="n">
        <f aca="false">IF(ISNUMBER(輸入與假設!$D$325),輸入與假設!$D$325,"不適用")</f>
        <v>4.706</v>
      </c>
      <c r="E41" s="70" t="s">
        <v>936</v>
      </c>
      <c r="F41" s="70" t="s">
        <v>936</v>
      </c>
      <c r="G41" s="70" t="s">
        <v>936</v>
      </c>
      <c r="H41" s="70" t="s">
        <v>936</v>
      </c>
      <c r="J41" s="12" t="s">
        <v>984</v>
      </c>
    </row>
    <row r="42" customFormat="false" ht="15" hidden="true" customHeight="false" outlineLevel="1" collapsed="false">
      <c r="A42" s="3" t="s">
        <v>985</v>
      </c>
      <c r="B42" s="12" t="s">
        <v>93</v>
      </c>
      <c r="C42" s="70" t="n">
        <f aca="false">IF(ISNUMBER(輸入與假設!$C$326),輸入與假設!$C$326,"不適用")</f>
        <v>2.047</v>
      </c>
      <c r="D42" s="70" t="n">
        <f aca="false">IF(ISNUMBER(輸入與假設!$D$326),輸入與假設!$D$326,"不適用")</f>
        <v>2.897</v>
      </c>
      <c r="E42" s="70" t="s">
        <v>936</v>
      </c>
      <c r="F42" s="70" t="s">
        <v>936</v>
      </c>
      <c r="G42" s="70" t="s">
        <v>936</v>
      </c>
      <c r="H42" s="70" t="s">
        <v>936</v>
      </c>
      <c r="J42" s="12" t="s">
        <v>984</v>
      </c>
    </row>
    <row r="43" customFormat="false" ht="15" hidden="true" customHeight="false" outlineLevel="1" collapsed="false">
      <c r="A43" s="3" t="s">
        <v>986</v>
      </c>
      <c r="B43" s="12" t="s">
        <v>77</v>
      </c>
      <c r="C43" s="32" t="n">
        <f aca="false">IF(AND(ISNUMBER(輸入與假設!$C$326),ISNUMBER(輸入與假設!$C$325)),輸入與假設!$C$326/輸入與假設!$C$325,"不適用")</f>
        <v>0.578085286642192</v>
      </c>
      <c r="D43" s="32" t="n">
        <f aca="false">IF(AND(ISNUMBER(輸入與假設!$D$326),ISNUMBER(輸入與假設!$D$325)),輸入與假設!$D$326/輸入與假設!$D$325,"不適用")</f>
        <v>0.615597110072248</v>
      </c>
      <c r="E43" s="71" t="s">
        <v>936</v>
      </c>
      <c r="F43" s="71" t="s">
        <v>936</v>
      </c>
      <c r="G43" s="71" t="s">
        <v>936</v>
      </c>
      <c r="H43" s="71" t="s">
        <v>936</v>
      </c>
      <c r="J43" s="7" t="s">
        <v>987</v>
      </c>
    </row>
    <row r="44" customFormat="false" ht="15" hidden="true" customHeight="false" outlineLevel="1" collapsed="false">
      <c r="A44" s="3" t="s">
        <v>988</v>
      </c>
      <c r="B44" s="12" t="s">
        <v>93</v>
      </c>
      <c r="C44" s="70" t="n">
        <f aca="false">IF(ISNUMBER(輸入與假設!$C$327),輸入與假設!$C$327,"不適用")</f>
        <v>0.2408</v>
      </c>
      <c r="D44" s="70" t="n">
        <f aca="false">IF(ISNUMBER(輸入與假設!$D$327),輸入與假設!$D$327,"不適用")</f>
        <v>0.6805</v>
      </c>
      <c r="E44" s="70" t="s">
        <v>936</v>
      </c>
      <c r="F44" s="70" t="s">
        <v>936</v>
      </c>
      <c r="G44" s="70" t="s">
        <v>936</v>
      </c>
      <c r="H44" s="70" t="s">
        <v>936</v>
      </c>
      <c r="J44" s="7" t="s">
        <v>989</v>
      </c>
    </row>
    <row r="45" customFormat="false" ht="15" hidden="true" customHeight="false" outlineLevel="1" collapsed="false">
      <c r="A45" s="3" t="s">
        <v>990</v>
      </c>
      <c r="B45" s="12" t="s">
        <v>93</v>
      </c>
      <c r="C45" s="46" t="str">
        <f aca="false">IF(ISNUMBER(輸入與假設!C$358),輸入與假設!C$358,"")</f>
        <v/>
      </c>
      <c r="D45" s="46" t="str">
        <f aca="false">IF(ISNUMBER(輸入與假設!D$358),輸入與假設!D$358,"")</f>
        <v/>
      </c>
      <c r="E45" s="46" t="str">
        <f aca="false">IF(ISNUMBER(輸入與假設!E$358),輸入與假設!E$358,"")</f>
        <v/>
      </c>
      <c r="F45" s="46" t="str">
        <f aca="false">IF(ISNUMBER(輸入與假設!F$358),輸入與假設!F$358,"")</f>
        <v/>
      </c>
      <c r="G45" s="46" t="str">
        <f aca="false">IF(ISNUMBER(輸入與假設!G$358),輸入與假設!G$358,"")</f>
        <v/>
      </c>
      <c r="H45" s="46" t="str">
        <f aca="false">IF(ISNUMBER(輸入與假設!H$358),輸入與假設!H$358,"")</f>
        <v/>
      </c>
    </row>
    <row r="46" customFormat="false" ht="15" hidden="true" customHeight="false" outlineLevel="1" collapsed="false">
      <c r="A46" s="3" t="s">
        <v>991</v>
      </c>
      <c r="B46" s="12" t="s">
        <v>93</v>
      </c>
      <c r="C46" s="46" t="str">
        <f aca="false">IF(ISNUMBER(輸入與假設!C$359),輸入與假設!C$359,"")</f>
        <v/>
      </c>
      <c r="D46" s="46" t="str">
        <f aca="false">IF(ISNUMBER(輸入與假設!D$359),輸入與假設!D$359,"")</f>
        <v/>
      </c>
      <c r="E46" s="46" t="str">
        <f aca="false">IF(ISNUMBER(輸入與假設!E$359),輸入與假設!E$359,"")</f>
        <v/>
      </c>
      <c r="F46" s="46" t="str">
        <f aca="false">IF(ISNUMBER(輸入與假設!F$359),輸入與假設!F$359,"")</f>
        <v/>
      </c>
      <c r="G46" s="46" t="str">
        <f aca="false">IF(ISNUMBER(輸入與假設!G$359),輸入與假設!G$359,"")</f>
        <v/>
      </c>
      <c r="H46" s="46" t="str">
        <f aca="false">IF(ISNUMBER(輸入與假設!H$359),輸入與假設!H$359,"")</f>
        <v/>
      </c>
    </row>
    <row r="47" customFormat="false" ht="15" hidden="true" customHeight="false" outlineLevel="1" collapsed="false">
      <c r="A47" s="3" t="s">
        <v>992</v>
      </c>
      <c r="B47" s="12" t="s">
        <v>77</v>
      </c>
      <c r="C47" s="71" t="str">
        <f aca="false">IF(AND(ISNUMBER(輸入與假設!C$359),ISNUMBER(輸入與假設!C$358)),輸入與假設!C$359/輸入與假設!C$358,"")</f>
        <v/>
      </c>
      <c r="D47" s="71" t="str">
        <f aca="false">IF(AND(ISNUMBER(輸入與假設!D$359),ISNUMBER(輸入與假設!D$358)),輸入與假設!D$359/輸入與假設!D$358,"")</f>
        <v/>
      </c>
      <c r="E47" s="71" t="str">
        <f aca="false">IF(AND(ISNUMBER(輸入與假設!E$359),ISNUMBER(輸入與假設!E$358)),輸入與假設!E$359/輸入與假設!E$358,"")</f>
        <v/>
      </c>
      <c r="F47" s="71" t="str">
        <f aca="false">IF(AND(ISNUMBER(輸入與假設!F$359),ISNUMBER(輸入與假設!F$358)),輸入與假設!F$359/輸入與假設!F$358,"")</f>
        <v/>
      </c>
      <c r="G47" s="71" t="str">
        <f aca="false">IF(AND(ISNUMBER(輸入與假設!G$359),ISNUMBER(輸入與假設!G$358)),輸入與假設!G$359/輸入與假設!G$358,"")</f>
        <v/>
      </c>
      <c r="H47" s="71" t="str">
        <f aca="false">IF(AND(ISNUMBER(輸入與假設!H$359),ISNUMBER(輸入與假設!H$358)),輸入與假設!H$359/輸入與假設!H$358,"")</f>
        <v/>
      </c>
      <c r="J47" s="7" t="s">
        <v>993</v>
      </c>
    </row>
    <row r="48" customFormat="false" ht="15" hidden="true" customHeight="false" outlineLevel="1" collapsed="false">
      <c r="A48" s="3" t="s">
        <v>994</v>
      </c>
      <c r="B48" s="12" t="s">
        <v>93</v>
      </c>
      <c r="C48" s="46" t="str">
        <f aca="false">IF(ISNUMBER(輸入與假設!C$360),輸入與假設!C$360,"")</f>
        <v/>
      </c>
      <c r="D48" s="46" t="str">
        <f aca="false">IF(ISNUMBER(輸入與假設!D$360),輸入與假設!D$360,"")</f>
        <v/>
      </c>
      <c r="E48" s="46" t="str">
        <f aca="false">IF(ISNUMBER(輸入與假設!E$360),輸入與假設!E$360,"")</f>
        <v/>
      </c>
      <c r="F48" s="46" t="str">
        <f aca="false">IF(ISNUMBER(輸入與假設!F$360),輸入與假設!F$360,"")</f>
        <v/>
      </c>
      <c r="G48" s="46" t="str">
        <f aca="false">IF(ISNUMBER(輸入與假設!G$360),輸入與假設!G$360,"")</f>
        <v/>
      </c>
      <c r="H48" s="46" t="str">
        <f aca="false">IF(ISNUMBER(輸入與假設!H$360),輸入與假設!H$360,"")</f>
        <v/>
      </c>
    </row>
    <row r="49" customFormat="false" ht="15" hidden="true" customHeight="false" outlineLevel="1" collapsed="false">
      <c r="A49" s="3" t="s">
        <v>995</v>
      </c>
      <c r="B49" s="12" t="s">
        <v>93</v>
      </c>
      <c r="C49" s="46" t="str">
        <f aca="false">IF(ISNUMBER(輸入與假設!C$361),輸入與假設!C$361,"")</f>
        <v/>
      </c>
      <c r="D49" s="46" t="str">
        <f aca="false">IF(ISNUMBER(輸入與假設!D$361),輸入與假設!D$361,"")</f>
        <v/>
      </c>
      <c r="E49" s="46" t="str">
        <f aca="false">IF(ISNUMBER(輸入與假設!E$361),輸入與假設!E$361,"")</f>
        <v/>
      </c>
      <c r="F49" s="46" t="str">
        <f aca="false">IF(ISNUMBER(輸入與假設!F$361),輸入與假設!F$361,"")</f>
        <v/>
      </c>
      <c r="G49" s="46" t="str">
        <f aca="false">IF(ISNUMBER(輸入與假設!G$361),輸入與假設!G$361,"")</f>
        <v/>
      </c>
      <c r="H49" s="46" t="str">
        <f aca="false">IF(ISNUMBER(輸入與假設!H$361),輸入與假設!H$361,"")</f>
        <v/>
      </c>
    </row>
    <row r="50" customFormat="false" ht="15" hidden="true" customHeight="false" outlineLevel="1" collapsed="false">
      <c r="A50" s="3" t="s">
        <v>996</v>
      </c>
      <c r="B50" s="12" t="s">
        <v>179</v>
      </c>
      <c r="C50" s="46" t="str">
        <f aca="false">IF(ISNUMBER(輸入與假設!C$362),輸入與假設!C$362,"")</f>
        <v/>
      </c>
      <c r="D50" s="46" t="str">
        <f aca="false">IF(ISNUMBER(輸入與假設!D$362),輸入與假設!D$362,"")</f>
        <v/>
      </c>
      <c r="E50" s="46" t="str">
        <f aca="false">IF(ISNUMBER(輸入與假設!E$362),輸入與假設!E$362,"")</f>
        <v/>
      </c>
      <c r="F50" s="46" t="str">
        <f aca="false">IF(ISNUMBER(輸入與假設!F$362),輸入與假設!F$362,"")</f>
        <v/>
      </c>
      <c r="G50" s="46" t="str">
        <f aca="false">IF(ISNUMBER(輸入與假設!G$362),輸入與假設!G$362,"")</f>
        <v/>
      </c>
      <c r="H50" s="46" t="str">
        <f aca="false">IF(ISNUMBER(輸入與假設!H$362),輸入與假設!H$362,"")</f>
        <v/>
      </c>
    </row>
    <row r="51" customFormat="false" ht="15" hidden="true" customHeight="false" outlineLevel="1" collapsed="false">
      <c r="A51" s="3" t="s">
        <v>997</v>
      </c>
      <c r="B51" s="12" t="s">
        <v>77</v>
      </c>
      <c r="C51" s="71" t="n">
        <f aca="false">IF(AND(ISNUMBER(C22),ISNUMBER(C41),C41&lt;&gt;0),C22/(C41)-1,"不適用")</f>
        <v>-0.108574074011315</v>
      </c>
      <c r="D51" s="71" t="n">
        <f aca="false">IF(AND(ISNUMBER(D22),ISNUMBER(D41),D41&lt;&gt;0),D22/(D41)-1,"不適用")</f>
        <v>-0.205678196376569</v>
      </c>
      <c r="E51" s="71" t="str">
        <f aca="false">IF(AND(ISNUMBER(E22),ISNUMBER(E41),E41&lt;&gt;0),E22/(E41)-1,"不適用")</f>
        <v>不適用</v>
      </c>
      <c r="F51" s="71" t="str">
        <f aca="false">IF(AND(ISNUMBER(F22),ISNUMBER(F41),F41&lt;&gt;0),F22/(F41)-1,"不適用")</f>
        <v>不適用</v>
      </c>
      <c r="G51" s="71" t="str">
        <f aca="false">IF(AND(ISNUMBER(G22),ISNUMBER(G41),G41&lt;&gt;0),G22/(G41)-1,"不適用")</f>
        <v>不適用</v>
      </c>
      <c r="H51" s="71" t="str">
        <f aca="false">IF(AND(ISNUMBER(H22),ISNUMBER(H41),H41&lt;&gt;0),H22/(H41)-1,"不適用")</f>
        <v>不適用</v>
      </c>
    </row>
    <row r="52" customFormat="false" ht="15" hidden="true" customHeight="false" outlineLevel="1" collapsed="false">
      <c r="A52" s="3" t="s">
        <v>998</v>
      </c>
      <c r="B52" s="12" t="s">
        <v>77</v>
      </c>
      <c r="C52" s="71" t="n">
        <f aca="false">IF(AND(ISNUMBER(C22),ISNUMBER(C31),ISNUMBER(C32)),C22/(((C31+C32)/2))-1,"不適用")</f>
        <v>-0.104527885411083</v>
      </c>
      <c r="D52" s="71" t="str">
        <f aca="false">IF(AND(ISNUMBER(D22),ISNUMBER(D31),ISNUMBER(D32)),D22/(((D31+D32)/2))-1,"不適用")</f>
        <v>不適用</v>
      </c>
      <c r="E52" s="71" t="str">
        <f aca="false">IF(AND(ISNUMBER(E22),ISNUMBER(E31),ISNUMBER(E32)),E22/(((E31+E32)/2))-1,"不適用")</f>
        <v>不適用</v>
      </c>
      <c r="F52" s="71" t="str">
        <f aca="false">IF(AND(ISNUMBER(F22),ISNUMBER(F31),ISNUMBER(F32)),F22/(((F31+F32)/2))-1,"不適用")</f>
        <v>不適用</v>
      </c>
      <c r="G52" s="71" t="str">
        <f aca="false">IF(AND(ISNUMBER(G22),ISNUMBER(G31),ISNUMBER(G32)),G22/(((G31+G32)/2))-1,"不適用")</f>
        <v>不適用</v>
      </c>
      <c r="H52" s="71" t="str">
        <f aca="false">IF(AND(ISNUMBER(H22),ISNUMBER(H31),ISNUMBER(H32)),H22/(((H31+H32)/2))-1,"不適用")</f>
        <v>不適用</v>
      </c>
    </row>
    <row r="53" customFormat="false" ht="15" hidden="true" customHeight="false" outlineLevel="1" collapsed="false">
      <c r="A53" s="3" t="s">
        <v>999</v>
      </c>
      <c r="B53" s="12" t="s">
        <v>77</v>
      </c>
      <c r="C53" s="71" t="str">
        <f aca="false">IF(ISNUMBER(C45),IF(AND(ISNUMBER(C22),C22&lt;&gt;0),C45/(C22)-1,"不適用"),"")</f>
        <v/>
      </c>
      <c r="D53" s="71" t="str">
        <f aca="false">IF(ISNUMBER(D45),IF(AND(ISNUMBER(D22),D22&lt;&gt;0),D45/(D22)-1,"不適用"),"")</f>
        <v/>
      </c>
      <c r="E53" s="71" t="str">
        <f aca="false">IF(ISNUMBER(E45),IF(AND(ISNUMBER(E22),E22&lt;&gt;0),E45/(E22)-1,"不適用"),"")</f>
        <v/>
      </c>
      <c r="F53" s="71" t="str">
        <f aca="false">IF(ISNUMBER(F45),IF(AND(ISNUMBER(F22),F22&lt;&gt;0),F45/(F22)-1,"不適用"),"")</f>
        <v/>
      </c>
      <c r="G53" s="71" t="str">
        <f aca="false">IF(ISNUMBER(G45),IF(AND(ISNUMBER(G22),G22&lt;&gt;0),G45/(G22)-1,"不適用"),"")</f>
        <v/>
      </c>
      <c r="H53" s="71" t="str">
        <f aca="false">IF(ISNUMBER(H45),IF(AND(ISNUMBER(H22),H22&lt;&gt;0),H45/(H22)-1,"不適用"),"")</f>
        <v/>
      </c>
    </row>
    <row r="54" customFormat="false" ht="15" hidden="true" customHeight="false" outlineLevel="1" collapsed="false">
      <c r="A54" s="3" t="s">
        <v>1000</v>
      </c>
      <c r="B54" s="12" t="s">
        <v>77</v>
      </c>
      <c r="C54" s="71" t="str">
        <f aca="false">IF(ISNUMBER(C45),IF(AND(ISNUMBER(C41),C41&lt;&gt;0),C45/(C41)-1,"不適用"),"")</f>
        <v/>
      </c>
      <c r="D54" s="71" t="str">
        <f aca="false">IF(ISNUMBER(D45),IF(AND(ISNUMBER(D41),D41&lt;&gt;0),D45/(D41)-1,"不適用"),"")</f>
        <v/>
      </c>
      <c r="E54" s="71" t="str">
        <f aca="false">IF(ISNUMBER(E45),IF(AND(ISNUMBER(E41),E41&lt;&gt;0),E45/(E41)-1,"不適用"),"")</f>
        <v/>
      </c>
      <c r="F54" s="71" t="str">
        <f aca="false">IF(ISNUMBER(F45),IF(AND(ISNUMBER(F41),F41&lt;&gt;0),F45/(F41)-1,"不適用"),"")</f>
        <v/>
      </c>
      <c r="G54" s="71" t="str">
        <f aca="false">IF(ISNUMBER(G45),IF(AND(ISNUMBER(G41),G41&lt;&gt;0),G45/(G41)-1,"不適用"),"")</f>
        <v/>
      </c>
      <c r="H54" s="71" t="str">
        <f aca="false">IF(ISNUMBER(H45),IF(AND(ISNUMBER(H41),H41&lt;&gt;0),H45/(H41)-1,"不適用"),"")</f>
        <v/>
      </c>
    </row>
    <row r="55" customFormat="false" ht="15" hidden="true" customHeight="false" outlineLevel="1" collapsed="false">
      <c r="A55" s="3" t="s">
        <v>1001</v>
      </c>
      <c r="B55" s="12" t="s">
        <v>77</v>
      </c>
      <c r="C55" s="71" t="str">
        <f aca="false">IF(ISNUMBER(C45),IF(AND(ISNUMBER(C31),ISNUMBER(C32)),C45/(((C31+C32)/2))-1,"不適用"),"")</f>
        <v/>
      </c>
      <c r="D55" s="71" t="str">
        <f aca="false">IF(ISNUMBER(D45),IF(AND(ISNUMBER(D31),ISNUMBER(D32)),D45/(((D31+D32)/2))-1,"不適用"),"")</f>
        <v/>
      </c>
      <c r="E55" s="71" t="str">
        <f aca="false">IF(ISNUMBER(E45),IF(AND(ISNUMBER(E31),ISNUMBER(E32)),E45/(((E31+E32)/2))-1,"不適用"),"")</f>
        <v/>
      </c>
      <c r="F55" s="71" t="str">
        <f aca="false">IF(ISNUMBER(F45),IF(AND(ISNUMBER(F31),ISNUMBER(F32)),F45/(((F31+F32)/2))-1,"不適用"),"")</f>
        <v/>
      </c>
      <c r="G55" s="71" t="str">
        <f aca="false">IF(ISNUMBER(G45),IF(AND(ISNUMBER(G31),ISNUMBER(G32)),G45/(((G31+G32)/2))-1,"不適用"),"")</f>
        <v/>
      </c>
      <c r="H55" s="71" t="str">
        <f aca="false">IF(ISNUMBER(H45),IF(AND(ISNUMBER(H31),ISNUMBER(H32)),H45/(((H31+H32)/2))-1,"不適用"),"")</f>
        <v/>
      </c>
    </row>
    <row r="56" customFormat="false" ht="15" hidden="true" customHeight="false" outlineLevel="1" collapsed="false">
      <c r="A56" s="3" t="s">
        <v>1002</v>
      </c>
      <c r="B56" s="12" t="s">
        <v>93</v>
      </c>
      <c r="C56" s="70" t="n">
        <f aca="false">IF(AND(ISNUMBER(C28),ISNUMBER(C42)),C28-(C42),"不適用")</f>
        <v>-0.190349373580828</v>
      </c>
      <c r="D56" s="70" t="n">
        <f aca="false">IF(AND(ISNUMBER(D28),ISNUMBER(D42)),D28-(D42),"不適用")</f>
        <v>-0.679715572401164</v>
      </c>
      <c r="E56" s="70" t="str">
        <f aca="false">IF(AND(ISNUMBER(E28),ISNUMBER(E42)),E28-(E42),"不適用")</f>
        <v>不適用</v>
      </c>
      <c r="F56" s="70" t="str">
        <f aca="false">IF(AND(ISNUMBER(F28),ISNUMBER(F42)),F28-(F42),"不適用")</f>
        <v>不適用</v>
      </c>
      <c r="G56" s="70" t="str">
        <f aca="false">IF(AND(ISNUMBER(G28),ISNUMBER(G42)),G28-(G42),"不適用")</f>
        <v>不適用</v>
      </c>
      <c r="H56" s="70" t="str">
        <f aca="false">IF(AND(ISNUMBER(H28),ISNUMBER(H42)),H28-(H42),"不適用")</f>
        <v>不適用</v>
      </c>
    </row>
    <row r="57" customFormat="false" ht="15" hidden="true" customHeight="false" outlineLevel="1" collapsed="false">
      <c r="A57" s="3" t="s">
        <v>1003</v>
      </c>
      <c r="B57" s="12" t="s">
        <v>93</v>
      </c>
      <c r="C57" s="70" t="s">
        <v>936</v>
      </c>
      <c r="D57" s="70" t="s">
        <v>936</v>
      </c>
      <c r="E57" s="70" t="s">
        <v>936</v>
      </c>
      <c r="F57" s="70" t="s">
        <v>936</v>
      </c>
      <c r="G57" s="70" t="s">
        <v>936</v>
      </c>
      <c r="H57" s="70" t="s">
        <v>936</v>
      </c>
    </row>
    <row r="58" customFormat="false" ht="15" hidden="true" customHeight="false" outlineLevel="1" collapsed="false">
      <c r="A58" s="3" t="s">
        <v>1004</v>
      </c>
      <c r="B58" s="12" t="s">
        <v>93</v>
      </c>
      <c r="C58" s="70" t="str">
        <f aca="false">IF(ISNUMBER(C46),IF(AND(ISNUMBER(C28)),C46-(C28),"不適用"),"")</f>
        <v/>
      </c>
      <c r="D58" s="70" t="str">
        <f aca="false">IF(ISNUMBER(D46),IF(AND(ISNUMBER(D28)),D46-(D28),"不適用"),"")</f>
        <v/>
      </c>
      <c r="E58" s="70" t="str">
        <f aca="false">IF(ISNUMBER(E46),IF(AND(ISNUMBER(E28)),E46-(E28),"不適用"),"")</f>
        <v/>
      </c>
      <c r="F58" s="70" t="str">
        <f aca="false">IF(ISNUMBER(F46),IF(AND(ISNUMBER(F28)),F46-(F28),"不適用"),"")</f>
        <v/>
      </c>
      <c r="G58" s="70" t="str">
        <f aca="false">IF(ISNUMBER(G46),IF(AND(ISNUMBER(G28)),G46-(G28),"不適用"),"")</f>
        <v/>
      </c>
      <c r="H58" s="70" t="str">
        <f aca="false">IF(ISNUMBER(H46),IF(AND(ISNUMBER(H28)),H46-(H28),"不適用"),"")</f>
        <v/>
      </c>
    </row>
    <row r="59" customFormat="false" ht="15" hidden="true" customHeight="false" outlineLevel="1" collapsed="false">
      <c r="A59" s="3" t="s">
        <v>1005</v>
      </c>
      <c r="B59" s="12" t="s">
        <v>93</v>
      </c>
      <c r="C59" s="70" t="str">
        <f aca="false">IF(ISNUMBER(C46),IF(AND(ISNUMBER(C42)),C46-(C42),"不適用"),"")</f>
        <v/>
      </c>
      <c r="D59" s="70" t="str">
        <f aca="false">IF(ISNUMBER(D46),IF(AND(ISNUMBER(D42)),D46-(D42),"不適用"),"")</f>
        <v/>
      </c>
      <c r="E59" s="70" t="str">
        <f aca="false">IF(ISNUMBER(E46),IF(AND(ISNUMBER(E42)),E46-(E42),"不適用"),"")</f>
        <v/>
      </c>
      <c r="F59" s="70" t="str">
        <f aca="false">IF(ISNUMBER(F46),IF(AND(ISNUMBER(F42)),F46-(F42),"不適用"),"")</f>
        <v/>
      </c>
      <c r="G59" s="70" t="str">
        <f aca="false">IF(ISNUMBER(G46),IF(AND(ISNUMBER(G42)),G46-(G42),"不適用"),"")</f>
        <v/>
      </c>
      <c r="H59" s="70" t="str">
        <f aca="false">IF(ISNUMBER(H46),IF(AND(ISNUMBER(H42)),H46-(H42),"不適用"),"")</f>
        <v/>
      </c>
    </row>
    <row r="60" customFormat="false" ht="15" hidden="true" customHeight="false" outlineLevel="1" collapsed="false">
      <c r="A60" s="3" t="s">
        <v>1006</v>
      </c>
      <c r="B60" s="12" t="s">
        <v>93</v>
      </c>
      <c r="C60" s="70" t="str">
        <f aca="false">IF(ISNUMBER(C46),"不適用","")</f>
        <v/>
      </c>
      <c r="D60" s="70" t="str">
        <f aca="false">IF(ISNUMBER(D46),"不適用","")</f>
        <v/>
      </c>
      <c r="E60" s="70" t="str">
        <f aca="false">IF(ISNUMBER(E46),"不適用","")</f>
        <v/>
      </c>
      <c r="F60" s="70" t="str">
        <f aca="false">IF(ISNUMBER(F46),"不適用","")</f>
        <v/>
      </c>
      <c r="G60" s="70" t="str">
        <f aca="false">IF(ISNUMBER(G46),"不適用","")</f>
        <v/>
      </c>
      <c r="H60" s="70" t="str">
        <f aca="false">IF(ISNUMBER(H46),"不適用","")</f>
        <v/>
      </c>
    </row>
    <row r="61" customFormat="false" ht="15" hidden="true" customHeight="false" outlineLevel="1" collapsed="false">
      <c r="A61" s="3" t="s">
        <v>1007</v>
      </c>
      <c r="B61" s="12" t="s">
        <v>105</v>
      </c>
      <c r="C61" s="71" t="n">
        <f aca="false">IF(AND(ISNUMBER(C28),ISNUMBER(C22),C22&lt;&gt;0,ISNUMBER(C42),ISNUMBER(C41),C41&lt;&gt;0),C28/C22-C42/C41,"不適用")</f>
        <v>0.0101065609705263</v>
      </c>
      <c r="D61" s="71" t="n">
        <f aca="false">IF(AND(ISNUMBER(D28),ISNUMBER(D22),D22&lt;&gt;0,ISNUMBER(D42),ISNUMBER(D41),D41&lt;&gt;0),D28/D22-D42/D41,"不適用")</f>
        <v>-0.0224355479869234</v>
      </c>
      <c r="E61" s="71" t="str">
        <f aca="false">IF(AND(ISNUMBER(E28),ISNUMBER(E22),E22&lt;&gt;0,ISNUMBER(E42),ISNUMBER(E41),E41&lt;&gt;0),E28/E22-E42/E41,"不適用")</f>
        <v>不適用</v>
      </c>
      <c r="F61" s="71" t="str">
        <f aca="false">IF(AND(ISNUMBER(F28),ISNUMBER(F22),F22&lt;&gt;0,ISNUMBER(F42),ISNUMBER(F41),F41&lt;&gt;0),F28/F22-F42/F41,"不適用")</f>
        <v>不適用</v>
      </c>
      <c r="G61" s="71" t="str">
        <f aca="false">IF(AND(ISNUMBER(G28),ISNUMBER(G22),G22&lt;&gt;0,ISNUMBER(G42),ISNUMBER(G41),G41&lt;&gt;0),G28/G22-G42/G41,"不適用")</f>
        <v>不適用</v>
      </c>
      <c r="H61" s="71" t="str">
        <f aca="false">IF(AND(ISNUMBER(H28),ISNUMBER(H22),H22&lt;&gt;0,ISNUMBER(H42),ISNUMBER(H41),H41&lt;&gt;0),H28/H22-H42/H41,"不適用")</f>
        <v>不適用</v>
      </c>
    </row>
    <row r="62" customFormat="false" ht="15" hidden="true" customHeight="false" outlineLevel="1" collapsed="false">
      <c r="A62" s="3" t="s">
        <v>1008</v>
      </c>
      <c r="B62" s="12" t="s">
        <v>105</v>
      </c>
      <c r="C62" s="71" t="s">
        <v>936</v>
      </c>
      <c r="D62" s="71" t="s">
        <v>936</v>
      </c>
      <c r="E62" s="71" t="s">
        <v>936</v>
      </c>
      <c r="F62" s="71" t="s">
        <v>936</v>
      </c>
      <c r="G62" s="71" t="s">
        <v>936</v>
      </c>
      <c r="H62" s="71" t="s">
        <v>936</v>
      </c>
    </row>
    <row r="63" customFormat="false" ht="15" hidden="true" customHeight="false" outlineLevel="1" collapsed="false">
      <c r="A63" s="3" t="s">
        <v>1009</v>
      </c>
      <c r="B63" s="12" t="s">
        <v>105</v>
      </c>
      <c r="C63" s="71" t="str">
        <f aca="false">IF(ISNUMBER(C46),IF(AND(ISNUMBER(C46),ISNUMBER(C45),C45&lt;&gt;0,ISNUMBER(C28),ISNUMBER(C22),C22&lt;&gt;0),C46/C45-C28/C22,"不適用"),"")</f>
        <v/>
      </c>
      <c r="D63" s="71" t="str">
        <f aca="false">IF(ISNUMBER(D46),IF(AND(ISNUMBER(D46),ISNUMBER(D45),D45&lt;&gt;0,ISNUMBER(D28),ISNUMBER(D22),D22&lt;&gt;0),D46/D45-D28/D22,"不適用"),"")</f>
        <v/>
      </c>
      <c r="E63" s="71" t="str">
        <f aca="false">IF(ISNUMBER(E46),IF(AND(ISNUMBER(E46),ISNUMBER(E45),E45&lt;&gt;0,ISNUMBER(E28),ISNUMBER(E22),E22&lt;&gt;0),E46/E45-E28/E22,"不適用"),"")</f>
        <v/>
      </c>
      <c r="F63" s="71" t="str">
        <f aca="false">IF(ISNUMBER(F46),IF(AND(ISNUMBER(F46),ISNUMBER(F45),F45&lt;&gt;0,ISNUMBER(F28),ISNUMBER(F22),F22&lt;&gt;0),F46/F45-F28/F22,"不適用"),"")</f>
        <v/>
      </c>
      <c r="G63" s="71" t="str">
        <f aca="false">IF(ISNUMBER(G46),IF(AND(ISNUMBER(G46),ISNUMBER(G45),G45&lt;&gt;0,ISNUMBER(G28),ISNUMBER(G22),G22&lt;&gt;0),G46/G45-G28/G22,"不適用"),"")</f>
        <v/>
      </c>
      <c r="H63" s="71" t="str">
        <f aca="false">IF(ISNUMBER(H46),IF(AND(ISNUMBER(H46),ISNUMBER(H45),H45&lt;&gt;0,ISNUMBER(H28),ISNUMBER(H22),H22&lt;&gt;0),H46/H45-H28/H22,"不適用"),"")</f>
        <v/>
      </c>
    </row>
    <row r="64" customFormat="false" ht="15" hidden="true" customHeight="false" outlineLevel="1" collapsed="false">
      <c r="A64" s="3" t="s">
        <v>1010</v>
      </c>
      <c r="B64" s="12" t="s">
        <v>105</v>
      </c>
      <c r="C64" s="71" t="str">
        <f aca="false">IF(ISNUMBER(C46),IF(AND(ISNUMBER(C46),ISNUMBER(C45),C45&lt;&gt;0,ISNUMBER(C42),ISNUMBER(C41),C41&lt;&gt;0),C46/C45-C42/C41,"不適用"),"")</f>
        <v/>
      </c>
      <c r="D64" s="71" t="str">
        <f aca="false">IF(ISNUMBER(D46),IF(AND(ISNUMBER(D46),ISNUMBER(D45),D45&lt;&gt;0,ISNUMBER(D42),ISNUMBER(D41),D41&lt;&gt;0),D46/D45-D42/D41,"不適用"),"")</f>
        <v/>
      </c>
      <c r="E64" s="71" t="str">
        <f aca="false">IF(ISNUMBER(E46),IF(AND(ISNUMBER(E46),ISNUMBER(E45),E45&lt;&gt;0,ISNUMBER(E42),ISNUMBER(E41),E41&lt;&gt;0),E46/E45-E42/E41,"不適用"),"")</f>
        <v/>
      </c>
      <c r="F64" s="71" t="str">
        <f aca="false">IF(ISNUMBER(F46),IF(AND(ISNUMBER(F46),ISNUMBER(F45),F45&lt;&gt;0,ISNUMBER(F42),ISNUMBER(F41),F41&lt;&gt;0),F46/F45-F42/F41,"不適用"),"")</f>
        <v/>
      </c>
      <c r="G64" s="71" t="str">
        <f aca="false">IF(ISNUMBER(G46),IF(AND(ISNUMBER(G46),ISNUMBER(G45),G45&lt;&gt;0,ISNUMBER(G42),ISNUMBER(G41),G41&lt;&gt;0),G46/G45-G42/G41,"不適用"),"")</f>
        <v/>
      </c>
      <c r="H64" s="71" t="str">
        <f aca="false">IF(ISNUMBER(H46),IF(AND(ISNUMBER(H46),ISNUMBER(H45),H45&lt;&gt;0,ISNUMBER(H42),ISNUMBER(H41),H41&lt;&gt;0),H46/H45-H42/H41,"不適用"),"")</f>
        <v/>
      </c>
    </row>
    <row r="65" customFormat="false" ht="15" hidden="true" customHeight="false" outlineLevel="1" collapsed="false">
      <c r="A65" s="3" t="s">
        <v>1011</v>
      </c>
      <c r="B65" s="12" t="s">
        <v>105</v>
      </c>
      <c r="C65" s="71" t="str">
        <f aca="false">IF(ISNUMBER(C46),"不適用","")</f>
        <v/>
      </c>
      <c r="D65" s="71" t="str">
        <f aca="false">IF(ISNUMBER(D46),"不適用","")</f>
        <v/>
      </c>
      <c r="E65" s="71" t="str">
        <f aca="false">IF(ISNUMBER(E46),"不適用","")</f>
        <v/>
      </c>
      <c r="F65" s="71" t="str">
        <f aca="false">IF(ISNUMBER(F46),"不適用","")</f>
        <v/>
      </c>
      <c r="G65" s="71" t="str">
        <f aca="false">IF(ISNUMBER(G46),"不適用","")</f>
        <v/>
      </c>
      <c r="H65" s="71" t="str">
        <f aca="false">IF(ISNUMBER(H46),"不適用","")</f>
        <v/>
      </c>
    </row>
    <row r="66" customFormat="false" ht="15" hidden="true" customHeight="false" outlineLevel="1" collapsed="false">
      <c r="A66" s="3" t="s">
        <v>1012</v>
      </c>
      <c r="B66" s="12" t="s">
        <v>105</v>
      </c>
      <c r="C66" s="71" t="n">
        <f aca="false">IF(AND(ISNUMBER(C27),ISNUMBER(C43)),C27-(C43),"不適用")</f>
        <v>0.0101065609705263</v>
      </c>
      <c r="D66" s="71" t="n">
        <f aca="false">IF(AND(ISNUMBER(D27),ISNUMBER(D43)),D27-(D43),"不適用")</f>
        <v>-0.0224355479869234</v>
      </c>
      <c r="E66" s="71" t="str">
        <f aca="false">IF(AND(ISNUMBER(E27),ISNUMBER(E43)),E27-(E43),"不適用")</f>
        <v>不適用</v>
      </c>
      <c r="F66" s="71" t="str">
        <f aca="false">IF(AND(ISNUMBER(F27),ISNUMBER(F43)),F27-(F43),"不適用")</f>
        <v>不適用</v>
      </c>
      <c r="G66" s="71" t="str">
        <f aca="false">IF(AND(ISNUMBER(G27),ISNUMBER(G43)),G27-(G43),"不適用")</f>
        <v>不適用</v>
      </c>
      <c r="H66" s="71" t="str">
        <f aca="false">IF(AND(ISNUMBER(H27),ISNUMBER(H43)),H27-(H43),"不適用")</f>
        <v>不適用</v>
      </c>
    </row>
    <row r="67" customFormat="false" ht="15" hidden="true" customHeight="false" outlineLevel="1" collapsed="false">
      <c r="A67" s="3" t="s">
        <v>1013</v>
      </c>
      <c r="B67" s="12" t="s">
        <v>105</v>
      </c>
      <c r="C67" s="71" t="s">
        <v>936</v>
      </c>
      <c r="D67" s="71" t="s">
        <v>936</v>
      </c>
      <c r="E67" s="71" t="s">
        <v>936</v>
      </c>
      <c r="F67" s="71" t="s">
        <v>936</v>
      </c>
      <c r="G67" s="71" t="s">
        <v>936</v>
      </c>
      <c r="H67" s="71" t="s">
        <v>936</v>
      </c>
    </row>
    <row r="68" customFormat="false" ht="15" hidden="true" customHeight="false" outlineLevel="1" collapsed="false">
      <c r="A68" s="3" t="s">
        <v>1014</v>
      </c>
      <c r="B68" s="12" t="s">
        <v>105</v>
      </c>
      <c r="C68" s="71" t="str">
        <f aca="false">IF(ISNUMBER(C47),IF(AND(ISNUMBER(C27)),C47-(C27),"不適用"),"")</f>
        <v/>
      </c>
      <c r="D68" s="71" t="str">
        <f aca="false">IF(ISNUMBER(D47),IF(AND(ISNUMBER(D27)),D47-(D27),"不適用"),"")</f>
        <v/>
      </c>
      <c r="E68" s="71" t="str">
        <f aca="false">IF(ISNUMBER(E47),IF(AND(ISNUMBER(E27)),E47-(E27),"不適用"),"")</f>
        <v/>
      </c>
      <c r="F68" s="71" t="str">
        <f aca="false">IF(ISNUMBER(F47),IF(AND(ISNUMBER(F27)),F47-(F27),"不適用"),"")</f>
        <v/>
      </c>
      <c r="G68" s="71" t="str">
        <f aca="false">IF(ISNUMBER(G47),IF(AND(ISNUMBER(G27)),G47-(G27),"不適用"),"")</f>
        <v/>
      </c>
      <c r="H68" s="71" t="str">
        <f aca="false">IF(ISNUMBER(H47),IF(AND(ISNUMBER(H27)),H47-(H27),"不適用"),"")</f>
        <v/>
      </c>
    </row>
    <row r="69" customFormat="false" ht="15" hidden="true" customHeight="false" outlineLevel="1" collapsed="false">
      <c r="A69" s="3" t="s">
        <v>1015</v>
      </c>
      <c r="B69" s="12" t="s">
        <v>105</v>
      </c>
      <c r="C69" s="71" t="str">
        <f aca="false">IF(ISNUMBER(C47),IF(AND(ISNUMBER(C43)),C47-(C43),"不適用"),"")</f>
        <v/>
      </c>
      <c r="D69" s="71" t="str">
        <f aca="false">IF(ISNUMBER(D47),IF(AND(ISNUMBER(D43)),D47-(D43),"不適用"),"")</f>
        <v/>
      </c>
      <c r="E69" s="71" t="str">
        <f aca="false">IF(ISNUMBER(E47),IF(AND(ISNUMBER(E43)),E47-(E43),"不適用"),"")</f>
        <v/>
      </c>
      <c r="F69" s="71" t="str">
        <f aca="false">IF(ISNUMBER(F47),IF(AND(ISNUMBER(F43)),F47-(F43),"不適用"),"")</f>
        <v/>
      </c>
      <c r="G69" s="71" t="str">
        <f aca="false">IF(ISNUMBER(G47),IF(AND(ISNUMBER(G43)),G47-(G43),"不適用"),"")</f>
        <v/>
      </c>
      <c r="H69" s="71" t="str">
        <f aca="false">IF(ISNUMBER(H47),IF(AND(ISNUMBER(H43)),H47-(H43),"不適用"),"")</f>
        <v/>
      </c>
    </row>
    <row r="70" customFormat="false" ht="15" hidden="true" customHeight="false" outlineLevel="1" collapsed="false">
      <c r="A70" s="3" t="s">
        <v>1016</v>
      </c>
      <c r="B70" s="12" t="s">
        <v>105</v>
      </c>
      <c r="C70" s="71" t="str">
        <f aca="false">IF(ISNUMBER(C47),"不適用","")</f>
        <v/>
      </c>
      <c r="D70" s="71" t="str">
        <f aca="false">IF(ISNUMBER(D47),"不適用","")</f>
        <v/>
      </c>
      <c r="E70" s="71" t="str">
        <f aca="false">IF(ISNUMBER(E47),"不適用","")</f>
        <v/>
      </c>
      <c r="F70" s="71" t="str">
        <f aca="false">IF(ISNUMBER(F47),"不適用","")</f>
        <v/>
      </c>
      <c r="G70" s="71" t="str">
        <f aca="false">IF(ISNUMBER(G47),"不適用","")</f>
        <v/>
      </c>
      <c r="H70" s="71" t="str">
        <f aca="false">IF(ISNUMBER(H47),"不適用","")</f>
        <v/>
      </c>
    </row>
    <row r="71" customFormat="false" ht="15" hidden="true" customHeight="false" outlineLevel="1" collapsed="false">
      <c r="A71" s="3" t="s">
        <v>1017</v>
      </c>
      <c r="B71" s="12" t="s">
        <v>93</v>
      </c>
      <c r="C71" s="70" t="s">
        <v>936</v>
      </c>
      <c r="D71" s="70" t="s">
        <v>936</v>
      </c>
      <c r="E71" s="70" t="s">
        <v>936</v>
      </c>
      <c r="F71" s="70" t="s">
        <v>936</v>
      </c>
      <c r="G71" s="70" t="s">
        <v>936</v>
      </c>
      <c r="H71" s="70" t="s">
        <v>936</v>
      </c>
    </row>
    <row r="72" customFormat="false" ht="15" hidden="true" customHeight="false" outlineLevel="1" collapsed="false">
      <c r="A72" s="3" t="s">
        <v>1018</v>
      </c>
      <c r="B72" s="12" t="s">
        <v>93</v>
      </c>
      <c r="C72" s="70" t="n">
        <f aca="false">IF(AND(ISNUMBER(C30),ISNUMBER(C33),ISNUMBER(C34)),C30-(((C33+C34)/2)),"不適用")</f>
        <v>-0.517151456914161</v>
      </c>
      <c r="D72" s="70" t="str">
        <f aca="false">IF(AND(ISNUMBER(D30),ISNUMBER(D33),ISNUMBER(D34)),D30-(((D33+D34)/2)),"不適用")</f>
        <v>不適用</v>
      </c>
      <c r="E72" s="70" t="str">
        <f aca="false">IF(AND(ISNUMBER(E30),ISNUMBER(E33),ISNUMBER(E34)),E30-(((E33+E34)/2)),"不適用")</f>
        <v>不適用</v>
      </c>
      <c r="F72" s="70" t="str">
        <f aca="false">IF(AND(ISNUMBER(F30),ISNUMBER(F33),ISNUMBER(F34)),F30-(((F33+F34)/2)),"不適用")</f>
        <v>不適用</v>
      </c>
      <c r="G72" s="70" t="str">
        <f aca="false">IF(AND(ISNUMBER(G30),ISNUMBER(G33),ISNUMBER(G34)),G30-(((G33+G34)/2)),"不適用")</f>
        <v>不適用</v>
      </c>
      <c r="H72" s="70" t="str">
        <f aca="false">IF(AND(ISNUMBER(H30),ISNUMBER(H33),ISNUMBER(H34)),H30-(((H33+H34)/2)),"不適用")</f>
        <v>不適用</v>
      </c>
    </row>
    <row r="73" customFormat="false" ht="15" hidden="true" customHeight="false" outlineLevel="1" collapsed="false">
      <c r="A73" s="3" t="s">
        <v>1019</v>
      </c>
      <c r="B73" s="12" t="s">
        <v>93</v>
      </c>
      <c r="C73" s="70" t="str">
        <f aca="false">IF(ISNUMBER(C48),IF(AND(ISNUMBER(C30)),C48-(C30),"不適用"),"")</f>
        <v/>
      </c>
      <c r="D73" s="70" t="str">
        <f aca="false">IF(ISNUMBER(D48),IF(AND(ISNUMBER(D30)),D48-(D30),"不適用"),"")</f>
        <v/>
      </c>
      <c r="E73" s="70" t="str">
        <f aca="false">IF(ISNUMBER(E48),IF(AND(ISNUMBER(E30)),E48-(E30),"不適用"),"")</f>
        <v/>
      </c>
      <c r="F73" s="70" t="str">
        <f aca="false">IF(ISNUMBER(F48),IF(AND(ISNUMBER(F30)),F48-(F30),"不適用"),"")</f>
        <v/>
      </c>
      <c r="G73" s="70" t="str">
        <f aca="false">IF(ISNUMBER(G48),IF(AND(ISNUMBER(G30)),G48-(G30),"不適用"),"")</f>
        <v/>
      </c>
      <c r="H73" s="70" t="str">
        <f aca="false">IF(ISNUMBER(H48),IF(AND(ISNUMBER(H30)),H48-(H30),"不適用"),"")</f>
        <v/>
      </c>
    </row>
    <row r="74" customFormat="false" ht="15" hidden="true" customHeight="false" outlineLevel="1" collapsed="false">
      <c r="A74" s="3" t="s">
        <v>1020</v>
      </c>
      <c r="B74" s="12" t="s">
        <v>93</v>
      </c>
      <c r="C74" s="70" t="str">
        <f aca="false">IF(ISNUMBER(C48),"不適用","")</f>
        <v/>
      </c>
      <c r="D74" s="70" t="str">
        <f aca="false">IF(ISNUMBER(D48),"不適用","")</f>
        <v/>
      </c>
      <c r="E74" s="70" t="str">
        <f aca="false">IF(ISNUMBER(E48),"不適用","")</f>
        <v/>
      </c>
      <c r="F74" s="70" t="str">
        <f aca="false">IF(ISNUMBER(F48),"不適用","")</f>
        <v/>
      </c>
      <c r="G74" s="70" t="str">
        <f aca="false">IF(ISNUMBER(G48),"不適用","")</f>
        <v/>
      </c>
      <c r="H74" s="70" t="str">
        <f aca="false">IF(ISNUMBER(H48),"不適用","")</f>
        <v/>
      </c>
    </row>
    <row r="75" customFormat="false" ht="15" hidden="true" customHeight="false" outlineLevel="1" collapsed="false">
      <c r="A75" s="3" t="s">
        <v>1021</v>
      </c>
      <c r="B75" s="12" t="s">
        <v>93</v>
      </c>
      <c r="C75" s="70" t="str">
        <f aca="false">IF(ISNUMBER(C48),IF(AND(ISNUMBER(C33),ISNUMBER(C34)),C48-(((C33+C34)/2)),"不適用"),"")</f>
        <v/>
      </c>
      <c r="D75" s="70" t="str">
        <f aca="false">IF(ISNUMBER(D48),IF(AND(ISNUMBER(D33),ISNUMBER(D34)),D48-(((D33+D34)/2)),"不適用"),"")</f>
        <v/>
      </c>
      <c r="E75" s="70" t="str">
        <f aca="false">IF(ISNUMBER(E48),IF(AND(ISNUMBER(E33),ISNUMBER(E34)),E48-(((E33+E34)/2)),"不適用"),"")</f>
        <v/>
      </c>
      <c r="F75" s="70" t="str">
        <f aca="false">IF(ISNUMBER(F48),IF(AND(ISNUMBER(F33),ISNUMBER(F34)),F48-(((F33+F34)/2)),"不適用"),"")</f>
        <v/>
      </c>
      <c r="G75" s="70" t="str">
        <f aca="false">IF(ISNUMBER(G48),IF(AND(ISNUMBER(G33),ISNUMBER(G34)),G48-(((G33+G34)/2)),"不適用"),"")</f>
        <v/>
      </c>
      <c r="H75" s="70" t="str">
        <f aca="false">IF(ISNUMBER(H48),IF(AND(ISNUMBER(H33),ISNUMBER(H34)),H48-(((H33+H34)/2)),"不適用"),"")</f>
        <v/>
      </c>
    </row>
    <row r="76" customFormat="false" ht="15" hidden="true" customHeight="false" outlineLevel="1" collapsed="false">
      <c r="A76" s="3" t="s">
        <v>1022</v>
      </c>
      <c r="B76" s="12" t="s">
        <v>105</v>
      </c>
      <c r="C76" s="71" t="s">
        <v>936</v>
      </c>
      <c r="D76" s="71" t="s">
        <v>936</v>
      </c>
      <c r="E76" s="71" t="s">
        <v>936</v>
      </c>
      <c r="F76" s="71" t="s">
        <v>936</v>
      </c>
      <c r="G76" s="71" t="s">
        <v>936</v>
      </c>
      <c r="H76" s="71" t="s">
        <v>936</v>
      </c>
    </row>
    <row r="77" customFormat="false" ht="15" hidden="true" customHeight="false" outlineLevel="1" collapsed="false">
      <c r="A77" s="3" t="s">
        <v>1023</v>
      </c>
      <c r="B77" s="12" t="s">
        <v>105</v>
      </c>
      <c r="C77" s="71" t="n">
        <f aca="false">IF(AND(ISNUMBER(C30),ISNUMBER(C22),C22&lt;&gt;0,ISNUMBER(C33),ISNUMBER(C34),ISNUMBER(C31),ISNUMBER(C32)),C30/C22-((C33+C34)/2)/((C31+C32)/2),"不適用")</f>
        <v>-0.156218570850097</v>
      </c>
      <c r="D77" s="71" t="str">
        <f aca="false">IF(AND(ISNUMBER(D30),ISNUMBER(D22),D22&lt;&gt;0,ISNUMBER(D33),ISNUMBER(D34),ISNUMBER(D31),ISNUMBER(D32)),D30/D22-((D33+D34)/2)/((D31+D32)/2),"不適用")</f>
        <v>不適用</v>
      </c>
      <c r="E77" s="71" t="str">
        <f aca="false">IF(AND(ISNUMBER(E30),ISNUMBER(E22),E22&lt;&gt;0,ISNUMBER(E33),ISNUMBER(E34),ISNUMBER(E31),ISNUMBER(E32)),E30/E22-((E33+E34)/2)/((E31+E32)/2),"不適用")</f>
        <v>不適用</v>
      </c>
      <c r="F77" s="71" t="str">
        <f aca="false">IF(AND(ISNUMBER(F30),ISNUMBER(F22),F22&lt;&gt;0,ISNUMBER(F33),ISNUMBER(F34),ISNUMBER(F31),ISNUMBER(F32)),F30/F22-((F33+F34)/2)/((F31+F32)/2),"不適用")</f>
        <v>不適用</v>
      </c>
      <c r="G77" s="71" t="str">
        <f aca="false">IF(AND(ISNUMBER(G30),ISNUMBER(G22),G22&lt;&gt;0,ISNUMBER(G33),ISNUMBER(G34),ISNUMBER(G31),ISNUMBER(G32)),G30/G22-((G33+G34)/2)/((G31+G32)/2),"不適用")</f>
        <v>不適用</v>
      </c>
      <c r="H77" s="71" t="str">
        <f aca="false">IF(AND(ISNUMBER(H30),ISNUMBER(H22),H22&lt;&gt;0,ISNUMBER(H33),ISNUMBER(H34),ISNUMBER(H31),ISNUMBER(H32)),H30/H22-((H33+H34)/2)/((H31+H32)/2),"不適用")</f>
        <v>不適用</v>
      </c>
    </row>
    <row r="78" customFormat="false" ht="15" hidden="true" customHeight="false" outlineLevel="1" collapsed="false">
      <c r="A78" s="3" t="s">
        <v>1024</v>
      </c>
      <c r="B78" s="12" t="s">
        <v>105</v>
      </c>
      <c r="C78" s="71" t="str">
        <f aca="false">IF(ISNUMBER(C48),IF(AND(ISNUMBER(C48),ISNUMBER(C45),C45&lt;&gt;0,ISNUMBER(C30),ISNUMBER(C22),C22&lt;&gt;0),C48/C45-C30/C22,"不適用"),"")</f>
        <v/>
      </c>
      <c r="D78" s="71" t="str">
        <f aca="false">IF(ISNUMBER(D48),IF(AND(ISNUMBER(D48),ISNUMBER(D45),D45&lt;&gt;0,ISNUMBER(D30),ISNUMBER(D22),D22&lt;&gt;0),D48/D45-D30/D22,"不適用"),"")</f>
        <v/>
      </c>
      <c r="E78" s="71" t="str">
        <f aca="false">IF(ISNUMBER(E48),IF(AND(ISNUMBER(E48),ISNUMBER(E45),E45&lt;&gt;0,ISNUMBER(E30),ISNUMBER(E22),E22&lt;&gt;0),E48/E45-E30/E22,"不適用"),"")</f>
        <v/>
      </c>
      <c r="F78" s="71" t="str">
        <f aca="false">IF(ISNUMBER(F48),IF(AND(ISNUMBER(F48),ISNUMBER(F45),F45&lt;&gt;0,ISNUMBER(F30),ISNUMBER(F22),F22&lt;&gt;0),F48/F45-F30/F22,"不適用"),"")</f>
        <v/>
      </c>
      <c r="G78" s="71" t="str">
        <f aca="false">IF(ISNUMBER(G48),IF(AND(ISNUMBER(G48),ISNUMBER(G45),G45&lt;&gt;0,ISNUMBER(G30),ISNUMBER(G22),G22&lt;&gt;0),G48/G45-G30/G22,"不適用"),"")</f>
        <v/>
      </c>
      <c r="H78" s="71" t="str">
        <f aca="false">IF(ISNUMBER(H48),IF(AND(ISNUMBER(H48),ISNUMBER(H45),H45&lt;&gt;0,ISNUMBER(H30),ISNUMBER(H22),H22&lt;&gt;0),H48/H45-H30/H22,"不適用"),"")</f>
        <v/>
      </c>
    </row>
    <row r="79" customFormat="false" ht="15" hidden="true" customHeight="false" outlineLevel="1" collapsed="false">
      <c r="A79" s="3" t="s">
        <v>1025</v>
      </c>
      <c r="B79" s="12" t="s">
        <v>105</v>
      </c>
      <c r="C79" s="71" t="str">
        <f aca="false">IF(ISNUMBER(C48),"不適用","")</f>
        <v/>
      </c>
      <c r="D79" s="71" t="str">
        <f aca="false">IF(ISNUMBER(D48),"不適用","")</f>
        <v/>
      </c>
      <c r="E79" s="71" t="str">
        <f aca="false">IF(ISNUMBER(E48),"不適用","")</f>
        <v/>
      </c>
      <c r="F79" s="71" t="str">
        <f aca="false">IF(ISNUMBER(F48),"不適用","")</f>
        <v/>
      </c>
      <c r="G79" s="71" t="str">
        <f aca="false">IF(ISNUMBER(G48),"不適用","")</f>
        <v/>
      </c>
      <c r="H79" s="71" t="str">
        <f aca="false">IF(ISNUMBER(H48),"不適用","")</f>
        <v/>
      </c>
    </row>
    <row r="80" customFormat="false" ht="15" hidden="true" customHeight="false" outlineLevel="1" collapsed="false">
      <c r="A80" s="3" t="s">
        <v>1026</v>
      </c>
      <c r="B80" s="12" t="s">
        <v>105</v>
      </c>
      <c r="C80" s="71" t="str">
        <f aca="false">IF(ISNUMBER(C48),IF(AND(ISNUMBER(C48),ISNUMBER(C45),C45&lt;&gt;0,ISNUMBER(C33),ISNUMBER(C34),ISNUMBER(C31),ISNUMBER(C32)),C48/C45-((C33+C34)/2)/((C31+C32)/2),"不適用"),"")</f>
        <v/>
      </c>
      <c r="D80" s="71" t="str">
        <f aca="false">IF(ISNUMBER(D48),IF(AND(ISNUMBER(D48),ISNUMBER(D45),D45&lt;&gt;0,ISNUMBER(D33),ISNUMBER(D34),ISNUMBER(D31),ISNUMBER(D32)),D48/D45-((D33+D34)/2)/((D31+D32)/2),"不適用"),"")</f>
        <v/>
      </c>
      <c r="E80" s="71" t="str">
        <f aca="false">IF(ISNUMBER(E48),IF(AND(ISNUMBER(E48),ISNUMBER(E45),E45&lt;&gt;0,ISNUMBER(E33),ISNUMBER(E34),ISNUMBER(E31),ISNUMBER(E32)),E48/E45-((E33+E34)/2)/((E31+E32)/2),"不適用"),"")</f>
        <v/>
      </c>
      <c r="F80" s="71" t="str">
        <f aca="false">IF(ISNUMBER(F48),IF(AND(ISNUMBER(F48),ISNUMBER(F45),F45&lt;&gt;0,ISNUMBER(F33),ISNUMBER(F34),ISNUMBER(F31),ISNUMBER(F32)),F48/F45-((F33+F34)/2)/((F31+F32)/2),"不適用"),"")</f>
        <v/>
      </c>
      <c r="G80" s="71" t="str">
        <f aca="false">IF(ISNUMBER(G48),IF(AND(ISNUMBER(G48),ISNUMBER(G45),G45&lt;&gt;0,ISNUMBER(G33),ISNUMBER(G34),ISNUMBER(G31),ISNUMBER(G32)),G48/G45-((G33+G34)/2)/((G31+G32)/2),"不適用"),"")</f>
        <v/>
      </c>
      <c r="H80" s="71" t="str">
        <f aca="false">IF(ISNUMBER(H48),IF(AND(ISNUMBER(H48),ISNUMBER(H45),H45&lt;&gt;0,ISNUMBER(H33),ISNUMBER(H34),ISNUMBER(H31),ISNUMBER(H32)),H48/H45-((H33+H34)/2)/((H31+H32)/2),"不適用"),"")</f>
        <v/>
      </c>
    </row>
    <row r="81" customFormat="false" ht="15" hidden="true" customHeight="false" outlineLevel="1" collapsed="false">
      <c r="A81" s="3" t="s">
        <v>1027</v>
      </c>
      <c r="B81" s="12" t="s">
        <v>77</v>
      </c>
      <c r="C81" s="71" t="s">
        <v>936</v>
      </c>
      <c r="D81" s="71" t="s">
        <v>936</v>
      </c>
      <c r="E81" s="71" t="s">
        <v>936</v>
      </c>
      <c r="F81" s="71" t="s">
        <v>936</v>
      </c>
      <c r="G81" s="71" t="s">
        <v>936</v>
      </c>
      <c r="H81" s="71" t="s">
        <v>936</v>
      </c>
    </row>
    <row r="82" customFormat="false" ht="15" hidden="true" customHeight="false" outlineLevel="1" collapsed="false">
      <c r="A82" s="3" t="s">
        <v>1028</v>
      </c>
      <c r="B82" s="12" t="s">
        <v>77</v>
      </c>
      <c r="C82" s="71" t="n">
        <f aca="false">IF(AND(ISNUMBER(C40),ISNUMBER(C36),ISNUMBER(C37)),C40/(((C36+C37)/2))-1,"不適用")</f>
        <v>0</v>
      </c>
      <c r="D82" s="71" t="str">
        <f aca="false">IF(AND(ISNUMBER(D40),ISNUMBER(D36),ISNUMBER(D37)),D40/(((D36+D37)/2))-1,"不適用")</f>
        <v>不適用</v>
      </c>
      <c r="E82" s="71" t="str">
        <f aca="false">IF(AND(ISNUMBER(E40),ISNUMBER(E36),ISNUMBER(E37)),E40/(((E36+E37)/2))-1,"不適用")</f>
        <v>不適用</v>
      </c>
      <c r="F82" s="71" t="str">
        <f aca="false">IF(AND(ISNUMBER(F40),ISNUMBER(F36),ISNUMBER(F37)),F40/(((F36+F37)/2))-1,"不適用")</f>
        <v>不適用</v>
      </c>
      <c r="G82" s="71" t="str">
        <f aca="false">IF(AND(ISNUMBER(G40),ISNUMBER(G36),ISNUMBER(G37)),G40/(((G36+G37)/2))-1,"不適用")</f>
        <v>不適用</v>
      </c>
      <c r="H82" s="71" t="str">
        <f aca="false">IF(AND(ISNUMBER(H40),ISNUMBER(H36),ISNUMBER(H37)),H40/(((H36+H37)/2))-1,"不適用")</f>
        <v>不適用</v>
      </c>
    </row>
    <row r="83" customFormat="false" ht="15" hidden="true" customHeight="false" outlineLevel="1" collapsed="false">
      <c r="A83" s="3" t="s">
        <v>1029</v>
      </c>
      <c r="B83" s="12" t="s">
        <v>77</v>
      </c>
      <c r="C83" s="71" t="str">
        <f aca="false">IF(ISNUMBER(C49),IF(AND(ISNUMBER(C40),C40&lt;&gt;0),C49/(C40)-1,"不適用"),"")</f>
        <v/>
      </c>
      <c r="D83" s="71" t="str">
        <f aca="false">IF(ISNUMBER(D49),IF(AND(ISNUMBER(D40),D40&lt;&gt;0),D49/(D40)-1,"不適用"),"")</f>
        <v/>
      </c>
      <c r="E83" s="71" t="str">
        <f aca="false">IF(ISNUMBER(E49),IF(AND(ISNUMBER(E40),E40&lt;&gt;0),E49/(E40)-1,"不適用"),"")</f>
        <v/>
      </c>
      <c r="F83" s="71" t="str">
        <f aca="false">IF(ISNUMBER(F49),IF(AND(ISNUMBER(F40),F40&lt;&gt;0),F49/(F40)-1,"不適用"),"")</f>
        <v/>
      </c>
      <c r="G83" s="71" t="str">
        <f aca="false">IF(ISNUMBER(G49),IF(AND(ISNUMBER(G40),G40&lt;&gt;0),G49/(G40)-1,"不適用"),"")</f>
        <v/>
      </c>
      <c r="H83" s="71" t="str">
        <f aca="false">IF(ISNUMBER(H49),IF(AND(ISNUMBER(H40),H40&lt;&gt;0),H49/(H40)-1,"不適用"),"")</f>
        <v/>
      </c>
    </row>
    <row r="84" customFormat="false" ht="15" hidden="true" customHeight="false" outlineLevel="1" collapsed="false">
      <c r="A84" s="3" t="s">
        <v>1030</v>
      </c>
      <c r="B84" s="12" t="s">
        <v>77</v>
      </c>
      <c r="C84" s="71" t="str">
        <f aca="false">IF(ISNUMBER(C49),"不適用","")</f>
        <v/>
      </c>
      <c r="D84" s="71" t="str">
        <f aca="false">IF(ISNUMBER(D49),"不適用","")</f>
        <v/>
      </c>
      <c r="E84" s="71" t="str">
        <f aca="false">IF(ISNUMBER(E49),"不適用","")</f>
        <v/>
      </c>
      <c r="F84" s="71" t="str">
        <f aca="false">IF(ISNUMBER(F49),"不適用","")</f>
        <v/>
      </c>
      <c r="G84" s="71" t="str">
        <f aca="false">IF(ISNUMBER(G49),"不適用","")</f>
        <v/>
      </c>
      <c r="H84" s="71" t="str">
        <f aca="false">IF(ISNUMBER(H49),"不適用","")</f>
        <v/>
      </c>
    </row>
    <row r="85" customFormat="false" ht="15" hidden="true" customHeight="false" outlineLevel="1" collapsed="false">
      <c r="A85" s="3" t="s">
        <v>1031</v>
      </c>
      <c r="B85" s="12" t="s">
        <v>77</v>
      </c>
      <c r="C85" s="71" t="str">
        <f aca="false">IF(ISNUMBER(C49),IF(AND(ISNUMBER(C36),ISNUMBER(C37)),C49/(((C36+C37)/2))-1,"不適用"),"")</f>
        <v/>
      </c>
      <c r="D85" s="71" t="str">
        <f aca="false">IF(ISNUMBER(D49),IF(AND(ISNUMBER(D36),ISNUMBER(D37)),D49/(((D36+D37)/2))-1,"不適用"),"")</f>
        <v/>
      </c>
      <c r="E85" s="71" t="str">
        <f aca="false">IF(ISNUMBER(E49),IF(AND(ISNUMBER(E36),ISNUMBER(E37)),E49/(((E36+E37)/2))-1,"不適用"),"")</f>
        <v/>
      </c>
      <c r="F85" s="71" t="str">
        <f aca="false">IF(ISNUMBER(F49),IF(AND(ISNUMBER(F36),ISNUMBER(F37)),F49/(((F36+F37)/2))-1,"不適用"),"")</f>
        <v/>
      </c>
      <c r="G85" s="71" t="str">
        <f aca="false">IF(ISNUMBER(G49),IF(AND(ISNUMBER(G36),ISNUMBER(G37)),G49/(((G36+G37)/2))-1,"不適用"),"")</f>
        <v/>
      </c>
      <c r="H85" s="71" t="str">
        <f aca="false">IF(ISNUMBER(H49),IF(AND(ISNUMBER(H36),ISNUMBER(H37)),H49/(((H36+H37)/2))-1,"不適用"),"")</f>
        <v/>
      </c>
    </row>
    <row r="86" customFormat="false" ht="15" hidden="true" customHeight="false" outlineLevel="1" collapsed="false">
      <c r="A86" s="3" t="s">
        <v>1032</v>
      </c>
      <c r="B86" s="12" t="s">
        <v>179</v>
      </c>
      <c r="C86" s="72" t="s">
        <v>936</v>
      </c>
      <c r="D86" s="72" t="s">
        <v>936</v>
      </c>
      <c r="E86" s="72" t="s">
        <v>936</v>
      </c>
      <c r="F86" s="72" t="s">
        <v>936</v>
      </c>
      <c r="G86" s="72" t="s">
        <v>936</v>
      </c>
      <c r="H86" s="72" t="s">
        <v>936</v>
      </c>
    </row>
    <row r="87" customFormat="false" ht="15" hidden="true" customHeight="false" outlineLevel="1" collapsed="false">
      <c r="A87" s="3" t="s">
        <v>1033</v>
      </c>
      <c r="B87" s="12" t="s">
        <v>179</v>
      </c>
      <c r="C87" s="72" t="s">
        <v>936</v>
      </c>
      <c r="D87" s="72" t="s">
        <v>936</v>
      </c>
      <c r="E87" s="72" t="s">
        <v>936</v>
      </c>
      <c r="F87" s="72" t="s">
        <v>936</v>
      </c>
      <c r="G87" s="72" t="s">
        <v>936</v>
      </c>
      <c r="H87" s="72" t="s">
        <v>936</v>
      </c>
    </row>
    <row r="88" customFormat="false" ht="15" hidden="true" customHeight="false" outlineLevel="1" collapsed="false">
      <c r="A88" s="3" t="s">
        <v>1034</v>
      </c>
      <c r="B88" s="12" t="s">
        <v>179</v>
      </c>
      <c r="C88" s="72" t="str">
        <f aca="false">IF(ISNUMBER(C50),IF(AND(ISNUMBER(C19)),C50-(C19),"不適用"),"")</f>
        <v/>
      </c>
      <c r="D88" s="72" t="str">
        <f aca="false">IF(ISNUMBER(D50),IF(AND(ISNUMBER(D19)),D50-(D19),"不適用"),"")</f>
        <v/>
      </c>
      <c r="E88" s="72" t="str">
        <f aca="false">IF(ISNUMBER(E50),IF(AND(ISNUMBER(E19)),E50-(E19),"不適用"),"")</f>
        <v/>
      </c>
      <c r="F88" s="72" t="str">
        <f aca="false">IF(ISNUMBER(F50),IF(AND(ISNUMBER(F19)),F50-(F19),"不適用"),"")</f>
        <v/>
      </c>
      <c r="G88" s="72" t="str">
        <f aca="false">IF(ISNUMBER(G50),IF(AND(ISNUMBER(G19)),G50-(G19),"不適用"),"")</f>
        <v/>
      </c>
      <c r="H88" s="72" t="str">
        <f aca="false">IF(ISNUMBER(H50),IF(AND(ISNUMBER(H19)),H50-(H19),"不適用"),"")</f>
        <v/>
      </c>
    </row>
    <row r="89" customFormat="false" ht="15" hidden="true" customHeight="false" outlineLevel="1" collapsed="false">
      <c r="A89" s="3" t="s">
        <v>1035</v>
      </c>
      <c r="B89" s="12" t="s">
        <v>179</v>
      </c>
      <c r="C89" s="72" t="str">
        <f aca="false">IF(ISNUMBER(C50),"不適用","")</f>
        <v/>
      </c>
      <c r="D89" s="72" t="str">
        <f aca="false">IF(ISNUMBER(D50),"不適用","")</f>
        <v/>
      </c>
      <c r="E89" s="72" t="str">
        <f aca="false">IF(ISNUMBER(E50),"不適用","")</f>
        <v/>
      </c>
      <c r="F89" s="72" t="str">
        <f aca="false">IF(ISNUMBER(F50),"不適用","")</f>
        <v/>
      </c>
      <c r="G89" s="72" t="str">
        <f aca="false">IF(ISNUMBER(G50),"不適用","")</f>
        <v/>
      </c>
      <c r="H89" s="72" t="str">
        <f aca="false">IF(ISNUMBER(H50),"不適用","")</f>
        <v/>
      </c>
    </row>
    <row r="90" customFormat="false" ht="15" hidden="true" customHeight="false" outlineLevel="1" collapsed="false">
      <c r="A90" s="3" t="s">
        <v>1036</v>
      </c>
      <c r="B90" s="12" t="s">
        <v>179</v>
      </c>
      <c r="C90" s="72" t="str">
        <f aca="false">IF(ISNUMBER(C50),"不適用","")</f>
        <v/>
      </c>
      <c r="D90" s="72" t="str">
        <f aca="false">IF(ISNUMBER(D50),"不適用","")</f>
        <v/>
      </c>
      <c r="E90" s="72" t="str">
        <f aca="false">IF(ISNUMBER(E50),"不適用","")</f>
        <v/>
      </c>
      <c r="F90" s="72" t="str">
        <f aca="false">IF(ISNUMBER(F50),"不適用","")</f>
        <v/>
      </c>
      <c r="G90" s="72" t="str">
        <f aca="false">IF(ISNUMBER(G50),"不適用","")</f>
        <v/>
      </c>
      <c r="H90" s="72" t="str">
        <f aca="false">IF(ISNUMBER(H50),"不適用","")</f>
        <v/>
      </c>
    </row>
    <row r="91" customFormat="false" ht="15" hidden="true" customHeight="false" outlineLevel="1" collapsed="false">
      <c r="A91" s="3" t="s">
        <v>1037</v>
      </c>
      <c r="B91" s="12" t="s">
        <v>93</v>
      </c>
      <c r="C91" s="70" t="n">
        <f aca="false">IF(COUNT(C41,D41)=2,C41+D41,"不適用")</f>
        <v>8.247</v>
      </c>
      <c r="D91" s="70" t="n">
        <f aca="false">IF(COUNT(C41,D41)=2,C41+D41,"不適用")</f>
        <v>8.247</v>
      </c>
      <c r="E91" s="70" t="str">
        <f aca="false">IF(COUNT(E41,F41,G41,H41)=4,E41+F41+G41+H41,"不適用")</f>
        <v>不適用</v>
      </c>
      <c r="F91" s="70" t="str">
        <f aca="false">IF(COUNT(E41,F41,G41,H41)=4,E41+F41+G41+H41,"不適用")</f>
        <v>不適用</v>
      </c>
      <c r="G91" s="70" t="str">
        <f aca="false">IF(COUNT(E41,F41,G41,H41)=4,E41+F41+G41+H41,"不適用")</f>
        <v>不適用</v>
      </c>
      <c r="H91" s="70" t="str">
        <f aca="false">IF(COUNT(E41,F41,G41,H41)=4,E41+F41+G41+H41,"不適用")</f>
        <v>不適用</v>
      </c>
      <c r="J91" s="7" t="s">
        <v>1038</v>
      </c>
    </row>
    <row r="92" customFormat="false" ht="15" hidden="true" customHeight="false" outlineLevel="1" collapsed="false">
      <c r="A92" s="3" t="s">
        <v>1039</v>
      </c>
      <c r="B92" s="12" t="s">
        <v>93</v>
      </c>
      <c r="C92" s="70" t="n">
        <f aca="false">IF(AND(ISNUMBER(C91),C91&lt;&gt;0,ISNUMBER(C41),ISNUMBER(C22)),(損益!C8-C91)*(C41)/C91,"不適用")</f>
        <v>-0.580670066290143</v>
      </c>
      <c r="D92" s="70" t="n">
        <f aca="false">IF(AND(ISNUMBER(D91),D91&lt;&gt;0,ISNUMBER(D41),ISNUMBER(D22)),(損益!C8-D91)*(D41)/D91,"不適用")</f>
        <v>-0.771712321932057</v>
      </c>
      <c r="E92" s="70" t="str">
        <f aca="false">IF(AND(ISNUMBER(E91),E91&lt;&gt;0,ISNUMBER(E41),ISNUMBER(E22)),(損益!D8-E91)*(E41)/E91,"不適用")</f>
        <v>不適用</v>
      </c>
      <c r="F92" s="70" t="str">
        <f aca="false">IF(AND(ISNUMBER(F91),F91&lt;&gt;0,ISNUMBER(F41),ISNUMBER(F22)),(損益!D8-F91)*(F41)/F91,"不適用")</f>
        <v>不適用</v>
      </c>
      <c r="G92" s="70" t="str">
        <f aca="false">IF(AND(ISNUMBER(G91),G91&lt;&gt;0,ISNUMBER(G41),ISNUMBER(G22)),(損益!D8-G91)*(G41)/G91,"不適用")</f>
        <v>不適用</v>
      </c>
      <c r="H92" s="70" t="str">
        <f aca="false">IF(AND(ISNUMBER(H91),H91&lt;&gt;0,ISNUMBER(H41),ISNUMBER(H22)),(損益!D8-H91)*(H41)/H91,"不適用")</f>
        <v>不適用</v>
      </c>
      <c r="J92" s="12" t="s">
        <v>1040</v>
      </c>
    </row>
    <row r="93" customFormat="false" ht="15" hidden="true" customHeight="false" outlineLevel="1" collapsed="false">
      <c r="A93" s="3" t="s">
        <v>1041</v>
      </c>
      <c r="B93" s="12" t="s">
        <v>93</v>
      </c>
      <c r="C93" s="70" t="n">
        <f aca="false">IF(AND(ISNUMBER(C91),C91&lt;&gt;0,ISNUMBER(C41),ISNUMBER(C22)),(C22/損益!C8-(C41)/C91)*損益!C8,"不適用")</f>
        <v>0.196209270216076</v>
      </c>
      <c r="D93" s="70" t="n">
        <f aca="false">IF(AND(ISNUMBER(D91),D91&lt;&gt;0,ISNUMBER(D41),ISNUMBER(D22)),(D22/損益!C8-(D41)/D91)*損益!C8,"不適用")</f>
        <v>-0.196209270216077</v>
      </c>
      <c r="E93" s="70" t="str">
        <f aca="false">IF(AND(ISNUMBER(E91),E91&lt;&gt;0,ISNUMBER(E41),ISNUMBER(E22)),(E22/損益!D8-(E41)/E91)*損益!D8,"不適用")</f>
        <v>不適用</v>
      </c>
      <c r="F93" s="70" t="str">
        <f aca="false">IF(AND(ISNUMBER(F91),F91&lt;&gt;0,ISNUMBER(F41),ISNUMBER(F22)),(F22/損益!D8-(F41)/F91)*損益!D8,"不適用")</f>
        <v>不適用</v>
      </c>
      <c r="G93" s="70" t="str">
        <f aca="false">IF(AND(ISNUMBER(G91),G91&lt;&gt;0,ISNUMBER(G41),ISNUMBER(G22)),(G22/損益!D8-(G41)/G91)*損益!D8,"不適用")</f>
        <v>不適用</v>
      </c>
      <c r="H93" s="70" t="str">
        <f aca="false">IF(AND(ISNUMBER(H91),H91&lt;&gt;0,ISNUMBER(H41),ISNUMBER(H22)),(H22/損益!D8-(H41)/H91)*損益!D8,"不適用")</f>
        <v>不適用</v>
      </c>
      <c r="J93" s="12" t="s">
        <v>1042</v>
      </c>
    </row>
    <row r="94" customFormat="false" ht="15" hidden="true" customHeight="false" outlineLevel="1" collapsed="false">
      <c r="A94" s="3" t="s">
        <v>1043</v>
      </c>
      <c r="B94" s="12" t="s">
        <v>93</v>
      </c>
      <c r="C94" s="70" t="n">
        <f aca="false">(輸入與假設!$C$373+輸入與假設!$D$373)/2-輸入與假設!$E$373</f>
        <v>8.147</v>
      </c>
      <c r="D94" s="70" t="n">
        <f aca="false">(輸入與假設!$C$373+輸入與假設!$D$373)/2-輸入與假設!$E$373</f>
        <v>8.147</v>
      </c>
      <c r="E94" s="70" t="s">
        <v>936</v>
      </c>
      <c r="F94" s="70" t="s">
        <v>936</v>
      </c>
      <c r="G94" s="70" t="s">
        <v>936</v>
      </c>
      <c r="H94" s="70" t="s">
        <v>936</v>
      </c>
      <c r="J94" s="7" t="s">
        <v>1044</v>
      </c>
    </row>
    <row r="95" customFormat="false" ht="15" hidden="true" customHeight="false" outlineLevel="1" collapsed="false">
      <c r="A95" s="3" t="s">
        <v>1045</v>
      </c>
      <c r="B95" s="12" t="s">
        <v>93</v>
      </c>
      <c r="C95" s="70" t="n">
        <f aca="false">IF(AND(ISNUMBER(C94),C94&lt;&gt;0,ISNUMBER(((C31+C32)/2)),ISNUMBER(C22)),(損益!C8-C94)*(((C31+C32)/2))/C94,"不適用")</f>
        <v>-0.541874054066928</v>
      </c>
      <c r="D95" s="70" t="str">
        <f aca="false">IF(AND(ISNUMBER(D94),D94&lt;&gt;0,ISNUMBER(((D31+D32)/2)),ISNUMBER(D22)),(損益!C8-D94)*(((D31+D32)/2))/D94,"不適用")</f>
        <v>不適用</v>
      </c>
      <c r="E95" s="70" t="str">
        <f aca="false">IF(AND(ISNUMBER(E94),E94&lt;&gt;0,ISNUMBER(((E31+E32)/2)),ISNUMBER(E22)),(損益!D8-E94)*(((E31+E32)/2))/E94,"不適用")</f>
        <v>不適用</v>
      </c>
      <c r="F95" s="70" t="str">
        <f aca="false">IF(AND(ISNUMBER(F94),F94&lt;&gt;0,ISNUMBER(((F31+F32)/2)),ISNUMBER(F22)),(損益!D8-F94)*(((F31+F32)/2))/F94,"不適用")</f>
        <v>不適用</v>
      </c>
      <c r="G95" s="70" t="str">
        <f aca="false">IF(AND(ISNUMBER(G94),G94&lt;&gt;0,ISNUMBER(((G31+G32)/2)),ISNUMBER(G22)),(損益!D8-G94)*(((G31+G32)/2))/G94,"不適用")</f>
        <v>不適用</v>
      </c>
      <c r="H95" s="70" t="str">
        <f aca="false">IF(AND(ISNUMBER(H94),H94&lt;&gt;0,ISNUMBER(((H31+H32)/2)),ISNUMBER(H22)),(損益!D8-H94)*(((H31+H32)/2))/H94,"不適用")</f>
        <v>不適用</v>
      </c>
      <c r="J95" s="12" t="s">
        <v>1040</v>
      </c>
    </row>
    <row r="96" customFormat="false" ht="15" hidden="true" customHeight="false" outlineLevel="1" collapsed="false">
      <c r="A96" s="3" t="s">
        <v>1046</v>
      </c>
      <c r="B96" s="12" t="s">
        <v>93</v>
      </c>
      <c r="C96" s="70" t="n">
        <f aca="false">IF(AND(ISNUMBER(C94),C94&lt;&gt;0,ISNUMBER(((C31+C32)/2)),ISNUMBER(C22)),(C22/損益!C8-(((C31+C32)/2))/C94)*損益!C8,"不適用")</f>
        <v>0.173413257992861</v>
      </c>
      <c r="D96" s="70" t="str">
        <f aca="false">IF(AND(ISNUMBER(D94),D94&lt;&gt;0,ISNUMBER(((D31+D32)/2)),ISNUMBER(D22)),(D22/損益!C8-(((D31+D32)/2))/D94)*損益!C8,"不適用")</f>
        <v>不適用</v>
      </c>
      <c r="E96" s="70" t="str">
        <f aca="false">IF(AND(ISNUMBER(E94),E94&lt;&gt;0,ISNUMBER(((E31+E32)/2)),ISNUMBER(E22)),(E22/損益!D8-(((E31+E32)/2))/E94)*損益!D8,"不適用")</f>
        <v>不適用</v>
      </c>
      <c r="F96" s="70" t="str">
        <f aca="false">IF(AND(ISNUMBER(F94),F94&lt;&gt;0,ISNUMBER(((F31+F32)/2)),ISNUMBER(F22)),(F22/損益!D8-(((F31+F32)/2))/F94)*損益!D8,"不適用")</f>
        <v>不適用</v>
      </c>
      <c r="G96" s="70" t="str">
        <f aca="false">IF(AND(ISNUMBER(G94),G94&lt;&gt;0,ISNUMBER(((G31+G32)/2)),ISNUMBER(G22)),(G22/損益!D8-(((G31+G32)/2))/G94)*損益!D8,"不適用")</f>
        <v>不適用</v>
      </c>
      <c r="H96" s="70" t="str">
        <f aca="false">IF(AND(ISNUMBER(H94),H94&lt;&gt;0,ISNUMBER(((H31+H32)/2)),ISNUMBER(H22)),(H22/損益!D8-(((H31+H32)/2))/H94)*損益!D8,"不適用")</f>
        <v>不適用</v>
      </c>
      <c r="J96" s="12" t="s">
        <v>1042</v>
      </c>
    </row>
    <row r="97" customFormat="false" ht="15" hidden="true" customHeight="false" outlineLevel="1" collapsed="false">
      <c r="A97" s="3" t="s">
        <v>1047</v>
      </c>
      <c r="C97" s="48" t="str">
        <f aca="false">IF(ISNUMBER(C51),IF(ABS(C51)&gt;輸入與假設!$C$349,IF(ISNUMBER(C92),IF(ABS(C93)&gt;ABS(C92),"營收 vs 共識 "&amp;IF(C51&lt;0,"−","+")&amp;TEXT(ABS(C51)*100,"#,##0.0")&amp;"%"&amp;"：拆法（分配 "&amp;IF(C93&lt;0,"−","+")&amp;IF(ABS(C93)&lt;0,"−","")&amp;"$"&amp;TEXT(ABS(ABS(C93)),"#,##0.000")&amp;"bn"&amp;"（Q3'26 占 2H26 "&amp;TEXT((C22/損益!C8)*100,"#,##0.0")&amp;"%"&amp;"，共識合計 "&amp;TEXT(((C41)/C91)*100,"#,##0.0")&amp;"%"&amp;"）；水準 "&amp;IF(C92&lt;0,"−","+")&amp;IF(ABS(C92)&lt;0,"−","")&amp;"$"&amp;TEXT(ABS(ABS(C92)),"#,##0.000")&amp;"bn"&amp;"）","營收 vs 共識 "&amp;IF(C51&lt;0,"−","+")&amp;TEXT(ABS(C51)*100,"#,##0.0")&amp;"%"&amp;"：觀點（水準 "&amp;IF(C92&lt;0,"−","+")&amp;IF(ABS(C92)&lt;0,"−","")&amp;"$"&amp;TEXT(ABS(ABS(C92)),"#,##0.000")&amp;"bn"&amp;"（2H26 模型 "&amp;IF(損益!C8&lt;0,"−","")&amp;"$"&amp;TEXT(ABS(損益!C8),"#,##0.000")&amp;"bn"&amp;"，共識合計 "&amp;IF(C91&lt;0,"−","")&amp;"$"&amp;TEXT(ABS(C91),"#,##0.000")&amp;"bn"&amp;"）；分配 "&amp;IF(C93&lt;0,"−","+")&amp;IF(ABS(C93)&lt;0,"−","")&amp;"$"&amp;TEXT(ABS(ABS(C93)),"#,##0.000")&amp;"bn"&amp;"）"),"營收 vs 共識 "&amp;IF(C51&lt;0,"−","+")&amp;TEXT(ABS(C51)*100,"#,##0.0")&amp;"%"&amp;"：未歸類（差異原因待補）"),""),"")</f>
        <v>營收 vs 共識 −10.9%：觀點（水準 −$0.581bn（2H26 模型 $6.895bn，共識合計 $8.247bn）；分配 +$0.196bn）</v>
      </c>
      <c r="D97" s="48" t="str">
        <f aca="false">IF(ISNUMBER(D51),IF(ABS(D51)&gt;輸入與假設!$C$349,IF(ISNUMBER(D92),IF(ABS(D93)&gt;ABS(D92),"營收 vs 共識 "&amp;IF(D51&lt;0,"−","+")&amp;TEXT(ABS(D51)*100,"#,##0.0")&amp;"%"&amp;"：拆法（分配 "&amp;IF(D93&lt;0,"−","+")&amp;IF(ABS(D93)&lt;0,"−","")&amp;"$"&amp;TEXT(ABS(ABS(D93)),"#,##0.000")&amp;"bn"&amp;"（Q4'26 占 2H26 "&amp;TEXT((D22/損益!C8)*100,"#,##0.0")&amp;"%"&amp;"，共識合計 "&amp;TEXT(((D41)/D91)*100,"#,##0.0")&amp;"%"&amp;"）；水準 "&amp;IF(D92&lt;0,"−","+")&amp;IF(ABS(D92)&lt;0,"−","")&amp;"$"&amp;TEXT(ABS(ABS(D92)),"#,##0.000")&amp;"bn"&amp;"）","營收 vs 共識 "&amp;IF(D51&lt;0,"−","+")&amp;TEXT(ABS(D51)*100,"#,##0.0")&amp;"%"&amp;"：觀點（水準 "&amp;IF(D92&lt;0,"−","+")&amp;IF(ABS(D92)&lt;0,"−","")&amp;"$"&amp;TEXT(ABS(ABS(D92)),"#,##0.000")&amp;"bn"&amp;"（2H26 模型 "&amp;IF(損益!C8&lt;0,"−","")&amp;"$"&amp;TEXT(ABS(損益!C8),"#,##0.000")&amp;"bn"&amp;"，共識合計 "&amp;IF(D91&lt;0,"−","")&amp;"$"&amp;TEXT(ABS(D91),"#,##0.000")&amp;"bn"&amp;"）；分配 "&amp;IF(D93&lt;0,"−","+")&amp;IF(ABS(D93)&lt;0,"−","")&amp;"$"&amp;TEXT(ABS(ABS(D93)),"#,##0.000")&amp;"bn"&amp;"）"),"營收 vs 共識 "&amp;IF(D51&lt;0,"−","+")&amp;TEXT(ABS(D51)*100,"#,##0.0")&amp;"%"&amp;"：未歸類（差異原因待補）"),""),"")</f>
        <v>營收 vs 共識 −20.6%：觀點（水準 −$0.772bn（2H26 模型 $6.895bn，共識合計 $8.247bn）；分配 −$0.196bn）</v>
      </c>
      <c r="E97" s="48" t="str">
        <f aca="false">IF(ISNUMBER(E51),IF(ABS(E51)&gt;輸入與假設!$C$349,IF(ISNUMBER(E92),IF(ABS(E93)&gt;ABS(E92),"營收 vs 共識 "&amp;IF(E51&lt;0,"−","+")&amp;TEXT(ABS(E51)*100,"#,##0.0")&amp;"%"&amp;"：拆法（分配 "&amp;IF(E93&lt;0,"−","+")&amp;IF(ABS(E93)&lt;0,"−","")&amp;"$"&amp;TEXT(ABS(ABS(E93)),"#,##0.000")&amp;"bn"&amp;"（Q1'27 占 FY27 "&amp;TEXT((E22/損益!D8)*100,"#,##0.0")&amp;"%"&amp;"，共識合計 "&amp;TEXT(((E41)/E91)*100,"#,##0.0")&amp;"%"&amp;"）；水準 "&amp;IF(E92&lt;0,"−","+")&amp;IF(ABS(E92)&lt;0,"−","")&amp;"$"&amp;TEXT(ABS(ABS(E92)),"#,##0.000")&amp;"bn"&amp;"）","營收 vs 共識 "&amp;IF(E51&lt;0,"−","+")&amp;TEXT(ABS(E51)*100,"#,##0.0")&amp;"%"&amp;"：觀點（水準 "&amp;IF(E92&lt;0,"−","+")&amp;IF(ABS(E92)&lt;0,"−","")&amp;"$"&amp;TEXT(ABS(ABS(E92)),"#,##0.000")&amp;"bn"&amp;"（FY27 模型 "&amp;IF(損益!D8&lt;0,"−","")&amp;"$"&amp;TEXT(ABS(損益!D8),"#,##0.000")&amp;"bn"&amp;"，共識合計 "&amp;IF(E91&lt;0,"−","")&amp;"$"&amp;TEXT(ABS(E91),"#,##0.000")&amp;"bn"&amp;"）；分配 "&amp;IF(E93&lt;0,"−","+")&amp;IF(ABS(E93)&lt;0,"−","")&amp;"$"&amp;TEXT(ABS(ABS(E93)),"#,##0.000")&amp;"bn"&amp;"）"),"營收 vs 共識 "&amp;IF(E51&lt;0,"−","+")&amp;TEXT(ABS(E51)*100,"#,##0.0")&amp;"%"&amp;"：未歸類（差異原因待補）"),""),"")</f>
        <v/>
      </c>
      <c r="F97" s="48" t="str">
        <f aca="false">IF(ISNUMBER(F51),IF(ABS(F51)&gt;輸入與假設!$C$349,IF(ISNUMBER(F92),IF(ABS(F93)&gt;ABS(F92),"營收 vs 共識 "&amp;IF(F51&lt;0,"−","+")&amp;TEXT(ABS(F51)*100,"#,##0.0")&amp;"%"&amp;"：拆法（分配 "&amp;IF(F93&lt;0,"−","+")&amp;IF(ABS(F93)&lt;0,"−","")&amp;"$"&amp;TEXT(ABS(ABS(F93)),"#,##0.000")&amp;"bn"&amp;"（Q2'27 占 FY27 "&amp;TEXT((F22/損益!D8)*100,"#,##0.0")&amp;"%"&amp;"，共識合計 "&amp;TEXT(((F41)/F91)*100,"#,##0.0")&amp;"%"&amp;"）；水準 "&amp;IF(F92&lt;0,"−","+")&amp;IF(ABS(F92)&lt;0,"−","")&amp;"$"&amp;TEXT(ABS(ABS(F92)),"#,##0.000")&amp;"bn"&amp;"）","營收 vs 共識 "&amp;IF(F51&lt;0,"−","+")&amp;TEXT(ABS(F51)*100,"#,##0.0")&amp;"%"&amp;"：觀點（水準 "&amp;IF(F92&lt;0,"−","+")&amp;IF(ABS(F92)&lt;0,"−","")&amp;"$"&amp;TEXT(ABS(ABS(F92)),"#,##0.000")&amp;"bn"&amp;"（FY27 模型 "&amp;IF(損益!D8&lt;0,"−","")&amp;"$"&amp;TEXT(ABS(損益!D8),"#,##0.000")&amp;"bn"&amp;"，共識合計 "&amp;IF(F91&lt;0,"−","")&amp;"$"&amp;TEXT(ABS(F91),"#,##0.000")&amp;"bn"&amp;"）；分配 "&amp;IF(F93&lt;0,"−","+")&amp;IF(ABS(F93)&lt;0,"−","")&amp;"$"&amp;TEXT(ABS(ABS(F93)),"#,##0.000")&amp;"bn"&amp;"）"),"營收 vs 共識 "&amp;IF(F51&lt;0,"−","+")&amp;TEXT(ABS(F51)*100,"#,##0.0")&amp;"%"&amp;"：未歸類（差異原因待補）"),""),"")</f>
        <v/>
      </c>
      <c r="G97" s="48" t="str">
        <f aca="false">IF(ISNUMBER(G51),IF(ABS(G51)&gt;輸入與假設!$C$349,IF(ISNUMBER(G92),IF(ABS(G93)&gt;ABS(G92),"營收 vs 共識 "&amp;IF(G51&lt;0,"−","+")&amp;TEXT(ABS(G51)*100,"#,##0.0")&amp;"%"&amp;"：拆法（分配 "&amp;IF(G93&lt;0,"−","+")&amp;IF(ABS(G93)&lt;0,"−","")&amp;"$"&amp;TEXT(ABS(ABS(G93)),"#,##0.000")&amp;"bn"&amp;"（Q3'27 占 FY27 "&amp;TEXT((G22/損益!D8)*100,"#,##0.0")&amp;"%"&amp;"，共識合計 "&amp;TEXT(((G41)/G91)*100,"#,##0.0")&amp;"%"&amp;"）；水準 "&amp;IF(G92&lt;0,"−","+")&amp;IF(ABS(G92)&lt;0,"−","")&amp;"$"&amp;TEXT(ABS(ABS(G92)),"#,##0.000")&amp;"bn"&amp;"）","營收 vs 共識 "&amp;IF(G51&lt;0,"−","+")&amp;TEXT(ABS(G51)*100,"#,##0.0")&amp;"%"&amp;"：觀點（水準 "&amp;IF(G92&lt;0,"−","+")&amp;IF(ABS(G92)&lt;0,"−","")&amp;"$"&amp;TEXT(ABS(ABS(G92)),"#,##0.000")&amp;"bn"&amp;"（FY27 模型 "&amp;IF(損益!D8&lt;0,"−","")&amp;"$"&amp;TEXT(ABS(損益!D8),"#,##0.000")&amp;"bn"&amp;"，共識合計 "&amp;IF(G91&lt;0,"−","")&amp;"$"&amp;TEXT(ABS(G91),"#,##0.000")&amp;"bn"&amp;"）；分配 "&amp;IF(G93&lt;0,"−","+")&amp;IF(ABS(G93)&lt;0,"−","")&amp;"$"&amp;TEXT(ABS(ABS(G93)),"#,##0.000")&amp;"bn"&amp;"）"),"營收 vs 共識 "&amp;IF(G51&lt;0,"−","+")&amp;TEXT(ABS(G51)*100,"#,##0.0")&amp;"%"&amp;"：未歸類（差異原因待補）"),""),"")</f>
        <v/>
      </c>
      <c r="H97" s="48" t="str">
        <f aca="false">IF(ISNUMBER(H51),IF(ABS(H51)&gt;輸入與假設!$C$349,IF(ISNUMBER(H92),IF(ABS(H93)&gt;ABS(H92),"營收 vs 共識 "&amp;IF(H51&lt;0,"−","+")&amp;TEXT(ABS(H51)*100,"#,##0.0")&amp;"%"&amp;"：拆法（分配 "&amp;IF(H93&lt;0,"−","+")&amp;IF(ABS(H93)&lt;0,"−","")&amp;"$"&amp;TEXT(ABS(ABS(H93)),"#,##0.000")&amp;"bn"&amp;"（Q4'27 占 FY27 "&amp;TEXT((H22/損益!D8)*100,"#,##0.0")&amp;"%"&amp;"，共識合計 "&amp;TEXT(((H41)/H91)*100,"#,##0.0")&amp;"%"&amp;"）；水準 "&amp;IF(H92&lt;0,"−","+")&amp;IF(ABS(H92)&lt;0,"−","")&amp;"$"&amp;TEXT(ABS(ABS(H92)),"#,##0.000")&amp;"bn"&amp;"）","營收 vs 共識 "&amp;IF(H51&lt;0,"−","+")&amp;TEXT(ABS(H51)*100,"#,##0.0")&amp;"%"&amp;"：觀點（水準 "&amp;IF(H92&lt;0,"−","+")&amp;IF(ABS(H92)&lt;0,"−","")&amp;"$"&amp;TEXT(ABS(ABS(H92)),"#,##0.000")&amp;"bn"&amp;"（FY27 模型 "&amp;IF(損益!D8&lt;0,"−","")&amp;"$"&amp;TEXT(ABS(損益!D8),"#,##0.000")&amp;"bn"&amp;"，共識合計 "&amp;IF(H91&lt;0,"−","")&amp;"$"&amp;TEXT(ABS(H91),"#,##0.000")&amp;"bn"&amp;"）；分配 "&amp;IF(H93&lt;0,"−","+")&amp;IF(ABS(H93)&lt;0,"−","")&amp;"$"&amp;TEXT(ABS(ABS(H93)),"#,##0.000")&amp;"bn"&amp;"）"),"營收 vs 共識 "&amp;IF(H51&lt;0,"−","+")&amp;TEXT(ABS(H51)*100,"#,##0.0")&amp;"%"&amp;"：未歸類（差異原因待補）"),""),"")</f>
        <v/>
      </c>
    </row>
    <row r="98" customFormat="false" ht="15" hidden="true" customHeight="false" outlineLevel="1" collapsed="false">
      <c r="A98" s="3" t="s">
        <v>1048</v>
      </c>
      <c r="C98" s="48" t="str">
        <f aca="false">IF(ISNUMBER(C51),IF(ABS(C51)&gt;輸入與假設!$C$349,IF(ISNUMBER(C92),IF(ABS(C93)&gt;ABS(C92),"拆法","觀點"),"未歸類"),""),"")</f>
        <v>觀點</v>
      </c>
      <c r="D98" s="48" t="str">
        <f aca="false">IF(ISNUMBER(D51),IF(ABS(D51)&gt;輸入與假設!$C$349,IF(ISNUMBER(D92),IF(ABS(D93)&gt;ABS(D92),"拆法","觀點"),"未歸類"),""),"")</f>
        <v>觀點</v>
      </c>
      <c r="E98" s="48" t="str">
        <f aca="false">IF(ISNUMBER(E51),IF(ABS(E51)&gt;輸入與假設!$C$349,IF(ISNUMBER(E92),IF(ABS(E93)&gt;ABS(E92),"拆法","觀點"),"未歸類"),""),"")</f>
        <v/>
      </c>
      <c r="F98" s="48" t="str">
        <f aca="false">IF(ISNUMBER(F51),IF(ABS(F51)&gt;輸入與假設!$C$349,IF(ISNUMBER(F92),IF(ABS(F93)&gt;ABS(F92),"拆法","觀點"),"未歸類"),""),"")</f>
        <v/>
      </c>
      <c r="G98" s="48" t="str">
        <f aca="false">IF(ISNUMBER(G51),IF(ABS(G51)&gt;輸入與假設!$C$349,IF(ISNUMBER(G92),IF(ABS(G93)&gt;ABS(G92),"拆法","觀點"),"未歸類"),""),"")</f>
        <v/>
      </c>
      <c r="H98" s="48" t="str">
        <f aca="false">IF(ISNUMBER(H51),IF(ABS(H51)&gt;輸入與假設!$C$349,IF(ISNUMBER(H92),IF(ABS(H93)&gt;ABS(H92),"拆法","觀點"),"未歸類"),""),"")</f>
        <v/>
      </c>
    </row>
    <row r="99" customFormat="false" ht="15" hidden="true" customHeight="false" outlineLevel="1" collapsed="false">
      <c r="A99" s="3" t="s">
        <v>1049</v>
      </c>
      <c r="C99" s="48" t="str">
        <f aca="false">IF(ISNUMBER(C52),IF(OR(ABS(C52)&gt;輸入與假設!$C$349,C22&gt;C32,C22&lt;C31),IF(ISNUMBER(C95),IF(ABS(C96)&gt;ABS(C95),"營收 vs 指引中點 "&amp;IF(C52&lt;0,"−","+")&amp;TEXT(ABS(C52)*100,"#,##0.0")&amp;"%"&amp;"：拆法（分配 "&amp;IF(C96&lt;0,"−","+")&amp;IF(ABS(C96)&lt;0,"−","")&amp;"$"&amp;TEXT(ABS(ABS(C96)),"#,##0.000")&amp;"bn"&amp;"（Q3'26 占 2H26 "&amp;TEXT((C22/損益!C8)*100,"#,##0.0")&amp;"%"&amp;"，指引隱含 "&amp;TEXT(((((C31+C32)/2))/C94)*100,"#,##0.0")&amp;"%"&amp;"）；水準 "&amp;IF(C95&lt;0,"−","+")&amp;IF(ABS(C95)&lt;0,"−","")&amp;"$"&amp;TEXT(ABS(ABS(C95)),"#,##0.000")&amp;"bn"&amp;"）","營收 vs 指引中點 "&amp;IF(C52&lt;0,"−","+")&amp;TEXT(ABS(C52)*100,"#,##0.0")&amp;"%"&amp;"：觀點（水準 "&amp;IF(C95&lt;0,"−","+")&amp;IF(ABS(C95)&lt;0,"−","")&amp;"$"&amp;TEXT(ABS(ABS(C95)),"#,##0.000")&amp;"bn"&amp;"（2H26 模型 "&amp;IF(損益!C8&lt;0,"−","")&amp;"$"&amp;TEXT(ABS(損益!C8),"#,##0.000")&amp;"bn"&amp;"，指引隱含 "&amp;IF(C94&lt;0,"−","")&amp;"$"&amp;TEXT(ABS(C94),"#,##0.000")&amp;"bn"&amp;"）；分配 "&amp;IF(C96&lt;0,"−","+")&amp;IF(ABS(C96)&lt;0,"−","")&amp;"$"&amp;TEXT(ABS(ABS(C96)),"#,##0.000")&amp;"bn"&amp;"）"),"營收 vs 指引中點 "&amp;IF(C52&lt;0,"−","+")&amp;TEXT(ABS(C52)*100,"#,##0.0")&amp;"%"&amp;"：未歸類（差異原因待補）"),""),"")</f>
        <v>營收 vs 指引中點 −10.5%：觀點（水準 −$0.542bn（2H26 模型 $6.895bn，指引隱含 $8.147bn）；分配 +$0.173bn）</v>
      </c>
      <c r="D99" s="48" t="str">
        <f aca="false">IF(ISNUMBER(D52),IF(OR(ABS(D52)&gt;輸入與假設!$C$349,D22&gt;D32,D22&lt;D31),IF(ISNUMBER(D95),IF(ABS(D96)&gt;ABS(D95),"營收 vs 指引中點 "&amp;IF(D52&lt;0,"−","+")&amp;TEXT(ABS(D52)*100,"#,##0.0")&amp;"%"&amp;"：拆法（分配 "&amp;IF(D96&lt;0,"−","+")&amp;IF(ABS(D96)&lt;0,"−","")&amp;"$"&amp;TEXT(ABS(ABS(D96)),"#,##0.000")&amp;"bn"&amp;"（Q4'26 占 2H26 "&amp;TEXT((D22/損益!C8)*100,"#,##0.0")&amp;"%"&amp;"，指引隱含 "&amp;TEXT(((((D31+D32)/2))/D94)*100,"#,##0.0")&amp;"%"&amp;"）；水準 "&amp;IF(D95&lt;0,"−","+")&amp;IF(ABS(D95)&lt;0,"−","")&amp;"$"&amp;TEXT(ABS(ABS(D95)),"#,##0.000")&amp;"bn"&amp;"）","營收 vs 指引中點 "&amp;IF(D52&lt;0,"−","+")&amp;TEXT(ABS(D52)*100,"#,##0.0")&amp;"%"&amp;"：觀點（水準 "&amp;IF(D95&lt;0,"−","+")&amp;IF(ABS(D95)&lt;0,"−","")&amp;"$"&amp;TEXT(ABS(ABS(D95)),"#,##0.000")&amp;"bn"&amp;"（2H26 模型 "&amp;IF(損益!C8&lt;0,"−","")&amp;"$"&amp;TEXT(ABS(損益!C8),"#,##0.000")&amp;"bn"&amp;"，指引隱含 "&amp;IF(D94&lt;0,"−","")&amp;"$"&amp;TEXT(ABS(D94),"#,##0.000")&amp;"bn"&amp;"）；分配 "&amp;IF(D96&lt;0,"−","+")&amp;IF(ABS(D96)&lt;0,"−","")&amp;"$"&amp;TEXT(ABS(ABS(D96)),"#,##0.000")&amp;"bn"&amp;"）"),"營收 vs 指引中點 "&amp;IF(D52&lt;0,"−","+")&amp;TEXT(ABS(D52)*100,"#,##0.0")&amp;"%"&amp;"：未歸類（差異原因待補）"),""),"")</f>
        <v/>
      </c>
      <c r="E99" s="48" t="str">
        <f aca="false">IF(ISNUMBER(E52),IF(OR(ABS(E52)&gt;輸入與假設!$C$349,E22&gt;E32,E22&lt;E31),IF(ISNUMBER(E95),IF(ABS(E96)&gt;ABS(E95),"營收 vs 指引中點 "&amp;IF(E52&lt;0,"−","+")&amp;TEXT(ABS(E52)*100,"#,##0.0")&amp;"%"&amp;"：拆法（分配 "&amp;IF(E96&lt;0,"−","+")&amp;IF(ABS(E96)&lt;0,"−","")&amp;"$"&amp;TEXT(ABS(ABS(E96)),"#,##0.000")&amp;"bn"&amp;"（Q1'27 占 FY27 "&amp;TEXT((E22/損益!D8)*100,"#,##0.0")&amp;"%"&amp;"，指引隱含 "&amp;TEXT(((((E31+E32)/2))/E94)*100,"#,##0.0")&amp;"%"&amp;"）；水準 "&amp;IF(E95&lt;0,"−","+")&amp;IF(ABS(E95)&lt;0,"−","")&amp;"$"&amp;TEXT(ABS(ABS(E95)),"#,##0.000")&amp;"bn"&amp;"）","營收 vs 指引中點 "&amp;IF(E52&lt;0,"−","+")&amp;TEXT(ABS(E52)*100,"#,##0.0")&amp;"%"&amp;"：觀點（水準 "&amp;IF(E95&lt;0,"−","+")&amp;IF(ABS(E95)&lt;0,"−","")&amp;"$"&amp;TEXT(ABS(ABS(E95)),"#,##0.000")&amp;"bn"&amp;"（FY27 模型 "&amp;IF(損益!D8&lt;0,"−","")&amp;"$"&amp;TEXT(ABS(損益!D8),"#,##0.000")&amp;"bn"&amp;"，指引隱含 "&amp;IF(E94&lt;0,"−","")&amp;"$"&amp;TEXT(ABS(E94),"#,##0.000")&amp;"bn"&amp;"）；分配 "&amp;IF(E96&lt;0,"−","+")&amp;IF(ABS(E96)&lt;0,"−","")&amp;"$"&amp;TEXT(ABS(ABS(E96)),"#,##0.000")&amp;"bn"&amp;"）"),"營收 vs 指引中點 "&amp;IF(E52&lt;0,"−","+")&amp;TEXT(ABS(E52)*100,"#,##0.0")&amp;"%"&amp;"：未歸類（差異原因待補）"),""),"")</f>
        <v/>
      </c>
      <c r="F99" s="48" t="str">
        <f aca="false">IF(ISNUMBER(F52),IF(OR(ABS(F52)&gt;輸入與假設!$C$349,F22&gt;F32,F22&lt;F31),IF(ISNUMBER(F95),IF(ABS(F96)&gt;ABS(F95),"營收 vs 指引中點 "&amp;IF(F52&lt;0,"−","+")&amp;TEXT(ABS(F52)*100,"#,##0.0")&amp;"%"&amp;"：拆法（分配 "&amp;IF(F96&lt;0,"−","+")&amp;IF(ABS(F96)&lt;0,"−","")&amp;"$"&amp;TEXT(ABS(ABS(F96)),"#,##0.000")&amp;"bn"&amp;"（Q2'27 占 FY27 "&amp;TEXT((F22/損益!D8)*100,"#,##0.0")&amp;"%"&amp;"，指引隱含 "&amp;TEXT(((((F31+F32)/2))/F94)*100,"#,##0.0")&amp;"%"&amp;"）；水準 "&amp;IF(F95&lt;0,"−","+")&amp;IF(ABS(F95)&lt;0,"−","")&amp;"$"&amp;TEXT(ABS(ABS(F95)),"#,##0.000")&amp;"bn"&amp;"）","營收 vs 指引中點 "&amp;IF(F52&lt;0,"−","+")&amp;TEXT(ABS(F52)*100,"#,##0.0")&amp;"%"&amp;"：觀點（水準 "&amp;IF(F95&lt;0,"−","+")&amp;IF(ABS(F95)&lt;0,"−","")&amp;"$"&amp;TEXT(ABS(ABS(F95)),"#,##0.000")&amp;"bn"&amp;"（FY27 模型 "&amp;IF(損益!D8&lt;0,"−","")&amp;"$"&amp;TEXT(ABS(損益!D8),"#,##0.000")&amp;"bn"&amp;"，指引隱含 "&amp;IF(F94&lt;0,"−","")&amp;"$"&amp;TEXT(ABS(F94),"#,##0.000")&amp;"bn"&amp;"）；分配 "&amp;IF(F96&lt;0,"−","+")&amp;IF(ABS(F96)&lt;0,"−","")&amp;"$"&amp;TEXT(ABS(ABS(F96)),"#,##0.000")&amp;"bn"&amp;"）"),"營收 vs 指引中點 "&amp;IF(F52&lt;0,"−","+")&amp;TEXT(ABS(F52)*100,"#,##0.0")&amp;"%"&amp;"：未歸類（差異原因待補）"),""),"")</f>
        <v/>
      </c>
      <c r="G99" s="48" t="str">
        <f aca="false">IF(ISNUMBER(G52),IF(OR(ABS(G52)&gt;輸入與假設!$C$349,G22&gt;G32,G22&lt;G31),IF(ISNUMBER(G95),IF(ABS(G96)&gt;ABS(G95),"營收 vs 指引中點 "&amp;IF(G52&lt;0,"−","+")&amp;TEXT(ABS(G52)*100,"#,##0.0")&amp;"%"&amp;"：拆法（分配 "&amp;IF(G96&lt;0,"−","+")&amp;IF(ABS(G96)&lt;0,"−","")&amp;"$"&amp;TEXT(ABS(ABS(G96)),"#,##0.000")&amp;"bn"&amp;"（Q3'27 占 FY27 "&amp;TEXT((G22/損益!D8)*100,"#,##0.0")&amp;"%"&amp;"，指引隱含 "&amp;TEXT(((((G31+G32)/2))/G94)*100,"#,##0.0")&amp;"%"&amp;"）；水準 "&amp;IF(G95&lt;0,"−","+")&amp;IF(ABS(G95)&lt;0,"−","")&amp;"$"&amp;TEXT(ABS(ABS(G95)),"#,##0.000")&amp;"bn"&amp;"）","營收 vs 指引中點 "&amp;IF(G52&lt;0,"−","+")&amp;TEXT(ABS(G52)*100,"#,##0.0")&amp;"%"&amp;"：觀點（水準 "&amp;IF(G95&lt;0,"−","+")&amp;IF(ABS(G95)&lt;0,"−","")&amp;"$"&amp;TEXT(ABS(ABS(G95)),"#,##0.000")&amp;"bn"&amp;"（FY27 模型 "&amp;IF(損益!D8&lt;0,"−","")&amp;"$"&amp;TEXT(ABS(損益!D8),"#,##0.000")&amp;"bn"&amp;"，指引隱含 "&amp;IF(G94&lt;0,"−","")&amp;"$"&amp;TEXT(ABS(G94),"#,##0.000")&amp;"bn"&amp;"）；分配 "&amp;IF(G96&lt;0,"−","+")&amp;IF(ABS(G96)&lt;0,"−","")&amp;"$"&amp;TEXT(ABS(ABS(G96)),"#,##0.000")&amp;"bn"&amp;"）"),"營收 vs 指引中點 "&amp;IF(G52&lt;0,"−","+")&amp;TEXT(ABS(G52)*100,"#,##0.0")&amp;"%"&amp;"：未歸類（差異原因待補）"),""),"")</f>
        <v/>
      </c>
      <c r="H99" s="48" t="str">
        <f aca="false">IF(ISNUMBER(H52),IF(OR(ABS(H52)&gt;輸入與假設!$C$349,H22&gt;H32,H22&lt;H31),IF(ISNUMBER(H95),IF(ABS(H96)&gt;ABS(H95),"營收 vs 指引中點 "&amp;IF(H52&lt;0,"−","+")&amp;TEXT(ABS(H52)*100,"#,##0.0")&amp;"%"&amp;"：拆法（分配 "&amp;IF(H96&lt;0,"−","+")&amp;IF(ABS(H96)&lt;0,"−","")&amp;"$"&amp;TEXT(ABS(ABS(H96)),"#,##0.000")&amp;"bn"&amp;"（Q4'27 占 FY27 "&amp;TEXT((H22/損益!D8)*100,"#,##0.0")&amp;"%"&amp;"，指引隱含 "&amp;TEXT(((((H31+H32)/2))/H94)*100,"#,##0.0")&amp;"%"&amp;"）；水準 "&amp;IF(H95&lt;0,"−","+")&amp;IF(ABS(H95)&lt;0,"−","")&amp;"$"&amp;TEXT(ABS(ABS(H95)),"#,##0.000")&amp;"bn"&amp;"）","營收 vs 指引中點 "&amp;IF(H52&lt;0,"−","+")&amp;TEXT(ABS(H52)*100,"#,##0.0")&amp;"%"&amp;"：觀點（水準 "&amp;IF(H95&lt;0,"−","+")&amp;IF(ABS(H95)&lt;0,"−","")&amp;"$"&amp;TEXT(ABS(ABS(H95)),"#,##0.000")&amp;"bn"&amp;"（FY27 模型 "&amp;IF(損益!D8&lt;0,"−","")&amp;"$"&amp;TEXT(ABS(損益!D8),"#,##0.000")&amp;"bn"&amp;"，指引隱含 "&amp;IF(H94&lt;0,"−","")&amp;"$"&amp;TEXT(ABS(H94),"#,##0.000")&amp;"bn"&amp;"）；分配 "&amp;IF(H96&lt;0,"−","+")&amp;IF(ABS(H96)&lt;0,"−","")&amp;"$"&amp;TEXT(ABS(ABS(H96)),"#,##0.000")&amp;"bn"&amp;"）"),"營收 vs 指引中點 "&amp;IF(H52&lt;0,"−","+")&amp;TEXT(ABS(H52)*100,"#,##0.0")&amp;"%"&amp;"：未歸類（差異原因待補）"),""),"")</f>
        <v/>
      </c>
    </row>
    <row r="100" customFormat="false" ht="15" hidden="true" customHeight="false" outlineLevel="1" collapsed="false">
      <c r="A100" s="3" t="s">
        <v>1050</v>
      </c>
      <c r="C100" s="48" t="str">
        <f aca="false">IF(ISNUMBER(C52),IF(OR(ABS(C52)&gt;輸入與假設!$C$349,C22&gt;C32,C22&lt;C31),IF(ISNUMBER(C95),IF(ABS(C96)&gt;ABS(C95),"拆法","觀點"),"未歸類"),""),"")</f>
        <v>觀點</v>
      </c>
      <c r="D100" s="48" t="str">
        <f aca="false">IF(ISNUMBER(D52),IF(OR(ABS(D52)&gt;輸入與假設!$C$349,D22&gt;D32,D22&lt;D31),IF(ISNUMBER(D95),IF(ABS(D96)&gt;ABS(D95),"拆法","觀點"),"未歸類"),""),"")</f>
        <v/>
      </c>
      <c r="E100" s="48" t="str">
        <f aca="false">IF(ISNUMBER(E52),IF(OR(ABS(E52)&gt;輸入與假設!$C$349,E22&gt;E32,E22&lt;E31),IF(ISNUMBER(E95),IF(ABS(E96)&gt;ABS(E95),"拆法","觀點"),"未歸類"),""),"")</f>
        <v/>
      </c>
      <c r="F100" s="48" t="str">
        <f aca="false">IF(ISNUMBER(F52),IF(OR(ABS(F52)&gt;輸入與假設!$C$349,F22&gt;F32,F22&lt;F31),IF(ISNUMBER(F95),IF(ABS(F96)&gt;ABS(F95),"拆法","觀點"),"未歸類"),""),"")</f>
        <v/>
      </c>
      <c r="G100" s="48" t="str">
        <f aca="false">IF(ISNUMBER(G52),IF(OR(ABS(G52)&gt;輸入與假設!$C$349,G22&gt;G32,G22&lt;G31),IF(ISNUMBER(G95),IF(ABS(G96)&gt;ABS(G95),"拆法","觀點"),"未歸類"),""),"")</f>
        <v/>
      </c>
      <c r="H100" s="48" t="str">
        <f aca="false">IF(ISNUMBER(H52),IF(OR(ABS(H52)&gt;輸入與假設!$C$349,H22&gt;H32,H22&lt;H31),IF(ISNUMBER(H95),IF(ABS(H96)&gt;ABS(H95),"拆法","觀點"),"未歸類"),""),"")</f>
        <v/>
      </c>
    </row>
    <row r="101" customFormat="false" ht="15" hidden="true" customHeight="false" outlineLevel="1" collapsed="false">
      <c r="A101" s="3" t="s">
        <v>1051</v>
      </c>
      <c r="C101" s="48"/>
      <c r="D101" s="48"/>
      <c r="E101" s="48"/>
      <c r="F101" s="48"/>
      <c r="G101" s="48"/>
      <c r="H101" s="48"/>
    </row>
    <row r="102" customFormat="false" ht="15" hidden="true" customHeight="false" outlineLevel="1" collapsed="false">
      <c r="A102" s="3" t="s">
        <v>1052</v>
      </c>
      <c r="C102" s="48"/>
      <c r="D102" s="48"/>
      <c r="E102" s="48"/>
      <c r="F102" s="48"/>
      <c r="G102" s="48"/>
      <c r="H102" s="48"/>
    </row>
    <row r="103" customFormat="false" ht="15" hidden="true" customHeight="false" outlineLevel="1" collapsed="false">
      <c r="A103" s="3" t="s">
        <v>1053</v>
      </c>
      <c r="B103" s="12" t="s">
        <v>93</v>
      </c>
      <c r="C103" s="70" t="n">
        <f aca="false">IF(COUNT(C42,D42)=2,C42+D42,"不適用")</f>
        <v>4.944</v>
      </c>
      <c r="D103" s="70" t="n">
        <f aca="false">IF(COUNT(C42,D42)=2,C42+D42,"不適用")</f>
        <v>4.944</v>
      </c>
      <c r="E103" s="70" t="str">
        <f aca="false">IF(COUNT(E42,F42,G42,H42)=4,E42+F42+G42+H42,"不適用")</f>
        <v>不適用</v>
      </c>
      <c r="F103" s="70" t="str">
        <f aca="false">IF(COUNT(E42,F42,G42,H42)=4,E42+F42+G42+H42,"不適用")</f>
        <v>不適用</v>
      </c>
      <c r="G103" s="70" t="str">
        <f aca="false">IF(COUNT(E42,F42,G42,H42)=4,E42+F42+G42+H42,"不適用")</f>
        <v>不適用</v>
      </c>
      <c r="H103" s="70" t="str">
        <f aca="false">IF(COUNT(E42,F42,G42,H42)=4,E42+F42+G42+H42,"不適用")</f>
        <v>不適用</v>
      </c>
      <c r="J103" s="7" t="s">
        <v>1038</v>
      </c>
    </row>
    <row r="104" customFormat="false" ht="15" hidden="true" customHeight="false" outlineLevel="1" collapsed="false">
      <c r="A104" s="3" t="s">
        <v>1054</v>
      </c>
      <c r="B104" s="12" t="s">
        <v>93</v>
      </c>
      <c r="C104" s="70" t="n">
        <f aca="false">IF(AND(ISNUMBER(C103),C103&lt;&gt;0,ISNUMBER(C42),ISNUMBER(C28)),(損益!C19-C103)*(C42)/C103,"不適用")</f>
        <v>-0.360239268694405</v>
      </c>
      <c r="D104" s="70" t="n">
        <f aca="false">IF(AND(ISNUMBER(D103),D103&lt;&gt;0,ISNUMBER(D42),ISNUMBER(D28)),(損益!C19-D103)*(D42)/D103,"不適用")</f>
        <v>-0.509825677287587</v>
      </c>
      <c r="E104" s="70" t="str">
        <f aca="false">IF(AND(ISNUMBER(E103),E103&lt;&gt;0,ISNUMBER(E42),ISNUMBER(E28)),(損益!D19-E103)*(E42)/E103,"不適用")</f>
        <v>不適用</v>
      </c>
      <c r="F104" s="70" t="str">
        <f aca="false">IF(AND(ISNUMBER(F103),F103&lt;&gt;0,ISNUMBER(F42),ISNUMBER(F28)),(損益!D19-F103)*(F42)/F103,"不適用")</f>
        <v>不適用</v>
      </c>
      <c r="G104" s="70" t="str">
        <f aca="false">IF(AND(ISNUMBER(G103),G103&lt;&gt;0,ISNUMBER(G42),ISNUMBER(G28)),(損益!D19-G103)*(G42)/G103,"不適用")</f>
        <v>不適用</v>
      </c>
      <c r="H104" s="70" t="str">
        <f aca="false">IF(AND(ISNUMBER(H103),H103&lt;&gt;0,ISNUMBER(H42),ISNUMBER(H28)),(損益!D19-H103)*(H42)/H103,"不適用")</f>
        <v>不適用</v>
      </c>
      <c r="J104" s="12" t="s">
        <v>1040</v>
      </c>
    </row>
    <row r="105" customFormat="false" ht="15" hidden="true" customHeight="false" outlineLevel="1" collapsed="false">
      <c r="A105" s="3" t="s">
        <v>1055</v>
      </c>
      <c r="B105" s="12" t="s">
        <v>93</v>
      </c>
      <c r="C105" s="70" t="n">
        <f aca="false">IF(AND(ISNUMBER(C103),C103&lt;&gt;0,ISNUMBER(C42),ISNUMBER(C28)),(C28/損益!C19-(C42)/C103)*損益!C19,"不適用")</f>
        <v>0.169889895113577</v>
      </c>
      <c r="D105" s="70" t="n">
        <f aca="false">IF(AND(ISNUMBER(D103),D103&lt;&gt;0,ISNUMBER(D42),ISNUMBER(D28)),(D28/損益!C19-(D42)/D103)*損益!C19,"不適用")</f>
        <v>-0.169889895113576</v>
      </c>
      <c r="E105" s="70" t="str">
        <f aca="false">IF(AND(ISNUMBER(E103),E103&lt;&gt;0,ISNUMBER(E42),ISNUMBER(E28)),(E28/損益!D19-(E42)/E103)*損益!D19,"不適用")</f>
        <v>不適用</v>
      </c>
      <c r="F105" s="70" t="str">
        <f aca="false">IF(AND(ISNUMBER(F103),F103&lt;&gt;0,ISNUMBER(F42),ISNUMBER(F28)),(F28/損益!D19-(F42)/F103)*損益!D19,"不適用")</f>
        <v>不適用</v>
      </c>
      <c r="G105" s="70" t="str">
        <f aca="false">IF(AND(ISNUMBER(G103),G103&lt;&gt;0,ISNUMBER(G42),ISNUMBER(G28)),(G28/損益!D19-(G42)/G103)*損益!D19,"不適用")</f>
        <v>不適用</v>
      </c>
      <c r="H105" s="70" t="str">
        <f aca="false">IF(AND(ISNUMBER(H103),H103&lt;&gt;0,ISNUMBER(H42),ISNUMBER(H28)),(H28/損益!D19-(H42)/H103)*損益!D19,"不適用")</f>
        <v>不適用</v>
      </c>
      <c r="J105" s="12" t="s">
        <v>1042</v>
      </c>
    </row>
    <row r="106" customFormat="false" ht="15" hidden="true" customHeight="false" outlineLevel="1" collapsed="false">
      <c r="A106" s="3" t="s">
        <v>1056</v>
      </c>
      <c r="C106" s="48" t="str">
        <f aca="false">IF(ISNUMBER(C56),IF(IF(ISNUMBER(C61),ABS(C61)&gt;輸入與假設!$C$350,OR(AND(C42&lt;&gt;0,ABS(C56)&gt;輸入與假設!$C$349*ABS(C42)),AND(C42=0,C56&lt;&gt;0))),IF(ISNUMBER(C104),IF(ABS(C105)&gt;ABS(C104),"調整後 EBITDA vs 共識 "&amp;IF(C56&lt;0,"−","+")&amp;IF(ABS(C56)&lt;0,"−","")&amp;"$"&amp;TEXT(ABS(ABS(C56)),"#,##0.00")&amp;"bn"&amp;IF(ISNUMBER(C61),"／"&amp;IF(C61&lt;0,"−","+")&amp;TEXT(ABS(C61)*100,"#,##0.0")&amp;"pt","")&amp;"：拆法（分配 "&amp;IF(C105&lt;0,"−","+")&amp;IF(ABS(C105)&lt;0,"−","")&amp;"$"&amp;TEXT(ABS(ABS(C105)),"#,##0.000")&amp;"bn"&amp;"（Q3'26 占 2H26 "&amp;TEXT((C28/損益!C19)*100,"#,##0.0")&amp;"%"&amp;"，共識合計 "&amp;TEXT(((C42)/C103)*100,"#,##0.0")&amp;"%"&amp;"）；水準 "&amp;IF(C104&lt;0,"−","+")&amp;IF(ABS(C104)&lt;0,"−","")&amp;"$"&amp;TEXT(ABS(ABS(C104)),"#,##0.000")&amp;"bn"&amp;"）","調整後 EBITDA vs 共識 "&amp;IF(C56&lt;0,"−","+")&amp;IF(ABS(C56)&lt;0,"−","")&amp;"$"&amp;TEXT(ABS(ABS(C56)),"#,##0.00")&amp;"bn"&amp;IF(ISNUMBER(C61),"／"&amp;IF(C61&lt;0,"−","+")&amp;TEXT(ABS(C61)*100,"#,##0.0")&amp;"pt","")&amp;"：觀點（水準 "&amp;IF(C104&lt;0,"−","+")&amp;IF(ABS(C104)&lt;0,"−","")&amp;"$"&amp;TEXT(ABS(ABS(C104)),"#,##0.000")&amp;"bn"&amp;"（2H26 模型 "&amp;IF(損益!C19&lt;0,"−","")&amp;"$"&amp;TEXT(ABS(損益!C19),"#,##0.000")&amp;"bn"&amp;"，共識合計 "&amp;IF(C103&lt;0,"−","")&amp;"$"&amp;TEXT(ABS(C103),"#,##0.000")&amp;"bn"&amp;"）；分配 "&amp;IF(C105&lt;0,"−","+")&amp;IF(ABS(C105)&lt;0,"−","")&amp;"$"&amp;TEXT(ABS(ABS(C105)),"#,##0.000")&amp;"bn"&amp;"）"),"調整後 EBITDA vs 共識 "&amp;IF(C56&lt;0,"−","+")&amp;IF(ABS(C56)&lt;0,"−","")&amp;"$"&amp;TEXT(ABS(ABS(C56)),"#,##0.00")&amp;"bn"&amp;IF(ISNUMBER(C61),"／"&amp;IF(C61&lt;0,"−","+")&amp;TEXT(ABS(C61)*100,"#,##0.0")&amp;"pt","")&amp;"：未歸類（差異原因待補）"),""),"")</f>
        <v/>
      </c>
      <c r="D106" s="48" t="str">
        <f aca="false">IF(ISNUMBER(D56),IF(IF(ISNUMBER(D61),ABS(D61)&gt;輸入與假設!$C$350,OR(AND(D42&lt;&gt;0,ABS(D56)&gt;輸入與假設!$C$349*ABS(D42)),AND(D42=0,D56&lt;&gt;0))),IF(ISNUMBER(D104),IF(ABS(D105)&gt;ABS(D104),"調整後 EBITDA vs 共識 "&amp;IF(D56&lt;0,"−","+")&amp;IF(ABS(D56)&lt;0,"−","")&amp;"$"&amp;TEXT(ABS(ABS(D56)),"#,##0.00")&amp;"bn"&amp;IF(ISNUMBER(D61),"／"&amp;IF(D61&lt;0,"−","+")&amp;TEXT(ABS(D61)*100,"#,##0.0")&amp;"pt","")&amp;"：拆法（分配 "&amp;IF(D105&lt;0,"−","+")&amp;IF(ABS(D105)&lt;0,"−","")&amp;"$"&amp;TEXT(ABS(ABS(D105)),"#,##0.000")&amp;"bn"&amp;"（Q4'26 占 2H26 "&amp;TEXT((D28/損益!C19)*100,"#,##0.0")&amp;"%"&amp;"，共識合計 "&amp;TEXT(((D42)/D103)*100,"#,##0.0")&amp;"%"&amp;"）；水準 "&amp;IF(D104&lt;0,"−","+")&amp;IF(ABS(D104)&lt;0,"−","")&amp;"$"&amp;TEXT(ABS(ABS(D104)),"#,##0.000")&amp;"bn"&amp;"）","調整後 EBITDA vs 共識 "&amp;IF(D56&lt;0,"−","+")&amp;IF(ABS(D56)&lt;0,"−","")&amp;"$"&amp;TEXT(ABS(ABS(D56)),"#,##0.00")&amp;"bn"&amp;IF(ISNUMBER(D61),"／"&amp;IF(D61&lt;0,"−","+")&amp;TEXT(ABS(D61)*100,"#,##0.0")&amp;"pt","")&amp;"：觀點（水準 "&amp;IF(D104&lt;0,"−","+")&amp;IF(ABS(D104)&lt;0,"−","")&amp;"$"&amp;TEXT(ABS(ABS(D104)),"#,##0.000")&amp;"bn"&amp;"（2H26 模型 "&amp;IF(損益!C19&lt;0,"−","")&amp;"$"&amp;TEXT(ABS(損益!C19),"#,##0.000")&amp;"bn"&amp;"，共識合計 "&amp;IF(D103&lt;0,"−","")&amp;"$"&amp;TEXT(ABS(D103),"#,##0.000")&amp;"bn"&amp;"）；分配 "&amp;IF(D105&lt;0,"−","+")&amp;IF(ABS(D105)&lt;0,"−","")&amp;"$"&amp;TEXT(ABS(ABS(D105)),"#,##0.000")&amp;"bn"&amp;"）"),"調整後 EBITDA vs 共識 "&amp;IF(D56&lt;0,"−","+")&amp;IF(ABS(D56)&lt;0,"−","")&amp;"$"&amp;TEXT(ABS(ABS(D56)),"#,##0.00")&amp;"bn"&amp;IF(ISNUMBER(D61),"／"&amp;IF(D61&lt;0,"−","+")&amp;TEXT(ABS(D61)*100,"#,##0.0")&amp;"pt","")&amp;"：未歸類（差異原因待補）"),""),"")</f>
        <v>調整後 EBITDA vs 共識 −$0.68bn／−2.2pt：觀點（水準 −$0.510bn（2H26 模型 $4.074bn，共識合計 $4.944bn）；分配 −$0.170bn）</v>
      </c>
      <c r="E106" s="48" t="str">
        <f aca="false">IF(ISNUMBER(E56),IF(IF(ISNUMBER(E61),ABS(E61)&gt;輸入與假設!$C$350,OR(AND(E42&lt;&gt;0,ABS(E56)&gt;輸入與假設!$C$349*ABS(E42)),AND(E42=0,E56&lt;&gt;0))),IF(ISNUMBER(E104),IF(ABS(E105)&gt;ABS(E104),"調整後 EBITDA vs 共識 "&amp;IF(E56&lt;0,"−","+")&amp;IF(ABS(E56)&lt;0,"−","")&amp;"$"&amp;TEXT(ABS(ABS(E56)),"#,##0.00")&amp;"bn"&amp;IF(ISNUMBER(E61),"／"&amp;IF(E61&lt;0,"−","+")&amp;TEXT(ABS(E61)*100,"#,##0.0")&amp;"pt","")&amp;"：拆法（分配 "&amp;IF(E105&lt;0,"−","+")&amp;IF(ABS(E105)&lt;0,"−","")&amp;"$"&amp;TEXT(ABS(ABS(E105)),"#,##0.000")&amp;"bn"&amp;"（Q1'27 占 FY27 "&amp;TEXT((E28/損益!D19)*100,"#,##0.0")&amp;"%"&amp;"，共識合計 "&amp;TEXT(((E42)/E103)*100,"#,##0.0")&amp;"%"&amp;"）；水準 "&amp;IF(E104&lt;0,"−","+")&amp;IF(ABS(E104)&lt;0,"−","")&amp;"$"&amp;TEXT(ABS(ABS(E104)),"#,##0.000")&amp;"bn"&amp;"）","調整後 EBITDA vs 共識 "&amp;IF(E56&lt;0,"−","+")&amp;IF(ABS(E56)&lt;0,"−","")&amp;"$"&amp;TEXT(ABS(ABS(E56)),"#,##0.00")&amp;"bn"&amp;IF(ISNUMBER(E61),"／"&amp;IF(E61&lt;0,"−","+")&amp;TEXT(ABS(E61)*100,"#,##0.0")&amp;"pt","")&amp;"：觀點（水準 "&amp;IF(E104&lt;0,"−","+")&amp;IF(ABS(E104)&lt;0,"−","")&amp;"$"&amp;TEXT(ABS(ABS(E104)),"#,##0.000")&amp;"bn"&amp;"（FY27 模型 "&amp;IF(損益!D19&lt;0,"−","")&amp;"$"&amp;TEXT(ABS(損益!D19),"#,##0.000")&amp;"bn"&amp;"，共識合計 "&amp;IF(E103&lt;0,"−","")&amp;"$"&amp;TEXT(ABS(E103),"#,##0.000")&amp;"bn"&amp;"）；分配 "&amp;IF(E105&lt;0,"−","+")&amp;IF(ABS(E105)&lt;0,"−","")&amp;"$"&amp;TEXT(ABS(ABS(E105)),"#,##0.000")&amp;"bn"&amp;"）"),"調整後 EBITDA vs 共識 "&amp;IF(E56&lt;0,"−","+")&amp;IF(ABS(E56)&lt;0,"−","")&amp;"$"&amp;TEXT(ABS(ABS(E56)),"#,##0.00")&amp;"bn"&amp;IF(ISNUMBER(E61),"／"&amp;IF(E61&lt;0,"−","+")&amp;TEXT(ABS(E61)*100,"#,##0.0")&amp;"pt","")&amp;"：未歸類（差異原因待補）"),""),"")</f>
        <v/>
      </c>
      <c r="F106" s="48" t="str">
        <f aca="false">IF(ISNUMBER(F56),IF(IF(ISNUMBER(F61),ABS(F61)&gt;輸入與假設!$C$350,OR(AND(F42&lt;&gt;0,ABS(F56)&gt;輸入與假設!$C$349*ABS(F42)),AND(F42=0,F56&lt;&gt;0))),IF(ISNUMBER(F104),IF(ABS(F105)&gt;ABS(F104),"調整後 EBITDA vs 共識 "&amp;IF(F56&lt;0,"−","+")&amp;IF(ABS(F56)&lt;0,"−","")&amp;"$"&amp;TEXT(ABS(ABS(F56)),"#,##0.00")&amp;"bn"&amp;IF(ISNUMBER(F61),"／"&amp;IF(F61&lt;0,"−","+")&amp;TEXT(ABS(F61)*100,"#,##0.0")&amp;"pt","")&amp;"：拆法（分配 "&amp;IF(F105&lt;0,"−","+")&amp;IF(ABS(F105)&lt;0,"−","")&amp;"$"&amp;TEXT(ABS(ABS(F105)),"#,##0.000")&amp;"bn"&amp;"（Q2'27 占 FY27 "&amp;TEXT((F28/損益!D19)*100,"#,##0.0")&amp;"%"&amp;"，共識合計 "&amp;TEXT(((F42)/F103)*100,"#,##0.0")&amp;"%"&amp;"）；水準 "&amp;IF(F104&lt;0,"−","+")&amp;IF(ABS(F104)&lt;0,"−","")&amp;"$"&amp;TEXT(ABS(ABS(F104)),"#,##0.000")&amp;"bn"&amp;"）","調整後 EBITDA vs 共識 "&amp;IF(F56&lt;0,"−","+")&amp;IF(ABS(F56)&lt;0,"−","")&amp;"$"&amp;TEXT(ABS(ABS(F56)),"#,##0.00")&amp;"bn"&amp;IF(ISNUMBER(F61),"／"&amp;IF(F61&lt;0,"−","+")&amp;TEXT(ABS(F61)*100,"#,##0.0")&amp;"pt","")&amp;"：觀點（水準 "&amp;IF(F104&lt;0,"−","+")&amp;IF(ABS(F104)&lt;0,"−","")&amp;"$"&amp;TEXT(ABS(ABS(F104)),"#,##0.000")&amp;"bn"&amp;"（FY27 模型 "&amp;IF(損益!D19&lt;0,"−","")&amp;"$"&amp;TEXT(ABS(損益!D19),"#,##0.000")&amp;"bn"&amp;"，共識合計 "&amp;IF(F103&lt;0,"−","")&amp;"$"&amp;TEXT(ABS(F103),"#,##0.000")&amp;"bn"&amp;"）；分配 "&amp;IF(F105&lt;0,"−","+")&amp;IF(ABS(F105)&lt;0,"−","")&amp;"$"&amp;TEXT(ABS(ABS(F105)),"#,##0.000")&amp;"bn"&amp;"）"),"調整後 EBITDA vs 共識 "&amp;IF(F56&lt;0,"−","+")&amp;IF(ABS(F56)&lt;0,"−","")&amp;"$"&amp;TEXT(ABS(ABS(F56)),"#,##0.00")&amp;"bn"&amp;IF(ISNUMBER(F61),"／"&amp;IF(F61&lt;0,"−","+")&amp;TEXT(ABS(F61)*100,"#,##0.0")&amp;"pt","")&amp;"：未歸類（差異原因待補）"),""),"")</f>
        <v/>
      </c>
      <c r="G106" s="48" t="str">
        <f aca="false">IF(ISNUMBER(G56),IF(IF(ISNUMBER(G61),ABS(G61)&gt;輸入與假設!$C$350,OR(AND(G42&lt;&gt;0,ABS(G56)&gt;輸入與假設!$C$349*ABS(G42)),AND(G42=0,G56&lt;&gt;0))),IF(ISNUMBER(G104),IF(ABS(G105)&gt;ABS(G104),"調整後 EBITDA vs 共識 "&amp;IF(G56&lt;0,"−","+")&amp;IF(ABS(G56)&lt;0,"−","")&amp;"$"&amp;TEXT(ABS(ABS(G56)),"#,##0.00")&amp;"bn"&amp;IF(ISNUMBER(G61),"／"&amp;IF(G61&lt;0,"−","+")&amp;TEXT(ABS(G61)*100,"#,##0.0")&amp;"pt","")&amp;"：拆法（分配 "&amp;IF(G105&lt;0,"−","+")&amp;IF(ABS(G105)&lt;0,"−","")&amp;"$"&amp;TEXT(ABS(ABS(G105)),"#,##0.000")&amp;"bn"&amp;"（Q3'27 占 FY27 "&amp;TEXT((G28/損益!D19)*100,"#,##0.0")&amp;"%"&amp;"，共識合計 "&amp;TEXT(((G42)/G103)*100,"#,##0.0")&amp;"%"&amp;"）；水準 "&amp;IF(G104&lt;0,"−","+")&amp;IF(ABS(G104)&lt;0,"−","")&amp;"$"&amp;TEXT(ABS(ABS(G104)),"#,##0.000")&amp;"bn"&amp;"）","調整後 EBITDA vs 共識 "&amp;IF(G56&lt;0,"−","+")&amp;IF(ABS(G56)&lt;0,"−","")&amp;"$"&amp;TEXT(ABS(ABS(G56)),"#,##0.00")&amp;"bn"&amp;IF(ISNUMBER(G61),"／"&amp;IF(G61&lt;0,"−","+")&amp;TEXT(ABS(G61)*100,"#,##0.0")&amp;"pt","")&amp;"：觀點（水準 "&amp;IF(G104&lt;0,"−","+")&amp;IF(ABS(G104)&lt;0,"−","")&amp;"$"&amp;TEXT(ABS(ABS(G104)),"#,##0.000")&amp;"bn"&amp;"（FY27 模型 "&amp;IF(損益!D19&lt;0,"−","")&amp;"$"&amp;TEXT(ABS(損益!D19),"#,##0.000")&amp;"bn"&amp;"，共識合計 "&amp;IF(G103&lt;0,"−","")&amp;"$"&amp;TEXT(ABS(G103),"#,##0.000")&amp;"bn"&amp;"）；分配 "&amp;IF(G105&lt;0,"−","+")&amp;IF(ABS(G105)&lt;0,"−","")&amp;"$"&amp;TEXT(ABS(ABS(G105)),"#,##0.000")&amp;"bn"&amp;"）"),"調整後 EBITDA vs 共識 "&amp;IF(G56&lt;0,"−","+")&amp;IF(ABS(G56)&lt;0,"−","")&amp;"$"&amp;TEXT(ABS(ABS(G56)),"#,##0.00")&amp;"bn"&amp;IF(ISNUMBER(G61),"／"&amp;IF(G61&lt;0,"−","+")&amp;TEXT(ABS(G61)*100,"#,##0.0")&amp;"pt","")&amp;"：未歸類（差異原因待補）"),""),"")</f>
        <v/>
      </c>
      <c r="H106" s="48" t="str">
        <f aca="false">IF(ISNUMBER(H56),IF(IF(ISNUMBER(H61),ABS(H61)&gt;輸入與假設!$C$350,OR(AND(H42&lt;&gt;0,ABS(H56)&gt;輸入與假設!$C$349*ABS(H42)),AND(H42=0,H56&lt;&gt;0))),IF(ISNUMBER(H104),IF(ABS(H105)&gt;ABS(H104),"調整後 EBITDA vs 共識 "&amp;IF(H56&lt;0,"−","+")&amp;IF(ABS(H56)&lt;0,"−","")&amp;"$"&amp;TEXT(ABS(ABS(H56)),"#,##0.00")&amp;"bn"&amp;IF(ISNUMBER(H61),"／"&amp;IF(H61&lt;0,"−","+")&amp;TEXT(ABS(H61)*100,"#,##0.0")&amp;"pt","")&amp;"：拆法（分配 "&amp;IF(H105&lt;0,"−","+")&amp;IF(ABS(H105)&lt;0,"−","")&amp;"$"&amp;TEXT(ABS(ABS(H105)),"#,##0.000")&amp;"bn"&amp;"（Q4'27 占 FY27 "&amp;TEXT((H28/損益!D19)*100,"#,##0.0")&amp;"%"&amp;"，共識合計 "&amp;TEXT(((H42)/H103)*100,"#,##0.0")&amp;"%"&amp;"）；水準 "&amp;IF(H104&lt;0,"−","+")&amp;IF(ABS(H104)&lt;0,"−","")&amp;"$"&amp;TEXT(ABS(ABS(H104)),"#,##0.000")&amp;"bn"&amp;"）","調整後 EBITDA vs 共識 "&amp;IF(H56&lt;0,"−","+")&amp;IF(ABS(H56)&lt;0,"−","")&amp;"$"&amp;TEXT(ABS(ABS(H56)),"#,##0.00")&amp;"bn"&amp;IF(ISNUMBER(H61),"／"&amp;IF(H61&lt;0,"−","+")&amp;TEXT(ABS(H61)*100,"#,##0.0")&amp;"pt","")&amp;"：觀點（水準 "&amp;IF(H104&lt;0,"−","+")&amp;IF(ABS(H104)&lt;0,"−","")&amp;"$"&amp;TEXT(ABS(ABS(H104)),"#,##0.000")&amp;"bn"&amp;"（FY27 模型 "&amp;IF(損益!D19&lt;0,"−","")&amp;"$"&amp;TEXT(ABS(損益!D19),"#,##0.000")&amp;"bn"&amp;"，共識合計 "&amp;IF(H103&lt;0,"−","")&amp;"$"&amp;TEXT(ABS(H103),"#,##0.000")&amp;"bn"&amp;"）；分配 "&amp;IF(H105&lt;0,"−","+")&amp;IF(ABS(H105)&lt;0,"−","")&amp;"$"&amp;TEXT(ABS(ABS(H105)),"#,##0.000")&amp;"bn"&amp;"）"),"調整後 EBITDA vs 共識 "&amp;IF(H56&lt;0,"−","+")&amp;IF(ABS(H56)&lt;0,"−","")&amp;"$"&amp;TEXT(ABS(ABS(H56)),"#,##0.00")&amp;"bn"&amp;IF(ISNUMBER(H61),"／"&amp;IF(H61&lt;0,"−","+")&amp;TEXT(ABS(H61)*100,"#,##0.0")&amp;"pt","")&amp;"：未歸類（差異原因待補）"),""),"")</f>
        <v/>
      </c>
    </row>
    <row r="107" customFormat="false" ht="15" hidden="true" customHeight="false" outlineLevel="1" collapsed="false">
      <c r="A107" s="3" t="s">
        <v>1057</v>
      </c>
      <c r="C107" s="48" t="str">
        <f aca="false">IF(ISNUMBER(C56),IF(IF(ISNUMBER(C61),ABS(C61)&gt;輸入與假設!$C$350,OR(AND(C42&lt;&gt;0,ABS(C56)&gt;輸入與假設!$C$349*ABS(C42)),AND(C42=0,C56&lt;&gt;0))),IF(ISNUMBER(C104),IF(ABS(C105)&gt;ABS(C104),"拆法","觀點"),"未歸類"),""),"")</f>
        <v/>
      </c>
      <c r="D107" s="48" t="str">
        <f aca="false">IF(ISNUMBER(D56),IF(IF(ISNUMBER(D61),ABS(D61)&gt;輸入與假設!$C$350,OR(AND(D42&lt;&gt;0,ABS(D56)&gt;輸入與假設!$C$349*ABS(D42)),AND(D42=0,D56&lt;&gt;0))),IF(ISNUMBER(D104),IF(ABS(D105)&gt;ABS(D104),"拆法","觀點"),"未歸類"),""),"")</f>
        <v>觀點</v>
      </c>
      <c r="E107" s="48" t="str">
        <f aca="false">IF(ISNUMBER(E56),IF(IF(ISNUMBER(E61),ABS(E61)&gt;輸入與假設!$C$350,OR(AND(E42&lt;&gt;0,ABS(E56)&gt;輸入與假設!$C$349*ABS(E42)),AND(E42=0,E56&lt;&gt;0))),IF(ISNUMBER(E104),IF(ABS(E105)&gt;ABS(E104),"拆法","觀點"),"未歸類"),""),"")</f>
        <v/>
      </c>
      <c r="F107" s="48" t="str">
        <f aca="false">IF(ISNUMBER(F56),IF(IF(ISNUMBER(F61),ABS(F61)&gt;輸入與假設!$C$350,OR(AND(F42&lt;&gt;0,ABS(F56)&gt;輸入與假設!$C$349*ABS(F42)),AND(F42=0,F56&lt;&gt;0))),IF(ISNUMBER(F104),IF(ABS(F105)&gt;ABS(F104),"拆法","觀點"),"未歸類"),""),"")</f>
        <v/>
      </c>
      <c r="G107" s="48" t="str">
        <f aca="false">IF(ISNUMBER(G56),IF(IF(ISNUMBER(G61),ABS(G61)&gt;輸入與假設!$C$350,OR(AND(G42&lt;&gt;0,ABS(G56)&gt;輸入與假設!$C$349*ABS(G42)),AND(G42=0,G56&lt;&gt;0))),IF(ISNUMBER(G104),IF(ABS(G105)&gt;ABS(G104),"拆法","觀點"),"未歸類"),""),"")</f>
        <v/>
      </c>
      <c r="H107" s="48" t="str">
        <f aca="false">IF(ISNUMBER(H56),IF(IF(ISNUMBER(H61),ABS(H61)&gt;輸入與假設!$C$350,OR(AND(H42&lt;&gt;0,ABS(H56)&gt;輸入與假設!$C$349*ABS(H42)),AND(H42=0,H56&lt;&gt;0))),IF(ISNUMBER(H104),IF(ABS(H105)&gt;ABS(H104),"拆法","觀點"),"未歸類"),""),"")</f>
        <v/>
      </c>
    </row>
    <row r="108" customFormat="false" ht="15" hidden="true" customHeight="false" outlineLevel="1" collapsed="false">
      <c r="A108" s="3" t="s">
        <v>1058</v>
      </c>
      <c r="C108" s="48"/>
      <c r="D108" s="48"/>
      <c r="E108" s="48"/>
      <c r="F108" s="48"/>
      <c r="G108" s="48"/>
      <c r="H108" s="48"/>
    </row>
    <row r="109" customFormat="false" ht="15" hidden="true" customHeight="false" outlineLevel="1" collapsed="false">
      <c r="A109" s="3" t="s">
        <v>1059</v>
      </c>
      <c r="C109" s="48"/>
      <c r="D109" s="48"/>
      <c r="E109" s="48"/>
      <c r="F109" s="48"/>
      <c r="G109" s="48"/>
      <c r="H109" s="48"/>
    </row>
    <row r="110" customFormat="false" ht="15" hidden="true" customHeight="false" outlineLevel="1" collapsed="false">
      <c r="A110" s="3" t="s">
        <v>1060</v>
      </c>
      <c r="C110" s="48"/>
      <c r="D110" s="48"/>
      <c r="E110" s="48"/>
      <c r="F110" s="48"/>
      <c r="G110" s="48"/>
      <c r="H110" s="48"/>
    </row>
    <row r="111" customFormat="false" ht="15" hidden="true" customHeight="false" outlineLevel="1" collapsed="false">
      <c r="A111" s="3" t="s">
        <v>1061</v>
      </c>
      <c r="C111" s="48"/>
      <c r="D111" s="48"/>
      <c r="E111" s="48"/>
      <c r="F111" s="48"/>
      <c r="G111" s="48"/>
      <c r="H111" s="48"/>
    </row>
    <row r="112" customFormat="false" ht="15" hidden="true" customHeight="false" outlineLevel="1" collapsed="false">
      <c r="A112" s="3" t="s">
        <v>1062</v>
      </c>
      <c r="C112" s="48"/>
      <c r="D112" s="48"/>
      <c r="E112" s="48"/>
      <c r="F112" s="48"/>
      <c r="G112" s="48"/>
      <c r="H112" s="48"/>
    </row>
    <row r="113" customFormat="false" ht="15" hidden="true" customHeight="false" outlineLevel="1" collapsed="false">
      <c r="A113" s="3" t="s">
        <v>1063</v>
      </c>
      <c r="C113" s="48"/>
      <c r="D113" s="48"/>
      <c r="E113" s="48"/>
      <c r="F113" s="48"/>
      <c r="G113" s="48"/>
      <c r="H113" s="48"/>
    </row>
    <row r="114" customFormat="false" ht="15" hidden="true" customHeight="false" outlineLevel="1" collapsed="false">
      <c r="A114" s="3" t="s">
        <v>1064</v>
      </c>
      <c r="C114" s="48" t="str">
        <f aca="false">IF(ISNUMBER(C72),IF(OR(IF(ISNUMBER(C77),ABS(C77)&gt;輸入與假設!$C$350,OR(AND(((C33+C34)/2)&lt;&gt;0,ABS(C72)&gt;輸入與假設!$C$349*ABS(((C33+C34)/2))),AND(((C33+C34)/2)=0,C72&lt;&gt;0))),C30&gt;C34,C30&lt;C33),"調整後營業利益 vs 指引中點 "&amp;IF(C72&lt;0,"−","+")&amp;IF(ABS(C72)&lt;0,"−","")&amp;"$"&amp;TEXT(ABS(ABS(C72)),"#,##0.00")&amp;"bn"&amp;IF(ISNUMBER(C77),"／"&amp;IF(C77&lt;0,"−","+")&amp;TEXT(ABS(C77)*100,"#,##0.0")&amp;"pt","")&amp;"：已知限制（"&amp;"對照指引隱含折舊 "&amp;IF((輸入與假設!$C$326-((C33+C34)/2))&lt;0,"−","")&amp;TEXT(ABS((輸入與假設!$C$326-((C33+C34)/2))),"#,##0.00")&amp;"（＝共識 EBITDA "&amp;IF((輸入與假設!$C$326)&lt;0,"−","")&amp;TEXT(ABS((輸入與假設!$C$326)),"#,##0.00")&amp;" − 指引中點 "&amp;IF((((C33+C34)/2))&lt;0,"−","")&amp;TEXT(ABS((((C33+C34)/2))),"#,##0.00")&amp;"，Derived），模型折舊 "&amp;IF((C29)&lt;0,"−","")&amp;TEXT(ABS((C29)),"#,##0.00")&amp;"；缺口 "&amp;IF((C30-((C33+C34)/2))&lt;0,"−","+")&amp;TEXT(ABS((C30-((C33+C34)/2))),"#,##0.00")&amp;" ≈ 折舊 "&amp;IF((輸入與假設!$C$326-((C33+C34)/2)-C29)&lt;0,"−","+")&amp;TEXT(ABS((輸入與假設!$C$326-((C33+C34)/2)-C29)),"#,##0.00")&amp;" ＋ EBITDA "&amp;IF((C28-輸入與假設!$C$326)&lt;0,"−","+")&amp;TEXT(ABS((C28-輸入與假設!$C$326)),"#,##0.00")&amp;"；待辦 6 修正折舊"&amp;"）",""),"")</f>
        <v>調整後營業利益 vs 指引中點 −$0.52bn／−15.6pt：已知限制（對照指引隱含折舊 1.82（＝共識 EBITDA 2.05 − 指引中點 0.23，Derived），模型折舊 2.14；缺口 −0.52 ≈ 折舊 −0.33 ＋ EBITDA −0.19；待辦 6 修正折舊）</v>
      </c>
      <c r="D114" s="48" t="str">
        <f aca="false">IF(ISNUMBER(D72),IF(OR(IF(ISNUMBER(D77),ABS(D77)&gt;輸入與假設!$C$350,OR(AND(((D33+D34)/2)&lt;&gt;0,ABS(D72)&gt;輸入與假設!$C$349*ABS(((D33+D34)/2))),AND(((D33+D34)/2)=0,D72&lt;&gt;0))),D30&gt;D34,D30&lt;D33),"調整後營業利益 vs 指引中點 "&amp;IF(D72&lt;0,"−","+")&amp;IF(ABS(D72)&lt;0,"−","")&amp;"$"&amp;TEXT(ABS(ABS(D72)),"#,##0.00")&amp;"bn"&amp;IF(ISNUMBER(D77),"／"&amp;IF(D77&lt;0,"−","+")&amp;TEXT(ABS(D77)*100,"#,##0.0")&amp;"pt","")&amp;"：已知限制（"&amp;"對照指引隱含折舊 "&amp;"不適用"&amp;"（＝共識 EBITDA "&amp;IF((輸入與假設!$D$326)&lt;0,"−","")&amp;TEXT(ABS((輸入與假設!$D$326)),"#,##0.00")&amp;" − 指引中點 "&amp;"不適用"&amp;"，Derived），模型折舊 "&amp;IF((D29)&lt;0,"−","")&amp;TEXT(ABS((D29)),"#,##0.00")&amp;"；缺口 "&amp;"不適用"&amp;" ≈ 折舊 "&amp;"不適用"&amp;" ＋ EBITDA "&amp;IF((D28-輸入與假設!$D$326)&lt;0,"−","+")&amp;TEXT(ABS((D28-輸入與假設!$D$326)),"#,##0.00")&amp;"；待辦 6 修正折舊"&amp;"）",""),"")</f>
        <v/>
      </c>
      <c r="E114" s="48" t="str">
        <f aca="false">IF(ISNUMBER(E72),IF(OR(IF(ISNUMBER(E77),ABS(E77)&gt;輸入與假設!$C$350,OR(AND(((E33+E34)/2)&lt;&gt;0,ABS(E72)&gt;輸入與假設!$C$349*ABS(((E33+E34)/2))),AND(((E33+E34)/2)=0,E72&lt;&gt;0))),E30&gt;E34,E30&lt;E33),"調整後營業利益 vs 指引中點 "&amp;IF(E72&lt;0,"−","+")&amp;IF(ABS(E72)&lt;0,"−","")&amp;"$"&amp;TEXT(ABS(ABS(E72)),"#,##0.00")&amp;"bn"&amp;IF(ISNUMBER(E77),"／"&amp;IF(E77&lt;0,"−","+")&amp;TEXT(ABS(E77)*100,"#,##0.0")&amp;"pt","")&amp;"：已知限制（"&amp;"對照指引隱含折舊 "&amp;"不適用"&amp;"（＝共識 EBITDA "&amp;"不適用"&amp;" − 指引中點 "&amp;"不適用"&amp;"，Derived），模型折舊 "&amp;IF((E29)&lt;0,"−","")&amp;TEXT(ABS((E29)),"#,##0.00")&amp;"；缺口 "&amp;"不適用"&amp;" ≈ 折舊 "&amp;"不適用"&amp;" ＋ EBITDA "&amp;"不適用"&amp;"；待辦 6 修正折舊"&amp;"）",""),"")</f>
        <v/>
      </c>
      <c r="F114" s="48" t="str">
        <f aca="false">IF(ISNUMBER(F72),IF(OR(IF(ISNUMBER(F77),ABS(F77)&gt;輸入與假設!$C$350,OR(AND(((F33+F34)/2)&lt;&gt;0,ABS(F72)&gt;輸入與假設!$C$349*ABS(((F33+F34)/2))),AND(((F33+F34)/2)=0,F72&lt;&gt;0))),F30&gt;F34,F30&lt;F33),"調整後營業利益 vs 指引中點 "&amp;IF(F72&lt;0,"−","+")&amp;IF(ABS(F72)&lt;0,"−","")&amp;"$"&amp;TEXT(ABS(ABS(F72)),"#,##0.00")&amp;"bn"&amp;IF(ISNUMBER(F77),"／"&amp;IF(F77&lt;0,"−","+")&amp;TEXT(ABS(F77)*100,"#,##0.0")&amp;"pt","")&amp;"：已知限制（"&amp;"對照指引隱含折舊 "&amp;"不適用"&amp;"（＝共識 EBITDA "&amp;"不適用"&amp;" − 指引中點 "&amp;"不適用"&amp;"，Derived），模型折舊 "&amp;IF((F29)&lt;0,"−","")&amp;TEXT(ABS((F29)),"#,##0.00")&amp;"；缺口 "&amp;"不適用"&amp;" ≈ 折舊 "&amp;"不適用"&amp;" ＋ EBITDA "&amp;"不適用"&amp;"；待辦 6 修正折舊"&amp;"）",""),"")</f>
        <v/>
      </c>
      <c r="G114" s="48" t="str">
        <f aca="false">IF(ISNUMBER(G72),IF(OR(IF(ISNUMBER(G77),ABS(G77)&gt;輸入與假設!$C$350,OR(AND(((G33+G34)/2)&lt;&gt;0,ABS(G72)&gt;輸入與假設!$C$349*ABS(((G33+G34)/2))),AND(((G33+G34)/2)=0,G72&lt;&gt;0))),G30&gt;G34,G30&lt;G33),"調整後營業利益 vs 指引中點 "&amp;IF(G72&lt;0,"−","+")&amp;IF(ABS(G72)&lt;0,"−","")&amp;"$"&amp;TEXT(ABS(ABS(G72)),"#,##0.00")&amp;"bn"&amp;IF(ISNUMBER(G77),"／"&amp;IF(G77&lt;0,"−","+")&amp;TEXT(ABS(G77)*100,"#,##0.0")&amp;"pt","")&amp;"：已知限制（"&amp;"對照指引隱含折舊 "&amp;"不適用"&amp;"（＝共識 EBITDA "&amp;"不適用"&amp;" − 指引中點 "&amp;"不適用"&amp;"，Derived），模型折舊 "&amp;IF((G29)&lt;0,"−","")&amp;TEXT(ABS((G29)),"#,##0.00")&amp;"；缺口 "&amp;"不適用"&amp;" ≈ 折舊 "&amp;"不適用"&amp;" ＋ EBITDA "&amp;"不適用"&amp;"；待辦 6 修正折舊"&amp;"）",""),"")</f>
        <v/>
      </c>
      <c r="H114" s="48" t="str">
        <f aca="false">IF(ISNUMBER(H72),IF(OR(IF(ISNUMBER(H77),ABS(H77)&gt;輸入與假設!$C$350,OR(AND(((H33+H34)/2)&lt;&gt;0,ABS(H72)&gt;輸入與假設!$C$349*ABS(((H33+H34)/2))),AND(((H33+H34)/2)=0,H72&lt;&gt;0))),H30&gt;H34,H30&lt;H33),"調整後營業利益 vs 指引中點 "&amp;IF(H72&lt;0,"−","+")&amp;IF(ABS(H72)&lt;0,"−","")&amp;"$"&amp;TEXT(ABS(ABS(H72)),"#,##0.00")&amp;"bn"&amp;IF(ISNUMBER(H77),"／"&amp;IF(H77&lt;0,"−","+")&amp;TEXT(ABS(H77)*100,"#,##0.0")&amp;"pt","")&amp;"：已知限制（"&amp;"對照指引隱含折舊 "&amp;"不適用"&amp;"（＝共識 EBITDA "&amp;"不適用"&amp;" − 指引中點 "&amp;"不適用"&amp;"，Derived），模型折舊 "&amp;IF((H29)&lt;0,"−","")&amp;TEXT(ABS((H29)),"#,##0.00")&amp;"；缺口 "&amp;"不適用"&amp;" ≈ 折舊 "&amp;"不適用"&amp;" ＋ EBITDA "&amp;"不適用"&amp;"；待辦 6 修正折舊"&amp;"）",""),"")</f>
        <v/>
      </c>
    </row>
    <row r="115" customFormat="false" ht="15" hidden="true" customHeight="false" outlineLevel="1" collapsed="false">
      <c r="A115" s="3" t="s">
        <v>1065</v>
      </c>
      <c r="C115" s="48" t="str">
        <f aca="false">IF(ISNUMBER(C72),IF(OR(IF(ISNUMBER(C77),ABS(C77)&gt;輸入與假設!$C$350,OR(AND(((C33+C34)/2)&lt;&gt;0,ABS(C72)&gt;輸入與假設!$C$349*ABS(((C33+C34)/2))),AND(((C33+C34)/2)=0,C72&lt;&gt;0))),C30&gt;C34,C30&lt;C33),"已知限制",""),"")</f>
        <v>已知限制</v>
      </c>
      <c r="D115" s="48" t="str">
        <f aca="false">IF(ISNUMBER(D72),IF(OR(IF(ISNUMBER(D77),ABS(D77)&gt;輸入與假設!$C$350,OR(AND(((D33+D34)/2)&lt;&gt;0,ABS(D72)&gt;輸入與假設!$C$349*ABS(((D33+D34)/2))),AND(((D33+D34)/2)=0,D72&lt;&gt;0))),D30&gt;D34,D30&lt;D33),"已知限制",""),"")</f>
        <v/>
      </c>
      <c r="E115" s="48" t="str">
        <f aca="false">IF(ISNUMBER(E72),IF(OR(IF(ISNUMBER(E77),ABS(E77)&gt;輸入與假設!$C$350,OR(AND(((E33+E34)/2)&lt;&gt;0,ABS(E72)&gt;輸入與假設!$C$349*ABS(((E33+E34)/2))),AND(((E33+E34)/2)=0,E72&lt;&gt;0))),E30&gt;E34,E30&lt;E33),"已知限制",""),"")</f>
        <v/>
      </c>
      <c r="F115" s="48" t="str">
        <f aca="false">IF(ISNUMBER(F72),IF(OR(IF(ISNUMBER(F77),ABS(F77)&gt;輸入與假設!$C$350,OR(AND(((F33+F34)/2)&lt;&gt;0,ABS(F72)&gt;輸入與假設!$C$349*ABS(((F33+F34)/2))),AND(((F33+F34)/2)=0,F72&lt;&gt;0))),F30&gt;F34,F30&lt;F33),"已知限制",""),"")</f>
        <v/>
      </c>
      <c r="G115" s="48" t="str">
        <f aca="false">IF(ISNUMBER(G72),IF(OR(IF(ISNUMBER(G77),ABS(G77)&gt;輸入與假設!$C$350,OR(AND(((G33+G34)/2)&lt;&gt;0,ABS(G72)&gt;輸入與假設!$C$349*ABS(((G33+G34)/2))),AND(((G33+G34)/2)=0,G72&lt;&gt;0))),G30&gt;G34,G30&lt;G33),"已知限制",""),"")</f>
        <v/>
      </c>
      <c r="H115" s="48" t="str">
        <f aca="false">IF(ISNUMBER(H72),IF(OR(IF(ISNUMBER(H77),ABS(H77)&gt;輸入與假設!$C$350,OR(AND(((H33+H34)/2)&lt;&gt;0,ABS(H72)&gt;輸入與假設!$C$349*ABS(((H33+H34)/2))),AND(((H33+H34)/2)=0,H72&lt;&gt;0))),H30&gt;H34,H30&lt;H33),"已知限制",""),"")</f>
        <v/>
      </c>
    </row>
    <row r="116" customFormat="false" ht="15" hidden="true" customHeight="false" outlineLevel="1" collapsed="false">
      <c r="A116" s="3" t="s">
        <v>1066</v>
      </c>
      <c r="C116" s="48"/>
      <c r="D116" s="48"/>
      <c r="E116" s="48"/>
      <c r="F116" s="48"/>
      <c r="G116" s="48"/>
      <c r="H116" s="48"/>
    </row>
    <row r="117" customFormat="false" ht="15" hidden="true" customHeight="false" outlineLevel="1" collapsed="false">
      <c r="A117" s="3" t="s">
        <v>1067</v>
      </c>
      <c r="C117" s="48"/>
      <c r="D117" s="48"/>
      <c r="E117" s="48"/>
      <c r="F117" s="48"/>
      <c r="G117" s="48"/>
      <c r="H117" s="48"/>
    </row>
    <row r="118" customFormat="false" ht="15" hidden="true" customHeight="false" outlineLevel="1" collapsed="false">
      <c r="A118" s="3" t="s">
        <v>1068</v>
      </c>
      <c r="B118" s="12" t="s">
        <v>93</v>
      </c>
      <c r="C118" s="70" t="n">
        <f aca="false">(輸入與假設!$C$374+輸入與假設!$D$374)/2-輸入與假設!$E$374</f>
        <v>20.861</v>
      </c>
      <c r="D118" s="70" t="n">
        <f aca="false">(輸入與假設!$C$374+輸入與假設!$D$374)/2-輸入與假設!$E$374</f>
        <v>20.861</v>
      </c>
      <c r="E118" s="70" t="s">
        <v>936</v>
      </c>
      <c r="F118" s="70" t="s">
        <v>936</v>
      </c>
      <c r="G118" s="70" t="s">
        <v>936</v>
      </c>
      <c r="H118" s="70" t="s">
        <v>936</v>
      </c>
      <c r="J118" s="7" t="s">
        <v>1044</v>
      </c>
    </row>
    <row r="119" customFormat="false" ht="15" hidden="true" customHeight="false" outlineLevel="1" collapsed="false">
      <c r="A119" s="3" t="s">
        <v>1069</v>
      </c>
      <c r="B119" s="12" t="s">
        <v>93</v>
      </c>
      <c r="C119" s="70" t="n">
        <f aca="false">IF(AND(ISNUMBER(C118),C118&lt;&gt;0,ISNUMBER(((C36+C37)/2)),ISNUMBER(C40)),(輸入與假設!C$185-C118)*(((C36+C37)/2))/C118,"不適用")</f>
        <v>-1.19840851349408</v>
      </c>
      <c r="D119" s="70" t="str">
        <f aca="false">IF(AND(ISNUMBER(D118),D118&lt;&gt;0,ISNUMBER(((D36+D37)/2)),ISNUMBER(D40)),(輸入與假設!C$185-D118)*(((D36+D37)/2))/D118,"不適用")</f>
        <v>不適用</v>
      </c>
      <c r="E119" s="70" t="str">
        <f aca="false">IF(AND(ISNUMBER(E118),E118&lt;&gt;0,ISNUMBER(((E36+E37)/2)),ISNUMBER(E40)),(輸入與假設!D$185-E118)*(((E36+E37)/2))/E118,"不適用")</f>
        <v>不適用</v>
      </c>
      <c r="F119" s="70" t="str">
        <f aca="false">IF(AND(ISNUMBER(F118),F118&lt;&gt;0,ISNUMBER(((F36+F37)/2)),ISNUMBER(F40)),(輸入與假設!D$185-F118)*(((F36+F37)/2))/F118,"不適用")</f>
        <v>不適用</v>
      </c>
      <c r="G119" s="70" t="str">
        <f aca="false">IF(AND(ISNUMBER(G118),G118&lt;&gt;0,ISNUMBER(((G36+G37)/2)),ISNUMBER(G40)),(輸入與假設!D$185-G118)*(((G36+G37)/2))/G118,"不適用")</f>
        <v>不適用</v>
      </c>
      <c r="H119" s="70" t="str">
        <f aca="false">IF(AND(ISNUMBER(H118),H118&lt;&gt;0,ISNUMBER(((H36+H37)/2)),ISNUMBER(H40)),(輸入與假設!D$185-H118)*(((H36+H37)/2))/H118,"不適用")</f>
        <v>不適用</v>
      </c>
      <c r="J119" s="12" t="s">
        <v>1040</v>
      </c>
    </row>
    <row r="120" customFormat="false" ht="15" hidden="true" customHeight="false" outlineLevel="1" collapsed="false">
      <c r="A120" s="3" t="s">
        <v>1070</v>
      </c>
      <c r="B120" s="12" t="s">
        <v>93</v>
      </c>
      <c r="C120" s="70" t="n">
        <f aca="false">IF(AND(ISNUMBER(C118),C118&lt;&gt;0,ISNUMBER(((C36+C37)/2)),ISNUMBER(C40)),(C40/輸入與假設!C$185-(((C36+C37)/2))/C118)*輸入與假設!C$185,"不適用")</f>
        <v>1.19840851349408</v>
      </c>
      <c r="D120" s="70" t="str">
        <f aca="false">IF(AND(ISNUMBER(D118),D118&lt;&gt;0,ISNUMBER(((D36+D37)/2)),ISNUMBER(D40)),(D40/輸入與假設!C$185-(((D36+D37)/2))/D118)*輸入與假設!C$185,"不適用")</f>
        <v>不適用</v>
      </c>
      <c r="E120" s="70" t="str">
        <f aca="false">IF(AND(ISNUMBER(E118),E118&lt;&gt;0,ISNUMBER(((E36+E37)/2)),ISNUMBER(E40)),(E40/輸入與假設!D$185-(((E36+E37)/2))/E118)*輸入與假設!D$185,"不適用")</f>
        <v>不適用</v>
      </c>
      <c r="F120" s="70" t="str">
        <f aca="false">IF(AND(ISNUMBER(F118),F118&lt;&gt;0,ISNUMBER(((F36+F37)/2)),ISNUMBER(F40)),(F40/輸入與假設!D$185-(((F36+F37)/2))/F118)*輸入與假設!D$185,"不適用")</f>
        <v>不適用</v>
      </c>
      <c r="G120" s="70" t="str">
        <f aca="false">IF(AND(ISNUMBER(G118),G118&lt;&gt;0,ISNUMBER(((G36+G37)/2)),ISNUMBER(G40)),(G40/輸入與假設!D$185-(((G36+G37)/2))/G118)*輸入與假設!D$185,"不適用")</f>
        <v>不適用</v>
      </c>
      <c r="H120" s="70" t="str">
        <f aca="false">IF(AND(ISNUMBER(H118),H118&lt;&gt;0,ISNUMBER(((H36+H37)/2)),ISNUMBER(H40)),(H40/輸入與假設!D$185-(((H36+H37)/2))/H118)*輸入與假設!D$185,"不適用")</f>
        <v>不適用</v>
      </c>
      <c r="J120" s="12" t="s">
        <v>1042</v>
      </c>
    </row>
    <row r="121" customFormat="false" ht="15" hidden="true" customHeight="false" outlineLevel="1" collapsed="false">
      <c r="A121" s="3" t="s">
        <v>1071</v>
      </c>
      <c r="C121" s="48"/>
      <c r="D121" s="48"/>
      <c r="E121" s="48"/>
      <c r="F121" s="48"/>
      <c r="G121" s="48"/>
      <c r="H121" s="48"/>
    </row>
    <row r="122" customFormat="false" ht="15" hidden="true" customHeight="false" outlineLevel="1" collapsed="false">
      <c r="A122" s="3" t="s">
        <v>1072</v>
      </c>
      <c r="C122" s="48"/>
      <c r="D122" s="48"/>
      <c r="E122" s="48"/>
      <c r="F122" s="48"/>
      <c r="G122" s="48"/>
      <c r="H122" s="48"/>
    </row>
    <row r="123" customFormat="false" ht="15" hidden="true" customHeight="false" outlineLevel="1" collapsed="false">
      <c r="A123" s="3" t="s">
        <v>1073</v>
      </c>
      <c r="C123" s="48" t="str">
        <f aca="false">IF(ISNUMBER(C82),IF(OR(ABS(C82)&gt;輸入與假設!$C$349,C40&gt;C37,C40&lt;C36),IF(ISNUMBER(C119),IF(ABS(C120)&gt;ABS(C119),"CapEx（毛額） vs 指引中點 "&amp;IF(C82&lt;0,"−","+")&amp;TEXT(ABS(C82)*100,"#,##0.0")&amp;"%"&amp;"：拆法（分配 "&amp;IF(C120&lt;0,"−","+")&amp;IF(ABS(C120)&lt;0,"−","")&amp;"$"&amp;TEXT(ABS(ABS(C120)),"#,##0.000")&amp;"bn"&amp;"（Q3'26 占 2H26 "&amp;TEXT((C40/輸入與假設!C$185)*100,"#,##0.0")&amp;"%"&amp;"，指引隱含 "&amp;TEXT(((((C36+C37)/2))/C118)*100,"#,##0.0")&amp;"%"&amp;"）；水準 "&amp;IF(C119&lt;0,"−","+")&amp;IF(ABS(C119)&lt;0,"−","")&amp;"$"&amp;TEXT(ABS(ABS(C119)),"#,##0.000")&amp;"bn"&amp;"）","CapEx（毛額） vs 指引中點 "&amp;IF(C82&lt;0,"−","+")&amp;TEXT(ABS(C82)*100,"#,##0.0")&amp;"%"&amp;"：觀點（水準 "&amp;IF(C119&lt;0,"−","+")&amp;IF(ABS(C119)&lt;0,"−","")&amp;"$"&amp;TEXT(ABS(ABS(C119)),"#,##0.000")&amp;"bn"&amp;"（2H26 模型 "&amp;IF(輸入與假設!C$185&lt;0,"−","")&amp;"$"&amp;TEXT(ABS(輸入與假設!C$185),"#,##0.000")&amp;"bn"&amp;"，指引隱含 "&amp;IF(C118&lt;0,"−","")&amp;"$"&amp;TEXT(ABS(C118),"#,##0.000")&amp;"bn"&amp;"）；分配 "&amp;IF(C120&lt;0,"−","+")&amp;IF(ABS(C120)&lt;0,"−","")&amp;"$"&amp;TEXT(ABS(ABS(C120)),"#,##0.000")&amp;"bn"&amp;"）"),"CapEx（毛額） vs 指引中點 "&amp;IF(C82&lt;0,"−","+")&amp;TEXT(ABS(C82)*100,"#,##0.0")&amp;"%"&amp;"：未歸類（差異原因待補）"),""),"")</f>
        <v/>
      </c>
      <c r="D123" s="48" t="str">
        <f aca="false">IF(ISNUMBER(D82),IF(OR(ABS(D82)&gt;輸入與假設!$C$349,D40&gt;D37,D40&lt;D36),IF(ISNUMBER(D119),IF(ABS(D120)&gt;ABS(D119),"CapEx（毛額） vs 指引中點 "&amp;IF(D82&lt;0,"−","+")&amp;TEXT(ABS(D82)*100,"#,##0.0")&amp;"%"&amp;"：拆法（分配 "&amp;IF(D120&lt;0,"−","+")&amp;IF(ABS(D120)&lt;0,"−","")&amp;"$"&amp;TEXT(ABS(ABS(D120)),"#,##0.000")&amp;"bn"&amp;"（Q4'26 占 2H26 "&amp;TEXT((D40/輸入與假設!C$185)*100,"#,##0.0")&amp;"%"&amp;"，指引隱含 "&amp;TEXT(((((D36+D37)/2))/D118)*100,"#,##0.0")&amp;"%"&amp;"）；水準 "&amp;IF(D119&lt;0,"−","+")&amp;IF(ABS(D119)&lt;0,"−","")&amp;"$"&amp;TEXT(ABS(ABS(D119)),"#,##0.000")&amp;"bn"&amp;"）","CapEx（毛額） vs 指引中點 "&amp;IF(D82&lt;0,"−","+")&amp;TEXT(ABS(D82)*100,"#,##0.0")&amp;"%"&amp;"：觀點（水準 "&amp;IF(D119&lt;0,"−","+")&amp;IF(ABS(D119)&lt;0,"−","")&amp;"$"&amp;TEXT(ABS(ABS(D119)),"#,##0.000")&amp;"bn"&amp;"（2H26 模型 "&amp;IF(輸入與假設!C$185&lt;0,"−","")&amp;"$"&amp;TEXT(ABS(輸入與假設!C$185),"#,##0.000")&amp;"bn"&amp;"，指引隱含 "&amp;IF(D118&lt;0,"−","")&amp;"$"&amp;TEXT(ABS(D118),"#,##0.000")&amp;"bn"&amp;"）；分配 "&amp;IF(D120&lt;0,"−","+")&amp;IF(ABS(D120)&lt;0,"−","")&amp;"$"&amp;TEXT(ABS(ABS(D120)),"#,##0.000")&amp;"bn"&amp;"）"),"CapEx（毛額） vs 指引中點 "&amp;IF(D82&lt;0,"−","+")&amp;TEXT(ABS(D82)*100,"#,##0.0")&amp;"%"&amp;"：未歸類（差異原因待補）"),""),"")</f>
        <v/>
      </c>
      <c r="E123" s="48" t="str">
        <f aca="false">IF(ISNUMBER(E82),IF(OR(ABS(E82)&gt;輸入與假設!$C$349,E40&gt;E37,E40&lt;E36),IF(ISNUMBER(E119),IF(ABS(E120)&gt;ABS(E119),"CapEx（毛額） vs 指引中點 "&amp;IF(E82&lt;0,"−","+")&amp;TEXT(ABS(E82)*100,"#,##0.0")&amp;"%"&amp;"：拆法（分配 "&amp;IF(E120&lt;0,"−","+")&amp;IF(ABS(E120)&lt;0,"−","")&amp;"$"&amp;TEXT(ABS(ABS(E120)),"#,##0.000")&amp;"bn"&amp;"（Q1'27 占 FY27 "&amp;TEXT((E40/輸入與假設!D$185)*100,"#,##0.0")&amp;"%"&amp;"，指引隱含 "&amp;TEXT(((((E36+E37)/2))/E118)*100,"#,##0.0")&amp;"%"&amp;"）；水準 "&amp;IF(E119&lt;0,"−","+")&amp;IF(ABS(E119)&lt;0,"−","")&amp;"$"&amp;TEXT(ABS(ABS(E119)),"#,##0.000")&amp;"bn"&amp;"）","CapEx（毛額） vs 指引中點 "&amp;IF(E82&lt;0,"−","+")&amp;TEXT(ABS(E82)*100,"#,##0.0")&amp;"%"&amp;"：觀點（水準 "&amp;IF(E119&lt;0,"−","+")&amp;IF(ABS(E119)&lt;0,"−","")&amp;"$"&amp;TEXT(ABS(ABS(E119)),"#,##0.000")&amp;"bn"&amp;"（FY27 模型 "&amp;IF(輸入與假設!D$185&lt;0,"−","")&amp;"$"&amp;TEXT(ABS(輸入與假設!D$185),"#,##0.000")&amp;"bn"&amp;"，指引隱含 "&amp;IF(E118&lt;0,"−","")&amp;"$"&amp;TEXT(ABS(E118),"#,##0.000")&amp;"bn"&amp;"）；分配 "&amp;IF(E120&lt;0,"−","+")&amp;IF(ABS(E120)&lt;0,"−","")&amp;"$"&amp;TEXT(ABS(ABS(E120)),"#,##0.000")&amp;"bn"&amp;"）"),"CapEx（毛額） vs 指引中點 "&amp;IF(E82&lt;0,"−","+")&amp;TEXT(ABS(E82)*100,"#,##0.0")&amp;"%"&amp;"：未歸類（差異原因待補）"),""),"")</f>
        <v/>
      </c>
      <c r="F123" s="48" t="str">
        <f aca="false">IF(ISNUMBER(F82),IF(OR(ABS(F82)&gt;輸入與假設!$C$349,F40&gt;F37,F40&lt;F36),IF(ISNUMBER(F119),IF(ABS(F120)&gt;ABS(F119),"CapEx（毛額） vs 指引中點 "&amp;IF(F82&lt;0,"−","+")&amp;TEXT(ABS(F82)*100,"#,##0.0")&amp;"%"&amp;"：拆法（分配 "&amp;IF(F120&lt;0,"−","+")&amp;IF(ABS(F120)&lt;0,"−","")&amp;"$"&amp;TEXT(ABS(ABS(F120)),"#,##0.000")&amp;"bn"&amp;"（Q2'27 占 FY27 "&amp;TEXT((F40/輸入與假設!D$185)*100,"#,##0.0")&amp;"%"&amp;"，指引隱含 "&amp;TEXT(((((F36+F37)/2))/F118)*100,"#,##0.0")&amp;"%"&amp;"）；水準 "&amp;IF(F119&lt;0,"−","+")&amp;IF(ABS(F119)&lt;0,"−","")&amp;"$"&amp;TEXT(ABS(ABS(F119)),"#,##0.000")&amp;"bn"&amp;"）","CapEx（毛額） vs 指引中點 "&amp;IF(F82&lt;0,"−","+")&amp;TEXT(ABS(F82)*100,"#,##0.0")&amp;"%"&amp;"：觀點（水準 "&amp;IF(F119&lt;0,"−","+")&amp;IF(ABS(F119)&lt;0,"−","")&amp;"$"&amp;TEXT(ABS(ABS(F119)),"#,##0.000")&amp;"bn"&amp;"（FY27 模型 "&amp;IF(輸入與假設!D$185&lt;0,"−","")&amp;"$"&amp;TEXT(ABS(輸入與假設!D$185),"#,##0.000")&amp;"bn"&amp;"，指引隱含 "&amp;IF(F118&lt;0,"−","")&amp;"$"&amp;TEXT(ABS(F118),"#,##0.000")&amp;"bn"&amp;"）；分配 "&amp;IF(F120&lt;0,"−","+")&amp;IF(ABS(F120)&lt;0,"−","")&amp;"$"&amp;TEXT(ABS(ABS(F120)),"#,##0.000")&amp;"bn"&amp;"）"),"CapEx（毛額） vs 指引中點 "&amp;IF(F82&lt;0,"−","+")&amp;TEXT(ABS(F82)*100,"#,##0.0")&amp;"%"&amp;"：未歸類（差異原因待補）"),""),"")</f>
        <v/>
      </c>
      <c r="G123" s="48" t="str">
        <f aca="false">IF(ISNUMBER(G82),IF(OR(ABS(G82)&gt;輸入與假設!$C$349,G40&gt;G37,G40&lt;G36),IF(ISNUMBER(G119),IF(ABS(G120)&gt;ABS(G119),"CapEx（毛額） vs 指引中點 "&amp;IF(G82&lt;0,"−","+")&amp;TEXT(ABS(G82)*100,"#,##0.0")&amp;"%"&amp;"：拆法（分配 "&amp;IF(G120&lt;0,"−","+")&amp;IF(ABS(G120)&lt;0,"−","")&amp;"$"&amp;TEXT(ABS(ABS(G120)),"#,##0.000")&amp;"bn"&amp;"（Q3'27 占 FY27 "&amp;TEXT((G40/輸入與假設!D$185)*100,"#,##0.0")&amp;"%"&amp;"，指引隱含 "&amp;TEXT(((((G36+G37)/2))/G118)*100,"#,##0.0")&amp;"%"&amp;"）；水準 "&amp;IF(G119&lt;0,"−","+")&amp;IF(ABS(G119)&lt;0,"−","")&amp;"$"&amp;TEXT(ABS(ABS(G119)),"#,##0.000")&amp;"bn"&amp;"）","CapEx（毛額） vs 指引中點 "&amp;IF(G82&lt;0,"−","+")&amp;TEXT(ABS(G82)*100,"#,##0.0")&amp;"%"&amp;"：觀點（水準 "&amp;IF(G119&lt;0,"−","+")&amp;IF(ABS(G119)&lt;0,"−","")&amp;"$"&amp;TEXT(ABS(ABS(G119)),"#,##0.000")&amp;"bn"&amp;"（FY27 模型 "&amp;IF(輸入與假設!D$185&lt;0,"−","")&amp;"$"&amp;TEXT(ABS(輸入與假設!D$185),"#,##0.000")&amp;"bn"&amp;"，指引隱含 "&amp;IF(G118&lt;0,"−","")&amp;"$"&amp;TEXT(ABS(G118),"#,##0.000")&amp;"bn"&amp;"）；分配 "&amp;IF(G120&lt;0,"−","+")&amp;IF(ABS(G120)&lt;0,"−","")&amp;"$"&amp;TEXT(ABS(ABS(G120)),"#,##0.000")&amp;"bn"&amp;"）"),"CapEx（毛額） vs 指引中點 "&amp;IF(G82&lt;0,"−","+")&amp;TEXT(ABS(G82)*100,"#,##0.0")&amp;"%"&amp;"：未歸類（差異原因待補）"),""),"")</f>
        <v/>
      </c>
      <c r="H123" s="48" t="str">
        <f aca="false">IF(ISNUMBER(H82),IF(OR(ABS(H82)&gt;輸入與假設!$C$349,H40&gt;H37,H40&lt;H36),IF(ISNUMBER(H119),IF(ABS(H120)&gt;ABS(H119),"CapEx（毛額） vs 指引中點 "&amp;IF(H82&lt;0,"−","+")&amp;TEXT(ABS(H82)*100,"#,##0.0")&amp;"%"&amp;"：拆法（分配 "&amp;IF(H120&lt;0,"−","+")&amp;IF(ABS(H120)&lt;0,"−","")&amp;"$"&amp;TEXT(ABS(ABS(H120)),"#,##0.000")&amp;"bn"&amp;"（Q4'27 占 FY27 "&amp;TEXT((H40/輸入與假設!D$185)*100,"#,##0.0")&amp;"%"&amp;"，指引隱含 "&amp;TEXT(((((H36+H37)/2))/H118)*100,"#,##0.0")&amp;"%"&amp;"）；水準 "&amp;IF(H119&lt;0,"−","+")&amp;IF(ABS(H119)&lt;0,"−","")&amp;"$"&amp;TEXT(ABS(ABS(H119)),"#,##0.000")&amp;"bn"&amp;"）","CapEx（毛額） vs 指引中點 "&amp;IF(H82&lt;0,"−","+")&amp;TEXT(ABS(H82)*100,"#,##0.0")&amp;"%"&amp;"：觀點（水準 "&amp;IF(H119&lt;0,"−","+")&amp;IF(ABS(H119)&lt;0,"−","")&amp;"$"&amp;TEXT(ABS(ABS(H119)),"#,##0.000")&amp;"bn"&amp;"（FY27 模型 "&amp;IF(輸入與假設!D$185&lt;0,"−","")&amp;"$"&amp;TEXT(ABS(輸入與假設!D$185),"#,##0.000")&amp;"bn"&amp;"，指引隱含 "&amp;IF(H118&lt;0,"−","")&amp;"$"&amp;TEXT(ABS(H118),"#,##0.000")&amp;"bn"&amp;"）；分配 "&amp;IF(H120&lt;0,"−","+")&amp;IF(ABS(H120)&lt;0,"−","")&amp;"$"&amp;TEXT(ABS(ABS(H120)),"#,##0.000")&amp;"bn"&amp;"）"),"CapEx（毛額） vs 指引中點 "&amp;IF(H82&lt;0,"−","+")&amp;TEXT(ABS(H82)*100,"#,##0.0")&amp;"%"&amp;"：未歸類（差異原因待補）"),""),"")</f>
        <v/>
      </c>
    </row>
    <row r="124" customFormat="false" ht="15" hidden="true" customHeight="false" outlineLevel="1" collapsed="false">
      <c r="A124" s="3" t="s">
        <v>1074</v>
      </c>
      <c r="C124" s="48" t="str">
        <f aca="false">IF(ISNUMBER(C82),IF(OR(ABS(C82)&gt;輸入與假設!$C$349,C40&gt;C37,C40&lt;C36),IF(ISNUMBER(C119),IF(ABS(C120)&gt;ABS(C119),"拆法","觀點"),"未歸類"),""),"")</f>
        <v/>
      </c>
      <c r="D124" s="48" t="str">
        <f aca="false">IF(ISNUMBER(D82),IF(OR(ABS(D82)&gt;輸入與假設!$C$349,D40&gt;D37,D40&lt;D36),IF(ISNUMBER(D119),IF(ABS(D120)&gt;ABS(D119),"拆法","觀點"),"未歸類"),""),"")</f>
        <v/>
      </c>
      <c r="E124" s="48" t="str">
        <f aca="false">IF(ISNUMBER(E82),IF(OR(ABS(E82)&gt;輸入與假設!$C$349,E40&gt;E37,E40&lt;E36),IF(ISNUMBER(E119),IF(ABS(E120)&gt;ABS(E119),"拆法","觀點"),"未歸類"),""),"")</f>
        <v/>
      </c>
      <c r="F124" s="48" t="str">
        <f aca="false">IF(ISNUMBER(F82),IF(OR(ABS(F82)&gt;輸入與假設!$C$349,F40&gt;F37,F40&lt;F36),IF(ISNUMBER(F119),IF(ABS(F120)&gt;ABS(F119),"拆法","觀點"),"未歸類"),""),"")</f>
        <v/>
      </c>
      <c r="G124" s="48" t="str">
        <f aca="false">IF(ISNUMBER(G82),IF(OR(ABS(G82)&gt;輸入與假設!$C$349,G40&gt;G37,G40&lt;G36),IF(ISNUMBER(G119),IF(ABS(G120)&gt;ABS(G119),"拆法","觀點"),"未歸類"),""),"")</f>
        <v/>
      </c>
      <c r="H124" s="48" t="str">
        <f aca="false">IF(ISNUMBER(H82),IF(OR(ABS(H82)&gt;輸入與假設!$C$349,H40&gt;H37,H40&lt;H36),IF(ISNUMBER(H119),IF(ABS(H120)&gt;ABS(H119),"拆法","觀點"),"未歸類"),""),"")</f>
        <v/>
      </c>
    </row>
    <row r="125" customFormat="false" ht="15" hidden="true" customHeight="false" outlineLevel="1" collapsed="false">
      <c r="A125" s="3" t="s">
        <v>1075</v>
      </c>
      <c r="C125" s="48"/>
      <c r="D125" s="48"/>
      <c r="E125" s="48"/>
      <c r="F125" s="48"/>
      <c r="G125" s="48"/>
      <c r="H125" s="48"/>
    </row>
    <row r="126" customFormat="false" ht="15" hidden="true" customHeight="false" outlineLevel="1" collapsed="false">
      <c r="A126" s="3" t="s">
        <v>1076</v>
      </c>
      <c r="C126" s="48"/>
      <c r="D126" s="48"/>
      <c r="E126" s="48"/>
      <c r="F126" s="48"/>
      <c r="G126" s="48"/>
      <c r="H126" s="48"/>
    </row>
    <row r="127" customFormat="false" ht="15" hidden="true" customHeight="false" outlineLevel="1" collapsed="false">
      <c r="A127" s="3" t="s">
        <v>1077</v>
      </c>
      <c r="C127" s="48"/>
      <c r="D127" s="48"/>
      <c r="E127" s="48"/>
      <c r="F127" s="48"/>
      <c r="G127" s="48"/>
      <c r="H127" s="48"/>
    </row>
    <row r="128" customFormat="false" ht="15" hidden="true" customHeight="false" outlineLevel="1" collapsed="false">
      <c r="A128" s="3" t="s">
        <v>1078</v>
      </c>
      <c r="C128" s="48"/>
      <c r="D128" s="48"/>
      <c r="E128" s="48"/>
      <c r="F128" s="48"/>
      <c r="G128" s="48"/>
      <c r="H128" s="48"/>
    </row>
    <row r="129" customFormat="false" ht="15" hidden="true" customHeight="false" outlineLevel="1" collapsed="false">
      <c r="A129" s="3" t="s">
        <v>1079</v>
      </c>
      <c r="C129" s="48"/>
      <c r="D129" s="48"/>
      <c r="E129" s="48"/>
      <c r="F129" s="48"/>
      <c r="G129" s="48"/>
      <c r="H129" s="48"/>
    </row>
    <row r="130" customFormat="false" ht="15" hidden="true" customHeight="false" outlineLevel="1" collapsed="false">
      <c r="A130" s="3" t="s">
        <v>1080</v>
      </c>
      <c r="C130" s="48"/>
      <c r="D130" s="48"/>
      <c r="E130" s="48"/>
      <c r="F130" s="48"/>
      <c r="G130" s="48"/>
      <c r="H130" s="48"/>
    </row>
    <row r="131" customFormat="false" ht="15" hidden="true" customHeight="false" outlineLevel="1" collapsed="false">
      <c r="A131" s="3" t="s">
        <v>1081</v>
      </c>
      <c r="C131" s="48"/>
      <c r="D131" s="48"/>
      <c r="E131" s="48"/>
      <c r="F131" s="48"/>
      <c r="G131" s="48"/>
      <c r="H131" s="48"/>
    </row>
    <row r="132" customFormat="false" ht="15" hidden="true" customHeight="false" outlineLevel="1" collapsed="false">
      <c r="A132" s="3" t="s">
        <v>1082</v>
      </c>
      <c r="C132" s="48"/>
      <c r="D132" s="48"/>
      <c r="E132" s="48"/>
      <c r="F132" s="48"/>
      <c r="G132" s="48"/>
      <c r="H132" s="48"/>
    </row>
    <row r="133" customFormat="false" ht="15" hidden="true" customHeight="false" outlineLevel="1" collapsed="false">
      <c r="A133" s="3" t="s">
        <v>1083</v>
      </c>
      <c r="C133" s="48" t="str">
        <f aca="false">MID(IF(C97&lt;&gt;"","；"&amp;C97,"")&amp;IF(C99&lt;&gt;"","；"&amp;C99,"")&amp;IF(C101&lt;&gt;"","；"&amp;C101,"")&amp;IF(C106&lt;&gt;"","；"&amp;C106,"")&amp;IF(C108&lt;&gt;"","；"&amp;C108,"")&amp;IF(C110&lt;&gt;"","；"&amp;C110,"")&amp;IF(C112&lt;&gt;"","；"&amp;C112,"")&amp;IF(C114&lt;&gt;"","；"&amp;C114,"")&amp;IF(C116&lt;&gt;"","；"&amp;C116,"")&amp;IF(C121&lt;&gt;"","；"&amp;C121,"")&amp;IF(C123&lt;&gt;"","；"&amp;C123,"")&amp;IF(C125&lt;&gt;"","；"&amp;C125,"")&amp;IF(C127&lt;&gt;"","；"&amp;C127,"")&amp;IF(C129&lt;&gt;"","；"&amp;C129,"")&amp;IF(C131&lt;&gt;"","；"&amp;C131,""),2,9999)</f>
        <v>營收 vs 共識 −10.9%：觀點（水準 −$0.581bn（2H26 模型 $6.895bn，共識合計 $8.247bn）；分配 +$0.196bn）；營收 vs 指引中點 −10.5%：觀點（水準 −$0.542bn（2H26 模型 $6.895bn，指引隱含 $8.147bn）；分配 +$0.173bn）；調整後營業利益 vs 指引中點 −$0.52bn／−15.6pt：已知限制（對照指引隱含折舊 1.82（＝共識 EBITDA 2.05 − 指引中點 0.23，Derived），模型折舊 2.14；缺口 −0.52 ≈ 折舊 −0.33 ＋ EBITDA −0.19；待辦 6 修正折舊）</v>
      </c>
      <c r="D133" s="48" t="str">
        <f aca="false">MID(IF(D97&lt;&gt;"","；"&amp;D97,"")&amp;IF(D99&lt;&gt;"","；"&amp;D99,"")&amp;IF(D101&lt;&gt;"","；"&amp;D101,"")&amp;IF(D106&lt;&gt;"","；"&amp;D106,"")&amp;IF(D108&lt;&gt;"","；"&amp;D108,"")&amp;IF(D110&lt;&gt;"","；"&amp;D110,"")&amp;IF(D112&lt;&gt;"","；"&amp;D112,"")&amp;IF(D114&lt;&gt;"","；"&amp;D114,"")&amp;IF(D116&lt;&gt;"","；"&amp;D116,"")&amp;IF(D121&lt;&gt;"","；"&amp;D121,"")&amp;IF(D123&lt;&gt;"","；"&amp;D123,"")&amp;IF(D125&lt;&gt;"","；"&amp;D125,"")&amp;IF(D127&lt;&gt;"","；"&amp;D127,"")&amp;IF(D129&lt;&gt;"","；"&amp;D129,"")&amp;IF(D131&lt;&gt;"","；"&amp;D131,""),2,9999)</f>
        <v>營收 vs 共識 −20.6%：觀點（水準 −$0.772bn（2H26 模型 $6.895bn，共識合計 $8.247bn）；分配 −$0.196bn）；調整後 EBITDA vs 共識 −$0.68bn／−2.2pt：觀點（水準 −$0.510bn（2H26 模型 $4.074bn，共識合計 $4.944bn）；分配 −$0.170bn）</v>
      </c>
      <c r="E133" s="48" t="str">
        <f aca="false">MID(IF(E97&lt;&gt;"","；"&amp;E97,"")&amp;IF(E99&lt;&gt;"","；"&amp;E99,"")&amp;IF(E101&lt;&gt;"","；"&amp;E101,"")&amp;IF(E106&lt;&gt;"","；"&amp;E106,"")&amp;IF(E108&lt;&gt;"","；"&amp;E108,"")&amp;IF(E110&lt;&gt;"","；"&amp;E110,"")&amp;IF(E112&lt;&gt;"","；"&amp;E112,"")&amp;IF(E114&lt;&gt;"","；"&amp;E114,"")&amp;IF(E116&lt;&gt;"","；"&amp;E116,"")&amp;IF(E121&lt;&gt;"","；"&amp;E121,"")&amp;IF(E123&lt;&gt;"","；"&amp;E123,"")&amp;IF(E125&lt;&gt;"","；"&amp;E125,"")&amp;IF(E127&lt;&gt;"","；"&amp;E127,"")&amp;IF(E129&lt;&gt;"","；"&amp;E129,"")&amp;IF(E131&lt;&gt;"","；"&amp;E131,""),2,9999)</f>
        <v/>
      </c>
      <c r="F133" s="48" t="str">
        <f aca="false">MID(IF(F97&lt;&gt;"","；"&amp;F97,"")&amp;IF(F99&lt;&gt;"","；"&amp;F99,"")&amp;IF(F101&lt;&gt;"","；"&amp;F101,"")&amp;IF(F106&lt;&gt;"","；"&amp;F106,"")&amp;IF(F108&lt;&gt;"","；"&amp;F108,"")&amp;IF(F110&lt;&gt;"","；"&amp;F110,"")&amp;IF(F112&lt;&gt;"","；"&amp;F112,"")&amp;IF(F114&lt;&gt;"","；"&amp;F114,"")&amp;IF(F116&lt;&gt;"","；"&amp;F116,"")&amp;IF(F121&lt;&gt;"","；"&amp;F121,"")&amp;IF(F123&lt;&gt;"","；"&amp;F123,"")&amp;IF(F125&lt;&gt;"","；"&amp;F125,"")&amp;IF(F127&lt;&gt;"","；"&amp;F127,"")&amp;IF(F129&lt;&gt;"","；"&amp;F129,"")&amp;IF(F131&lt;&gt;"","；"&amp;F131,""),2,9999)</f>
        <v/>
      </c>
      <c r="G133" s="48" t="str">
        <f aca="false">MID(IF(G97&lt;&gt;"","；"&amp;G97,"")&amp;IF(G99&lt;&gt;"","；"&amp;G99,"")&amp;IF(G101&lt;&gt;"","；"&amp;G101,"")&amp;IF(G106&lt;&gt;"","；"&amp;G106,"")&amp;IF(G108&lt;&gt;"","；"&amp;G108,"")&amp;IF(G110&lt;&gt;"","；"&amp;G110,"")&amp;IF(G112&lt;&gt;"","；"&amp;G112,"")&amp;IF(G114&lt;&gt;"","；"&amp;G114,"")&amp;IF(G116&lt;&gt;"","；"&amp;G116,"")&amp;IF(G121&lt;&gt;"","；"&amp;G121,"")&amp;IF(G123&lt;&gt;"","；"&amp;G123,"")&amp;IF(G125&lt;&gt;"","；"&amp;G125,"")&amp;IF(G127&lt;&gt;"","；"&amp;G127,"")&amp;IF(G129&lt;&gt;"","；"&amp;G129,"")&amp;IF(G131&lt;&gt;"","；"&amp;G131,""),2,9999)</f>
        <v/>
      </c>
      <c r="H133" s="48" t="str">
        <f aca="false">MID(IF(H97&lt;&gt;"","；"&amp;H97,"")&amp;IF(H99&lt;&gt;"","；"&amp;H99,"")&amp;IF(H101&lt;&gt;"","；"&amp;H101,"")&amp;IF(H106&lt;&gt;"","；"&amp;H106,"")&amp;IF(H108&lt;&gt;"","；"&amp;H108,"")&amp;IF(H110&lt;&gt;"","；"&amp;H110,"")&amp;IF(H112&lt;&gt;"","；"&amp;H112,"")&amp;IF(H114&lt;&gt;"","；"&amp;H114,"")&amp;IF(H116&lt;&gt;"","；"&amp;H116,"")&amp;IF(H121&lt;&gt;"","；"&amp;H121,"")&amp;IF(H123&lt;&gt;"","；"&amp;H123,"")&amp;IF(H125&lt;&gt;"","；"&amp;H125,"")&amp;IF(H127&lt;&gt;"","；"&amp;H127,"")&amp;IF(H129&lt;&gt;"","；"&amp;H129,"")&amp;IF(H131&lt;&gt;"","；"&amp;H131,""),2,9999)</f>
        <v/>
      </c>
    </row>
    <row r="134" customFormat="false" ht="15" hidden="true" customHeight="false" outlineLevel="1" collapsed="false">
      <c r="A134" s="3" t="s">
        <v>1084</v>
      </c>
      <c r="C134" s="48" t="str">
        <f aca="false">IF((C98&amp;IF(AND(C100&lt;&gt;"",C100&lt;&gt;C98),IF((C98)&lt;&gt;"","、","")&amp;C100,"")&amp;IF(AND(C102&lt;&gt;"",C102&lt;&gt;C98,C102&lt;&gt;C100),IF((C98&amp;C100)&lt;&gt;"","、","")&amp;C102,""))&lt;&gt;"","〔"&amp;(C98&amp;IF(AND(C100&lt;&gt;"",C100&lt;&gt;C98),IF((C98)&lt;&gt;"","、","")&amp;C100,"")&amp;IF(AND(C102&lt;&gt;"",C102&lt;&gt;C98,C102&lt;&gt;C100),IF((C98&amp;C100)&lt;&gt;"","、","")&amp;C102,""))&amp;"〕","")</f>
        <v>〔觀點〕</v>
      </c>
      <c r="D134" s="48" t="str">
        <f aca="false">IF((D98&amp;IF(AND(D100&lt;&gt;"",D100&lt;&gt;D98),IF((D98)&lt;&gt;"","、","")&amp;D100,"")&amp;IF(AND(D102&lt;&gt;"",D102&lt;&gt;D98,D102&lt;&gt;D100),IF((D98&amp;D100)&lt;&gt;"","、","")&amp;D102,""))&lt;&gt;"","〔"&amp;(D98&amp;IF(AND(D100&lt;&gt;"",D100&lt;&gt;D98),IF((D98)&lt;&gt;"","、","")&amp;D100,"")&amp;IF(AND(D102&lt;&gt;"",D102&lt;&gt;D98,D102&lt;&gt;D100),IF((D98&amp;D100)&lt;&gt;"","、","")&amp;D102,""))&amp;"〕","")</f>
        <v>〔觀點〕</v>
      </c>
      <c r="E134" s="48" t="str">
        <f aca="false">IF((E98&amp;IF(AND(E100&lt;&gt;"",E100&lt;&gt;E98),IF((E98)&lt;&gt;"","、","")&amp;E100,"")&amp;IF(AND(E102&lt;&gt;"",E102&lt;&gt;E98,E102&lt;&gt;E100),IF((E98&amp;E100)&lt;&gt;"","、","")&amp;E102,""))&lt;&gt;"","〔"&amp;(E98&amp;IF(AND(E100&lt;&gt;"",E100&lt;&gt;E98),IF((E98)&lt;&gt;"","、","")&amp;E100,"")&amp;IF(AND(E102&lt;&gt;"",E102&lt;&gt;E98,E102&lt;&gt;E100),IF((E98&amp;E100)&lt;&gt;"","、","")&amp;E102,""))&amp;"〕","")</f>
        <v/>
      </c>
      <c r="F134" s="48" t="str">
        <f aca="false">IF((F98&amp;IF(AND(F100&lt;&gt;"",F100&lt;&gt;F98),IF((F98)&lt;&gt;"","、","")&amp;F100,"")&amp;IF(AND(F102&lt;&gt;"",F102&lt;&gt;F98,F102&lt;&gt;F100),IF((F98&amp;F100)&lt;&gt;"","、","")&amp;F102,""))&lt;&gt;"","〔"&amp;(F98&amp;IF(AND(F100&lt;&gt;"",F100&lt;&gt;F98),IF((F98)&lt;&gt;"","、","")&amp;F100,"")&amp;IF(AND(F102&lt;&gt;"",F102&lt;&gt;F98,F102&lt;&gt;F100),IF((F98&amp;F100)&lt;&gt;"","、","")&amp;F102,""))&amp;"〕","")</f>
        <v/>
      </c>
      <c r="G134" s="48" t="str">
        <f aca="false">IF((G98&amp;IF(AND(G100&lt;&gt;"",G100&lt;&gt;G98),IF((G98)&lt;&gt;"","、","")&amp;G100,"")&amp;IF(AND(G102&lt;&gt;"",G102&lt;&gt;G98,G102&lt;&gt;G100),IF((G98&amp;G100)&lt;&gt;"","、","")&amp;G102,""))&lt;&gt;"","〔"&amp;(G98&amp;IF(AND(G100&lt;&gt;"",G100&lt;&gt;G98),IF((G98)&lt;&gt;"","、","")&amp;G100,"")&amp;IF(AND(G102&lt;&gt;"",G102&lt;&gt;G98,G102&lt;&gt;G100),IF((G98&amp;G100)&lt;&gt;"","、","")&amp;G102,""))&amp;"〕","")</f>
        <v/>
      </c>
      <c r="H134" s="48" t="str">
        <f aca="false">IF((H98&amp;IF(AND(H100&lt;&gt;"",H100&lt;&gt;H98),IF((H98)&lt;&gt;"","、","")&amp;H100,"")&amp;IF(AND(H102&lt;&gt;"",H102&lt;&gt;H98,H102&lt;&gt;H100),IF((H98&amp;H100)&lt;&gt;"","、","")&amp;H102,""))&lt;&gt;"","〔"&amp;(H98&amp;IF(AND(H100&lt;&gt;"",H100&lt;&gt;H98),IF((H98)&lt;&gt;"","、","")&amp;H100,"")&amp;IF(AND(H102&lt;&gt;"",H102&lt;&gt;H98,H102&lt;&gt;H100),IF((H98&amp;H100)&lt;&gt;"","、","")&amp;H102,""))&amp;"〕","")</f>
        <v/>
      </c>
    </row>
    <row r="135" customFormat="false" ht="15" hidden="true" customHeight="false" outlineLevel="1" collapsed="false">
      <c r="A135" s="3" t="s">
        <v>1085</v>
      </c>
      <c r="C135" s="48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/>
      </c>
      <c r="D135" s="48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>〔觀點〕</v>
      </c>
      <c r="E135" s="48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35" s="48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35" s="48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35" s="48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36" customFormat="false" ht="15" hidden="true" customHeight="false" outlineLevel="1" collapsed="false">
      <c r="A136" s="3" t="s">
        <v>1086</v>
      </c>
      <c r="C136" s="48" t="str">
        <f aca="false">IF((C113&amp;IF(AND(C115&lt;&gt;"",C115&lt;&gt;C113),IF((C113)&lt;&gt;"","、","")&amp;C115,"")&amp;IF(AND(C117&lt;&gt;"",C117&lt;&gt;C113,C117&lt;&gt;C115),IF((C113&amp;C115)&lt;&gt;"","、","")&amp;C117,""))&lt;&gt;"","〔"&amp;(C113&amp;IF(AND(C115&lt;&gt;"",C115&lt;&gt;C113),IF((C113)&lt;&gt;"","、","")&amp;C115,"")&amp;IF(AND(C117&lt;&gt;"",C117&lt;&gt;C113,C117&lt;&gt;C115),IF((C113&amp;C115)&lt;&gt;"","、","")&amp;C117,""))&amp;"〕","")</f>
        <v>〔已知限制〕</v>
      </c>
      <c r="D136" s="48" t="str">
        <f aca="false">IF((D113&amp;IF(AND(D115&lt;&gt;"",D115&lt;&gt;D113),IF((D113)&lt;&gt;"","、","")&amp;D115,"")&amp;IF(AND(D117&lt;&gt;"",D117&lt;&gt;D113,D117&lt;&gt;D115),IF((D113&amp;D115)&lt;&gt;"","、","")&amp;D117,""))&lt;&gt;"","〔"&amp;(D113&amp;IF(AND(D115&lt;&gt;"",D115&lt;&gt;D113),IF((D113)&lt;&gt;"","、","")&amp;D115,"")&amp;IF(AND(D117&lt;&gt;"",D117&lt;&gt;D113,D117&lt;&gt;D115),IF((D113&amp;D115)&lt;&gt;"","、","")&amp;D117,""))&amp;"〕","")</f>
        <v/>
      </c>
      <c r="E136" s="48" t="str">
        <f aca="false">IF((E113&amp;IF(AND(E115&lt;&gt;"",E115&lt;&gt;E113),IF((E113)&lt;&gt;"","、","")&amp;E115,"")&amp;IF(AND(E117&lt;&gt;"",E117&lt;&gt;E113,E117&lt;&gt;E115),IF((E113&amp;E115)&lt;&gt;"","、","")&amp;E117,""))&lt;&gt;"","〔"&amp;(E113&amp;IF(AND(E115&lt;&gt;"",E115&lt;&gt;E113),IF((E113)&lt;&gt;"","、","")&amp;E115,"")&amp;IF(AND(E117&lt;&gt;"",E117&lt;&gt;E113,E117&lt;&gt;E115),IF((E113&amp;E115)&lt;&gt;"","、","")&amp;E117,""))&amp;"〕","")</f>
        <v/>
      </c>
      <c r="F136" s="48" t="str">
        <f aca="false">IF((F113&amp;IF(AND(F115&lt;&gt;"",F115&lt;&gt;F113),IF((F113)&lt;&gt;"","、","")&amp;F115,"")&amp;IF(AND(F117&lt;&gt;"",F117&lt;&gt;F113,F117&lt;&gt;F115),IF((F113&amp;F115)&lt;&gt;"","、","")&amp;F117,""))&lt;&gt;"","〔"&amp;(F113&amp;IF(AND(F115&lt;&gt;"",F115&lt;&gt;F113),IF((F113)&lt;&gt;"","、","")&amp;F115,"")&amp;IF(AND(F117&lt;&gt;"",F117&lt;&gt;F113,F117&lt;&gt;F115),IF((F113&amp;F115)&lt;&gt;"","、","")&amp;F117,""))&amp;"〕","")</f>
        <v/>
      </c>
      <c r="G136" s="48" t="str">
        <f aca="false">IF((G113&amp;IF(AND(G115&lt;&gt;"",G115&lt;&gt;G113),IF((G113)&lt;&gt;"","、","")&amp;G115,"")&amp;IF(AND(G117&lt;&gt;"",G117&lt;&gt;G113,G117&lt;&gt;G115),IF((G113&amp;G115)&lt;&gt;"","、","")&amp;G117,""))&lt;&gt;"","〔"&amp;(G113&amp;IF(AND(G115&lt;&gt;"",G115&lt;&gt;G113),IF((G113)&lt;&gt;"","、","")&amp;G115,"")&amp;IF(AND(G117&lt;&gt;"",G117&lt;&gt;G113,G117&lt;&gt;G115),IF((G113&amp;G115)&lt;&gt;"","、","")&amp;G117,""))&amp;"〕","")</f>
        <v/>
      </c>
      <c r="H136" s="48" t="str">
        <f aca="false">IF((H113&amp;IF(AND(H115&lt;&gt;"",H115&lt;&gt;H113),IF((H113)&lt;&gt;"","、","")&amp;H115,"")&amp;IF(AND(H117&lt;&gt;"",H117&lt;&gt;H113,H117&lt;&gt;H115),IF((H113&amp;H115)&lt;&gt;"","、","")&amp;H117,""))&lt;&gt;"","〔"&amp;(H113&amp;IF(AND(H115&lt;&gt;"",H115&lt;&gt;H113),IF((H113)&lt;&gt;"","、","")&amp;H115,"")&amp;IF(AND(H117&lt;&gt;"",H117&lt;&gt;H113,H117&lt;&gt;H115),IF((H113&amp;H115)&lt;&gt;"","、","")&amp;H117,""))&amp;"〕","")</f>
        <v/>
      </c>
    </row>
    <row r="137" customFormat="false" ht="15" hidden="true" customHeight="false" outlineLevel="1" collapsed="false">
      <c r="A137" s="3" t="s">
        <v>1087</v>
      </c>
      <c r="C137" s="48" t="str">
        <f aca="false">IF((C122&amp;IF(AND(C124&lt;&gt;"",C124&lt;&gt;C122),IF((C122)&lt;&gt;"","、","")&amp;C124,"")&amp;IF(AND(C126&lt;&gt;"",C126&lt;&gt;C122,C126&lt;&gt;C124),IF((C122&amp;C124)&lt;&gt;"","、","")&amp;C126,""))&lt;&gt;"","〔"&amp;(C122&amp;IF(AND(C124&lt;&gt;"",C124&lt;&gt;C122),IF((C122)&lt;&gt;"","、","")&amp;C124,"")&amp;IF(AND(C126&lt;&gt;"",C126&lt;&gt;C122,C126&lt;&gt;C124),IF((C122&amp;C124)&lt;&gt;"","、","")&amp;C126,""))&amp;"〕","")</f>
        <v/>
      </c>
      <c r="D137" s="48" t="str">
        <f aca="false">IF((D122&amp;IF(AND(D124&lt;&gt;"",D124&lt;&gt;D122),IF((D122)&lt;&gt;"","、","")&amp;D124,"")&amp;IF(AND(D126&lt;&gt;"",D126&lt;&gt;D122,D126&lt;&gt;D124),IF((D122&amp;D124)&lt;&gt;"","、","")&amp;D126,""))&lt;&gt;"","〔"&amp;(D122&amp;IF(AND(D124&lt;&gt;"",D124&lt;&gt;D122),IF((D122)&lt;&gt;"","、","")&amp;D124,"")&amp;IF(AND(D126&lt;&gt;"",D126&lt;&gt;D122,D126&lt;&gt;D124),IF((D122&amp;D124)&lt;&gt;"","、","")&amp;D126,""))&amp;"〕","")</f>
        <v/>
      </c>
      <c r="E137" s="48" t="str">
        <f aca="false">IF((E122&amp;IF(AND(E124&lt;&gt;"",E124&lt;&gt;E122),IF((E122)&lt;&gt;"","、","")&amp;E124,"")&amp;IF(AND(E126&lt;&gt;"",E126&lt;&gt;E122,E126&lt;&gt;E124),IF((E122&amp;E124)&lt;&gt;"","、","")&amp;E126,""))&lt;&gt;"","〔"&amp;(E122&amp;IF(AND(E124&lt;&gt;"",E124&lt;&gt;E122),IF((E122)&lt;&gt;"","、","")&amp;E124,"")&amp;IF(AND(E126&lt;&gt;"",E126&lt;&gt;E122,E126&lt;&gt;E124),IF((E122&amp;E124)&lt;&gt;"","、","")&amp;E126,""))&amp;"〕","")</f>
        <v/>
      </c>
      <c r="F137" s="48" t="str">
        <f aca="false">IF((F122&amp;IF(AND(F124&lt;&gt;"",F124&lt;&gt;F122),IF((F122)&lt;&gt;"","、","")&amp;F124,"")&amp;IF(AND(F126&lt;&gt;"",F126&lt;&gt;F122,F126&lt;&gt;F124),IF((F122&amp;F124)&lt;&gt;"","、","")&amp;F126,""))&lt;&gt;"","〔"&amp;(F122&amp;IF(AND(F124&lt;&gt;"",F124&lt;&gt;F122),IF((F122)&lt;&gt;"","、","")&amp;F124,"")&amp;IF(AND(F126&lt;&gt;"",F126&lt;&gt;F122,F126&lt;&gt;F124),IF((F122&amp;F124)&lt;&gt;"","、","")&amp;F126,""))&amp;"〕","")</f>
        <v/>
      </c>
      <c r="G137" s="48" t="str">
        <f aca="false">IF((G122&amp;IF(AND(G124&lt;&gt;"",G124&lt;&gt;G122),IF((G122)&lt;&gt;"","、","")&amp;G124,"")&amp;IF(AND(G126&lt;&gt;"",G126&lt;&gt;G122,G126&lt;&gt;G124),IF((G122&amp;G124)&lt;&gt;"","、","")&amp;G126,""))&lt;&gt;"","〔"&amp;(G122&amp;IF(AND(G124&lt;&gt;"",G124&lt;&gt;G122),IF((G122)&lt;&gt;"","、","")&amp;G124,"")&amp;IF(AND(G126&lt;&gt;"",G126&lt;&gt;G122,G126&lt;&gt;G124),IF((G122&amp;G124)&lt;&gt;"","、","")&amp;G126,""))&amp;"〕","")</f>
        <v/>
      </c>
      <c r="H137" s="48" t="str">
        <f aca="false">IF((H122&amp;IF(AND(H124&lt;&gt;"",H124&lt;&gt;H122),IF((H122)&lt;&gt;"","、","")&amp;H124,"")&amp;IF(AND(H126&lt;&gt;"",H126&lt;&gt;H122,H126&lt;&gt;H124),IF((H122&amp;H124)&lt;&gt;"","、","")&amp;H126,""))&lt;&gt;"","〔"&amp;(H122&amp;IF(AND(H124&lt;&gt;"",H124&lt;&gt;H122),IF((H122)&lt;&gt;"","、","")&amp;H124,"")&amp;IF(AND(H126&lt;&gt;"",H126&lt;&gt;H122,H126&lt;&gt;H124),IF((H122&amp;H124)&lt;&gt;"","、","")&amp;H126,""))&amp;"〕","")</f>
        <v/>
      </c>
    </row>
    <row r="138" customFormat="false" ht="15" hidden="true" customHeight="false" outlineLevel="1" collapsed="false">
      <c r="A138" s="3" t="s">
        <v>1088</v>
      </c>
      <c r="C138" s="48" t="str">
        <f aca="false">IF((C128&amp;IF(AND(C130&lt;&gt;"",C130&lt;&gt;C128),IF((C128)&lt;&gt;"","、","")&amp;C130,"")&amp;IF(AND(C132&lt;&gt;"",C132&lt;&gt;C128,C132&lt;&gt;C130),IF((C128&amp;C130)&lt;&gt;"","、","")&amp;C132,""))&lt;&gt;"","〔"&amp;(C128&amp;IF(AND(C130&lt;&gt;"",C130&lt;&gt;C128),IF((C128)&lt;&gt;"","、","")&amp;C130,"")&amp;IF(AND(C132&lt;&gt;"",C132&lt;&gt;C128,C132&lt;&gt;C130),IF((C128&amp;C130)&lt;&gt;"","、","")&amp;C132,""))&amp;"〕","")</f>
        <v/>
      </c>
      <c r="D138" s="48" t="str">
        <f aca="false">IF((D128&amp;IF(AND(D130&lt;&gt;"",D130&lt;&gt;D128),IF((D128)&lt;&gt;"","、","")&amp;D130,"")&amp;IF(AND(D132&lt;&gt;"",D132&lt;&gt;D128,D132&lt;&gt;D130),IF((D128&amp;D130)&lt;&gt;"","、","")&amp;D132,""))&lt;&gt;"","〔"&amp;(D128&amp;IF(AND(D130&lt;&gt;"",D130&lt;&gt;D128),IF((D128)&lt;&gt;"","、","")&amp;D130,"")&amp;IF(AND(D132&lt;&gt;"",D132&lt;&gt;D128,D132&lt;&gt;D130),IF((D128&amp;D130)&lt;&gt;"","、","")&amp;D132,""))&amp;"〕","")</f>
        <v/>
      </c>
      <c r="E138" s="48" t="str">
        <f aca="false">IF((E128&amp;IF(AND(E130&lt;&gt;"",E130&lt;&gt;E128),IF((E128)&lt;&gt;"","、","")&amp;E130,"")&amp;IF(AND(E132&lt;&gt;"",E132&lt;&gt;E128,E132&lt;&gt;E130),IF((E128&amp;E130)&lt;&gt;"","、","")&amp;E132,""))&lt;&gt;"","〔"&amp;(E128&amp;IF(AND(E130&lt;&gt;"",E130&lt;&gt;E128),IF((E128)&lt;&gt;"","、","")&amp;E130,"")&amp;IF(AND(E132&lt;&gt;"",E132&lt;&gt;E128,E132&lt;&gt;E130),IF((E128&amp;E130)&lt;&gt;"","、","")&amp;E132,""))&amp;"〕","")</f>
        <v/>
      </c>
      <c r="F138" s="48" t="str">
        <f aca="false">IF((F128&amp;IF(AND(F130&lt;&gt;"",F130&lt;&gt;F128),IF((F128)&lt;&gt;"","、","")&amp;F130,"")&amp;IF(AND(F132&lt;&gt;"",F132&lt;&gt;F128,F132&lt;&gt;F130),IF((F128&amp;F130)&lt;&gt;"","、","")&amp;F132,""))&lt;&gt;"","〔"&amp;(F128&amp;IF(AND(F130&lt;&gt;"",F130&lt;&gt;F128),IF((F128)&lt;&gt;"","、","")&amp;F130,"")&amp;IF(AND(F132&lt;&gt;"",F132&lt;&gt;F128,F132&lt;&gt;F130),IF((F128&amp;F130)&lt;&gt;"","、","")&amp;F132,""))&amp;"〕","")</f>
        <v/>
      </c>
      <c r="G138" s="48" t="str">
        <f aca="false">IF((G128&amp;IF(AND(G130&lt;&gt;"",G130&lt;&gt;G128),IF((G128)&lt;&gt;"","、","")&amp;G130,"")&amp;IF(AND(G132&lt;&gt;"",G132&lt;&gt;G128,G132&lt;&gt;G130),IF((G128&amp;G130)&lt;&gt;"","、","")&amp;G132,""))&lt;&gt;"","〔"&amp;(G128&amp;IF(AND(G130&lt;&gt;"",G130&lt;&gt;G128),IF((G128)&lt;&gt;"","、","")&amp;G130,"")&amp;IF(AND(G132&lt;&gt;"",G132&lt;&gt;G128,G132&lt;&gt;G130),IF((G128&amp;G130)&lt;&gt;"","、","")&amp;G132,""))&amp;"〕","")</f>
        <v/>
      </c>
      <c r="H138" s="48" t="str">
        <f aca="false">IF((H128&amp;IF(AND(H130&lt;&gt;"",H130&lt;&gt;H128),IF((H128)&lt;&gt;"","、","")&amp;H130,"")&amp;IF(AND(H132&lt;&gt;"",H132&lt;&gt;H128,H132&lt;&gt;H130),IF((H128&amp;H130)&lt;&gt;"","、","")&amp;H132,""))&lt;&gt;"","〔"&amp;(H128&amp;IF(AND(H130&lt;&gt;"",H130&lt;&gt;H128),IF((H128)&lt;&gt;"","、","")&amp;H130,"")&amp;IF(AND(H132&lt;&gt;"",H132&lt;&gt;H128,H132&lt;&gt;H130),IF((H128&amp;H130)&lt;&gt;"","、","")&amp;H132,""))&amp;"〕","")</f>
        <v/>
      </c>
    </row>
    <row r="139" customFormat="false" ht="15" hidden="true" customHeight="false" outlineLevel="1" collapsed="false">
      <c r="A139" s="3" t="s">
        <v>1089</v>
      </c>
      <c r="C139" s="48" t="str">
        <f aca="false">"營收：模型 "&amp;IF(ISNUMBER(C22),IF(C22&lt;0,"−","")&amp;"$"&amp;TEXT(ABS(C22),"#,##0.00")&amp;"bn","不適用")&amp;IF(ISNUMBER(C41),"｜共識 "&amp;IF(C41&lt;0,"−","")&amp;"$"&amp;TEXT(ABS(C41),"#,##0.00")&amp;"bn"&amp;"（"&amp;IF(ISNUMBER(C51),IF(C51&lt;0,"−","+")&amp;TEXT(ABS(C51)*100,"#,##0.0")&amp;"%","不適用")&amp;"）","")&amp;IF(AND(ISNUMBER(C31),ISNUMBER(C32)),"｜指引 "&amp;"$"&amp;IF(C31&lt;0,"−","")&amp;TEXT(ABS(C31),"#,##0.00")&amp;"–"&amp;IF(C32&lt;0,"−","")&amp;TEXT(ABS(C32),"#,##0.00")&amp;"bn"&amp;"（中點 "&amp;IF(ISNUMBER(C52),IF(C52&lt;0,"−","+")&amp;TEXT(ABS(C52)*100,"#,##0.0")&amp;"%","不適用")&amp;"，"&amp;IF(C22&gt;C32,"高於上緣",IF(C22&lt;C31,"低於下緣",IF(C22&gt;=(C31+C32)/2,"區間上半部","區間下半部")))&amp;"）","")&amp;IF(ISNUMBER(C45),"｜實際 "&amp;IF(C45&lt;0,"−","")&amp;"$"&amp;TEXT(ABS(C45),"#,##0.00")&amp;"bn"&amp;"（較模型 "&amp;IF(ISNUMBER(C53),IF(C53&lt;0,"−","+")&amp;TEXT(ABS(C53)*100,"#,##0.0")&amp;"%","不適用")&amp;IF(ISNUMBER(C41),"、較共識 "&amp;IF(ISNUMBER(C54),IF(C54&lt;0,"−","+")&amp;TEXT(ABS(C54)*100,"#,##0.0")&amp;"%","不適用"),"")&amp;IF(AND(ISNUMBER(C31),ISNUMBER(C32)),"、"&amp;IF(C45&gt;C32,"高於上緣",IF(C45&lt;C31,"低於下緣",IF(C45&gt;=(C31+C32)/2,"區間上半部","區間下半部"))),"")&amp;"）","")&amp;C134</f>
        <v>營收：模型 $3.16bn｜共識 $3.54bn（−10.9%）｜指引 $3.45–3.60bn（中點 −10.5%，低於下緣）〔觀點〕</v>
      </c>
      <c r="D139" s="48" t="str">
        <f aca="false">"營收：模型 "&amp;IF(ISNUMBER(D22),IF(D22&lt;0,"−","")&amp;"$"&amp;TEXT(ABS(D22),"#,##0.00")&amp;"bn","不適用")&amp;IF(ISNUMBER(D41),"｜共識 "&amp;IF(D41&lt;0,"−","")&amp;"$"&amp;TEXT(ABS(D41),"#,##0.00")&amp;"bn"&amp;"（"&amp;IF(ISNUMBER(D51),IF(D51&lt;0,"−","+")&amp;TEXT(ABS(D51)*100,"#,##0.0")&amp;"%","不適用")&amp;"）","")&amp;IF(AND(ISNUMBER(D31),ISNUMBER(D32)),"｜指引 "&amp;"$"&amp;IF(D31&lt;0,"−","")&amp;TEXT(ABS(D31),"#,##0.00")&amp;"–"&amp;IF(D32&lt;0,"−","")&amp;TEXT(ABS(D32),"#,##0.00")&amp;"bn"&amp;"（中點 "&amp;IF(ISNUMBER(D52),IF(D52&lt;0,"−","+")&amp;TEXT(ABS(D52)*100,"#,##0.0")&amp;"%","不適用")&amp;"，"&amp;IF(D22&gt;D32,"高於上緣",IF(D22&lt;D31,"低於下緣",IF(D22&gt;=(D31+D32)/2,"區間上半部","區間下半部")))&amp;"）","")&amp;IF(ISNUMBER(D45),"｜實際 "&amp;IF(D45&lt;0,"−","")&amp;"$"&amp;TEXT(ABS(D45),"#,##0.00")&amp;"bn"&amp;"（較模型 "&amp;IF(ISNUMBER(D53),IF(D53&lt;0,"−","+")&amp;TEXT(ABS(D53)*100,"#,##0.0")&amp;"%","不適用")&amp;IF(ISNUMBER(D41),"、較共識 "&amp;IF(ISNUMBER(D54),IF(D54&lt;0,"−","+")&amp;TEXT(ABS(D54)*100,"#,##0.0")&amp;"%","不適用"),"")&amp;IF(AND(ISNUMBER(D31),ISNUMBER(D32)),"、"&amp;IF(D45&gt;D32,"高於上緣",IF(D45&lt;D31,"低於下緣",IF(D45&gt;=(D31+D32)/2,"區間上半部","區間下半部"))),"")&amp;"）","")&amp;D134</f>
        <v>營收：模型 $3.74bn｜共識 $4.71bn（−20.6%）〔觀點〕</v>
      </c>
      <c r="E139" s="48" t="str">
        <f aca="false">"營收：模型 "&amp;IF(ISNUMBER(E22),IF(E22&lt;0,"−","")&amp;"$"&amp;TEXT(ABS(E22),"#,##0.00")&amp;"bn","不適用")&amp;IF(ISNUMBER(E41),"｜共識 "&amp;IF(E41&lt;0,"−","")&amp;"$"&amp;TEXT(ABS(E41),"#,##0.00")&amp;"bn"&amp;"（"&amp;IF(ISNUMBER(E51),IF(E51&lt;0,"−","+")&amp;TEXT(ABS(E51)*100,"#,##0.0")&amp;"%","不適用")&amp;"）","")&amp;IF(AND(ISNUMBER(E31),ISNUMBER(E32)),"｜指引 "&amp;"$"&amp;IF(E31&lt;0,"−","")&amp;TEXT(ABS(E31),"#,##0.00")&amp;"–"&amp;IF(E32&lt;0,"−","")&amp;TEXT(ABS(E32),"#,##0.00")&amp;"bn"&amp;"（中點 "&amp;IF(ISNUMBER(E52),IF(E52&lt;0,"−","+")&amp;TEXT(ABS(E52)*100,"#,##0.0")&amp;"%","不適用")&amp;"，"&amp;IF(E22&gt;E32,"高於上緣",IF(E22&lt;E31,"低於下緣",IF(E22&gt;=(E31+E32)/2,"區間上半部","區間下半部")))&amp;"）","")&amp;IF(ISNUMBER(E45),"｜實際 "&amp;IF(E45&lt;0,"−","")&amp;"$"&amp;TEXT(ABS(E45),"#,##0.00")&amp;"bn"&amp;"（較模型 "&amp;IF(ISNUMBER(E53),IF(E53&lt;0,"−","+")&amp;TEXT(ABS(E53)*100,"#,##0.0")&amp;"%","不適用")&amp;IF(ISNUMBER(E41),"、較共識 "&amp;IF(ISNUMBER(E54),IF(E54&lt;0,"−","+")&amp;TEXT(ABS(E54)*100,"#,##0.0")&amp;"%","不適用"),"")&amp;IF(AND(ISNUMBER(E31),ISNUMBER(E32)),"、"&amp;IF(E45&gt;E32,"高於上緣",IF(E45&lt;E31,"低於下緣",IF(E45&gt;=(E31+E32)/2,"區間上半部","區間下半部"))),"")&amp;"）","")&amp;E134</f>
        <v>營收：模型 $4.34bn</v>
      </c>
      <c r="F139" s="48" t="str">
        <f aca="false">"營收：模型 "&amp;IF(ISNUMBER(F22),IF(F22&lt;0,"−","")&amp;"$"&amp;TEXT(ABS(F22),"#,##0.00")&amp;"bn","不適用")&amp;IF(ISNUMBER(F41),"｜共識 "&amp;IF(F41&lt;0,"−","")&amp;"$"&amp;TEXT(ABS(F41),"#,##0.00")&amp;"bn"&amp;"（"&amp;IF(ISNUMBER(F51),IF(F51&lt;0,"−","+")&amp;TEXT(ABS(F51)*100,"#,##0.0")&amp;"%","不適用")&amp;"）","")&amp;IF(AND(ISNUMBER(F31),ISNUMBER(F32)),"｜指引 "&amp;"$"&amp;IF(F31&lt;0,"−","")&amp;TEXT(ABS(F31),"#,##0.00")&amp;"–"&amp;IF(F32&lt;0,"−","")&amp;TEXT(ABS(F32),"#,##0.00")&amp;"bn"&amp;"（中點 "&amp;IF(ISNUMBER(F52),IF(F52&lt;0,"−","+")&amp;TEXT(ABS(F52)*100,"#,##0.0")&amp;"%","不適用")&amp;"，"&amp;IF(F22&gt;F32,"高於上緣",IF(F22&lt;F31,"低於下緣",IF(F22&gt;=(F31+F32)/2,"區間上半部","區間下半部")))&amp;"）","")&amp;IF(ISNUMBER(F45),"｜實際 "&amp;IF(F45&lt;0,"−","")&amp;"$"&amp;TEXT(ABS(F45),"#,##0.00")&amp;"bn"&amp;"（較模型 "&amp;IF(ISNUMBER(F53),IF(F53&lt;0,"−","+")&amp;TEXT(ABS(F53)*100,"#,##0.0")&amp;"%","不適用")&amp;IF(ISNUMBER(F41),"、較共識 "&amp;IF(ISNUMBER(F54),IF(F54&lt;0,"−","+")&amp;TEXT(ABS(F54)*100,"#,##0.0")&amp;"%","不適用"),"")&amp;IF(AND(ISNUMBER(F31),ISNUMBER(F32)),"、"&amp;IF(F45&gt;F32,"高於上緣",IF(F45&lt;F31,"低於下緣",IF(F45&gt;=(F31+F32)/2,"區間上半部","區間下半部"))),"")&amp;"）","")&amp;F134</f>
        <v>營收：模型 $5.05bn</v>
      </c>
      <c r="G139" s="48" t="str">
        <f aca="false">"營收：模型 "&amp;IF(ISNUMBER(G22),IF(G22&lt;0,"−","")&amp;"$"&amp;TEXT(ABS(G22),"#,##0.00")&amp;"bn","不適用")&amp;IF(ISNUMBER(G41),"｜共識 "&amp;IF(G41&lt;0,"−","")&amp;"$"&amp;TEXT(ABS(G41),"#,##0.00")&amp;"bn"&amp;"（"&amp;IF(ISNUMBER(G51),IF(G51&lt;0,"−","+")&amp;TEXT(ABS(G51)*100,"#,##0.0")&amp;"%","不適用")&amp;"）","")&amp;IF(AND(ISNUMBER(G31),ISNUMBER(G32)),"｜指引 "&amp;"$"&amp;IF(G31&lt;0,"−","")&amp;TEXT(ABS(G31),"#,##0.00")&amp;"–"&amp;IF(G32&lt;0,"−","")&amp;TEXT(ABS(G32),"#,##0.00")&amp;"bn"&amp;"（中點 "&amp;IF(ISNUMBER(G52),IF(G52&lt;0,"−","+")&amp;TEXT(ABS(G52)*100,"#,##0.0")&amp;"%","不適用")&amp;"，"&amp;IF(G22&gt;G32,"高於上緣",IF(G22&lt;G31,"低於下緣",IF(G22&gt;=(G31+G32)/2,"區間上半部","區間下半部")))&amp;"）","")&amp;IF(ISNUMBER(G45),"｜實際 "&amp;IF(G45&lt;0,"−","")&amp;"$"&amp;TEXT(ABS(G45),"#,##0.00")&amp;"bn"&amp;"（較模型 "&amp;IF(ISNUMBER(G53),IF(G53&lt;0,"−","+")&amp;TEXT(ABS(G53)*100,"#,##0.0")&amp;"%","不適用")&amp;IF(ISNUMBER(G41),"、較共識 "&amp;IF(ISNUMBER(G54),IF(G54&lt;0,"−","+")&amp;TEXT(ABS(G54)*100,"#,##0.0")&amp;"%","不適用"),"")&amp;IF(AND(ISNUMBER(G31),ISNUMBER(G32)),"、"&amp;IF(G45&gt;G32,"高於上緣",IF(G45&lt;G31,"低於下緣",IF(G45&gt;=(G31+G32)/2,"區間上半部","區間下半部"))),"")&amp;"）","")&amp;G134</f>
        <v>營收：模型 $5.75bn</v>
      </c>
      <c r="H139" s="48" t="str">
        <f aca="false">"營收：模型 "&amp;IF(ISNUMBER(H22),IF(H22&lt;0,"−","")&amp;"$"&amp;TEXT(ABS(H22),"#,##0.00")&amp;"bn","不適用")&amp;IF(ISNUMBER(H41),"｜共識 "&amp;IF(H41&lt;0,"−","")&amp;"$"&amp;TEXT(ABS(H41),"#,##0.00")&amp;"bn"&amp;"（"&amp;IF(ISNUMBER(H51),IF(H51&lt;0,"−","+")&amp;TEXT(ABS(H51)*100,"#,##0.0")&amp;"%","不適用")&amp;"）","")&amp;IF(AND(ISNUMBER(H31),ISNUMBER(H32)),"｜指引 "&amp;"$"&amp;IF(H31&lt;0,"−","")&amp;TEXT(ABS(H31),"#,##0.00")&amp;"–"&amp;IF(H32&lt;0,"−","")&amp;TEXT(ABS(H32),"#,##0.00")&amp;"bn"&amp;"（中點 "&amp;IF(ISNUMBER(H52),IF(H52&lt;0,"−","+")&amp;TEXT(ABS(H52)*100,"#,##0.0")&amp;"%","不適用")&amp;"，"&amp;IF(H22&gt;H32,"高於上緣",IF(H22&lt;H31,"低於下緣",IF(H22&gt;=(H31+H32)/2,"區間上半部","區間下半部")))&amp;"）","")&amp;IF(ISNUMBER(H45),"｜實際 "&amp;IF(H45&lt;0,"−","")&amp;"$"&amp;TEXT(ABS(H45),"#,##0.00")&amp;"bn"&amp;"（較模型 "&amp;IF(ISNUMBER(H53),IF(H53&lt;0,"−","+")&amp;TEXT(ABS(H53)*100,"#,##0.0")&amp;"%","不適用")&amp;IF(ISNUMBER(H41),"、較共識 "&amp;IF(ISNUMBER(H54),IF(H54&lt;0,"−","+")&amp;TEXT(ABS(H54)*100,"#,##0.0")&amp;"%","不適用"),"")&amp;IF(AND(ISNUMBER(H31),ISNUMBER(H32)),"、"&amp;IF(H45&gt;H32,"高於上緣",IF(H45&lt;H31,"低於下緣",IF(H45&gt;=(H31+H32)/2,"區間上半部","區間下半部"))),"")&amp;"）","")&amp;H134</f>
        <v>營收：模型 $6.46bn</v>
      </c>
    </row>
    <row r="140" customFormat="false" ht="15" hidden="true" customHeight="false" outlineLevel="1" collapsed="false">
      <c r="A140" s="3" t="s">
        <v>1090</v>
      </c>
      <c r="C140" s="48" t="str">
        <f aca="false">"調整後 EBITDA：模型 "&amp;IF(ISNUMBER(C28),IF(C28&lt;0,"−","")&amp;"$"&amp;TEXT(ABS(C28),"#,##0.00")&amp;"bn","不適用")&amp;IF(ISNUMBER(C42),"｜共識 "&amp;IF(C42&lt;0,"−","")&amp;"$"&amp;TEXT(ABS(C42),"#,##0.00")&amp;"bn"&amp;"（"&amp;IF(ISNUMBER(C56),IF(C56&lt;0,"−","+")&amp;IF(ABS(C56)&lt;0,"−","")&amp;"$"&amp;TEXT(ABS(ABS(C56)),"#,##0.00")&amp;"bn"&amp;IF(ISNUMBER(C61),"／"&amp;IF(C61&lt;0,"−","+")&amp;TEXT(ABS(C61)*100,"#,##0.0")&amp;"pt",""),"不適用")&amp;"）","")&amp;IF(ISNUMBER(C46),"｜實際 "&amp;IF(C46&lt;0,"−","")&amp;"$"&amp;TEXT(ABS(C46),"#,##0.00")&amp;"bn"&amp;"（較模型 "&amp;IF(ISNUMBER(C58),IF(C58&lt;0,"−","+")&amp;IF(ABS(C58)&lt;0,"−","")&amp;"$"&amp;TEXT(ABS(ABS(C58)),"#,##0.00")&amp;"bn"&amp;IF(ISNUMBER(C63),"／"&amp;IF(C63&lt;0,"−","+")&amp;TEXT(ABS(C63)*100,"#,##0.0")&amp;"pt",""),"不適用")&amp;IF(ISNUMBER(C42),"、較共識 "&amp;IF(ISNUMBER(C59),IF(C59&lt;0,"−","+")&amp;IF(ABS(C59)&lt;0,"−","")&amp;"$"&amp;TEXT(ABS(ABS(C59)),"#,##0.00")&amp;"bn"&amp;IF(ISNUMBER(C64),"／"&amp;IF(C64&lt;0,"−","+")&amp;TEXT(ABS(C64)*100,"#,##0.0")&amp;"pt",""),"不適用"),"")&amp;"）","")&amp;C135</f>
        <v>調整後 EBITDA：模型 $1.86bn｜共識 $2.05bn（−$0.19bn／+1.0pt）</v>
      </c>
      <c r="D140" s="48" t="str">
        <f aca="false">"調整後 EBITDA：模型 "&amp;IF(ISNUMBER(D28),IF(D28&lt;0,"−","")&amp;"$"&amp;TEXT(ABS(D28),"#,##0.00")&amp;"bn","不適用")&amp;IF(ISNUMBER(D42),"｜共識 "&amp;IF(D42&lt;0,"−","")&amp;"$"&amp;TEXT(ABS(D42),"#,##0.00")&amp;"bn"&amp;"（"&amp;IF(ISNUMBER(D56),IF(D56&lt;0,"−","+")&amp;IF(ABS(D56)&lt;0,"−","")&amp;"$"&amp;TEXT(ABS(ABS(D56)),"#,##0.00")&amp;"bn"&amp;IF(ISNUMBER(D61),"／"&amp;IF(D61&lt;0,"−","+")&amp;TEXT(ABS(D61)*100,"#,##0.0")&amp;"pt",""),"不適用")&amp;"）","")&amp;IF(ISNUMBER(D46),"｜實際 "&amp;IF(D46&lt;0,"−","")&amp;"$"&amp;TEXT(ABS(D46),"#,##0.00")&amp;"bn"&amp;"（較模型 "&amp;IF(ISNUMBER(D58),IF(D58&lt;0,"−","+")&amp;IF(ABS(D58)&lt;0,"−","")&amp;"$"&amp;TEXT(ABS(ABS(D58)),"#,##0.00")&amp;"bn"&amp;IF(ISNUMBER(D63),"／"&amp;IF(D63&lt;0,"−","+")&amp;TEXT(ABS(D63)*100,"#,##0.0")&amp;"pt",""),"不適用")&amp;IF(ISNUMBER(D42),"、較共識 "&amp;IF(ISNUMBER(D59),IF(D59&lt;0,"−","+")&amp;IF(ABS(D59)&lt;0,"−","")&amp;"$"&amp;TEXT(ABS(ABS(D59)),"#,##0.00")&amp;"bn"&amp;IF(ISNUMBER(D64),"／"&amp;IF(D64&lt;0,"−","+")&amp;TEXT(ABS(D64)*100,"#,##0.0")&amp;"pt",""),"不適用"),"")&amp;"）","")&amp;D135</f>
        <v>調整後 EBITDA：模型 $2.22bn｜共識 $2.90bn（−$0.68bn／−2.2pt）〔觀點〕</v>
      </c>
      <c r="E140" s="48" t="str">
        <f aca="false">"調整後 EBITDA：模型 "&amp;IF(ISNUMBER(E28),IF(E28&lt;0,"−","")&amp;"$"&amp;TEXT(ABS(E28),"#,##0.00")&amp;"bn","不適用")&amp;IF(ISNUMBER(E42),"｜共識 "&amp;IF(E42&lt;0,"−","")&amp;"$"&amp;TEXT(ABS(E42),"#,##0.00")&amp;"bn"&amp;"（"&amp;IF(ISNUMBER(E56),IF(E56&lt;0,"−","+")&amp;IF(ABS(E56)&lt;0,"−","")&amp;"$"&amp;TEXT(ABS(ABS(E56)),"#,##0.00")&amp;"bn"&amp;IF(ISNUMBER(E61),"／"&amp;IF(E61&lt;0,"−","+")&amp;TEXT(ABS(E61)*100,"#,##0.0")&amp;"pt",""),"不適用")&amp;"）","")&amp;IF(ISNUMBER(E46),"｜實際 "&amp;IF(E46&lt;0,"−","")&amp;"$"&amp;TEXT(ABS(E46),"#,##0.00")&amp;"bn"&amp;"（較模型 "&amp;IF(ISNUMBER(E58),IF(E58&lt;0,"−","+")&amp;IF(ABS(E58)&lt;0,"−","")&amp;"$"&amp;TEXT(ABS(ABS(E58)),"#,##0.00")&amp;"bn"&amp;IF(ISNUMBER(E63),"／"&amp;IF(E63&lt;0,"−","+")&amp;TEXT(ABS(E63)*100,"#,##0.0")&amp;"pt",""),"不適用")&amp;IF(ISNUMBER(E42),"、較共識 "&amp;IF(ISNUMBER(E59),IF(E59&lt;0,"−","+")&amp;IF(ABS(E59)&lt;0,"−","")&amp;"$"&amp;TEXT(ABS(ABS(E59)),"#,##0.00")&amp;"bn"&amp;IF(ISNUMBER(E64),"／"&amp;IF(E64&lt;0,"−","+")&amp;TEXT(ABS(E64)*100,"#,##0.0")&amp;"pt",""),"不適用"),"")&amp;"）","")&amp;E135</f>
        <v>調整後 EBITDA：模型 $2.60bn</v>
      </c>
      <c r="F140" s="48" t="str">
        <f aca="false">"調整後 EBITDA：模型 "&amp;IF(ISNUMBER(F28),IF(F28&lt;0,"−","")&amp;"$"&amp;TEXT(ABS(F28),"#,##0.00")&amp;"bn","不適用")&amp;IF(ISNUMBER(F42),"｜共識 "&amp;IF(F42&lt;0,"−","")&amp;"$"&amp;TEXT(ABS(F42),"#,##0.00")&amp;"bn"&amp;"（"&amp;IF(ISNUMBER(F56),IF(F56&lt;0,"−","+")&amp;IF(ABS(F56)&lt;0,"−","")&amp;"$"&amp;TEXT(ABS(ABS(F56)),"#,##0.00")&amp;"bn"&amp;IF(ISNUMBER(F61),"／"&amp;IF(F61&lt;0,"−","+")&amp;TEXT(ABS(F61)*100,"#,##0.0")&amp;"pt",""),"不適用")&amp;"）","")&amp;IF(ISNUMBER(F46),"｜實際 "&amp;IF(F46&lt;0,"−","")&amp;"$"&amp;TEXT(ABS(F46),"#,##0.00")&amp;"bn"&amp;"（較模型 "&amp;IF(ISNUMBER(F58),IF(F58&lt;0,"−","+")&amp;IF(ABS(F58)&lt;0,"−","")&amp;"$"&amp;TEXT(ABS(ABS(F58)),"#,##0.00")&amp;"bn"&amp;IF(ISNUMBER(F63),"／"&amp;IF(F63&lt;0,"−","+")&amp;TEXT(ABS(F63)*100,"#,##0.0")&amp;"pt",""),"不適用")&amp;IF(ISNUMBER(F42),"、較共識 "&amp;IF(ISNUMBER(F59),IF(F59&lt;0,"−","+")&amp;IF(ABS(F59)&lt;0,"−","")&amp;"$"&amp;TEXT(ABS(ABS(F59)),"#,##0.00")&amp;"bn"&amp;IF(ISNUMBER(F64),"／"&amp;IF(F64&lt;0,"−","+")&amp;TEXT(ABS(F64)*100,"#,##0.0")&amp;"pt",""),"不適用"),"")&amp;"）","")&amp;F135</f>
        <v>調整後 EBITDA：模型 $3.04bn</v>
      </c>
      <c r="G140" s="48" t="str">
        <f aca="false">"調整後 EBITDA：模型 "&amp;IF(ISNUMBER(G28),IF(G28&lt;0,"−","")&amp;"$"&amp;TEXT(ABS(G28),"#,##0.00")&amp;"bn","不適用")&amp;IF(ISNUMBER(G42),"｜共識 "&amp;IF(G42&lt;0,"−","")&amp;"$"&amp;TEXT(ABS(G42),"#,##0.00")&amp;"bn"&amp;"（"&amp;IF(ISNUMBER(G56),IF(G56&lt;0,"−","+")&amp;IF(ABS(G56)&lt;0,"−","")&amp;"$"&amp;TEXT(ABS(ABS(G56)),"#,##0.00")&amp;"bn"&amp;IF(ISNUMBER(G61),"／"&amp;IF(G61&lt;0,"−","+")&amp;TEXT(ABS(G61)*100,"#,##0.0")&amp;"pt",""),"不適用")&amp;"）","")&amp;IF(ISNUMBER(G46),"｜實際 "&amp;IF(G46&lt;0,"−","")&amp;"$"&amp;TEXT(ABS(G46),"#,##0.00")&amp;"bn"&amp;"（較模型 "&amp;IF(ISNUMBER(G58),IF(G58&lt;0,"−","+")&amp;IF(ABS(G58)&lt;0,"−","")&amp;"$"&amp;TEXT(ABS(ABS(G58)),"#,##0.00")&amp;"bn"&amp;IF(ISNUMBER(G63),"／"&amp;IF(G63&lt;0,"−","+")&amp;TEXT(ABS(G63)*100,"#,##0.0")&amp;"pt",""),"不適用")&amp;IF(ISNUMBER(G42),"、較共識 "&amp;IF(ISNUMBER(G59),IF(G59&lt;0,"−","+")&amp;IF(ABS(G59)&lt;0,"−","")&amp;"$"&amp;TEXT(ABS(ABS(G59)),"#,##0.00")&amp;"bn"&amp;IF(ISNUMBER(G64),"／"&amp;IF(G64&lt;0,"−","+")&amp;TEXT(ABS(G64)*100,"#,##0.0")&amp;"pt",""),"不適用"),"")&amp;"）","")&amp;G135</f>
        <v>調整後 EBITDA：模型 $3.50bn</v>
      </c>
      <c r="H140" s="48" t="str">
        <f aca="false">"調整後 EBITDA：模型 "&amp;IF(ISNUMBER(H28),IF(H28&lt;0,"−","")&amp;"$"&amp;TEXT(ABS(H28),"#,##0.00")&amp;"bn","不適用")&amp;IF(ISNUMBER(H42),"｜共識 "&amp;IF(H42&lt;0,"−","")&amp;"$"&amp;TEXT(ABS(H42),"#,##0.00")&amp;"bn"&amp;"（"&amp;IF(ISNUMBER(H56),IF(H56&lt;0,"−","+")&amp;IF(ABS(H56)&lt;0,"−","")&amp;"$"&amp;TEXT(ABS(ABS(H56)),"#,##0.00")&amp;"bn"&amp;IF(ISNUMBER(H61),"／"&amp;IF(H61&lt;0,"−","+")&amp;TEXT(ABS(H61)*100,"#,##0.0")&amp;"pt",""),"不適用")&amp;"）","")&amp;IF(ISNUMBER(H46),"｜實際 "&amp;IF(H46&lt;0,"−","")&amp;"$"&amp;TEXT(ABS(H46),"#,##0.00")&amp;"bn"&amp;"（較模型 "&amp;IF(ISNUMBER(H58),IF(H58&lt;0,"−","+")&amp;IF(ABS(H58)&lt;0,"−","")&amp;"$"&amp;TEXT(ABS(ABS(H58)),"#,##0.00")&amp;"bn"&amp;IF(ISNUMBER(H63),"／"&amp;IF(H63&lt;0,"−","+")&amp;TEXT(ABS(H63)*100,"#,##0.0")&amp;"pt",""),"不適用")&amp;IF(ISNUMBER(H42),"、較共識 "&amp;IF(ISNUMBER(H59),IF(H59&lt;0,"−","+")&amp;IF(ABS(H59)&lt;0,"−","")&amp;"$"&amp;TEXT(ABS(ABS(H59)),"#,##0.00")&amp;"bn"&amp;IF(ISNUMBER(H64),"／"&amp;IF(H64&lt;0,"−","+")&amp;TEXT(ABS(H64)*100,"#,##0.0")&amp;"pt",""),"不適用"),"")&amp;"）","")&amp;H135</f>
        <v>調整後 EBITDA：模型 $3.96bn</v>
      </c>
    </row>
    <row r="141" customFormat="false" ht="15" hidden="true" customHeight="false" outlineLevel="1" collapsed="false">
      <c r="A141" s="3" t="s">
        <v>1091</v>
      </c>
      <c r="C141" s="48" t="str">
        <f aca="false">"EBITDA 率：模型 "&amp;IF(ISNUMBER(C27),IF(C27&lt;0,"−","")&amp;TEXT(ABS(C27)*100,"#,##0.0")&amp;"%","不適用")&amp;IF(ISNUMBER(C43),"｜共識 "&amp;IF(C43&lt;0,"−","")&amp;TEXT(ABS(C43)*100,"#,##0.0")&amp;"%"&amp;"（"&amp;IF(ISNUMBER(C66),IF(C66&lt;0,"−","+")&amp;TEXT(ABS(C66)*100,"#,##0.0")&amp;"pt","不適用")&amp;"）","")&amp;IF(ISNUMBER(C47),"｜實際 "&amp;IF(C47&lt;0,"−","")&amp;TEXT(ABS(C47)*100,"#,##0.0")&amp;"%"&amp;"（較模型 "&amp;IF(ISNUMBER(C68),IF(C68&lt;0,"−","+")&amp;TEXT(ABS(C68)*100,"#,##0.0")&amp;"pt","不適用")&amp;IF(ISNUMBER(C43),"、較共識 "&amp;IF(ISNUMBER(C69),IF(C69&lt;0,"−","+")&amp;TEXT(ABS(C69)*100,"#,##0.0")&amp;"pt","不適用"),"")&amp;"）","")</f>
        <v>EBITDA 率：模型 58.8%｜共識 57.8%（+1.0pt）</v>
      </c>
      <c r="D141" s="48" t="str">
        <f aca="false">"EBITDA 率：模型 "&amp;IF(ISNUMBER(D27),IF(D27&lt;0,"−","")&amp;TEXT(ABS(D27)*100,"#,##0.0")&amp;"%","不適用")&amp;IF(ISNUMBER(D43),"｜共識 "&amp;IF(D43&lt;0,"−","")&amp;TEXT(ABS(D43)*100,"#,##0.0")&amp;"%"&amp;"（"&amp;IF(ISNUMBER(D66),IF(D66&lt;0,"−","+")&amp;TEXT(ABS(D66)*100,"#,##0.0")&amp;"pt","不適用")&amp;"）","")&amp;IF(ISNUMBER(D47),"｜實際 "&amp;IF(D47&lt;0,"−","")&amp;TEXT(ABS(D47)*100,"#,##0.0")&amp;"%"&amp;"（較模型 "&amp;IF(ISNUMBER(D68),IF(D68&lt;0,"−","+")&amp;TEXT(ABS(D68)*100,"#,##0.0")&amp;"pt","不適用")&amp;IF(ISNUMBER(D43),"、較共識 "&amp;IF(ISNUMBER(D69),IF(D69&lt;0,"−","+")&amp;TEXT(ABS(D69)*100,"#,##0.0")&amp;"pt","不適用"),"")&amp;"）","")</f>
        <v>EBITDA 率：模型 59.3%｜共識 61.6%（−2.2pt）</v>
      </c>
      <c r="E141" s="48" t="str">
        <f aca="false">"EBITDA 率：模型 "&amp;IF(ISNUMBER(E27),IF(E27&lt;0,"−","")&amp;TEXT(ABS(E27)*100,"#,##0.0")&amp;"%","不適用")&amp;IF(ISNUMBER(E43),"｜共識 "&amp;IF(E43&lt;0,"−","")&amp;TEXT(ABS(E43)*100,"#,##0.0")&amp;"%"&amp;"（"&amp;IF(ISNUMBER(E66),IF(E66&lt;0,"−","+")&amp;TEXT(ABS(E66)*100,"#,##0.0")&amp;"pt","不適用")&amp;"）","")&amp;IF(ISNUMBER(E47),"｜實際 "&amp;IF(E47&lt;0,"−","")&amp;TEXT(ABS(E47)*100,"#,##0.0")&amp;"%"&amp;"（較模型 "&amp;IF(ISNUMBER(E68),IF(E68&lt;0,"−","+")&amp;TEXT(ABS(E68)*100,"#,##0.0")&amp;"pt","不適用")&amp;IF(ISNUMBER(E43),"、較共識 "&amp;IF(ISNUMBER(E69),IF(E69&lt;0,"−","+")&amp;TEXT(ABS(E69)*100,"#,##0.0")&amp;"pt","不適用"),"")&amp;"）","")</f>
        <v>EBITDA 率：模型 59.8%</v>
      </c>
      <c r="F141" s="48" t="str">
        <f aca="false">"EBITDA 率：模型 "&amp;IF(ISNUMBER(F27),IF(F27&lt;0,"−","")&amp;TEXT(ABS(F27)*100,"#,##0.0")&amp;"%","不適用")&amp;IF(ISNUMBER(F43),"｜共識 "&amp;IF(F43&lt;0,"−","")&amp;TEXT(ABS(F43)*100,"#,##0.0")&amp;"%"&amp;"（"&amp;IF(ISNUMBER(F66),IF(F66&lt;0,"−","+")&amp;TEXT(ABS(F66)*100,"#,##0.0")&amp;"pt","不適用")&amp;"）","")&amp;IF(ISNUMBER(F47),"｜實際 "&amp;IF(F47&lt;0,"−","")&amp;TEXT(ABS(F47)*100,"#,##0.0")&amp;"%"&amp;"（較模型 "&amp;IF(ISNUMBER(F68),IF(F68&lt;0,"−","+")&amp;TEXT(ABS(F68)*100,"#,##0.0")&amp;"pt","不適用")&amp;IF(ISNUMBER(F43),"、較共識 "&amp;IF(ISNUMBER(F69),IF(F69&lt;0,"−","+")&amp;TEXT(ABS(F69)*100,"#,##0.0")&amp;"pt","不適用"),"")&amp;"）","")</f>
        <v>EBITDA 率：模型 60.3%</v>
      </c>
      <c r="G141" s="48" t="str">
        <f aca="false">"EBITDA 率：模型 "&amp;IF(ISNUMBER(G27),IF(G27&lt;0,"−","")&amp;TEXT(ABS(G27)*100,"#,##0.0")&amp;"%","不適用")&amp;IF(ISNUMBER(G43),"｜共識 "&amp;IF(G43&lt;0,"−","")&amp;TEXT(ABS(G43)*100,"#,##0.0")&amp;"%"&amp;"（"&amp;IF(ISNUMBER(G66),IF(G66&lt;0,"−","+")&amp;TEXT(ABS(G66)*100,"#,##0.0")&amp;"pt","不適用")&amp;"）","")&amp;IF(ISNUMBER(G47),"｜實際 "&amp;IF(G47&lt;0,"−","")&amp;TEXT(ABS(G47)*100,"#,##0.0")&amp;"%"&amp;"（較模型 "&amp;IF(ISNUMBER(G68),IF(G68&lt;0,"−","+")&amp;TEXT(ABS(G68)*100,"#,##0.0")&amp;"pt","不適用")&amp;IF(ISNUMBER(G43),"、較共識 "&amp;IF(ISNUMBER(G69),IF(G69&lt;0,"−","+")&amp;TEXT(ABS(G69)*100,"#,##0.0")&amp;"pt","不適用"),"")&amp;"）","")</f>
        <v>EBITDA 率：模型 60.8%</v>
      </c>
      <c r="H141" s="48" t="str">
        <f aca="false">"EBITDA 率：模型 "&amp;IF(ISNUMBER(H27),IF(H27&lt;0,"−","")&amp;TEXT(ABS(H27)*100,"#,##0.0")&amp;"%","不適用")&amp;IF(ISNUMBER(H43),"｜共識 "&amp;IF(H43&lt;0,"−","")&amp;TEXT(ABS(H43)*100,"#,##0.0")&amp;"%"&amp;"（"&amp;IF(ISNUMBER(H66),IF(H66&lt;0,"−","+")&amp;TEXT(ABS(H66)*100,"#,##0.0")&amp;"pt","不適用")&amp;"）","")&amp;IF(ISNUMBER(H47),"｜實際 "&amp;IF(H47&lt;0,"−","")&amp;TEXT(ABS(H47)*100,"#,##0.0")&amp;"%"&amp;"（較模型 "&amp;IF(ISNUMBER(H68),IF(H68&lt;0,"−","+")&amp;TEXT(ABS(H68)*100,"#,##0.0")&amp;"pt","不適用")&amp;IF(ISNUMBER(H43),"、較共識 "&amp;IF(ISNUMBER(H69),IF(H69&lt;0,"−","+")&amp;TEXT(ABS(H69)*100,"#,##0.0")&amp;"pt","不適用"),"")&amp;"）","")</f>
        <v>EBITDA 率：模型 61.3%</v>
      </c>
    </row>
    <row r="142" customFormat="false" ht="15" hidden="true" customHeight="false" outlineLevel="1" collapsed="false">
      <c r="A142" s="3" t="s">
        <v>1092</v>
      </c>
      <c r="C142" s="48" t="str">
        <f aca="false">"調整後營業利益：模型 "&amp;IF(ISNUMBER(C30),IF(C30&lt;0,"−","")&amp;"$"&amp;TEXT(ABS(C30),"#,##0.00")&amp;"bn","不適用")&amp;IF(AND(ISNUMBER(C33),ISNUMBER(C34)),"｜指引 "&amp;"$"&amp;IF(C33&lt;0,"−","")&amp;TEXT(ABS(C33),"#,##0.00")&amp;"–"&amp;IF(C34&lt;0,"−","")&amp;TEXT(ABS(C34),"#,##0.00")&amp;"bn"&amp;"（中點 "&amp;IF(ISNUMBER(C72),IF(C72&lt;0,"−","+")&amp;IF(ABS(C72)&lt;0,"−","")&amp;"$"&amp;TEXT(ABS(ABS(C72)),"#,##0.00")&amp;"bn"&amp;IF(ISNUMBER(C77),"／"&amp;IF(C77&lt;0,"−","+")&amp;TEXT(ABS(C77)*100,"#,##0.0")&amp;"pt",""),"不適用")&amp;"，"&amp;IF(C30&gt;C34,"高於上緣",IF(C30&lt;C33,"低於下緣",IF(C30&gt;=(C33+C34)/2,"區間上半部","區間下半部")))&amp;"）",IF(C35&lt;&gt;"","｜指引（文字）"&amp;C35,""))&amp;IF(ISNUMBER(C48),"｜實際 "&amp;IF(C48&lt;0,"−","")&amp;"$"&amp;TEXT(ABS(C48),"#,##0.00")&amp;"bn"&amp;"（較模型 "&amp;IF(ISNUMBER(C73),IF(C73&lt;0,"−","+")&amp;IF(ABS(C73)&lt;0,"−","")&amp;"$"&amp;TEXT(ABS(ABS(C73)),"#,##0.00")&amp;"bn"&amp;IF(ISNUMBER(C78),"／"&amp;IF(C78&lt;0,"−","+")&amp;TEXT(ABS(C78)*100,"#,##0.0")&amp;"pt",""),"不適用")&amp;IF(AND(ISNUMBER(C33),ISNUMBER(C34)),"、"&amp;IF(C48&gt;C34,"高於上緣",IF(C48&lt;C33,"低於下緣",IF(C48&gt;=(C33+C34)/2,"區間上半部","區間下半部"))),"")&amp;"）","")&amp;C136</f>
        <v>調整後營業利益：模型 −$0.29bn｜指引 $0.20–0.26bn（中點 −$0.52bn／−15.6pt，低於下緣）〔已知限制〕</v>
      </c>
      <c r="D142" s="48" t="str">
        <f aca="false">"調整後營業利益：模型 "&amp;IF(ISNUMBER(D30),IF(D30&lt;0,"−","")&amp;"$"&amp;TEXT(ABS(D30),"#,##0.00")&amp;"bn","不適用")&amp;IF(AND(ISNUMBER(D33),ISNUMBER(D34)),"｜指引 "&amp;"$"&amp;IF(D33&lt;0,"−","")&amp;TEXT(ABS(D33),"#,##0.00")&amp;"–"&amp;IF(D34&lt;0,"−","")&amp;TEXT(ABS(D34),"#,##0.00")&amp;"bn"&amp;"（中點 "&amp;IF(ISNUMBER(D72),IF(D72&lt;0,"−","+")&amp;IF(ABS(D72)&lt;0,"−","")&amp;"$"&amp;TEXT(ABS(ABS(D72)),"#,##0.00")&amp;"bn"&amp;IF(ISNUMBER(D77),"／"&amp;IF(D77&lt;0,"−","+")&amp;TEXT(ABS(D77)*100,"#,##0.0")&amp;"pt",""),"不適用")&amp;"，"&amp;IF(D30&gt;D34,"高於上緣",IF(D30&lt;D33,"低於下緣",IF(D30&gt;=(D33+D34)/2,"區間上半部","區間下半部")))&amp;"）",IF(D35&lt;&gt;"","｜指引（文字）"&amp;D35,""))&amp;IF(ISNUMBER(D48),"｜實際 "&amp;IF(D48&lt;0,"−","")&amp;"$"&amp;TEXT(ABS(D48),"#,##0.00")&amp;"bn"&amp;"（較模型 "&amp;IF(ISNUMBER(D73),IF(D73&lt;0,"−","+")&amp;IF(ABS(D73)&lt;0,"−","")&amp;"$"&amp;TEXT(ABS(ABS(D73)),"#,##0.00")&amp;"bn"&amp;IF(ISNUMBER(D78),"／"&amp;IF(D78&lt;0,"−","+")&amp;TEXT(ABS(D78)*100,"#,##0.0")&amp;"pt",""),"不適用")&amp;IF(AND(ISNUMBER(D33),ISNUMBER(D34)),"、"&amp;IF(D48&gt;D34,"高於上緣",IF(D48&lt;D33,"低於下緣",IF(D48&gt;=(D33+D34)/2,"區間上半部","區間下半部"))),"")&amp;"）","")&amp;D136</f>
        <v>調整後營業利益：模型 −$0.32bn｜指引（文字）調整後營業利益率 low teens</v>
      </c>
      <c r="E142" s="48" t="str">
        <f aca="false">"調整後營業利益：模型 "&amp;IF(ISNUMBER(E30),IF(E30&lt;0,"−","")&amp;"$"&amp;TEXT(ABS(E30),"#,##0.00")&amp;"bn","不適用")&amp;IF(AND(ISNUMBER(E33),ISNUMBER(E34)),"｜指引 "&amp;"$"&amp;IF(E33&lt;0,"−","")&amp;TEXT(ABS(E33),"#,##0.00")&amp;"–"&amp;IF(E34&lt;0,"−","")&amp;TEXT(ABS(E34),"#,##0.00")&amp;"bn"&amp;"（中點 "&amp;IF(ISNUMBER(E72),IF(E72&lt;0,"−","+")&amp;IF(ABS(E72)&lt;0,"−","")&amp;"$"&amp;TEXT(ABS(ABS(E72)),"#,##0.00")&amp;"bn"&amp;IF(ISNUMBER(E77),"／"&amp;IF(E77&lt;0,"−","+")&amp;TEXT(ABS(E77)*100,"#,##0.0")&amp;"pt",""),"不適用")&amp;"，"&amp;IF(E30&gt;E34,"高於上緣",IF(E30&lt;E33,"低於下緣",IF(E30&gt;=(E33+E34)/2,"區間上半部","區間下半部")))&amp;"）",IF(E35&lt;&gt;"","｜指引（文字）"&amp;E35,""))&amp;IF(ISNUMBER(E48),"｜實際 "&amp;IF(E48&lt;0,"−","")&amp;"$"&amp;TEXT(ABS(E48),"#,##0.00")&amp;"bn"&amp;"（較模型 "&amp;IF(ISNUMBER(E73),IF(E73&lt;0,"−","+")&amp;IF(ABS(E73)&lt;0,"−","")&amp;"$"&amp;TEXT(ABS(ABS(E73)),"#,##0.00")&amp;"bn"&amp;IF(ISNUMBER(E78),"／"&amp;IF(E78&lt;0,"−","+")&amp;TEXT(ABS(E78)*100,"#,##0.0")&amp;"pt",""),"不適用")&amp;IF(AND(ISNUMBER(E33),ISNUMBER(E34)),"、"&amp;IF(E48&gt;E34,"高於上緣",IF(E48&lt;E33,"低於下緣",IF(E48&gt;=(E33+E34)/2,"區間上半部","區間下半部"))),"")&amp;"）","")&amp;E136</f>
        <v>調整後營業利益：模型 −$0.34bn</v>
      </c>
      <c r="F142" s="48" t="str">
        <f aca="false">"調整後營業利益：模型 "&amp;IF(ISNUMBER(F30),IF(F30&lt;0,"−","")&amp;"$"&amp;TEXT(ABS(F30),"#,##0.00")&amp;"bn","不適用")&amp;IF(AND(ISNUMBER(F33),ISNUMBER(F34)),"｜指引 "&amp;"$"&amp;IF(F33&lt;0,"−","")&amp;TEXT(ABS(F33),"#,##0.00")&amp;"–"&amp;IF(F34&lt;0,"−","")&amp;TEXT(ABS(F34),"#,##0.00")&amp;"bn"&amp;"（中點 "&amp;IF(ISNUMBER(F72),IF(F72&lt;0,"−","+")&amp;IF(ABS(F72)&lt;0,"−","")&amp;"$"&amp;TEXT(ABS(ABS(F72)),"#,##0.00")&amp;"bn"&amp;IF(ISNUMBER(F77),"／"&amp;IF(F77&lt;0,"−","+")&amp;TEXT(ABS(F77)*100,"#,##0.0")&amp;"pt",""),"不適用")&amp;"，"&amp;IF(F30&gt;F34,"高於上緣",IF(F30&lt;F33,"低於下緣",IF(F30&gt;=(F33+F34)/2,"區間上半部","區間下半部")))&amp;"）",IF(F35&lt;&gt;"","｜指引（文字）"&amp;F35,""))&amp;IF(ISNUMBER(F48),"｜實際 "&amp;IF(F48&lt;0,"−","")&amp;"$"&amp;TEXT(ABS(F48),"#,##0.00")&amp;"bn"&amp;"（較模型 "&amp;IF(ISNUMBER(F73),IF(F73&lt;0,"−","+")&amp;IF(ABS(F73)&lt;0,"−","")&amp;"$"&amp;TEXT(ABS(ABS(F73)),"#,##0.00")&amp;"bn"&amp;IF(ISNUMBER(F78),"／"&amp;IF(F78&lt;0,"−","+")&amp;TEXT(ABS(F78)*100,"#,##0.0")&amp;"pt",""),"不適用")&amp;IF(AND(ISNUMBER(F33),ISNUMBER(F34)),"、"&amp;IF(F48&gt;F34,"高於上緣",IF(F48&lt;F33,"低於下緣",IF(F48&gt;=(F33+F34)/2,"區間上半部","區間下半部"))),"")&amp;"）","")&amp;F136</f>
        <v>調整後營業利益：模型 −$0.30bn</v>
      </c>
      <c r="G142" s="48" t="str">
        <f aca="false">"調整後營業利益：模型 "&amp;IF(ISNUMBER(G30),IF(G30&lt;0,"−","")&amp;"$"&amp;TEXT(ABS(G30),"#,##0.00")&amp;"bn","不適用")&amp;IF(AND(ISNUMBER(G33),ISNUMBER(G34)),"｜指引 "&amp;"$"&amp;IF(G33&lt;0,"−","")&amp;TEXT(ABS(G33),"#,##0.00")&amp;"–"&amp;IF(G34&lt;0,"−","")&amp;TEXT(ABS(G34),"#,##0.00")&amp;"bn"&amp;"（中點 "&amp;IF(ISNUMBER(G72),IF(G72&lt;0,"−","+")&amp;IF(ABS(G72)&lt;0,"−","")&amp;"$"&amp;TEXT(ABS(ABS(G72)),"#,##0.00")&amp;"bn"&amp;IF(ISNUMBER(G77),"／"&amp;IF(G77&lt;0,"−","+")&amp;TEXT(ABS(G77)*100,"#,##0.0")&amp;"pt",""),"不適用")&amp;"，"&amp;IF(G30&gt;G34,"高於上緣",IF(G30&lt;G33,"低於下緣",IF(G30&gt;=(G33+G34)/2,"區間上半部","區間下半部")))&amp;"）",IF(G35&lt;&gt;"","｜指引（文字）"&amp;G35,""))&amp;IF(ISNUMBER(G48),"｜實際 "&amp;IF(G48&lt;0,"−","")&amp;"$"&amp;TEXT(ABS(G48),"#,##0.00")&amp;"bn"&amp;"（較模型 "&amp;IF(ISNUMBER(G73),IF(G73&lt;0,"−","+")&amp;IF(ABS(G73)&lt;0,"−","")&amp;"$"&amp;TEXT(ABS(ABS(G73)),"#,##0.00")&amp;"bn"&amp;IF(ISNUMBER(G78),"／"&amp;IF(G78&lt;0,"−","+")&amp;TEXT(ABS(G78)*100,"#,##0.0")&amp;"pt",""),"不適用")&amp;IF(AND(ISNUMBER(G33),ISNUMBER(G34)),"、"&amp;IF(G48&gt;G34,"高於上緣",IF(G48&lt;G33,"低於下緣",IF(G48&gt;=(G33+G34)/2,"區間上半部","區間下半部"))),"")&amp;"）","")&amp;G136</f>
        <v>調整後營業利益：模型 −$0.26bn</v>
      </c>
      <c r="H142" s="48" t="str">
        <f aca="false">"調整後營業利益：模型 "&amp;IF(ISNUMBER(H30),IF(H30&lt;0,"−","")&amp;"$"&amp;TEXT(ABS(H30),"#,##0.00")&amp;"bn","不適用")&amp;IF(AND(ISNUMBER(H33),ISNUMBER(H34)),"｜指引 "&amp;"$"&amp;IF(H33&lt;0,"−","")&amp;TEXT(ABS(H33),"#,##0.00")&amp;"–"&amp;IF(H34&lt;0,"−","")&amp;TEXT(ABS(H34),"#,##0.00")&amp;"bn"&amp;"（中點 "&amp;IF(ISNUMBER(H72),IF(H72&lt;0,"−","+")&amp;IF(ABS(H72)&lt;0,"−","")&amp;"$"&amp;TEXT(ABS(ABS(H72)),"#,##0.00")&amp;"bn"&amp;IF(ISNUMBER(H77),"／"&amp;IF(H77&lt;0,"−","+")&amp;TEXT(ABS(H77)*100,"#,##0.0")&amp;"pt",""),"不適用")&amp;"，"&amp;IF(H30&gt;H34,"高於上緣",IF(H30&lt;H33,"低於下緣",IF(H30&gt;=(H33+H34)/2,"區間上半部","區間下半部")))&amp;"）",IF(H35&lt;&gt;"","｜指引（文字）"&amp;H35,""))&amp;IF(ISNUMBER(H48),"｜實際 "&amp;IF(H48&lt;0,"−","")&amp;"$"&amp;TEXT(ABS(H48),"#,##0.00")&amp;"bn"&amp;"（較模型 "&amp;IF(ISNUMBER(H73),IF(H73&lt;0,"−","+")&amp;IF(ABS(H73)&lt;0,"−","")&amp;"$"&amp;TEXT(ABS(ABS(H73)),"#,##0.00")&amp;"bn"&amp;IF(ISNUMBER(H78),"／"&amp;IF(H78&lt;0,"−","+")&amp;TEXT(ABS(H78)*100,"#,##0.0")&amp;"pt",""),"不適用")&amp;IF(AND(ISNUMBER(H33),ISNUMBER(H34)),"、"&amp;IF(H48&gt;H34,"高於上緣",IF(H48&lt;H33,"低於下緣",IF(H48&gt;=(H33+H34)/2,"區間上半部","區間下半部"))),"")&amp;"）","")&amp;H136</f>
        <v>調整後營業利益：模型 −$0.21bn</v>
      </c>
    </row>
    <row r="143" customFormat="false" ht="15" hidden="true" customHeight="false" outlineLevel="1" collapsed="false">
      <c r="A143" s="3" t="s">
        <v>1093</v>
      </c>
      <c r="C143" s="48" t="str">
        <f aca="false">"CapEx（毛額）：模型 "&amp;IF(ISNUMBER(C40),IF(C40&lt;0,"−","")&amp;"$"&amp;TEXT(ABS(C40),"#,##0.00")&amp;"bn","不適用")&amp;IF(AND(ISNUMBER(C36),ISNUMBER(C37)),"｜指引 "&amp;"$"&amp;IF(C36&lt;0,"−","")&amp;TEXT(ABS(C36),"#,##0.00")&amp;"–"&amp;IF(C37&lt;0,"−","")&amp;TEXT(ABS(C37),"#,##0.00")&amp;"bn"&amp;"（中點 "&amp;IF(ISNUMBER(C82),IF(C82&lt;0,"−","+")&amp;TEXT(ABS(C82)*100,"#,##0.0")&amp;"%","不適用")&amp;"，"&amp;IF(C40&gt;C37,"高於上緣",IF(C40&lt;C36,"低於下緣",IF(C40&gt;=(C36+C37)/2,"區間上半部","區間下半部")))&amp;"）","")&amp;IF(ISNUMBER(C49),"｜實際 "&amp;IF(C49&lt;0,"−","")&amp;"$"&amp;TEXT(ABS(C49),"#,##0.00")&amp;"bn"&amp;"（較模型 "&amp;IF(ISNUMBER(C83),IF(C83&lt;0,"−","+")&amp;TEXT(ABS(C83)*100,"#,##0.0")&amp;"%","不適用")&amp;IF(AND(ISNUMBER(C36),ISNUMBER(C37)),"、"&amp;IF(C49&gt;C37,"高於上緣",IF(C49&lt;C36,"低於下緣",IF(C49&gt;=(C36+C37)/2,"區間上半部","區間下半部"))),"")&amp;"）","")&amp;C137</f>
        <v>CapEx（毛額）：模型 $12.50bn｜指引 $11.50–13.50bn（中點 +0.0%，區間上半部）</v>
      </c>
      <c r="D143" s="48" t="str">
        <f aca="false">"CapEx（毛額）：模型 "&amp;IF(ISNUMBER(D40),IF(D40&lt;0,"−","")&amp;"$"&amp;TEXT(ABS(D40),"#,##0.00")&amp;"bn","不適用")&amp;IF(AND(ISNUMBER(D36),ISNUMBER(D37)),"｜指引 "&amp;"$"&amp;IF(D36&lt;0,"−","")&amp;TEXT(ABS(D36),"#,##0.00")&amp;"–"&amp;IF(D37&lt;0,"−","")&amp;TEXT(ABS(D37),"#,##0.00")&amp;"bn"&amp;"（中點 "&amp;IF(ISNUMBER(D82),IF(D82&lt;0,"−","+")&amp;TEXT(ABS(D82)*100,"#,##0.0")&amp;"%","不適用")&amp;"，"&amp;IF(D40&gt;D37,"高於上緣",IF(D40&lt;D36,"低於下緣",IF(D40&gt;=(D36+D37)/2,"區間上半部","區間下半部")))&amp;"）","")&amp;IF(ISNUMBER(D49),"｜實際 "&amp;IF(D49&lt;0,"−","")&amp;"$"&amp;TEXT(ABS(D49),"#,##0.00")&amp;"bn"&amp;"（較模型 "&amp;IF(ISNUMBER(D83),IF(D83&lt;0,"−","+")&amp;TEXT(ABS(D83)*100,"#,##0.0")&amp;"%","不適用")&amp;IF(AND(ISNUMBER(D36),ISNUMBER(D37)),"、"&amp;IF(D49&gt;D37,"高於上緣",IF(D49&lt;D36,"低於下緣",IF(D49&gt;=(D36+D37)/2,"區間上半部","區間下半部"))),"")&amp;"）","")&amp;D137</f>
        <v>CapEx（毛額）：模型 $6.36bn</v>
      </c>
      <c r="E143" s="48" t="str">
        <f aca="false">"CapEx（毛額）：模型 "&amp;IF(ISNUMBER(E40),IF(E40&lt;0,"−","")&amp;"$"&amp;TEXT(ABS(E40),"#,##0.00")&amp;"bn","不適用")&amp;IF(AND(ISNUMBER(E36),ISNUMBER(E37)),"｜指引 "&amp;"$"&amp;IF(E36&lt;0,"−","")&amp;TEXT(ABS(E36),"#,##0.00")&amp;"–"&amp;IF(E37&lt;0,"−","")&amp;TEXT(ABS(E37),"#,##0.00")&amp;"bn"&amp;"（中點 "&amp;IF(ISNUMBER(E82),IF(E82&lt;0,"−","+")&amp;TEXT(ABS(E82)*100,"#,##0.0")&amp;"%","不適用")&amp;"，"&amp;IF(E40&gt;E37,"高於上緣",IF(E40&lt;E36,"低於下緣",IF(E40&gt;=(E36+E37)/2,"區間上半部","區間下半部")))&amp;"）","")&amp;IF(ISNUMBER(E49),"｜實際 "&amp;IF(E49&lt;0,"−","")&amp;"$"&amp;TEXT(ABS(E49),"#,##0.00")&amp;"bn"&amp;"（較模型 "&amp;IF(ISNUMBER(E83),IF(E83&lt;0,"−","+")&amp;TEXT(ABS(E83)*100,"#,##0.0")&amp;"%","不適用")&amp;IF(AND(ISNUMBER(E36),ISNUMBER(E37)),"、"&amp;IF(E49&gt;E37,"高於上緣",IF(E49&lt;E36,"低於下緣",IF(E49&gt;=(E36+E37)/2,"區間上半部","區間下半部"))),"")&amp;"）","")&amp;E137</f>
        <v>CapEx（毛額）：模型 $9.84bn</v>
      </c>
      <c r="F143" s="48" t="str">
        <f aca="false">"CapEx（毛額）：模型 "&amp;IF(ISNUMBER(F40),IF(F40&lt;0,"−","")&amp;"$"&amp;TEXT(ABS(F40),"#,##0.00")&amp;"bn","不適用")&amp;IF(AND(ISNUMBER(F36),ISNUMBER(F37)),"｜指引 "&amp;"$"&amp;IF(F36&lt;0,"−","")&amp;TEXT(ABS(F36),"#,##0.00")&amp;"–"&amp;IF(F37&lt;0,"−","")&amp;TEXT(ABS(F37),"#,##0.00")&amp;"bn"&amp;"（中點 "&amp;IF(ISNUMBER(F82),IF(F82&lt;0,"−","+")&amp;TEXT(ABS(F82)*100,"#,##0.0")&amp;"%","不適用")&amp;"，"&amp;IF(F40&gt;F37,"高於上緣",IF(F40&lt;F36,"低於下緣",IF(F40&gt;=(F36+F37)/2,"區間上半部","區間下半部")))&amp;"）","")&amp;IF(ISNUMBER(F49),"｜實際 "&amp;IF(F49&lt;0,"−","")&amp;"$"&amp;TEXT(ABS(F49),"#,##0.00")&amp;"bn"&amp;"（較模型 "&amp;IF(ISNUMBER(F83),IF(F83&lt;0,"−","+")&amp;TEXT(ABS(F83)*100,"#,##0.0")&amp;"%","不適用")&amp;IF(AND(ISNUMBER(F36),ISNUMBER(F37)),"、"&amp;IF(F49&gt;F37,"高於上緣",IF(F49&lt;F36,"低於下緣",IF(F49&gt;=(F36+F37)/2,"區間上半部","區間下半部"))),"")&amp;"）","")&amp;F137</f>
        <v>CapEx（毛額）：模型 $9.84bn</v>
      </c>
      <c r="G143" s="48" t="str">
        <f aca="false">"CapEx（毛額）：模型 "&amp;IF(ISNUMBER(G40),IF(G40&lt;0,"−","")&amp;"$"&amp;TEXT(ABS(G40),"#,##0.00")&amp;"bn","不適用")&amp;IF(AND(ISNUMBER(G36),ISNUMBER(G37)),"｜指引 "&amp;"$"&amp;IF(G36&lt;0,"−","")&amp;TEXT(ABS(G36),"#,##0.00")&amp;"–"&amp;IF(G37&lt;0,"−","")&amp;TEXT(ABS(G37),"#,##0.00")&amp;"bn"&amp;"（中點 "&amp;IF(ISNUMBER(G82),IF(G82&lt;0,"−","+")&amp;TEXT(ABS(G82)*100,"#,##0.0")&amp;"%","不適用")&amp;"，"&amp;IF(G40&gt;G37,"高於上緣",IF(G40&lt;G36,"低於下緣",IF(G40&gt;=(G36+G37)/2,"區間上半部","區間下半部")))&amp;"）","")&amp;IF(ISNUMBER(G49),"｜實際 "&amp;IF(G49&lt;0,"−","")&amp;"$"&amp;TEXT(ABS(G49),"#,##0.00")&amp;"bn"&amp;"（較模型 "&amp;IF(ISNUMBER(G83),IF(G83&lt;0,"−","+")&amp;TEXT(ABS(G83)*100,"#,##0.0")&amp;"%","不適用")&amp;IF(AND(ISNUMBER(G36),ISNUMBER(G37)),"、"&amp;IF(G49&gt;G37,"高於上緣",IF(G49&lt;G36,"低於下緣",IF(G49&gt;=(G36+G37)/2,"區間上半部","區間下半部"))),"")&amp;"）","")&amp;G137</f>
        <v>CapEx（毛額）：模型 $9.84bn</v>
      </c>
      <c r="H143" s="48" t="str">
        <f aca="false">"CapEx（毛額）：模型 "&amp;IF(ISNUMBER(H40),IF(H40&lt;0,"−","")&amp;"$"&amp;TEXT(ABS(H40),"#,##0.00")&amp;"bn","不適用")&amp;IF(AND(ISNUMBER(H36),ISNUMBER(H37)),"｜指引 "&amp;"$"&amp;IF(H36&lt;0,"−","")&amp;TEXT(ABS(H36),"#,##0.00")&amp;"–"&amp;IF(H37&lt;0,"−","")&amp;TEXT(ABS(H37),"#,##0.00")&amp;"bn"&amp;"（中點 "&amp;IF(ISNUMBER(H82),IF(H82&lt;0,"−","+")&amp;TEXT(ABS(H82)*100,"#,##0.0")&amp;"%","不適用")&amp;"，"&amp;IF(H40&gt;H37,"高於上緣",IF(H40&lt;H36,"低於下緣",IF(H40&gt;=(H36+H37)/2,"區間上半部","區間下半部")))&amp;"）","")&amp;IF(ISNUMBER(H49),"｜實際 "&amp;IF(H49&lt;0,"−","")&amp;"$"&amp;TEXT(ABS(H49),"#,##0.00")&amp;"bn"&amp;"（較模型 "&amp;IF(ISNUMBER(H83),IF(H83&lt;0,"−","+")&amp;TEXT(ABS(H83)*100,"#,##0.0")&amp;"%","不適用")&amp;IF(AND(ISNUMBER(H36),ISNUMBER(H37)),"、"&amp;IF(H49&gt;H37,"高於上緣",IF(H49&lt;H36,"低於下緣",IF(H49&gt;=(H36+H37)/2,"區間上半部","區間下半部"))),"")&amp;"）","")&amp;H137</f>
        <v>CapEx（毛額）：模型 $9.84bn</v>
      </c>
    </row>
    <row r="144" customFormat="false" ht="15" hidden="true" customHeight="false" outlineLevel="1" collapsed="false">
      <c r="A144" s="3" t="s">
        <v>1094</v>
      </c>
      <c r="C144" s="48" t="str">
        <f aca="false">"季末 Accepted MW：模型 "&amp;IF(ISNUMBER(C19),IF(C19&lt;0,"−","")&amp;TEXT(ABS(C19),"#,##0")&amp;" MW","不適用")&amp;IF(ISNUMBER(C50),"｜實際 "&amp;IF(C50&lt;0,"−","")&amp;TEXT(ABS(C50),"#,##0")&amp;" MW"&amp;"（較模型 "&amp;IF(ISNUMBER(C88),IF(C88&lt;0,"−","+")&amp;IF(ABS(C88)&lt;0,"−","")&amp;TEXT(ABS(ABS(C88)),"#,##0")&amp;" MW","不適用")&amp;"）","")&amp;C138</f>
        <v>季末 Accepted MW：模型 1,675 MW</v>
      </c>
      <c r="D144" s="48" t="str">
        <f aca="false">"季末 Accepted MW：模型 "&amp;IF(ISNUMBER(D19),IF(D19&lt;0,"−","")&amp;TEXT(ABS(D19),"#,##0")&amp;" MW","不適用")&amp;IF(ISNUMBER(D50),"｜實際 "&amp;IF(D50&lt;0,"−","")&amp;TEXT(ABS(D50),"#,##0")&amp;" MW"&amp;"（較模型 "&amp;IF(ISNUMBER(D88),IF(D88&lt;0,"−","+")&amp;IF(ABS(D88)&lt;0,"−","")&amp;TEXT(ABS(ABS(D88)),"#,##0")&amp;" MW","不適用")&amp;"）","")&amp;D138</f>
        <v>季末 Accepted MW：模型 1,850 MW</v>
      </c>
      <c r="E144" s="48" t="str">
        <f aca="false">"季末 Accepted MW：模型 "&amp;IF(ISNUMBER(E19),IF(E19&lt;0,"−","")&amp;TEXT(ABS(E19),"#,##0")&amp;" MW","不適用")&amp;IF(ISNUMBER(E50),"｜實際 "&amp;IF(E50&lt;0,"−","")&amp;TEXT(ABS(E50),"#,##0")&amp;" MW"&amp;"（較模型 "&amp;IF(ISNUMBER(E88),IF(E88&lt;0,"−","+")&amp;IF(ABS(E88)&lt;0,"−","")&amp;TEXT(ABS(ABS(E88)),"#,##0")&amp;" MW","不適用")&amp;"）","")&amp;E138</f>
        <v>季末 Accepted MW：模型 2,163 MW</v>
      </c>
      <c r="F144" s="48" t="str">
        <f aca="false">"季末 Accepted MW：模型 "&amp;IF(ISNUMBER(F19),IF(F19&lt;0,"−","")&amp;TEXT(ABS(F19),"#,##0")&amp;" MW","不適用")&amp;IF(ISNUMBER(F50),"｜實際 "&amp;IF(F50&lt;0,"−","")&amp;TEXT(ABS(F50),"#,##0")&amp;" MW"&amp;"（較模型 "&amp;IF(ISNUMBER(F88),IF(F88&lt;0,"−","+")&amp;IF(ABS(F88)&lt;0,"−","")&amp;TEXT(ABS(ABS(F88)),"#,##0")&amp;" MW","不適用")&amp;"）","")&amp;F138</f>
        <v>季末 Accepted MW：模型 2,475 MW</v>
      </c>
      <c r="G144" s="48" t="str">
        <f aca="false">"季末 Accepted MW：模型 "&amp;IF(ISNUMBER(G19),IF(G19&lt;0,"−","")&amp;TEXT(ABS(G19),"#,##0")&amp;" MW","不適用")&amp;IF(ISNUMBER(G50),"｜實際 "&amp;IF(G50&lt;0,"−","")&amp;TEXT(ABS(G50),"#,##0")&amp;" MW"&amp;"（較模型 "&amp;IF(ISNUMBER(G88),IF(G88&lt;0,"−","+")&amp;IF(ABS(G88)&lt;0,"−","")&amp;TEXT(ABS(ABS(G88)),"#,##0")&amp;" MW","不適用")&amp;"）","")&amp;G138</f>
        <v>季末 Accepted MW：模型 2,788 MW</v>
      </c>
      <c r="H144" s="48" t="str">
        <f aca="false">"季末 Accepted MW：模型 "&amp;IF(ISNUMBER(H19),IF(H19&lt;0,"−","")&amp;TEXT(ABS(H19),"#,##0")&amp;" MW","不適用")&amp;IF(ISNUMBER(H50),"｜實際 "&amp;IF(H50&lt;0,"−","")&amp;TEXT(ABS(H50),"#,##0")&amp;" MW"&amp;"（較模型 "&amp;IF(ISNUMBER(H88),IF(H88&lt;0,"−","+")&amp;IF(ABS(H88)&lt;0,"−","")&amp;TEXT(ABS(ABS(H88)),"#,##0")&amp;" MW","不適用")&amp;"）","")&amp;H138</f>
        <v>季末 Accepted MW：模型 3,100 MW</v>
      </c>
    </row>
    <row r="145" customFormat="false" ht="15" hidden="true" customHeight="false" outlineLevel="1" collapsed="false"/>
    <row r="146" customFormat="false" ht="15" hidden="true" customHeight="false" outlineLevel="1" collapsed="false">
      <c r="A146" s="2" t="s">
        <v>1095</v>
      </c>
    </row>
    <row r="147" customFormat="false" ht="15" hidden="true" customHeight="false" outlineLevel="1" collapsed="false">
      <c r="A147" s="3" t="s">
        <v>1096</v>
      </c>
      <c r="C147" s="73" t="n">
        <f aca="false">C22+D22-損益!C8</f>
        <v>0</v>
      </c>
      <c r="D147" s="73" t="n">
        <f aca="false">E22+F22+G22+H22-損益!D8</f>
        <v>0</v>
      </c>
    </row>
    <row r="148" customFormat="false" ht="15" hidden="true" customHeight="false" outlineLevel="1" collapsed="false">
      <c r="A148" s="3" t="s">
        <v>1097</v>
      </c>
      <c r="C148" s="73" t="n">
        <f aca="false">C28+D28-損益!C19</f>
        <v>0</v>
      </c>
      <c r="D148" s="73" t="n">
        <f aca="false">E28+F28+G28+H28-損益!D19</f>
        <v>0</v>
      </c>
    </row>
    <row r="149" customFormat="false" ht="15" hidden="true" customHeight="false" outlineLevel="1" collapsed="false">
      <c r="A149" s="3" t="s">
        <v>1098</v>
      </c>
      <c r="C149" s="73" t="n">
        <f aca="false">C30+D30-損益!C10</f>
        <v>0</v>
      </c>
      <c r="D149" s="73" t="n">
        <f aca="false">E30+F30+G30+H30-損益!D10</f>
        <v>0</v>
      </c>
    </row>
    <row r="150" customFormat="false" ht="15" hidden="true" customHeight="false" outlineLevel="1" collapsed="false">
      <c r="A150" s="3" t="s">
        <v>1099</v>
      </c>
      <c r="C150" s="73" t="n">
        <f aca="false">C40+D40-輸入與假設!C$185</f>
        <v>0</v>
      </c>
      <c r="D150" s="73" t="n">
        <f aca="false">E40+F40+G40+H40-輸入與假設!D$185</f>
        <v>0</v>
      </c>
    </row>
    <row r="151" customFormat="false" ht="15" hidden="true" customHeight="false" outlineLevel="1" collapsed="false">
      <c r="A151" s="3" t="s">
        <v>1100</v>
      </c>
      <c r="C151" s="73" t="n">
        <f aca="false">C29+D29-輸入與假設!C$186</f>
        <v>0</v>
      </c>
      <c r="D151" s="73" t="n">
        <f aca="false">E29+F29+G29+H29-輸入與假設!D$186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6" t="s">
        <v>1101</v>
      </c>
    </row>
    <row r="2" customFormat="false" ht="15" hidden="false" customHeight="false" outlineLevel="0" collapsed="false">
      <c r="A2" s="7" t="s">
        <v>1102</v>
      </c>
    </row>
    <row r="3" customFormat="false" ht="15" hidden="false" customHeight="false" outlineLevel="0" collapsed="false">
      <c r="A3" s="12" t="s">
        <v>1103</v>
      </c>
    </row>
    <row r="5" customFormat="false" ht="15" hidden="false" customHeight="false" outlineLevel="0" collapsed="false">
      <c r="A5" s="15" t="s">
        <v>87</v>
      </c>
      <c r="B5" s="15" t="s">
        <v>88</v>
      </c>
      <c r="C5" s="27" t="s">
        <v>89</v>
      </c>
      <c r="D5" s="27" t="s">
        <v>90</v>
      </c>
      <c r="E5" s="27" t="s">
        <v>91</v>
      </c>
      <c r="F5" s="27" t="s">
        <v>175</v>
      </c>
      <c r="G5" s="27" t="s">
        <v>176</v>
      </c>
      <c r="I5" s="15" t="s">
        <v>796</v>
      </c>
    </row>
    <row r="6" customFormat="false" ht="15" hidden="false" customHeight="false" outlineLevel="0" collapsed="false">
      <c r="A6" s="3" t="s">
        <v>573</v>
      </c>
      <c r="B6" s="7"/>
      <c r="C6" s="70" t="str">
        <f aca="false">"2026-07-01~12-31"</f>
        <v>2026-07-01~12-31</v>
      </c>
      <c r="D6" s="70" t="str">
        <f aca="false">"2027 全年"</f>
        <v>2027 全年</v>
      </c>
      <c r="E6" s="70" t="str">
        <f aca="false">"2028 全年"</f>
        <v>2028 全年</v>
      </c>
      <c r="F6" s="70" t="str">
        <f aca="false">"2029 全年"</f>
        <v>2029 全年</v>
      </c>
      <c r="G6" s="70" t="str">
        <f aca="false">"2030 全年"</f>
        <v>2030 全年</v>
      </c>
      <c r="I6" s="12" t="s">
        <v>1104</v>
      </c>
    </row>
    <row r="7" customFormat="false" ht="15" hidden="false" customHeight="false" outlineLevel="0" collapsed="false">
      <c r="A7" s="3" t="s">
        <v>209</v>
      </c>
      <c r="B7" s="7"/>
      <c r="C7" s="46" t="n">
        <f aca="false">輸入與假設!C$24</f>
        <v>0.5</v>
      </c>
      <c r="D7" s="46" t="n">
        <f aca="false">輸入與假設!D$24</f>
        <v>1</v>
      </c>
      <c r="E7" s="46" t="n">
        <f aca="false">輸入與假設!E$24</f>
        <v>1</v>
      </c>
      <c r="F7" s="46" t="n">
        <f aca="false">輸入與假設!F$24</f>
        <v>1</v>
      </c>
      <c r="G7" s="46" t="n">
        <f aca="false">輸入與假設!G$24</f>
        <v>1</v>
      </c>
      <c r="I7" s="7" t="s">
        <v>1105</v>
      </c>
    </row>
    <row r="8" customFormat="false" ht="15" hidden="false" customHeight="false" outlineLevel="0" collapsed="false">
      <c r="A8" s="54" t="s">
        <v>1106</v>
      </c>
      <c r="B8" s="9"/>
      <c r="C8" s="9"/>
      <c r="D8" s="9"/>
      <c r="E8" s="9"/>
      <c r="F8" s="9"/>
      <c r="G8" s="9"/>
      <c r="H8" s="9"/>
    </row>
    <row r="9" customFormat="false" ht="15" hidden="false" customHeight="false" outlineLevel="1" collapsed="false">
      <c r="A9" s="4" t="s">
        <v>1107</v>
      </c>
      <c r="B9" s="12" t="s">
        <v>179</v>
      </c>
      <c r="C9" s="72" t="n">
        <f aca="false">MAX(0,輸入與假設!C$26)</f>
        <v>1850</v>
      </c>
      <c r="D9" s="72" t="n">
        <f aca="false">MAX(輸入與假設!D$26,C9)</f>
        <v>3100</v>
      </c>
      <c r="E9" s="72" t="n">
        <f aca="false">MAX(輸入與假設!E$26,D9)</f>
        <v>4000</v>
      </c>
      <c r="F9" s="72" t="n">
        <f aca="false">MAX(輸入與假設!F$26,E9)</f>
        <v>4800</v>
      </c>
      <c r="G9" s="72" t="n">
        <f aca="false">MAX(輸入與假設!G$26,F9)</f>
        <v>5600</v>
      </c>
      <c r="I9" s="7" t="s">
        <v>1108</v>
      </c>
    </row>
    <row r="10" customFormat="false" ht="15" hidden="false" customHeight="false" outlineLevel="1" collapsed="false">
      <c r="A10" s="4" t="s">
        <v>1109</v>
      </c>
      <c r="B10" s="12" t="s">
        <v>179</v>
      </c>
      <c r="C10" s="72" t="n">
        <f aca="false">MIN(MAX(0,輸入與假設!C$27),C9)</f>
        <v>1700</v>
      </c>
      <c r="D10" s="72" t="n">
        <f aca="false">MIN(MAX(0,輸入與假設!D$27),D9)</f>
        <v>2900</v>
      </c>
      <c r="E10" s="72" t="n">
        <f aca="false">MIN(MAX(0,輸入與假設!E$27),E9)</f>
        <v>3739</v>
      </c>
      <c r="F10" s="72" t="n">
        <f aca="false">MIN(MAX(0,輸入與假設!F$27),F9)</f>
        <v>4495</v>
      </c>
      <c r="G10" s="72" t="n">
        <f aca="false">MIN(MAX(0,輸入與假設!G$27),G9)</f>
        <v>5250</v>
      </c>
      <c r="I10" s="7" t="s">
        <v>1110</v>
      </c>
    </row>
    <row r="11" customFormat="false" ht="15" hidden="false" customHeight="false" outlineLevel="1" collapsed="false">
      <c r="A11" s="3" t="s">
        <v>1111</v>
      </c>
      <c r="B11" s="12" t="s">
        <v>179</v>
      </c>
      <c r="C11" s="72" t="n">
        <f aca="false">輸入與假設!$C$20</f>
        <v>1350</v>
      </c>
      <c r="D11" s="72" t="n">
        <f aca="false">C10</f>
        <v>1700</v>
      </c>
      <c r="E11" s="72" t="n">
        <f aca="false">D10</f>
        <v>2900</v>
      </c>
      <c r="F11" s="72" t="n">
        <f aca="false">E10</f>
        <v>3739</v>
      </c>
      <c r="G11" s="72" t="n">
        <f aca="false">F10</f>
        <v>4495</v>
      </c>
      <c r="I11" s="7" t="s">
        <v>1112</v>
      </c>
    </row>
    <row r="12" customFormat="false" ht="15" hidden="false" customHeight="false" outlineLevel="1" collapsed="false">
      <c r="A12" s="3" t="s">
        <v>1113</v>
      </c>
      <c r="B12" s="12" t="s">
        <v>179</v>
      </c>
      <c r="C12" s="72" t="n">
        <f aca="false">IF(輸入與假設!$C$21=1,(C11+C10)/2,C10)</f>
        <v>1525</v>
      </c>
      <c r="D12" s="72" t="n">
        <f aca="false">IF(輸入與假設!$C$21=1,(D11+D10)/2,D10)</f>
        <v>2300</v>
      </c>
      <c r="E12" s="72" t="n">
        <f aca="false">IF(輸入與假設!$C$21=1,(E11+E10)/2,E10)</f>
        <v>3319.5</v>
      </c>
      <c r="F12" s="72" t="n">
        <f aca="false">IF(輸入與假設!$C$21=1,(F11+F10)/2,F10)</f>
        <v>4117</v>
      </c>
      <c r="G12" s="72" t="n">
        <f aca="false">IF(輸入與假設!$C$21=1,(G11+G10)/2,G10)</f>
        <v>4872.5</v>
      </c>
      <c r="I12" s="7" t="s">
        <v>1114</v>
      </c>
    </row>
    <row r="13" customFormat="false" ht="15" hidden="false" customHeight="false" outlineLevel="1" collapsed="false">
      <c r="A13" s="3" t="s">
        <v>217</v>
      </c>
      <c r="B13" s="12" t="s">
        <v>77</v>
      </c>
      <c r="C13" s="55" t="n">
        <f aca="false">輸入與假設!C$28</f>
        <v>0.95</v>
      </c>
      <c r="D13" s="55" t="n">
        <f aca="false">輸入與假設!D$28</f>
        <v>0.95</v>
      </c>
      <c r="E13" s="55" t="n">
        <f aca="false">輸入與假設!E$28</f>
        <v>0.94</v>
      </c>
      <c r="F13" s="55" t="n">
        <f aca="false">輸入與假設!F$28</f>
        <v>0.93</v>
      </c>
      <c r="G13" s="55" t="n">
        <f aca="false">輸入與假設!G$28</f>
        <v>0.92</v>
      </c>
    </row>
    <row r="14" customFormat="false" ht="15" hidden="false" customHeight="false" outlineLevel="1" collapsed="false">
      <c r="A14" s="3" t="s">
        <v>219</v>
      </c>
      <c r="B14" s="12" t="s">
        <v>220</v>
      </c>
      <c r="C14" s="30" t="n">
        <f aca="false">輸入與假設!C$29</f>
        <v>0.0091038724580194</v>
      </c>
      <c r="D14" s="30" t="n">
        <f aca="false">輸入與假設!D$29</f>
        <v>0.009426465421855</v>
      </c>
      <c r="E14" s="30" t="n">
        <f aca="false">輸入與假設!E$29</f>
        <v>0.00976920354961724</v>
      </c>
      <c r="F14" s="30" t="n">
        <f aca="false">輸入與假設!F$29</f>
        <v>0.0100043685124483</v>
      </c>
      <c r="G14" s="30" t="n">
        <f aca="false">輸入與假設!G$29</f>
        <v>0.0102123441461699</v>
      </c>
    </row>
    <row r="15" customFormat="false" ht="15" hidden="false" customHeight="false" outlineLevel="1" collapsed="false">
      <c r="A15" s="3" t="s">
        <v>1115</v>
      </c>
      <c r="B15" s="12" t="s">
        <v>93</v>
      </c>
      <c r="C15" s="42" t="n">
        <f aca="false">C12*輸入與假設!C$29*輸入與假設!$C$22*輸入與假設!C$28*C7</f>
        <v>6.5946176117778</v>
      </c>
      <c r="D15" s="42" t="n">
        <f aca="false">D12*輸入與假設!D$29*輸入與假設!$C$22*輸入與假設!D$28*D7</f>
        <v>20.5968269467532</v>
      </c>
      <c r="E15" s="42" t="n">
        <f aca="false">E12*輸入與假設!E$29*輸入與假設!$C$22*輸入與假設!E$28*E7</f>
        <v>30.4831389119772</v>
      </c>
      <c r="F15" s="42" t="n">
        <f aca="false">F12*輸入與假設!F$29*輸入與假設!$C$22*輸入與假設!F$28*F7</f>
        <v>38.3048262041472</v>
      </c>
      <c r="G15" s="42" t="n">
        <f aca="false">G12*輸入與假設!G$29*輸入與假設!$C$22*輸入與假設!G$28*G7</f>
        <v>45.778875104036</v>
      </c>
      <c r="I15" s="7" t="s">
        <v>1116</v>
      </c>
    </row>
    <row r="16" customFormat="false" ht="15" hidden="false" customHeight="false" outlineLevel="0" collapsed="false">
      <c r="A16" s="54" t="s">
        <v>1117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1" collapsed="false">
      <c r="A17" s="3" t="s">
        <v>1118</v>
      </c>
      <c r="B17" s="12" t="s">
        <v>93</v>
      </c>
      <c r="C17" s="70" t="n">
        <f aca="false">(輸入與假設!$C$15+輸入與假設!$C$16)*(輸入與假設!C$25/輸入與假設!$C$18)*輸入與假設!$C$17</f>
        <v>13.19175</v>
      </c>
      <c r="D17" s="70" t="n">
        <f aca="false">(輸入與假設!$C$15+輸入與假設!$C$16)*(輸入與假設!D$25/輸入與假設!$C$18)*輸入與假設!$C$17</f>
        <v>26.3835</v>
      </c>
      <c r="E17" s="70" t="n">
        <f aca="false">(輸入與假設!$C$15+輸入與假設!$C$16)*(輸入與假設!E$25/輸入與假設!$C$18)*輸入與假設!$C$17</f>
        <v>25.74</v>
      </c>
      <c r="F17" s="70" t="n">
        <f aca="false">(輸入與假設!$C$15+輸入與假設!$C$16)*(輸入與假設!F$25/輸入與假設!$C$18)*輸入與假設!$C$17</f>
        <v>25.0965</v>
      </c>
      <c r="G17" s="70" t="n">
        <f aca="false">(輸入與假設!$C$15+輸入與假設!$C$16)*(輸入與假設!G$25/輸入與假設!$C$18)*輸入與假設!$C$17</f>
        <v>17.69625</v>
      </c>
      <c r="I17" s="7" t="s">
        <v>1119</v>
      </c>
    </row>
    <row r="18" customFormat="false" ht="15" hidden="false" customHeight="false" outlineLevel="0" collapsed="false">
      <c r="A18" s="54" t="s">
        <v>1120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3" t="s">
        <v>1121</v>
      </c>
      <c r="B19" s="12" t="s">
        <v>93</v>
      </c>
      <c r="C19" s="42" t="n">
        <f aca="false">MAX(0,C17-C15)</f>
        <v>6.5971323882222</v>
      </c>
      <c r="D19" s="42" t="n">
        <f aca="false">MAX(0,D17-D15)</f>
        <v>5.78667305324682</v>
      </c>
      <c r="E19" s="42" t="n">
        <f aca="false">MAX(0,E17-E15)</f>
        <v>0</v>
      </c>
      <c r="F19" s="42" t="n">
        <f aca="false">MAX(0,F17-F15)</f>
        <v>0</v>
      </c>
      <c r="G19" s="42" t="n">
        <f aca="false">MAX(0,G17-G15)</f>
        <v>0</v>
      </c>
      <c r="I19" s="7" t="s">
        <v>1122</v>
      </c>
    </row>
    <row r="20" customFormat="false" ht="15" hidden="false" customHeight="false" outlineLevel="1" collapsed="false">
      <c r="A20" s="3" t="s">
        <v>1123</v>
      </c>
      <c r="B20" s="12" t="s">
        <v>93</v>
      </c>
      <c r="C20" s="70" t="n">
        <f aca="false">C17-C19</f>
        <v>6.5946176117778</v>
      </c>
      <c r="D20" s="70" t="n">
        <f aca="false">D17-D19</f>
        <v>20.5968269467532</v>
      </c>
      <c r="E20" s="70" t="n">
        <f aca="false">E17-E19</f>
        <v>25.74</v>
      </c>
      <c r="F20" s="70" t="n">
        <f aca="false">F17-F19</f>
        <v>25.0965</v>
      </c>
      <c r="G20" s="70" t="n">
        <f aca="false">G17-G19</f>
        <v>17.69625</v>
      </c>
      <c r="I20" s="7" t="s">
        <v>1124</v>
      </c>
    </row>
    <row r="21" customFormat="false" ht="15" hidden="false" customHeight="false" outlineLevel="1" collapsed="false">
      <c r="A21" s="3" t="s">
        <v>1125</v>
      </c>
      <c r="B21" s="12" t="s">
        <v>93</v>
      </c>
      <c r="C21" s="70" t="n">
        <f aca="false">MAX(0,C15-C17)</f>
        <v>0</v>
      </c>
      <c r="D21" s="70" t="n">
        <f aca="false">MAX(0,D15-D17)</f>
        <v>0</v>
      </c>
      <c r="E21" s="70" t="n">
        <f aca="false">MAX(0,E15-E17)</f>
        <v>4.74313891197715</v>
      </c>
      <c r="F21" s="70" t="n">
        <f aca="false">MAX(0,F15-F17)</f>
        <v>13.2083262041472</v>
      </c>
      <c r="G21" s="70" t="n">
        <f aca="false">MAX(0,G15-G17)</f>
        <v>28.082625104036</v>
      </c>
      <c r="I21" s="7" t="s">
        <v>1126</v>
      </c>
    </row>
    <row r="22" customFormat="false" ht="15" hidden="false" customHeight="false" outlineLevel="1" collapsed="false">
      <c r="A22" s="3" t="s">
        <v>222</v>
      </c>
      <c r="B22" s="12" t="s">
        <v>77</v>
      </c>
      <c r="C22" s="55" t="n">
        <f aca="false">輸入與假設!C$30</f>
        <v>1</v>
      </c>
      <c r="D22" s="55" t="n">
        <f aca="false">輸入與假設!D$30</f>
        <v>1</v>
      </c>
      <c r="E22" s="55" t="n">
        <f aca="false">輸入與假設!E$30</f>
        <v>0.9</v>
      </c>
      <c r="F22" s="55" t="n">
        <f aca="false">輸入與假設!F$30</f>
        <v>0.85</v>
      </c>
      <c r="G22" s="55" t="n">
        <f aca="false">輸入與假設!G$30</f>
        <v>0.8</v>
      </c>
    </row>
    <row r="23" customFormat="false" ht="15" hidden="false" customHeight="false" outlineLevel="1" collapsed="false">
      <c r="A23" s="3" t="s">
        <v>1127</v>
      </c>
      <c r="B23" s="12" t="s">
        <v>93</v>
      </c>
      <c r="C23" s="70" t="n">
        <f aca="false">C21*輸入與假設!C$30</f>
        <v>0</v>
      </c>
      <c r="D23" s="70" t="n">
        <f aca="false">D21*輸入與假設!D$30</f>
        <v>0</v>
      </c>
      <c r="E23" s="70" t="n">
        <f aca="false">E21*輸入與假設!E$30</f>
        <v>4.26882502077944</v>
      </c>
      <c r="F23" s="70" t="n">
        <f aca="false">F21*輸入與假設!F$30</f>
        <v>11.2270772735251</v>
      </c>
      <c r="G23" s="70" t="n">
        <f aca="false">G21*輸入與假設!G$30</f>
        <v>22.4661000832288</v>
      </c>
      <c r="I23" s="7" t="s">
        <v>1128</v>
      </c>
    </row>
    <row r="24" customFormat="false" ht="15" hidden="false" customHeight="false" outlineLevel="1" collapsed="false">
      <c r="A24" s="3" t="s">
        <v>1129</v>
      </c>
      <c r="B24" s="12" t="s">
        <v>93</v>
      </c>
      <c r="C24" s="70" t="n">
        <f aca="false">MAX(0,C15-C20-C23)</f>
        <v>0</v>
      </c>
      <c r="D24" s="70" t="n">
        <f aca="false">MAX(0,D15-D20-D23)</f>
        <v>0</v>
      </c>
      <c r="E24" s="70" t="n">
        <f aca="false">MAX(0,E15-E20-E23)</f>
        <v>0.474313891197715</v>
      </c>
      <c r="F24" s="70" t="n">
        <f aca="false">MAX(0,F15-F20-F23)</f>
        <v>1.98124893062208</v>
      </c>
      <c r="G24" s="70" t="n">
        <f aca="false">MAX(0,G15-G20-G23)</f>
        <v>5.61652502080719</v>
      </c>
      <c r="I24" s="7" t="s">
        <v>1130</v>
      </c>
    </row>
    <row r="25" customFormat="false" ht="15" hidden="false" customHeight="false" outlineLevel="1" collapsed="false">
      <c r="A25" s="3" t="s">
        <v>1131</v>
      </c>
      <c r="B25" s="12" t="s">
        <v>93</v>
      </c>
      <c r="C25" s="42" t="n">
        <f aca="false">C20+C23</f>
        <v>6.5946176117778</v>
      </c>
      <c r="D25" s="42" t="n">
        <f aca="false">D20+D23</f>
        <v>20.5968269467532</v>
      </c>
      <c r="E25" s="42" t="n">
        <f aca="false">E20+E23</f>
        <v>30.0088250207794</v>
      </c>
      <c r="F25" s="42" t="n">
        <f aca="false">F20+F23</f>
        <v>36.3235772735251</v>
      </c>
      <c r="G25" s="42" t="n">
        <f aca="false">G20+G23</f>
        <v>40.1623500832288</v>
      </c>
      <c r="I25" s="7" t="s">
        <v>1132</v>
      </c>
    </row>
    <row r="26" customFormat="false" ht="15" hidden="false" customHeight="false" outlineLevel="1" collapsed="false">
      <c r="A26" s="4" t="s">
        <v>1133</v>
      </c>
      <c r="B26" s="12" t="s">
        <v>93</v>
      </c>
      <c r="C26" s="46" t="n">
        <f aca="false">輸入與假設!$C$271</f>
        <v>4.653</v>
      </c>
      <c r="D26" s="46" t="n">
        <f aca="false">0</f>
        <v>0</v>
      </c>
      <c r="E26" s="46" t="n">
        <f aca="false">0</f>
        <v>0</v>
      </c>
      <c r="F26" s="46" t="n">
        <f aca="false">0</f>
        <v>0</v>
      </c>
      <c r="G26" s="46" t="n">
        <f aca="false">0</f>
        <v>0</v>
      </c>
      <c r="I26" s="12" t="s">
        <v>1134</v>
      </c>
    </row>
    <row r="27" customFormat="false" ht="15" hidden="false" customHeight="false" outlineLevel="1" collapsed="false">
      <c r="A27" s="4" t="s">
        <v>1135</v>
      </c>
      <c r="B27" s="12" t="s">
        <v>93</v>
      </c>
      <c r="C27" s="74" t="n">
        <f aca="false">C26+C25+輸入與假設!C$33</f>
        <v>11.5476176117778</v>
      </c>
      <c r="D27" s="42" t="n">
        <f aca="false">D26+D25+輸入與假設!D$33</f>
        <v>21.5968269467532</v>
      </c>
      <c r="E27" s="42" t="n">
        <f aca="false">E26+E25+輸入與假設!E$33</f>
        <v>31.8088250207794</v>
      </c>
      <c r="F27" s="42" t="n">
        <f aca="false">F26+F25+輸入與假設!F$33</f>
        <v>39.1235772735251</v>
      </c>
      <c r="G27" s="42" t="n">
        <f aca="false">G26+G25+輸入與假設!G$33</f>
        <v>43.9623500832288</v>
      </c>
      <c r="I27" s="12" t="s">
        <v>1136</v>
      </c>
    </row>
    <row r="28" customFormat="false" ht="15" hidden="false" customHeight="false" outlineLevel="0" collapsed="false">
      <c r="A28" s="54" t="s">
        <v>1137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1" collapsed="false">
      <c r="A29" s="3" t="s">
        <v>224</v>
      </c>
      <c r="B29" s="12" t="s">
        <v>77</v>
      </c>
      <c r="C29" s="55" t="n">
        <f aca="false">輸入與假設!C$31</f>
        <v>0.005</v>
      </c>
      <c r="D29" s="55" t="n">
        <f aca="false">輸入與假設!D$31</f>
        <v>0.01</v>
      </c>
      <c r="E29" s="55" t="n">
        <f aca="false">輸入與假設!E$31</f>
        <v>0.015</v>
      </c>
      <c r="F29" s="55" t="n">
        <f aca="false">輸入與假設!F$31</f>
        <v>0.02</v>
      </c>
      <c r="G29" s="55" t="n">
        <f aca="false">輸入與假設!G$31</f>
        <v>0.025</v>
      </c>
    </row>
    <row r="30" customFormat="false" ht="15" hidden="false" customHeight="false" outlineLevel="1" collapsed="false">
      <c r="A30" s="3" t="s">
        <v>226</v>
      </c>
      <c r="B30" s="12" t="s">
        <v>77</v>
      </c>
      <c r="C30" s="55" t="n">
        <f aca="false">輸入與假設!C$32</f>
        <v>0.5</v>
      </c>
      <c r="D30" s="55" t="n">
        <f aca="false">輸入與假設!D$32</f>
        <v>0.5</v>
      </c>
      <c r="E30" s="55" t="n">
        <f aca="false">輸入與假設!E$32</f>
        <v>0.5</v>
      </c>
      <c r="F30" s="55" t="n">
        <f aca="false">輸入與假設!F$32</f>
        <v>0.5</v>
      </c>
      <c r="G30" s="55" t="n">
        <f aca="false">輸入與假設!G$32</f>
        <v>0.5</v>
      </c>
    </row>
    <row r="31" customFormat="false" ht="15" hidden="false" customHeight="false" outlineLevel="1" collapsed="false">
      <c r="A31" s="3" t="s">
        <v>1138</v>
      </c>
      <c r="B31" s="12" t="s">
        <v>93</v>
      </c>
      <c r="C31" s="70" t="n">
        <f aca="false">C20*輸入與假設!C$31*(1-輸入與假設!C$32)</f>
        <v>0.0164865440294445</v>
      </c>
      <c r="D31" s="70" t="n">
        <f aca="false">D20*輸入與假設!D$31*(1-輸入與假設!D$32)</f>
        <v>0.102984134733766</v>
      </c>
      <c r="E31" s="70" t="n">
        <f aca="false">E20*輸入與假設!E$31*(1-輸入與假設!E$32)</f>
        <v>0.19305</v>
      </c>
      <c r="F31" s="70" t="n">
        <f aca="false">F20*輸入與假設!F$31*(1-輸入與假設!F$32)</f>
        <v>0.250965</v>
      </c>
      <c r="G31" s="70" t="n">
        <f aca="false">G20*輸入與假設!G$31*(1-輸入與假設!G$32)</f>
        <v>0.221203125</v>
      </c>
      <c r="I31" s="7" t="s">
        <v>1139</v>
      </c>
    </row>
    <row r="32" customFormat="false" ht="15" hidden="false" customHeight="false" outlineLevel="1" collapsed="false">
      <c r="A32" s="3" t="s">
        <v>1140</v>
      </c>
      <c r="B32" s="12" t="s">
        <v>93</v>
      </c>
      <c r="C32" s="70" t="n">
        <f aca="false">C20-C31</f>
        <v>6.57813106774836</v>
      </c>
      <c r="D32" s="70" t="n">
        <f aca="false">D20-D31</f>
        <v>20.4938428120194</v>
      </c>
      <c r="E32" s="70" t="n">
        <f aca="false">E20-E31</f>
        <v>25.54695</v>
      </c>
      <c r="F32" s="70" t="n">
        <f aca="false">F20-F31</f>
        <v>24.845535</v>
      </c>
      <c r="G32" s="70" t="n">
        <f aca="false">G20-G31</f>
        <v>17.475046875</v>
      </c>
    </row>
    <row r="33" customFormat="false" ht="15" hidden="false" customHeight="false" outlineLevel="1" collapsed="false">
      <c r="A33" s="4" t="s">
        <v>1141</v>
      </c>
      <c r="B33" s="12" t="s">
        <v>77</v>
      </c>
      <c r="C33" s="55" t="n">
        <f aca="false">輸入與假設!C$134</f>
        <v>0.590886294703084</v>
      </c>
      <c r="D33" s="55" t="n">
        <f aca="false">輸入與假設!D$134</f>
        <v>0.606396127800419</v>
      </c>
      <c r="E33" s="55" t="n">
        <f aca="false">輸入與假設!E$134</f>
        <v>0.636293894361242</v>
      </c>
      <c r="F33" s="55" t="n">
        <f aca="false">輸入與假設!F$134</f>
        <v>0.639061243175207</v>
      </c>
      <c r="G33" s="55" t="n">
        <f aca="false">輸入與假設!G$134</f>
        <v>0.628749311717266</v>
      </c>
      <c r="I33" s="7" t="s">
        <v>1142</v>
      </c>
    </row>
    <row r="34" customFormat="false" ht="15" hidden="false" customHeight="false" outlineLevel="1" collapsed="false">
      <c r="A34" s="3" t="s">
        <v>1143</v>
      </c>
      <c r="B34" s="12" t="s">
        <v>93</v>
      </c>
      <c r="C34" s="70" t="n">
        <f aca="false">C25+輸入與假設!C$33</f>
        <v>6.8946176117778</v>
      </c>
      <c r="D34" s="70" t="n">
        <f aca="false">D25+輸入與假設!D$33</f>
        <v>21.5968269467532</v>
      </c>
      <c r="E34" s="70" t="n">
        <f aca="false">E25+輸入與假設!E$33</f>
        <v>31.8088250207794</v>
      </c>
      <c r="F34" s="70" t="n">
        <f aca="false">F25+輸入與假設!F$33</f>
        <v>39.1235772735251</v>
      </c>
      <c r="G34" s="70" t="n">
        <f aca="false">G25+輸入與假設!G$33</f>
        <v>43.9623500832288</v>
      </c>
    </row>
    <row r="35" customFormat="false" ht="15" hidden="false" customHeight="false" outlineLevel="1" collapsed="false">
      <c r="A35" s="4" t="s">
        <v>1144</v>
      </c>
      <c r="B35" s="12" t="s">
        <v>77</v>
      </c>
      <c r="C35" s="75" t="n">
        <f aca="false">輸入與假設!C$134+各期收支!C12/MAX(0.01,C34)</f>
        <v>0.785240800703668</v>
      </c>
      <c r="D35" s="75" t="n">
        <f aca="false">輸入與假設!D$134+各期收支!D12/MAX(0.01,D34)</f>
        <v>0.788784031806483</v>
      </c>
      <c r="E35" s="75" t="n">
        <f aca="false">輸入與假設!E$134+各期收支!E12/MAX(0.01,E34)</f>
        <v>0.784848732071305</v>
      </c>
      <c r="F35" s="75" t="n">
        <f aca="false">輸入與假設!F$134+各期收支!F12/MAX(0.01,F34)</f>
        <v>0.770005301899273</v>
      </c>
      <c r="G35" s="75" t="n">
        <f aca="false">輸入與假設!G$134+各期收支!G12/MAX(0.01,G34)</f>
        <v>0.746817123190307</v>
      </c>
      <c r="I35" s="7" t="s">
        <v>1145</v>
      </c>
    </row>
    <row r="36" customFormat="false" ht="15" hidden="false" customHeight="false" outlineLevel="1" collapsed="false">
      <c r="A36" s="4" t="s">
        <v>1146</v>
      </c>
      <c r="B36" s="12" t="s">
        <v>93</v>
      </c>
      <c r="C36" s="42" t="n">
        <f aca="false">C32*C35</f>
        <v>5.16541690677239</v>
      </c>
      <c r="D36" s="42" t="n">
        <f aca="false">D32*D35</f>
        <v>16.165215960473</v>
      </c>
      <c r="E36" s="42" t="n">
        <f aca="false">E32*E35</f>
        <v>20.050491315789</v>
      </c>
      <c r="F36" s="42" t="n">
        <f aca="false">F32*F35</f>
        <v>19.1311936785239</v>
      </c>
      <c r="G36" s="42" t="n">
        <f aca="false">G32*G35</f>
        <v>13.0506642348033</v>
      </c>
      <c r="I36" s="12" t="s">
        <v>1147</v>
      </c>
    </row>
    <row r="37" customFormat="false" ht="15" hidden="false" customHeight="false" outlineLevel="1" collapsed="false">
      <c r="A37" s="3" t="s">
        <v>1148</v>
      </c>
      <c r="B37" s="12" t="s">
        <v>93</v>
      </c>
      <c r="C37" s="70" t="n">
        <f aca="false">C23*(1-輸入與假設!C$31*(1-輸入與假設!C$32))*C35</f>
        <v>0</v>
      </c>
      <c r="D37" s="70" t="n">
        <f aca="false">D23*(1-輸入與假設!D$31*(1-輸入與假設!D$32))*D35</f>
        <v>0</v>
      </c>
      <c r="E37" s="70" t="n">
        <f aca="false">E23*(1-輸入與假設!E$31*(1-輸入與假設!E$32))*E35</f>
        <v>3.32525404070556</v>
      </c>
      <c r="F37" s="70" t="n">
        <f aca="false">F23*(1-輸入與假設!F$31*(1-輸入與假設!F$32))*F35</f>
        <v>8.55845993519271</v>
      </c>
      <c r="G37" s="70" t="n">
        <f aca="false">G23*(1-輸入與假設!G$31*(1-輸入與假設!G$32))*G35</f>
        <v>16.5683423805441</v>
      </c>
      <c r="I37" s="7" t="s">
        <v>1149</v>
      </c>
    </row>
    <row r="38" customFormat="false" ht="15" hidden="false" customHeight="false" outlineLevel="1" collapsed="false"/>
    <row r="39" customFormat="false" ht="15" hidden="false" customHeight="false" outlineLevel="1" collapsed="false">
      <c r="A39" s="2" t="s">
        <v>1150</v>
      </c>
    </row>
    <row r="40" customFormat="false" ht="15" hidden="false" customHeight="false" outlineLevel="1" collapsed="false">
      <c r="A40" s="7" t="s">
        <v>1151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6" t="s">
        <v>1152</v>
      </c>
    </row>
    <row r="2" customFormat="false" ht="15" hidden="false" customHeight="false" outlineLevel="0" collapsed="false">
      <c r="A2" s="12" t="s">
        <v>1153</v>
      </c>
    </row>
    <row r="4" customFormat="false" ht="17.15" hidden="false" customHeight="false" outlineLevel="0" collapsed="false">
      <c r="A4" s="15" t="s">
        <v>1154</v>
      </c>
      <c r="B4" s="15" t="s">
        <v>1155</v>
      </c>
      <c r="C4" s="15" t="s">
        <v>1156</v>
      </c>
      <c r="D4" s="15" t="s">
        <v>1157</v>
      </c>
      <c r="E4" s="15" t="s">
        <v>1158</v>
      </c>
      <c r="F4" s="15" t="s">
        <v>1159</v>
      </c>
      <c r="G4" s="15" t="s">
        <v>1160</v>
      </c>
      <c r="H4" s="15" t="s">
        <v>1161</v>
      </c>
      <c r="I4" s="15" t="s">
        <v>1162</v>
      </c>
      <c r="J4" s="16" t="s">
        <v>1163</v>
      </c>
      <c r="K4" s="15" t="s">
        <v>659</v>
      </c>
    </row>
    <row r="5" customFormat="false" ht="15" hidden="false" customHeight="false" outlineLevel="0" collapsed="false">
      <c r="A5" s="4" t="s">
        <v>1164</v>
      </c>
      <c r="B5" s="12" t="s">
        <v>1165</v>
      </c>
      <c r="C5" s="22" t="n">
        <v>526</v>
      </c>
      <c r="D5" s="22" t="n">
        <v>133</v>
      </c>
      <c r="E5" s="40" t="n">
        <v>15</v>
      </c>
      <c r="F5" s="22" t="n">
        <v>15</v>
      </c>
      <c r="G5" s="62" t="n">
        <f aca="false">E5/F5</f>
        <v>1</v>
      </c>
      <c r="H5" s="62" t="n">
        <f aca="false">G5/C5*1000</f>
        <v>1.90114068441065</v>
      </c>
      <c r="I5" s="12" t="s">
        <v>1166</v>
      </c>
      <c r="J5" s="7" t="s">
        <v>1167</v>
      </c>
      <c r="K5" s="12" t="s">
        <v>1168</v>
      </c>
    </row>
    <row r="6" customFormat="false" ht="15" hidden="false" customHeight="false" outlineLevel="0" collapsed="false">
      <c r="A6" s="4" t="s">
        <v>1169</v>
      </c>
      <c r="B6" s="12" t="s">
        <v>1170</v>
      </c>
      <c r="C6" s="22" t="n">
        <v>400</v>
      </c>
      <c r="D6" s="22" t="n">
        <v>250</v>
      </c>
      <c r="E6" s="40" t="n">
        <v>11</v>
      </c>
      <c r="F6" s="22" t="n">
        <v>15</v>
      </c>
      <c r="G6" s="62" t="n">
        <f aca="false">E6/F6</f>
        <v>0.733333333333333</v>
      </c>
      <c r="H6" s="62" t="n">
        <f aca="false">G6/C6*1000</f>
        <v>1.83333333333333</v>
      </c>
      <c r="I6" s="12" t="s">
        <v>1171</v>
      </c>
      <c r="J6" s="7" t="s">
        <v>1172</v>
      </c>
      <c r="K6" s="12" t="s">
        <v>1173</v>
      </c>
    </row>
    <row r="7" customFormat="false" ht="15" hidden="false" customHeight="false" outlineLevel="0" collapsed="false">
      <c r="A7" s="4" t="s">
        <v>1174</v>
      </c>
      <c r="B7" s="12" t="s">
        <v>1175</v>
      </c>
      <c r="C7" s="22" t="n">
        <v>590</v>
      </c>
      <c r="D7" s="22" t="n">
        <v>250</v>
      </c>
      <c r="E7" s="40" t="n">
        <v>10.2</v>
      </c>
      <c r="F7" s="22" t="n">
        <v>12</v>
      </c>
      <c r="G7" s="62" t="n">
        <f aca="false">E7/F7</f>
        <v>0.85</v>
      </c>
      <c r="H7" s="62" t="n">
        <f aca="false">G7/C7*1000</f>
        <v>1.4406779661017</v>
      </c>
      <c r="I7" s="12" t="s">
        <v>1176</v>
      </c>
      <c r="J7" s="7" t="s">
        <v>1177</v>
      </c>
      <c r="K7" s="12" t="s">
        <v>1178</v>
      </c>
    </row>
    <row r="8" customFormat="false" ht="15" hidden="false" customHeight="false" outlineLevel="0" collapsed="false">
      <c r="A8" s="4" t="s">
        <v>1179</v>
      </c>
      <c r="B8" s="12" t="s">
        <v>1180</v>
      </c>
      <c r="C8" s="76" t="s">
        <v>1181</v>
      </c>
      <c r="D8" s="22" t="n">
        <v>0</v>
      </c>
      <c r="E8" s="76" t="s">
        <v>1181</v>
      </c>
      <c r="F8" s="22" t="n">
        <v>15</v>
      </c>
      <c r="I8" s="7" t="s">
        <v>1182</v>
      </c>
      <c r="J8" s="12" t="s">
        <v>1183</v>
      </c>
      <c r="K8" s="12" t="s">
        <v>1184</v>
      </c>
    </row>
    <row r="9" customFormat="false" ht="15" hidden="false" customHeight="false" outlineLevel="0" collapsed="false">
      <c r="A9" s="2" t="s">
        <v>1185</v>
      </c>
      <c r="C9" s="77" t="n">
        <f aca="false">SUM(C5:C8)</f>
        <v>1516</v>
      </c>
      <c r="D9" s="77" t="n">
        <f aca="false">SUM(D5:D8)</f>
        <v>633</v>
      </c>
      <c r="E9" s="61" t="n">
        <f aca="false">SUM(E5:E8)</f>
        <v>36.2</v>
      </c>
      <c r="G9" s="61" t="n">
        <f aca="false">SUM(G5:G8)</f>
        <v>2.58333333333333</v>
      </c>
      <c r="H9" s="78" t="n">
        <f aca="false">G9/C9*1000</f>
        <v>1.70404573438874</v>
      </c>
      <c r="K9" s="7" t="s">
        <v>1186</v>
      </c>
    </row>
    <row r="11" customFormat="false" ht="15" hidden="false" customHeight="false" outlineLevel="0" collapsed="false">
      <c r="A11" s="54" t="s">
        <v>1187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1" collapsed="false">
      <c r="A12" s="4" t="s">
        <v>1188</v>
      </c>
      <c r="E12" s="24" t="n">
        <v>29.37</v>
      </c>
      <c r="K12" s="7" t="s">
        <v>1189</v>
      </c>
    </row>
    <row r="13" customFormat="false" ht="15" hidden="false" customHeight="false" outlineLevel="1" collapsed="false">
      <c r="A13" s="4" t="s">
        <v>1190</v>
      </c>
      <c r="E13" s="24" t="n">
        <v>35.5</v>
      </c>
      <c r="K13" s="12" t="s">
        <v>1191</v>
      </c>
    </row>
    <row r="14" customFormat="false" ht="15" hidden="false" customHeight="false" outlineLevel="1" collapsed="false">
      <c r="A14" s="4" t="s">
        <v>1192</v>
      </c>
      <c r="E14" s="24" t="n">
        <v>14.7</v>
      </c>
      <c r="K14" s="7" t="s">
        <v>1193</v>
      </c>
    </row>
    <row r="15" customFormat="false" ht="15" hidden="false" customHeight="false" outlineLevel="1" collapsed="false">
      <c r="A15" s="5" t="s">
        <v>1194</v>
      </c>
      <c r="E15" s="61" t="n">
        <f aca="false">SUM(E12:E14)</f>
        <v>79.57</v>
      </c>
      <c r="K15" s="7" t="s">
        <v>1195</v>
      </c>
    </row>
    <row r="16" customFormat="false" ht="15" hidden="false" customHeight="false" outlineLevel="1" collapsed="false">
      <c r="A16" s="3" t="s">
        <v>1196</v>
      </c>
      <c r="E16" s="60" t="n">
        <f aca="false">-E9</f>
        <v>-36.2</v>
      </c>
    </row>
    <row r="17" customFormat="false" ht="15" hidden="false" customHeight="false" outlineLevel="1" collapsed="false">
      <c r="A17" s="2" t="s">
        <v>1197</v>
      </c>
      <c r="E17" s="61" t="n">
        <f aca="false">E15+E16</f>
        <v>43.37</v>
      </c>
      <c r="K17" s="12" t="s">
        <v>1198</v>
      </c>
    </row>
    <row r="18" customFormat="false" ht="15" hidden="false" customHeight="false" outlineLevel="1" collapsed="false">
      <c r="A18" s="3" t="s">
        <v>1199</v>
      </c>
      <c r="E18" s="28" t="n">
        <f aca="false">E17/E15</f>
        <v>0.545054668845042</v>
      </c>
    </row>
    <row r="20" customFormat="false" ht="15" hidden="false" customHeight="false" outlineLevel="0" collapsed="false">
      <c r="A20" s="54" t="s">
        <v>1200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1" collapsed="false">
      <c r="A21" s="15" t="s">
        <v>87</v>
      </c>
      <c r="B21" s="15" t="s">
        <v>88</v>
      </c>
      <c r="C21" s="16" t="s">
        <v>89</v>
      </c>
      <c r="D21" s="16" t="s">
        <v>90</v>
      </c>
      <c r="E21" s="16" t="s">
        <v>91</v>
      </c>
      <c r="F21" s="16" t="s">
        <v>175</v>
      </c>
      <c r="G21" s="16" t="s">
        <v>176</v>
      </c>
    </row>
    <row r="22" customFormat="false" ht="15" hidden="false" customHeight="false" outlineLevel="1" collapsed="false">
      <c r="A22" s="3" t="s">
        <v>1201</v>
      </c>
      <c r="B22" s="12" t="s">
        <v>93</v>
      </c>
      <c r="C22" s="70" t="n">
        <f aca="false">各期收支!C12</f>
        <v>1.34</v>
      </c>
      <c r="D22" s="70" t="n">
        <f aca="false">各期收支!D12</f>
        <v>3.939</v>
      </c>
      <c r="E22" s="70" t="n">
        <f aca="false">各期收支!E12</f>
        <v>4.72535483870968</v>
      </c>
      <c r="F22" s="70" t="n">
        <f aca="false">各期收支!F12</f>
        <v>5.123</v>
      </c>
      <c r="G22" s="70" t="n">
        <f aca="false">各期收支!G12</f>
        <v>5.19053846153846</v>
      </c>
    </row>
    <row r="23" customFormat="false" ht="15" hidden="false" customHeight="false" outlineLevel="1" collapsed="false">
      <c r="A23" s="3" t="s">
        <v>1202</v>
      </c>
      <c r="B23" s="12" t="s">
        <v>179</v>
      </c>
      <c r="C23" s="72" t="n">
        <f aca="false">(輸入與假設!C$177+輸入與假設!C$26)/2</f>
        <v>1350</v>
      </c>
      <c r="D23" s="72" t="n">
        <f aca="false">(輸入與假設!D$177+輸入與假設!D$26)/2</f>
        <v>2475</v>
      </c>
      <c r="E23" s="72" t="n">
        <f aca="false">(輸入與假設!E$177+輸入與假設!E$26)/2</f>
        <v>3550</v>
      </c>
      <c r="F23" s="72" t="n">
        <f aca="false">(輸入與假設!F$177+輸入與假設!F$26)/2</f>
        <v>4400</v>
      </c>
      <c r="G23" s="72" t="n">
        <f aca="false">(輸入與假設!G$177+輸入與假設!G$26)/2</f>
        <v>5200</v>
      </c>
    </row>
    <row r="24" customFormat="false" ht="15" hidden="false" customHeight="false" outlineLevel="1" collapsed="false">
      <c r="A24" s="3" t="s">
        <v>209</v>
      </c>
      <c r="B24" s="7" t="s">
        <v>254</v>
      </c>
      <c r="C24" s="70" t="n">
        <f aca="false">輸入與假設!C$24</f>
        <v>0.5</v>
      </c>
      <c r="D24" s="70" t="n">
        <f aca="false">輸入與假設!D$24</f>
        <v>1</v>
      </c>
      <c r="E24" s="70" t="n">
        <f aca="false">輸入與假設!E$24</f>
        <v>1</v>
      </c>
      <c r="F24" s="70" t="n">
        <f aca="false">輸入與假設!F$24</f>
        <v>1</v>
      </c>
      <c r="G24" s="70" t="n">
        <f aca="false">輸入與假設!G$24</f>
        <v>1</v>
      </c>
    </row>
    <row r="25" customFormat="false" ht="15" hidden="false" customHeight="false" outlineLevel="1" collapsed="false">
      <c r="A25" s="2" t="s">
        <v>1203</v>
      </c>
      <c r="B25" s="12" t="s">
        <v>396</v>
      </c>
      <c r="C25" s="42" t="n">
        <f aca="false">C22/C24/C23*1000</f>
        <v>1.98518518518519</v>
      </c>
      <c r="D25" s="42" t="n">
        <f aca="false">D22/D24/D23*1000</f>
        <v>1.59151515151515</v>
      </c>
      <c r="E25" s="42" t="n">
        <f aca="false">E22/E24/E23*1000</f>
        <v>1.33108587005906</v>
      </c>
      <c r="F25" s="42" t="n">
        <f aca="false">F22/F24/F23*1000</f>
        <v>1.16431818181818</v>
      </c>
      <c r="G25" s="42" t="n">
        <f aca="false">G22/G24/G23*1000</f>
        <v>0.998180473372781</v>
      </c>
      <c r="K25" s="12" t="s">
        <v>1204</v>
      </c>
    </row>
    <row r="26" customFormat="false" ht="15" hidden="false" customHeight="false" outlineLevel="1" collapsed="false">
      <c r="A26" s="3" t="s">
        <v>1205</v>
      </c>
      <c r="C26" s="23" t="n">
        <v>0.85</v>
      </c>
      <c r="K26" s="7" t="s">
        <v>1206</v>
      </c>
    </row>
    <row r="27" customFormat="false" ht="15" hidden="false" customHeight="false" outlineLevel="1" collapsed="false">
      <c r="A27" s="3" t="s">
        <v>1207</v>
      </c>
      <c r="B27" s="12" t="s">
        <v>93</v>
      </c>
      <c r="C27" s="70" t="n">
        <f aca="false">C23*運營_站點!$H$9/1000*$C$26*C24</f>
        <v>0.977696240105541</v>
      </c>
      <c r="D27" s="70" t="n">
        <f aca="false">D23*運營_站點!$H$9/1000*$C$26*D24</f>
        <v>3.58488621372032</v>
      </c>
      <c r="E27" s="70" t="n">
        <f aca="false">E23*運營_站點!$H$9/1000*$C$26*E24</f>
        <v>5.14195800351803</v>
      </c>
      <c r="F27" s="70" t="n">
        <f aca="false">F23*運營_站點!$H$9/1000*$C$26*F24</f>
        <v>6.3731310466139</v>
      </c>
      <c r="G27" s="70" t="n">
        <f aca="false">G23*運營_站點!$H$9/1000*$C$26*G24</f>
        <v>7.53188214599824</v>
      </c>
      <c r="K27" s="7" t="s">
        <v>1208</v>
      </c>
    </row>
    <row r="28" customFormat="false" ht="15" hidden="false" customHeight="false" outlineLevel="1" collapsed="false">
      <c r="A28" s="2" t="s">
        <v>1209</v>
      </c>
      <c r="B28" s="12" t="s">
        <v>93</v>
      </c>
      <c r="C28" s="42" t="n">
        <f aca="false">C27-C22</f>
        <v>-0.362303759894459</v>
      </c>
      <c r="D28" s="42" t="n">
        <f aca="false">D27-D22</f>
        <v>-0.354113786279684</v>
      </c>
      <c r="E28" s="42" t="n">
        <f aca="false">E27-E22</f>
        <v>0.416603164808353</v>
      </c>
      <c r="F28" s="42" t="n">
        <f aca="false">F27-F22</f>
        <v>1.2501310466139</v>
      </c>
      <c r="G28" s="42" t="n">
        <f aca="false">G27-G22</f>
        <v>2.34134368445978</v>
      </c>
      <c r="K28" s="7" t="s">
        <v>1210</v>
      </c>
    </row>
    <row r="29" customFormat="false" ht="15" hidden="false" customHeight="false" outlineLevel="1" collapsed="false">
      <c r="A29" s="2" t="s">
        <v>1211</v>
      </c>
      <c r="C29" s="78" t="n">
        <f aca="false">SUM(C28:G28)</f>
        <v>3.29166034970789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2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6" t="s">
        <v>1212</v>
      </c>
    </row>
    <row r="2" customFormat="false" ht="15" hidden="false" customHeight="false" outlineLevel="0" collapsed="false">
      <c r="A2" s="7" t="s">
        <v>1213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796</v>
      </c>
    </row>
    <row r="5" customFormat="false" ht="15" hidden="false" customHeight="false" outlineLevel="0" collapsed="false">
      <c r="A5" s="54" t="s">
        <v>1214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1215</v>
      </c>
      <c r="B6" s="12" t="s">
        <v>179</v>
      </c>
      <c r="C6" s="72" t="n">
        <f aca="false">IF(輸入與假設!$C$37=2,C50/SUMPRODUCT(C51:C55,輸入與假設!$E$93:$E$97),C50)</f>
        <v>1675</v>
      </c>
      <c r="D6" s="72" t="n">
        <f aca="false">IF(輸入與假設!$C$37=2,D50/SUMPRODUCT(D51:D55,輸入與假設!$E$93:$E$97),D50)</f>
        <v>2475</v>
      </c>
      <c r="E6" s="72" t="n">
        <f aca="false">IF(輸入與假設!$C$37=2,E50/SUMPRODUCT(E51:E55,輸入與假設!$E$93:$E$97),E50)</f>
        <v>3550</v>
      </c>
      <c r="F6" s="72" t="n">
        <f aca="false">IF(輸入與假設!$C$37=2,F50/SUMPRODUCT(F51:F55,輸入與假設!$E$93:$E$97),F50)</f>
        <v>4400</v>
      </c>
      <c r="G6" s="72" t="n">
        <f aca="false">IF(輸入與假設!$C$37=2,G50/SUMPRODUCT(G51:G55,輸入與假設!$E$93:$E$97),G50)</f>
        <v>5200</v>
      </c>
      <c r="I6" s="7" t="s">
        <v>1216</v>
      </c>
    </row>
    <row r="7" customFormat="false" ht="15" hidden="false" customHeight="false" outlineLevel="1" collapsed="false">
      <c r="A7" s="3" t="s">
        <v>1217</v>
      </c>
      <c r="B7" s="12" t="s">
        <v>179</v>
      </c>
      <c r="C7" s="72" t="n">
        <f aca="false">IF(輸入與假設!$C$37=2,C50/SUMPRODUCT(C51:C55,輸入與假設!$E$93:$E$97),C50)*SUMPRODUCT(C51:C55,輸入與假設!$E$93:$E$97)</f>
        <v>2010</v>
      </c>
      <c r="D7" s="72" t="n">
        <f aca="false">IF(輸入與假設!$C$37=2,D50/SUMPRODUCT(D51:D55,輸入與假設!$E$93:$E$97),D50)*SUMPRODUCT(D51:D55,輸入與假設!$E$93:$E$97)</f>
        <v>2970</v>
      </c>
      <c r="E7" s="72" t="n">
        <f aca="false">IF(輸入與假設!$C$37=2,E50/SUMPRODUCT(E51:E55,輸入與假設!$E$93:$E$97),E50)*SUMPRODUCT(E51:E55,輸入與假設!$E$93:$E$97)</f>
        <v>4260</v>
      </c>
      <c r="F7" s="72" t="n">
        <f aca="false">IF(輸入與假設!$C$37=2,F50/SUMPRODUCT(F51:F55,輸入與假設!$E$93:$E$97),F50)*SUMPRODUCT(F51:F55,輸入與假設!$E$93:$E$97)</f>
        <v>5280</v>
      </c>
      <c r="G7" s="72" t="n">
        <f aca="false">IF(輸入與假設!$C$37=2,G50/SUMPRODUCT(G51:G55,輸入與假設!$E$93:$E$97),G50)*SUMPRODUCT(G51:G55,輸入與假設!$E$93:$E$97)</f>
        <v>6240</v>
      </c>
      <c r="I7" s="12" t="s">
        <v>1218</v>
      </c>
    </row>
    <row r="8" customFormat="false" ht="15" hidden="false" customHeight="false" outlineLevel="1" collapsed="false">
      <c r="A8" s="2" t="s">
        <v>1219</v>
      </c>
      <c r="B8" s="12" t="s">
        <v>396</v>
      </c>
      <c r="C8" s="70" t="n">
        <f aca="false">運營_產能與收入!C34/MAX(0.000000001,C50)/輸入與假設!C$24*1000</f>
        <v>8.23237923794364</v>
      </c>
      <c r="D8" s="70" t="n">
        <f aca="false">運營_產能與收入!D34/MAX(0.000000001,D50)/輸入與假設!D$24*1000</f>
        <v>8.72599068555684</v>
      </c>
      <c r="E8" s="70" t="n">
        <f aca="false">運營_產能與收入!E34/MAX(0.000000001,E50)/輸入與假設!E$24*1000</f>
        <v>8.96023240021956</v>
      </c>
      <c r="F8" s="70" t="n">
        <f aca="false">運營_產能與收入!F34/MAX(0.000000001,F50)/輸入與假設!F$24*1000</f>
        <v>8.89172210761935</v>
      </c>
      <c r="G8" s="70" t="n">
        <f aca="false">運營_產能與收入!G34/MAX(0.000000001,G50)/輸入與假設!G$24*1000</f>
        <v>8.45429809292861</v>
      </c>
      <c r="I8" s="7" t="s">
        <v>1220</v>
      </c>
    </row>
    <row r="9" customFormat="false" ht="15" hidden="false" customHeight="false" outlineLevel="1" collapsed="false">
      <c r="A9" s="3" t="s">
        <v>1221</v>
      </c>
      <c r="B9" s="12" t="s">
        <v>396</v>
      </c>
      <c r="C9" s="70" t="n">
        <f aca="false">運營_產能與收入!C25/MAX(0.000000001,C50)/輸入與假設!C$24*1000</f>
        <v>7.87417028271976</v>
      </c>
      <c r="D9" s="70" t="n">
        <f aca="false">運營_產能與收入!D25/MAX(0.000000001,D50)/輸入與假設!D$24*1000</f>
        <v>8.32195028151644</v>
      </c>
      <c r="E9" s="70" t="n">
        <f aca="false">運營_產能與收入!E25/MAX(0.000000001,E50)/輸入與假設!E$24*1000</f>
        <v>8.45319014669843</v>
      </c>
      <c r="F9" s="70" t="n">
        <f aca="false">運營_產能與收入!F25/MAX(0.000000001,F50)/輸入與假設!F$24*1000</f>
        <v>8.25535847125571</v>
      </c>
      <c r="G9" s="70" t="n">
        <f aca="false">運營_產能與收入!G25/MAX(0.000000001,G50)/輸入與假設!G$24*1000</f>
        <v>7.72352886215938</v>
      </c>
    </row>
    <row r="10" customFormat="false" ht="15" hidden="false" customHeight="false" outlineLevel="1" collapsed="false">
      <c r="A10" s="3" t="s">
        <v>327</v>
      </c>
      <c r="B10" s="12" t="s">
        <v>396</v>
      </c>
      <c r="C10" s="70" t="n">
        <f aca="false">C88/MAX(0.000000001,C50)/輸入與假設!C$24*1000</f>
        <v>0.672768</v>
      </c>
      <c r="D10" s="70" t="n">
        <f aca="false">D88/MAX(0.000000001,D50)/輸入與假設!D$24*1000</f>
        <v>0.672768</v>
      </c>
      <c r="E10" s="70" t="n">
        <f aca="false">E88/MAX(0.000000001,E50)/輸入與假設!E$24*1000</f>
        <v>0.672768</v>
      </c>
      <c r="F10" s="70" t="n">
        <f aca="false">F88/MAX(0.000000001,F50)/輸入與假設!F$24*1000</f>
        <v>0.672768</v>
      </c>
      <c r="G10" s="70" t="n">
        <f aca="false">G88/MAX(0.000000001,G50)/輸入與假設!G$24*1000</f>
        <v>0.672768</v>
      </c>
      <c r="I10" s="7" t="s">
        <v>1222</v>
      </c>
    </row>
    <row r="11" customFormat="false" ht="15" hidden="false" customHeight="false" outlineLevel="1" collapsed="false">
      <c r="A11" s="4" t="s">
        <v>1223</v>
      </c>
      <c r="B11" s="12" t="s">
        <v>396</v>
      </c>
      <c r="C11" s="70" t="n">
        <f aca="false">C89/MAX(0.000000001,C50)/輸入與假設!C$24*1000</f>
        <v>0.172486912161015</v>
      </c>
      <c r="D11" s="70" t="n">
        <f aca="false">D89/MAX(0.000000001,D50)/輸入與假設!D$24*1000</f>
        <v>0.21192248620998</v>
      </c>
      <c r="E11" s="70" t="n">
        <f aca="false">E89/MAX(0.000000001,E50)/輸入與假設!E$24*1000</f>
        <v>0.275269342729324</v>
      </c>
      <c r="F11" s="70" t="n">
        <f aca="false">F89/MAX(0.000000001,F50)/輸入與假設!F$24*1000</f>
        <v>0.390619937854057</v>
      </c>
      <c r="G11" s="70" t="n">
        <f aca="false">G89/MAX(0.000000001,G50)/輸入與假設!G$24*1000</f>
        <v>0.505107910752712</v>
      </c>
    </row>
    <row r="12" customFormat="false" ht="15" hidden="false" customHeight="false" outlineLevel="1" collapsed="false">
      <c r="A12" s="3" t="s">
        <v>1224</v>
      </c>
      <c r="B12" s="12" t="s">
        <v>396</v>
      </c>
      <c r="C12" s="70" t="n">
        <f aca="false">C90/MAX(0.000000001,C50)/輸入與假設!C$24*1000</f>
        <v>0.325</v>
      </c>
      <c r="D12" s="70" t="n">
        <f aca="false">D90/MAX(0.000000001,D50)/輸入與假設!D$24*1000</f>
        <v>0.325</v>
      </c>
      <c r="E12" s="70" t="n">
        <f aca="false">E90/MAX(0.000000001,E50)/輸入與假設!E$24*1000</f>
        <v>0.325</v>
      </c>
      <c r="F12" s="70" t="n">
        <f aca="false">F90/MAX(0.000000001,F50)/輸入與假設!F$24*1000</f>
        <v>0.325</v>
      </c>
      <c r="G12" s="70" t="n">
        <f aca="false">G90/MAX(0.000000001,G50)/輸入與假設!G$24*1000</f>
        <v>0.325</v>
      </c>
    </row>
    <row r="13" customFormat="false" ht="15" hidden="false" customHeight="false" outlineLevel="1" collapsed="false">
      <c r="A13" s="3" t="s">
        <v>1225</v>
      </c>
      <c r="B13" s="12" t="s">
        <v>396</v>
      </c>
      <c r="C13" s="70" t="n">
        <f aca="false">C91/MAX(0.000000001,C50)/輸入與假設!C$24*1000</f>
        <v>0.143744513016328</v>
      </c>
      <c r="D13" s="70" t="n">
        <f aca="false">D91/MAX(0.000000001,D50)/輸入與假設!D$24*1000</f>
        <v>0.152177821839333</v>
      </c>
      <c r="E13" s="70" t="n">
        <f aca="false">E91/MAX(0.000000001,E50)/輸入與假設!E$24*1000</f>
        <v>0.160650348887986</v>
      </c>
      <c r="F13" s="70" t="n">
        <f aca="false">F91/MAX(0.000000001,F50)/輸入與假設!F$24*1000</f>
        <v>0.166321376977807</v>
      </c>
      <c r="G13" s="70" t="n">
        <f aca="false">G91/MAX(0.000000001,G50)/輸入與假設!G$24*1000</f>
        <v>0.171389998250452</v>
      </c>
    </row>
    <row r="14" customFormat="false" ht="15" hidden="false" customHeight="false" outlineLevel="1" collapsed="false">
      <c r="A14" s="3" t="s">
        <v>1226</v>
      </c>
      <c r="B14" s="12" t="s">
        <v>396</v>
      </c>
      <c r="C14" s="70" t="n">
        <f aca="false">C94/MAX(0.000000001,C50)/輸入與假設!C$24*1000</f>
        <v>0.453979748267183</v>
      </c>
      <c r="D14" s="70" t="n">
        <f aca="false">D94/MAX(0.000000001,D50)/輸入與假設!D$24*1000</f>
        <v>0.481200263048183</v>
      </c>
      <c r="E14" s="70" t="n">
        <f aca="false">E94/MAX(0.000000001,E50)/輸入與假設!E$24*1000</f>
        <v>0.4941176702257</v>
      </c>
      <c r="F14" s="70" t="n">
        <f aca="false">F94/MAX(0.000000001,F50)/輸入與假設!F$24*1000</f>
        <v>0.49033962690561</v>
      </c>
      <c r="G14" s="70" t="n">
        <f aca="false">G94/MAX(0.000000001,G50)/輸入與假設!G$24*1000</f>
        <v>0.466217603571209</v>
      </c>
    </row>
    <row r="15" customFormat="false" ht="15" hidden="false" customHeight="false" outlineLevel="1" collapsed="false">
      <c r="A15" s="3" t="s">
        <v>1227</v>
      </c>
      <c r="B15" s="12" t="s">
        <v>396</v>
      </c>
      <c r="C15" s="70" t="n">
        <f aca="false">C97/MAX(0.000000001,C50)/輸入與假設!C$24*1000</f>
        <v>1.6</v>
      </c>
      <c r="D15" s="70" t="n">
        <f aca="false">D97/MAX(0.000000001,D50)/輸入與假設!D$24*1000</f>
        <v>1.59151515151515</v>
      </c>
      <c r="E15" s="70" t="n">
        <f aca="false">E97/MAX(0.000000001,E50)/輸入與假設!E$24*1000</f>
        <v>1.33108587005906</v>
      </c>
      <c r="F15" s="70" t="n">
        <f aca="false">F97/MAX(0.000000001,F50)/輸入與假設!F$24*1000</f>
        <v>1.16431818181818</v>
      </c>
      <c r="G15" s="70" t="n">
        <f aca="false">G97/MAX(0.000000001,G50)/輸入與假設!G$24*1000</f>
        <v>0.998180473372781</v>
      </c>
    </row>
    <row r="16" customFormat="false" ht="15" hidden="false" customHeight="false" outlineLevel="1" collapsed="false">
      <c r="A16" s="2" t="s">
        <v>1228</v>
      </c>
      <c r="B16" s="12" t="s">
        <v>396</v>
      </c>
      <c r="C16" s="70" t="n">
        <f aca="false">(運營_產能與收入!C34-運營_產能與收入!C34*輸入與假設!C$134)/MAX(0.000000001,C50)/輸入與假設!C$24*1000</f>
        <v>3.36797917344453</v>
      </c>
      <c r="D16" s="70" t="n">
        <f aca="false">(運營_產能與收入!D34-運營_產能與收入!D34*輸入與假設!D$134)/MAX(0.000000001,D50)/輸入與假設!D$24*1000</f>
        <v>3.43458372261265</v>
      </c>
      <c r="E16" s="70" t="n">
        <f aca="false">(運營_產能與收入!E34-運營_產能與收入!E34*輸入與假設!E$134)/MAX(0.000000001,E50)/輸入與假設!E$24*1000</f>
        <v>3.25889123190207</v>
      </c>
      <c r="F16" s="70" t="n">
        <f aca="false">(運營_產能與收入!F34-運營_產能與收入!F34*輸入與假設!F$134)/MAX(0.000000001,F50)/輸入與假設!F$24*1000</f>
        <v>3.20936712355566</v>
      </c>
      <c r="G16" s="70" t="n">
        <f aca="false">(運營_產能與收入!G34-運營_產能與收入!G34*輸入與假設!G$134)/MAX(0.000000001,G50)/輸入與假設!G$24*1000</f>
        <v>3.13866398594715</v>
      </c>
      <c r="I16" s="7" t="s">
        <v>1229</v>
      </c>
    </row>
    <row r="17" customFormat="false" ht="15" hidden="false" customHeight="false" outlineLevel="1" collapsed="false">
      <c r="A17" s="5" t="s">
        <v>1230</v>
      </c>
      <c r="B17" s="12" t="s">
        <v>396</v>
      </c>
      <c r="C17" s="70" t="n">
        <f aca="false">運營_產能與收入!C34*輸入與假設!C$134/MAX(0.000000001,C50)/輸入與假設!C$24*1000</f>
        <v>4.86440006449912</v>
      </c>
      <c r="D17" s="70" t="n">
        <f aca="false">運營_產能與收入!D34*輸入與假設!D$134/MAX(0.000000001,D50)/輸入與假設!D$24*1000</f>
        <v>5.29140696294419</v>
      </c>
      <c r="E17" s="70" t="n">
        <f aca="false">運營_產能與收入!E34*輸入與假設!E$134/MAX(0.000000001,E50)/輸入與假設!E$24*1000</f>
        <v>5.70134116831749</v>
      </c>
      <c r="F17" s="70" t="n">
        <f aca="false">運營_產能與收入!F34*輸入與假設!F$134/MAX(0.000000001,F50)/輸入與假設!F$24*1000</f>
        <v>5.68235498406369</v>
      </c>
      <c r="G17" s="70" t="n">
        <f aca="false">運營_產能與收入!G34*輸入與假設!G$134/MAX(0.000000001,G50)/輸入與假設!G$24*1000</f>
        <v>5.31563410698146</v>
      </c>
      <c r="I17" s="7" t="s">
        <v>1231</v>
      </c>
    </row>
    <row r="18" customFormat="false" ht="15" hidden="false" customHeight="false" outlineLevel="1" collapsed="false">
      <c r="A18" s="4" t="s">
        <v>1232</v>
      </c>
      <c r="B18" s="12" t="s">
        <v>396</v>
      </c>
      <c r="C18" s="70" t="n">
        <f aca="false">輸入與假設!C$186/MAX(0.000000001,C50)/輸入與假設!C$24*1000</f>
        <v>5.58870646766169</v>
      </c>
      <c r="D18" s="70" t="n">
        <f aca="false">輸入與假設!D$186/MAX(0.000000001,D50)/輸入與假設!D$24*1000</f>
        <v>5.74266131212121</v>
      </c>
      <c r="E18" s="70" t="n">
        <f aca="false">輸入與假設!E$186/MAX(0.000000001,E50)/輸入與假設!E$24*1000</f>
        <v>5.69089850751174</v>
      </c>
      <c r="F18" s="70" t="n">
        <f aca="false">輸入與假設!F$186/MAX(0.000000001,F50)/輸入與假設!F$24*1000</f>
        <v>5.77677182765152</v>
      </c>
      <c r="G18" s="70" t="n">
        <f aca="false">輸入與假設!G$186/MAX(0.000000001,G50)/輸入與假設!G$24*1000</f>
        <v>5.78854405032051</v>
      </c>
      <c r="I18" s="7" t="s">
        <v>1233</v>
      </c>
    </row>
    <row r="19" customFormat="false" ht="15" hidden="false" customHeight="false" outlineLevel="1" collapsed="false">
      <c r="A19" s="3" t="s">
        <v>1234</v>
      </c>
      <c r="B19" s="12" t="s">
        <v>396</v>
      </c>
      <c r="C19" s="70" t="n">
        <f aca="false">各期收支!C17/MAX(0.000000001,C50)/輸入與假設!C$24*1000</f>
        <v>2.77856644568533</v>
      </c>
      <c r="D19" s="70" t="n">
        <f aca="false">各期收支!D17/MAX(0.000000001,D50)/輸入與假設!D$24*1000</f>
        <v>2.74782230095253</v>
      </c>
      <c r="E19" s="70" t="n">
        <f aca="false">各期收支!E17/MAX(0.000000001,E50)/輸入與假設!E$24*1000</f>
        <v>2.11019847162462</v>
      </c>
      <c r="F19" s="70" t="n">
        <f aca="false">各期收支!F17/MAX(0.000000001,F50)/輸入與假設!F$24*1000</f>
        <v>1.77328374161141</v>
      </c>
      <c r="G19" s="70" t="n">
        <f aca="false">各期收支!G17/MAX(0.000000001,G50)/輸入與假設!G$24*1000</f>
        <v>1.78806620011241</v>
      </c>
      <c r="I19" s="7" t="s">
        <v>1235</v>
      </c>
    </row>
    <row r="20" customFormat="false" ht="15" hidden="false" customHeight="false" outlineLevel="1" collapsed="false">
      <c r="A20" s="2" t="s">
        <v>1236</v>
      </c>
      <c r="B20" s="12" t="s">
        <v>396</v>
      </c>
      <c r="C20" s="70" t="n">
        <f aca="false">C17-C18-C19</f>
        <v>-3.5028728488479</v>
      </c>
      <c r="D20" s="70" t="n">
        <f aca="false">D17-D18-D19</f>
        <v>-3.19907665012955</v>
      </c>
      <c r="E20" s="70" t="n">
        <f aca="false">E17-E18-E19</f>
        <v>-2.09975581081887</v>
      </c>
      <c r="F20" s="70" t="n">
        <f aca="false">F17-F18-F19</f>
        <v>-1.86770058519924</v>
      </c>
      <c r="G20" s="70" t="n">
        <f aca="false">G17-G18-G19</f>
        <v>-2.26097614345146</v>
      </c>
      <c r="I20" s="7" t="s">
        <v>1237</v>
      </c>
    </row>
    <row r="21" customFormat="false" ht="15" hidden="false" customHeight="false" outlineLevel="1" collapsed="false">
      <c r="A21" s="3" t="s">
        <v>1238</v>
      </c>
      <c r="B21" s="12" t="s">
        <v>396</v>
      </c>
      <c r="C21" s="39" t="n">
        <f aca="false">輸入與假設!C$168*輸入與假設!$C$166</f>
        <v>30.592814</v>
      </c>
      <c r="D21" s="39" t="n">
        <f aca="false">輸入與假設!D$168*輸入與假設!$C$166</f>
        <v>34.911788</v>
      </c>
      <c r="E21" s="39" t="n">
        <f aca="false">輸入與假設!E$168*輸入與假設!$C$166</f>
        <v>37.586352</v>
      </c>
      <c r="F21" s="39" t="n">
        <f aca="false">輸入與假設!F$168*輸入與假設!$C$166</f>
        <v>37.586352</v>
      </c>
      <c r="G21" s="39" t="n">
        <f aca="false">輸入與假設!G$168*輸入與假設!$C$166</f>
        <v>37.586352</v>
      </c>
      <c r="I21" s="7" t="s">
        <v>1239</v>
      </c>
    </row>
    <row r="22" customFormat="false" ht="15" hidden="false" customHeight="false" outlineLevel="1" collapsed="false">
      <c r="A22" s="3" t="s">
        <v>1240</v>
      </c>
      <c r="B22" s="12" t="s">
        <v>396</v>
      </c>
      <c r="C22" s="70" t="n">
        <f aca="false">C8*C6/C7</f>
        <v>6.8603160316197</v>
      </c>
      <c r="D22" s="70" t="n">
        <f aca="false">D8*D6/D7</f>
        <v>7.2716589046307</v>
      </c>
      <c r="E22" s="70" t="n">
        <f aca="false">E8*E6/E7</f>
        <v>7.4668603335163</v>
      </c>
      <c r="F22" s="70" t="n">
        <f aca="false">F8*F6/F7</f>
        <v>7.40976842301612</v>
      </c>
      <c r="G22" s="70" t="n">
        <f aca="false">G8*G6/G7</f>
        <v>7.04524841077384</v>
      </c>
    </row>
    <row r="23" customFormat="false" ht="15" hidden="false" customHeight="false" outlineLevel="1" collapsed="false">
      <c r="A23" s="3" t="s">
        <v>1241</v>
      </c>
      <c r="B23" s="12" t="s">
        <v>396</v>
      </c>
      <c r="C23" s="70" t="n">
        <f aca="false">C17*C6/C7</f>
        <v>4.05366672041593</v>
      </c>
      <c r="D23" s="70" t="n">
        <f aca="false">D17*D6/D7</f>
        <v>4.40950580245349</v>
      </c>
      <c r="E23" s="70" t="n">
        <f aca="false">E17*E6/E7</f>
        <v>4.75111764026457</v>
      </c>
      <c r="F23" s="70" t="n">
        <f aca="false">F17*F6/F7</f>
        <v>4.73529582005308</v>
      </c>
      <c r="G23" s="70" t="n">
        <f aca="false">G17*G6/G7</f>
        <v>4.42969508915122</v>
      </c>
    </row>
    <row r="24" customFormat="false" ht="15" hidden="false" customHeight="false" outlineLevel="1" collapsed="false">
      <c r="A24" s="7" t="s">
        <v>1242</v>
      </c>
    </row>
    <row r="25" customFormat="false" ht="15" hidden="false" customHeight="false" outlineLevel="1" collapsed="true">
      <c r="A25" s="20" t="s">
        <v>1243</v>
      </c>
      <c r="B25" s="21"/>
      <c r="C25" s="21"/>
      <c r="D25" s="21"/>
      <c r="E25" s="21"/>
      <c r="F25" s="21"/>
      <c r="G25" s="21"/>
      <c r="H25" s="21"/>
    </row>
    <row r="26" customFormat="false" ht="15" hidden="true" customHeight="false" outlineLevel="2" collapsed="false">
      <c r="A26" s="3" t="s">
        <v>1244</v>
      </c>
      <c r="B26" s="12" t="s">
        <v>179</v>
      </c>
      <c r="C26" s="72" t="n">
        <f aca="false">輸入與假設!$C$41</f>
        <v>1500</v>
      </c>
      <c r="D26" s="72" t="n">
        <f aca="false">C44</f>
        <v>1850</v>
      </c>
      <c r="E26" s="72" t="n">
        <f aca="false">D44</f>
        <v>3100</v>
      </c>
      <c r="F26" s="72" t="n">
        <f aca="false">E44</f>
        <v>4000</v>
      </c>
      <c r="G26" s="72" t="n">
        <f aca="false">F44</f>
        <v>4800</v>
      </c>
      <c r="I26" s="12" t="s">
        <v>1245</v>
      </c>
    </row>
    <row r="27" customFormat="false" ht="15" hidden="true" customHeight="false" outlineLevel="2" collapsed="false">
      <c r="A27" s="3" t="s">
        <v>1246</v>
      </c>
      <c r="B27" s="12" t="s">
        <v>179</v>
      </c>
      <c r="C27" s="72" t="n">
        <f aca="false">輸入與假設!$C$41*輸入與假設!$C$42</f>
        <v>409.0005</v>
      </c>
      <c r="D27" s="72" t="n">
        <f aca="false">C39</f>
        <v>409.0005</v>
      </c>
      <c r="E27" s="72" t="n">
        <f aca="false">D39</f>
        <v>409.0005</v>
      </c>
      <c r="F27" s="72" t="n">
        <f aca="false">E39</f>
        <v>409.0005</v>
      </c>
      <c r="G27" s="72" t="n">
        <f aca="false">F39</f>
        <v>339.0005</v>
      </c>
    </row>
    <row r="28" customFormat="false" ht="15" hidden="true" customHeight="false" outlineLevel="2" collapsed="false">
      <c r="A28" s="3" t="s">
        <v>1247</v>
      </c>
      <c r="B28" s="12" t="s">
        <v>179</v>
      </c>
      <c r="C28" s="72" t="n">
        <f aca="false">輸入與假設!$C$41*輸入與假設!$C$43</f>
        <v>440.5005</v>
      </c>
      <c r="D28" s="72" t="n">
        <f aca="false">C40</f>
        <v>510.5005</v>
      </c>
      <c r="E28" s="72" t="n">
        <f aca="false">D40</f>
        <v>510.5005</v>
      </c>
      <c r="F28" s="72" t="n">
        <f aca="false">E40</f>
        <v>510.5005</v>
      </c>
      <c r="G28" s="72" t="n">
        <f aca="false">F40</f>
        <v>510.5005</v>
      </c>
    </row>
    <row r="29" customFormat="false" ht="15" hidden="true" customHeight="false" outlineLevel="2" collapsed="false">
      <c r="A29" s="3" t="s">
        <v>1248</v>
      </c>
      <c r="B29" s="12" t="s">
        <v>179</v>
      </c>
      <c r="C29" s="72" t="n">
        <f aca="false">輸入與假設!$C$41*輸入與假設!$C$44</f>
        <v>650.499</v>
      </c>
      <c r="D29" s="72" t="n">
        <f aca="false">C41</f>
        <v>930.499</v>
      </c>
      <c r="E29" s="72" t="n">
        <f aca="false">D41</f>
        <v>1555.499</v>
      </c>
      <c r="F29" s="72" t="n">
        <f aca="false">E41</f>
        <v>1555.499</v>
      </c>
      <c r="G29" s="72" t="n">
        <f aca="false">F41</f>
        <v>1555.499</v>
      </c>
    </row>
    <row r="30" customFormat="false" ht="15" hidden="true" customHeight="false" outlineLevel="2" collapsed="false">
      <c r="A30" s="3" t="s">
        <v>1249</v>
      </c>
      <c r="B30" s="12" t="s">
        <v>179</v>
      </c>
      <c r="C30" s="72" t="n">
        <f aca="false">輸入與假設!$C$41*輸入與假設!$C$45</f>
        <v>0</v>
      </c>
      <c r="D30" s="72" t="n">
        <f aca="false">C42</f>
        <v>0</v>
      </c>
      <c r="E30" s="72" t="n">
        <f aca="false">D42</f>
        <v>625</v>
      </c>
      <c r="F30" s="72" t="n">
        <f aca="false">E42</f>
        <v>1525</v>
      </c>
      <c r="G30" s="72" t="n">
        <f aca="false">F42</f>
        <v>2395</v>
      </c>
    </row>
    <row r="31" customFormat="false" ht="15" hidden="true" customHeight="false" outlineLevel="2" collapsed="false">
      <c r="A31" s="3" t="s">
        <v>1250</v>
      </c>
      <c r="B31" s="12" t="s">
        <v>179</v>
      </c>
      <c r="C31" s="72" t="n">
        <f aca="false">輸入與假設!$C$41*輸入與假設!$C$46</f>
        <v>0</v>
      </c>
      <c r="D31" s="72" t="n">
        <f aca="false">C43</f>
        <v>0</v>
      </c>
      <c r="E31" s="72" t="n">
        <f aca="false">D43</f>
        <v>0</v>
      </c>
      <c r="F31" s="72" t="n">
        <f aca="false">E43</f>
        <v>0</v>
      </c>
      <c r="G31" s="72" t="n">
        <f aca="false">F43</f>
        <v>0</v>
      </c>
    </row>
    <row r="32" customFormat="false" ht="15" hidden="true" customHeight="false" outlineLevel="2" collapsed="false">
      <c r="A32" s="3" t="s">
        <v>1251</v>
      </c>
      <c r="B32" s="12" t="s">
        <v>179</v>
      </c>
      <c r="C32" s="72" t="n">
        <f aca="false">MIN(IF(2026-輸入與假設!$C$162=2023,輸入與假設!$C$163,IF(2026-輸入與假設!$C$162=2024,輸入與假設!$C$164-輸入與假設!$C$163,IF(2026-輸入與假設!$C$162=2025,輸入與假設!$C$19-輸入與假設!$C$164,0))),C26)</f>
        <v>0</v>
      </c>
      <c r="D32" s="72" t="n">
        <f aca="false">MIN(IF(2027-輸入與假設!$C$162=2023,輸入與假設!$C$163,IF(2027-輸入與假設!$C$162=2024,輸入與假設!$C$164-輸入與假設!$C$163,IF(2027-輸入與假設!$C$162=2025,輸入與假設!$C$19-輸入與假設!$C$164,0))),D26)</f>
        <v>0</v>
      </c>
      <c r="E32" s="72" t="n">
        <f aca="false">MIN(IF(2028-輸入與假設!$C$162=2023,輸入與假設!$C$163,IF(2028-輸入與假設!$C$162=2024,輸入與假設!$C$164-輸入與假設!$C$163,IF(2028-輸入與假設!$C$162=2025,輸入與假設!$C$19-輸入與假設!$C$164,0))),E26)</f>
        <v>0</v>
      </c>
      <c r="F32" s="72" t="n">
        <f aca="false">MIN(IF(2029-輸入與假設!$C$162=2023,輸入與假設!$C$163,IF(2029-輸入與假設!$C$162=2024,輸入與假設!$C$164-輸入與假設!$C$163,IF(2029-輸入與假設!$C$162=2025,輸入與假設!$C$19-輸入與假設!$C$164,0))),F26)</f>
        <v>70</v>
      </c>
      <c r="G32" s="72" t="n">
        <f aca="false">MIN(IF(2030-輸入與假設!$C$162=2023,輸入與假設!$C$163,IF(2030-輸入與假設!$C$162=2024,輸入與假設!$C$164-輸入與假設!$C$163,IF(2030-輸入與假設!$C$162=2025,輸入與假設!$C$19-輸入與假設!$C$164,0))),G26)</f>
        <v>290</v>
      </c>
      <c r="I32" s="7" t="s">
        <v>1252</v>
      </c>
    </row>
    <row r="33" customFormat="false" ht="15" hidden="true" customHeight="false" outlineLevel="2" collapsed="false">
      <c r="A33" s="3" t="s">
        <v>1253</v>
      </c>
      <c r="B33" s="12" t="s">
        <v>179</v>
      </c>
      <c r="C33" s="72" t="n">
        <f aca="false">MIN(C27,C32)</f>
        <v>0</v>
      </c>
      <c r="D33" s="72" t="n">
        <f aca="false">MIN(D27,D32)</f>
        <v>0</v>
      </c>
      <c r="E33" s="72" t="n">
        <f aca="false">MIN(E27,E32)</f>
        <v>0</v>
      </c>
      <c r="F33" s="72" t="n">
        <f aca="false">MIN(F27,F32)</f>
        <v>70</v>
      </c>
      <c r="G33" s="72" t="n">
        <f aca="false">MIN(G27,G32)</f>
        <v>290</v>
      </c>
    </row>
    <row r="34" customFormat="false" ht="15" hidden="true" customHeight="false" outlineLevel="2" collapsed="false">
      <c r="A34" s="3" t="s">
        <v>1254</v>
      </c>
      <c r="B34" s="12" t="s">
        <v>179</v>
      </c>
      <c r="C34" s="72" t="n">
        <f aca="false">MIN(C28,MAX(0,C32-SUM(C27:C27)))</f>
        <v>0</v>
      </c>
      <c r="D34" s="72" t="n">
        <f aca="false">MIN(D28,MAX(0,D32-SUM(D27:D27)))</f>
        <v>0</v>
      </c>
      <c r="E34" s="72" t="n">
        <f aca="false">MIN(E28,MAX(0,E32-SUM(E27:E27)))</f>
        <v>0</v>
      </c>
      <c r="F34" s="72" t="n">
        <f aca="false">MIN(F28,MAX(0,F32-SUM(F27:F27)))</f>
        <v>0</v>
      </c>
      <c r="G34" s="72" t="n">
        <f aca="false">MIN(G28,MAX(0,G32-SUM(G27:G27)))</f>
        <v>0</v>
      </c>
    </row>
    <row r="35" customFormat="false" ht="15" hidden="true" customHeight="false" outlineLevel="2" collapsed="false">
      <c r="A35" s="3" t="s">
        <v>1255</v>
      </c>
      <c r="B35" s="12" t="s">
        <v>179</v>
      </c>
      <c r="C35" s="72" t="n">
        <f aca="false">MIN(C29,MAX(0,C32-SUM(C27:C28)))</f>
        <v>0</v>
      </c>
      <c r="D35" s="72" t="n">
        <f aca="false">MIN(D29,MAX(0,D32-SUM(D27:D28)))</f>
        <v>0</v>
      </c>
      <c r="E35" s="72" t="n">
        <f aca="false">MIN(E29,MAX(0,E32-SUM(E27:E28)))</f>
        <v>0</v>
      </c>
      <c r="F35" s="72" t="n">
        <f aca="false">MIN(F29,MAX(0,F32-SUM(F27:F28)))</f>
        <v>0</v>
      </c>
      <c r="G35" s="72" t="n">
        <f aca="false">MIN(G29,MAX(0,G32-SUM(G27:G28)))</f>
        <v>0</v>
      </c>
    </row>
    <row r="36" customFormat="false" ht="15" hidden="true" customHeight="false" outlineLevel="2" collapsed="false">
      <c r="A36" s="3" t="s">
        <v>1256</v>
      </c>
      <c r="B36" s="12" t="s">
        <v>179</v>
      </c>
      <c r="C36" s="72" t="n">
        <f aca="false">MIN(C30,MAX(0,C32-SUM(C27:C29)))</f>
        <v>0</v>
      </c>
      <c r="D36" s="72" t="n">
        <f aca="false">MIN(D30,MAX(0,D32-SUM(D27:D29)))</f>
        <v>0</v>
      </c>
      <c r="E36" s="72" t="n">
        <f aca="false">MIN(E30,MAX(0,E32-SUM(E27:E29)))</f>
        <v>0</v>
      </c>
      <c r="F36" s="72" t="n">
        <f aca="false">MIN(F30,MAX(0,F32-SUM(F27:F29)))</f>
        <v>0</v>
      </c>
      <c r="G36" s="72" t="n">
        <f aca="false">MIN(G30,MAX(0,G32-SUM(G27:G29)))</f>
        <v>0</v>
      </c>
    </row>
    <row r="37" customFormat="false" ht="15" hidden="true" customHeight="false" outlineLevel="2" collapsed="false">
      <c r="A37" s="3" t="s">
        <v>1257</v>
      </c>
      <c r="B37" s="12" t="s">
        <v>179</v>
      </c>
      <c r="C37" s="72" t="n">
        <f aca="false">MIN(C31,MAX(0,C32-SUM(C27:C30)))</f>
        <v>0</v>
      </c>
      <c r="D37" s="72" t="n">
        <f aca="false">MIN(D31,MAX(0,D32-SUM(D27:D30)))</f>
        <v>0</v>
      </c>
      <c r="E37" s="72" t="n">
        <f aca="false">MIN(E31,MAX(0,E32-SUM(E27:E30)))</f>
        <v>0</v>
      </c>
      <c r="F37" s="72" t="n">
        <f aca="false">MIN(F31,MAX(0,F32-SUM(F27:F30)))</f>
        <v>0</v>
      </c>
      <c r="G37" s="72" t="n">
        <f aca="false">MIN(G31,MAX(0,G32-SUM(G27:G30)))</f>
        <v>0</v>
      </c>
    </row>
    <row r="38" customFormat="false" ht="15" hidden="true" customHeight="false" outlineLevel="2" collapsed="false">
      <c r="A38" s="3" t="s">
        <v>1258</v>
      </c>
      <c r="B38" s="12" t="s">
        <v>179</v>
      </c>
      <c r="C38" s="72" t="n">
        <f aca="false">MAX(0,運營_產能與收入!C9-C26)</f>
        <v>350</v>
      </c>
      <c r="D38" s="72" t="n">
        <f aca="false">MAX(0,運營_產能與收入!D9-D26)</f>
        <v>1250</v>
      </c>
      <c r="E38" s="72" t="n">
        <f aca="false">MAX(0,運營_產能與收入!E9-E26)</f>
        <v>900</v>
      </c>
      <c r="F38" s="72" t="n">
        <f aca="false">MAX(0,運營_產能與收入!F9-F26)</f>
        <v>800</v>
      </c>
      <c r="G38" s="72" t="n">
        <f aca="false">MAX(0,運營_產能與收入!G9-G26)</f>
        <v>800</v>
      </c>
    </row>
    <row r="39" customFormat="false" ht="15" hidden="true" customHeight="false" outlineLevel="2" collapsed="false">
      <c r="A39" s="3" t="s">
        <v>1259</v>
      </c>
      <c r="B39" s="12" t="s">
        <v>179</v>
      </c>
      <c r="C39" s="72" t="n">
        <f aca="false">C27-C33+輸入與假設!C86*(C38+C32)</f>
        <v>409.0005</v>
      </c>
      <c r="D39" s="72" t="n">
        <f aca="false">D27-D33+輸入與假設!D86*(D38+D32)</f>
        <v>409.0005</v>
      </c>
      <c r="E39" s="72" t="n">
        <f aca="false">E27-E33+輸入與假設!E86*(E38+E32)</f>
        <v>409.0005</v>
      </c>
      <c r="F39" s="72" t="n">
        <f aca="false">F27-F33+輸入與假設!F86*(F38+F32)</f>
        <v>339.0005</v>
      </c>
      <c r="G39" s="72" t="n">
        <f aca="false">G27-G33+輸入與假設!G86*(G38+G32)</f>
        <v>49.0005</v>
      </c>
    </row>
    <row r="40" customFormat="false" ht="15" hidden="true" customHeight="false" outlineLevel="2" collapsed="false">
      <c r="A40" s="3" t="s">
        <v>1260</v>
      </c>
      <c r="B40" s="12" t="s">
        <v>179</v>
      </c>
      <c r="C40" s="72" t="n">
        <f aca="false">C28-C34+輸入與假設!C87*(C38+C32)</f>
        <v>510.5005</v>
      </c>
      <c r="D40" s="72" t="n">
        <f aca="false">D28-D34+輸入與假設!D87*(D38+D32)</f>
        <v>510.5005</v>
      </c>
      <c r="E40" s="72" t="n">
        <f aca="false">E28-E34+輸入與假設!E87*(E38+E32)</f>
        <v>510.5005</v>
      </c>
      <c r="F40" s="72" t="n">
        <f aca="false">F28-F34+輸入與假設!F87*(F38+F32)</f>
        <v>510.5005</v>
      </c>
      <c r="G40" s="72" t="n">
        <f aca="false">G28-G34+輸入與假設!G87*(G38+G32)</f>
        <v>510.5005</v>
      </c>
    </row>
    <row r="41" customFormat="false" ht="15" hidden="true" customHeight="false" outlineLevel="2" collapsed="false">
      <c r="A41" s="3" t="s">
        <v>1261</v>
      </c>
      <c r="B41" s="12" t="s">
        <v>179</v>
      </c>
      <c r="C41" s="72" t="n">
        <f aca="false">C29-C35+輸入與假設!C88*(C38+C32)</f>
        <v>930.499</v>
      </c>
      <c r="D41" s="72" t="n">
        <f aca="false">D29-D35+輸入與假設!D88*(D38+D32)</f>
        <v>1555.499</v>
      </c>
      <c r="E41" s="72" t="n">
        <f aca="false">E29-E35+輸入與假設!E88*(E38+E32)</f>
        <v>1555.499</v>
      </c>
      <c r="F41" s="72" t="n">
        <f aca="false">F29-F35+輸入與假設!F88*(F38+F32)</f>
        <v>1555.499</v>
      </c>
      <c r="G41" s="72" t="n">
        <f aca="false">G29-G35+輸入與假設!G88*(G38+G32)</f>
        <v>1555.499</v>
      </c>
    </row>
    <row r="42" customFormat="false" ht="15" hidden="true" customHeight="false" outlineLevel="2" collapsed="false">
      <c r="A42" s="3" t="s">
        <v>1262</v>
      </c>
      <c r="B42" s="12" t="s">
        <v>179</v>
      </c>
      <c r="C42" s="72" t="n">
        <f aca="false">C30-C36+輸入與假設!C89*(C38+C32)</f>
        <v>0</v>
      </c>
      <c r="D42" s="72" t="n">
        <f aca="false">D30-D36+輸入與假設!D89*(D38+D32)</f>
        <v>625</v>
      </c>
      <c r="E42" s="72" t="n">
        <f aca="false">E30-E36+輸入與假設!E89*(E38+E32)</f>
        <v>1525</v>
      </c>
      <c r="F42" s="72" t="n">
        <f aca="false">F30-F36+輸入與假設!F89*(F38+F32)</f>
        <v>2395</v>
      </c>
      <c r="G42" s="72" t="n">
        <f aca="false">G30-G36+輸入與假設!G89*(G38+G32)</f>
        <v>3485</v>
      </c>
    </row>
    <row r="43" customFormat="false" ht="15" hidden="true" customHeight="false" outlineLevel="2" collapsed="false">
      <c r="A43" s="3" t="s">
        <v>1263</v>
      </c>
      <c r="B43" s="12" t="s">
        <v>179</v>
      </c>
      <c r="C43" s="72" t="n">
        <f aca="false">C31-C37+輸入與假設!C90*(C38+C32)</f>
        <v>0</v>
      </c>
      <c r="D43" s="72" t="n">
        <f aca="false">D31-D37+輸入與假設!D90*(D38+D32)</f>
        <v>0</v>
      </c>
      <c r="E43" s="72" t="n">
        <f aca="false">E31-E37+輸入與假設!E90*(E38+E32)</f>
        <v>0</v>
      </c>
      <c r="F43" s="72" t="n">
        <f aca="false">F31-F37+輸入與假設!F90*(F38+F32)</f>
        <v>0</v>
      </c>
      <c r="G43" s="72" t="n">
        <f aca="false">G31-G37+輸入與假設!G90*(G38+G32)</f>
        <v>0</v>
      </c>
    </row>
    <row r="44" customFormat="false" ht="15" hidden="true" customHeight="false" outlineLevel="2" collapsed="false">
      <c r="A44" s="3" t="s">
        <v>1264</v>
      </c>
      <c r="B44" s="12" t="s">
        <v>179</v>
      </c>
      <c r="C44" s="72" t="n">
        <f aca="false">SUM(C39:C43)</f>
        <v>1850</v>
      </c>
      <c r="D44" s="72" t="n">
        <f aca="false">SUM(D39:D43)</f>
        <v>3100</v>
      </c>
      <c r="E44" s="72" t="n">
        <f aca="false">SUM(E39:E43)</f>
        <v>4000</v>
      </c>
      <c r="F44" s="72" t="n">
        <f aca="false">SUM(F39:F43)</f>
        <v>4800</v>
      </c>
      <c r="G44" s="72" t="n">
        <f aca="false">SUM(G39:G43)</f>
        <v>5600</v>
      </c>
    </row>
    <row r="45" customFormat="false" ht="15" hidden="true" customHeight="false" outlineLevel="2" collapsed="false">
      <c r="A45" s="3" t="s">
        <v>1265</v>
      </c>
      <c r="B45" s="12" t="s">
        <v>179</v>
      </c>
      <c r="C45" s="72" t="n">
        <f aca="false">(C27+C39)/2</f>
        <v>409.0005</v>
      </c>
      <c r="D45" s="72" t="n">
        <f aca="false">(D27+D39)/2</f>
        <v>409.0005</v>
      </c>
      <c r="E45" s="72" t="n">
        <f aca="false">(E27+E39)/2</f>
        <v>409.0005</v>
      </c>
      <c r="F45" s="72" t="n">
        <f aca="false">(F27+F39)/2</f>
        <v>374.0005</v>
      </c>
      <c r="G45" s="72" t="n">
        <f aca="false">(G27+G39)/2</f>
        <v>194.0005</v>
      </c>
    </row>
    <row r="46" customFormat="false" ht="15" hidden="true" customHeight="false" outlineLevel="2" collapsed="false">
      <c r="A46" s="3" t="s">
        <v>1266</v>
      </c>
      <c r="B46" s="12" t="s">
        <v>179</v>
      </c>
      <c r="C46" s="72" t="n">
        <f aca="false">(C28+C40)/2</f>
        <v>475.5005</v>
      </c>
      <c r="D46" s="72" t="n">
        <f aca="false">(D28+D40)/2</f>
        <v>510.5005</v>
      </c>
      <c r="E46" s="72" t="n">
        <f aca="false">(E28+E40)/2</f>
        <v>510.5005</v>
      </c>
      <c r="F46" s="72" t="n">
        <f aca="false">(F28+F40)/2</f>
        <v>510.5005</v>
      </c>
      <c r="G46" s="72" t="n">
        <f aca="false">(G28+G40)/2</f>
        <v>510.5005</v>
      </c>
    </row>
    <row r="47" customFormat="false" ht="15" hidden="true" customHeight="false" outlineLevel="2" collapsed="false">
      <c r="A47" s="3" t="s">
        <v>1267</v>
      </c>
      <c r="B47" s="12" t="s">
        <v>179</v>
      </c>
      <c r="C47" s="72" t="n">
        <f aca="false">(C29+C41)/2</f>
        <v>790.499</v>
      </c>
      <c r="D47" s="72" t="n">
        <f aca="false">(D29+D41)/2</f>
        <v>1242.999</v>
      </c>
      <c r="E47" s="72" t="n">
        <f aca="false">(E29+E41)/2</f>
        <v>1555.499</v>
      </c>
      <c r="F47" s="72" t="n">
        <f aca="false">(F29+F41)/2</f>
        <v>1555.499</v>
      </c>
      <c r="G47" s="72" t="n">
        <f aca="false">(G29+G41)/2</f>
        <v>1555.499</v>
      </c>
    </row>
    <row r="48" customFormat="false" ht="15" hidden="true" customHeight="false" outlineLevel="2" collapsed="false">
      <c r="A48" s="3" t="s">
        <v>1268</v>
      </c>
      <c r="B48" s="12" t="s">
        <v>179</v>
      </c>
      <c r="C48" s="72" t="n">
        <f aca="false">(C30+C42)/2</f>
        <v>0</v>
      </c>
      <c r="D48" s="72" t="n">
        <f aca="false">(D30+D42)/2</f>
        <v>312.5</v>
      </c>
      <c r="E48" s="72" t="n">
        <f aca="false">(E30+E42)/2</f>
        <v>1075</v>
      </c>
      <c r="F48" s="72" t="n">
        <f aca="false">(F30+F42)/2</f>
        <v>1960</v>
      </c>
      <c r="G48" s="72" t="n">
        <f aca="false">(G30+G42)/2</f>
        <v>2940</v>
      </c>
    </row>
    <row r="49" customFormat="false" ht="15" hidden="true" customHeight="false" outlineLevel="2" collapsed="false">
      <c r="A49" s="3" t="s">
        <v>1269</v>
      </c>
      <c r="B49" s="12" t="s">
        <v>179</v>
      </c>
      <c r="C49" s="72" t="n">
        <f aca="false">(C31+C43)/2</f>
        <v>0</v>
      </c>
      <c r="D49" s="72" t="n">
        <f aca="false">(D31+D43)/2</f>
        <v>0</v>
      </c>
      <c r="E49" s="72" t="n">
        <f aca="false">(E31+E43)/2</f>
        <v>0</v>
      </c>
      <c r="F49" s="72" t="n">
        <f aca="false">(F31+F43)/2</f>
        <v>0</v>
      </c>
      <c r="G49" s="72" t="n">
        <f aca="false">(G31+G43)/2</f>
        <v>0</v>
      </c>
    </row>
    <row r="50" customFormat="false" ht="15" hidden="true" customHeight="false" outlineLevel="2" collapsed="false">
      <c r="A50" s="3" t="s">
        <v>1270</v>
      </c>
      <c r="B50" s="12" t="s">
        <v>179</v>
      </c>
      <c r="C50" s="79" t="n">
        <f aca="false">SUM(C45:C49)</f>
        <v>1675</v>
      </c>
      <c r="D50" s="79" t="n">
        <f aca="false">SUM(D45:D49)</f>
        <v>2475</v>
      </c>
      <c r="E50" s="79" t="n">
        <f aca="false">SUM(E45:E49)</f>
        <v>3550</v>
      </c>
      <c r="F50" s="79" t="n">
        <f aca="false">SUM(F45:F49)</f>
        <v>4400</v>
      </c>
      <c r="G50" s="79" t="n">
        <f aca="false">SUM(G45:G49)</f>
        <v>5200</v>
      </c>
      <c r="I50" s="7" t="s">
        <v>1271</v>
      </c>
    </row>
    <row r="51" customFormat="false" ht="15" hidden="true" customHeight="false" outlineLevel="2" collapsed="false">
      <c r="A51" s="3" t="s">
        <v>1272</v>
      </c>
      <c r="B51" s="12" t="s">
        <v>77</v>
      </c>
      <c r="C51" s="71" t="n">
        <f aca="false">C45/MAX(C50,0.000000001)</f>
        <v>0.244179402985075</v>
      </c>
      <c r="D51" s="71" t="n">
        <f aca="false">D45/MAX(D50,0.000000001)</f>
        <v>0.165252727272727</v>
      </c>
      <c r="E51" s="71" t="n">
        <f aca="false">E45/MAX(E50,0.000000001)</f>
        <v>0.115211408450704</v>
      </c>
      <c r="F51" s="71" t="n">
        <f aca="false">F45/MAX(F50,0.000000001)</f>
        <v>0.0850001136363636</v>
      </c>
      <c r="G51" s="71" t="n">
        <f aca="false">G45/MAX(G50,0.000000001)</f>
        <v>0.0373077884615385</v>
      </c>
    </row>
    <row r="52" customFormat="false" ht="15" hidden="true" customHeight="false" outlineLevel="2" collapsed="false">
      <c r="A52" s="3" t="s">
        <v>1273</v>
      </c>
      <c r="B52" s="12" t="s">
        <v>77</v>
      </c>
      <c r="C52" s="71" t="n">
        <f aca="false">C46/MAX(C50,0.000000001)</f>
        <v>0.283880895522388</v>
      </c>
      <c r="D52" s="71" t="n">
        <f aca="false">D46/MAX(D50,0.000000001)</f>
        <v>0.206262828282828</v>
      </c>
      <c r="E52" s="71" t="n">
        <f aca="false">E46/MAX(E50,0.000000001)</f>
        <v>0.143802957746479</v>
      </c>
      <c r="F52" s="71" t="n">
        <f aca="false">F46/MAX(F50,0.000000001)</f>
        <v>0.116022840909091</v>
      </c>
      <c r="G52" s="71" t="n">
        <f aca="false">G46/MAX(G50,0.000000001)</f>
        <v>0.0981731730769231</v>
      </c>
    </row>
    <row r="53" customFormat="false" ht="15" hidden="true" customHeight="false" outlineLevel="2" collapsed="false">
      <c r="A53" s="3" t="s">
        <v>1274</v>
      </c>
      <c r="B53" s="12" t="s">
        <v>77</v>
      </c>
      <c r="C53" s="71" t="n">
        <f aca="false">C47/MAX(C50,0.000000001)</f>
        <v>0.471939701492537</v>
      </c>
      <c r="D53" s="71" t="n">
        <f aca="false">D47/MAX(D50,0.000000001)</f>
        <v>0.502221818181818</v>
      </c>
      <c r="E53" s="71" t="n">
        <f aca="false">E47/MAX(E50,0.000000001)</f>
        <v>0.438168732394366</v>
      </c>
      <c r="F53" s="71" t="n">
        <f aca="false">F47/MAX(F50,0.000000001)</f>
        <v>0.3535225</v>
      </c>
      <c r="G53" s="71" t="n">
        <f aca="false">G47/MAX(G50,0.000000001)</f>
        <v>0.299134423076923</v>
      </c>
    </row>
    <row r="54" customFormat="false" ht="15" hidden="true" customHeight="false" outlineLevel="2" collapsed="false">
      <c r="A54" s="3" t="s">
        <v>1275</v>
      </c>
      <c r="B54" s="12" t="s">
        <v>77</v>
      </c>
      <c r="C54" s="71" t="n">
        <f aca="false">C48/MAX(C50,0.000000001)</f>
        <v>0</v>
      </c>
      <c r="D54" s="71" t="n">
        <f aca="false">D48/MAX(D50,0.000000001)</f>
        <v>0.126262626262626</v>
      </c>
      <c r="E54" s="71" t="n">
        <f aca="false">E48/MAX(E50,0.000000001)</f>
        <v>0.302816901408451</v>
      </c>
      <c r="F54" s="71" t="n">
        <f aca="false">F48/MAX(F50,0.000000001)</f>
        <v>0.445454545454545</v>
      </c>
      <c r="G54" s="71" t="n">
        <f aca="false">G48/MAX(G50,0.000000001)</f>
        <v>0.565384615384615</v>
      </c>
    </row>
    <row r="55" customFormat="false" ht="15" hidden="true" customHeight="false" outlineLevel="2" collapsed="false">
      <c r="A55" s="3" t="s">
        <v>1276</v>
      </c>
      <c r="B55" s="12" t="s">
        <v>77</v>
      </c>
      <c r="C55" s="71" t="n">
        <f aca="false">C49/MAX(C50,0.000000001)</f>
        <v>0</v>
      </c>
      <c r="D55" s="71" t="n">
        <f aca="false">D49/MAX(D50,0.000000001)</f>
        <v>0</v>
      </c>
      <c r="E55" s="71" t="n">
        <f aca="false">E49/MAX(E50,0.000000001)</f>
        <v>0</v>
      </c>
      <c r="F55" s="71" t="n">
        <f aca="false">F49/MAX(F50,0.000000001)</f>
        <v>0</v>
      </c>
      <c r="G55" s="71" t="n">
        <f aca="false">G49/MAX(G50,0.000000001)</f>
        <v>0</v>
      </c>
    </row>
    <row r="56" customFormat="false" ht="15" hidden="false" customHeight="false" outlineLevel="1" collapsed="true">
      <c r="A56" s="20" t="s">
        <v>1277</v>
      </c>
      <c r="B56" s="21"/>
      <c r="C56" s="21"/>
      <c r="D56" s="21"/>
      <c r="E56" s="21"/>
      <c r="F56" s="21"/>
      <c r="G56" s="21"/>
      <c r="H56" s="21"/>
    </row>
    <row r="57" customFormat="false" ht="15" hidden="true" customHeight="false" outlineLevel="2" collapsed="false">
      <c r="A57" s="3" t="s">
        <v>1278</v>
      </c>
      <c r="B57" s="7" t="s">
        <v>254</v>
      </c>
      <c r="C57" s="35" t="n">
        <f aca="false">0</f>
        <v>0</v>
      </c>
      <c r="D57" s="35" t="n">
        <f aca="false">C57+輸入與假設!C$24</f>
        <v>0.5</v>
      </c>
      <c r="E57" s="35" t="n">
        <f aca="false">D57+輸入與假設!D$24</f>
        <v>1.5</v>
      </c>
      <c r="F57" s="35" t="n">
        <f aca="false">E57+輸入與假設!E$24</f>
        <v>2.5</v>
      </c>
      <c r="G57" s="35" t="n">
        <f aca="false">F57+輸入與假設!F$24</f>
        <v>3.5</v>
      </c>
      <c r="I57" s="7" t="s">
        <v>1279</v>
      </c>
    </row>
    <row r="58" customFormat="false" ht="15" hidden="true" customHeight="false" outlineLevel="2" collapsed="false">
      <c r="A58" s="3" t="s">
        <v>1280</v>
      </c>
      <c r="B58" s="7" t="s">
        <v>254</v>
      </c>
      <c r="C58" s="35" t="n">
        <f aca="false">C57+輸入與假設!C$24</f>
        <v>0.5</v>
      </c>
      <c r="D58" s="35" t="n">
        <f aca="false">D57+輸入與假設!D$24</f>
        <v>1.5</v>
      </c>
      <c r="E58" s="35" t="n">
        <f aca="false">E57+輸入與假設!E$24</f>
        <v>2.5</v>
      </c>
      <c r="F58" s="35" t="n">
        <f aca="false">F57+輸入與假設!F$24</f>
        <v>3.5</v>
      </c>
      <c r="G58" s="35" t="n">
        <f aca="false">G57+輸入與假設!G$24</f>
        <v>4.5</v>
      </c>
    </row>
    <row r="59" customFormat="false" ht="15" hidden="true" customHeight="false" outlineLevel="2" collapsed="false">
      <c r="A59" s="3" t="s">
        <v>1281</v>
      </c>
      <c r="B59" s="7" t="s">
        <v>254</v>
      </c>
      <c r="C59" s="34" t="n">
        <f aca="false">輸入與假設!$C$110</f>
        <v>3</v>
      </c>
      <c r="D59" s="34" t="n">
        <f aca="false">輸入與假設!$C$110</f>
        <v>3</v>
      </c>
      <c r="E59" s="34" t="n">
        <f aca="false">輸入與假設!$C$110</f>
        <v>3</v>
      </c>
      <c r="F59" s="34" t="n">
        <f aca="false">輸入與假設!$C$110</f>
        <v>3</v>
      </c>
      <c r="G59" s="34" t="n">
        <f aca="false">輸入與假設!$C$110</f>
        <v>3</v>
      </c>
    </row>
    <row r="60" customFormat="false" ht="15" hidden="true" customHeight="false" outlineLevel="2" collapsed="false">
      <c r="A60" s="3" t="s">
        <v>1282</v>
      </c>
      <c r="B60" s="12" t="s">
        <v>77</v>
      </c>
      <c r="C60" s="71" t="n">
        <f aca="false">MAX(0,MIN(1,(C59-輸入與假設!$C$48-C57)/輸入與假設!C$24))</f>
        <v>0</v>
      </c>
      <c r="D60" s="71" t="n">
        <f aca="false">MAX(0,MIN(1,(D59-輸入與假設!$C$48-D57)/輸入與假設!D$24))</f>
        <v>0</v>
      </c>
      <c r="E60" s="71" t="n">
        <f aca="false">MAX(0,MIN(1,(E59-輸入與假設!$C$48-E57)/輸入與假設!E$24))</f>
        <v>0</v>
      </c>
      <c r="F60" s="71" t="n">
        <f aca="false">MAX(0,MIN(1,(F59-輸入與假設!$C$48-F57)/輸入與假設!F$24))</f>
        <v>0</v>
      </c>
      <c r="G60" s="71" t="n">
        <f aca="false">MAX(0,MIN(1,(G59-輸入與假設!$C$48-G57)/輸入與假設!G$24))</f>
        <v>0</v>
      </c>
      <c r="I60" s="7" t="s">
        <v>1283</v>
      </c>
    </row>
    <row r="61" customFormat="false" ht="15" hidden="true" customHeight="false" outlineLevel="2" collapsed="false">
      <c r="A61" s="3" t="s">
        <v>1284</v>
      </c>
      <c r="B61" s="12" t="s">
        <v>77</v>
      </c>
      <c r="C61" s="71" t="n">
        <f aca="false">MAX(0,MIN(1,(C59-輸入與假設!$C$55-C57)/輸入與假設!C$24))</f>
        <v>1</v>
      </c>
      <c r="D61" s="71" t="n">
        <f aca="false">MAX(0,MIN(1,(D59-輸入與假設!$C$55-D57)/輸入與假設!D$24))</f>
        <v>0.5</v>
      </c>
      <c r="E61" s="71" t="n">
        <f aca="false">MAX(0,MIN(1,(E59-輸入與假設!$C$55-E57)/輸入與假設!E$24))</f>
        <v>0</v>
      </c>
      <c r="F61" s="71" t="n">
        <f aca="false">MAX(0,MIN(1,(F59-輸入與假設!$C$55-F57)/輸入與假設!F$24))</f>
        <v>0</v>
      </c>
      <c r="G61" s="71" t="n">
        <f aca="false">MAX(0,MIN(1,(G59-輸入與假設!$C$55-G57)/輸入與假設!G$24))</f>
        <v>0</v>
      </c>
    </row>
    <row r="62" customFormat="false" ht="15" hidden="true" customHeight="false" outlineLevel="2" collapsed="false">
      <c r="A62" s="3" t="s">
        <v>1285</v>
      </c>
      <c r="B62" s="12" t="s">
        <v>77</v>
      </c>
      <c r="C62" s="71" t="n">
        <f aca="false">MAX(0,MIN(1,(C59-輸入與假設!$C$62-C57)/輸入與假設!C$24))</f>
        <v>1</v>
      </c>
      <c r="D62" s="71" t="n">
        <f aca="false">MAX(0,MIN(1,(D59-輸入與假設!$C$62-D57)/輸入與假設!D$24))</f>
        <v>1</v>
      </c>
      <c r="E62" s="71" t="n">
        <f aca="false">MAX(0,MIN(1,(E59-輸入與假設!$C$62-E57)/輸入與假設!E$24))</f>
        <v>0.5</v>
      </c>
      <c r="F62" s="71" t="n">
        <f aca="false">MAX(0,MIN(1,(F59-輸入與假設!$C$62-F57)/輸入與假設!F$24))</f>
        <v>0</v>
      </c>
      <c r="G62" s="71" t="n">
        <f aca="false">MAX(0,MIN(1,(G59-輸入與假設!$C$62-G57)/輸入與假設!G$24))</f>
        <v>0</v>
      </c>
    </row>
    <row r="63" customFormat="false" ht="15" hidden="true" customHeight="false" outlineLevel="2" collapsed="false">
      <c r="A63" s="3" t="s">
        <v>1286</v>
      </c>
      <c r="B63" s="12" t="s">
        <v>77</v>
      </c>
      <c r="C63" s="71" t="n">
        <f aca="false">MAX(0,MIN(1,(C59-輸入與假設!$C$69-C57)/輸入與假設!C$24))</f>
        <v>1</v>
      </c>
      <c r="D63" s="71" t="n">
        <f aca="false">MAX(0,MIN(1,(D59-輸入與假設!$C$69-D57)/輸入與假設!D$24))</f>
        <v>1</v>
      </c>
      <c r="E63" s="71" t="n">
        <f aca="false">MAX(0,MIN(1,(E59-輸入與假設!$C$69-E57)/輸入與假設!E$24))</f>
        <v>1</v>
      </c>
      <c r="F63" s="71" t="n">
        <f aca="false">MAX(0,MIN(1,(F59-輸入與假設!$C$69-F57)/輸入與假設!F$24))</f>
        <v>0.25</v>
      </c>
      <c r="G63" s="71" t="n">
        <f aca="false">MAX(0,MIN(1,(G59-輸入與假設!$C$69-G57)/輸入與假設!G$24))</f>
        <v>0</v>
      </c>
    </row>
    <row r="64" customFormat="false" ht="15" hidden="true" customHeight="false" outlineLevel="2" collapsed="false">
      <c r="A64" s="3" t="s">
        <v>1287</v>
      </c>
      <c r="B64" s="12" t="s">
        <v>77</v>
      </c>
      <c r="C64" s="71" t="n">
        <f aca="false">1</f>
        <v>1</v>
      </c>
      <c r="D64" s="71" t="n">
        <f aca="false">MAX(0,MIN(1,((C57+C58)/2+D59-D57)/輸入與假設!D$24))</f>
        <v>1</v>
      </c>
      <c r="E64" s="71" t="n">
        <f aca="false">MAX(0,MIN(1,((C57+C58)/2+E59-E57)/輸入與假設!E$24))</f>
        <v>1</v>
      </c>
      <c r="F64" s="71" t="n">
        <f aca="false">MAX(0,MIN(1,((C57+C58)/2+F59-F57)/輸入與假設!F$24))</f>
        <v>0.75</v>
      </c>
      <c r="G64" s="71" t="n">
        <f aca="false">MAX(0,MIN(1,((C57+C58)/2+G59-G57)/輸入與假設!G$24))</f>
        <v>0</v>
      </c>
      <c r="I64" s="7" t="s">
        <v>1288</v>
      </c>
    </row>
    <row r="65" customFormat="false" ht="15" hidden="true" customHeight="false" outlineLevel="2" collapsed="false">
      <c r="A65" s="3" t="s">
        <v>1289</v>
      </c>
      <c r="B65" s="12" t="s">
        <v>77</v>
      </c>
      <c r="C65" s="71" t="n">
        <f aca="false">0</f>
        <v>0</v>
      </c>
      <c r="D65" s="71" t="n">
        <f aca="false">1</f>
        <v>1</v>
      </c>
      <c r="E65" s="71" t="n">
        <f aca="false">MAX(0,MIN(1,((D57+D58)/2+E59-E57)/輸入與假設!E$24))</f>
        <v>1</v>
      </c>
      <c r="F65" s="71" t="n">
        <f aca="false">MAX(0,MIN(1,((D57+D58)/2+F59-F57)/輸入與假設!F$24))</f>
        <v>1</v>
      </c>
      <c r="G65" s="71" t="n">
        <f aca="false">MAX(0,MIN(1,((D57+D58)/2+G59-G57)/輸入與假設!G$24))</f>
        <v>0.5</v>
      </c>
    </row>
    <row r="66" customFormat="false" ht="15" hidden="true" customHeight="false" outlineLevel="2" collapsed="false">
      <c r="A66" s="3" t="s">
        <v>1290</v>
      </c>
      <c r="B66" s="12" t="s">
        <v>77</v>
      </c>
      <c r="C66" s="71" t="n">
        <f aca="false">0</f>
        <v>0</v>
      </c>
      <c r="D66" s="71" t="n">
        <f aca="false">0</f>
        <v>0</v>
      </c>
      <c r="E66" s="71" t="n">
        <f aca="false">1</f>
        <v>1</v>
      </c>
      <c r="F66" s="71" t="n">
        <f aca="false">MAX(0,MIN(1,((E57+E58)/2+F59-F57)/輸入與假設!F$24))</f>
        <v>1</v>
      </c>
      <c r="G66" s="71" t="n">
        <f aca="false">MAX(0,MIN(1,((E57+E58)/2+G59-G57)/輸入與假設!G$24))</f>
        <v>1</v>
      </c>
    </row>
    <row r="67" customFormat="false" ht="15" hidden="true" customHeight="false" outlineLevel="2" collapsed="false">
      <c r="A67" s="3" t="s">
        <v>1291</v>
      </c>
      <c r="B67" s="12" t="s">
        <v>77</v>
      </c>
      <c r="C67" s="71" t="n">
        <f aca="false">0</f>
        <v>0</v>
      </c>
      <c r="D67" s="71" t="n">
        <f aca="false">0</f>
        <v>0</v>
      </c>
      <c r="E67" s="71" t="n">
        <f aca="false">0</f>
        <v>0</v>
      </c>
      <c r="F67" s="71" t="n">
        <f aca="false">1</f>
        <v>1</v>
      </c>
      <c r="G67" s="71" t="n">
        <f aca="false">MAX(0,MIN(1,((F57+F58)/2+G59-G57)/輸入與假設!G$24))</f>
        <v>1</v>
      </c>
    </row>
    <row r="68" customFormat="false" ht="15" hidden="true" customHeight="false" outlineLevel="2" collapsed="false">
      <c r="A68" s="3" t="s">
        <v>1292</v>
      </c>
      <c r="B68" s="12" t="s">
        <v>77</v>
      </c>
      <c r="C68" s="71" t="n">
        <f aca="false">0</f>
        <v>0</v>
      </c>
      <c r="D68" s="71" t="n">
        <f aca="false">0</f>
        <v>0</v>
      </c>
      <c r="E68" s="71" t="n">
        <f aca="false">0</f>
        <v>0</v>
      </c>
      <c r="F68" s="71" t="n">
        <f aca="false">0</f>
        <v>0</v>
      </c>
      <c r="G68" s="71" t="n">
        <f aca="false">1</f>
        <v>1</v>
      </c>
    </row>
    <row r="69" customFormat="false" ht="15" hidden="true" customHeight="false" outlineLevel="2" collapsed="false">
      <c r="A69" s="3" t="s">
        <v>1293</v>
      </c>
      <c r="B69" s="12" t="s">
        <v>179</v>
      </c>
      <c r="C69" s="72" t="n">
        <f aca="false">MIN(C45,輸入與假設!$C$47*輸入與假設!$C$49*C60+輸入與假設!$C$54*輸入與假設!$C$56*C61+輸入與假設!$C$61*輸入與假設!$C$63*C62+輸入與假設!$C$68*輸入與假設!$C$70*C63+0.5*輸入與假設!C86*(C38+C32))</f>
        <v>339</v>
      </c>
      <c r="D69" s="72" t="n">
        <f aca="false">MIN(D45,輸入與假設!$C$47*輸入與假設!$C$49*D60+輸入與假設!$C$54*輸入與假設!$C$56*D61+輸入與假設!$C$61*輸入與假設!$C$63*D62+輸入與假設!$C$68*輸入與假設!$C$70*D63+輸入與假設!C86*(C38+C32)*D64+0.5*輸入與假設!D86*(D38+D32))</f>
        <v>194</v>
      </c>
      <c r="E69" s="72" t="n">
        <f aca="false">MIN(E45,輸入與假設!$C$47*輸入與假設!$C$49*E60+輸入與假設!$C$54*輸入與假設!$C$56*E61+輸入與假設!$C$61*輸入與假設!$C$63*E62+輸入與假設!$C$68*輸入與假設!$C$70*E63+輸入與假設!C86*(C38+C32)*E64+輸入與假設!D86*(D38+D32)*E65+0.5*輸入與假設!E86*(E38+E32))</f>
        <v>24.5</v>
      </c>
      <c r="F69" s="72" t="n">
        <f aca="false">MIN(F45,輸入與假設!$C$47*輸入與假設!$C$49*F60+輸入與假設!$C$54*輸入與假設!$C$56*F61+輸入與假設!$C$61*輸入與假設!$C$63*F62+輸入與假設!$C$68*輸入與假設!$C$70*F63+輸入與假設!C86*(C38+C32)*F64+輸入與假設!D86*(D38+D32)*F65+輸入與假設!E86*(E38+E32)*F66+0.5*輸入與假設!F86*(F38+F32))</f>
        <v>0</v>
      </c>
      <c r="G69" s="72" t="n">
        <f aca="false">MIN(G45,輸入與假設!$C$47*輸入與假設!$C$49*G60+輸入與假設!$C$54*輸入與假設!$C$56*G61+輸入與假設!$C$61*輸入與假設!$C$63*G62+輸入與假設!$C$68*輸入與假設!$C$70*G63+輸入與假設!C86*(C38+C32)*G64+輸入與假設!D86*(D38+D32)*G65+輸入與假設!E86*(E38+E32)*G66+輸入與假設!F86*(F38+F32)*G67+0.5*輸入與假設!G86*(G38+G32))</f>
        <v>0</v>
      </c>
      <c r="I69" s="7" t="s">
        <v>1294</v>
      </c>
    </row>
    <row r="70" customFormat="false" ht="15" hidden="true" customHeight="false" outlineLevel="2" collapsed="false">
      <c r="A70" s="3" t="s">
        <v>1295</v>
      </c>
      <c r="B70" s="12" t="s">
        <v>179</v>
      </c>
      <c r="C70" s="72" t="n">
        <f aca="false">MIN(C46,輸入與假設!$C$47*輸入與假設!$C$50*C60+輸入與假設!$C$54*輸入與假設!$C$57*C61+輸入與假設!$C$61*輸入與假設!$C$64*C62+輸入與假設!$C$68*輸入與假設!$C$71*C63+0.5*輸入與假設!C87*(C38+C32))</f>
        <v>475.5</v>
      </c>
      <c r="D70" s="72" t="n">
        <f aca="false">MIN(D46,輸入與假設!$C$47*輸入與假設!$C$50*D60+輸入與假設!$C$54*輸入與假設!$C$57*D61+輸入與假設!$C$61*輸入與假設!$C$64*D62+輸入與假設!$C$68*輸入與假設!$C$71*D63+輸入與假設!C87*(C38+C32)*D64+0.5*輸入與假設!D87*(D38+D32))</f>
        <v>510.5</v>
      </c>
      <c r="E70" s="72" t="n">
        <f aca="false">MIN(E46,輸入與假設!$C$47*輸入與假設!$C$50*E60+輸入與假設!$C$54*輸入與假設!$C$57*E61+輸入與假設!$C$61*輸入與假設!$C$64*E62+輸入與假設!$C$68*輸入與假設!$C$71*E63+輸入與假設!C87*(C38+C32)*E64+輸入與假設!D87*(D38+D32)*E65+0.5*輸入與假設!E87*(E38+E32))</f>
        <v>339</v>
      </c>
      <c r="F70" s="72" t="n">
        <f aca="false">MIN(F46,輸入與假設!$C$47*輸入與假設!$C$50*F60+輸入與假設!$C$54*輸入與假設!$C$57*F61+輸入與假設!$C$61*輸入與假設!$C$64*F62+輸入與假設!$C$68*輸入與假設!$C$71*F63+輸入與假設!C87*(C38+C32)*F64+輸入與假設!D87*(D38+D32)*F65+輸入與假設!E87*(E38+E32)*F66+0.5*輸入與假設!F87*(F38+F32))</f>
        <v>76.875</v>
      </c>
      <c r="G70" s="72" t="n">
        <f aca="false">MIN(G46,輸入與假設!$C$47*輸入與假設!$C$50*G60+輸入與假設!$C$54*輸入與假設!$C$57*G61+輸入與假設!$C$61*輸入與假設!$C$64*G62+輸入與假設!$C$68*輸入與假設!$C$71*G63+輸入與假設!C87*(C38+C32)*G64+輸入與假設!D87*(D38+D32)*G65+輸入與假設!E87*(E38+E32)*G66+輸入與假設!F87*(F38+F32)*G67+0.5*輸入與假設!G87*(G38+G32))</f>
        <v>0</v>
      </c>
    </row>
    <row r="71" customFormat="false" ht="15" hidden="true" customHeight="false" outlineLevel="2" collapsed="false">
      <c r="A71" s="3" t="s">
        <v>1296</v>
      </c>
      <c r="B71" s="12" t="s">
        <v>179</v>
      </c>
      <c r="C71" s="72" t="n">
        <f aca="false">MIN(C47,輸入與假設!$C$47*輸入與假設!$C$51*C60+輸入與假設!$C$54*輸入與假設!$C$58*C61+輸入與假設!$C$61*輸入與假設!$C$65*C62+輸入與假設!$C$68*輸入與假設!$C$72*C63+0.5*輸入與假設!C88*(C38+C32))</f>
        <v>790.499</v>
      </c>
      <c r="D71" s="72" t="n">
        <f aca="false">MIN(D47,輸入與假設!$C$47*輸入與假設!$C$51*D60+輸入與假設!$C$54*輸入與假設!$C$58*D61+輸入與假設!$C$61*輸入與假設!$C$65*D62+輸入與假設!$C$68*輸入與假設!$C$72*D63+輸入與假設!C88*(C38+C32)*D64+0.5*輸入與假設!D88*(D38+D32))</f>
        <v>1242.999</v>
      </c>
      <c r="E71" s="72" t="n">
        <f aca="false">MIN(E47,輸入與假設!$C$47*輸入與假設!$C$51*E60+輸入與假設!$C$54*輸入與假設!$C$58*E61+輸入與假設!$C$61*輸入與假設!$C$65*E62+輸入與假設!$C$68*輸入與假設!$C$72*E63+輸入與假設!C88*(C38+C32)*E64+輸入與假設!D88*(D38+D32)*E65+0.5*輸入與假設!E88*(E38+E32))</f>
        <v>1506.5</v>
      </c>
      <c r="F71" s="72" t="n">
        <f aca="false">MIN(F47,輸入與假設!$C$47*輸入與假設!$C$51*F60+輸入與假設!$C$54*輸入與假設!$C$58*F61+輸入與假設!$C$61*輸入與假設!$C$65*F62+輸入與假設!$C$68*輸入與假設!$C$72*F63+輸入與假設!C88*(C38+C32)*F64+輸入與假設!D88*(D38+D32)*F65+輸入與假設!E88*(E38+E32)*F66+0.5*輸入與假設!F88*(F38+F32))</f>
        <v>973.125</v>
      </c>
      <c r="G71" s="72" t="n">
        <f aca="false">MIN(G47,輸入與假設!$C$47*輸入與假設!$C$51*G60+輸入與假設!$C$54*輸入與假設!$C$58*G61+輸入與假設!$C$61*輸入與假設!$C$65*G62+輸入與假設!$C$68*輸入與假設!$C$72*G63+輸入與假設!C88*(C38+C32)*G64+輸入與假設!D88*(D38+D32)*G65+輸入與假設!E88*(E38+E32)*G66+輸入與假設!F88*(F38+F32)*G67+0.5*輸入與假設!G88*(G38+G32))</f>
        <v>312.5</v>
      </c>
    </row>
    <row r="72" customFormat="false" ht="15" hidden="true" customHeight="false" outlineLevel="2" collapsed="false">
      <c r="A72" s="3" t="s">
        <v>1297</v>
      </c>
      <c r="B72" s="12" t="s">
        <v>179</v>
      </c>
      <c r="C72" s="72" t="n">
        <f aca="false">MIN(C48,輸入與假設!$C$47*輸入與假設!$C$52*C60+輸入與假設!$C$54*輸入與假設!$C$59*C61+輸入與假設!$C$61*輸入與假設!$C$66*C62+輸入與假設!$C$68*輸入與假設!$C$73*C63+0.5*輸入與假設!C89*(C38+C32))</f>
        <v>0</v>
      </c>
      <c r="D72" s="72" t="n">
        <f aca="false">MIN(D48,輸入與假設!$C$47*輸入與假設!$C$52*D60+輸入與假設!$C$54*輸入與假設!$C$59*D61+輸入與假設!$C$61*輸入與假設!$C$66*D62+輸入與假設!$C$68*輸入與假設!$C$73*D63+輸入與假設!C89*(C38+C32)*D64+0.5*輸入與假設!D89*(D38+D32))</f>
        <v>312.5</v>
      </c>
      <c r="E72" s="72" t="n">
        <f aca="false">MIN(E48,輸入與假設!$C$47*輸入與假設!$C$52*E60+輸入與假設!$C$54*輸入與假設!$C$59*E61+輸入與假設!$C$61*輸入與假設!$C$66*E62+輸入與假設!$C$68*輸入與假設!$C$73*E63+輸入與假設!C89*(C38+C32)*E64+輸入與假設!D89*(D38+D32)*E65+0.5*輸入與假設!E89*(E38+E32))</f>
        <v>1075</v>
      </c>
      <c r="F72" s="72" t="n">
        <f aca="false">MIN(F48,輸入與假設!$C$47*輸入與假設!$C$52*F60+輸入與假設!$C$54*輸入與假設!$C$59*F61+輸入與假設!$C$61*輸入與假設!$C$66*F62+輸入與假設!$C$68*輸入與假設!$C$73*F63+輸入與假設!C89*(C38+C32)*F64+輸入與假設!D89*(D38+D32)*F65+輸入與假設!E89*(E38+E32)*F66+0.5*輸入與假設!F89*(F38+F32))</f>
        <v>1960</v>
      </c>
      <c r="G72" s="72" t="n">
        <f aca="false">MIN(G48,輸入與假設!$C$47*輸入與假設!$C$52*G60+輸入與假設!$C$54*輸入與假設!$C$59*G61+輸入與假設!$C$61*輸入與假設!$C$66*G62+輸入與假設!$C$68*輸入與假設!$C$73*G63+輸入與假設!C89*(C38+C32)*G64+輸入與假設!D89*(D38+D32)*G65+輸入與假設!E89*(E38+E32)*G66+輸入與假設!F89*(F38+F32)*G67+0.5*輸入與假設!G89*(G38+G32))</f>
        <v>2627.5</v>
      </c>
    </row>
    <row r="73" customFormat="false" ht="15" hidden="true" customHeight="false" outlineLevel="2" collapsed="false">
      <c r="A73" s="3" t="s">
        <v>1298</v>
      </c>
      <c r="B73" s="12" t="s">
        <v>179</v>
      </c>
      <c r="C73" s="72" t="n">
        <f aca="false">MIN(C49,輸入與假設!$C$47*輸入與假設!$C$53*C60+輸入與假設!$C$54*輸入與假設!$C$60*C61+輸入與假設!$C$61*輸入與假設!$C$67*C62+輸入與假設!$C$68*輸入與假設!$C$74*C63+0.5*輸入與假設!C90*(C38+C32))</f>
        <v>0</v>
      </c>
      <c r="D73" s="72" t="n">
        <f aca="false">MIN(D49,輸入與假設!$C$47*輸入與假設!$C$53*D60+輸入與假設!$C$54*輸入與假設!$C$60*D61+輸入與假設!$C$61*輸入與假設!$C$67*D62+輸入與假設!$C$68*輸入與假設!$C$74*D63+輸入與假設!C90*(C38+C32)*D64+0.5*輸入與假設!D90*(D38+D32))</f>
        <v>0</v>
      </c>
      <c r="E73" s="72" t="n">
        <f aca="false">MIN(E49,輸入與假設!$C$47*輸入與假設!$C$53*E60+輸入與假設!$C$54*輸入與假設!$C$60*E61+輸入與假設!$C$61*輸入與假設!$C$67*E62+輸入與假設!$C$68*輸入與假設!$C$74*E63+輸入與假設!C90*(C38+C32)*E64+輸入與假設!D90*(D38+D32)*E65+0.5*輸入與假設!E90*(E38+E32))</f>
        <v>0</v>
      </c>
      <c r="F73" s="72" t="n">
        <f aca="false">MIN(F49,輸入與假設!$C$47*輸入與假設!$C$53*F60+輸入與假設!$C$54*輸入與假設!$C$60*F61+輸入與假設!$C$61*輸入與假設!$C$67*F62+輸入與假設!$C$68*輸入與假設!$C$74*F63+輸入與假設!C90*(C38+C32)*F64+輸入與假設!D90*(D38+D32)*F65+輸入與假設!E90*(E38+E32)*F66+0.5*輸入與假設!F90*(F38+F32))</f>
        <v>0</v>
      </c>
      <c r="G73" s="72" t="n">
        <f aca="false">MIN(G49,輸入與假設!$C$47*輸入與假設!$C$53*G60+輸入與假設!$C$54*輸入與假設!$C$60*G61+輸入與假設!$C$61*輸入與假設!$C$67*G62+輸入與假設!$C$68*輸入與假設!$C$74*G63+輸入與假設!C90*(C38+C32)*G64+輸入與假設!D90*(D38+D32)*G65+輸入與假設!E90*(E38+E32)*G66+輸入與假設!F90*(F38+F32)*G67+0.5*輸入與假設!G90*(G38+G32))</f>
        <v>0</v>
      </c>
    </row>
    <row r="74" customFormat="false" ht="15" hidden="true" customHeight="false" outlineLevel="2" collapsed="false">
      <c r="A74" s="3" t="s">
        <v>1299</v>
      </c>
      <c r="B74" s="12" t="s">
        <v>179</v>
      </c>
      <c r="C74" s="72" t="n">
        <f aca="false">C45-C69</f>
        <v>70.0005</v>
      </c>
      <c r="D74" s="72" t="n">
        <f aca="false">D45-D69</f>
        <v>215.0005</v>
      </c>
      <c r="E74" s="72" t="n">
        <f aca="false">E45-E69</f>
        <v>384.5005</v>
      </c>
      <c r="F74" s="72" t="n">
        <f aca="false">F45-F69</f>
        <v>374.0005</v>
      </c>
      <c r="G74" s="72" t="n">
        <f aca="false">G45-G69</f>
        <v>194.0005</v>
      </c>
    </row>
    <row r="75" customFormat="false" ht="15" hidden="true" customHeight="false" outlineLevel="2" collapsed="false">
      <c r="A75" s="3" t="s">
        <v>1300</v>
      </c>
      <c r="B75" s="12" t="s">
        <v>179</v>
      </c>
      <c r="C75" s="72" t="n">
        <f aca="false">C46-C70</f>
        <v>0.00050000000004502</v>
      </c>
      <c r="D75" s="72" t="n">
        <f aca="false">D46-D70</f>
        <v>0.00050000000004502</v>
      </c>
      <c r="E75" s="72" t="n">
        <f aca="false">E46-E70</f>
        <v>171.5005</v>
      </c>
      <c r="F75" s="72" t="n">
        <f aca="false">F46-F70</f>
        <v>433.6255</v>
      </c>
      <c r="G75" s="72" t="n">
        <f aca="false">G46-G70</f>
        <v>510.5005</v>
      </c>
    </row>
    <row r="76" customFormat="false" ht="15" hidden="true" customHeight="false" outlineLevel="2" collapsed="false">
      <c r="A76" s="3" t="s">
        <v>1301</v>
      </c>
      <c r="B76" s="12" t="s">
        <v>179</v>
      </c>
      <c r="C76" s="72" t="n">
        <f aca="false">C47-C71</f>
        <v>0</v>
      </c>
      <c r="D76" s="72" t="n">
        <f aca="false">D47-D71</f>
        <v>0</v>
      </c>
      <c r="E76" s="72" t="n">
        <f aca="false">E47-E71</f>
        <v>48.999</v>
      </c>
      <c r="F76" s="72" t="n">
        <f aca="false">F47-F71</f>
        <v>582.374</v>
      </c>
      <c r="G76" s="72" t="n">
        <f aca="false">G47-G71</f>
        <v>1242.999</v>
      </c>
    </row>
    <row r="77" customFormat="false" ht="15" hidden="true" customHeight="false" outlineLevel="2" collapsed="false">
      <c r="A77" s="3" t="s">
        <v>1302</v>
      </c>
      <c r="B77" s="12" t="s">
        <v>179</v>
      </c>
      <c r="C77" s="72" t="n">
        <f aca="false">C48-C72</f>
        <v>0</v>
      </c>
      <c r="D77" s="72" t="n">
        <f aca="false">D48-D72</f>
        <v>0</v>
      </c>
      <c r="E77" s="72" t="n">
        <f aca="false">E48-E72</f>
        <v>0</v>
      </c>
      <c r="F77" s="72" t="n">
        <f aca="false">F48-F72</f>
        <v>0</v>
      </c>
      <c r="G77" s="72" t="n">
        <f aca="false">G48-G72</f>
        <v>312.5</v>
      </c>
    </row>
    <row r="78" customFormat="false" ht="15" hidden="true" customHeight="false" outlineLevel="2" collapsed="false">
      <c r="A78" s="3" t="s">
        <v>1303</v>
      </c>
      <c r="B78" s="12" t="s">
        <v>179</v>
      </c>
      <c r="C78" s="72" t="n">
        <f aca="false">C49-C73</f>
        <v>0</v>
      </c>
      <c r="D78" s="72" t="n">
        <f aca="false">D49-D73</f>
        <v>0</v>
      </c>
      <c r="E78" s="72" t="n">
        <f aca="false">E49-E73</f>
        <v>0</v>
      </c>
      <c r="F78" s="72" t="n">
        <f aca="false">F49-F73</f>
        <v>0</v>
      </c>
      <c r="G78" s="72" t="n">
        <f aca="false">G49-G73</f>
        <v>0</v>
      </c>
    </row>
    <row r="79" customFormat="false" ht="15" hidden="true" customHeight="false" outlineLevel="2" collapsed="false">
      <c r="A79" s="3" t="s">
        <v>1304</v>
      </c>
      <c r="B79" s="12" t="s">
        <v>77</v>
      </c>
      <c r="C79" s="71" t="n">
        <f aca="false">SUM(C69:C73)/MAX(C50,0.000000001)</f>
        <v>0.958208358208955</v>
      </c>
      <c r="D79" s="71" t="n">
        <f aca="false">SUM(D69:D73)/MAX(D50,0.000000001)</f>
        <v>0.913130909090909</v>
      </c>
      <c r="E79" s="71" t="n">
        <f aca="false">SUM(E69:E73)/MAX(E50,0.000000001)</f>
        <v>0.829577464788732</v>
      </c>
      <c r="F79" s="71" t="n">
        <f aca="false">SUM(F69:F73)/MAX(F50,0.000000001)</f>
        <v>0.684090909090909</v>
      </c>
      <c r="G79" s="71" t="n">
        <f aca="false">SUM(G69:G73)/MAX(G50,0.000000001)</f>
        <v>0.565384615384615</v>
      </c>
    </row>
    <row r="80" customFormat="false" ht="15" hidden="false" customHeight="false" outlineLevel="1" collapsed="true">
      <c r="A80" s="20" t="s">
        <v>1305</v>
      </c>
      <c r="B80" s="21"/>
      <c r="C80" s="21"/>
      <c r="D80" s="21"/>
      <c r="E80" s="21"/>
      <c r="F80" s="21"/>
      <c r="G80" s="21"/>
      <c r="H80" s="21"/>
    </row>
    <row r="81" customFormat="false" ht="15" hidden="true" customHeight="false" outlineLevel="2" collapsed="false">
      <c r="A81" s="3" t="s">
        <v>1306</v>
      </c>
      <c r="B81" s="12" t="s">
        <v>396</v>
      </c>
      <c r="C81" s="58" t="n">
        <f aca="false">SUMPRODUCT(C51:C55,輸入與假設!$C$99:$C$103)*輸入與假設!$C$156</f>
        <v>0.672768</v>
      </c>
      <c r="D81" s="58" t="n">
        <f aca="false">SUMPRODUCT(D51:D55,輸入與假設!$C$99:$C$103)*輸入與假設!$C$156</f>
        <v>0.672768</v>
      </c>
      <c r="E81" s="58" t="n">
        <f aca="false">SUMPRODUCT(E51:E55,輸入與假設!$C$99:$C$103)*輸入與假設!$C$156</f>
        <v>0.672768</v>
      </c>
      <c r="F81" s="58" t="n">
        <f aca="false">SUMPRODUCT(F51:F55,輸入與假設!$C$99:$C$103)*輸入與假設!$C$156</f>
        <v>0.672768</v>
      </c>
      <c r="G81" s="58" t="n">
        <f aca="false">SUMPRODUCT(G51:G55,輸入與假設!$C$99:$C$103)*輸入與假設!$C$156</f>
        <v>0.672768</v>
      </c>
      <c r="I81" s="12" t="s">
        <v>1307</v>
      </c>
    </row>
    <row r="82" customFormat="false" ht="15" hidden="true" customHeight="false" outlineLevel="2" collapsed="false">
      <c r="A82" s="3" t="s">
        <v>1308</v>
      </c>
      <c r="B82" s="12" t="s">
        <v>396</v>
      </c>
      <c r="C82" s="58" t="n">
        <f aca="false">(SUMPRODUCT(C69:C73,輸入與假設!$C$105:$C$109)+SUMPRODUCT(C74:C78,輸入與假設!$D$105:$D$109))/MAX(C50,0.000000001)*輸入與假設!$C$156</f>
        <v>0.172486912161015</v>
      </c>
      <c r="D82" s="58" t="n">
        <f aca="false">(SUMPRODUCT(D69:D73,輸入與假設!$C$105:$C$109)+SUMPRODUCT(D74:D78,輸入與假設!$D$105:$D$109))/MAX(D50,0.000000001)*輸入與假設!$C$156</f>
        <v>0.21192248620998</v>
      </c>
      <c r="E82" s="58" t="n">
        <f aca="false">(SUMPRODUCT(E69:E73,輸入與假設!$C$105:$C$109)+SUMPRODUCT(E74:E78,輸入與假設!$D$105:$D$109))/MAX(E50,0.000000001)*輸入與假設!$C$156</f>
        <v>0.275269342729324</v>
      </c>
      <c r="F82" s="58" t="n">
        <f aca="false">(SUMPRODUCT(F69:F73,輸入與假設!$C$105:$C$109)+SUMPRODUCT(F74:F78,輸入與假設!$D$105:$D$109))/MAX(F50,0.000000001)*輸入與假設!$C$156</f>
        <v>0.390619937854057</v>
      </c>
      <c r="G82" s="58" t="n">
        <f aca="false">(SUMPRODUCT(G69:G73,輸入與假設!$C$105:$C$109)+SUMPRODUCT(G74:G78,輸入與假設!$D$105:$D$109))/MAX(G50,0.000000001)*輸入與假設!$C$156</f>
        <v>0.505107910752712</v>
      </c>
      <c r="I82" s="12" t="s">
        <v>1309</v>
      </c>
    </row>
    <row r="83" customFormat="false" ht="15" hidden="true" customHeight="false" outlineLevel="2" collapsed="false">
      <c r="A83" s="3" t="s">
        <v>1310</v>
      </c>
      <c r="B83" s="12" t="s">
        <v>396</v>
      </c>
      <c r="C83" s="58" t="n">
        <f aca="false">(SUMPRODUCT(C69:C73,輸入與假設!$C$105:$C$109))/MAX(C50,0.000000001)*輸入與假設!$C$156</f>
        <v>0.137996033187391</v>
      </c>
      <c r="D83" s="58" t="n">
        <f aca="false">(SUMPRODUCT(D69:D73,輸入與假設!$C$105:$C$109))/MAX(D50,0.000000001)*輸入與假設!$C$156</f>
        <v>0.140228888965204</v>
      </c>
      <c r="E83" s="58" t="n">
        <f aca="false">(SUMPRODUCT(E69:E73,輸入與假設!$C$105:$C$109))/MAX(E50,0.000000001)*輸入與假設!$C$156</f>
        <v>0.137726550119718</v>
      </c>
      <c r="F83" s="58" t="n">
        <f aca="false">(SUMPRODUCT(F69:F73,輸入與假設!$C$105:$C$109))/MAX(F50,0.000000001)*輸入與假設!$C$156</f>
        <v>0.121461664802557</v>
      </c>
      <c r="G83" s="58" t="n">
        <f aca="false">(SUMPRODUCT(G69:G73,輸入與假設!$C$105:$C$109))/MAX(G50,0.000000001)*輸入與假設!$C$156</f>
        <v>0.10464641575</v>
      </c>
    </row>
    <row r="84" customFormat="false" ht="15" hidden="true" customHeight="false" outlineLevel="2" collapsed="false">
      <c r="A84" s="3" t="s">
        <v>1311</v>
      </c>
      <c r="B84" s="12" t="s">
        <v>396</v>
      </c>
      <c r="C84" s="58" t="n">
        <f aca="false">(SUMPRODUCT(C74:C78,輸入與假設!$D$105:$D$109))/MAX(C50,0.000000001)*輸入與假設!$C$156</f>
        <v>0.0344908789736239</v>
      </c>
      <c r="D84" s="58" t="n">
        <f aca="false">(SUMPRODUCT(D74:D78,輸入與假設!$D$105:$D$109))/MAX(D50,0.000000001)*輸入與假設!$C$156</f>
        <v>0.0716935972447758</v>
      </c>
      <c r="E84" s="58" t="n">
        <f aca="false">(SUMPRODUCT(E74:E78,輸入與假設!$D$105:$D$109))/MAX(E50,0.000000001)*輸入與假設!$C$156</f>
        <v>0.137542792609606</v>
      </c>
      <c r="F84" s="58" t="n">
        <f aca="false">(SUMPRODUCT(F74:F78,輸入與假設!$D$105:$D$109))/MAX(F50,0.000000001)*輸入與假設!$C$156</f>
        <v>0.2691582730515</v>
      </c>
      <c r="G84" s="58" t="n">
        <f aca="false">(SUMPRODUCT(G74:G78,輸入與假設!$D$105:$D$109))/MAX(G50,0.000000001)*輸入與假設!$C$156</f>
        <v>0.400461495002712</v>
      </c>
    </row>
    <row r="85" customFormat="false" ht="15" hidden="true" customHeight="false" outlineLevel="2" collapsed="false">
      <c r="A85" s="3" t="s">
        <v>1312</v>
      </c>
      <c r="B85" s="12" t="s">
        <v>396</v>
      </c>
      <c r="C85" s="58" t="n">
        <f aca="false">SUMPRODUCT(C51:C55,輸入與假設!$D$99:$D$103)</f>
        <v>0.452076801768641</v>
      </c>
      <c r="D85" s="58" t="n">
        <f aca="false">SUMPRODUCT(D51:D55,輸入與假設!$D$99:$D$103)</f>
        <v>0.478599576106458</v>
      </c>
      <c r="E85" s="58" t="n">
        <f aca="false">SUMPRODUCT(E51:E55,輸入與假設!$D$99:$D$103)</f>
        <v>0.505245691848059</v>
      </c>
      <c r="F85" s="58" t="n">
        <f aca="false">SUMPRODUCT(F51:F55,輸入與假設!$D$99:$D$103)</f>
        <v>0.523081087354913</v>
      </c>
      <c r="G85" s="58" t="n">
        <f aca="false">SUMPRODUCT(G51:G55,輸入與假設!$D$99:$D$103)</f>
        <v>0.539021912129585</v>
      </c>
      <c r="I85" s="12" t="s">
        <v>1313</v>
      </c>
    </row>
    <row r="86" customFormat="false" ht="15" hidden="true" customHeight="false" outlineLevel="2" collapsed="false">
      <c r="A86" s="3" t="s">
        <v>1314</v>
      </c>
      <c r="B86" s="12" t="s">
        <v>396</v>
      </c>
      <c r="C86" s="58" t="n">
        <f aca="false">SUMPRODUCT(C51:C55,輸入與假設!$E$99:$E$103)*輸入與假設!$C$156</f>
        <v>0.325</v>
      </c>
      <c r="D86" s="58" t="n">
        <f aca="false">SUMPRODUCT(D51:D55,輸入與假設!$E$99:$E$103)*輸入與假設!$C$156</f>
        <v>0.325</v>
      </c>
      <c r="E86" s="58" t="n">
        <f aca="false">SUMPRODUCT(E51:E55,輸入與假設!$E$99:$E$103)*輸入與假設!$C$156</f>
        <v>0.325</v>
      </c>
      <c r="F86" s="58" t="n">
        <f aca="false">SUMPRODUCT(F51:F55,輸入與假設!$E$99:$E$103)*輸入與假設!$C$156</f>
        <v>0.325</v>
      </c>
      <c r="G86" s="58" t="n">
        <f aca="false">SUMPRODUCT(G51:G55,輸入與假設!$E$99:$E$103)*輸入與假設!$C$156</f>
        <v>0.325</v>
      </c>
      <c r="I86" s="12" t="s">
        <v>1315</v>
      </c>
    </row>
    <row r="87" customFormat="false" ht="15" hidden="true" customHeight="false" outlineLevel="2" collapsed="false">
      <c r="A87" s="3" t="s">
        <v>1316</v>
      </c>
      <c r="B87" s="12" t="s">
        <v>396</v>
      </c>
      <c r="C87" s="58" t="n">
        <f aca="false">SUMPRODUCT(C51:C55,輸入與假設!$F$99:$F$103)*輸入與假設!$C$156</f>
        <v>0.143744513016328</v>
      </c>
      <c r="D87" s="58" t="n">
        <f aca="false">SUMPRODUCT(D51:D55,輸入與假設!$F$99:$F$103)*輸入與假設!$C$156</f>
        <v>0.152177821839333</v>
      </c>
      <c r="E87" s="58" t="n">
        <f aca="false">SUMPRODUCT(E51:E55,輸入與假設!$F$99:$F$103)*輸入與假設!$C$156</f>
        <v>0.160650348887986</v>
      </c>
      <c r="F87" s="58" t="n">
        <f aca="false">SUMPRODUCT(F51:F55,輸入與假設!$F$99:$F$103)*輸入與假設!$C$156</f>
        <v>0.166321376977807</v>
      </c>
      <c r="G87" s="58" t="n">
        <f aca="false">SUMPRODUCT(G51:G55,輸入與假設!$F$99:$F$103)*輸入與假設!$C$156</f>
        <v>0.171389998250452</v>
      </c>
      <c r="I87" s="12" t="s">
        <v>1317</v>
      </c>
    </row>
    <row r="88" customFormat="false" ht="15" hidden="true" customHeight="false" outlineLevel="2" collapsed="false">
      <c r="A88" s="3" t="s">
        <v>1318</v>
      </c>
      <c r="B88" s="12" t="s">
        <v>93</v>
      </c>
      <c r="C88" s="70" t="n">
        <f aca="false">C50*C81/1000*輸入與假設!C$24</f>
        <v>0.5634432</v>
      </c>
      <c r="D88" s="70" t="n">
        <f aca="false">D50*D81/1000*輸入與假設!D$24</f>
        <v>1.6651008</v>
      </c>
      <c r="E88" s="70" t="n">
        <f aca="false">E50*E81/1000*輸入與假設!E$24</f>
        <v>2.3883264</v>
      </c>
      <c r="F88" s="70" t="n">
        <f aca="false">F50*F81/1000*輸入與假設!F$24</f>
        <v>2.9601792</v>
      </c>
      <c r="G88" s="70" t="n">
        <f aca="false">G50*G81/1000*輸入與假設!G$24</f>
        <v>3.4983936</v>
      </c>
      <c r="I88" s="7" t="s">
        <v>1319</v>
      </c>
    </row>
    <row r="89" customFormat="false" ht="15" hidden="true" customHeight="false" outlineLevel="2" collapsed="false">
      <c r="A89" s="4" t="s">
        <v>1320</v>
      </c>
      <c r="B89" s="12" t="s">
        <v>93</v>
      </c>
      <c r="C89" s="70" t="n">
        <f aca="false">C50*C82/1000*輸入與假設!C$24</f>
        <v>0.14445778893485</v>
      </c>
      <c r="D89" s="70" t="n">
        <f aca="false">D50*D82/1000*輸入與假設!D$24</f>
        <v>0.5245081533697</v>
      </c>
      <c r="E89" s="70" t="n">
        <f aca="false">E50*E82/1000*輸入與假設!E$24</f>
        <v>0.9772061666891</v>
      </c>
      <c r="F89" s="70" t="n">
        <f aca="false">F50*F82/1000*輸入與假設!F$24</f>
        <v>1.71872772655785</v>
      </c>
      <c r="G89" s="70" t="n">
        <f aca="false">G50*G82/1000*輸入與假設!G$24</f>
        <v>2.6265611359141</v>
      </c>
    </row>
    <row r="90" customFormat="false" ht="15" hidden="true" customHeight="false" outlineLevel="2" collapsed="false">
      <c r="A90" s="3" t="s">
        <v>1321</v>
      </c>
      <c r="B90" s="12" t="s">
        <v>93</v>
      </c>
      <c r="C90" s="70" t="n">
        <f aca="false">C50*C86/1000*輸入與假設!C$24</f>
        <v>0.2721875</v>
      </c>
      <c r="D90" s="70" t="n">
        <f aca="false">D50*D86/1000*輸入與假設!D$24</f>
        <v>0.804375</v>
      </c>
      <c r="E90" s="70" t="n">
        <f aca="false">E50*E86/1000*輸入與假設!E$24</f>
        <v>1.15375</v>
      </c>
      <c r="F90" s="70" t="n">
        <f aca="false">F50*F86/1000*輸入與假設!F$24</f>
        <v>1.43</v>
      </c>
      <c r="G90" s="70" t="n">
        <f aca="false">G50*G86/1000*輸入與假設!G$24</f>
        <v>1.69</v>
      </c>
    </row>
    <row r="91" customFormat="false" ht="15" hidden="true" customHeight="false" outlineLevel="2" collapsed="false">
      <c r="A91" s="3" t="s">
        <v>1322</v>
      </c>
      <c r="B91" s="12" t="s">
        <v>93</v>
      </c>
      <c r="C91" s="70" t="n">
        <f aca="false">C50*C87/1000*輸入與假設!C$24</f>
        <v>0.120386029651175</v>
      </c>
      <c r="D91" s="70" t="n">
        <f aca="false">D50*D87/1000*輸入與假設!D$24</f>
        <v>0.37664010905235</v>
      </c>
      <c r="E91" s="70" t="n">
        <f aca="false">E50*E87/1000*輸入與假設!E$24</f>
        <v>0.57030873855235</v>
      </c>
      <c r="F91" s="70" t="n">
        <f aca="false">F50*F87/1000*輸入與假設!F$24</f>
        <v>0.73181405870235</v>
      </c>
      <c r="G91" s="70" t="n">
        <f aca="false">G50*G87/1000*輸入與假設!G$24</f>
        <v>0.89122799090235</v>
      </c>
    </row>
    <row r="92" customFormat="false" ht="15" hidden="true" customHeight="false" outlineLevel="2" collapsed="false">
      <c r="A92" s="3" t="s">
        <v>1143</v>
      </c>
      <c r="B92" s="12" t="s">
        <v>93</v>
      </c>
      <c r="C92" s="46" t="n">
        <f aca="false">運營_產能與收入!C34</f>
        <v>6.8946176117778</v>
      </c>
      <c r="D92" s="46" t="n">
        <f aca="false">運營_產能與收入!D34</f>
        <v>21.5968269467532</v>
      </c>
      <c r="E92" s="46" t="n">
        <f aca="false">運營_產能與收入!E34</f>
        <v>31.8088250207794</v>
      </c>
      <c r="F92" s="46" t="n">
        <f aca="false">運營_產能與收入!F34</f>
        <v>39.1235772735251</v>
      </c>
      <c r="G92" s="46" t="n">
        <f aca="false">運營_產能與收入!G34</f>
        <v>43.9623500832288</v>
      </c>
    </row>
    <row r="93" customFormat="false" ht="15" hidden="true" customHeight="false" outlineLevel="2" collapsed="false">
      <c r="A93" s="3" t="s">
        <v>1323</v>
      </c>
      <c r="B93" s="12" t="s">
        <v>77</v>
      </c>
      <c r="C93" s="55" t="n">
        <f aca="false">輸入與假設!$C$154</f>
        <v>0.0551456310679611</v>
      </c>
      <c r="D93" s="55" t="n">
        <f aca="false">輸入與假設!$C$154</f>
        <v>0.0551456310679611</v>
      </c>
      <c r="E93" s="55" t="n">
        <f aca="false">輸入與假設!$C$154</f>
        <v>0.0551456310679611</v>
      </c>
      <c r="F93" s="55" t="n">
        <f aca="false">輸入與假設!$C$154</f>
        <v>0.0551456310679611</v>
      </c>
      <c r="G93" s="55" t="n">
        <f aca="false">輸入與假設!$C$154</f>
        <v>0.0551456310679611</v>
      </c>
      <c r="I93" s="12" t="s">
        <v>1324</v>
      </c>
    </row>
    <row r="94" customFormat="false" ht="15" hidden="true" customHeight="false" outlineLevel="2" collapsed="false">
      <c r="A94" s="3" t="s">
        <v>1325</v>
      </c>
      <c r="B94" s="12" t="s">
        <v>93</v>
      </c>
      <c r="C94" s="70" t="n">
        <f aca="false">C92*C93</f>
        <v>0.380208039173766</v>
      </c>
      <c r="D94" s="70" t="n">
        <f aca="false">D92*D93</f>
        <v>1.19097065104425</v>
      </c>
      <c r="E94" s="70" t="n">
        <f aca="false">E92*E93</f>
        <v>1.75411772930123</v>
      </c>
      <c r="F94" s="70" t="n">
        <f aca="false">F92*F93</f>
        <v>2.15749435838469</v>
      </c>
      <c r="G94" s="70" t="n">
        <f aca="false">G92*G93</f>
        <v>2.42433153857029</v>
      </c>
    </row>
    <row r="95" customFormat="false" ht="15" hidden="true" customHeight="false" outlineLevel="2" collapsed="false">
      <c r="A95" s="3" t="s">
        <v>1326</v>
      </c>
      <c r="B95" s="12" t="s">
        <v>93</v>
      </c>
      <c r="C95" s="42" t="n">
        <f aca="false">C88+C89+C90+C91+C94</f>
        <v>1.48068255775979</v>
      </c>
      <c r="D95" s="42" t="n">
        <f aca="false">D88+D89+D90+D91+D94</f>
        <v>4.5615947134663</v>
      </c>
      <c r="E95" s="42" t="n">
        <f aca="false">E88+E89+E90+E91+E94</f>
        <v>6.84370903454268</v>
      </c>
      <c r="F95" s="42" t="n">
        <f aca="false">F88+F89+F90+F91+F94</f>
        <v>8.99821534364489</v>
      </c>
      <c r="G95" s="42" t="n">
        <f aca="false">G88+G89+G90+G91+G94</f>
        <v>11.1305142653867</v>
      </c>
      <c r="I95" s="7" t="s">
        <v>1327</v>
      </c>
    </row>
    <row r="96" customFormat="false" ht="15" hidden="true" customHeight="false" outlineLevel="2" collapsed="false">
      <c r="A96" s="3" t="s">
        <v>1328</v>
      </c>
      <c r="B96" s="12" t="s">
        <v>77</v>
      </c>
      <c r="C96" s="71" t="n">
        <f aca="false">1-C95/MAX(0.01,C92)</f>
        <v>0.785240800703668</v>
      </c>
      <c r="D96" s="71" t="n">
        <f aca="false">1-D95/MAX(0.01,D92)</f>
        <v>0.788784031806483</v>
      </c>
      <c r="E96" s="71" t="n">
        <f aca="false">1-E95/MAX(0.01,E92)</f>
        <v>0.784848732071305</v>
      </c>
      <c r="F96" s="71" t="n">
        <f aca="false">1-F95/MAX(0.01,F92)</f>
        <v>0.770005301899273</v>
      </c>
      <c r="G96" s="71" t="n">
        <f aca="false">1-G95/MAX(0.01,G92)</f>
        <v>0.746817123190307</v>
      </c>
      <c r="I96" s="7" t="s">
        <v>1329</v>
      </c>
    </row>
    <row r="97" customFormat="false" ht="15" hidden="true" customHeight="false" outlineLevel="2" collapsed="false">
      <c r="A97" s="3" t="s">
        <v>1330</v>
      </c>
      <c r="B97" s="12" t="s">
        <v>93</v>
      </c>
      <c r="C97" s="46" t="n">
        <f aca="false">各期收支!C12</f>
        <v>1.34</v>
      </c>
      <c r="D97" s="46" t="n">
        <f aca="false">各期收支!D12</f>
        <v>3.939</v>
      </c>
      <c r="E97" s="46" t="n">
        <f aca="false">各期收支!E12</f>
        <v>4.72535483870968</v>
      </c>
      <c r="F97" s="46" t="n">
        <f aca="false">各期收支!F12</f>
        <v>5.123</v>
      </c>
      <c r="G97" s="46" t="n">
        <f aca="false">各期收支!G12</f>
        <v>5.19053846153846</v>
      </c>
      <c r="I97" s="7" t="s">
        <v>1331</v>
      </c>
    </row>
    <row r="98" customFormat="false" ht="15" hidden="true" customHeight="false" outlineLevel="2" collapsed="false">
      <c r="A98" s="3" t="s">
        <v>1332</v>
      </c>
      <c r="B98" s="12" t="s">
        <v>77</v>
      </c>
      <c r="C98" s="75" t="n">
        <f aca="false">C96-C97/MAX(0.01,C92)</f>
        <v>0.590886294703084</v>
      </c>
      <c r="D98" s="75" t="n">
        <f aca="false">D96-D97/MAX(0.01,D92)</f>
        <v>0.606396127800419</v>
      </c>
      <c r="E98" s="75" t="n">
        <f aca="false">E96-E97/MAX(0.01,E92)</f>
        <v>0.636293894361242</v>
      </c>
      <c r="F98" s="75" t="n">
        <f aca="false">F96-F97/MAX(0.01,F92)</f>
        <v>0.639061243175207</v>
      </c>
      <c r="G98" s="75" t="n">
        <f aca="false">G96-G97/MAX(0.01,G92)</f>
        <v>0.628749311717266</v>
      </c>
    </row>
    <row r="99" customFormat="false" ht="15" hidden="true" customHeight="false" outlineLevel="2" collapsed="false">
      <c r="A99" s="4" t="s">
        <v>1333</v>
      </c>
      <c r="B99" s="12" t="s">
        <v>77</v>
      </c>
      <c r="C99" s="55" t="n">
        <f aca="false">輸入與假設!C$134</f>
        <v>0.590886294703084</v>
      </c>
      <c r="D99" s="55" t="n">
        <f aca="false">輸入與假設!D$134</f>
        <v>0.606396127800419</v>
      </c>
      <c r="E99" s="55" t="n">
        <f aca="false">輸入與假設!E$134</f>
        <v>0.636293894361242</v>
      </c>
      <c r="F99" s="55" t="n">
        <f aca="false">輸入與假設!F$134</f>
        <v>0.639061243175207</v>
      </c>
      <c r="G99" s="55" t="n">
        <f aca="false">輸入與假設!G$134</f>
        <v>0.628749311717266</v>
      </c>
      <c r="I99" s="7" t="s">
        <v>1334</v>
      </c>
    </row>
    <row r="100" customFormat="false" ht="15" hidden="false" customHeight="false" outlineLevel="1" collapsed="true">
      <c r="A100" s="20" t="s">
        <v>1335</v>
      </c>
      <c r="B100" s="21"/>
      <c r="C100" s="21"/>
      <c r="D100" s="21"/>
      <c r="E100" s="21"/>
      <c r="F100" s="21"/>
      <c r="G100" s="21"/>
      <c r="H100" s="21"/>
    </row>
    <row r="101" customFormat="false" ht="15" hidden="true" customHeight="false" outlineLevel="2" collapsed="false">
      <c r="A101" s="3" t="s">
        <v>1336</v>
      </c>
      <c r="B101" s="12" t="s">
        <v>396</v>
      </c>
      <c r="C101" s="46" t="n">
        <f aca="false">輸入與假設!C$29*輸入與假設!$C$22*1000</f>
        <v>9.1038724580194</v>
      </c>
      <c r="D101" s="46" t="n">
        <f aca="false">輸入與假設!D$29*輸入與假設!$C$22*1000</f>
        <v>9.426465421855</v>
      </c>
      <c r="E101" s="46" t="n">
        <f aca="false">輸入與假設!E$29*輸入與假設!$C$22*1000</f>
        <v>9.76920354961724</v>
      </c>
      <c r="F101" s="46" t="n">
        <f aca="false">輸入與假設!F$29*輸入與假設!$C$22*1000</f>
        <v>10.0043685124483</v>
      </c>
      <c r="G101" s="46" t="n">
        <f aca="false">輸入與假設!G$29*輸入與假設!$C$22*1000</f>
        <v>10.2123441461699</v>
      </c>
      <c r="I101" s="7" t="s">
        <v>1337</v>
      </c>
    </row>
    <row r="102" customFormat="false" ht="15" hidden="true" customHeight="false" outlineLevel="2" collapsed="false">
      <c r="A102" s="3" t="s">
        <v>1338</v>
      </c>
      <c r="B102" s="12" t="s">
        <v>396</v>
      </c>
      <c r="C102" s="70" t="n">
        <f aca="false">C101*輸入與假設!C$28</f>
        <v>8.64867883511843</v>
      </c>
      <c r="D102" s="70" t="n">
        <f aca="false">D101*輸入與假設!D$28</f>
        <v>8.95514215076225</v>
      </c>
      <c r="E102" s="70" t="n">
        <f aca="false">E101*輸入與假設!E$28</f>
        <v>9.1830513366402</v>
      </c>
      <c r="F102" s="70" t="n">
        <f aca="false">F101*輸入與假設!F$28</f>
        <v>9.30406271657693</v>
      </c>
      <c r="G102" s="70" t="n">
        <f aca="false">G101*輸入與假設!G$28</f>
        <v>9.39535661447634</v>
      </c>
    </row>
    <row r="103" customFormat="false" ht="15" hidden="true" customHeight="false" outlineLevel="2" collapsed="false">
      <c r="A103" s="3" t="s">
        <v>1339</v>
      </c>
      <c r="B103" s="12" t="s">
        <v>396</v>
      </c>
      <c r="C103" s="24" t="n">
        <v>11.2</v>
      </c>
      <c r="D103" s="24" t="n">
        <v>11.5</v>
      </c>
      <c r="E103" s="24" t="n">
        <v>11.5</v>
      </c>
      <c r="F103" s="24" t="n">
        <v>11</v>
      </c>
      <c r="G103" s="24" t="n">
        <v>10.5</v>
      </c>
      <c r="I103" s="12" t="s">
        <v>1340</v>
      </c>
    </row>
    <row r="104" customFormat="false" ht="15" hidden="true" customHeight="false" outlineLevel="2" collapsed="false">
      <c r="A104" s="3" t="s">
        <v>1341</v>
      </c>
      <c r="B104" s="12" t="s">
        <v>396</v>
      </c>
      <c r="C104" s="70" t="n">
        <f aca="false">(18.5+19.5)/2/1.85</f>
        <v>10.2702702702703</v>
      </c>
      <c r="D104" s="70"/>
      <c r="E104" s="70"/>
      <c r="F104" s="70"/>
      <c r="G104" s="70"/>
      <c r="I104" s="7" t="s">
        <v>1342</v>
      </c>
    </row>
    <row r="105" customFormat="false" ht="15" hidden="true" customHeight="false" outlineLevel="2" collapsed="false">
      <c r="A105" s="3" t="s">
        <v>1343</v>
      </c>
      <c r="B105" s="7" t="s">
        <v>1344</v>
      </c>
      <c r="C105" s="39" t="n">
        <f aca="false">SUMPRODUCT(C51:C55,輸入與假設!$C$112:$C$116)</f>
        <v>547.613291283582</v>
      </c>
      <c r="D105" s="39" t="n">
        <f aca="false">SUMPRODUCT(D51:D55,輸入與假設!$C$112:$C$116)</f>
        <v>503.577884</v>
      </c>
      <c r="E105" s="39" t="n">
        <f aca="false">SUMPRODUCT(E51:E55,輸入與假設!$C$112:$C$116)</f>
        <v>456.619736028169</v>
      </c>
      <c r="F105" s="39" t="n">
        <f aca="false">SUMPRODUCT(F51:F55,輸入與假設!$C$112:$C$116)</f>
        <v>421.377687022727</v>
      </c>
      <c r="G105" s="39" t="n">
        <f aca="false">SUMPRODUCT(G51:G55,輸入與假設!$C$112:$C$116)</f>
        <v>386.677365942308</v>
      </c>
      <c r="I105" s="12" t="s">
        <v>1345</v>
      </c>
    </row>
    <row r="106" customFormat="false" ht="15" hidden="true" customHeight="false" outlineLevel="2" collapsed="false">
      <c r="A106" s="4" t="s">
        <v>1346</v>
      </c>
      <c r="B106" s="12" t="s">
        <v>396</v>
      </c>
      <c r="C106" s="70" t="s">
        <v>936</v>
      </c>
      <c r="D106" s="70" t="s">
        <v>936</v>
      </c>
      <c r="E106" s="70" t="s">
        <v>936</v>
      </c>
      <c r="F106" s="70" t="s">
        <v>936</v>
      </c>
      <c r="G106" s="70" t="s">
        <v>936</v>
      </c>
      <c r="I106" s="7" t="s">
        <v>1347</v>
      </c>
    </row>
    <row r="107" customFormat="false" ht="15" hidden="true" customHeight="false" outlineLevel="2" collapsed="false">
      <c r="A107" s="3" t="s">
        <v>1348</v>
      </c>
      <c r="B107" s="12" t="s">
        <v>1349</v>
      </c>
      <c r="C107" s="57" t="n">
        <f aca="false">C101*1000000/MAX(0.000000001,C105*8760)</f>
        <v>1.89778966900146</v>
      </c>
      <c r="D107" s="57" t="n">
        <f aca="false">D101*1000000/MAX(0.000000001,D105*8760)</f>
        <v>2.13687010847565</v>
      </c>
      <c r="E107" s="57" t="n">
        <f aca="false">E101*1000000/MAX(0.000000001,E105*8760)</f>
        <v>2.44230767237513</v>
      </c>
      <c r="F107" s="57" t="n">
        <f aca="false">F101*1000000/MAX(0.000000001,F105*8760)</f>
        <v>2.7102792464414</v>
      </c>
      <c r="G107" s="57" t="n">
        <f aca="false">G101*1000000/MAX(0.000000001,G105*8760)</f>
        <v>3.01489772464192</v>
      </c>
      <c r="I107" s="7" t="s">
        <v>1350</v>
      </c>
    </row>
    <row r="108" customFormat="false" ht="15" hidden="true" customHeight="false" outlineLevel="2" collapsed="false">
      <c r="A108" s="3" t="s">
        <v>1351</v>
      </c>
      <c r="B108" s="12" t="s">
        <v>1349</v>
      </c>
      <c r="C108" s="57" t="n">
        <f aca="false">SUMPRODUCT(C51:C55,輸入與假設!$C$112:$C$116,輸入與假設!$D$112:$D$116)/MAX(0.000000001,C105)</f>
        <v>2.08734171973236</v>
      </c>
      <c r="D108" s="57" t="n">
        <f aca="false">SUMPRODUCT(D51:D55,輸入與假設!$C$112:$C$116,輸入與假設!$D$112:$D$116)/MAX(0.000000001,D105)</f>
        <v>2.36558322032989</v>
      </c>
      <c r="E108" s="57" t="n">
        <f aca="false">SUMPRODUCT(E51:E55,輸入與假設!$C$112:$C$116,輸入與假設!$D$112:$D$116)/MAX(0.000000001,E105)</f>
        <v>2.71490424962111</v>
      </c>
      <c r="F108" s="57" t="n">
        <f aca="false">SUMPRODUCT(F51:F55,輸入與假設!$C$112:$C$116,輸入與假設!$D$112:$D$116)/MAX(0.000000001,F105)</f>
        <v>3.01888500336671</v>
      </c>
      <c r="G108" s="57" t="n">
        <f aca="false">SUMPRODUCT(G51:G55,輸入與假設!$C$112:$C$116,輸入與假設!$D$112:$D$116)/MAX(0.000000001,G105)</f>
        <v>3.36471654759379</v>
      </c>
      <c r="I108" s="12" t="s">
        <v>1352</v>
      </c>
    </row>
    <row r="109" customFormat="false" ht="15" hidden="true" customHeight="false" outlineLevel="2" collapsed="false">
      <c r="A109" s="3" t="s">
        <v>1353</v>
      </c>
      <c r="B109" s="7" t="s">
        <v>361</v>
      </c>
      <c r="C109" s="80" t="n">
        <f aca="false">C107/MAX(0.000000001,C108)</f>
        <v>0.909189736908432</v>
      </c>
      <c r="D109" s="80" t="n">
        <f aca="false">D107/MAX(0.000000001,D108)</f>
        <v>0.903316395767153</v>
      </c>
      <c r="E109" s="80" t="n">
        <f aca="false">E107/MAX(0.000000001,E108)</f>
        <v>0.899592563058521</v>
      </c>
      <c r="F109" s="80" t="n">
        <f aca="false">F107/MAX(0.000000001,F108)</f>
        <v>0.897774921343095</v>
      </c>
      <c r="G109" s="80" t="n">
        <f aca="false">G107/MAX(0.000000001,G108)</f>
        <v>0.896033196852188</v>
      </c>
    </row>
    <row r="110" customFormat="false" ht="15" hidden="true" customHeight="false" outlineLevel="2" collapsed="false">
      <c r="A110" s="3" t="s">
        <v>1354</v>
      </c>
      <c r="B110" s="12" t="s">
        <v>396</v>
      </c>
      <c r="C110" s="70" t="n">
        <f aca="false">SUMPRODUCT(C51:C55,輸入與假設!$E$112:$E$116)</f>
        <v>10.0131711659833</v>
      </c>
      <c r="D110" s="70" t="n">
        <f aca="false">SUMPRODUCT(D51:D55,輸入與假設!$E$112:$E$116)</f>
        <v>10.435397238472</v>
      </c>
      <c r="E110" s="70" t="n">
        <f aca="false">SUMPRODUCT(E51:E55,輸入與假設!$E$112:$E$116)</f>
        <v>10.8595868294008</v>
      </c>
      <c r="F110" s="70" t="n">
        <f aca="false">SUMPRODUCT(F51:F55,輸入與假設!$E$112:$E$116)</f>
        <v>11.1435152337309</v>
      </c>
      <c r="G110" s="70" t="n">
        <f aca="false">SUMPRODUCT(G51:G55,輸入與假設!$E$112:$E$116)</f>
        <v>11.3972832502707</v>
      </c>
      <c r="I110" s="12" t="s">
        <v>1355</v>
      </c>
    </row>
    <row r="111" customFormat="false" ht="15" hidden="true" customHeight="false" outlineLevel="2" collapsed="false">
      <c r="A111" s="3" t="s">
        <v>1356</v>
      </c>
      <c r="B111" s="7" t="s">
        <v>361</v>
      </c>
      <c r="C111" s="80" t="n">
        <f aca="false">C101/MAX(0.000000001,C110)</f>
        <v>0.90918973690843</v>
      </c>
      <c r="D111" s="80" t="n">
        <f aca="false">D101/MAX(0.000000001,D110)</f>
        <v>0.903316395767151</v>
      </c>
      <c r="E111" s="80" t="n">
        <f aca="false">E101/MAX(0.000000001,E110)</f>
        <v>0.899592563058519</v>
      </c>
      <c r="F111" s="80" t="n">
        <f aca="false">F101/MAX(0.000000001,F110)</f>
        <v>0.897774921343094</v>
      </c>
      <c r="G111" s="80" t="n">
        <f aca="false">G101/MAX(0.000000001,G110)</f>
        <v>0.896033196852186</v>
      </c>
    </row>
    <row r="112" customFormat="false" ht="15" hidden="true" customHeight="false" outlineLevel="2" collapsed="false">
      <c r="A112" s="3" t="s">
        <v>1357</v>
      </c>
      <c r="B112" s="12" t="s">
        <v>396</v>
      </c>
      <c r="C112" s="24" t="n">
        <v>9.7</v>
      </c>
      <c r="D112" s="24" t="n">
        <v>9.7</v>
      </c>
      <c r="E112" s="24" t="n">
        <v>9.7</v>
      </c>
      <c r="F112" s="24" t="n">
        <v>9.7</v>
      </c>
      <c r="G112" s="24" t="n">
        <v>9.7</v>
      </c>
      <c r="I112" s="12" t="s">
        <v>1358</v>
      </c>
    </row>
    <row r="113" customFormat="false" ht="15" hidden="true" customHeight="false" outlineLevel="2" collapsed="false">
      <c r="A113" s="3" t="s">
        <v>1359</v>
      </c>
      <c r="B113" s="12" t="s">
        <v>1349</v>
      </c>
      <c r="C113" s="44" t="n">
        <v>2.82</v>
      </c>
      <c r="D113" s="44"/>
      <c r="E113" s="44"/>
      <c r="F113" s="44"/>
      <c r="G113" s="44"/>
      <c r="I113" s="12" t="s">
        <v>1360</v>
      </c>
    </row>
    <row r="114" customFormat="false" ht="15" hidden="true" customHeight="false" outlineLevel="2" collapsed="false">
      <c r="A114" s="3" t="s">
        <v>1361</v>
      </c>
      <c r="B114" s="12" t="s">
        <v>1349</v>
      </c>
      <c r="C114" s="44" t="n">
        <v>6.155</v>
      </c>
      <c r="D114" s="44"/>
      <c r="E114" s="44"/>
      <c r="F114" s="44"/>
      <c r="G114" s="44"/>
      <c r="I114" s="12" t="s">
        <v>1362</v>
      </c>
    </row>
    <row r="115" customFormat="false" ht="15" hidden="true" customHeight="false" outlineLevel="2" collapsed="false">
      <c r="A115" s="3" t="s">
        <v>1363</v>
      </c>
      <c r="B115" s="12" t="s">
        <v>1349</v>
      </c>
      <c r="C115" s="44" t="n">
        <v>10.5</v>
      </c>
      <c r="D115" s="44"/>
      <c r="E115" s="44"/>
      <c r="F115" s="44"/>
      <c r="G115" s="44"/>
      <c r="I115" s="12" t="s">
        <v>1364</v>
      </c>
    </row>
    <row r="116" customFormat="false" ht="15" hidden="true" customHeight="false" outlineLevel="2" collapsed="false">
      <c r="A116" s="3" t="s">
        <v>1365</v>
      </c>
      <c r="B116" s="12" t="s">
        <v>1349</v>
      </c>
      <c r="C116" s="44" t="n">
        <v>5.87</v>
      </c>
      <c r="D116" s="44"/>
      <c r="E116" s="44"/>
      <c r="F116" s="44"/>
      <c r="G116" s="44"/>
      <c r="I116" s="12" t="s">
        <v>1366</v>
      </c>
    </row>
    <row r="117" customFormat="false" ht="15" hidden="true" customHeight="false" outlineLevel="2" collapsed="false">
      <c r="A117" s="3" t="s">
        <v>1367</v>
      </c>
      <c r="B117" s="12" t="s">
        <v>1349</v>
      </c>
      <c r="C117" s="44" t="n">
        <v>6.82</v>
      </c>
      <c r="D117" s="44"/>
      <c r="E117" s="44"/>
      <c r="F117" s="44"/>
      <c r="G117" s="44"/>
      <c r="I117" s="12" t="s">
        <v>1368</v>
      </c>
    </row>
    <row r="118" customFormat="false" ht="15" hidden="true" customHeight="false" outlineLevel="2" collapsed="false">
      <c r="A118" s="3" t="s">
        <v>1369</v>
      </c>
      <c r="B118" s="12" t="s">
        <v>1349</v>
      </c>
      <c r="C118" s="44" t="n">
        <v>7.85</v>
      </c>
      <c r="D118" s="44"/>
      <c r="E118" s="44"/>
      <c r="F118" s="44"/>
      <c r="G118" s="44"/>
      <c r="I118" s="12" t="s">
        <v>1370</v>
      </c>
    </row>
    <row r="119" customFormat="false" ht="15" hidden="false" customHeight="false" outlineLevel="1" collapsed="true">
      <c r="A119" s="20" t="s">
        <v>1371</v>
      </c>
      <c r="B119" s="21"/>
      <c r="C119" s="21"/>
      <c r="D119" s="21"/>
      <c r="E119" s="21"/>
      <c r="F119" s="21"/>
      <c r="G119" s="21"/>
      <c r="H119" s="21"/>
    </row>
    <row r="120" customFormat="false" ht="15" hidden="true" customHeight="false" outlineLevel="2" collapsed="false">
      <c r="A120" s="3" t="s">
        <v>1372</v>
      </c>
      <c r="B120" s="12" t="s">
        <v>396</v>
      </c>
      <c r="C120" s="70" t="n">
        <f aca="false">C110</f>
        <v>10.0131711659833</v>
      </c>
      <c r="D120" s="70" t="n">
        <f aca="false">D110</f>
        <v>10.435397238472</v>
      </c>
      <c r="E120" s="70" t="n">
        <f aca="false">E110</f>
        <v>10.8595868294008</v>
      </c>
      <c r="F120" s="70" t="n">
        <f aca="false">F110</f>
        <v>11.1435152337309</v>
      </c>
      <c r="G120" s="70" t="n">
        <f aca="false">G110</f>
        <v>11.3972832502707</v>
      </c>
      <c r="I120" s="7" t="s">
        <v>1373</v>
      </c>
    </row>
    <row r="121" customFormat="false" ht="15" hidden="true" customHeight="false" outlineLevel="2" collapsed="false">
      <c r="A121" s="3" t="s">
        <v>1374</v>
      </c>
      <c r="B121" s="12" t="s">
        <v>93</v>
      </c>
      <c r="C121" s="46" t="n">
        <f aca="false">運營_產能與收入!C17</f>
        <v>13.19175</v>
      </c>
      <c r="D121" s="46" t="n">
        <f aca="false">運營_產能與收入!D17</f>
        <v>26.3835</v>
      </c>
      <c r="E121" s="46" t="n">
        <f aca="false">運營_產能與收入!E17</f>
        <v>25.74</v>
      </c>
      <c r="F121" s="46" t="n">
        <f aca="false">運營_產能與收入!F17</f>
        <v>25.0965</v>
      </c>
      <c r="G121" s="46" t="n">
        <f aca="false">運營_產能與收入!G17</f>
        <v>17.69625</v>
      </c>
      <c r="I121" s="7" t="s">
        <v>1375</v>
      </c>
    </row>
    <row r="122" customFormat="false" ht="15" hidden="true" customHeight="false" outlineLevel="2" collapsed="false">
      <c r="A122" s="3" t="s">
        <v>1376</v>
      </c>
      <c r="B122" s="12" t="s">
        <v>179</v>
      </c>
      <c r="C122" s="68" t="n">
        <f aca="false">運營_產能與收入!C12</f>
        <v>1525</v>
      </c>
      <c r="D122" s="68" t="n">
        <f aca="false">運營_產能與收入!D12</f>
        <v>2300</v>
      </c>
      <c r="E122" s="68" t="n">
        <f aca="false">運營_產能與收入!E12</f>
        <v>3319.5</v>
      </c>
      <c r="F122" s="68" t="n">
        <f aca="false">運營_產能與收入!F12</f>
        <v>4117</v>
      </c>
      <c r="G122" s="68" t="n">
        <f aca="false">運營_產能與收入!G12</f>
        <v>4872.5</v>
      </c>
      <c r="I122" s="7" t="s">
        <v>1377</v>
      </c>
    </row>
    <row r="123" customFormat="false" ht="15" hidden="true" customHeight="false" outlineLevel="2" collapsed="false">
      <c r="A123" s="3" t="s">
        <v>1378</v>
      </c>
      <c r="B123" s="12" t="s">
        <v>77</v>
      </c>
      <c r="C123" s="55" t="n">
        <f aca="false">輸入與假設!C$28</f>
        <v>0.95</v>
      </c>
      <c r="D123" s="55" t="n">
        <f aca="false">輸入與假設!D$28</f>
        <v>0.95</v>
      </c>
      <c r="E123" s="55" t="n">
        <f aca="false">輸入與假設!E$28</f>
        <v>0.94</v>
      </c>
      <c r="F123" s="55" t="n">
        <f aca="false">輸入與假設!F$28</f>
        <v>0.93</v>
      </c>
      <c r="G123" s="55" t="n">
        <f aca="false">輸入與假設!G$28</f>
        <v>0.92</v>
      </c>
    </row>
    <row r="124" customFormat="false" ht="15" hidden="true" customHeight="false" outlineLevel="2" collapsed="false">
      <c r="A124" s="3" t="s">
        <v>1379</v>
      </c>
      <c r="B124" s="12" t="s">
        <v>93</v>
      </c>
      <c r="C124" s="70" t="n">
        <f aca="false">C122*C120/1000*輸入與假設!$C$118*C123*輸入與假設!C$24</f>
        <v>6.46282060827451</v>
      </c>
      <c r="D124" s="70" t="n">
        <f aca="false">D122*D120/1000*輸入與假設!$C$118*D123*輸入與假設!D$24</f>
        <v>20.3164318091541</v>
      </c>
      <c r="E124" s="70" t="n">
        <f aca="false">E122*E120/1000*輸入與假設!$C$118*E123*輸入與假設!E$24</f>
        <v>30.1926224610405</v>
      </c>
      <c r="F124" s="70" t="n">
        <f aca="false">F122*F120/1000*輸入與假設!$C$118*F123*輸入與假設!F$24</f>
        <v>38.0165790885329</v>
      </c>
      <c r="G124" s="70" t="n">
        <f aca="false">G122*G120/1000*輸入與假設!$C$118*G123*輸入與假設!G$24</f>
        <v>45.5227012535197</v>
      </c>
      <c r="I124" s="7" t="s">
        <v>1380</v>
      </c>
    </row>
    <row r="125" customFormat="false" ht="15" hidden="true" customHeight="false" outlineLevel="2" collapsed="false">
      <c r="A125" s="4" t="s">
        <v>1381</v>
      </c>
      <c r="B125" s="12" t="s">
        <v>77</v>
      </c>
      <c r="C125" s="71" t="n">
        <f aca="false">C121/MAX(0.000000001,C124)</f>
        <v>2.04117533188377</v>
      </c>
      <c r="D125" s="71" t="n">
        <f aca="false">D121/MAX(0.000000001,D124)</f>
        <v>1.29862862966479</v>
      </c>
      <c r="E125" s="71" t="n">
        <f aca="false">E121/MAX(0.000000001,E124)</f>
        <v>0.852526143868887</v>
      </c>
      <c r="F125" s="71" t="n">
        <f aca="false">F121/MAX(0.000000001,F124)</f>
        <v>0.660146194152697</v>
      </c>
      <c r="G125" s="71" t="n">
        <f aca="false">G121/MAX(0.000000001,G124)</f>
        <v>0.388734620589585</v>
      </c>
      <c r="I125" s="7" t="s">
        <v>1382</v>
      </c>
    </row>
    <row r="126" customFormat="false" ht="15" hidden="true" customHeight="false" outlineLevel="2" collapsed="false">
      <c r="A126" s="4" t="s">
        <v>1383</v>
      </c>
      <c r="B126" s="7" t="s">
        <v>361</v>
      </c>
      <c r="C126" s="58" t="n">
        <f aca="true">輸入與假設!$C$118*TK_HoldEcon_GB300/OFFSET(TK_HoldEcon_GB300,0,輸入與假設!$C$38-2)</f>
        <v>0.891019087752599</v>
      </c>
      <c r="D126" s="58" t="n">
        <f aca="true">輸入與假設!$C$118*TK_HoldEcon_GB300/OFFSET(TK_HoldEcon_GB300,0,輸入與假設!$C$38-2)</f>
        <v>0.891019087752599</v>
      </c>
      <c r="E126" s="58" t="n">
        <f aca="true">輸入與假設!$C$118*TK_HoldEcon_GB300/OFFSET(TK_HoldEcon_GB300,0,輸入與假設!$C$38-2)</f>
        <v>0.891019087752599</v>
      </c>
      <c r="F126" s="58" t="n">
        <f aca="true">輸入與假設!$C$118*TK_HoldEcon_GB300/OFFSET(TK_HoldEcon_GB300,0,輸入與假設!$C$38-2)</f>
        <v>0.891019087752599</v>
      </c>
      <c r="G126" s="58" t="n">
        <f aca="true">輸入與假設!$C$118*TK_HoldEcon_GB300/OFFSET(TK_HoldEcon_GB300,0,輸入與假設!$C$38-2)</f>
        <v>0.891019087752599</v>
      </c>
      <c r="I126" s="7" t="s">
        <v>1384</v>
      </c>
    </row>
    <row r="127" customFormat="false" ht="15" hidden="true" customHeight="false" outlineLevel="2" collapsed="false">
      <c r="A127" s="4" t="s">
        <v>1385</v>
      </c>
      <c r="B127" s="7" t="s">
        <v>361</v>
      </c>
      <c r="C127" s="58" t="n">
        <f aca="true">輸入與假設!$C$119*TK_GPUhrEcon_H100/OFFSET(TK_GPUhrEcon_H100,0,輸入與假設!$C$38-2)</f>
        <v>1.82808654921445</v>
      </c>
      <c r="D127" s="58" t="n">
        <f aca="true">輸入與假設!$C$119*TK_GPUhrEcon_H100/OFFSET(TK_GPUhrEcon_H100,0,輸入與假設!$C$38-2)</f>
        <v>1.82808654921445</v>
      </c>
      <c r="E127" s="58" t="n">
        <f aca="true">輸入與假設!$C$119*TK_GPUhrEcon_H100/OFFSET(TK_GPUhrEcon_H100,0,輸入與假設!$C$38-2)</f>
        <v>1.82808654921445</v>
      </c>
      <c r="F127" s="58" t="n">
        <f aca="true">輸入與假設!$C$119*TK_GPUhrEcon_H100/OFFSET(TK_GPUhrEcon_H100,0,輸入與假設!$C$38-2)</f>
        <v>1.82808654921445</v>
      </c>
      <c r="G127" s="58" t="n">
        <f aca="true">輸入與假設!$C$119*TK_GPUhrEcon_H100/OFFSET(TK_GPUhrEcon_H100,0,輸入與假設!$C$38-2)</f>
        <v>1.82808654921445</v>
      </c>
      <c r="I127" s="7" t="s">
        <v>1386</v>
      </c>
    </row>
    <row r="128" customFormat="false" ht="15" hidden="true" customHeight="false" outlineLevel="2" collapsed="false">
      <c r="A128" s="3" t="s">
        <v>1387</v>
      </c>
      <c r="B128" s="12" t="s">
        <v>77</v>
      </c>
      <c r="C128" s="55" t="n">
        <f aca="false">輸入與假設!$C$120</f>
        <v>0</v>
      </c>
      <c r="D128" s="55" t="n">
        <f aca="false">輸入與假設!$C$120</f>
        <v>0</v>
      </c>
      <c r="E128" s="55" t="n">
        <f aca="false">輸入與假設!$C$120</f>
        <v>0</v>
      </c>
      <c r="F128" s="55" t="n">
        <f aca="false">輸入與假設!$C$120</f>
        <v>0</v>
      </c>
      <c r="G128" s="55" t="n">
        <f aca="false">輸入與假設!$C$120</f>
        <v>0</v>
      </c>
      <c r="I128" s="7" t="s">
        <v>1388</v>
      </c>
    </row>
    <row r="129" customFormat="false" ht="15" hidden="true" customHeight="false" outlineLevel="2" collapsed="false">
      <c r="A129" s="3" t="s">
        <v>1389</v>
      </c>
      <c r="B129" s="12" t="s">
        <v>77</v>
      </c>
      <c r="C129" s="55" t="n">
        <f aca="false">輸入與假設!$C$122</f>
        <v>0</v>
      </c>
      <c r="D129" s="55" t="n">
        <f aca="false">輸入與假設!$C$122</f>
        <v>0</v>
      </c>
      <c r="E129" s="55" t="n">
        <f aca="false">輸入與假設!$C$122</f>
        <v>0</v>
      </c>
      <c r="F129" s="55" t="n">
        <f aca="false">輸入與假設!$C$122</f>
        <v>0</v>
      </c>
      <c r="G129" s="55" t="n">
        <f aca="false">輸入與假設!$C$122</f>
        <v>0</v>
      </c>
      <c r="I129" s="7" t="s">
        <v>1390</v>
      </c>
    </row>
    <row r="130" customFormat="false" ht="15" hidden="true" customHeight="false" outlineLevel="2" collapsed="false">
      <c r="A130" s="4" t="s">
        <v>1391</v>
      </c>
      <c r="B130" s="7" t="s">
        <v>361</v>
      </c>
      <c r="C130" s="58" t="n">
        <f aca="false">C128*C127+(1-C128)*C126*(1+C129)</f>
        <v>0.891019087752599</v>
      </c>
      <c r="D130" s="58" t="n">
        <f aca="false">D128*D127+(1-D128)*D126*(1+D129)</f>
        <v>0.891019087752599</v>
      </c>
      <c r="E130" s="58" t="n">
        <f aca="false">E128*E127+(1-E128)*E126*(1+E129)</f>
        <v>0.891019087752599</v>
      </c>
      <c r="F130" s="58" t="n">
        <f aca="false">F128*F127+(1-F128)*F126*(1+F129)</f>
        <v>0.891019087752599</v>
      </c>
      <c r="G130" s="58" t="n">
        <f aca="false">G128*G127+(1-G128)*G126*(1+G129)</f>
        <v>0.891019087752599</v>
      </c>
      <c r="I130" s="12" t="s">
        <v>1392</v>
      </c>
    </row>
    <row r="131" customFormat="false" ht="15" hidden="true" customHeight="false" outlineLevel="2" collapsed="false">
      <c r="A131" s="3" t="s">
        <v>1393</v>
      </c>
      <c r="B131" s="12" t="s">
        <v>179</v>
      </c>
      <c r="C131" s="72" t="n">
        <f aca="false">輸入與假設!$C$41</f>
        <v>1500</v>
      </c>
      <c r="D131" s="72" t="n">
        <f aca="false">C132</f>
        <v>1500</v>
      </c>
      <c r="E131" s="72" t="n">
        <f aca="false">D132</f>
        <v>1500</v>
      </c>
      <c r="F131" s="72" t="n">
        <f aca="false">E132</f>
        <v>1500</v>
      </c>
      <c r="G131" s="72" t="n">
        <f aca="false">F132</f>
        <v>1430</v>
      </c>
      <c r="I131" s="7" t="s">
        <v>1394</v>
      </c>
    </row>
    <row r="132" customFormat="false" ht="15" hidden="true" customHeight="false" outlineLevel="2" collapsed="false">
      <c r="A132" s="3" t="s">
        <v>1395</v>
      </c>
      <c r="B132" s="12" t="s">
        <v>179</v>
      </c>
      <c r="C132" s="72" t="n">
        <f aca="false">MAX(0,C131-C32)</f>
        <v>1500</v>
      </c>
      <c r="D132" s="72" t="n">
        <f aca="false">MAX(0,D131-D32)</f>
        <v>1500</v>
      </c>
      <c r="E132" s="72" t="n">
        <f aca="false">MAX(0,E131-E32)</f>
        <v>1500</v>
      </c>
      <c r="F132" s="72" t="n">
        <f aca="false">MAX(0,F131-F32)</f>
        <v>1430</v>
      </c>
      <c r="G132" s="72" t="n">
        <f aca="false">MAX(0,G131-G32)</f>
        <v>1140</v>
      </c>
      <c r="I132" s="7" t="s">
        <v>1396</v>
      </c>
    </row>
    <row r="133" customFormat="false" ht="15" hidden="true" customHeight="false" outlineLevel="2" collapsed="false">
      <c r="A133" s="3" t="s">
        <v>1397</v>
      </c>
      <c r="B133" s="12" t="s">
        <v>77</v>
      </c>
      <c r="C133" s="71" t="n">
        <f aca="false">輸入與假設!$C$121*(C131+C132)/2/MAX(0.000000001,C50)</f>
        <v>0.895522388059702</v>
      </c>
      <c r="D133" s="71" t="n">
        <f aca="false">輸入與假設!$C$121*(D131+D132)/2/MAX(0.000000001,D50)</f>
        <v>0.606060606060606</v>
      </c>
      <c r="E133" s="71" t="n">
        <f aca="false">輸入與假設!$C$121*(E131+E132)/2/MAX(0.000000001,E50)</f>
        <v>0.422535211267606</v>
      </c>
      <c r="F133" s="71" t="n">
        <f aca="false">輸入與假設!$C$121*(F131+F132)/2/MAX(0.000000001,F50)</f>
        <v>0.332954545454545</v>
      </c>
      <c r="G133" s="71" t="n">
        <f aca="false">輸入與假設!$C$121*(G131+G132)/2/MAX(0.000000001,G50)</f>
        <v>0.247115384615385</v>
      </c>
    </row>
    <row r="134" customFormat="false" ht="15" hidden="true" customHeight="false" outlineLevel="2" collapsed="false">
      <c r="A134" s="4" t="s">
        <v>1398</v>
      </c>
      <c r="B134" s="12" t="s">
        <v>396</v>
      </c>
      <c r="C134" s="58" t="n">
        <f aca="false">輸入與假設!$C$142*4/(輸入與假設!$C$41-輸入與假設!$C$155/2)*1000</f>
        <v>8.24</v>
      </c>
      <c r="D134" s="58"/>
      <c r="E134" s="58"/>
      <c r="F134" s="58"/>
      <c r="G134" s="58"/>
      <c r="I134" s="12" t="s">
        <v>1399</v>
      </c>
    </row>
    <row r="135" customFormat="false" ht="15" hidden="true" customHeight="false" outlineLevel="2" collapsed="false">
      <c r="A135" s="4" t="s">
        <v>1400</v>
      </c>
      <c r="B135" s="12" t="s">
        <v>396</v>
      </c>
      <c r="C135" s="58" t="n">
        <f aca="false">輸入與假設!C$33/輸入與假設!C$24/(輸入與假設!$C$41-輸入與假設!$C$155/2)*1000</f>
        <v>0.48</v>
      </c>
      <c r="D135" s="58"/>
      <c r="E135" s="58"/>
      <c r="F135" s="58"/>
      <c r="G135" s="58"/>
      <c r="I135" s="12" t="s">
        <v>1401</v>
      </c>
    </row>
    <row r="136" customFormat="false" ht="15" hidden="true" customHeight="false" outlineLevel="2" collapsed="false">
      <c r="A136" s="4" t="s">
        <v>1402</v>
      </c>
      <c r="B136" s="12" t="s">
        <v>77</v>
      </c>
      <c r="C136" s="71" t="n">
        <f aca="false">輸入與假設!$C$20/輸入與假設!$C$41</f>
        <v>0.9</v>
      </c>
      <c r="D136" s="71"/>
      <c r="E136" s="71"/>
      <c r="F136" s="71"/>
      <c r="G136" s="71"/>
      <c r="I136" s="12" t="s">
        <v>227</v>
      </c>
    </row>
    <row r="137" customFormat="false" ht="15" hidden="true" customHeight="false" outlineLevel="2" collapsed="false">
      <c r="A137" s="4" t="s">
        <v>1403</v>
      </c>
      <c r="B137" s="12" t="s">
        <v>77</v>
      </c>
      <c r="C137" s="71" t="n">
        <f aca="false">輸入與假設!C$28</f>
        <v>0.95</v>
      </c>
      <c r="D137" s="71"/>
      <c r="E137" s="71"/>
      <c r="F137" s="71"/>
      <c r="G137" s="71"/>
      <c r="I137" s="12" t="s">
        <v>1404</v>
      </c>
    </row>
    <row r="138" customFormat="false" ht="15" hidden="true" customHeight="false" outlineLevel="2" collapsed="false">
      <c r="A138" s="4" t="s">
        <v>1405</v>
      </c>
      <c r="B138" s="12" t="s">
        <v>396</v>
      </c>
      <c r="C138" s="58" t="n">
        <f aca="false">輸入與假設!$C$42*輸入與假設!$E$112+輸入與假設!$C$43*輸入與假設!$E$113+輸入與假設!$C$44*輸入與假設!$E$114+輸入與假設!$C$45*輸入與假設!$E$115+輸入與假設!$C$46*輸入與假設!$E$116</f>
        <v>9.95931891194512</v>
      </c>
      <c r="D138" s="58"/>
      <c r="E138" s="58"/>
      <c r="F138" s="58"/>
      <c r="G138" s="58"/>
      <c r="I138" s="7" t="s">
        <v>1406</v>
      </c>
    </row>
    <row r="139" customFormat="false" ht="15" hidden="true" customHeight="false" outlineLevel="2" collapsed="false">
      <c r="A139" s="4" t="s">
        <v>1407</v>
      </c>
      <c r="B139" s="7" t="s">
        <v>361</v>
      </c>
      <c r="C139" s="59" t="n">
        <f aca="false">($C$134-$C$135)/($C$136*$C$137*$C$138)</f>
        <v>0.91130964597661</v>
      </c>
      <c r="D139" s="59" t="n">
        <f aca="false">($C$134-$C$135)/($C$136*$C$137*$C$138)</f>
        <v>0.91130964597661</v>
      </c>
      <c r="E139" s="59" t="n">
        <f aca="false">($C$134-$C$135)/($C$136*$C$137*$C$138)</f>
        <v>0.91130964597661</v>
      </c>
      <c r="F139" s="59" t="n">
        <f aca="false">($C$134-$C$135)/($C$136*$C$137*$C$138)</f>
        <v>0.91130964597661</v>
      </c>
      <c r="G139" s="59" t="n">
        <f aca="false">($C$134-$C$135)/($C$136*$C$137*$C$138)</f>
        <v>0.91130964597661</v>
      </c>
      <c r="I139" s="7" t="s">
        <v>1408</v>
      </c>
    </row>
    <row r="140" customFormat="false" ht="15" hidden="true" customHeight="false" outlineLevel="2" collapsed="false">
      <c r="A140" s="3" t="s">
        <v>367</v>
      </c>
      <c r="B140" s="7"/>
      <c r="C140" s="68" t="n">
        <f aca="false">輸入與假設!$C$121</f>
        <v>1</v>
      </c>
      <c r="D140" s="68" t="n">
        <f aca="false">輸入與假設!$C$121</f>
        <v>1</v>
      </c>
      <c r="E140" s="68" t="n">
        <f aca="false">輸入與假設!$C$121</f>
        <v>1</v>
      </c>
      <c r="F140" s="68" t="n">
        <f aca="false">輸入與假設!$C$121</f>
        <v>1</v>
      </c>
      <c r="G140" s="68" t="n">
        <f aca="false">輸入與假設!$C$121</f>
        <v>1</v>
      </c>
    </row>
    <row r="141" customFormat="false" ht="15" hidden="true" customHeight="false" outlineLevel="2" collapsed="false">
      <c r="A141" s="3" t="s">
        <v>1409</v>
      </c>
      <c r="B141" s="7" t="s">
        <v>361</v>
      </c>
      <c r="C141" s="59" t="n">
        <f aca="false">C133*C139+(1-C133)*C130</f>
        <v>0.90918973690843</v>
      </c>
      <c r="D141" s="59" t="n">
        <f aca="false">D133*D139+(1-D133)*D130</f>
        <v>0.903316395767151</v>
      </c>
      <c r="E141" s="59" t="n">
        <f aca="false">E133*E139+(1-E133)*E130</f>
        <v>0.899592563058519</v>
      </c>
      <c r="F141" s="59" t="n">
        <f aca="false">F133*F139+(1-F133)*F130</f>
        <v>0.897774921343093</v>
      </c>
      <c r="G141" s="59" t="n">
        <f aca="false">G133*G139+(1-G133)*G130</f>
        <v>0.896033196852186</v>
      </c>
    </row>
    <row r="142" customFormat="false" ht="15" hidden="true" customHeight="false" outlineLevel="2" collapsed="false">
      <c r="A142" s="4" t="s">
        <v>1410</v>
      </c>
      <c r="B142" s="12" t="s">
        <v>396</v>
      </c>
      <c r="C142" s="42" t="n">
        <f aca="false">C120*C141</f>
        <v>9.1038724580194</v>
      </c>
      <c r="D142" s="42" t="n">
        <f aca="false">D120*D141</f>
        <v>9.426465421855</v>
      </c>
      <c r="E142" s="42" t="n">
        <f aca="false">E120*E141</f>
        <v>9.76920354961724</v>
      </c>
      <c r="F142" s="42" t="n">
        <f aca="false">F120*F141</f>
        <v>10.0043685124483</v>
      </c>
      <c r="G142" s="42" t="n">
        <f aca="false">G120*G141</f>
        <v>10.2123441461699</v>
      </c>
      <c r="I142" s="7" t="s">
        <v>1411</v>
      </c>
    </row>
    <row r="143" customFormat="false" ht="15" hidden="true" customHeight="false" outlineLevel="2" collapsed="false">
      <c r="A143" s="3" t="s">
        <v>1412</v>
      </c>
      <c r="B143" s="12" t="s">
        <v>77</v>
      </c>
      <c r="C143" s="71" t="n">
        <f aca="false">C142/MAX(0.000000001,C103)-1</f>
        <v>-0.187154244819697</v>
      </c>
      <c r="D143" s="71" t="n">
        <f aca="false">D142/MAX(0.000000001,D103)-1</f>
        <v>-0.180307354621304</v>
      </c>
      <c r="E143" s="71" t="n">
        <f aca="false">E142/MAX(0.000000001,E103)-1</f>
        <v>-0.150504039163719</v>
      </c>
      <c r="F143" s="71" t="n">
        <f aca="false">F142/MAX(0.000000001,F103)-1</f>
        <v>-0.0905119534137903</v>
      </c>
      <c r="G143" s="71" t="n">
        <f aca="false">G142/MAX(0.000000001,G103)-1</f>
        <v>-0.0273957956028632</v>
      </c>
    </row>
    <row r="144" customFormat="false" ht="15" hidden="true" customHeight="false" outlineLevel="2" collapsed="false">
      <c r="A144" s="3" t="s">
        <v>1413</v>
      </c>
      <c r="B144" s="12" t="s">
        <v>396</v>
      </c>
      <c r="C144" s="70" t="n">
        <f aca="false">SUMPRODUCT(C51:C55,輸入與假設!$C$124:$C$128)</f>
        <v>19.1007066129953</v>
      </c>
      <c r="D144" s="70" t="n">
        <f aca="false">SUMPRODUCT(D51:D55,輸入與假設!$C$124:$C$128)</f>
        <v>24.166048949397</v>
      </c>
      <c r="E144" s="70" t="n">
        <f aca="false">SUMPRODUCT(E51:E55,輸入與假設!$C$124:$C$128)</f>
        <v>29.6255436770286</v>
      </c>
      <c r="F144" s="70" t="n">
        <f aca="false">SUMPRODUCT(F51:F55,輸入與假設!$C$124:$C$128)</f>
        <v>33.6706784591683</v>
      </c>
      <c r="G144" s="70" t="n">
        <f aca="false">SUMPRODUCT(G51:G55,輸入與假設!$C$124:$C$128)</f>
        <v>37.5344871827071</v>
      </c>
      <c r="I144" s="12" t="s">
        <v>1414</v>
      </c>
    </row>
    <row r="145" customFormat="false" ht="15" hidden="true" customHeight="false" outlineLevel="2" collapsed="false">
      <c r="A145" s="3" t="s">
        <v>1415</v>
      </c>
      <c r="B145" s="12" t="s">
        <v>77</v>
      </c>
      <c r="C145" s="75" t="n">
        <f aca="false">C102/MAX(0.000000001,C144)</f>
        <v>0.45279365891282</v>
      </c>
      <c r="D145" s="75" t="n">
        <f aca="false">D102/MAX(0.000000001,D144)</f>
        <v>0.370567078197766</v>
      </c>
      <c r="E145" s="75" t="n">
        <f aca="false">E102/MAX(0.000000001,E144)</f>
        <v>0.309970727854039</v>
      </c>
      <c r="F145" s="75" t="n">
        <f aca="false">F102/MAX(0.000000001,F144)</f>
        <v>0.276325370985909</v>
      </c>
      <c r="G145" s="75" t="n">
        <f aca="false">G102/MAX(0.000000001,G144)</f>
        <v>0.25031264097848</v>
      </c>
      <c r="I145" s="7" t="s">
        <v>1416</v>
      </c>
    </row>
    <row r="146" customFormat="false" ht="15" hidden="true" customHeight="false" outlineLevel="2" collapsed="false">
      <c r="A146" s="3" t="s">
        <v>1417</v>
      </c>
      <c r="B146" s="7"/>
      <c r="C146" s="42" t="str">
        <f aca="false">IF(C145&gt;0.5,"警示","通過")</f>
        <v>通過</v>
      </c>
      <c r="D146" s="42" t="str">
        <f aca="false">IF(D145&gt;0.5,"警示","通過")</f>
        <v>通過</v>
      </c>
      <c r="E146" s="42" t="str">
        <f aca="false">IF(E145&gt;0.5,"警示","通過")</f>
        <v>通過</v>
      </c>
      <c r="F146" s="42" t="str">
        <f aca="false">IF(F145&gt;0.5,"警示","通過")</f>
        <v>通過</v>
      </c>
      <c r="G146" s="42" t="str">
        <f aca="false">IF(G145&gt;0.5,"警示","通過")</f>
        <v>通過</v>
      </c>
    </row>
    <row r="147" customFormat="false" ht="15" hidden="false" customHeight="false" outlineLevel="1" collapsed="true">
      <c r="A147" s="20" t="s">
        <v>1418</v>
      </c>
      <c r="B147" s="21"/>
      <c r="C147" s="21"/>
      <c r="D147" s="21"/>
      <c r="E147" s="21"/>
      <c r="F147" s="21"/>
      <c r="G147" s="21"/>
      <c r="H147" s="21"/>
    </row>
    <row r="148" customFormat="false" ht="17.15" hidden="true" customHeight="false" outlineLevel="2" collapsed="false">
      <c r="A148" s="15" t="s">
        <v>1419</v>
      </c>
      <c r="B148" s="15" t="s">
        <v>88</v>
      </c>
      <c r="C148" s="15" t="s">
        <v>1420</v>
      </c>
      <c r="D148" s="16" t="s">
        <v>1421</v>
      </c>
      <c r="E148" s="15" t="s">
        <v>1422</v>
      </c>
      <c r="F148" s="15" t="s">
        <v>1423</v>
      </c>
      <c r="G148" s="16" t="s">
        <v>1424</v>
      </c>
      <c r="I148" s="12" t="s">
        <v>1425</v>
      </c>
    </row>
    <row r="149" customFormat="false" ht="15" hidden="true" customHeight="false" outlineLevel="2" collapsed="false">
      <c r="A149" s="4" t="s">
        <v>1426</v>
      </c>
      <c r="B149" s="12" t="s">
        <v>1427</v>
      </c>
      <c r="C149" s="38" t="n">
        <v>9.7</v>
      </c>
      <c r="D149" s="81" t="n">
        <f aca="false">TK_HoldEcon_GB300</f>
        <v>10.8864110021101</v>
      </c>
      <c r="E149" s="82" t="n">
        <f aca="false">C149/D149</f>
        <v>0.891019087752599</v>
      </c>
      <c r="F149" s="4" t="s">
        <v>1428</v>
      </c>
      <c r="G149" s="31" t="n">
        <v>0.762294172995921</v>
      </c>
      <c r="I149" s="12" t="s">
        <v>1429</v>
      </c>
    </row>
    <row r="150" customFormat="false" ht="15" hidden="true" customHeight="false" outlineLevel="2" collapsed="false">
      <c r="A150" s="4" t="s">
        <v>1430</v>
      </c>
      <c r="B150" s="12" t="s">
        <v>1427</v>
      </c>
      <c r="C150" s="38" t="n">
        <v>11.333</v>
      </c>
      <c r="D150" s="81" t="n">
        <f aca="false">TK_HoldEcon_GB300</f>
        <v>10.8864110021101</v>
      </c>
      <c r="E150" s="82" t="n">
        <f aca="false">C150/D150</f>
        <v>1.04102261046394</v>
      </c>
      <c r="F150" s="4" t="s">
        <v>1431</v>
      </c>
      <c r="G150" s="31" t="n">
        <v>0.890626789954925</v>
      </c>
      <c r="I150" s="12" t="s">
        <v>1432</v>
      </c>
    </row>
    <row r="151" customFormat="false" ht="15" hidden="true" customHeight="false" outlineLevel="2" collapsed="false">
      <c r="A151" s="4" t="s">
        <v>1433</v>
      </c>
      <c r="B151" s="12" t="s">
        <v>1427</v>
      </c>
      <c r="C151" s="38" t="n">
        <v>13.333</v>
      </c>
      <c r="D151" s="81" t="n">
        <f aca="false">TK_HoldEcon_GB300</f>
        <v>10.8864110021101</v>
      </c>
      <c r="E151" s="82" t="n">
        <f aca="false">C151/D151</f>
        <v>1.22473788628922</v>
      </c>
      <c r="F151" s="4" t="s">
        <v>1434</v>
      </c>
      <c r="G151" s="31" t="n">
        <v>1.04780084624274</v>
      </c>
      <c r="I151" s="12" t="s">
        <v>1435</v>
      </c>
    </row>
    <row r="152" customFormat="false" ht="15" hidden="true" customHeight="false" outlineLevel="2" collapsed="false">
      <c r="A152" s="4" t="s">
        <v>1436</v>
      </c>
      <c r="B152" s="12" t="s">
        <v>1349</v>
      </c>
      <c r="C152" s="38" t="n">
        <v>2.82</v>
      </c>
      <c r="D152" s="81" t="n">
        <f aca="false">TK_GPUhrEcon_H100</f>
        <v>1.54259654785589</v>
      </c>
      <c r="E152" s="82" t="n">
        <f aca="false">C152/D152</f>
        <v>1.82808654921445</v>
      </c>
      <c r="F152" s="4" t="s">
        <v>1437</v>
      </c>
      <c r="G152" s="31" t="n">
        <v>1.7569773191393</v>
      </c>
      <c r="I152" s="12" t="s">
        <v>1438</v>
      </c>
    </row>
    <row r="153" customFormat="false" ht="15" hidden="true" customHeight="false" outlineLevel="2" collapsed="false">
      <c r="A153" s="4" t="s">
        <v>1439</v>
      </c>
      <c r="B153" s="12" t="s">
        <v>1349</v>
      </c>
      <c r="C153" s="38" t="n">
        <v>6.82</v>
      </c>
      <c r="D153" s="81" t="n">
        <f aca="false">TK_GPUhrEcon_GB300</f>
        <v>2.55178761329595</v>
      </c>
      <c r="E153" s="82" t="n">
        <f aca="false">C153/D153</f>
        <v>2.67263621959162</v>
      </c>
      <c r="F153" s="4" t="s">
        <v>1431</v>
      </c>
      <c r="G153" s="31" t="n">
        <v>2.28652230321044</v>
      </c>
      <c r="I153" s="12" t="s">
        <v>1440</v>
      </c>
    </row>
    <row r="154" customFormat="false" ht="15" hidden="true" customHeight="false" outlineLevel="2" collapsed="false">
      <c r="A154" s="4" t="s">
        <v>1441</v>
      </c>
      <c r="B154" s="12" t="s">
        <v>1349</v>
      </c>
      <c r="C154" s="38" t="n">
        <v>4.08</v>
      </c>
      <c r="D154" s="81" t="n">
        <f aca="false">TK_GPUhrEcon_GB200</f>
        <v>2.00846099652078</v>
      </c>
      <c r="E154" s="82" t="n">
        <f aca="false">C154/D154</f>
        <v>2.03140613985918</v>
      </c>
      <c r="F154" s="4" t="s">
        <v>1431</v>
      </c>
      <c r="G154" s="31" t="n">
        <v>1.95547106037349</v>
      </c>
      <c r="I154" s="12" t="s">
        <v>1442</v>
      </c>
    </row>
    <row r="155" customFormat="false" ht="15" hidden="true" customHeight="false" outlineLevel="2" collapsed="false">
      <c r="A155" s="4" t="s">
        <v>1443</v>
      </c>
      <c r="B155" s="12" t="s">
        <v>1349</v>
      </c>
      <c r="C155" s="38" t="n">
        <v>5.87</v>
      </c>
      <c r="D155" s="81" t="n">
        <f aca="false">TK_GPUhrEcon_GB200</f>
        <v>2.00846099652078</v>
      </c>
      <c r="E155" s="82" t="n">
        <f aca="false">C155/D155</f>
        <v>2.92263579435622</v>
      </c>
      <c r="F155" s="4" t="s">
        <v>1434</v>
      </c>
      <c r="G155" s="31" t="n">
        <v>2.8133860599001</v>
      </c>
      <c r="I155" s="12" t="s">
        <v>1444</v>
      </c>
    </row>
    <row r="156" customFormat="false" ht="15" hidden="true" customHeight="false" outlineLevel="2" collapsed="false">
      <c r="A156" s="4" t="s">
        <v>1445</v>
      </c>
      <c r="B156" s="12" t="s">
        <v>1349</v>
      </c>
      <c r="C156" s="38" t="n">
        <v>7.85</v>
      </c>
      <c r="D156" s="81" t="n">
        <f aca="false">TK_GPUhrEcon_GB300</f>
        <v>2.55178761329595</v>
      </c>
      <c r="E156" s="82" t="n">
        <f aca="false">C156/D156</f>
        <v>3.0762748275358</v>
      </c>
      <c r="F156" s="4" t="s">
        <v>1434</v>
      </c>
      <c r="G156" s="31" t="n">
        <v>2.6318475190912</v>
      </c>
      <c r="I156" s="12" t="s">
        <v>1446</v>
      </c>
    </row>
    <row r="157" customFormat="false" ht="15" hidden="true" customHeight="false" outlineLevel="2" collapsed="false">
      <c r="A157" s="4" t="s">
        <v>1447</v>
      </c>
      <c r="B157" s="12" t="s">
        <v>1349</v>
      </c>
      <c r="C157" s="38" t="n">
        <v>10.5</v>
      </c>
      <c r="D157" s="81" t="n">
        <f aca="false">TK_GPUhrEcon_GB200</f>
        <v>2.00846099652078</v>
      </c>
      <c r="E157" s="82" t="n">
        <f aca="false">C157/D157</f>
        <v>5.22788344816701</v>
      </c>
      <c r="F157" s="4" t="s">
        <v>1434</v>
      </c>
      <c r="G157" s="31" t="n">
        <v>5.0324622877259</v>
      </c>
      <c r="I157" s="12" t="s">
        <v>1448</v>
      </c>
    </row>
    <row r="158" customFormat="false" ht="15" hidden="true" customHeight="false" outlineLevel="2" collapsed="false">
      <c r="A158" s="4" t="s">
        <v>1449</v>
      </c>
      <c r="B158" s="12" t="s">
        <v>1349</v>
      </c>
      <c r="C158" s="38" t="n">
        <v>6.155</v>
      </c>
      <c r="D158" s="81" t="n">
        <f aca="false">TK_GPUhrEcon_H100</f>
        <v>1.54259654785589</v>
      </c>
      <c r="E158" s="82" t="n">
        <f aca="false">C158/D158</f>
        <v>3.99002578383509</v>
      </c>
      <c r="F158" s="4" t="s">
        <v>1434</v>
      </c>
      <c r="G158" s="31" t="n">
        <v>3.8348210635824</v>
      </c>
      <c r="I158" s="12" t="s">
        <v>1450</v>
      </c>
    </row>
    <row r="159" customFormat="false" ht="15" hidden="true" customHeight="false" outlineLevel="2" collapsed="false">
      <c r="A159" s="4" t="s">
        <v>1451</v>
      </c>
      <c r="B159" s="12" t="s">
        <v>1427</v>
      </c>
      <c r="C159" s="38" t="n">
        <v>40</v>
      </c>
      <c r="D159" s="81" t="n">
        <f aca="false">TK_HoldEcon_GB300</f>
        <v>10.8864110021101</v>
      </c>
      <c r="E159" s="82" t="n">
        <f aca="false">C159/D159</f>
        <v>3.67430551650556</v>
      </c>
      <c r="F159" s="4" t="s">
        <v>1434</v>
      </c>
      <c r="G159" s="31" t="n">
        <v>3.14348112575638</v>
      </c>
      <c r="I159" s="12" t="s">
        <v>1452</v>
      </c>
    </row>
    <row r="160" customFormat="false" ht="15" hidden="true" customHeight="false" outlineLevel="2" collapsed="false">
      <c r="A160" s="3" t="s">
        <v>1453</v>
      </c>
      <c r="B160" s="7" t="s">
        <v>254</v>
      </c>
      <c r="C160" s="76" t="n">
        <v>5</v>
      </c>
      <c r="I160" s="12" t="s">
        <v>1454</v>
      </c>
    </row>
    <row r="161" customFormat="false" ht="15" hidden="true" customHeight="false" outlineLevel="2" collapsed="false">
      <c r="A161" s="3" t="s">
        <v>1455</v>
      </c>
      <c r="B161" s="7"/>
      <c r="C161" s="83" t="s">
        <v>1456</v>
      </c>
      <c r="I161" s="12" t="s">
        <v>1457</v>
      </c>
    </row>
    <row r="162" customFormat="false" ht="15" hidden="true" customHeight="false" outlineLevel="2" collapsed="false">
      <c r="A162" s="3" t="s">
        <v>1458</v>
      </c>
      <c r="B162" s="7"/>
      <c r="C162" s="76" t="s">
        <v>1459</v>
      </c>
      <c r="I162" s="7" t="s">
        <v>1460</v>
      </c>
    </row>
    <row r="163" customFormat="false" ht="15" hidden="true" customHeight="false" outlineLevel="2" collapsed="false">
      <c r="A163" s="3" t="s">
        <v>1461</v>
      </c>
      <c r="I163" s="12" t="s">
        <v>1462</v>
      </c>
    </row>
    <row r="164" customFormat="false" ht="15" hidden="true" customHeight="false" outlineLevel="2" collapsed="false">
      <c r="A164" s="3" t="s">
        <v>1463</v>
      </c>
      <c r="I164" s="12" t="s">
        <v>1464</v>
      </c>
    </row>
    <row r="165" customFormat="false" ht="15" hidden="true" customHeight="false" outlineLevel="2" collapsed="false">
      <c r="A165" s="3" t="s">
        <v>1465</v>
      </c>
      <c r="I165" s="7" t="s">
        <v>1466</v>
      </c>
    </row>
    <row r="166" customFormat="false" ht="15" hidden="false" customHeight="false" outlineLevel="1" collapsed="true">
      <c r="A166" s="20" t="s">
        <v>1467</v>
      </c>
      <c r="B166" s="21"/>
      <c r="C166" s="21"/>
      <c r="D166" s="21"/>
      <c r="E166" s="21"/>
      <c r="F166" s="21"/>
      <c r="G166" s="21"/>
      <c r="H166" s="21"/>
    </row>
    <row r="167" customFormat="false" ht="15" hidden="true" customHeight="false" outlineLevel="2" collapsed="false">
      <c r="A167" s="3" t="s">
        <v>1468</v>
      </c>
      <c r="B167" s="12" t="s">
        <v>396</v>
      </c>
      <c r="C167" s="84" t="n">
        <f aca="false">輸入與假設!C$168</f>
        <v>30.592814</v>
      </c>
      <c r="D167" s="84" t="n">
        <f aca="false">輸入與假設!D$168</f>
        <v>34.911788</v>
      </c>
      <c r="E167" s="84" t="n">
        <f aca="false">輸入與假設!E$168</f>
        <v>37.586352</v>
      </c>
      <c r="F167" s="84" t="n">
        <f aca="false">輸入與假設!F$168</f>
        <v>37.586352</v>
      </c>
      <c r="G167" s="84" t="n">
        <f aca="false">輸入與假設!G$168</f>
        <v>37.586352</v>
      </c>
    </row>
    <row r="168" customFormat="false" ht="15" hidden="true" customHeight="false" outlineLevel="2" collapsed="false">
      <c r="A168" s="4" t="s">
        <v>1469</v>
      </c>
      <c r="B168" s="12" t="s">
        <v>396</v>
      </c>
      <c r="C168" s="39" t="n">
        <f aca="false">SUMPRODUCT(輸入與假設!C$86:C$90,輸入與假設!$C$93:$C$97)</f>
        <v>30.592814</v>
      </c>
      <c r="D168" s="39" t="n">
        <f aca="false">SUMPRODUCT(輸入與假設!D$86:D$90,輸入與假設!$C$93:$C$97)</f>
        <v>34.911788</v>
      </c>
      <c r="E168" s="39" t="n">
        <f aca="false">SUMPRODUCT(輸入與假設!E$86:E$90,輸入與假設!$C$93:$C$97)</f>
        <v>37.586352</v>
      </c>
      <c r="F168" s="39" t="n">
        <f aca="false">SUMPRODUCT(輸入與假設!F$86:F$90,輸入與假設!$C$93:$C$97)</f>
        <v>37.586352</v>
      </c>
      <c r="G168" s="39" t="n">
        <f aca="false">SUMPRODUCT(輸入與假設!G$86:G$90,輸入與假設!$C$93:$C$97)</f>
        <v>37.586352</v>
      </c>
    </row>
    <row r="169" customFormat="false" ht="15" hidden="true" customHeight="false" outlineLevel="2" collapsed="false">
      <c r="A169" s="4" t="s">
        <v>1470</v>
      </c>
      <c r="B169" s="12" t="s">
        <v>396</v>
      </c>
      <c r="C169" s="39" t="n">
        <f aca="false">SUMPRODUCT(輸入與假設!C$86:C$90,輸入與假設!$D$93:$D$97)</f>
        <v>43.262814</v>
      </c>
      <c r="D169" s="39" t="n">
        <f aca="false">SUMPRODUCT(輸入與假設!D$86:D$90,輸入與假設!$D$93:$D$97)</f>
        <v>47.581788</v>
      </c>
      <c r="E169" s="39" t="n">
        <f aca="false">SUMPRODUCT(輸入與假設!E$86:E$90,輸入與假設!$D$93:$D$97)</f>
        <v>50.256352</v>
      </c>
      <c r="F169" s="39" t="n">
        <f aca="false">SUMPRODUCT(輸入與假設!F$86:F$90,輸入與假設!$D$93:$D$97)</f>
        <v>50.256352</v>
      </c>
      <c r="G169" s="39" t="n">
        <f aca="false">SUMPRODUCT(輸入與假設!G$86:G$90,輸入與假設!$D$93:$D$97)</f>
        <v>50.256352</v>
      </c>
      <c r="I169" s="12" t="s">
        <v>1471</v>
      </c>
    </row>
    <row r="170" customFormat="false" ht="15" hidden="true" customHeight="false" outlineLevel="2" collapsed="false">
      <c r="A170" s="4" t="s">
        <v>1472</v>
      </c>
      <c r="B170" s="12" t="s">
        <v>396</v>
      </c>
      <c r="C170" s="40" t="n">
        <v>34</v>
      </c>
      <c r="D170" s="40" t="n">
        <v>34</v>
      </c>
      <c r="E170" s="40" t="n">
        <v>34</v>
      </c>
      <c r="F170" s="40" t="n">
        <v>34</v>
      </c>
      <c r="G170" s="40" t="n">
        <v>34</v>
      </c>
      <c r="I170" s="7" t="s">
        <v>1473</v>
      </c>
    </row>
    <row r="171" customFormat="false" ht="15" hidden="true" customHeight="false" outlineLevel="2" collapsed="false">
      <c r="A171" s="3" t="s">
        <v>1474</v>
      </c>
      <c r="B171" s="12" t="s">
        <v>396</v>
      </c>
      <c r="C171" s="70" t="n">
        <f aca="false">SUMPRODUCT(C51:C55,輸入與假設!$C$93:$C$97)/輸入與假設!$C$162</f>
        <v>4.79148376721095</v>
      </c>
      <c r="D171" s="70" t="n">
        <f aca="false">SUMPRODUCT(D51:D55,輸入與假設!$C$93:$C$97)/輸入與假設!$C$162</f>
        <v>5.07259406131111</v>
      </c>
      <c r="E171" s="70" t="n">
        <f aca="false">SUMPRODUCT(E51:E55,輸入與假設!$C$93:$C$97)/輸入與假設!$C$162</f>
        <v>5.35501162959953</v>
      </c>
      <c r="F171" s="70" t="n">
        <f aca="false">SUMPRODUCT(F51:F55,輸入與假設!$C$93:$C$97)/輸入與假設!$C$162</f>
        <v>5.54404589926023</v>
      </c>
      <c r="G171" s="70" t="n">
        <f aca="false">SUMPRODUCT(G51:G55,輸入與假設!$C$93:$C$97)/輸入與假設!$C$162</f>
        <v>5.71299994168173</v>
      </c>
    </row>
    <row r="172" customFormat="false" ht="15" hidden="false" customHeight="false" outlineLevel="1" collapsed="true">
      <c r="A172" s="20" t="s">
        <v>1475</v>
      </c>
      <c r="B172" s="21"/>
      <c r="C172" s="21"/>
      <c r="D172" s="21"/>
      <c r="E172" s="21"/>
      <c r="F172" s="21"/>
      <c r="G172" s="21"/>
      <c r="H172" s="21"/>
    </row>
    <row r="173" customFormat="false" ht="15" hidden="true" customHeight="false" outlineLevel="2" collapsed="false">
      <c r="A173" s="3" t="s">
        <v>1476</v>
      </c>
      <c r="B173" s="12" t="s">
        <v>179</v>
      </c>
      <c r="C173" s="72" t="n">
        <f aca="false">輸入與假設!$C$41-輸入與假設!$C$155/2</f>
        <v>1250</v>
      </c>
      <c r="D173" s="72"/>
      <c r="E173" s="72"/>
      <c r="F173" s="72"/>
      <c r="G173" s="72"/>
      <c r="I173" s="7" t="s">
        <v>1477</v>
      </c>
    </row>
    <row r="174" customFormat="false" ht="15" hidden="true" customHeight="false" outlineLevel="2" collapsed="false">
      <c r="A174" s="3" t="s">
        <v>1478</v>
      </c>
      <c r="B174" s="12" t="s">
        <v>93</v>
      </c>
      <c r="C174" s="70" t="n">
        <f aca="false">輸入與假設!$C$143+輸入與假設!$C$144-輸入與假設!$C$149-輸入與假設!$C$150-輸入與假設!$C$151-輸入與假設!$C$152</f>
        <v>0.274</v>
      </c>
      <c r="D174" s="70"/>
      <c r="E174" s="70"/>
      <c r="F174" s="70"/>
      <c r="G174" s="70"/>
      <c r="I174" s="7" t="s">
        <v>1479</v>
      </c>
    </row>
    <row r="175" customFormat="false" ht="15" hidden="true" customHeight="false" outlineLevel="2" collapsed="false">
      <c r="A175" s="3" t="s">
        <v>1480</v>
      </c>
      <c r="B175" s="12" t="s">
        <v>396</v>
      </c>
      <c r="C175" s="58" t="n">
        <f aca="false">C174*4/C173*1000</f>
        <v>0.8768</v>
      </c>
      <c r="D175" s="58"/>
      <c r="E175" s="58"/>
      <c r="F175" s="58"/>
      <c r="G175" s="58"/>
    </row>
    <row r="176" customFormat="false" ht="15" hidden="true" customHeight="false" outlineLevel="2" collapsed="false">
      <c r="A176" s="3" t="s">
        <v>1481</v>
      </c>
      <c r="B176" s="12" t="s">
        <v>396</v>
      </c>
      <c r="C176" s="58" t="n">
        <f aca="false">C81+C82+C86+C87</f>
        <v>1.31399942517734</v>
      </c>
      <c r="D176" s="58" t="n">
        <f aca="false">D81+D82+D86+D87</f>
        <v>1.36186830804931</v>
      </c>
      <c r="E176" s="58" t="n">
        <f aca="false">E81+E82+E86+E87</f>
        <v>1.43368769161731</v>
      </c>
      <c r="F176" s="58" t="n">
        <f aca="false">F81+F82+F86+F87</f>
        <v>1.55470931483186</v>
      </c>
      <c r="G176" s="58" t="n">
        <f aca="false">G81+G82+G86+G87</f>
        <v>1.67426590900316</v>
      </c>
    </row>
    <row r="177" customFormat="false" ht="15" hidden="true" customHeight="false" outlineLevel="2" collapsed="false">
      <c r="A177" s="3" t="s">
        <v>1482</v>
      </c>
      <c r="B177" s="12" t="s">
        <v>396</v>
      </c>
      <c r="C177" s="59" t="n">
        <f aca="false">C176-C175</f>
        <v>0.437199425177343</v>
      </c>
      <c r="D177" s="59"/>
      <c r="E177" s="59"/>
      <c r="F177" s="59"/>
      <c r="G177" s="59"/>
      <c r="I177" s="7" t="s">
        <v>1483</v>
      </c>
    </row>
    <row r="178" customFormat="false" ht="15" hidden="true" customHeight="false" outlineLevel="2" collapsed="false">
      <c r="A178" s="3" t="s">
        <v>1484</v>
      </c>
      <c r="B178" s="12" t="s">
        <v>396</v>
      </c>
      <c r="C178" s="58" t="n">
        <f aca="false">(輸入與假設!$C$151+輸入與假設!$C$152)*4/C173*1000</f>
        <v>2.08</v>
      </c>
      <c r="D178" s="58"/>
      <c r="E178" s="58"/>
      <c r="F178" s="58"/>
      <c r="G178" s="58"/>
    </row>
    <row r="179" customFormat="false" ht="15" hidden="true" customHeight="false" outlineLevel="2" collapsed="false">
      <c r="A179" s="3" t="s">
        <v>1485</v>
      </c>
      <c r="B179" s="12" t="s">
        <v>396</v>
      </c>
      <c r="C179" s="58" t="n">
        <f aca="false">C97/C50/輸入與假設!C$24*1000</f>
        <v>1.6</v>
      </c>
      <c r="D179" s="58" t="n">
        <f aca="false">D97/D50/輸入與假設!D$24*1000</f>
        <v>1.59151515151515</v>
      </c>
      <c r="E179" s="58" t="n">
        <f aca="false">E97/E50/輸入與假設!E$24*1000</f>
        <v>1.33108587005906</v>
      </c>
      <c r="F179" s="58" t="n">
        <f aca="false">F97/F50/輸入與假設!F$24*1000</f>
        <v>1.16431818181818</v>
      </c>
      <c r="G179" s="58" t="n">
        <f aca="false">G97/G50/輸入與假設!G$24*1000</f>
        <v>0.998180473372781</v>
      </c>
    </row>
    <row r="180" customFormat="false" ht="15" hidden="true" customHeight="false" outlineLevel="2" collapsed="false">
      <c r="A180" s="3" t="s">
        <v>1486</v>
      </c>
      <c r="B180" s="12" t="s">
        <v>396</v>
      </c>
      <c r="C180" s="58" t="n">
        <f aca="false">輸入與假設!$C$142*4/C173*1000</f>
        <v>8.24</v>
      </c>
      <c r="D180" s="58"/>
      <c r="E180" s="58"/>
      <c r="F180" s="58"/>
      <c r="G180" s="58"/>
      <c r="I180" s="12" t="s">
        <v>1487</v>
      </c>
    </row>
    <row r="181" customFormat="false" ht="15" hidden="true" customHeight="false" outlineLevel="2" collapsed="false">
      <c r="A181" s="3" t="s">
        <v>1488</v>
      </c>
      <c r="B181" s="12" t="s">
        <v>77</v>
      </c>
      <c r="C181" s="71" t="n">
        <f aca="false">輸入與假設!$C$20/輸入與假設!$C$41</f>
        <v>0.9</v>
      </c>
      <c r="D181" s="71"/>
      <c r="E181" s="71"/>
      <c r="F181" s="71"/>
      <c r="G181" s="71"/>
      <c r="I181" s="7" t="s">
        <v>1489</v>
      </c>
    </row>
    <row r="182" customFormat="false" ht="15" hidden="true" customHeight="false" outlineLevel="2" collapsed="false">
      <c r="A182" s="3" t="s">
        <v>1490</v>
      </c>
      <c r="B182" s="12" t="s">
        <v>396</v>
      </c>
      <c r="C182" s="58" t="n">
        <f aca="false">C180/C181</f>
        <v>9.15555555555556</v>
      </c>
      <c r="D182" s="58"/>
      <c r="E182" s="58"/>
      <c r="F182" s="58"/>
      <c r="G182" s="58"/>
    </row>
    <row r="183" customFormat="false" ht="15" hidden="true" customHeight="false" outlineLevel="2" collapsed="false">
      <c r="A183" s="3" t="s">
        <v>1491</v>
      </c>
      <c r="B183" s="12" t="s">
        <v>396</v>
      </c>
      <c r="C183" s="58" t="n">
        <f aca="false">輸入與假設!$C$42*輸入與假設!$E$112+輸入與假設!$C$43*輸入與假設!$E$113+輸入與假設!$C$44*輸入與假設!$E$114+輸入與假設!$C$45*輸入與假設!$E$115+輸入與假設!$C$46*輸入與假設!$E$116</f>
        <v>9.95931891194512</v>
      </c>
      <c r="D183" s="58"/>
      <c r="E183" s="58"/>
      <c r="F183" s="58"/>
      <c r="G183" s="58"/>
      <c r="I183" s="7" t="s">
        <v>1492</v>
      </c>
    </row>
    <row r="184" customFormat="false" ht="15" hidden="true" customHeight="false" outlineLevel="2" collapsed="false">
      <c r="A184" s="3" t="s">
        <v>1493</v>
      </c>
      <c r="B184" s="7" t="s">
        <v>361</v>
      </c>
      <c r="C184" s="59" t="n">
        <f aca="false">C180/C183</f>
        <v>0.827365814153919</v>
      </c>
      <c r="D184" s="59"/>
      <c r="E184" s="59"/>
      <c r="F184" s="59"/>
      <c r="G184" s="59"/>
      <c r="I184" s="7" t="s">
        <v>1494</v>
      </c>
    </row>
    <row r="185" customFormat="false" ht="15" hidden="false" customHeight="false" outlineLevel="1" collapsed="true">
      <c r="A185" s="20" t="s">
        <v>1495</v>
      </c>
      <c r="B185" s="21"/>
      <c r="C185" s="21"/>
      <c r="D185" s="21"/>
      <c r="E185" s="21"/>
      <c r="F185" s="21"/>
      <c r="G185" s="21"/>
      <c r="H185" s="21"/>
    </row>
    <row r="186" customFormat="false" ht="17.15" hidden="true" customHeight="false" outlineLevel="2" collapsed="false">
      <c r="A186" s="15" t="s">
        <v>1496</v>
      </c>
      <c r="B186" s="15"/>
      <c r="C186" s="15" t="s">
        <v>1497</v>
      </c>
      <c r="D186" s="15" t="s">
        <v>1498</v>
      </c>
      <c r="E186" s="16" t="s">
        <v>1499</v>
      </c>
      <c r="F186" s="16" t="s">
        <v>1500</v>
      </c>
      <c r="I186" s="7" t="s">
        <v>1501</v>
      </c>
    </row>
    <row r="187" customFormat="false" ht="15" hidden="true" customHeight="false" outlineLevel="2" collapsed="false">
      <c r="A187" s="2" t="s">
        <v>1502</v>
      </c>
      <c r="B187" s="12" t="s">
        <v>1503</v>
      </c>
      <c r="C187" s="85" t="n">
        <v>42.7024438874061</v>
      </c>
      <c r="D187" s="70" t="n">
        <v>32.1474767393228</v>
      </c>
      <c r="E187" s="57" t="n">
        <v>0</v>
      </c>
      <c r="F187" s="70" t="n">
        <v>0</v>
      </c>
    </row>
    <row r="188" customFormat="false" ht="15" hidden="true" customHeight="false" outlineLevel="2" collapsed="false">
      <c r="A188" s="3" t="s">
        <v>1504</v>
      </c>
      <c r="B188" s="12" t="s">
        <v>1503</v>
      </c>
      <c r="C188" s="85" t="n">
        <v>92.3020751396992</v>
      </c>
      <c r="D188" s="70" t="n">
        <v>14.0258577919704</v>
      </c>
      <c r="E188" s="57" t="n">
        <v>49.5996312522931</v>
      </c>
      <c r="F188" s="70" t="n">
        <v>-18.1216189473525</v>
      </c>
    </row>
    <row r="189" customFormat="false" ht="15" hidden="true" customHeight="false" outlineLevel="2" collapsed="false">
      <c r="A189" s="3" t="s">
        <v>1505</v>
      </c>
      <c r="B189" s="12" t="s">
        <v>1503</v>
      </c>
      <c r="C189" s="85" t="n">
        <v>9.93288112267936</v>
      </c>
      <c r="D189" s="70" t="n">
        <v>65.2797933923325</v>
      </c>
      <c r="E189" s="57" t="n">
        <v>-32.7695627647267</v>
      </c>
      <c r="F189" s="70" t="n">
        <v>33.1323166530096</v>
      </c>
    </row>
    <row r="190" customFormat="false" ht="15" hidden="true" customHeight="false" outlineLevel="2" collapsed="false">
      <c r="A190" s="3" t="s">
        <v>1506</v>
      </c>
      <c r="B190" s="12" t="s">
        <v>1503</v>
      </c>
      <c r="C190" s="86" t="s">
        <v>936</v>
      </c>
      <c r="D190" s="70"/>
      <c r="E190" s="57"/>
      <c r="F190" s="70"/>
    </row>
    <row r="191" customFormat="false" ht="15" hidden="true" customHeight="false" outlineLevel="2" collapsed="false">
      <c r="A191" s="3" t="s">
        <v>1507</v>
      </c>
      <c r="B191" s="12" t="s">
        <v>1503</v>
      </c>
      <c r="C191" s="86" t="s">
        <v>936</v>
      </c>
      <c r="D191" s="70"/>
      <c r="E191" s="57"/>
      <c r="F191" s="70"/>
    </row>
    <row r="192" customFormat="false" ht="15" hidden="true" customHeight="false" outlineLevel="2" collapsed="false">
      <c r="A192" s="3" t="s">
        <v>1508</v>
      </c>
      <c r="B192" s="12" t="s">
        <v>1503</v>
      </c>
      <c r="C192" s="86" t="n">
        <v>42.0547099034431</v>
      </c>
      <c r="D192" s="70" t="n">
        <v>37.8138300287792</v>
      </c>
      <c r="E192" s="57" t="n">
        <v>-0.647733983963022</v>
      </c>
      <c r="F192" s="70" t="n">
        <v>5.6663532894564</v>
      </c>
    </row>
    <row r="193" customFormat="false" ht="15" hidden="true" customHeight="false" outlineLevel="2" collapsed="false">
      <c r="A193" s="3" t="s">
        <v>1509</v>
      </c>
      <c r="B193" s="12" t="s">
        <v>1503</v>
      </c>
      <c r="C193" s="86" t="n">
        <v>35.2935964748211</v>
      </c>
      <c r="D193" s="70" t="n">
        <v>37.0203110432463</v>
      </c>
      <c r="E193" s="57" t="n">
        <v>-7.408847412585</v>
      </c>
      <c r="F193" s="70" t="n">
        <v>4.87283430392348</v>
      </c>
    </row>
    <row r="194" customFormat="false" ht="15" hidden="true" customHeight="false" outlineLevel="2" collapsed="false">
      <c r="A194" s="3" t="s">
        <v>1510</v>
      </c>
      <c r="B194" s="12" t="s">
        <v>1503</v>
      </c>
      <c r="C194" s="86" t="n">
        <v>35.4908489461709</v>
      </c>
      <c r="D194" s="70" t="n">
        <v>36.893864334863</v>
      </c>
      <c r="E194" s="57" t="n">
        <v>-7.21159494123514</v>
      </c>
      <c r="F194" s="70" t="n">
        <v>4.74638759554017</v>
      </c>
    </row>
    <row r="195" customFormat="false" ht="15" hidden="true" customHeight="false" outlineLevel="2" collapsed="false">
      <c r="A195" s="3" t="s">
        <v>1511</v>
      </c>
      <c r="B195" s="12" t="s">
        <v>1503</v>
      </c>
      <c r="C195" s="86" t="n">
        <v>77.4655715771412</v>
      </c>
      <c r="D195" s="70" t="n">
        <v>22.3698845877318</v>
      </c>
      <c r="E195" s="57" t="n">
        <v>34.7631276897351</v>
      </c>
      <c r="F195" s="70" t="n">
        <v>-9.77759215159102</v>
      </c>
    </row>
    <row r="196" customFormat="false" ht="15" hidden="true" customHeight="false" outlineLevel="2" collapsed="false">
      <c r="A196" s="3" t="s">
        <v>1512</v>
      </c>
      <c r="B196" s="12" t="s">
        <v>1503</v>
      </c>
      <c r="C196" s="86" t="n">
        <v>111.220230326159</v>
      </c>
      <c r="D196" s="70" t="n">
        <v>14.0372460574747</v>
      </c>
      <c r="E196" s="57" t="n">
        <v>68.5177864387524</v>
      </c>
      <c r="F196" s="70" t="n">
        <v>-18.1102306818482</v>
      </c>
    </row>
    <row r="197" customFormat="false" ht="15" hidden="true" customHeight="false" outlineLevel="2" collapsed="false">
      <c r="A197" s="3" t="s">
        <v>1513</v>
      </c>
      <c r="B197" s="12" t="s">
        <v>1503</v>
      </c>
      <c r="C197" s="86" t="n">
        <v>62.5915194246029</v>
      </c>
      <c r="D197" s="70" t="n">
        <v>26.0394168195137</v>
      </c>
      <c r="E197" s="57" t="n">
        <v>19.8890755371968</v>
      </c>
      <c r="F197" s="70" t="n">
        <v>-6.10805991980913</v>
      </c>
    </row>
    <row r="198" customFormat="false" ht="15" hidden="true" customHeight="false" outlineLevel="2" collapsed="false">
      <c r="A198" s="3" t="s">
        <v>1514</v>
      </c>
      <c r="B198" s="12" t="s">
        <v>1503</v>
      </c>
      <c r="C198" s="86" t="n">
        <v>87.3469608861259</v>
      </c>
      <c r="D198" s="70" t="n">
        <v>19.9314473620382</v>
      </c>
      <c r="E198" s="57" t="n">
        <v>44.6445169987198</v>
      </c>
      <c r="F198" s="70" t="n">
        <v>-12.2160293772847</v>
      </c>
    </row>
    <row r="199" customFormat="false" ht="15" hidden="true" customHeight="false" outlineLevel="2" collapsed="false">
      <c r="A199" s="3" t="s">
        <v>1515</v>
      </c>
      <c r="B199" s="12" t="s">
        <v>1503</v>
      </c>
      <c r="C199" s="86" t="n">
        <v>41.179051772666</v>
      </c>
      <c r="D199" s="70" t="n">
        <v>33.1945742459464</v>
      </c>
      <c r="E199" s="57" t="n">
        <v>-1.52339211474011</v>
      </c>
      <c r="F199" s="70" t="n">
        <v>1.04709750662359</v>
      </c>
    </row>
    <row r="200" customFormat="false" ht="15" hidden="true" customHeight="false" outlineLevel="2" collapsed="false">
      <c r="A200" s="3" t="s">
        <v>1516</v>
      </c>
      <c r="B200" s="12" t="s">
        <v>1503</v>
      </c>
      <c r="C200" s="86" t="n">
        <v>96.6819274244893</v>
      </c>
      <c r="D200" s="70" t="n">
        <v>17.627861750111</v>
      </c>
      <c r="E200" s="57" t="n">
        <v>53.9794835370832</v>
      </c>
      <c r="F200" s="70" t="n">
        <v>-14.5196149892118</v>
      </c>
    </row>
    <row r="201" customFormat="false" ht="15" hidden="true" customHeight="false" outlineLevel="2" collapsed="false">
      <c r="A201" s="3" t="s">
        <v>1517</v>
      </c>
      <c r="B201" s="12" t="s">
        <v>1503</v>
      </c>
      <c r="C201" s="86" t="n">
        <v>111.348690873544</v>
      </c>
      <c r="D201" s="70" t="n">
        <v>14.0055131921113</v>
      </c>
      <c r="E201" s="57" t="n">
        <v>68.6462469861377</v>
      </c>
      <c r="F201" s="70" t="n">
        <v>-18.1419635472115</v>
      </c>
    </row>
    <row r="202" customFormat="false" ht="15" hidden="true" customHeight="false" outlineLevel="2" collapsed="false">
      <c r="A202" s="3" t="s">
        <v>1518</v>
      </c>
      <c r="B202" s="12" t="s">
        <v>1503</v>
      </c>
      <c r="C202" s="86" t="n">
        <v>41.5861840850245</v>
      </c>
      <c r="D202" s="70" t="n">
        <v>32.8703154331618</v>
      </c>
      <c r="E202" s="57" t="n">
        <v>-1.11625980238161</v>
      </c>
      <c r="F202" s="70" t="n">
        <v>0.722838693838924</v>
      </c>
    </row>
    <row r="203" customFormat="false" ht="15" hidden="true" customHeight="false" outlineLevel="2" collapsed="false">
      <c r="A203" s="3" t="s">
        <v>1519</v>
      </c>
      <c r="B203" s="12" t="s">
        <v>1503</v>
      </c>
      <c r="C203" s="86" t="n">
        <v>65.9733081614755</v>
      </c>
      <c r="D203" s="70" t="n">
        <v>17.8331563567926</v>
      </c>
      <c r="E203" s="57" t="n">
        <v>23.2708642740694</v>
      </c>
      <c r="F203" s="70" t="n">
        <v>-14.3143203825302</v>
      </c>
    </row>
    <row r="204" customFormat="false" ht="15" hidden="true" customHeight="false" outlineLevel="2" collapsed="false">
      <c r="A204" s="3" t="s">
        <v>1520</v>
      </c>
      <c r="B204" s="12" t="s">
        <v>1503</v>
      </c>
      <c r="C204" s="86" t="n">
        <v>63.1152778628983</v>
      </c>
      <c r="D204" s="70" t="n">
        <v>18.5559950506315</v>
      </c>
      <c r="E204" s="57" t="n">
        <v>20.4128339754922</v>
      </c>
      <c r="F204" s="70" t="n">
        <v>-13.5914816886913</v>
      </c>
    </row>
    <row r="205" customFormat="false" ht="15" hidden="true" customHeight="false" outlineLevel="2" collapsed="false">
      <c r="A205" s="2" t="s">
        <v>1521</v>
      </c>
      <c r="B205" s="12" t="s">
        <v>1503</v>
      </c>
      <c r="C205" s="86" t="n">
        <v>31.9865189051237</v>
      </c>
      <c r="D205" s="70" t="n">
        <v>79.3186736969194</v>
      </c>
      <c r="E205" s="57" t="n">
        <v>0</v>
      </c>
      <c r="F205" s="70" t="n">
        <v>0</v>
      </c>
    </row>
    <row r="206" customFormat="false" ht="15" hidden="true" customHeight="false" outlineLevel="2" collapsed="false">
      <c r="A206" s="3" t="s">
        <v>1522</v>
      </c>
      <c r="B206" s="12" t="s">
        <v>1503</v>
      </c>
      <c r="C206" s="86" t="n">
        <v>62.5093886705524</v>
      </c>
      <c r="D206" s="70" t="n">
        <v>54.0932091792606</v>
      </c>
      <c r="E206" s="57" t="n">
        <v>30.5228697654287</v>
      </c>
      <c r="F206" s="70" t="n">
        <v>-25.2254645176587</v>
      </c>
    </row>
    <row r="207" customFormat="false" ht="15" hidden="true" customHeight="false" outlineLevel="2" collapsed="false">
      <c r="A207" s="3" t="s">
        <v>1523</v>
      </c>
      <c r="B207" s="12" t="s">
        <v>1503</v>
      </c>
      <c r="C207" s="86" t="n">
        <v>0</v>
      </c>
      <c r="D207" s="70" t="n">
        <v>121.616519520606</v>
      </c>
      <c r="E207" s="57" t="n">
        <v>-31.9865189051237</v>
      </c>
      <c r="F207" s="70" t="n">
        <v>42.297845823687</v>
      </c>
    </row>
    <row r="208" customFormat="false" ht="15" hidden="true" customHeight="false" outlineLevel="2" collapsed="false">
      <c r="A208" s="3" t="s">
        <v>1524</v>
      </c>
      <c r="B208" s="12" t="s">
        <v>1503</v>
      </c>
      <c r="C208" s="86" t="s">
        <v>936</v>
      </c>
      <c r="D208" s="70"/>
      <c r="E208" s="57"/>
      <c r="F208" s="70"/>
    </row>
    <row r="209" customFormat="false" ht="15" hidden="true" customHeight="false" outlineLevel="2" collapsed="false">
      <c r="A209" s="3" t="s">
        <v>1525</v>
      </c>
      <c r="B209" s="12" t="s">
        <v>1503</v>
      </c>
      <c r="C209" s="86" t="s">
        <v>936</v>
      </c>
      <c r="D209" s="70"/>
      <c r="E209" s="57"/>
      <c r="F209" s="70"/>
    </row>
    <row r="210" customFormat="false" ht="15" hidden="true" customHeight="false" outlineLevel="2" collapsed="false">
      <c r="A210" s="3" t="s">
        <v>1526</v>
      </c>
      <c r="B210" s="12" t="s">
        <v>1503</v>
      </c>
      <c r="C210" s="86" t="n">
        <v>29.2703536220292</v>
      </c>
      <c r="D210" s="70" t="n">
        <v>97.4799812272516</v>
      </c>
      <c r="E210" s="57" t="n">
        <v>-2.71616528309451</v>
      </c>
      <c r="F210" s="70" t="n">
        <v>18.1613075303322</v>
      </c>
    </row>
    <row r="211" customFormat="false" ht="15" hidden="true" customHeight="false" outlineLevel="2" collapsed="false">
      <c r="A211" s="3" t="s">
        <v>1527</v>
      </c>
      <c r="B211" s="12" t="s">
        <v>1503</v>
      </c>
      <c r="C211" s="86" t="n">
        <v>25.4105274316058</v>
      </c>
      <c r="D211" s="70" t="n">
        <v>84.6192305561052</v>
      </c>
      <c r="E211" s="57" t="n">
        <v>-6.57599147351796</v>
      </c>
      <c r="F211" s="70" t="n">
        <v>5.3005568591858</v>
      </c>
    </row>
    <row r="212" customFormat="false" ht="15" hidden="true" customHeight="false" outlineLevel="2" collapsed="false">
      <c r="A212" s="3" t="s">
        <v>1528</v>
      </c>
      <c r="B212" s="12" t="s">
        <v>1503</v>
      </c>
      <c r="C212" s="86" t="n">
        <v>24.7620131596956</v>
      </c>
      <c r="D212" s="70" t="n">
        <v>84.9273687459971</v>
      </c>
      <c r="E212" s="57" t="n">
        <v>-7.2245057454281</v>
      </c>
      <c r="F212" s="70" t="n">
        <v>5.60869504907771</v>
      </c>
    </row>
    <row r="213" customFormat="false" ht="15" hidden="true" customHeight="false" outlineLevel="2" collapsed="false">
      <c r="A213" s="3" t="s">
        <v>1529</v>
      </c>
      <c r="B213" s="12" t="s">
        <v>1503</v>
      </c>
      <c r="C213" s="86" t="n">
        <v>47.3463361505384</v>
      </c>
      <c r="D213" s="70" t="n">
        <v>67.7647255965987</v>
      </c>
      <c r="E213" s="57" t="n">
        <v>15.3598172454147</v>
      </c>
      <c r="F213" s="70" t="n">
        <v>-11.5539481003206</v>
      </c>
    </row>
    <row r="214" customFormat="false" ht="15" hidden="true" customHeight="false" outlineLevel="2" collapsed="false">
      <c r="A214" s="3" t="s">
        <v>1530</v>
      </c>
      <c r="B214" s="12" t="s">
        <v>1503</v>
      </c>
      <c r="C214" s="86" t="n">
        <v>83.3903430416069</v>
      </c>
      <c r="D214" s="70" t="n">
        <v>57.9182437663935</v>
      </c>
      <c r="E214" s="57" t="n">
        <v>51.4038241364832</v>
      </c>
      <c r="F214" s="70" t="n">
        <v>-21.4004299305259</v>
      </c>
    </row>
    <row r="215" customFormat="false" ht="15" hidden="true" customHeight="false" outlineLevel="2" collapsed="false">
      <c r="A215" s="3" t="s">
        <v>1531</v>
      </c>
      <c r="B215" s="12" t="s">
        <v>1503</v>
      </c>
      <c r="C215" s="86" t="n">
        <v>41.0211442583833</v>
      </c>
      <c r="D215" s="70" t="n">
        <v>72.1009244164661</v>
      </c>
      <c r="E215" s="57" t="n">
        <v>9.03462535325961</v>
      </c>
      <c r="F215" s="70" t="n">
        <v>-7.21774928045322</v>
      </c>
    </row>
    <row r="216" customFormat="false" ht="15" hidden="true" customHeight="false" outlineLevel="2" collapsed="false">
      <c r="A216" s="3" t="s">
        <v>1532</v>
      </c>
      <c r="B216" s="12" t="s">
        <v>1503</v>
      </c>
      <c r="C216" s="86" t="n">
        <v>55.2254221299056</v>
      </c>
      <c r="D216" s="70" t="n">
        <v>64.8832822881803</v>
      </c>
      <c r="E216" s="57" t="n">
        <v>23.2389032247818</v>
      </c>
      <c r="F216" s="70" t="n">
        <v>-14.435391408739</v>
      </c>
    </row>
    <row r="217" customFormat="false" ht="15" hidden="true" customHeight="false" outlineLevel="2" collapsed="false">
      <c r="A217" s="3" t="s">
        <v>1533</v>
      </c>
      <c r="B217" s="12" t="s">
        <v>1503</v>
      </c>
      <c r="C217" s="86" t="n">
        <v>30.7186467148996</v>
      </c>
      <c r="D217" s="70" t="n">
        <v>80.3721989270524</v>
      </c>
      <c r="E217" s="57" t="n">
        <v>-1.26787219022414</v>
      </c>
      <c r="F217" s="70" t="n">
        <v>1.05352523013303</v>
      </c>
    </row>
    <row r="218" customFormat="false" ht="15" hidden="true" customHeight="false" outlineLevel="2" collapsed="false">
      <c r="A218" s="3" t="s">
        <v>1534</v>
      </c>
      <c r="B218" s="12" t="s">
        <v>1503</v>
      </c>
      <c r="C218" s="86" t="n">
        <v>65.3203249900644</v>
      </c>
      <c r="D218" s="70" t="n">
        <v>62.1611897455478</v>
      </c>
      <c r="E218" s="57" t="n">
        <v>33.3338060849406</v>
      </c>
      <c r="F218" s="70" t="n">
        <v>-17.1574839513715</v>
      </c>
    </row>
    <row r="219" customFormat="false" ht="15" hidden="true" customHeight="false" outlineLevel="2" collapsed="false">
      <c r="A219" s="3" t="s">
        <v>1535</v>
      </c>
      <c r="B219" s="12" t="s">
        <v>1503</v>
      </c>
      <c r="C219" s="86" t="n">
        <v>83.5509689015889</v>
      </c>
      <c r="D219" s="70" t="n">
        <v>57.8807457838855</v>
      </c>
      <c r="E219" s="57" t="n">
        <v>51.5644499964651</v>
      </c>
      <c r="F219" s="70" t="n">
        <v>-21.4379279130339</v>
      </c>
    </row>
    <row r="220" customFormat="false" ht="15" hidden="true" customHeight="false" outlineLevel="2" collapsed="false">
      <c r="A220" s="3" t="s">
        <v>1536</v>
      </c>
      <c r="B220" s="12" t="s">
        <v>1503</v>
      </c>
      <c r="C220" s="86" t="n">
        <v>31.0316851695497</v>
      </c>
      <c r="D220" s="70" t="n">
        <v>80.1059286040378</v>
      </c>
      <c r="E220" s="57" t="n">
        <v>-0.954833735574091</v>
      </c>
      <c r="F220" s="70" t="n">
        <v>0.787254907118495</v>
      </c>
    </row>
    <row r="221" customFormat="false" ht="15" hidden="true" customHeight="false" outlineLevel="2" collapsed="false">
      <c r="A221" s="3" t="s">
        <v>1537</v>
      </c>
      <c r="B221" s="12" t="s">
        <v>1503</v>
      </c>
      <c r="C221" s="86" t="n">
        <v>43.4499265011462</v>
      </c>
      <c r="D221" s="70" t="n">
        <v>54.7762279769889</v>
      </c>
      <c r="E221" s="57" t="n">
        <v>11.4634075960225</v>
      </c>
      <c r="F221" s="70" t="n">
        <v>-24.5424457199305</v>
      </c>
    </row>
    <row r="222" customFormat="false" ht="15" hidden="true" customHeight="false" outlineLevel="2" collapsed="false">
      <c r="A222" s="3" t="s">
        <v>1538</v>
      </c>
      <c r="B222" s="12" t="s">
        <v>1503</v>
      </c>
      <c r="C222" s="86" t="n">
        <v>42.2898876657917</v>
      </c>
      <c r="D222" s="70" t="n">
        <v>55.5634828841074</v>
      </c>
      <c r="E222" s="57" t="n">
        <v>10.303368760668</v>
      </c>
      <c r="F222" s="70" t="n">
        <v>-23.755190812812</v>
      </c>
    </row>
    <row r="223" customFormat="false" ht="15" hidden="true" customHeight="false" outlineLevel="2" collapsed="false">
      <c r="A223" s="2" t="s">
        <v>1539</v>
      </c>
      <c r="B223" s="12" t="s">
        <v>1503</v>
      </c>
      <c r="C223" s="86" t="n">
        <v>14.7158090153289</v>
      </c>
      <c r="D223" s="70" t="n">
        <v>151.832159599564</v>
      </c>
      <c r="E223" s="57" t="n">
        <v>0</v>
      </c>
      <c r="F223" s="70" t="n">
        <v>0</v>
      </c>
    </row>
    <row r="224" customFormat="false" ht="15" hidden="true" customHeight="false" outlineLevel="2" collapsed="false">
      <c r="A224" s="3" t="s">
        <v>1540</v>
      </c>
      <c r="B224" s="12" t="s">
        <v>1503</v>
      </c>
      <c r="C224" s="86" t="n">
        <v>40.7450520816997</v>
      </c>
      <c r="D224" s="70" t="n">
        <v>114.531356910427</v>
      </c>
      <c r="E224" s="57" t="n">
        <v>26.0292430663708</v>
      </c>
      <c r="F224" s="70" t="n">
        <v>-37.3008026891373</v>
      </c>
    </row>
    <row r="225" customFormat="false" ht="15" hidden="true" customHeight="false" outlineLevel="2" collapsed="false">
      <c r="A225" s="3" t="s">
        <v>1541</v>
      </c>
      <c r="B225" s="12" t="s">
        <v>1503</v>
      </c>
      <c r="C225" s="86" t="n">
        <v>0</v>
      </c>
      <c r="D225" s="70" t="n">
        <v>210.219669676205</v>
      </c>
      <c r="E225" s="57" t="n">
        <v>-14.7158090153289</v>
      </c>
      <c r="F225" s="70" t="n">
        <v>58.3875100766404</v>
      </c>
    </row>
    <row r="226" customFormat="false" ht="15" hidden="true" customHeight="false" outlineLevel="2" collapsed="false">
      <c r="A226" s="3" t="s">
        <v>1542</v>
      </c>
      <c r="B226" s="12" t="s">
        <v>1503</v>
      </c>
      <c r="C226" s="86" t="s">
        <v>936</v>
      </c>
      <c r="D226" s="70"/>
      <c r="E226" s="57"/>
      <c r="F226" s="70"/>
    </row>
    <row r="227" customFormat="false" ht="15" hidden="true" customHeight="false" outlineLevel="2" collapsed="false">
      <c r="A227" s="3" t="s">
        <v>1543</v>
      </c>
      <c r="B227" s="12" t="s">
        <v>1503</v>
      </c>
      <c r="C227" s="86" t="s">
        <v>936</v>
      </c>
      <c r="D227" s="70"/>
      <c r="E227" s="57"/>
      <c r="F227" s="70"/>
    </row>
    <row r="228" customFormat="false" ht="15" hidden="true" customHeight="false" outlineLevel="2" collapsed="false">
      <c r="A228" s="3" t="s">
        <v>1544</v>
      </c>
      <c r="B228" s="12" t="s">
        <v>1503</v>
      </c>
      <c r="C228" s="86" t="n">
        <v>9.18148359729564</v>
      </c>
      <c r="D228" s="70" t="n">
        <v>186.004272962873</v>
      </c>
      <c r="E228" s="57" t="n">
        <v>-5.53432541803324</v>
      </c>
      <c r="F228" s="70" t="n">
        <v>34.1721133633085</v>
      </c>
    </row>
    <row r="229" customFormat="false" ht="15" hidden="true" customHeight="false" outlineLevel="2" collapsed="false">
      <c r="A229" s="3" t="s">
        <v>1545</v>
      </c>
      <c r="B229" s="12" t="s">
        <v>1503</v>
      </c>
      <c r="C229" s="86" t="n">
        <v>6.97795763461624</v>
      </c>
      <c r="D229" s="70" t="n">
        <v>158.080593001818</v>
      </c>
      <c r="E229" s="57" t="n">
        <v>-7.73785138071264</v>
      </c>
      <c r="F229" s="70" t="n">
        <v>6.24843340225331</v>
      </c>
    </row>
    <row r="230" customFormat="false" ht="15" hidden="true" customHeight="false" outlineLevel="2" collapsed="false">
      <c r="A230" s="3" t="s">
        <v>1546</v>
      </c>
      <c r="B230" s="12" t="s">
        <v>1503</v>
      </c>
      <c r="C230" s="86" t="n">
        <v>5.08921454128713</v>
      </c>
      <c r="D230" s="70" t="n">
        <v>159.365556775542</v>
      </c>
      <c r="E230" s="57" t="n">
        <v>-9.62659447404175</v>
      </c>
      <c r="F230" s="70" t="n">
        <v>7.5333971759778</v>
      </c>
    </row>
    <row r="231" customFormat="false" ht="15" hidden="true" customHeight="false" outlineLevel="2" collapsed="false">
      <c r="A231" s="3" t="s">
        <v>1547</v>
      </c>
      <c r="B231" s="12" t="s">
        <v>1503</v>
      </c>
      <c r="C231" s="86" t="n">
        <v>34.5469939353261</v>
      </c>
      <c r="D231" s="70" t="n">
        <v>136.313293858722</v>
      </c>
      <c r="E231" s="57" t="n">
        <v>19.8311849199972</v>
      </c>
      <c r="F231" s="70" t="n">
        <v>-15.5188657408421</v>
      </c>
    </row>
    <row r="232" customFormat="false" ht="15" hidden="true" customHeight="false" outlineLevel="2" collapsed="false">
      <c r="A232" s="3" t="s">
        <v>1548</v>
      </c>
      <c r="B232" s="12" t="s">
        <v>1503</v>
      </c>
      <c r="C232" s="86" t="n">
        <v>56.438979740397</v>
      </c>
      <c r="D232" s="70" t="n">
        <v>123.087814949879</v>
      </c>
      <c r="E232" s="57" t="n">
        <v>41.7231707250681</v>
      </c>
      <c r="F232" s="70" t="n">
        <v>-28.7443446496853</v>
      </c>
    </row>
    <row r="233" customFormat="false" ht="15" hidden="true" customHeight="false" outlineLevel="2" collapsed="false">
      <c r="A233" s="3" t="s">
        <v>1549</v>
      </c>
      <c r="B233" s="12" t="s">
        <v>1503</v>
      </c>
      <c r="C233" s="86" t="n">
        <v>27.104298804064</v>
      </c>
      <c r="D233" s="70" t="n">
        <v>142.137530278866</v>
      </c>
      <c r="E233" s="57" t="n">
        <v>12.3884897887351</v>
      </c>
      <c r="F233" s="70" t="n">
        <v>-9.69462932069817</v>
      </c>
    </row>
    <row r="234" customFormat="false" ht="15" hidden="true" customHeight="false" outlineLevel="2" collapsed="false">
      <c r="A234" s="3" t="s">
        <v>1550</v>
      </c>
      <c r="B234" s="12" t="s">
        <v>1503</v>
      </c>
      <c r="C234" s="86" t="n">
        <v>39.492760411572</v>
      </c>
      <c r="D234" s="70" t="n">
        <v>132.443033803293</v>
      </c>
      <c r="E234" s="57" t="n">
        <v>24.7769513962432</v>
      </c>
      <c r="F234" s="70" t="n">
        <v>-19.3891257962716</v>
      </c>
    </row>
    <row r="235" customFormat="false" ht="15" hidden="true" customHeight="false" outlineLevel="2" collapsed="false">
      <c r="A235" s="3" t="s">
        <v>1551</v>
      </c>
      <c r="B235" s="12" t="s">
        <v>1503</v>
      </c>
      <c r="C235" s="86" t="n">
        <v>13.4307715992821</v>
      </c>
      <c r="D235" s="70" t="n">
        <v>152.896179222392</v>
      </c>
      <c r="E235" s="57" t="n">
        <v>-1.28503741604679</v>
      </c>
      <c r="F235" s="70" t="n">
        <v>1.06401962282791</v>
      </c>
    </row>
    <row r="236" customFormat="false" ht="15" hidden="true" customHeight="false" outlineLevel="2" collapsed="false">
      <c r="A236" s="3" t="s">
        <v>1552</v>
      </c>
      <c r="B236" s="12" t="s">
        <v>1503</v>
      </c>
      <c r="C236" s="86" t="n">
        <v>44.2043706037556</v>
      </c>
      <c r="D236" s="70" t="n">
        <v>128.786806740496</v>
      </c>
      <c r="E236" s="57" t="n">
        <v>29.4885615884267</v>
      </c>
      <c r="F236" s="70" t="n">
        <v>-23.045352859068</v>
      </c>
    </row>
    <row r="237" customFormat="false" ht="15" hidden="true" customHeight="false" outlineLevel="2" collapsed="false">
      <c r="A237" s="3" t="s">
        <v>1553</v>
      </c>
      <c r="B237" s="12" t="s">
        <v>1503</v>
      </c>
      <c r="C237" s="86" t="n">
        <v>56.5981321400752</v>
      </c>
      <c r="D237" s="70" t="n">
        <v>123.037448819176</v>
      </c>
      <c r="E237" s="57" t="n">
        <v>41.8823231247463</v>
      </c>
      <c r="F237" s="70" t="n">
        <v>-28.7947107803882</v>
      </c>
    </row>
    <row r="238" customFormat="false" ht="15" hidden="true" customHeight="false" outlineLevel="2" collapsed="false">
      <c r="A238" s="3" t="s">
        <v>1554</v>
      </c>
      <c r="B238" s="12" t="s">
        <v>1503</v>
      </c>
      <c r="C238" s="86" t="n">
        <v>13.5936691564894</v>
      </c>
      <c r="D238" s="70" t="n">
        <v>152.761170776291</v>
      </c>
      <c r="E238" s="57" t="n">
        <v>-1.1221398588395</v>
      </c>
      <c r="F238" s="70" t="n">
        <v>0.929011176726334</v>
      </c>
    </row>
    <row r="239" customFormat="false" ht="15" hidden="true" customHeight="false" outlineLevel="2" collapsed="false">
      <c r="A239" s="3" t="s">
        <v>1555</v>
      </c>
      <c r="B239" s="12" t="s">
        <v>1503</v>
      </c>
      <c r="C239" s="86" t="n">
        <v>33.2193083376806</v>
      </c>
      <c r="D239" s="70" t="n">
        <v>110.611837259347</v>
      </c>
      <c r="E239" s="57" t="n">
        <v>18.5034993223517</v>
      </c>
      <c r="F239" s="70" t="n">
        <v>-41.2203223402174</v>
      </c>
    </row>
    <row r="240" customFormat="false" ht="15" hidden="true" customHeight="false" outlineLevel="2" collapsed="false">
      <c r="A240" s="3" t="s">
        <v>1556</v>
      </c>
      <c r="B240" s="12" t="s">
        <v>1503</v>
      </c>
      <c r="C240" s="86" t="n">
        <v>32.0971684788411</v>
      </c>
      <c r="D240" s="70" t="n">
        <v>111.540848436073</v>
      </c>
      <c r="E240" s="57" t="n">
        <v>17.3813594635122</v>
      </c>
      <c r="F240" s="70" t="n">
        <v>-40.291311163491</v>
      </c>
    </row>
    <row r="241" customFormat="false" ht="15" hidden="true" customHeight="false" outlineLevel="2" collapsed="false">
      <c r="A241" s="2" t="s">
        <v>1557</v>
      </c>
      <c r="C241" s="49" t="n">
        <f aca="false">評價_DCF與目標價!C48</f>
        <v>31.9865189051237</v>
      </c>
      <c r="D241" s="49" t="n">
        <f aca="false">CHOOSE(輸入與假設!$C$5,C187,C205,C223)</f>
        <v>31.9865189051237</v>
      </c>
      <c r="E241" s="2" t="str">
        <f aca="false">IF(ABS(C241-D241)&lt;0.005,"與目前輸入一致","快照已過期")</f>
        <v>與目前輸入一致</v>
      </c>
      <c r="I241" s="7" t="s">
        <v>1558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M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2"/>
    <col collapsed="false" customWidth="true" hidden="false" outlineLevel="0" max="9" min="9" style="0" width="34"/>
    <col collapsed="false" customWidth="true" hidden="false" outlineLevel="0" max="10" min="10" style="0" width="46"/>
    <col collapsed="false" customWidth="true" hidden="false" outlineLevel="0" max="11" min="11" style="0" width="60"/>
    <col collapsed="false" customWidth="true" hidden="false" outlineLevel="0" max="12" min="12" style="0" width="52"/>
    <col collapsed="false" customWidth="true" hidden="false" outlineLevel="0" max="13" min="13" style="0" width="40"/>
  </cols>
  <sheetData>
    <row r="1" customFormat="false" ht="21.6" hidden="false" customHeight="false" outlineLevel="0" collapsed="false">
      <c r="A1" s="6" t="s">
        <v>1559</v>
      </c>
    </row>
    <row r="2" customFormat="false" ht="15" hidden="false" customHeight="false" outlineLevel="0" collapsed="false">
      <c r="A2" s="7" t="s">
        <v>1560</v>
      </c>
    </row>
    <row r="4" customFormat="false" ht="17.15" hidden="false" customHeight="false" outlineLevel="0" collapsed="false">
      <c r="A4" s="15" t="s">
        <v>1561</v>
      </c>
      <c r="B4" s="15" t="s">
        <v>88</v>
      </c>
      <c r="C4" s="16" t="s">
        <v>1562</v>
      </c>
      <c r="D4" s="16" t="s">
        <v>1563</v>
      </c>
      <c r="E4" s="15" t="s">
        <v>1564</v>
      </c>
      <c r="F4" s="15" t="s">
        <v>1565</v>
      </c>
      <c r="G4" s="15" t="s">
        <v>1566</v>
      </c>
      <c r="H4" s="15"/>
      <c r="I4" s="16" t="s">
        <v>1567</v>
      </c>
      <c r="J4" s="16" t="s">
        <v>1568</v>
      </c>
      <c r="K4" s="15" t="s">
        <v>1569</v>
      </c>
      <c r="L4" s="15" t="s">
        <v>1570</v>
      </c>
      <c r="M4" s="15" t="s">
        <v>1419</v>
      </c>
    </row>
    <row r="5" customFormat="false" ht="15" hidden="false" customHeight="false" outlineLevel="0" collapsed="false">
      <c r="A5" s="20" t="s">
        <v>1571</v>
      </c>
      <c r="B5" s="21"/>
      <c r="C5" s="21"/>
      <c r="D5" s="21"/>
      <c r="E5" s="21"/>
      <c r="F5" s="21"/>
      <c r="G5" s="21"/>
      <c r="H5" s="21"/>
    </row>
    <row r="6" customFormat="false" ht="15" hidden="false" customHeight="false" outlineLevel="2" collapsed="false">
      <c r="A6" s="4" t="s">
        <v>1572</v>
      </c>
      <c r="B6" s="12" t="s">
        <v>93</v>
      </c>
      <c r="C6" s="38" t="n">
        <v>16.139</v>
      </c>
      <c r="I6" s="12" t="s">
        <v>1573</v>
      </c>
    </row>
    <row r="7" customFormat="false" ht="15" hidden="false" customHeight="false" outlineLevel="2" collapsed="false">
      <c r="A7" s="4" t="s">
        <v>1574</v>
      </c>
      <c r="B7" s="12" t="s">
        <v>179</v>
      </c>
      <c r="C7" s="22" t="n">
        <v>850</v>
      </c>
      <c r="I7" s="12" t="s">
        <v>1575</v>
      </c>
    </row>
    <row r="8" customFormat="false" ht="15" hidden="false" customHeight="false" outlineLevel="2" collapsed="false">
      <c r="A8" s="4" t="s">
        <v>1576</v>
      </c>
      <c r="B8" s="12" t="s">
        <v>179</v>
      </c>
      <c r="C8" s="22" t="n">
        <v>1500</v>
      </c>
      <c r="I8" s="7" t="s">
        <v>259</v>
      </c>
    </row>
    <row r="9" customFormat="false" ht="15" hidden="false" customHeight="false" outlineLevel="2" collapsed="false">
      <c r="A9" s="3" t="s">
        <v>1577</v>
      </c>
      <c r="B9" s="12" t="s">
        <v>93</v>
      </c>
      <c r="C9" s="38" t="n">
        <v>20.903</v>
      </c>
      <c r="I9" s="12" t="s">
        <v>1578</v>
      </c>
    </row>
    <row r="10" customFormat="false" ht="15" hidden="false" customHeight="false" outlineLevel="2" collapsed="false">
      <c r="A10" s="3" t="s">
        <v>1579</v>
      </c>
      <c r="B10" s="12" t="s">
        <v>93</v>
      </c>
      <c r="C10" s="38" t="n">
        <v>33.823</v>
      </c>
      <c r="I10" s="7" t="s">
        <v>259</v>
      </c>
    </row>
    <row r="11" customFormat="false" ht="15" hidden="false" customHeight="false" outlineLevel="2" collapsed="false">
      <c r="A11" s="3" t="s">
        <v>1580</v>
      </c>
      <c r="B11" s="12" t="s">
        <v>93</v>
      </c>
      <c r="C11" s="38" t="n">
        <v>1.51</v>
      </c>
      <c r="I11" s="12" t="s">
        <v>1581</v>
      </c>
    </row>
    <row r="12" customFormat="false" ht="15" hidden="false" customHeight="false" outlineLevel="2" collapsed="false">
      <c r="A12" s="4" t="s">
        <v>1582</v>
      </c>
      <c r="B12" s="7" t="s">
        <v>254</v>
      </c>
      <c r="C12" s="22" t="n">
        <v>6</v>
      </c>
      <c r="I12" s="12" t="s">
        <v>1583</v>
      </c>
    </row>
    <row r="13" customFormat="false" ht="15" hidden="false" customHeight="false" outlineLevel="0" collapsed="false">
      <c r="A13" s="20" t="s">
        <v>1584</v>
      </c>
      <c r="B13" s="21"/>
      <c r="C13" s="21"/>
      <c r="D13" s="21"/>
      <c r="E13" s="21"/>
      <c r="F13" s="21"/>
      <c r="G13" s="21"/>
      <c r="H13" s="21"/>
    </row>
    <row r="14" customFormat="false" ht="15" hidden="false" customHeight="false" outlineLevel="2" collapsed="false">
      <c r="A14" s="3" t="s">
        <v>1585</v>
      </c>
      <c r="B14" s="7" t="s">
        <v>361</v>
      </c>
      <c r="C14" s="58" t="n">
        <f aca="false">每MW經濟性!C126</f>
        <v>0.891019087752599</v>
      </c>
      <c r="D14" s="58" t="n">
        <f aca="false">每MW經濟性!C139</f>
        <v>0.91130964597661</v>
      </c>
      <c r="E14" s="71" t="n">
        <f aca="false">IF(AND(ISNUMBER(C14),ISNUMBER(D14)),D14/MAX(0.000000001,C14)-1,"不適用")</f>
        <v>0.0227723047720441</v>
      </c>
      <c r="F14" s="58" t="n">
        <f aca="false">IF(輸入與假設!$C$121=1,每MW經濟性!C139,每MW經濟性!C130)</f>
        <v>0.91130964597661</v>
      </c>
      <c r="G14" s="48" t="str">
        <f aca="false">"4a"</f>
        <v>4a</v>
      </c>
      <c r="I14" s="12" t="s">
        <v>1586</v>
      </c>
      <c r="J14" s="12" t="s">
        <v>1587</v>
      </c>
      <c r="K14" s="7" t="s">
        <v>1588</v>
      </c>
      <c r="L14" s="7" t="s">
        <v>1589</v>
      </c>
      <c r="M14" s="12" t="s">
        <v>1590</v>
      </c>
    </row>
    <row r="15" customFormat="false" ht="15" hidden="false" customHeight="false" outlineLevel="2" collapsed="false">
      <c r="A15" s="3" t="s">
        <v>1591</v>
      </c>
      <c r="B15" s="7" t="s">
        <v>361</v>
      </c>
      <c r="C15" s="58" t="n">
        <f aca="false">每MW經濟性!C126</f>
        <v>0.891019087752599</v>
      </c>
      <c r="D15" s="87" t="s">
        <v>936</v>
      </c>
      <c r="E15" s="71" t="str">
        <f aca="false">IF(AND(ISNUMBER(C15),ISNUMBER(D15)),D15/MAX(0.000000001,C15)-1,"不適用")</f>
        <v>不適用</v>
      </c>
      <c r="F15" s="87" t="n">
        <f aca="false">每MW經濟性!C130</f>
        <v>0.891019087752599</v>
      </c>
      <c r="G15" s="48" t="str">
        <f aca="false">IF(ISNUMBER(E15),IF(ABS(E15)&lt;=0.1,"1","3"),"3")</f>
        <v>3</v>
      </c>
      <c r="I15" s="12" t="s">
        <v>1592</v>
      </c>
      <c r="J15" s="12" t="s">
        <v>1593</v>
      </c>
      <c r="K15" s="7" t="s">
        <v>1594</v>
      </c>
      <c r="L15" s="7" t="s">
        <v>1595</v>
      </c>
      <c r="M15" s="12" t="s">
        <v>1596</v>
      </c>
    </row>
    <row r="16" customFormat="false" ht="15" hidden="false" customHeight="false" outlineLevel="2" collapsed="false">
      <c r="A16" s="3" t="s">
        <v>1597</v>
      </c>
      <c r="B16" s="12" t="s">
        <v>77</v>
      </c>
      <c r="C16" s="23" t="n">
        <v>0</v>
      </c>
      <c r="D16" s="71" t="s">
        <v>936</v>
      </c>
      <c r="E16" s="71" t="str">
        <f aca="false">IF(AND(ISNUMBER(C16),ISNUMBER(D16)),D16/MAX(0.000000001,C16)-1,"不適用")</f>
        <v>不適用</v>
      </c>
      <c r="F16" s="71" t="n">
        <f aca="false">每MW經濟性!C128</f>
        <v>0</v>
      </c>
      <c r="G16" s="48" t="str">
        <f aca="false">IF(ISNUMBER(E16),IF(ABS(E16)&lt;=0.1,"1","3"),"3")</f>
        <v>3</v>
      </c>
      <c r="I16" s="7" t="s">
        <v>1598</v>
      </c>
      <c r="J16" s="7" t="s">
        <v>1599</v>
      </c>
      <c r="K16" s="7" t="s">
        <v>1600</v>
      </c>
      <c r="L16" s="7" t="s">
        <v>1601</v>
      </c>
      <c r="M16" s="12" t="s">
        <v>1602</v>
      </c>
    </row>
    <row r="17" customFormat="false" ht="15" hidden="false" customHeight="false" outlineLevel="2" collapsed="false">
      <c r="A17" s="3" t="s">
        <v>1603</v>
      </c>
      <c r="B17" s="12" t="s">
        <v>396</v>
      </c>
      <c r="C17" s="87" t="n">
        <f aca="false">SUMPRODUCT(每MW經濟性!C51:C55,輸入與假設!$C$99:$C$103)</f>
        <v>0.672768</v>
      </c>
      <c r="D17" s="87" t="s">
        <v>936</v>
      </c>
      <c r="E17" s="71" t="str">
        <f aca="false">IF(AND(ISNUMBER(C17),ISNUMBER(D17)),D17/MAX(0.000000001,C17)-1,"不適用")</f>
        <v>不適用</v>
      </c>
      <c r="F17" s="87" t="n">
        <f aca="false">每MW經濟性!C81</f>
        <v>0.672768</v>
      </c>
      <c r="G17" s="48" t="str">
        <f aca="false">IF(ISNUMBER(E17),IF(ABS(E17)&lt;=0.1,"1","—"),"—")</f>
        <v>—</v>
      </c>
      <c r="I17" s="12" t="s">
        <v>1604</v>
      </c>
      <c r="J17" s="7" t="s">
        <v>1605</v>
      </c>
      <c r="K17" s="12" t="s">
        <v>1606</v>
      </c>
      <c r="L17" s="7" t="s">
        <v>1607</v>
      </c>
      <c r="M17" s="12" t="s">
        <v>1608</v>
      </c>
    </row>
    <row r="18" customFormat="false" ht="15" hidden="false" customHeight="false" outlineLevel="2" collapsed="false">
      <c r="A18" s="4" t="s">
        <v>1609</v>
      </c>
      <c r="B18" s="12" t="s">
        <v>396</v>
      </c>
      <c r="C18" s="87" t="n">
        <f aca="false">(SUMPRODUCT(每MW經濟性!C69:C73,輸入與假設!$C$105:$C$109)+SUMPRODUCT(每MW經濟性!C74:C78,輸入與假設!$D$105:$D$109))/MAX(每MW經濟性!C50,0.000000001)</f>
        <v>0.172486912161015</v>
      </c>
      <c r="D18" s="87" t="s">
        <v>936</v>
      </c>
      <c r="E18" s="71" t="str">
        <f aca="false">IF(AND(ISNUMBER(C18),ISNUMBER(D18)),D18/MAX(0.000000001,C18)-1,"不適用")</f>
        <v>不適用</v>
      </c>
      <c r="F18" s="87" t="n">
        <f aca="false">每MW經濟性!C82</f>
        <v>0.172486912161015</v>
      </c>
      <c r="G18" s="48" t="str">
        <f aca="false">IF(ISNUMBER(E18),IF(ABS(E18)&lt;=0.1,"1","—"),"—")</f>
        <v>—</v>
      </c>
      <c r="I18" s="12" t="s">
        <v>1610</v>
      </c>
      <c r="J18" s="7" t="s">
        <v>1611</v>
      </c>
      <c r="K18" s="12" t="s">
        <v>1612</v>
      </c>
      <c r="L18" s="7" t="s">
        <v>1613</v>
      </c>
      <c r="M18" s="12" t="s">
        <v>1614</v>
      </c>
    </row>
    <row r="19" customFormat="false" ht="15" hidden="false" customHeight="false" outlineLevel="2" collapsed="false">
      <c r="A19" s="3" t="s">
        <v>1615</v>
      </c>
      <c r="B19" s="12" t="s">
        <v>396</v>
      </c>
      <c r="C19" s="87" t="n">
        <f aca="false">SUMPRODUCT(每MW經濟性!C51:C55,輸入與假設!$E$99:$E$103)</f>
        <v>0.325</v>
      </c>
      <c r="D19" s="87" t="s">
        <v>936</v>
      </c>
      <c r="E19" s="71" t="str">
        <f aca="false">IF(AND(ISNUMBER(C19),ISNUMBER(D19)),D19/MAX(0.000000001,C19)-1,"不適用")</f>
        <v>不適用</v>
      </c>
      <c r="F19" s="87" t="n">
        <f aca="false">每MW經濟性!C86</f>
        <v>0.325</v>
      </c>
      <c r="G19" s="48" t="str">
        <f aca="false">IF(ISNUMBER(E19),IF(ABS(E19)&lt;=0.1,"1","—"),"—")</f>
        <v>—</v>
      </c>
      <c r="I19" s="12" t="s">
        <v>1616</v>
      </c>
      <c r="J19" s="7" t="s">
        <v>1617</v>
      </c>
      <c r="K19" s="7" t="s">
        <v>1618</v>
      </c>
      <c r="L19" s="7" t="s">
        <v>1619</v>
      </c>
      <c r="M19" s="12" t="s">
        <v>1620</v>
      </c>
    </row>
    <row r="20" customFormat="false" ht="15" hidden="false" customHeight="false" outlineLevel="2" collapsed="false">
      <c r="A20" s="3" t="s">
        <v>1621</v>
      </c>
      <c r="B20" s="12" t="s">
        <v>396</v>
      </c>
      <c r="C20" s="87" t="n">
        <f aca="false">SUMPRODUCT(每MW經濟性!C51:C55,輸入與假設!$F$99:$F$103)</f>
        <v>0.143744513016328</v>
      </c>
      <c r="D20" s="87" t="s">
        <v>936</v>
      </c>
      <c r="E20" s="71" t="str">
        <f aca="false">IF(AND(ISNUMBER(C20),ISNUMBER(D20)),D20/MAX(0.000000001,C20)-1,"不適用")</f>
        <v>不適用</v>
      </c>
      <c r="F20" s="87" t="n">
        <f aca="false">每MW經濟性!C87</f>
        <v>0.143744513016328</v>
      </c>
      <c r="G20" s="48" t="str">
        <f aca="false">IF(ISNUMBER(E20),IF(ABS(E20)&lt;=0.1,"1","—"),"—")</f>
        <v>—</v>
      </c>
      <c r="I20" s="12" t="s">
        <v>1622</v>
      </c>
      <c r="J20" s="7" t="s">
        <v>1623</v>
      </c>
      <c r="K20" s="7" t="s">
        <v>1459</v>
      </c>
      <c r="L20" s="7" t="s">
        <v>1619</v>
      </c>
    </row>
    <row r="21" customFormat="false" ht="15" hidden="false" customHeight="false" outlineLevel="2" collapsed="false">
      <c r="A21" s="3" t="s">
        <v>1624</v>
      </c>
      <c r="B21" s="12" t="s">
        <v>396</v>
      </c>
      <c r="C21" s="87" t="n">
        <f aca="false">C17+C18+C19+C20</f>
        <v>1.31399942517734</v>
      </c>
      <c r="D21" s="87" t="n">
        <f aca="false">(輸入與假設!$C$143+輸入與假設!$C$144-輸入與假設!$C$149-輸入與假設!$C$150-輸入與假設!$C$151)*4/(輸入與假設!$C$41-輸入與假設!$C$155/2)*1000</f>
        <v>1.3568</v>
      </c>
      <c r="E21" s="71" t="n">
        <f aca="false">IF(AND(ISNUMBER(C21),ISNUMBER(D21)),D21/MAX(0.000000001,C21)-1,"不適用")</f>
        <v>0.0325727500351687</v>
      </c>
      <c r="F21" s="87" t="n">
        <f aca="false">每MW經濟性!C176</f>
        <v>1.31399942517734</v>
      </c>
      <c r="G21" s="48" t="str">
        <f aca="false">IF(ISNUMBER(E21),IF(ABS(E21)&lt;=0.1,"1","3"),"3")</f>
        <v>1</v>
      </c>
      <c r="I21" s="7" t="s">
        <v>1625</v>
      </c>
      <c r="J21" s="12" t="s">
        <v>1626</v>
      </c>
      <c r="K21" s="12" t="s">
        <v>1627</v>
      </c>
      <c r="L21" s="7" t="s">
        <v>1628</v>
      </c>
      <c r="M21" s="12" t="s">
        <v>1629</v>
      </c>
    </row>
    <row r="22" customFormat="false" ht="15" hidden="false" customHeight="false" outlineLevel="2" collapsed="false">
      <c r="A22" s="3" t="s">
        <v>1630</v>
      </c>
      <c r="B22" s="12" t="s">
        <v>396</v>
      </c>
      <c r="C22" s="87" t="n">
        <f aca="false">每MW經濟性!C179</f>
        <v>1.6</v>
      </c>
      <c r="D22" s="87" t="n">
        <f aca="false">輸入與假設!$C$151*4/(輸入與假設!$C$41-輸入與假設!$C$155/2)*1000</f>
        <v>1.6</v>
      </c>
      <c r="E22" s="71" t="n">
        <f aca="false">IF(AND(ISNUMBER(C22),ISNUMBER(D22)),D22/MAX(0.000000001,C22)-1,"不適用")</f>
        <v>0</v>
      </c>
      <c r="F22" s="87" t="n">
        <f aca="false">每MW經濟性!C179</f>
        <v>1.6</v>
      </c>
      <c r="G22" s="48" t="str">
        <f aca="false">IF(ISNUMBER(E22),IF(ABS(E22)&lt;=0.1,"1","1"),"1")</f>
        <v>1</v>
      </c>
      <c r="I22" s="7" t="s">
        <v>1631</v>
      </c>
      <c r="J22" s="12" t="s">
        <v>1632</v>
      </c>
      <c r="K22" s="12" t="s">
        <v>1633</v>
      </c>
      <c r="L22" s="7" t="s">
        <v>1634</v>
      </c>
      <c r="M22" s="12" t="s">
        <v>1635</v>
      </c>
    </row>
    <row r="23" customFormat="false" ht="15" hidden="false" customHeight="false" outlineLevel="2" collapsed="false">
      <c r="A23" s="3" t="s">
        <v>1636</v>
      </c>
      <c r="B23" s="12" t="s">
        <v>396</v>
      </c>
      <c r="C23" s="87" t="n">
        <f aca="false">每MW經濟性!C168</f>
        <v>30.592814</v>
      </c>
      <c r="D23" s="87" t="n">
        <f aca="false">$C$6/($C$8-$C$7)*1000</f>
        <v>24.8292307692308</v>
      </c>
      <c r="E23" s="71" t="n">
        <f aca="false">IF(AND(ISNUMBER(C23),ISNUMBER(D23)),D23/MAX(0.000000001,C23)-1,"不適用")</f>
        <v>-0.188396635587992</v>
      </c>
      <c r="F23" s="87" t="n">
        <f aca="false">每MW經濟性!C167*輸入與假設!$C$166</f>
        <v>30.592814</v>
      </c>
      <c r="G23" s="48" t="str">
        <f aca="false">IF(ISNUMBER(E23),IF(ABS(E23)&lt;=0.1,"1","3"),"3")</f>
        <v>3</v>
      </c>
      <c r="I23" s="12" t="s">
        <v>1637</v>
      </c>
      <c r="J23" s="12" t="s">
        <v>1638</v>
      </c>
      <c r="K23" s="7" t="s">
        <v>1639</v>
      </c>
      <c r="L23" s="7" t="s">
        <v>1640</v>
      </c>
      <c r="M23" s="12" t="s">
        <v>1641</v>
      </c>
    </row>
    <row r="24" customFormat="false" ht="15" hidden="false" customHeight="false" outlineLevel="2" collapsed="false">
      <c r="A24" s="3" t="s">
        <v>1642</v>
      </c>
      <c r="B24" s="12" t="s">
        <v>396</v>
      </c>
      <c r="C24" s="87" t="n">
        <f aca="false">每MW經濟性!C168</f>
        <v>30.592814</v>
      </c>
      <c r="D24" s="87" t="n">
        <f aca="false">($C$10-$C$9)/($C$8-$C$7)*1000</f>
        <v>19.8769230769231</v>
      </c>
      <c r="E24" s="71" t="n">
        <f aca="false">IF(AND(ISNUMBER(C24),ISNUMBER(D24)),D24/MAX(0.000000001,C24)-1,"不適用")</f>
        <v>-0.350274771162827</v>
      </c>
      <c r="I24" s="12" t="s">
        <v>1643</v>
      </c>
      <c r="J24" s="12" t="s">
        <v>1644</v>
      </c>
      <c r="K24" s="7" t="s">
        <v>1645</v>
      </c>
      <c r="L24" s="7" t="s">
        <v>1646</v>
      </c>
      <c r="M24" s="12" t="s">
        <v>1647</v>
      </c>
    </row>
    <row r="25" customFormat="false" ht="15" hidden="false" customHeight="false" outlineLevel="2" collapsed="false">
      <c r="A25" s="3" t="s">
        <v>1648</v>
      </c>
      <c r="B25" s="7" t="s">
        <v>254</v>
      </c>
      <c r="C25" s="70" t="n">
        <f aca="false">SUMPRODUCT(輸入與假設!$C$42:$C$46,輸入與假設!$G$93:$G$97)</f>
        <v>6</v>
      </c>
      <c r="D25" s="70" t="n">
        <f aca="false">$C$12</f>
        <v>6</v>
      </c>
      <c r="E25" s="71" t="n">
        <f aca="false">IF(AND(ISNUMBER(C25),ISNUMBER(D25)),D25/MAX(0.000000001,C25)-1,"不適用")</f>
        <v>0</v>
      </c>
      <c r="F25" s="70" t="n">
        <f aca="false">輸入與假設!$C$162</f>
        <v>6</v>
      </c>
      <c r="G25" s="48" t="str">
        <f aca="false">IF(ISNUMBER(E25),IF(ABS(E25)&lt;=0.1,"1","1"),"1")</f>
        <v>1</v>
      </c>
      <c r="I25" s="12" t="s">
        <v>1649</v>
      </c>
      <c r="J25" s="7" t="s">
        <v>1650</v>
      </c>
      <c r="K25" s="7" t="s">
        <v>1651</v>
      </c>
      <c r="L25" s="7" t="s">
        <v>1652</v>
      </c>
      <c r="M25" s="12" t="s">
        <v>1653</v>
      </c>
    </row>
    <row r="26" customFormat="false" ht="15" hidden="false" customHeight="false" outlineLevel="0" collapsed="false">
      <c r="A26" s="20" t="s">
        <v>1654</v>
      </c>
      <c r="B26" s="21"/>
      <c r="C26" s="21"/>
      <c r="D26" s="21"/>
      <c r="E26" s="21"/>
      <c r="F26" s="21"/>
      <c r="G26" s="21"/>
      <c r="H26" s="21"/>
    </row>
    <row r="27" customFormat="false" ht="15" hidden="false" customHeight="false" outlineLevel="2" collapsed="false">
      <c r="A27" s="3" t="s">
        <v>1655</v>
      </c>
      <c r="B27" s="12" t="s">
        <v>77</v>
      </c>
      <c r="C27" s="71" t="n">
        <f aca="false">((輸入與假設!$C$47*輸入與假設!$C$49*IF(輸入與假設!$C$110-輸入與假設!$C$48&gt;0,1,0)+輸入與假設!$C$54*輸入與假設!$C$56*IF(輸入與假設!$C$110-輸入與假設!$C$55&gt;0,1,0)+輸入與假設!$C$61*輸入與假設!$C$63*IF(輸入與假設!$C$110-輸入與假設!$C$62&gt;0,1,0)+輸入與假設!$C$68*輸入與假設!$C$70*IF(輸入與假設!$C$110-輸入與假設!$C$69&gt;0,1,0))+(輸入與假設!$C$47*輸入與假設!$C$50*IF(輸入與假設!$C$110-輸入與假設!$C$48&gt;0,1,0)+輸入與假設!$C$54*輸入與假設!$C$57*IF(輸入與假設!$C$110-輸入與假設!$C$55&gt;0,1,0)+輸入與假設!$C$61*輸入與假設!$C$64*IF(輸入與假設!$C$110-輸入與假設!$C$62&gt;0,1,0)+輸入與假設!$C$68*輸入與假設!$C$71*IF(輸入與假設!$C$110-輸入與假設!$C$69&gt;0,1,0))+(輸入與假設!$C$47*輸入與假設!$C$51*IF(輸入與假設!$C$110-輸入與假設!$C$48&gt;0,1,0)+輸入與假設!$C$54*輸入與假設!$C$58*IF(輸入與假設!$C$110-輸入與假設!$C$55&gt;0,1,0)+輸入與假設!$C$61*輸入與假設!$C$65*IF(輸入與假設!$C$110-輸入與假設!$C$62&gt;0,1,0)+輸入與假設!$C$68*輸入與假設!$C$72*IF(輸入與假設!$C$110-輸入與假設!$C$69&gt;0,1,0))+(輸入與假設!$C$47*輸入與假設!$C$52*IF(輸入與假設!$C$110-輸入與假設!$C$48&gt;0,1,0)+輸入與假設!$C$54*輸入與假設!$C$59*IF(輸入與假設!$C$110-輸入與假設!$C$55&gt;0,1,0)+輸入與假設!$C$61*輸入與假設!$C$66*IF(輸入與假設!$C$110-輸入與假設!$C$62&gt;0,1,0)+輸入與假設!$C$68*輸入與假設!$C$73*IF(輸入與假設!$C$110-輸入與假設!$C$69&gt;0,1,0))+(輸入與假設!$C$47*輸入與假設!$C$53*IF(輸入與假設!$C$110-輸入與假設!$C$48&gt;0,1,0)+輸入與假設!$C$54*輸入與假設!$C$60*IF(輸入與假設!$C$110-輸入與假設!$C$55&gt;0,1,0)+輸入與假設!$C$61*輸入與假設!$C$67*IF(輸入與假設!$C$110-輸入與假設!$C$62&gt;0,1,0)+輸入與假設!$C$68*輸入與假設!$C$74*IF(輸入與假設!$C$110-輸入與假設!$C$69&gt;0,1,0)))/輸入與假設!$C$41</f>
        <v>0.953333333333333</v>
      </c>
      <c r="I27" s="12" t="s">
        <v>1656</v>
      </c>
    </row>
    <row r="28" customFormat="false" ht="15" hidden="false" customHeight="false" outlineLevel="2" collapsed="false">
      <c r="A28" s="3" t="s">
        <v>1657</v>
      </c>
      <c r="B28" s="12" t="s">
        <v>396</v>
      </c>
      <c r="C28" s="87" t="n">
        <f aca="false">輸入與假設!$C$42*(TK_PowerCost_H100+TK_StaffSW_H100+TK_TaxIns_H100*TK_CapexIT_H100/TK_CapexTotal_H100)*輸入與假設!$F$93+((輸入與假設!$C$47*輸入與假設!$C$49*IF(輸入與假設!$C$110-輸入與假設!$C$48&gt;0,1,0)+輸入與假設!$C$54*輸入與假設!$C$56*IF(輸入與假設!$C$110-輸入與假設!$C$55&gt;0,1,0)+輸入與假設!$C$61*輸入與假設!$C$63*IF(輸入與假設!$C$110-輸入與假設!$C$62&gt;0,1,0)+輸入與假設!$C$68*輸入與假設!$C$70*IF(輸入與假設!$C$110-輸入與假設!$C$69&gt;0,1,0))*TK_MaintITWarr_H100+(輸入與假設!$C$41*輸入與假設!$C$42-(輸入與假設!$C$47*輸入與假設!$C$49*IF(輸入與假設!$C$110-輸入與假設!$C$48&gt;0,1,0)+輸入與假設!$C$54*輸入與假設!$C$56*IF(輸入與假設!$C$110-輸入與假設!$C$55&gt;0,1,0)+輸入與假設!$C$61*輸入與假設!$C$63*IF(輸入與假設!$C$110-輸入與假設!$C$62&gt;0,1,0)+輸入與假設!$C$68*輸入與假設!$C$70*IF(輸入與假設!$C$110-輸入與假設!$C$69&gt;0,1,0)))*TK_MaintITPost_H100)/輸入與假設!$C$41*輸入與假設!$F$93+輸入與假設!$C$43*(TK_PowerCost_GB200+TK_StaffSW_GB200+TK_TaxIns_GB200*TK_CapexIT_GB200/TK_CapexTotal_GB200)*輸入與假設!$F$94+((輸入與假設!$C$47*輸入與假設!$C$50*IF(輸入與假設!$C$110-輸入與假設!$C$48&gt;0,1,0)+輸入與假設!$C$54*輸入與假設!$C$57*IF(輸入與假設!$C$110-輸入與假設!$C$55&gt;0,1,0)+輸入與假設!$C$61*輸入與假設!$C$64*IF(輸入與假設!$C$110-輸入與假設!$C$62&gt;0,1,0)+輸入與假設!$C$68*輸入與假設!$C$71*IF(輸入與假設!$C$110-輸入與假設!$C$69&gt;0,1,0))*TK_MaintITWarr_GB200+(輸入與假設!$C$41*輸入與假設!$C$43-(輸入與假設!$C$47*輸入與假設!$C$50*IF(輸入與假設!$C$110-輸入與假設!$C$48&gt;0,1,0)+輸入與假設!$C$54*輸入與假設!$C$57*IF(輸入與假設!$C$110-輸入與假設!$C$55&gt;0,1,0)+輸入與假設!$C$61*輸入與假設!$C$64*IF(輸入與假設!$C$110-輸入與假設!$C$62&gt;0,1,0)+輸入與假設!$C$68*輸入與假設!$C$71*IF(輸入與假設!$C$110-輸入與假設!$C$69&gt;0,1,0)))*TK_MaintITPost_GB200)/輸入與假設!$C$41*輸入與假設!$F$94+輸入與假設!$C$44*(TK_PowerCost_GB300+TK_StaffSW_GB300+TK_TaxIns_GB300*TK_CapexIT_GB300/TK_CapexTotal_GB300)*輸入與假設!$F$95+((輸入與假設!$C$47*輸入與假設!$C$51*IF(輸入與假設!$C$110-輸入與假設!$C$48&gt;0,1,0)+輸入與假設!$C$54*輸入與假設!$C$58*IF(輸入與假設!$C$110-輸入與假設!$C$55&gt;0,1,0)+輸入與假設!$C$61*輸入與假設!$C$65*IF(輸入與假設!$C$110-輸入與假設!$C$62&gt;0,1,0)+輸入與假設!$C$68*輸入與假設!$C$72*IF(輸入與假設!$C$110-輸入與假設!$C$69&gt;0,1,0))*TK_MaintITWarr_GB300+(輸入與假設!$C$41*輸入與假設!$C$44-(輸入與假設!$C$47*輸入與假設!$C$51*IF(輸入與假設!$C$110-輸入與假設!$C$48&gt;0,1,0)+輸入與假設!$C$54*輸入與假設!$C$58*IF(輸入與假設!$C$110-輸入與假設!$C$55&gt;0,1,0)+輸入與假設!$C$61*輸入與假設!$C$65*IF(輸入與假設!$C$110-輸入與假設!$C$62&gt;0,1,0)+輸入與假設!$C$68*輸入與假設!$C$72*IF(輸入與假設!$C$110-輸入與假設!$C$69&gt;0,1,0)))*TK_MaintITPost_GB300)/輸入與假設!$C$41*輸入與假設!$F$95+輸入與假設!$C$45*(TK_PowerCost_VR200+TK_StaffSW_VR200+TK_TaxIns_VR200*TK_CapexIT_VR200/TK_CapexTotal_VR200)*輸入與假設!$F$96+((輸入與假設!$C$47*輸入與假設!$C$52*IF(輸入與假設!$C$110-輸入與假設!$C$48&gt;0,1,0)+輸入與假設!$C$54*輸入與假設!$C$59*IF(輸入與假設!$C$110-輸入與假設!$C$55&gt;0,1,0)+輸入與假設!$C$61*輸入與假設!$C$66*IF(輸入與假設!$C$110-輸入與假設!$C$62&gt;0,1,0)+輸入與假設!$C$68*輸入與假設!$C$73*IF(輸入與假設!$C$110-輸入與假設!$C$69&gt;0,1,0))*TK_MaintITWarr_VR200+(輸入與假設!$C$41*輸入與假設!$C$45-(輸入與假設!$C$47*輸入與假設!$C$52*IF(輸入與假設!$C$110-輸入與假設!$C$48&gt;0,1,0)+輸入與假設!$C$54*輸入與假設!$C$59*IF(輸入與假設!$C$110-輸入與假設!$C$55&gt;0,1,0)+輸入與假設!$C$61*輸入與假設!$C$66*IF(輸入與假設!$C$110-輸入與假設!$C$62&gt;0,1,0)+輸入與假設!$C$68*輸入與假設!$C$73*IF(輸入與假設!$C$110-輸入與假設!$C$69&gt;0,1,0)))*TK_MaintITPost_VR200)/輸入與假設!$C$41*輸入與假設!$F$96+輸入與假設!$C$46*(TK_PowerCost_RU+TK_StaffSW_RU+TK_TaxIns_RU*TK_CapexIT_RU/TK_CapexTotal_RU)*輸入與假設!$F$97+((輸入與假設!$C$47*輸入與假設!$C$53*IF(輸入與假設!$C$110-輸入與假設!$C$48&gt;0,1,0)+輸入與假設!$C$54*輸入與假設!$C$60*IF(輸入與假設!$C$110-輸入與假設!$C$55&gt;0,1,0)+輸入與假設!$C$61*輸入與假設!$C$67*IF(輸入與假設!$C$110-輸入與假設!$C$62&gt;0,1,0)+輸入與假設!$C$68*輸入與假設!$C$74*IF(輸入與假設!$C$110-輸入與假設!$C$69&gt;0,1,0))*TK_MaintITWarr_RU+(輸入與假設!$C$41*輸入與假設!$C$46-(輸入與假設!$C$47*輸入與假設!$C$53*IF(輸入與假設!$C$110-輸入與假設!$C$48&gt;0,1,0)+輸入與假設!$C$54*輸入與假設!$C$60*IF(輸入與假設!$C$110-輸入與假設!$C$55&gt;0,1,0)+輸入與假設!$C$61*輸入與假設!$C$67*IF(輸入與假設!$C$110-輸入與假設!$C$62&gt;0,1,0)+輸入與假設!$C$68*輸入與假設!$C$74*IF(輸入與假設!$C$110-輸入與假設!$C$69&gt;0,1,0)))*TK_MaintITPost_RU)/輸入與假設!$C$41*輸入與假設!$F$97</f>
        <v>1.31520093782763</v>
      </c>
      <c r="I28" s="12" t="s">
        <v>1658</v>
      </c>
    </row>
    <row r="29" customFormat="false" ht="15" hidden="false" customHeight="false" outlineLevel="2" collapsed="false">
      <c r="A29" s="2" t="s">
        <v>1659</v>
      </c>
      <c r="B29" s="7" t="s">
        <v>361</v>
      </c>
      <c r="C29" s="87" t="n">
        <f aca="false">D21/C28</f>
        <v>1.03162943469389</v>
      </c>
      <c r="I29" s="7" t="s">
        <v>1660</v>
      </c>
    </row>
    <row r="30" customFormat="false" ht="15" hidden="false" customHeight="false" outlineLevel="2" collapsed="false">
      <c r="A30" s="3" t="s">
        <v>1661</v>
      </c>
      <c r="B30" s="12" t="s">
        <v>396</v>
      </c>
      <c r="C30" s="87" t="n">
        <f aca="false">輸入與假設!$C$76*TK_CapexIT_H100*輸入與假設!$F$93+輸入與假設!$C$77*TK_CapexIT_GB200*輸入與假設!$F$94+輸入與假設!$C$78*TK_CapexIT_GB300*輸入與假設!$F$95+輸入與假設!$C$79*TK_CapexIT_VR200*輸入與假設!$F$96+輸入與假設!$C$80*TK_CapexIT_RU*輸入與假設!$F$97</f>
        <v>30.592814</v>
      </c>
      <c r="I30" s="12" t="s">
        <v>1662</v>
      </c>
    </row>
    <row r="31" customFormat="false" ht="15" hidden="false" customHeight="false" outlineLevel="2" collapsed="false">
      <c r="A31" s="2" t="s">
        <v>1663</v>
      </c>
      <c r="B31" s="7" t="s">
        <v>361</v>
      </c>
      <c r="C31" s="87" t="n">
        <f aca="false">D23/C30</f>
        <v>0.811603364412008</v>
      </c>
      <c r="I31" s="7" t="s">
        <v>1664</v>
      </c>
    </row>
    <row r="32" customFormat="false" ht="15" hidden="false" customHeight="false" outlineLevel="2" collapsed="false">
      <c r="A32" s="2" t="s">
        <v>1665</v>
      </c>
      <c r="B32" s="7" t="s">
        <v>361</v>
      </c>
      <c r="C32" s="87" t="n">
        <f aca="false">40/TK_HoldEcon_GB300</f>
        <v>3.67430551650556</v>
      </c>
      <c r="I32" s="12" t="s">
        <v>1666</v>
      </c>
    </row>
    <row r="33" customFormat="false" ht="15" hidden="false" customHeight="false" outlineLevel="0" collapsed="false">
      <c r="A33" s="41" t="s">
        <v>1667</v>
      </c>
      <c r="B33" s="21"/>
      <c r="C33" s="21"/>
      <c r="D33" s="21"/>
      <c r="E33" s="21"/>
      <c r="F33" s="21"/>
      <c r="G33" s="21"/>
      <c r="H33" s="21"/>
    </row>
    <row r="34" customFormat="false" ht="15" hidden="false" customHeight="false" outlineLevel="2" collapsed="false">
      <c r="A34" s="4" t="s">
        <v>1668</v>
      </c>
      <c r="B34" s="12" t="s">
        <v>396</v>
      </c>
      <c r="C34" s="87" t="n">
        <f aca="false">每MW經濟性!C8</f>
        <v>8.23237923794364</v>
      </c>
      <c r="D34" s="87" t="n">
        <f aca="false">每MW經濟性!C134</f>
        <v>8.24</v>
      </c>
      <c r="E34" s="71" t="n">
        <f aca="false">IF(AND(ISNUMBER(C34),ISNUMBER(D34)),D34/MAX(0.000000001,C34)-1,"不適用")</f>
        <v>0.000925705903007446</v>
      </c>
      <c r="K34" s="7" t="s">
        <v>1669</v>
      </c>
    </row>
    <row r="35" customFormat="false" ht="15" hidden="false" customHeight="false" outlineLevel="2" collapsed="false">
      <c r="A35" s="4" t="s">
        <v>1670</v>
      </c>
      <c r="B35" s="12" t="s">
        <v>396</v>
      </c>
      <c r="C35" s="87" t="n">
        <f aca="false">每MW經濟性!C176</f>
        <v>1.31399942517734</v>
      </c>
      <c r="D35" s="87" t="n">
        <f aca="false">(輸入與假設!$C$143+輸入與假設!$C$144-輸入與假設!$C$149-輸入與假設!$C$150-輸入與假設!$C$151)*4/(輸入與假設!$C$41-輸入與假設!$C$155/2)*1000</f>
        <v>1.3568</v>
      </c>
      <c r="E35" s="71" t="n">
        <f aca="false">IF(AND(ISNUMBER(C35),ISNUMBER(D35)),D35/MAX(0.000000001,C35)-1,"不適用")</f>
        <v>0.0325727500351687</v>
      </c>
      <c r="K35" s="12" t="s">
        <v>1671</v>
      </c>
    </row>
    <row r="36" customFormat="false" ht="15" hidden="false" customHeight="false" outlineLevel="2" collapsed="false">
      <c r="A36" s="4" t="s">
        <v>1672</v>
      </c>
      <c r="B36" s="12" t="s">
        <v>396</v>
      </c>
      <c r="C36" s="87" t="n">
        <f aca="false">每MW經濟性!C179</f>
        <v>1.6</v>
      </c>
      <c r="D36" s="87" t="n">
        <f aca="false">輸入與假設!$C$151*4/(輸入與假設!$C$41-輸入與假設!$C$155/2)*1000</f>
        <v>1.6</v>
      </c>
      <c r="E36" s="71" t="n">
        <f aca="false">IF(AND(ISNUMBER(C36),ISNUMBER(D36)),D36/MAX(0.000000001,C36)-1,"不適用")</f>
        <v>0</v>
      </c>
      <c r="K36" s="12" t="s">
        <v>1673</v>
      </c>
    </row>
    <row r="37" customFormat="false" ht="15" hidden="false" customHeight="false" outlineLevel="2" collapsed="false">
      <c r="A37" s="4" t="s">
        <v>1674</v>
      </c>
      <c r="B37" s="12" t="s">
        <v>396</v>
      </c>
      <c r="C37" s="87" t="n">
        <f aca="false">每MW經濟性!C14</f>
        <v>0.453979748267183</v>
      </c>
      <c r="D37" s="87" t="n">
        <f aca="false">(輸入與假設!$C$145-輸入與假設!$C$146+輸入與假設!$C$147-輸入與假設!$C$148)*4/(輸入與假設!$C$41-輸入與假設!$C$155/2)*1000</f>
        <v>0.4544</v>
      </c>
      <c r="E37" s="71" t="n">
        <f aca="false">IF(AND(ISNUMBER(C37),ISNUMBER(D37)),D37/MAX(0.000000001,C37)-1,"不適用")</f>
        <v>0.000925705903007223</v>
      </c>
      <c r="K37" s="7" t="s">
        <v>1675</v>
      </c>
    </row>
    <row r="38" customFormat="false" ht="15" hidden="false" customHeight="false" outlineLevel="2" collapsed="false">
      <c r="A38" s="4" t="s">
        <v>1676</v>
      </c>
      <c r="B38" s="12" t="s">
        <v>396</v>
      </c>
      <c r="C38" s="87" t="n">
        <f aca="false">每MW經濟性!C17</f>
        <v>4.86440006449912</v>
      </c>
      <c r="D38" s="87" t="n">
        <f aca="false">$C$11*4/(輸入與假設!$C$41-輸入與假設!$C$155/2)*1000</f>
        <v>4.832</v>
      </c>
      <c r="E38" s="71" t="n">
        <f aca="false">IF(AND(ISNUMBER(C38),ISNUMBER(D38)),D38/MAX(0.000000001,C38)-1,"不適用")</f>
        <v>-0.00666064963191937</v>
      </c>
      <c r="K38" s="12" t="s">
        <v>1677</v>
      </c>
    </row>
    <row r="39" customFormat="false" ht="15" hidden="false" customHeight="false" outlineLevel="2" collapsed="false">
      <c r="A39" s="4" t="s">
        <v>1678</v>
      </c>
      <c r="B39" s="12" t="s">
        <v>77</v>
      </c>
      <c r="C39" s="71" t="n">
        <f aca="false">輸入與假設!C$134</f>
        <v>0.590886294703084</v>
      </c>
      <c r="D39" s="71" t="n">
        <f aca="false">$C$11/輸入與假設!$C$142</f>
        <v>0.586407766990291</v>
      </c>
      <c r="E39" s="88" t="n">
        <f aca="false">C39-D39</f>
        <v>0.00447852771279256</v>
      </c>
      <c r="K39" s="7" t="s">
        <v>1679</v>
      </c>
    </row>
    <row r="40" customFormat="false" ht="15" hidden="false" customHeight="false" outlineLevel="2" collapsed="false"/>
    <row r="41" customFormat="false" ht="15" hidden="false" customHeight="false" outlineLevel="2" collapsed="false">
      <c r="A41" s="2" t="s">
        <v>1680</v>
      </c>
    </row>
    <row r="42" customFormat="false" ht="15" hidden="false" customHeight="false" outlineLevel="2" collapsed="false">
      <c r="A42" s="7" t="s">
        <v>1681</v>
      </c>
      <c r="I42" s="12" t="s">
        <v>1682</v>
      </c>
    </row>
    <row r="43" customFormat="false" ht="15" hidden="false" customHeight="false" outlineLevel="2" collapsed="false">
      <c r="A43" s="7" t="s">
        <v>1683</v>
      </c>
      <c r="I43" s="12" t="s">
        <v>1684</v>
      </c>
    </row>
    <row r="44" customFormat="false" ht="15" hidden="false" customHeight="false" outlineLevel="2" collapsed="false">
      <c r="A44" s="7" t="s">
        <v>1685</v>
      </c>
      <c r="I44" s="7" t="s">
        <v>1686</v>
      </c>
    </row>
    <row r="45" customFormat="false" ht="15" hidden="false" customHeight="false" outlineLevel="2" collapsed="false">
      <c r="A45" s="7" t="s">
        <v>1687</v>
      </c>
      <c r="I45" s="7" t="s">
        <v>1688</v>
      </c>
    </row>
    <row r="46" customFormat="false" ht="15" hidden="false" customHeight="false" outlineLevel="2" collapsed="false">
      <c r="A46" s="7" t="s">
        <v>1689</v>
      </c>
      <c r="I46" s="7" t="s">
        <v>1690</v>
      </c>
    </row>
    <row r="47" customFormat="false" ht="15" hidden="false" customHeight="false" outlineLevel="2" collapsed="false">
      <c r="A47" s="7" t="s">
        <v>1691</v>
      </c>
      <c r="I47" s="12" t="s">
        <v>1692</v>
      </c>
    </row>
    <row r="48" customFormat="false" ht="15" hidden="false" customHeight="false" outlineLevel="2" collapsed="false">
      <c r="A48" s="7" t="s">
        <v>1693</v>
      </c>
      <c r="I48" s="7" t="s">
        <v>1694</v>
      </c>
    </row>
    <row r="49" customFormat="false" ht="15" hidden="false" customHeight="false" outlineLevel="2" collapsed="false">
      <c r="A49" s="7" t="s">
        <v>1695</v>
      </c>
      <c r="I49" s="7" t="s">
        <v>1696</v>
      </c>
    </row>
    <row r="50" customFormat="false" ht="15" hidden="false" customHeight="false" outlineLevel="2" collapsed="false">
      <c r="A50" s="7" t="s">
        <v>1697</v>
      </c>
      <c r="I50" s="12" t="s">
        <v>1698</v>
      </c>
    </row>
    <row r="51" customFormat="false" ht="15" hidden="false" customHeight="false" outlineLevel="2" collapsed="false">
      <c r="A51" s="7" t="s">
        <v>1699</v>
      </c>
      <c r="I51" s="12" t="s">
        <v>1700</v>
      </c>
    </row>
    <row r="52" customFormat="false" ht="15" hidden="false" customHeight="false" outlineLevel="2" collapsed="false">
      <c r="A52" s="7" t="s">
        <v>1701</v>
      </c>
      <c r="I52" s="12" t="s">
        <v>1702</v>
      </c>
    </row>
    <row r="53" customFormat="false" ht="15" hidden="false" customHeight="false" outlineLevel="2" collapsed="false">
      <c r="A53" s="7" t="s">
        <v>1703</v>
      </c>
      <c r="I53" s="12" t="s">
        <v>1704</v>
      </c>
    </row>
    <row r="54" customFormat="false" ht="15" hidden="false" customHeight="false" outlineLevel="2" collapsed="false">
      <c r="A54" s="7" t="s">
        <v>1705</v>
      </c>
      <c r="I54" s="12" t="s">
        <v>1706</v>
      </c>
    </row>
    <row r="55" customFormat="false" ht="15" hidden="false" customHeight="false" outlineLevel="2" collapsed="false">
      <c r="A55" s="7" t="s">
        <v>1707</v>
      </c>
      <c r="I55" s="7" t="s">
        <v>1708</v>
      </c>
    </row>
    <row r="56" customFormat="false" ht="15" hidden="false" customHeight="false" outlineLevel="2" collapsed="false">
      <c r="A56" s="7" t="s">
        <v>1709</v>
      </c>
      <c r="I56" s="12" t="s">
        <v>1710</v>
      </c>
    </row>
    <row r="57" customFormat="false" ht="15" hidden="false" customHeight="false" outlineLevel="2" collapsed="false">
      <c r="A57" s="7" t="s">
        <v>1711</v>
      </c>
      <c r="I57" s="12" t="s">
        <v>1712</v>
      </c>
    </row>
    <row r="58" customFormat="false" ht="15" hidden="false" customHeight="false" outlineLevel="2" collapsed="false">
      <c r="A58" s="7" t="s">
        <v>1713</v>
      </c>
      <c r="I58" s="7" t="s">
        <v>1714</v>
      </c>
    </row>
    <row r="59" customFormat="false" ht="15" hidden="false" customHeight="false" outlineLevel="2" collapsed="false">
      <c r="A59" s="7" t="s">
        <v>1715</v>
      </c>
      <c r="I59" s="12" t="s">
        <v>1716</v>
      </c>
    </row>
    <row r="60" customFormat="false" ht="15" hidden="false" customHeight="false" outlineLevel="2" collapsed="false">
      <c r="A60" s="7" t="s">
        <v>1717</v>
      </c>
      <c r="I60" s="7" t="s">
        <v>1718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6" t="s">
        <v>1719</v>
      </c>
    </row>
    <row r="2" customFormat="false" ht="15" hidden="false" customHeight="false" outlineLevel="0" collapsed="false">
      <c r="A2" s="7" t="s">
        <v>1720</v>
      </c>
    </row>
    <row r="4" customFormat="false" ht="17.15" hidden="false" customHeight="false" outlineLevel="0" collapsed="false">
      <c r="A4" s="15" t="s">
        <v>1721</v>
      </c>
      <c r="B4" s="15" t="s">
        <v>1722</v>
      </c>
      <c r="C4" s="15" t="s">
        <v>1723</v>
      </c>
      <c r="D4" s="15" t="s">
        <v>1724</v>
      </c>
      <c r="E4" s="16" t="s">
        <v>1725</v>
      </c>
      <c r="F4" s="15" t="s">
        <v>1726</v>
      </c>
      <c r="I4" s="15" t="s">
        <v>660</v>
      </c>
    </row>
    <row r="5" customFormat="false" ht="15" hidden="false" customHeight="false" outlineLevel="0" collapsed="false">
      <c r="A5" s="4" t="s">
        <v>1727</v>
      </c>
      <c r="B5" s="7" t="s">
        <v>1728</v>
      </c>
      <c r="C5" s="12" t="s">
        <v>1729</v>
      </c>
      <c r="D5" s="23" t="n">
        <v>0.15</v>
      </c>
      <c r="E5" s="24" t="n">
        <v>1.3</v>
      </c>
      <c r="F5" s="70" t="n">
        <f aca="false">D5*E5</f>
        <v>0.195</v>
      </c>
      <c r="I5" s="7" t="s">
        <v>1730</v>
      </c>
    </row>
    <row r="6" customFormat="false" ht="15" hidden="false" customHeight="false" outlineLevel="0" collapsed="false">
      <c r="A6" s="4" t="s">
        <v>1731</v>
      </c>
      <c r="B6" s="7" t="s">
        <v>1728</v>
      </c>
      <c r="C6" s="12" t="s">
        <v>1732</v>
      </c>
      <c r="D6" s="23" t="n">
        <v>0.11</v>
      </c>
      <c r="E6" s="24" t="n">
        <v>3.19</v>
      </c>
      <c r="F6" s="70" t="n">
        <f aca="false">D6*E6</f>
        <v>0.3509</v>
      </c>
      <c r="I6" s="12" t="s">
        <v>635</v>
      </c>
    </row>
    <row r="7" customFormat="false" ht="15" hidden="false" customHeight="false" outlineLevel="0" collapsed="false">
      <c r="A7" s="4" t="s">
        <v>1733</v>
      </c>
      <c r="B7" s="7" t="s">
        <v>1728</v>
      </c>
      <c r="C7" s="12" t="s">
        <v>1734</v>
      </c>
      <c r="D7" s="23" t="n">
        <v>0.09</v>
      </c>
      <c r="E7" s="24" t="n">
        <v>3</v>
      </c>
      <c r="F7" s="70" t="n">
        <f aca="false">D7*E7</f>
        <v>0.27</v>
      </c>
      <c r="I7" s="12" t="s">
        <v>635</v>
      </c>
    </row>
    <row r="8" customFormat="false" ht="15" hidden="false" customHeight="false" outlineLevel="0" collapsed="false">
      <c r="A8" s="4" t="s">
        <v>1735</v>
      </c>
      <c r="B8" s="7" t="s">
        <v>1728</v>
      </c>
      <c r="C8" s="12" t="s">
        <v>1732</v>
      </c>
      <c r="D8" s="23" t="n">
        <v>0.09</v>
      </c>
      <c r="E8" s="24" t="n">
        <v>2.215</v>
      </c>
      <c r="F8" s="70" t="n">
        <f aca="false">D8*E8</f>
        <v>0.19935</v>
      </c>
      <c r="I8" s="12" t="s">
        <v>635</v>
      </c>
    </row>
    <row r="9" customFormat="false" ht="15" hidden="false" customHeight="false" outlineLevel="0" collapsed="false">
      <c r="A9" s="4" t="s">
        <v>1736</v>
      </c>
      <c r="B9" s="7" t="s">
        <v>1728</v>
      </c>
      <c r="C9" s="12" t="s">
        <v>1737</v>
      </c>
      <c r="D9" s="23" t="n">
        <v>0.09</v>
      </c>
      <c r="E9" s="24" t="n">
        <v>1.101</v>
      </c>
      <c r="F9" s="70" t="n">
        <f aca="false">D9*E9</f>
        <v>0.09909</v>
      </c>
      <c r="I9" s="12" t="s">
        <v>1738</v>
      </c>
    </row>
    <row r="10" customFormat="false" ht="15" hidden="false" customHeight="false" outlineLevel="0" collapsed="false">
      <c r="A10" s="4" t="s">
        <v>1739</v>
      </c>
      <c r="B10" s="7" t="s">
        <v>1728</v>
      </c>
      <c r="C10" s="12" t="s">
        <v>1740</v>
      </c>
      <c r="D10" s="23" t="n">
        <v>0.1</v>
      </c>
      <c r="E10" s="24" t="n">
        <v>2</v>
      </c>
      <c r="F10" s="70" t="n">
        <f aca="false">D10*E10</f>
        <v>0.2</v>
      </c>
      <c r="I10" s="7" t="s">
        <v>1741</v>
      </c>
    </row>
    <row r="11" customFormat="false" ht="15" hidden="false" customHeight="false" outlineLevel="0" collapsed="false">
      <c r="A11" s="4" t="s">
        <v>1742</v>
      </c>
      <c r="B11" s="7" t="s">
        <v>1728</v>
      </c>
      <c r="C11" s="12" t="s">
        <v>1743</v>
      </c>
      <c r="D11" s="23" t="n">
        <v>0.1</v>
      </c>
      <c r="E11" s="24" t="n">
        <v>1.75</v>
      </c>
      <c r="F11" s="70" t="n">
        <f aca="false">D11*E11</f>
        <v>0.175</v>
      </c>
      <c r="I11" s="12" t="s">
        <v>635</v>
      </c>
    </row>
    <row r="12" customFormat="false" ht="15" hidden="false" customHeight="false" outlineLevel="0" collapsed="false">
      <c r="A12" s="4" t="s">
        <v>1744</v>
      </c>
      <c r="B12" s="7" t="s">
        <v>1728</v>
      </c>
      <c r="C12" s="12" t="s">
        <v>1745</v>
      </c>
      <c r="D12" s="23" t="n">
        <v>0.1</v>
      </c>
      <c r="E12" s="24" t="n">
        <v>2.75</v>
      </c>
      <c r="F12" s="70" t="n">
        <f aca="false">D12*E12</f>
        <v>0.275</v>
      </c>
      <c r="I12" s="12" t="s">
        <v>1746</v>
      </c>
    </row>
    <row r="13" customFormat="false" ht="15" hidden="false" customHeight="false" outlineLevel="0" collapsed="false">
      <c r="A13" s="4" t="s">
        <v>1747</v>
      </c>
      <c r="B13" s="7" t="s">
        <v>1728</v>
      </c>
      <c r="C13" s="12" t="s">
        <v>1748</v>
      </c>
      <c r="D13" s="23" t="n">
        <v>0.1</v>
      </c>
      <c r="E13" s="24" t="n">
        <v>1.25</v>
      </c>
      <c r="F13" s="70" t="n">
        <f aca="false">D13*E13</f>
        <v>0.125</v>
      </c>
      <c r="I13" s="12" t="s">
        <v>1749</v>
      </c>
    </row>
    <row r="14" customFormat="false" ht="15" hidden="false" customHeight="false" outlineLevel="0" collapsed="false">
      <c r="A14" s="4" t="s">
        <v>1750</v>
      </c>
      <c r="B14" s="7" t="s">
        <v>1728</v>
      </c>
      <c r="C14" s="12" t="s">
        <v>1748</v>
      </c>
      <c r="D14" s="23" t="n">
        <v>0.09</v>
      </c>
      <c r="E14" s="24" t="n">
        <v>2.279</v>
      </c>
      <c r="F14" s="70" t="n">
        <f aca="false">D14*E14</f>
        <v>0.20511</v>
      </c>
      <c r="I14" s="7" t="s">
        <v>1751</v>
      </c>
    </row>
    <row r="15" customFormat="false" ht="15" hidden="false" customHeight="false" outlineLevel="0" collapsed="false">
      <c r="A15" s="4" t="s">
        <v>1752</v>
      </c>
      <c r="B15" s="7" t="s">
        <v>1728</v>
      </c>
      <c r="C15" s="12" t="s">
        <v>1753</v>
      </c>
      <c r="D15" s="23" t="n">
        <v>0.02</v>
      </c>
      <c r="E15" s="24" t="n">
        <v>2.588</v>
      </c>
      <c r="F15" s="70" t="n">
        <f aca="false">D15*E15</f>
        <v>0.05176</v>
      </c>
      <c r="I15" s="12" t="s">
        <v>635</v>
      </c>
    </row>
    <row r="16" customFormat="false" ht="15" hidden="false" customHeight="false" outlineLevel="0" collapsed="false">
      <c r="A16" s="4" t="s">
        <v>1754</v>
      </c>
      <c r="B16" s="7" t="s">
        <v>1728</v>
      </c>
      <c r="C16" s="12" t="s">
        <v>1755</v>
      </c>
      <c r="D16" s="23" t="n">
        <v>0.02</v>
      </c>
      <c r="E16" s="24" t="n">
        <v>4</v>
      </c>
      <c r="F16" s="70" t="n">
        <f aca="false">D16*E16</f>
        <v>0.08</v>
      </c>
      <c r="I16" s="7" t="s">
        <v>1756</v>
      </c>
    </row>
    <row r="17" customFormat="false" ht="15" hidden="false" customHeight="false" outlineLevel="0" collapsed="false">
      <c r="A17" s="4" t="s">
        <v>1757</v>
      </c>
      <c r="B17" s="7" t="s">
        <v>1728</v>
      </c>
      <c r="C17" s="12" t="s">
        <v>1758</v>
      </c>
      <c r="D17" s="23" t="n">
        <v>0.11</v>
      </c>
      <c r="E17" s="24" t="n">
        <v>4.22</v>
      </c>
      <c r="F17" s="70" t="n">
        <f aca="false">D17*E17</f>
        <v>0.4642</v>
      </c>
      <c r="I17" s="7" t="s">
        <v>1759</v>
      </c>
    </row>
    <row r="18" customFormat="false" ht="15" hidden="false" customHeight="false" outlineLevel="0" collapsed="false">
      <c r="A18" s="4" t="s">
        <v>1760</v>
      </c>
      <c r="B18" s="7" t="s">
        <v>1728</v>
      </c>
      <c r="C18" s="12" t="s">
        <v>1761</v>
      </c>
      <c r="D18" s="23" t="n">
        <v>0.12</v>
      </c>
      <c r="E18" s="24" t="n">
        <v>0.189</v>
      </c>
      <c r="F18" s="70" t="n">
        <f aca="false">D18*E18</f>
        <v>0.02268</v>
      </c>
      <c r="I18" s="12" t="s">
        <v>635</v>
      </c>
    </row>
    <row r="19" customFormat="false" ht="15" hidden="false" customHeight="false" outlineLevel="0" collapsed="false">
      <c r="A19" s="4" t="s">
        <v>1762</v>
      </c>
      <c r="B19" s="7" t="s">
        <v>1763</v>
      </c>
      <c r="C19" s="12" t="s">
        <v>1764</v>
      </c>
      <c r="D19" s="23" t="n">
        <v>0.07</v>
      </c>
      <c r="E19" s="24" t="n">
        <v>2.837</v>
      </c>
      <c r="F19" s="70" t="n">
        <f aca="false">D19*E19</f>
        <v>0.19859</v>
      </c>
      <c r="I19" s="12" t="s">
        <v>1765</v>
      </c>
    </row>
    <row r="20" customFormat="false" ht="15" hidden="false" customHeight="false" outlineLevel="0" collapsed="false">
      <c r="A20" s="4" t="s">
        <v>1766</v>
      </c>
      <c r="B20" s="7" t="s">
        <v>1763</v>
      </c>
      <c r="C20" s="12" t="s">
        <v>1767</v>
      </c>
      <c r="D20" s="23" t="n">
        <v>0.09</v>
      </c>
      <c r="E20" s="24" t="n">
        <v>0.882</v>
      </c>
      <c r="F20" s="70" t="n">
        <f aca="false">D20*E20</f>
        <v>0.07938</v>
      </c>
      <c r="I20" s="12" t="s">
        <v>635</v>
      </c>
    </row>
    <row r="21" customFormat="false" ht="15" hidden="false" customHeight="false" outlineLevel="0" collapsed="false">
      <c r="A21" s="2" t="s">
        <v>1768</v>
      </c>
      <c r="E21" s="61" t="n">
        <f aca="false">SUM(E5:E20)</f>
        <v>35.551</v>
      </c>
      <c r="F21" s="61" t="n">
        <f aca="false">SUM(F5:F20)</f>
        <v>2.99106</v>
      </c>
      <c r="I21" s="7" t="s">
        <v>1769</v>
      </c>
    </row>
    <row r="22" customFormat="false" ht="15" hidden="false" customHeight="false" outlineLevel="0" collapsed="false">
      <c r="A22" s="2" t="s">
        <v>1770</v>
      </c>
      <c r="D22" s="89" t="n">
        <f aca="false">F21/E21</f>
        <v>0.084134342212596</v>
      </c>
      <c r="I22" s="7" t="s">
        <v>1771</v>
      </c>
    </row>
    <row r="24" customFormat="false" ht="15" hidden="false" customHeight="false" outlineLevel="0" collapsed="false">
      <c r="A24" s="4" t="s">
        <v>1772</v>
      </c>
      <c r="D24" s="90" t="n">
        <v>0.02875</v>
      </c>
      <c r="E24" s="24" t="n">
        <v>3.7</v>
      </c>
      <c r="F24" s="11" t="n">
        <f aca="false">D24*E24</f>
        <v>0.106375</v>
      </c>
      <c r="I24" s="7" t="s">
        <v>1773</v>
      </c>
    </row>
    <row r="26" customFormat="false" ht="15" hidden="false" customHeight="false" outlineLevel="0" collapsed="false">
      <c r="A26" s="54" t="s">
        <v>1774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1" collapsed="false">
      <c r="A27" s="15" t="s">
        <v>87</v>
      </c>
      <c r="B27" s="15" t="s">
        <v>88</v>
      </c>
      <c r="C27" s="27" t="s">
        <v>89</v>
      </c>
      <c r="D27" s="27" t="s">
        <v>90</v>
      </c>
      <c r="E27" s="27" t="s">
        <v>91</v>
      </c>
      <c r="F27" s="27" t="s">
        <v>175</v>
      </c>
      <c r="G27" s="27" t="s">
        <v>176</v>
      </c>
      <c r="I27" s="15" t="s">
        <v>796</v>
      </c>
    </row>
    <row r="28" customFormat="false" ht="15" hidden="false" customHeight="false" outlineLevel="1" collapsed="false">
      <c r="A28" s="3" t="s">
        <v>1775</v>
      </c>
      <c r="B28" s="12" t="s">
        <v>93</v>
      </c>
      <c r="C28" s="70" t="n">
        <f aca="false">E21</f>
        <v>35.551</v>
      </c>
      <c r="D28" s="70" t="n">
        <f aca="false">C30</f>
        <v>31.138</v>
      </c>
      <c r="E28" s="70" t="n">
        <f aca="false">D30</f>
        <v>24.954</v>
      </c>
      <c r="F28" s="70" t="n">
        <f aca="false">E30</f>
        <v>20.538</v>
      </c>
      <c r="G28" s="70" t="n">
        <f aca="false">F30</f>
        <v>18.117</v>
      </c>
      <c r="I28" s="12" t="s">
        <v>1776</v>
      </c>
    </row>
    <row r="29" customFormat="false" ht="15" hidden="false" customHeight="false" outlineLevel="1" collapsed="false">
      <c r="A29" s="3" t="s">
        <v>1777</v>
      </c>
      <c r="B29" s="12" t="s">
        <v>93</v>
      </c>
      <c r="C29" s="46" t="n">
        <f aca="false">輸入與假設!C$208</f>
        <v>4.413</v>
      </c>
      <c r="D29" s="46" t="n">
        <f aca="false">輸入與假設!D$208</f>
        <v>6.184</v>
      </c>
      <c r="E29" s="46" t="n">
        <f aca="false">輸入與假設!E$208</f>
        <v>4.416</v>
      </c>
      <c r="F29" s="46" t="n">
        <f aca="false">輸入與假設!F$208</f>
        <v>2.421</v>
      </c>
      <c r="G29" s="46" t="n">
        <f aca="false">輸入與假設!G$208</f>
        <v>3.221</v>
      </c>
      <c r="I29" s="12" t="s">
        <v>1778</v>
      </c>
    </row>
    <row r="30" customFormat="false" ht="15" hidden="false" customHeight="false" outlineLevel="1" collapsed="false">
      <c r="A30" s="3" t="s">
        <v>1779</v>
      </c>
      <c r="B30" s="12" t="s">
        <v>93</v>
      </c>
      <c r="C30" s="70" t="n">
        <f aca="false">C28-C29</f>
        <v>31.138</v>
      </c>
      <c r="D30" s="70" t="n">
        <f aca="false">D28-D29</f>
        <v>24.954</v>
      </c>
      <c r="E30" s="70" t="n">
        <f aca="false">E28-E29</f>
        <v>20.538</v>
      </c>
      <c r="F30" s="70" t="n">
        <f aca="false">F28-F29</f>
        <v>18.117</v>
      </c>
      <c r="G30" s="70" t="n">
        <f aca="false">G28-G29</f>
        <v>14.896</v>
      </c>
    </row>
    <row r="31" customFormat="false" ht="15" hidden="false" customHeight="false" outlineLevel="1" collapsed="false">
      <c r="A31" s="3" t="s">
        <v>1780</v>
      </c>
      <c r="B31" s="12" t="s">
        <v>93</v>
      </c>
      <c r="C31" s="70" t="n">
        <f aca="false">(C28+C30)/2</f>
        <v>33.3445</v>
      </c>
      <c r="D31" s="70" t="n">
        <f aca="false">(D28+D30)/2</f>
        <v>28.046</v>
      </c>
      <c r="E31" s="70" t="n">
        <f aca="false">(E28+E30)/2</f>
        <v>22.746</v>
      </c>
      <c r="F31" s="70" t="n">
        <f aca="false">(F28+F30)/2</f>
        <v>19.3275</v>
      </c>
      <c r="G31" s="70" t="n">
        <f aca="false">(G28+G30)/2</f>
        <v>16.5065</v>
      </c>
    </row>
    <row r="32" customFormat="false" ht="15" hidden="false" customHeight="false" outlineLevel="1" collapsed="false">
      <c r="A32" s="3" t="s">
        <v>1781</v>
      </c>
      <c r="B32" s="12" t="s">
        <v>93</v>
      </c>
      <c r="C32" s="70" t="n">
        <f aca="false">C31*資產負債_既有債務!$D$22*輸入與假設!C$24</f>
        <v>1.40270878695395</v>
      </c>
      <c r="D32" s="70" t="n">
        <f aca="false">D31*資產負債_既有債務!$D$22*輸入與假設!D$24</f>
        <v>2.35963176169447</v>
      </c>
      <c r="E32" s="70" t="n">
        <f aca="false">E31*資產負債_既有債務!$D$22*輸入與假設!E$24</f>
        <v>1.91371974796771</v>
      </c>
      <c r="F32" s="70" t="n">
        <f aca="false">F31*資產負債_既有債務!$D$22*輸入與假設!F$24</f>
        <v>1.62610649911395</v>
      </c>
      <c r="G32" s="70" t="n">
        <f aca="false">G31*資產負債_既有債務!$D$22*輸入與假設!G$24</f>
        <v>1.38876351973222</v>
      </c>
      <c r="I32" s="7" t="s">
        <v>1782</v>
      </c>
    </row>
    <row r="33" customFormat="false" ht="15" hidden="false" customHeight="false" outlineLevel="1" collapsed="false">
      <c r="A33" s="4" t="s">
        <v>1783</v>
      </c>
      <c r="B33" s="12" t="s">
        <v>93</v>
      </c>
      <c r="C33" s="70" t="n">
        <f aca="false">資產負債_既有債務!$F$24*輸入與假設!C$24</f>
        <v>0.0531875</v>
      </c>
      <c r="D33" s="70" t="n">
        <f aca="false">資產負債_既有債務!$F$24*輸入與假設!D$24</f>
        <v>0.106375</v>
      </c>
      <c r="E33" s="70" t="n">
        <f aca="false">資產負債_既有債務!$F$24*輸入與假設!E$24</f>
        <v>0.106375</v>
      </c>
      <c r="F33" s="70" t="n">
        <f aca="false">資產負債_既有債務!$F$24*輸入與假設!F$24</f>
        <v>0.106375</v>
      </c>
      <c r="G33" s="70" t="n">
        <f aca="false">資產負債_既有債務!$F$24*輸入與假設!G$24</f>
        <v>0.106375</v>
      </c>
    </row>
    <row r="34" customFormat="false" ht="15" hidden="false" customHeight="false" outlineLevel="1" collapsed="false">
      <c r="A34" s="4" t="s">
        <v>1784</v>
      </c>
      <c r="B34" s="12" t="s">
        <v>93</v>
      </c>
      <c r="C34" s="24" t="n">
        <f aca="false">0.35</f>
        <v>0.35</v>
      </c>
      <c r="D34" s="24" t="n">
        <f aca="false">0</f>
        <v>0</v>
      </c>
      <c r="E34" s="24" t="n">
        <f aca="false">0</f>
        <v>0</v>
      </c>
      <c r="F34" s="24" t="n">
        <f aca="false">0</f>
        <v>0</v>
      </c>
      <c r="G34" s="24" t="n">
        <f aca="false">0</f>
        <v>0</v>
      </c>
      <c r="I34" s="12" t="s">
        <v>1785</v>
      </c>
    </row>
    <row r="35" customFormat="false" ht="15" hidden="false" customHeight="false" outlineLevel="1" collapsed="false">
      <c r="A35" s="2" t="s">
        <v>1786</v>
      </c>
      <c r="B35" s="12" t="s">
        <v>93</v>
      </c>
      <c r="C35" s="42" t="n">
        <f aca="false">C32+C33+C34</f>
        <v>1.80589628695395</v>
      </c>
      <c r="D35" s="42" t="n">
        <f aca="false">D32+D33+D34</f>
        <v>2.46600676169447</v>
      </c>
      <c r="E35" s="42" t="n">
        <f aca="false">E32+E33+E34</f>
        <v>2.02009474796771</v>
      </c>
      <c r="F35" s="42" t="n">
        <f aca="false">F32+F33+F34</f>
        <v>1.73248149911395</v>
      </c>
      <c r="G35" s="42" t="n">
        <f aca="false">G32+G33+G34</f>
        <v>1.49513851973222</v>
      </c>
      <c r="I35" s="12" t="s">
        <v>1787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6" t="s">
        <v>1788</v>
      </c>
    </row>
    <row r="2" customFormat="false" ht="15" hidden="false" customHeight="false" outlineLevel="0" collapsed="false">
      <c r="A2" s="7" t="s">
        <v>1789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796</v>
      </c>
    </row>
    <row r="5" customFormat="false" ht="15" hidden="false" customHeight="false" outlineLevel="0" collapsed="false">
      <c r="A5" s="54" t="s">
        <v>1790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1791</v>
      </c>
      <c r="B6" s="12" t="s">
        <v>93</v>
      </c>
      <c r="C6" s="70" t="n">
        <f aca="false">輸入與假設!$C$189</f>
        <v>5.5</v>
      </c>
      <c r="D6" s="70" t="n">
        <f aca="false">各期收支!C41</f>
        <v>2</v>
      </c>
      <c r="E6" s="70" t="n">
        <f aca="false">各期收支!D41</f>
        <v>2</v>
      </c>
      <c r="F6" s="70" t="n">
        <f aca="false">各期收支!E41</f>
        <v>2</v>
      </c>
      <c r="G6" s="70" t="n">
        <f aca="false">各期收支!F41</f>
        <v>2</v>
      </c>
      <c r="I6" s="12" t="s">
        <v>1792</v>
      </c>
    </row>
    <row r="7" customFormat="false" ht="15" hidden="false" customHeight="false" outlineLevel="1" collapsed="false">
      <c r="A7" s="3" t="s">
        <v>1793</v>
      </c>
      <c r="B7" s="12" t="s">
        <v>93</v>
      </c>
      <c r="C7" s="70" t="n">
        <f aca="false">各期收支!C71-輸入與假設!$C$189</f>
        <v>-14.5600271399705</v>
      </c>
      <c r="D7" s="70" t="n">
        <f aca="false">各期收支!D71-各期收支!C71</f>
        <v>-32.249004461815</v>
      </c>
      <c r="E7" s="70" t="n">
        <f aca="false">各期收支!E71-各期收支!D71</f>
        <v>-16.5841954340544</v>
      </c>
      <c r="F7" s="70" t="n">
        <f aca="false">各期收支!F71-各期收支!E71</f>
        <v>-9.71492918087935</v>
      </c>
      <c r="G7" s="70" t="n">
        <f aca="false">各期收支!G71-各期收支!F71</f>
        <v>-11.7105174802001</v>
      </c>
      <c r="I7" s="7" t="s">
        <v>1794</v>
      </c>
    </row>
    <row r="8" customFormat="false" ht="15" hidden="false" customHeight="false" outlineLevel="1" collapsed="false">
      <c r="A8" s="3" t="s">
        <v>1795</v>
      </c>
      <c r="B8" s="12" t="s">
        <v>93</v>
      </c>
      <c r="C8" s="70" t="n">
        <f aca="false">各期收支!C58</f>
        <v>11.581180251278</v>
      </c>
      <c r="D8" s="70" t="n">
        <f aca="false">各期收支!D58</f>
        <v>36.583857894978</v>
      </c>
      <c r="E8" s="70" t="n">
        <f aca="false">各期收支!E58</f>
        <v>8.05701193686176</v>
      </c>
      <c r="F8" s="70" t="n">
        <f aca="false">各期收支!F58</f>
        <v>0.888683990203305</v>
      </c>
      <c r="G8" s="70" t="n">
        <f aca="false">各期收支!G58</f>
        <v>19.2537639652895</v>
      </c>
    </row>
    <row r="9" customFormat="false" ht="15" hidden="false" customHeight="false" outlineLevel="1" collapsed="false">
      <c r="A9" s="3" t="s">
        <v>1796</v>
      </c>
      <c r="B9" s="12" t="s">
        <v>93</v>
      </c>
      <c r="C9" s="70" t="n">
        <f aca="false">各期收支!C62</f>
        <v>0</v>
      </c>
      <c r="D9" s="70" t="n">
        <f aca="false">各期收支!D62</f>
        <v>0</v>
      </c>
      <c r="E9" s="70" t="n">
        <f aca="false">各期收支!E62</f>
        <v>3.42604432349237</v>
      </c>
      <c r="F9" s="70" t="n">
        <f aca="false">各期收支!F62</f>
        <v>4.32396315465228</v>
      </c>
      <c r="G9" s="70" t="n">
        <f aca="false">各期收支!G62</f>
        <v>0</v>
      </c>
    </row>
    <row r="10" customFormat="false" ht="15" hidden="false" customHeight="false" outlineLevel="1" collapsed="false">
      <c r="A10" s="3" t="s">
        <v>1797</v>
      </c>
      <c r="B10" s="12" t="s">
        <v>93</v>
      </c>
      <c r="C10" s="70" t="n">
        <f aca="false">各期收支!C61</f>
        <v>0</v>
      </c>
      <c r="D10" s="70" t="n">
        <f aca="false">各期收支!D61</f>
        <v>0</v>
      </c>
      <c r="E10" s="70" t="n">
        <f aca="false">各期收支!E61</f>
        <v>10.572249</v>
      </c>
      <c r="F10" s="70" t="n">
        <f aca="false">各期收支!F61</f>
        <v>10.572249</v>
      </c>
      <c r="G10" s="70" t="n">
        <f aca="false">各期收支!G61</f>
        <v>0.259559235762922</v>
      </c>
    </row>
    <row r="11" customFormat="false" ht="15" hidden="false" customHeight="false" outlineLevel="1" collapsed="false">
      <c r="A11" s="3" t="s">
        <v>1798</v>
      </c>
      <c r="B11" s="12" t="s">
        <v>93</v>
      </c>
      <c r="C11" s="70" t="n">
        <f aca="false">-各期收支!C63</f>
        <v>-0.521153111307509</v>
      </c>
      <c r="D11" s="70" t="n">
        <f aca="false">-各期收支!D63</f>
        <v>-4.33485343316304</v>
      </c>
      <c r="E11" s="70" t="n">
        <f aca="false">-各期收支!E63</f>
        <v>-5.47110982629968</v>
      </c>
      <c r="F11" s="70" t="n">
        <f aca="false">-各期收支!F63</f>
        <v>-6.06996696397625</v>
      </c>
      <c r="G11" s="70" t="n">
        <f aca="false">-各期收支!G63</f>
        <v>-7.80280572085231</v>
      </c>
    </row>
    <row r="12" customFormat="false" ht="15" hidden="false" customHeight="false" outlineLevel="1" collapsed="false">
      <c r="A12" s="2" t="s">
        <v>1799</v>
      </c>
      <c r="B12" s="12" t="s">
        <v>93</v>
      </c>
      <c r="C12" s="42" t="n">
        <f aca="false">SUM(C6:C11)</f>
        <v>2</v>
      </c>
      <c r="D12" s="42" t="n">
        <f aca="false">SUM(D6:D11)</f>
        <v>2</v>
      </c>
      <c r="E12" s="42" t="n">
        <f aca="false">SUM(E6:E11)</f>
        <v>2</v>
      </c>
      <c r="F12" s="42" t="n">
        <f aca="false">SUM(F6:F11)</f>
        <v>1.99999999999999</v>
      </c>
      <c r="G12" s="42" t="n">
        <f aca="false">SUM(G6:G11)</f>
        <v>2</v>
      </c>
      <c r="I12" s="7" t="s">
        <v>1800</v>
      </c>
    </row>
    <row r="13" customFormat="false" ht="15" hidden="false" customHeight="false" outlineLevel="1" collapsed="false">
      <c r="A13" s="3" t="s">
        <v>1801</v>
      </c>
      <c r="B13" s="12" t="s">
        <v>93</v>
      </c>
      <c r="C13" s="70" t="n">
        <f aca="false">C12-各期收支!C41</f>
        <v>0</v>
      </c>
      <c r="D13" s="70" t="n">
        <f aca="false">D12-各期收支!D41</f>
        <v>0</v>
      </c>
      <c r="E13" s="70" t="n">
        <f aca="false">E12-各期收支!E41</f>
        <v>0</v>
      </c>
      <c r="F13" s="70" t="n">
        <f aca="false">F12-各期收支!F41</f>
        <v>-8.88178419700125E-015</v>
      </c>
      <c r="G13" s="70" t="n">
        <f aca="false">G12-各期收支!G41</f>
        <v>0</v>
      </c>
      <c r="I13" s="7" t="s">
        <v>1802</v>
      </c>
    </row>
    <row r="14" customFormat="false" ht="15" hidden="false" customHeight="false" outlineLevel="0" collapsed="false">
      <c r="A14" s="54" t="s">
        <v>1803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3" t="s">
        <v>1804</v>
      </c>
      <c r="B15" s="12" t="s">
        <v>93</v>
      </c>
      <c r="C15" s="70" t="n">
        <f aca="false">35.551</f>
        <v>35.551</v>
      </c>
      <c r="D15" s="70" t="n">
        <f aca="false">C17</f>
        <v>31.138</v>
      </c>
      <c r="E15" s="70" t="n">
        <f aca="false">D17</f>
        <v>24.954</v>
      </c>
      <c r="F15" s="70" t="n">
        <f aca="false">E17</f>
        <v>20.538</v>
      </c>
      <c r="G15" s="70" t="n">
        <f aca="false">F17</f>
        <v>18.117</v>
      </c>
    </row>
    <row r="16" customFormat="false" ht="15" hidden="false" customHeight="false" outlineLevel="1" collapsed="false">
      <c r="A16" s="3" t="s">
        <v>1805</v>
      </c>
      <c r="B16" s="12" t="s">
        <v>93</v>
      </c>
      <c r="C16" s="70" t="n">
        <f aca="false">-IF(輸入與假設!$C$194=1,輸入與假設!C$208,0)</f>
        <v>-4.413</v>
      </c>
      <c r="D16" s="70" t="n">
        <f aca="false">-IF(輸入與假設!$C$194=1,輸入與假設!D$208,0)</f>
        <v>-6.184</v>
      </c>
      <c r="E16" s="70" t="n">
        <f aca="false">-IF(輸入與假設!$C$194=1,輸入與假設!E$208,0)</f>
        <v>-4.416</v>
      </c>
      <c r="F16" s="70" t="n">
        <f aca="false">-IF(輸入與假設!$C$194=1,輸入與假設!F$208,0)</f>
        <v>-2.421</v>
      </c>
      <c r="G16" s="70" t="n">
        <f aca="false">-IF(輸入與假設!$C$194=1,輸入與假設!G$208,0)</f>
        <v>-3.221</v>
      </c>
    </row>
    <row r="17" customFormat="false" ht="15" hidden="false" customHeight="false" outlineLevel="1" collapsed="false">
      <c r="A17" s="3" t="s">
        <v>1806</v>
      </c>
      <c r="B17" s="12" t="s">
        <v>93</v>
      </c>
      <c r="C17" s="70" t="n">
        <f aca="false">各期收支!C54-3.7</f>
        <v>31.138</v>
      </c>
      <c r="D17" s="70" t="n">
        <f aca="false">各期收支!D54-3.7</f>
        <v>24.954</v>
      </c>
      <c r="E17" s="70" t="n">
        <f aca="false">各期收支!E54-3.7</f>
        <v>20.538</v>
      </c>
      <c r="F17" s="70" t="n">
        <f aca="false">各期收支!F54-3.7</f>
        <v>18.117</v>
      </c>
      <c r="G17" s="70" t="n">
        <f aca="false">各期收支!G54-3.7</f>
        <v>14.896</v>
      </c>
      <c r="I17" s="7" t="s">
        <v>1807</v>
      </c>
    </row>
    <row r="18" customFormat="false" ht="15" hidden="false" customHeight="false" outlineLevel="1" collapsed="false">
      <c r="A18" s="3" t="s">
        <v>1808</v>
      </c>
      <c r="B18" s="12" t="s">
        <v>93</v>
      </c>
      <c r="C18" s="70" t="n">
        <f aca="false">3.7</f>
        <v>3.7</v>
      </c>
      <c r="D18" s="70" t="n">
        <f aca="false">3.7</f>
        <v>3.7</v>
      </c>
      <c r="E18" s="70" t="n">
        <f aca="false">3.7</f>
        <v>3.7</v>
      </c>
      <c r="F18" s="70" t="n">
        <f aca="false">3.7</f>
        <v>3.7</v>
      </c>
      <c r="G18" s="70" t="n">
        <f aca="false">3.7</f>
        <v>3.7</v>
      </c>
    </row>
    <row r="19" customFormat="false" ht="15" hidden="false" customHeight="false" outlineLevel="1" collapsed="false">
      <c r="A19" s="3" t="s">
        <v>1809</v>
      </c>
      <c r="B19" s="12" t="s">
        <v>93</v>
      </c>
      <c r="C19" s="70" t="n">
        <f aca="false">各期收支!C67</f>
        <v>11.581180251278</v>
      </c>
      <c r="D19" s="70" t="n">
        <f aca="false">各期收支!D67</f>
        <v>48.165038146256</v>
      </c>
      <c r="E19" s="70" t="n">
        <f aca="false">各期收支!E67</f>
        <v>56.2220500831178</v>
      </c>
      <c r="F19" s="70" t="n">
        <f aca="false">各期收支!F67</f>
        <v>57.1107340733211</v>
      </c>
      <c r="G19" s="70" t="n">
        <f aca="false">各期收支!G67</f>
        <v>76.3644980386106</v>
      </c>
    </row>
    <row r="20" customFormat="false" ht="15" hidden="false" customHeight="false" outlineLevel="1" collapsed="false">
      <c r="A20" s="3" t="s">
        <v>1810</v>
      </c>
      <c r="B20" s="12" t="s">
        <v>93</v>
      </c>
      <c r="C20" s="70" t="n">
        <f aca="false">各期收支!C69</f>
        <v>0</v>
      </c>
      <c r="D20" s="70" t="n">
        <f aca="false">各期收支!D69</f>
        <v>0</v>
      </c>
      <c r="E20" s="70" t="n">
        <f aca="false">各期收支!E69</f>
        <v>3.42604432349237</v>
      </c>
      <c r="F20" s="70" t="n">
        <f aca="false">各期收支!F69</f>
        <v>7.75000747814466</v>
      </c>
      <c r="G20" s="70" t="n">
        <f aca="false">各期收支!G69</f>
        <v>7.75000747814466</v>
      </c>
    </row>
    <row r="21" customFormat="false" ht="15" hidden="false" customHeight="false" outlineLevel="1" collapsed="false">
      <c r="A21" s="2" t="s">
        <v>1811</v>
      </c>
      <c r="B21" s="12" t="s">
        <v>93</v>
      </c>
      <c r="C21" s="42" t="n">
        <f aca="false">SUM(C17:C20)</f>
        <v>46.419180251278</v>
      </c>
      <c r="D21" s="42" t="n">
        <f aca="false">SUM(D17:D20)</f>
        <v>76.819038146256</v>
      </c>
      <c r="E21" s="42" t="n">
        <f aca="false">SUM(E17:E20)</f>
        <v>83.8860944066101</v>
      </c>
      <c r="F21" s="42" t="n">
        <f aca="false">SUM(F17:F20)</f>
        <v>86.6777415514657</v>
      </c>
      <c r="G21" s="42" t="n">
        <f aca="false">SUM(G17:G20)</f>
        <v>102.710505516755</v>
      </c>
      <c r="I21" s="7" t="s">
        <v>1812</v>
      </c>
    </row>
    <row r="22" customFormat="false" ht="15" hidden="false" customHeight="false" outlineLevel="1" collapsed="false">
      <c r="A22" s="2" t="s">
        <v>1813</v>
      </c>
      <c r="B22" s="12" t="s">
        <v>93</v>
      </c>
      <c r="C22" s="42" t="n">
        <f aca="false">C21-C12</f>
        <v>44.419180251278</v>
      </c>
      <c r="D22" s="42" t="n">
        <f aca="false">D21-D12</f>
        <v>74.819038146256</v>
      </c>
      <c r="E22" s="42" t="n">
        <f aca="false">E21-E12</f>
        <v>81.8860944066101</v>
      </c>
      <c r="F22" s="42" t="n">
        <f aca="false">F21-F12</f>
        <v>84.6777415514657</v>
      </c>
      <c r="G22" s="42" t="n">
        <f aca="false">G21-G12</f>
        <v>100.710505516755</v>
      </c>
    </row>
    <row r="23" customFormat="false" ht="15" hidden="false" customHeight="false" outlineLevel="0" collapsed="false">
      <c r="A23" s="54" t="s">
        <v>1814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1" collapsed="false">
      <c r="A24" s="3" t="s">
        <v>1815</v>
      </c>
      <c r="B24" s="12" t="s">
        <v>500</v>
      </c>
      <c r="C24" s="87" t="n">
        <f aca="false">損益!C20</f>
        <v>0.587</v>
      </c>
      <c r="D24" s="87" t="n">
        <f aca="false">損益!D20</f>
        <v>0.59287</v>
      </c>
      <c r="E24" s="87" t="n">
        <f aca="false">損益!E20</f>
        <v>0.5987987</v>
      </c>
      <c r="F24" s="87" t="n">
        <f aca="false">損益!F20</f>
        <v>0.604786687</v>
      </c>
      <c r="G24" s="87" t="n">
        <f aca="false">損益!G20</f>
        <v>0.61083455387</v>
      </c>
    </row>
    <row r="25" customFormat="false" ht="15" hidden="false" customHeight="false" outlineLevel="1" collapsed="false">
      <c r="A25" s="3" t="s">
        <v>1816</v>
      </c>
      <c r="B25" s="12" t="s">
        <v>500</v>
      </c>
      <c r="C25" s="87" t="n">
        <f aca="false">各期收支!C65</f>
        <v>0</v>
      </c>
      <c r="D25" s="87" t="n">
        <f aca="false">各期收支!D65</f>
        <v>0</v>
      </c>
      <c r="E25" s="87" t="n">
        <f aca="false">各期收支!E65</f>
        <v>0.130333333333333</v>
      </c>
      <c r="F25" s="87" t="n">
        <f aca="false">各期收支!F65</f>
        <v>0.130333333333333</v>
      </c>
      <c r="G25" s="87" t="n">
        <f aca="false">各期收支!G65</f>
        <v>0.00319981305722501</v>
      </c>
    </row>
    <row r="26" customFormat="false" ht="15" hidden="false" customHeight="false" outlineLevel="1" collapsed="false">
      <c r="A26" s="2" t="s">
        <v>1817</v>
      </c>
      <c r="B26" s="12" t="s">
        <v>500</v>
      </c>
      <c r="C26" s="59" t="n">
        <f aca="false">損益!C21</f>
        <v>0.587</v>
      </c>
      <c r="D26" s="59" t="n">
        <f aca="false">損益!D21</f>
        <v>0.59287</v>
      </c>
      <c r="E26" s="59" t="n">
        <f aca="false">損益!E21</f>
        <v>0.729132033333333</v>
      </c>
      <c r="F26" s="59" t="n">
        <f aca="false">損益!F21</f>
        <v>0.865453353666667</v>
      </c>
      <c r="G26" s="59" t="n">
        <f aca="false">損益!G21</f>
        <v>0.874701033593892</v>
      </c>
      <c r="I26" s="7" t="s">
        <v>1818</v>
      </c>
    </row>
    <row r="27" customFormat="false" ht="15" hidden="false" customHeight="false" outlineLevel="0" collapsed="false">
      <c r="A27" s="54" t="s">
        <v>1819</v>
      </c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1" collapsed="false">
      <c r="A28" s="3" t="s">
        <v>868</v>
      </c>
      <c r="B28" s="12" t="s">
        <v>93</v>
      </c>
      <c r="C28" s="70" t="n">
        <f aca="false">各期收支!C53</f>
        <v>115.50825</v>
      </c>
      <c r="D28" s="70" t="n">
        <f aca="false">各期收支!D53</f>
        <v>89.12475</v>
      </c>
      <c r="E28" s="70" t="n">
        <f aca="false">各期收支!E53</f>
        <v>80.4600500831178</v>
      </c>
      <c r="F28" s="70" t="n">
        <f aca="false">各期收支!F53</f>
        <v>78.9277340733211</v>
      </c>
      <c r="G28" s="70" t="n">
        <f aca="false">各期收支!G53</f>
        <v>94.9604980386106</v>
      </c>
    </row>
    <row r="29" customFormat="false" ht="15" hidden="false" customHeight="false" outlineLevel="1" collapsed="false">
      <c r="A29" s="3" t="s">
        <v>872</v>
      </c>
      <c r="B29" s="12" t="s">
        <v>93</v>
      </c>
      <c r="C29" s="70" t="n">
        <f aca="false">各期收支!C55</f>
        <v>115.50825</v>
      </c>
      <c r="D29" s="70" t="n">
        <f aca="false">各期收支!D55</f>
        <v>89.12475</v>
      </c>
      <c r="E29" s="70" t="n">
        <f aca="false">各期收支!E55</f>
        <v>80.4600500831178</v>
      </c>
      <c r="F29" s="70" t="n">
        <f aca="false">各期收支!F55</f>
        <v>78.9277340733211</v>
      </c>
      <c r="G29" s="70" t="n">
        <f aca="false">各期收支!G55</f>
        <v>94.9604980386106</v>
      </c>
    </row>
    <row r="30" customFormat="false" ht="15" hidden="false" customHeight="false" outlineLevel="1" collapsed="false">
      <c r="A30" s="3" t="s">
        <v>1820</v>
      </c>
      <c r="B30" s="12" t="s">
        <v>139</v>
      </c>
      <c r="C30" s="91" t="n">
        <f aca="false">C21/MAX(0.01,C28)</f>
        <v>0.401868959587545</v>
      </c>
      <c r="D30" s="91" t="n">
        <f aca="false">D21/MAX(0.01,D28)</f>
        <v>0.861927109430949</v>
      </c>
      <c r="E30" s="91" t="n">
        <f aca="false">E21/MAX(0.01,E28)</f>
        <v>1.04258068842802</v>
      </c>
      <c r="F30" s="91" t="n">
        <f aca="false">F21/MAX(0.01,F28)</f>
        <v>1.09819118170737</v>
      </c>
      <c r="G30" s="91" t="n">
        <f aca="false">G21/MAX(0.01,G28)</f>
        <v>1.08161296158107</v>
      </c>
      <c r="I30" s="7" t="s">
        <v>1821</v>
      </c>
    </row>
    <row r="31" customFormat="false" ht="15" hidden="false" customHeight="false" outlineLevel="1" collapsed="false">
      <c r="A31" s="3" t="s">
        <v>1822</v>
      </c>
      <c r="B31" s="12" t="s">
        <v>139</v>
      </c>
      <c r="C31" s="80" t="n">
        <f aca="false">C21/MAX(0.01,損益!C19/輸入與假設!C$24)</f>
        <v>5.69709379700298</v>
      </c>
      <c r="D31" s="80" t="n">
        <f aca="false">D21/MAX(0.01,損益!D19/輸入與假設!D$24)</f>
        <v>5.86573579162745</v>
      </c>
      <c r="E31" s="80" t="n">
        <f aca="false">E21/MAX(0.01,損益!E19/輸入與假設!E$24)</f>
        <v>4.14461879244358</v>
      </c>
      <c r="F31" s="80" t="n">
        <f aca="false">F21/MAX(0.01,損益!F19/輸入與假設!F$24)</f>
        <v>3.46678213020656</v>
      </c>
      <c r="G31" s="80" t="n">
        <f aca="false">G21/MAX(0.01,損益!G19/輸入與假設!G$24)</f>
        <v>3.71583519372444</v>
      </c>
      <c r="I31" s="12" t="s">
        <v>1823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6" t="s">
        <v>1824</v>
      </c>
    </row>
    <row r="2" customFormat="false" ht="15" hidden="false" customHeight="false" outlineLevel="0" collapsed="false">
      <c r="A2" s="7" t="s">
        <v>1825</v>
      </c>
    </row>
    <row r="4" customFormat="false" ht="15" hidden="false" customHeight="false" outlineLevel="0" collapsed="false">
      <c r="A4" s="2" t="s">
        <v>1826</v>
      </c>
    </row>
    <row r="5" customFormat="false" ht="17.15" hidden="false" customHeight="false" outlineLevel="0" collapsed="false">
      <c r="A5" s="15" t="s">
        <v>87</v>
      </c>
      <c r="B5" s="15" t="s">
        <v>88</v>
      </c>
      <c r="C5" s="16" t="s">
        <v>1827</v>
      </c>
      <c r="D5" s="16" t="s">
        <v>1828</v>
      </c>
      <c r="E5" s="16" t="s">
        <v>1829</v>
      </c>
      <c r="F5" s="16" t="s">
        <v>1830</v>
      </c>
      <c r="G5" s="16" t="s">
        <v>1831</v>
      </c>
      <c r="H5" s="15" t="s">
        <v>1832</v>
      </c>
    </row>
    <row r="6" customFormat="false" ht="15" hidden="false" customHeight="false" outlineLevel="0" collapsed="false">
      <c r="A6" s="3" t="s">
        <v>1833</v>
      </c>
      <c r="B6" s="12" t="s">
        <v>93</v>
      </c>
      <c r="C6" s="24" t="n">
        <v>1.028</v>
      </c>
      <c r="D6" s="24" t="n">
        <v>2.116</v>
      </c>
      <c r="E6" s="24" t="n">
        <v>2.306</v>
      </c>
      <c r="F6" s="24" t="n">
        <v>2.373</v>
      </c>
      <c r="G6" s="24" t="n">
        <v>2.289</v>
      </c>
      <c r="H6" s="24" t="n">
        <v>19.023</v>
      </c>
    </row>
    <row r="7" customFormat="false" ht="15" hidden="false" customHeight="false" outlineLevel="0" collapsed="false">
      <c r="A7" s="3" t="s">
        <v>1834</v>
      </c>
      <c r="B7" s="12" t="s">
        <v>93</v>
      </c>
      <c r="C7" s="24" t="n">
        <v>0.012</v>
      </c>
      <c r="D7" s="24" t="n">
        <v>0.223</v>
      </c>
      <c r="E7" s="24" t="n">
        <v>0</v>
      </c>
      <c r="F7" s="24" t="n">
        <v>0</v>
      </c>
      <c r="G7" s="24" t="n">
        <v>0</v>
      </c>
      <c r="H7" s="24" t="n">
        <v>0</v>
      </c>
    </row>
    <row r="8" customFormat="false" ht="15" hidden="false" customHeight="false" outlineLevel="0" collapsed="false">
      <c r="A8" s="2" t="s">
        <v>1835</v>
      </c>
      <c r="C8" s="61" t="n">
        <f aca="false">SUM(C6:C7)</f>
        <v>1.04</v>
      </c>
      <c r="D8" s="61" t="n">
        <f aca="false">SUM(D6:D7)</f>
        <v>2.339</v>
      </c>
      <c r="E8" s="61" t="n">
        <f aca="false">SUM(E6:E7)</f>
        <v>2.306</v>
      </c>
      <c r="F8" s="61" t="n">
        <f aca="false">SUM(F6:F7)</f>
        <v>2.373</v>
      </c>
      <c r="G8" s="61" t="n">
        <f aca="false">SUM(G6:G7)</f>
        <v>2.289</v>
      </c>
      <c r="H8" s="61" t="n">
        <f aca="false">SUM(H6:H7)</f>
        <v>19.023</v>
      </c>
      <c r="I8" s="7" t="s">
        <v>1836</v>
      </c>
    </row>
    <row r="10" customFormat="false" ht="15" hidden="false" customHeight="false" outlineLevel="0" collapsed="false">
      <c r="A10" s="2" t="s">
        <v>1837</v>
      </c>
    </row>
    <row r="11" customFormat="false" ht="17.15" hidden="false" customHeight="false" outlineLevel="0" collapsed="false">
      <c r="A11" s="15" t="s">
        <v>87</v>
      </c>
      <c r="B11" s="15" t="s">
        <v>88</v>
      </c>
      <c r="C11" s="16" t="s">
        <v>1827</v>
      </c>
      <c r="D11" s="16" t="s">
        <v>1828</v>
      </c>
      <c r="E11" s="16" t="s">
        <v>1829</v>
      </c>
      <c r="F11" s="16" t="s">
        <v>1830</v>
      </c>
      <c r="G11" s="16" t="s">
        <v>1831</v>
      </c>
      <c r="H11" s="15" t="s">
        <v>1832</v>
      </c>
    </row>
    <row r="12" customFormat="false" ht="15" hidden="false" customHeight="false" outlineLevel="0" collapsed="false">
      <c r="A12" s="3" t="s">
        <v>1838</v>
      </c>
      <c r="B12" s="12" t="s">
        <v>93</v>
      </c>
      <c r="C12" s="24" t="n">
        <v>4.413</v>
      </c>
      <c r="D12" s="24" t="n">
        <v>6.184</v>
      </c>
      <c r="E12" s="24" t="n">
        <v>4.416</v>
      </c>
      <c r="F12" s="24" t="n">
        <v>2.421</v>
      </c>
      <c r="G12" s="24" t="n">
        <v>3.221</v>
      </c>
      <c r="H12" s="24" t="n">
        <v>14.896</v>
      </c>
      <c r="I12" s="7" t="s">
        <v>1839</v>
      </c>
    </row>
    <row r="13" customFormat="false" ht="15" hidden="false" customHeight="false" outlineLevel="0" collapsed="false">
      <c r="A13" s="2" t="s">
        <v>311</v>
      </c>
      <c r="C13" s="61" t="n">
        <f aca="false">SUM(C12:H12)</f>
        <v>35.551</v>
      </c>
    </row>
    <row r="15" customFormat="false" ht="15" hidden="false" customHeight="false" outlineLevel="0" collapsed="false">
      <c r="A15" s="2" t="s">
        <v>1840</v>
      </c>
    </row>
    <row r="16" customFormat="false" ht="15" hidden="false" customHeight="false" outlineLevel="0" collapsed="false">
      <c r="A16" s="15" t="s">
        <v>87</v>
      </c>
      <c r="B16" s="15" t="s">
        <v>88</v>
      </c>
      <c r="C16" s="15" t="s">
        <v>1841</v>
      </c>
      <c r="D16" s="15" t="s">
        <v>1842</v>
      </c>
      <c r="E16" s="15" t="s">
        <v>1843</v>
      </c>
      <c r="F16" s="15" t="s">
        <v>1844</v>
      </c>
    </row>
    <row r="17" customFormat="false" ht="15" hidden="false" customHeight="false" outlineLevel="0" collapsed="false">
      <c r="A17" s="3" t="s">
        <v>1845</v>
      </c>
      <c r="B17" s="12" t="s">
        <v>93</v>
      </c>
      <c r="C17" s="92" t="n">
        <v>35.5</v>
      </c>
      <c r="D17" s="12" t="s">
        <v>1846</v>
      </c>
      <c r="E17" s="7" t="s">
        <v>1847</v>
      </c>
      <c r="F17" s="7" t="s">
        <v>1848</v>
      </c>
    </row>
    <row r="18" customFormat="false" ht="15" hidden="false" customHeight="false" outlineLevel="0" collapsed="false">
      <c r="A18" s="3" t="s">
        <v>1849</v>
      </c>
      <c r="B18" s="12" t="s">
        <v>93</v>
      </c>
      <c r="C18" s="92" t="n">
        <v>14.7</v>
      </c>
      <c r="D18" s="12" t="s">
        <v>1850</v>
      </c>
      <c r="E18" s="7" t="s">
        <v>1847</v>
      </c>
      <c r="F18" s="7" t="s">
        <v>1848</v>
      </c>
    </row>
    <row r="19" customFormat="false" ht="15" hidden="false" customHeight="false" outlineLevel="0" collapsed="false">
      <c r="A19" s="3" t="s">
        <v>1851</v>
      </c>
      <c r="B19" s="12" t="s">
        <v>93</v>
      </c>
      <c r="C19" s="93" t="s">
        <v>1852</v>
      </c>
      <c r="D19" s="12" t="s">
        <v>1853</v>
      </c>
      <c r="E19" s="7" t="s">
        <v>1847</v>
      </c>
      <c r="F19" s="7" t="s">
        <v>1848</v>
      </c>
    </row>
    <row r="20" customFormat="false" ht="15" hidden="false" customHeight="false" outlineLevel="0" collapsed="false">
      <c r="A20" s="3" t="s">
        <v>1854</v>
      </c>
      <c r="B20" s="12" t="s">
        <v>93</v>
      </c>
      <c r="C20" s="92" t="n">
        <v>1.2</v>
      </c>
      <c r="D20" s="12" t="s">
        <v>1855</v>
      </c>
      <c r="E20" s="7" t="s">
        <v>1847</v>
      </c>
      <c r="F20" s="7" t="s">
        <v>1856</v>
      </c>
    </row>
    <row r="21" customFormat="false" ht="15" hidden="false" customHeight="false" outlineLevel="0" collapsed="false">
      <c r="A21" s="4" t="s">
        <v>1857</v>
      </c>
      <c r="B21" s="12" t="s">
        <v>93</v>
      </c>
      <c r="C21" s="92" t="n">
        <v>1.7</v>
      </c>
      <c r="D21" s="7" t="s">
        <v>1858</v>
      </c>
      <c r="E21" s="7" t="s">
        <v>1847</v>
      </c>
      <c r="F21" s="12" t="s">
        <v>1859</v>
      </c>
    </row>
    <row r="22" customFormat="false" ht="15" hidden="false" customHeight="false" outlineLevel="0" collapsed="false">
      <c r="A22" s="4" t="s">
        <v>1860</v>
      </c>
      <c r="B22" s="12" t="s">
        <v>93</v>
      </c>
      <c r="C22" s="92" t="n">
        <v>0.108</v>
      </c>
      <c r="D22" s="12" t="s">
        <v>1861</v>
      </c>
      <c r="E22" s="7" t="s">
        <v>1847</v>
      </c>
      <c r="F22" s="7" t="s">
        <v>1862</v>
      </c>
    </row>
    <row r="23" customFormat="false" ht="15" hidden="false" customHeight="false" outlineLevel="0" collapsed="false">
      <c r="A23" s="3" t="s">
        <v>1863</v>
      </c>
      <c r="B23" s="12" t="s">
        <v>93</v>
      </c>
      <c r="C23" s="92" t="n">
        <v>10.014</v>
      </c>
      <c r="D23" s="12" t="s">
        <v>1864</v>
      </c>
      <c r="E23" s="7" t="s">
        <v>1865</v>
      </c>
      <c r="F23" s="7" t="s">
        <v>1866</v>
      </c>
    </row>
    <row r="24" customFormat="false" ht="15" hidden="false" customHeight="false" outlineLevel="0" collapsed="false">
      <c r="A24" s="2" t="s">
        <v>1867</v>
      </c>
      <c r="C24" s="61" t="n">
        <f aca="false">C17+C18</f>
        <v>50.2</v>
      </c>
    </row>
    <row r="25" customFormat="false" ht="15" hidden="false" customHeight="false" outlineLevel="0" collapsed="false">
      <c r="A25" s="3" t="s">
        <v>1868</v>
      </c>
      <c r="C25" s="94" t="n">
        <f aca="false">SUM(各期收支!C11:G11)</f>
        <v>9.97089330024814</v>
      </c>
    </row>
    <row r="26" customFormat="false" ht="15" hidden="false" customHeight="false" outlineLevel="0" collapsed="false">
      <c r="A26" s="3" t="s">
        <v>1869</v>
      </c>
      <c r="C26" s="60" t="n">
        <f aca="false">各期收支!G11*12</f>
        <v>34.8184615384615</v>
      </c>
    </row>
    <row r="27" customFormat="false" ht="15" hidden="false" customHeight="false" outlineLevel="0" collapsed="false">
      <c r="A27" s="2" t="s">
        <v>1870</v>
      </c>
      <c r="C27" s="95" t="n">
        <f aca="false">(C25+C26)/C24</f>
        <v>0.892218223878679</v>
      </c>
      <c r="I27" s="12" t="s">
        <v>1871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6" t="s">
        <v>1872</v>
      </c>
    </row>
    <row r="2" customFormat="false" ht="15" hidden="false" customHeight="false" outlineLevel="0" collapsed="false">
      <c r="A2" s="7" t="s">
        <v>1873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796</v>
      </c>
    </row>
    <row r="5" customFormat="false" ht="15" hidden="false" customHeight="false" outlineLevel="0" collapsed="false">
      <c r="A5" s="54" t="s">
        <v>1874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1875</v>
      </c>
      <c r="B6" s="12" t="s">
        <v>93</v>
      </c>
      <c r="C6" s="46" t="n">
        <f aca="false">運營_產能與收入!C25</f>
        <v>6.5946176117778</v>
      </c>
      <c r="D6" s="46" t="n">
        <f aca="false">運營_產能與收入!D25</f>
        <v>20.5968269467532</v>
      </c>
      <c r="E6" s="46" t="n">
        <f aca="false">運營_產能與收入!E25</f>
        <v>30.0088250207794</v>
      </c>
      <c r="F6" s="46" t="n">
        <f aca="false">運營_產能與收入!F25</f>
        <v>36.3235772735251</v>
      </c>
      <c r="G6" s="46" t="n">
        <f aca="false">運營_產能與收入!G25</f>
        <v>40.1623500832288</v>
      </c>
      <c r="I6" s="7" t="s">
        <v>1876</v>
      </c>
    </row>
    <row r="7" customFormat="false" ht="15" hidden="false" customHeight="false" outlineLevel="1" collapsed="false">
      <c r="A7" s="3" t="s">
        <v>1877</v>
      </c>
      <c r="B7" s="12" t="s">
        <v>93</v>
      </c>
      <c r="C7" s="46" t="n">
        <f aca="false">輸入與假設!C$33</f>
        <v>0.3</v>
      </c>
      <c r="D7" s="46" t="n">
        <f aca="false">輸入與假設!D$33</f>
        <v>1</v>
      </c>
      <c r="E7" s="46" t="n">
        <f aca="false">輸入與假設!E$33</f>
        <v>1.8</v>
      </c>
      <c r="F7" s="46" t="n">
        <f aca="false">輸入與假設!F$33</f>
        <v>2.8</v>
      </c>
      <c r="G7" s="46" t="n">
        <f aca="false">輸入與假設!G$33</f>
        <v>3.8</v>
      </c>
    </row>
    <row r="8" customFormat="false" ht="15" hidden="false" customHeight="false" outlineLevel="1" collapsed="false">
      <c r="A8" s="2" t="s">
        <v>1878</v>
      </c>
      <c r="B8" s="12" t="s">
        <v>93</v>
      </c>
      <c r="C8" s="42" t="n">
        <f aca="false">C6+C7</f>
        <v>6.8946176117778</v>
      </c>
      <c r="D8" s="42" t="n">
        <f aca="false">D6+D7</f>
        <v>21.5968269467532</v>
      </c>
      <c r="E8" s="42" t="n">
        <f aca="false">E6+E7</f>
        <v>31.8088250207794</v>
      </c>
      <c r="F8" s="42" t="n">
        <f aca="false">F6+F7</f>
        <v>39.1235772735251</v>
      </c>
      <c r="G8" s="42" t="n">
        <f aca="false">G6+G7</f>
        <v>43.9623500832288</v>
      </c>
    </row>
    <row r="9" customFormat="false" ht="15" hidden="false" customHeight="false" outlineLevel="1" collapsed="false">
      <c r="A9" s="4" t="s">
        <v>384</v>
      </c>
      <c r="B9" s="12" t="s">
        <v>77</v>
      </c>
      <c r="C9" s="55" t="n">
        <f aca="false">輸入與假設!C$134</f>
        <v>0.590886294703084</v>
      </c>
      <c r="D9" s="55" t="n">
        <f aca="false">輸入與假設!D$134</f>
        <v>0.606396127800419</v>
      </c>
      <c r="E9" s="55" t="n">
        <f aca="false">輸入與假設!E$134</f>
        <v>0.636293894361242</v>
      </c>
      <c r="F9" s="55" t="n">
        <f aca="false">輸入與假設!F$134</f>
        <v>0.639061243175207</v>
      </c>
      <c r="G9" s="55" t="n">
        <f aca="false">輸入與假設!G$134</f>
        <v>0.628749311717266</v>
      </c>
    </row>
    <row r="10" customFormat="false" ht="15" hidden="false" customHeight="false" outlineLevel="1" collapsed="false">
      <c r="A10" s="3" t="s">
        <v>1879</v>
      </c>
      <c r="B10" s="12" t="s">
        <v>93</v>
      </c>
      <c r="C10" s="70" t="n">
        <f aca="false">C8*輸入與假設!C$134-輸入與假設!C$186</f>
        <v>-0.606606612648658</v>
      </c>
      <c r="D10" s="70" t="n">
        <f aca="false">D8*輸入與假設!D$134-輸入與假設!D$186</f>
        <v>-1.11685451421312</v>
      </c>
      <c r="E10" s="70" t="n">
        <f aca="false">E8*輸入與假設!E$134-輸入與假設!E$186</f>
        <v>0.0370714458604056</v>
      </c>
      <c r="F10" s="70" t="n">
        <f aca="false">F8*輸入與假設!F$134-輸入與假設!F$186</f>
        <v>-0.415434111786428</v>
      </c>
      <c r="G10" s="70" t="n">
        <f aca="false">G8*輸入與假設!G$134-輸入與假設!G$186</f>
        <v>-2.45913170536308</v>
      </c>
      <c r="I10" s="7" t="s">
        <v>1880</v>
      </c>
    </row>
    <row r="11" customFormat="false" ht="15" hidden="false" customHeight="false" outlineLevel="1" collapsed="false">
      <c r="A11" s="3" t="s">
        <v>1881</v>
      </c>
      <c r="B11" s="12" t="s">
        <v>93</v>
      </c>
      <c r="C11" s="46" t="n">
        <f aca="false">各期收支!C17</f>
        <v>2.32704939826146</v>
      </c>
      <c r="D11" s="46" t="n">
        <f aca="false">各期收支!D17</f>
        <v>6.80086019485751</v>
      </c>
      <c r="E11" s="46" t="n">
        <f aca="false">各期收支!E17</f>
        <v>7.49120457426739</v>
      </c>
      <c r="F11" s="46" t="n">
        <f aca="false">各期收支!F17</f>
        <v>7.8024484630902</v>
      </c>
      <c r="G11" s="46" t="n">
        <f aca="false">各期收支!G17</f>
        <v>9.29794424058452</v>
      </c>
    </row>
    <row r="12" customFormat="false" ht="15" hidden="false" customHeight="false" outlineLevel="1" collapsed="false">
      <c r="A12" s="3" t="s">
        <v>1882</v>
      </c>
      <c r="B12" s="12" t="s">
        <v>93</v>
      </c>
      <c r="C12" s="70" t="n">
        <f aca="false">C10-C11</f>
        <v>-2.93365601091012</v>
      </c>
      <c r="D12" s="70" t="n">
        <f aca="false">D10-D11</f>
        <v>-7.91771470907063</v>
      </c>
      <c r="E12" s="70" t="n">
        <f aca="false">E10-E11</f>
        <v>-7.45413312840698</v>
      </c>
      <c r="F12" s="70" t="n">
        <f aca="false">F10-F11</f>
        <v>-8.21788257487663</v>
      </c>
      <c r="G12" s="70" t="n">
        <f aca="false">G10-G11</f>
        <v>-11.7570759459476</v>
      </c>
    </row>
    <row r="13" customFormat="false" ht="15" hidden="false" customHeight="false" outlineLevel="1" collapsed="false">
      <c r="A13" s="4" t="s">
        <v>1883</v>
      </c>
      <c r="B13" s="12" t="s">
        <v>93</v>
      </c>
      <c r="C13" s="70" t="n">
        <f aca="false">輸入與假設!$C$220</f>
        <v>4</v>
      </c>
      <c r="D13" s="70" t="n">
        <f aca="false">C15</f>
        <v>6.93365601091012</v>
      </c>
      <c r="E13" s="70" t="n">
        <f aca="false">D15</f>
        <v>14.8513707199808</v>
      </c>
      <c r="F13" s="70" t="n">
        <f aca="false">E15</f>
        <v>22.3055038483877</v>
      </c>
      <c r="G13" s="70" t="n">
        <f aca="false">F15</f>
        <v>30.5233864232644</v>
      </c>
      <c r="I13" s="12" t="s">
        <v>1884</v>
      </c>
    </row>
    <row r="14" customFormat="false" ht="15" hidden="false" customHeight="false" outlineLevel="1" collapsed="false">
      <c r="A14" s="3" t="s">
        <v>1885</v>
      </c>
      <c r="B14" s="12" t="s">
        <v>93</v>
      </c>
      <c r="C14" s="70" t="n">
        <f aca="false">MIN(C13,MAX(0,C12)*輸入與假設!$C$221)</f>
        <v>0</v>
      </c>
      <c r="D14" s="70" t="n">
        <f aca="false">MIN(D13,MAX(0,D12)*輸入與假設!$C$221)</f>
        <v>0</v>
      </c>
      <c r="E14" s="70" t="n">
        <f aca="false">MIN(E13,MAX(0,E12)*輸入與假設!$C$221)</f>
        <v>0</v>
      </c>
      <c r="F14" s="70" t="n">
        <f aca="false">MIN(F13,MAX(0,F12)*輸入與假設!$C$221)</f>
        <v>0</v>
      </c>
      <c r="G14" s="70" t="n">
        <f aca="false">MIN(G13,MAX(0,G12)*輸入與假設!$C$221)</f>
        <v>0</v>
      </c>
      <c r="I14" s="7" t="s">
        <v>1886</v>
      </c>
    </row>
    <row r="15" customFormat="false" ht="15" hidden="false" customHeight="false" outlineLevel="1" collapsed="false">
      <c r="A15" s="4" t="s">
        <v>1887</v>
      </c>
      <c r="B15" s="12" t="s">
        <v>93</v>
      </c>
      <c r="C15" s="70" t="n">
        <f aca="false">C13-C14+MAX(0,-C12)</f>
        <v>6.93365601091012</v>
      </c>
      <c r="D15" s="70" t="n">
        <f aca="false">D13-D14+MAX(0,-D12)</f>
        <v>14.8513707199808</v>
      </c>
      <c r="E15" s="70" t="n">
        <f aca="false">E13-E14+MAX(0,-E12)</f>
        <v>22.3055038483877</v>
      </c>
      <c r="F15" s="70" t="n">
        <f aca="false">F13-F14+MAX(0,-F12)</f>
        <v>30.5233864232644</v>
      </c>
      <c r="G15" s="70" t="n">
        <f aca="false">G13-G14+MAX(0,-G12)</f>
        <v>42.280462369212</v>
      </c>
    </row>
    <row r="16" customFormat="false" ht="15" hidden="false" customHeight="false" outlineLevel="1" collapsed="false">
      <c r="A16" s="3" t="s">
        <v>1888</v>
      </c>
      <c r="B16" s="12" t="s">
        <v>93</v>
      </c>
      <c r="C16" s="70" t="n">
        <f aca="false">MAX(0,C12-C14)*輸入與假設!$C$219</f>
        <v>0</v>
      </c>
      <c r="D16" s="70" t="n">
        <f aca="false">MAX(0,D12-D14)*輸入與假設!$C$219</f>
        <v>0</v>
      </c>
      <c r="E16" s="70" t="n">
        <f aca="false">MAX(0,E12-E14)*輸入與假設!$C$219</f>
        <v>0</v>
      </c>
      <c r="F16" s="70" t="n">
        <f aca="false">MAX(0,F12-F14)*輸入與假設!$C$219</f>
        <v>0</v>
      </c>
      <c r="G16" s="70" t="n">
        <f aca="false">MAX(0,G12-G14)*輸入與假設!$C$219</f>
        <v>0</v>
      </c>
      <c r="I16" s="7" t="s">
        <v>1889</v>
      </c>
    </row>
    <row r="17" customFormat="false" ht="15" hidden="false" customHeight="false" outlineLevel="1" collapsed="false">
      <c r="A17" s="2" t="s">
        <v>1890</v>
      </c>
      <c r="B17" s="12" t="s">
        <v>93</v>
      </c>
      <c r="C17" s="42" t="n">
        <f aca="false">C12-C16</f>
        <v>-2.93365601091012</v>
      </c>
      <c r="D17" s="42" t="n">
        <f aca="false">D12-D16</f>
        <v>-7.91771470907063</v>
      </c>
      <c r="E17" s="42" t="n">
        <f aca="false">E12-E16</f>
        <v>-7.45413312840698</v>
      </c>
      <c r="F17" s="42" t="n">
        <f aca="false">F12-F16</f>
        <v>-8.21788257487663</v>
      </c>
      <c r="G17" s="42" t="n">
        <f aca="false">G12-G16</f>
        <v>-11.7570759459476</v>
      </c>
    </row>
    <row r="18" customFormat="false" ht="15" hidden="false" customHeight="false" outlineLevel="1" collapsed="false">
      <c r="A18" s="4" t="s">
        <v>638</v>
      </c>
      <c r="B18" s="12" t="s">
        <v>93</v>
      </c>
      <c r="C18" s="46" t="n">
        <f aca="false">輸入與假設!C$186</f>
        <v>4.68054166666667</v>
      </c>
      <c r="D18" s="46" t="n">
        <f aca="false">輸入與假設!D$186</f>
        <v>14.2130867475</v>
      </c>
      <c r="E18" s="46" t="n">
        <f aca="false">輸入與假設!E$186</f>
        <v>20.2026897016667</v>
      </c>
      <c r="F18" s="46" t="n">
        <f aca="false">輸入與假設!F$186</f>
        <v>25.4177960416667</v>
      </c>
      <c r="G18" s="46" t="n">
        <f aca="false">輸入與假設!G$186</f>
        <v>30.1004290616667</v>
      </c>
      <c r="I18" s="7" t="s">
        <v>1891</v>
      </c>
    </row>
    <row r="19" customFormat="false" ht="15" hidden="false" customHeight="false" outlineLevel="1" collapsed="false">
      <c r="A19" s="5" t="s">
        <v>1230</v>
      </c>
      <c r="B19" s="12" t="s">
        <v>93</v>
      </c>
      <c r="C19" s="42" t="n">
        <f aca="false">C10+C18</f>
        <v>4.07393505401801</v>
      </c>
      <c r="D19" s="42" t="n">
        <f aca="false">D10+D18</f>
        <v>13.0962322332869</v>
      </c>
      <c r="E19" s="42" t="n">
        <f aca="false">E10+E18</f>
        <v>20.2397611475271</v>
      </c>
      <c r="F19" s="42" t="n">
        <f aca="false">F10+F18</f>
        <v>25.0023619298802</v>
      </c>
      <c r="G19" s="42" t="n">
        <f aca="false">G10+G18</f>
        <v>27.6412973563036</v>
      </c>
    </row>
    <row r="20" customFormat="false" ht="15" hidden="false" customHeight="false" outlineLevel="1" collapsed="false">
      <c r="A20" s="3" t="s">
        <v>1892</v>
      </c>
      <c r="B20" s="12" t="s">
        <v>500</v>
      </c>
      <c r="C20" s="96" t="n">
        <f aca="false">輸入與假設!$C$214</f>
        <v>0.587</v>
      </c>
      <c r="D20" s="96" t="n">
        <f aca="false">C20*(1+輸入與假設!$C$229)</f>
        <v>0.59287</v>
      </c>
      <c r="E20" s="96" t="n">
        <f aca="false">D20*(1+輸入與假設!$C$229)</f>
        <v>0.5987987</v>
      </c>
      <c r="F20" s="96" t="n">
        <f aca="false">E20*(1+輸入與假設!$C$229)</f>
        <v>0.604786687</v>
      </c>
      <c r="G20" s="96" t="n">
        <f aca="false">F20*(1+輸入與假設!$C$229)</f>
        <v>0.61083455387</v>
      </c>
      <c r="I20" s="12" t="s">
        <v>1893</v>
      </c>
    </row>
    <row r="21" customFormat="false" ht="15" hidden="false" customHeight="false" outlineLevel="1" collapsed="false">
      <c r="A21" s="3" t="s">
        <v>1894</v>
      </c>
      <c r="B21" s="12" t="s">
        <v>500</v>
      </c>
      <c r="C21" s="96" t="n">
        <f aca="false">C20+各期收支!C66</f>
        <v>0.587</v>
      </c>
      <c r="D21" s="96" t="n">
        <f aca="false">D20+各期收支!D66</f>
        <v>0.59287</v>
      </c>
      <c r="E21" s="96" t="n">
        <f aca="false">E20+各期收支!E66</f>
        <v>0.729132033333333</v>
      </c>
      <c r="F21" s="96" t="n">
        <f aca="false">F20+各期收支!F66</f>
        <v>0.865453353666667</v>
      </c>
      <c r="G21" s="96" t="n">
        <f aca="false">G20+各期收支!G66</f>
        <v>0.874701033593892</v>
      </c>
      <c r="I21" s="7" t="s">
        <v>1895</v>
      </c>
    </row>
    <row r="22" customFormat="false" ht="15" hidden="false" customHeight="false" outlineLevel="1" collapsed="false">
      <c r="A22" s="3" t="s">
        <v>1896</v>
      </c>
      <c r="B22" s="12" t="s">
        <v>74</v>
      </c>
      <c r="C22" s="57" t="n">
        <f aca="false">C17/C21</f>
        <v>-4.99771041040907</v>
      </c>
      <c r="D22" s="57" t="n">
        <f aca="false">D17/D21</f>
        <v>-13.3548918128268</v>
      </c>
      <c r="E22" s="57" t="n">
        <f aca="false">E17/E21</f>
        <v>-10.2232967249146</v>
      </c>
      <c r="F22" s="57" t="n">
        <f aca="false">F17/F21</f>
        <v>-9.49546563088574</v>
      </c>
      <c r="G22" s="57" t="n">
        <f aca="false">G17/G21</f>
        <v>-13.4412507752977</v>
      </c>
      <c r="I22" s="12" t="s">
        <v>1897</v>
      </c>
    </row>
    <row r="24" customFormat="false" ht="15" hidden="false" customHeight="false" outlineLevel="0" collapsed="false">
      <c r="A24" s="54" t="s">
        <v>1898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1899</v>
      </c>
      <c r="B25" s="12" t="s">
        <v>93</v>
      </c>
      <c r="C25" s="46" t="n">
        <f aca="false">輸入與假設!$C$271</f>
        <v>4.653</v>
      </c>
      <c r="D25" s="46" t="n">
        <f aca="false">0</f>
        <v>0</v>
      </c>
      <c r="E25" s="46" t="n">
        <f aca="false">0</f>
        <v>0</v>
      </c>
      <c r="F25" s="46" t="n">
        <f aca="false">0</f>
        <v>0</v>
      </c>
      <c r="G25" s="46" t="n">
        <f aca="false">0</f>
        <v>0</v>
      </c>
    </row>
    <row r="26" customFormat="false" ht="15" hidden="false" customHeight="false" outlineLevel="1" collapsed="false">
      <c r="A26" s="2" t="s">
        <v>1900</v>
      </c>
      <c r="B26" s="12" t="s">
        <v>93</v>
      </c>
      <c r="C26" s="42" t="n">
        <f aca="false">C25+C8</f>
        <v>11.5476176117778</v>
      </c>
      <c r="D26" s="42" t="n">
        <f aca="false">D25+D8</f>
        <v>21.5968269467532</v>
      </c>
      <c r="E26" s="42" t="n">
        <f aca="false">E25+E8</f>
        <v>31.8088250207794</v>
      </c>
      <c r="F26" s="42" t="n">
        <f aca="false">F25+F8</f>
        <v>39.1235772735251</v>
      </c>
      <c r="G26" s="42" t="n">
        <f aca="false">G25+G8</f>
        <v>43.9623500832288</v>
      </c>
      <c r="I26" s="12" t="s">
        <v>1901</v>
      </c>
    </row>
    <row r="27" customFormat="false" ht="15" hidden="false" customHeight="false" outlineLevel="1" collapsed="false">
      <c r="A27" s="3" t="s">
        <v>1902</v>
      </c>
      <c r="B27" s="12" t="s">
        <v>77</v>
      </c>
      <c r="C27" s="71" t="n">
        <f aca="false">C26/5.131-1</f>
        <v>1.25055887970723</v>
      </c>
      <c r="D27" s="71" t="n">
        <f aca="false">D26/C26-1</f>
        <v>0.870240916596152</v>
      </c>
      <c r="E27" s="71" t="n">
        <f aca="false">E26/D26-1</f>
        <v>0.472847150148671</v>
      </c>
      <c r="F27" s="71" t="n">
        <f aca="false">F26/E26-1</f>
        <v>0.229959838125654</v>
      </c>
      <c r="G27" s="71" t="n">
        <f aca="false">G26/F26-1</f>
        <v>0.12367920182437</v>
      </c>
      <c r="I27" s="12" t="s">
        <v>1903</v>
      </c>
    </row>
    <row r="28" customFormat="false" ht="15" hidden="false" customHeight="false" outlineLevel="1" collapsed="false">
      <c r="A28" s="3" t="s">
        <v>1904</v>
      </c>
      <c r="B28" s="12" t="s">
        <v>93</v>
      </c>
      <c r="C28" s="70" t="n">
        <f aca="false">輸入與假設!$C$272+C10</f>
        <v>-0.799606612648658</v>
      </c>
      <c r="D28" s="70" t="n">
        <f aca="false">D10</f>
        <v>-1.11685451421312</v>
      </c>
      <c r="E28" s="70" t="n">
        <f aca="false">E10</f>
        <v>0.0370714458604056</v>
      </c>
      <c r="F28" s="70" t="n">
        <f aca="false">F10</f>
        <v>-0.415434111786428</v>
      </c>
      <c r="G28" s="70" t="n">
        <f aca="false">G10</f>
        <v>-2.45913170536308</v>
      </c>
    </row>
    <row r="29" customFormat="false" ht="15" hidden="false" customHeight="false" outlineLevel="1" collapsed="false">
      <c r="A29" s="3" t="s">
        <v>1905</v>
      </c>
      <c r="B29" s="12" t="s">
        <v>77</v>
      </c>
      <c r="C29" s="71" t="n">
        <f aca="false">C28/C26</f>
        <v>-0.0692442925918428</v>
      </c>
      <c r="D29" s="71" t="n">
        <f aca="false">D28/D26</f>
        <v>-0.0517138243023718</v>
      </c>
      <c r="E29" s="71" t="n">
        <f aca="false">E28/E26</f>
        <v>0.00116544530758958</v>
      </c>
      <c r="F29" s="71" t="n">
        <f aca="false">F28/F26</f>
        <v>-0.0106185103903459</v>
      </c>
      <c r="G29" s="71" t="n">
        <f aca="false">G28/G26</f>
        <v>-0.0559372212974851</v>
      </c>
    </row>
    <row r="30" customFormat="false" ht="15" hidden="false" customHeight="false" outlineLevel="1" collapsed="false">
      <c r="A30" s="3" t="s">
        <v>1906</v>
      </c>
      <c r="B30" s="12" t="s">
        <v>93</v>
      </c>
      <c r="C30" s="70" t="n">
        <f aca="false">輸入與假設!$C$275+C18</f>
        <v>7.22054166666667</v>
      </c>
      <c r="D30" s="70" t="n">
        <f aca="false">D18</f>
        <v>14.2130867475</v>
      </c>
      <c r="E30" s="70" t="n">
        <f aca="false">E18</f>
        <v>20.2026897016667</v>
      </c>
      <c r="F30" s="70" t="n">
        <f aca="false">F18</f>
        <v>25.4177960416667</v>
      </c>
      <c r="G30" s="70" t="n">
        <f aca="false">G18</f>
        <v>30.1004290616667</v>
      </c>
      <c r="I30" s="12" t="s">
        <v>1907</v>
      </c>
    </row>
    <row r="31" customFormat="false" ht="15" hidden="false" customHeight="false" outlineLevel="1" collapsed="false">
      <c r="A31" s="2" t="s">
        <v>1908</v>
      </c>
      <c r="B31" s="12" t="s">
        <v>93</v>
      </c>
      <c r="C31" s="42" t="n">
        <f aca="false">C28+C30</f>
        <v>6.42093505401801</v>
      </c>
      <c r="D31" s="42" t="n">
        <f aca="false">D28+D30</f>
        <v>13.0962322332869</v>
      </c>
      <c r="E31" s="42" t="n">
        <f aca="false">E28+E30</f>
        <v>20.2397611475271</v>
      </c>
      <c r="F31" s="42" t="n">
        <f aca="false">F28+F30</f>
        <v>25.0023619298802</v>
      </c>
      <c r="G31" s="42" t="n">
        <f aca="false">G28+G30</f>
        <v>27.6412973563036</v>
      </c>
    </row>
    <row r="32" customFormat="false" ht="15" hidden="false" customHeight="false" outlineLevel="1" collapsed="false">
      <c r="A32" s="3" t="s">
        <v>1909</v>
      </c>
      <c r="B32" s="12" t="s">
        <v>93</v>
      </c>
      <c r="C32" s="70" t="n">
        <f aca="false">輸入與假設!$C$269+C11</f>
        <v>3.50304939826146</v>
      </c>
      <c r="D32" s="70" t="n">
        <f aca="false">D11</f>
        <v>6.80086019485751</v>
      </c>
      <c r="E32" s="70" t="n">
        <f aca="false">E11</f>
        <v>7.49120457426739</v>
      </c>
      <c r="F32" s="70" t="n">
        <f aca="false">F11</f>
        <v>7.8024484630902</v>
      </c>
      <c r="G32" s="70" t="n">
        <f aca="false">G11</f>
        <v>9.29794424058452</v>
      </c>
      <c r="I32" s="12" t="s">
        <v>1910</v>
      </c>
    </row>
    <row r="33" customFormat="false" ht="15" hidden="false" customHeight="false" outlineLevel="1" collapsed="false">
      <c r="A33" s="2" t="s">
        <v>1911</v>
      </c>
      <c r="B33" s="12" t="s">
        <v>93</v>
      </c>
      <c r="C33" s="42" t="n">
        <f aca="false">輸入與假設!$C$273+C17</f>
        <v>-4.29965601091012</v>
      </c>
      <c r="D33" s="42" t="n">
        <f aca="false">D17</f>
        <v>-7.91771470907063</v>
      </c>
      <c r="E33" s="42" t="n">
        <f aca="false">E17</f>
        <v>-7.45413312840698</v>
      </c>
      <c r="F33" s="42" t="n">
        <f aca="false">F17</f>
        <v>-8.21788257487663</v>
      </c>
      <c r="G33" s="42" t="n">
        <f aca="false">G17</f>
        <v>-11.7570759459476</v>
      </c>
    </row>
    <row r="34" customFormat="false" ht="15" hidden="false" customHeight="false" outlineLevel="1" collapsed="false">
      <c r="A34" s="3" t="s">
        <v>1912</v>
      </c>
      <c r="B34" s="12" t="s">
        <v>77</v>
      </c>
      <c r="C34" s="71" t="n">
        <f aca="false">C33/C26</f>
        <v>-0.372341391571952</v>
      </c>
      <c r="D34" s="71" t="n">
        <f aca="false">D33/D26</f>
        <v>-0.366614722088189</v>
      </c>
      <c r="E34" s="71" t="n">
        <f aca="false">E33/E26</f>
        <v>-0.234341668500408</v>
      </c>
      <c r="F34" s="71" t="n">
        <f aca="false">F33/F26</f>
        <v>-0.210049365307851</v>
      </c>
      <c r="G34" s="71" t="n">
        <f aca="false">G33/G26</f>
        <v>-0.267435110354413</v>
      </c>
    </row>
    <row r="35" customFormat="false" ht="15" hidden="false" customHeight="false" outlineLevel="1" collapsed="false">
      <c r="A35" s="2" t="s">
        <v>1913</v>
      </c>
      <c r="B35" s="12" t="s">
        <v>74</v>
      </c>
      <c r="C35" s="86" t="n">
        <f aca="false">輸入與假設!$C$277+C17/C21</f>
        <v>-7.52771041040906</v>
      </c>
      <c r="D35" s="86" t="n">
        <f aca="false">D17/D21</f>
        <v>-13.3548918128268</v>
      </c>
      <c r="E35" s="86" t="n">
        <f aca="false">E17/E21</f>
        <v>-10.2232967249146</v>
      </c>
      <c r="F35" s="86" t="n">
        <f aca="false">F17/F21</f>
        <v>-9.49546563088574</v>
      </c>
      <c r="G35" s="86" t="n">
        <f aca="false">G17/G21</f>
        <v>-13.4412507752977</v>
      </c>
      <c r="I35" s="12" t="s">
        <v>1914</v>
      </c>
    </row>
    <row r="36" customFormat="false" ht="15" hidden="false" customHeight="false" outlineLevel="1" collapsed="false">
      <c r="A36" s="3" t="s">
        <v>1915</v>
      </c>
      <c r="B36" s="12" t="s">
        <v>74</v>
      </c>
      <c r="C36" s="57" t="n">
        <f aca="false">輸入與假設!$C$278+(C17+輸入與假設!$C$230*輸入與假設!C$24)/C21</f>
        <v>-6.34145828093717</v>
      </c>
      <c r="D36" s="57" t="n">
        <f aca="false">(D17+輸入與假設!$C$230*輸入與假設!D$24)/D21</f>
        <v>-12.1741945267439</v>
      </c>
      <c r="E36" s="57" t="n">
        <f aca="false">(E17+輸入與假設!$C$230*輸入與假設!E$24)/E21</f>
        <v>-9.26325112549161</v>
      </c>
      <c r="F36" s="57" t="n">
        <f aca="false">(F17+輸入與假設!$C$230*輸入與假設!F$24)/F21</f>
        <v>-8.6866409876692</v>
      </c>
      <c r="G36" s="57" t="n">
        <f aca="false">(G17+輸入與假設!$C$230*輸入與假設!G$24)/G21</f>
        <v>-12.6409773411577</v>
      </c>
      <c r="I36" s="7" t="s">
        <v>1916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6" t="s">
        <v>1917</v>
      </c>
    </row>
    <row r="2" customFormat="false" ht="15" hidden="false" customHeight="false" outlineLevel="0" collapsed="false">
      <c r="A2" s="7" t="s">
        <v>1918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796</v>
      </c>
    </row>
    <row r="5" customFormat="false" ht="15" hidden="false" customHeight="false" outlineLevel="0" collapsed="false">
      <c r="A5" s="8" t="s">
        <v>1919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1920</v>
      </c>
      <c r="B6" s="12" t="s">
        <v>93</v>
      </c>
      <c r="C6" s="70" t="n">
        <f aca="false">輸入與假設!C$185-各期收支!C8</f>
        <v>17.35212</v>
      </c>
      <c r="D6" s="70" t="n">
        <f aca="false">輸入與假設!D$185-各期收支!D8</f>
        <v>36.2139976924</v>
      </c>
      <c r="E6" s="70" t="n">
        <f aca="false">輸入與假設!E$185-各期收支!E8</f>
        <v>29.9112189216</v>
      </c>
      <c r="F6" s="70" t="n">
        <f aca="false">輸入與假設!F$185-各期收支!F8</f>
        <v>30.0841161408</v>
      </c>
      <c r="G6" s="70" t="n">
        <f aca="false">輸入與假設!G$185-各期收支!G8</f>
        <v>34.0607521824</v>
      </c>
      <c r="I6" s="12" t="s">
        <v>1921</v>
      </c>
    </row>
    <row r="7" customFormat="false" ht="15" hidden="false" customHeight="false" outlineLevel="1" collapsed="false">
      <c r="A7" s="3" t="s">
        <v>1922</v>
      </c>
      <c r="B7" s="12" t="s">
        <v>93</v>
      </c>
      <c r="C7" s="70" t="n">
        <f aca="false">5.131</f>
        <v>5.131</v>
      </c>
      <c r="D7" s="70" t="n">
        <f aca="false">4.653+損益!C8</f>
        <v>11.5476176117778</v>
      </c>
      <c r="E7" s="70" t="n">
        <f aca="false">損益!D8</f>
        <v>21.5968269467532</v>
      </c>
      <c r="F7" s="70" t="n">
        <f aca="false">損益!E8</f>
        <v>31.8088250207794</v>
      </c>
      <c r="G7" s="70" t="n">
        <f aca="false">損益!F8</f>
        <v>39.1235772735251</v>
      </c>
      <c r="I7" s="12" t="s">
        <v>1923</v>
      </c>
    </row>
    <row r="8" customFormat="false" ht="15" hidden="false" customHeight="false" outlineLevel="1" collapsed="false">
      <c r="A8" s="3" t="s">
        <v>1924</v>
      </c>
      <c r="B8" s="12" t="s">
        <v>93</v>
      </c>
      <c r="C8" s="70" t="n">
        <f aca="false">輸入與假設!$C$222*MAX(0,損益!C8-C7)</f>
        <v>0.035272352235556</v>
      </c>
      <c r="D8" s="70" t="n">
        <f aca="false">輸入與假設!$C$222*MAX(0,損益!D8-D7)</f>
        <v>0.200984186699508</v>
      </c>
      <c r="E8" s="70" t="n">
        <f aca="false">輸入與假設!$C$222*MAX(0,損益!E8-E7)</f>
        <v>0.204239961480525</v>
      </c>
      <c r="F8" s="70" t="n">
        <f aca="false">輸入與假設!$C$222*MAX(0,損益!F8-F7)</f>
        <v>0.146295045054914</v>
      </c>
      <c r="G8" s="70" t="n">
        <f aca="false">輸入與假設!$C$222*MAX(0,損益!G8-G7)</f>
        <v>0.0967754561940733</v>
      </c>
      <c r="I8" s="7" t="s">
        <v>1925</v>
      </c>
    </row>
    <row r="9" customFormat="false" ht="15" hidden="false" customHeight="false" outlineLevel="1" collapsed="false">
      <c r="A9" s="3" t="s">
        <v>1926</v>
      </c>
      <c r="B9" s="12" t="s">
        <v>93</v>
      </c>
      <c r="C9" s="70" t="n">
        <f aca="false">輸入與假設!$C$220</f>
        <v>4</v>
      </c>
      <c r="D9" s="70" t="n">
        <f aca="false">C11</f>
        <v>4.60660661264866</v>
      </c>
      <c r="E9" s="70" t="n">
        <f aca="false">D11</f>
        <v>5.72346112686178</v>
      </c>
      <c r="F9" s="70" t="n">
        <f aca="false">E11</f>
        <v>5.69380397017346</v>
      </c>
      <c r="G9" s="70" t="n">
        <f aca="false">F11</f>
        <v>6.10923808195988</v>
      </c>
      <c r="I9" s="12" t="s">
        <v>1927</v>
      </c>
    </row>
    <row r="10" customFormat="false" ht="15" hidden="false" customHeight="false" outlineLevel="1" collapsed="false">
      <c r="A10" s="3" t="s">
        <v>1928</v>
      </c>
      <c r="B10" s="12" t="s">
        <v>93</v>
      </c>
      <c r="C10" s="70" t="n">
        <f aca="false">MIN(C9,MAX(0,損益!C10)*輸入與假設!$C$221)</f>
        <v>0</v>
      </c>
      <c r="D10" s="70" t="n">
        <f aca="false">MIN(D9,MAX(0,損益!D10)*輸入與假設!$C$221)</f>
        <v>0</v>
      </c>
      <c r="E10" s="70" t="n">
        <f aca="false">MIN(E9,MAX(0,損益!E10)*輸入與假設!$C$221)</f>
        <v>0.0296571566883245</v>
      </c>
      <c r="F10" s="70" t="n">
        <f aca="false">MIN(F9,MAX(0,損益!F10)*輸入與假設!$C$221)</f>
        <v>0</v>
      </c>
      <c r="G10" s="70" t="n">
        <f aca="false">MIN(G9,MAX(0,損益!G10)*輸入與假設!$C$221)</f>
        <v>0</v>
      </c>
    </row>
    <row r="11" customFormat="false" ht="15" hidden="false" customHeight="false" outlineLevel="1" collapsed="false">
      <c r="A11" s="3" t="s">
        <v>1929</v>
      </c>
      <c r="B11" s="12" t="s">
        <v>93</v>
      </c>
      <c r="C11" s="70" t="n">
        <f aca="false">C9-C10+MAX(0,-損益!C10)</f>
        <v>4.60660661264866</v>
      </c>
      <c r="D11" s="70" t="n">
        <f aca="false">D9-D10+MAX(0,-損益!D10)</f>
        <v>5.72346112686178</v>
      </c>
      <c r="E11" s="70" t="n">
        <f aca="false">E9-E10+MAX(0,-損益!E10)</f>
        <v>5.69380397017346</v>
      </c>
      <c r="F11" s="70" t="n">
        <f aca="false">F9-F10+MAX(0,-損益!F10)</f>
        <v>6.10923808195988</v>
      </c>
      <c r="G11" s="70" t="n">
        <f aca="false">G9-G10+MAX(0,-損益!G10)</f>
        <v>8.56836978732297</v>
      </c>
    </row>
    <row r="12" customFormat="false" ht="15" hidden="false" customHeight="false" outlineLevel="1" collapsed="false">
      <c r="A12" s="3" t="s">
        <v>1930</v>
      </c>
      <c r="B12" s="12" t="s">
        <v>93</v>
      </c>
      <c r="C12" s="70" t="n">
        <f aca="false">MAX(0,損益!C10-C10)*輸入與假設!$C$219</f>
        <v>0</v>
      </c>
      <c r="D12" s="70" t="n">
        <f aca="false">MAX(0,損益!D10-D10)*輸入與假設!$C$219</f>
        <v>0</v>
      </c>
      <c r="E12" s="70" t="n">
        <f aca="false">MAX(0,損益!E10-E10)*輸入與假設!$C$219</f>
        <v>0.00155700072613703</v>
      </c>
      <c r="F12" s="70" t="n">
        <f aca="false">MAX(0,損益!F10-F10)*輸入與假設!$C$219</f>
        <v>0</v>
      </c>
      <c r="G12" s="70" t="n">
        <f aca="false">MAX(0,損益!G10-G10)*輸入與假設!$C$219</f>
        <v>0</v>
      </c>
      <c r="I12" s="7" t="s">
        <v>1931</v>
      </c>
    </row>
    <row r="13" customFormat="false" ht="15" hidden="false" customHeight="false" outlineLevel="1" collapsed="false">
      <c r="A13" s="5" t="s">
        <v>1932</v>
      </c>
      <c r="B13" s="12" t="s">
        <v>93</v>
      </c>
      <c r="C13" s="42" t="n">
        <f aca="false">損益!C10-C12+損益!C18-C6-C8</f>
        <v>-13.3134572982175</v>
      </c>
      <c r="D13" s="42" t="n">
        <f aca="false">損益!D10-D12+損益!D18-D6-D8</f>
        <v>-23.3187496458126</v>
      </c>
      <c r="E13" s="42" t="n">
        <f aca="false">損益!E10-E12+損益!E18-E6-E8</f>
        <v>-9.87725473627959</v>
      </c>
      <c r="F13" s="42" t="n">
        <f aca="false">損益!F10-F12+損益!F18-F6-F8</f>
        <v>-5.22804925597467</v>
      </c>
      <c r="G13" s="42" t="n">
        <f aca="false">損益!G10-G12+損益!G18-G6-G8</f>
        <v>-6.51623028229048</v>
      </c>
      <c r="I13" s="7" t="s">
        <v>1933</v>
      </c>
    </row>
    <row r="14" customFormat="false" ht="15" hidden="false" customHeight="false" outlineLevel="1" collapsed="false">
      <c r="A14" s="3" t="s">
        <v>1934</v>
      </c>
      <c r="B14" s="7" t="s">
        <v>254</v>
      </c>
      <c r="C14" s="97" t="n">
        <f aca="false">輸入與假設!$C$248</f>
        <v>0.5</v>
      </c>
      <c r="D14" s="97" t="n">
        <f aca="false">輸入與假設!$D$248</f>
        <v>1.5</v>
      </c>
      <c r="E14" s="97" t="n">
        <f aca="false">輸入與假設!$E$248</f>
        <v>2.5</v>
      </c>
      <c r="F14" s="97" t="n">
        <f aca="false">輸入與假設!$F$248</f>
        <v>3.5</v>
      </c>
      <c r="G14" s="97" t="n">
        <f aca="false">輸入與假設!$G$248</f>
        <v>4.5</v>
      </c>
      <c r="I14" s="7" t="s">
        <v>1935</v>
      </c>
    </row>
    <row r="15" customFormat="false" ht="15" hidden="false" customHeight="false" outlineLevel="1" collapsed="false">
      <c r="A15" s="3" t="s">
        <v>1936</v>
      </c>
      <c r="B15" s="7"/>
      <c r="C15" s="87" t="n">
        <f aca="false">1/(1+輸入與假設!$C$216)^C14</f>
        <v>0.949157995752499</v>
      </c>
      <c r="D15" s="87" t="n">
        <f aca="false">1/(1+輸入與假設!$C$216)^D14</f>
        <v>0.85509729347072</v>
      </c>
      <c r="E15" s="87" t="n">
        <f aca="false">1/(1+輸入與假設!$C$216)^E14</f>
        <v>0.770357922045693</v>
      </c>
      <c r="F15" s="87" t="n">
        <f aca="false">1/(1+輸入與假設!$C$216)^F14</f>
        <v>0.694016145987111</v>
      </c>
      <c r="G15" s="87" t="n">
        <f aca="false">1/(1+輸入與假設!$C$216)^G14</f>
        <v>0.62523977115956</v>
      </c>
    </row>
    <row r="16" customFormat="false" ht="15" hidden="false" customHeight="false" outlineLevel="1" collapsed="false">
      <c r="A16" s="4" t="s">
        <v>1937</v>
      </c>
      <c r="B16" s="12" t="s">
        <v>93</v>
      </c>
      <c r="C16" s="70" t="n">
        <f aca="false">C13*C15</f>
        <v>-12.6365744457126</v>
      </c>
      <c r="D16" s="70" t="n">
        <f aca="false">D13*D15</f>
        <v>-19.9397997092557</v>
      </c>
      <c r="E16" s="70" t="n">
        <f aca="false">E13*E15</f>
        <v>-7.60902143415633</v>
      </c>
      <c r="F16" s="70" t="n">
        <f aca="false">F13*F15</f>
        <v>-3.62835059566233</v>
      </c>
      <c r="G16" s="70" t="n">
        <f aca="false">G13*G15</f>
        <v>-4.07420633052229</v>
      </c>
    </row>
    <row r="17" customFormat="false" ht="15" hidden="false" customHeight="false" outlineLevel="1" collapsed="false"/>
    <row r="18" customFormat="false" ht="15" hidden="false" customHeight="false" outlineLevel="1" collapsed="false">
      <c r="A18" s="3" t="s">
        <v>1938</v>
      </c>
      <c r="C18" s="11" t="n">
        <f aca="false">SUM(C16:G16)</f>
        <v>-47.8879525153093</v>
      </c>
      <c r="I18" s="7" t="s">
        <v>1939</v>
      </c>
    </row>
    <row r="19" customFormat="false" ht="15" hidden="false" customHeight="false" outlineLevel="1" collapsed="false">
      <c r="A19" s="3" t="s">
        <v>1940</v>
      </c>
      <c r="C19" s="11" t="n">
        <f aca="false">損益!G10*(1-輸入與假設!$C$219)+損益!G18-損益!G18*輸入與假設!$C$218</f>
        <v>4.0773717650965</v>
      </c>
      <c r="I19" s="7" t="s">
        <v>1941</v>
      </c>
    </row>
    <row r="20" customFormat="false" ht="15" hidden="false" customHeight="false" outlineLevel="1" collapsed="false">
      <c r="A20" s="3" t="s">
        <v>1942</v>
      </c>
      <c r="C20" s="60" t="n">
        <f aca="false">IF(C29=1,0,C19*(1+輸入與假設!$C$217)/(輸入與假設!$C$216-輸入與假設!$C$217))</f>
        <v>52.4961614756174</v>
      </c>
      <c r="I20" s="7" t="s">
        <v>1943</v>
      </c>
    </row>
    <row r="21" customFormat="false" ht="15" hidden="false" customHeight="false" outlineLevel="1" collapsed="false">
      <c r="A21" s="3" t="s">
        <v>1944</v>
      </c>
      <c r="C21" s="60" t="n">
        <f aca="false">C20*G15</f>
        <v>32.8226879877703</v>
      </c>
    </row>
    <row r="22" customFormat="false" ht="15" hidden="false" customHeight="false" outlineLevel="1" collapsed="false">
      <c r="A22" s="3" t="s">
        <v>1945</v>
      </c>
      <c r="C22" s="60" t="n">
        <f aca="false">C18+C21</f>
        <v>-15.065264527539</v>
      </c>
    </row>
    <row r="23" customFormat="false" ht="15" hidden="false" customHeight="false" outlineLevel="1" collapsed="false">
      <c r="A23" s="3" t="s">
        <v>1946</v>
      </c>
      <c r="C23" s="11" t="n">
        <f aca="false">-輸入與假設!$C$215</f>
        <v>-30</v>
      </c>
      <c r="I23" s="12" t="s">
        <v>1947</v>
      </c>
    </row>
    <row r="24" customFormat="false" ht="15" hidden="false" customHeight="false" outlineLevel="1" collapsed="false">
      <c r="A24" s="3" t="s">
        <v>1948</v>
      </c>
      <c r="C24" s="60" t="n">
        <f aca="false">C22+C23</f>
        <v>-45.065264527539</v>
      </c>
    </row>
    <row r="25" customFormat="false" ht="15" hidden="false" customHeight="false" outlineLevel="1" collapsed="false">
      <c r="A25" s="5" t="s">
        <v>1949</v>
      </c>
      <c r="C25" s="98" t="n">
        <f aca="false">IF(C29=1,0,IF(輸入與假設!$C$232=2,C31,C30))</f>
        <v>0</v>
      </c>
      <c r="I25" s="7" t="s">
        <v>1950</v>
      </c>
    </row>
    <row r="26" customFormat="false" ht="15" hidden="false" customHeight="false" outlineLevel="1" collapsed="false">
      <c r="A26" s="3" t="s">
        <v>1951</v>
      </c>
      <c r="C26" s="28" t="n">
        <f aca="false">C21/C22</f>
        <v>-2.17869974521663</v>
      </c>
      <c r="I26" s="7" t="str">
        <f aca="false">"超過 "&amp;IF(ROUND(ABS(輸入與假設!$C$257)*100,4)=INT(ROUND(ABS(輸入與假設!$C$257)*100,4)),TEXT(ROUND(ABS(輸入與假設!$C$257)*100,4),"0"),TEXT(ROUND(ABS(輸入與假設!$C$257)*100,4),"0.0"))&amp;"%"&amp;" 表示結論由終值假設決定，不由現金流決定"</f>
        <v>超過 85% 表示結論由終值假設決定，不由現金流決定</v>
      </c>
    </row>
    <row r="27" customFormat="false" ht="15" hidden="false" customHeight="false" outlineLevel="1" collapsed="false">
      <c r="A27" s="3" t="s">
        <v>1952</v>
      </c>
      <c r="C27" s="60" t="n">
        <f aca="false">各期收支!C61/(1+輸入與假設!$C$216)^輸入與假設!$C$249+各期收支!D61/(1+輸入與假設!$C$216)^輸入與假設!$D$249+各期收支!E61/(1+輸入與假設!$C$216)^輸入與假設!$E$249+各期收支!F61/(1+輸入與假設!$C$216)^輸入與假設!$F$249+各期收支!G61/(1+輸入與假設!$C$216)^輸入與假設!$G$249</f>
        <v>17.3648555772477</v>
      </c>
      <c r="I27" s="7" t="s">
        <v>1953</v>
      </c>
    </row>
    <row r="28" customFormat="false" ht="15" hidden="false" customHeight="false" outlineLevel="1" collapsed="false">
      <c r="A28" s="3" t="s">
        <v>1954</v>
      </c>
      <c r="C28" s="99" t="n">
        <f aca="false">輸入與假設!$C$214+各期收支!G66</f>
        <v>0.850866479723892</v>
      </c>
    </row>
    <row r="29" customFormat="false" ht="15" hidden="false" customHeight="false" outlineLevel="1" collapsed="false">
      <c r="A29" s="4" t="s">
        <v>1955</v>
      </c>
      <c r="C29" s="50" t="n">
        <f aca="false">IF(OR(輸入與假設!$C$216&lt;=輸入與假設!$C$217,C19&lt;=0),1,0)</f>
        <v>0</v>
      </c>
      <c r="I29" s="12" t="s">
        <v>1956</v>
      </c>
    </row>
    <row r="30" customFormat="false" ht="15" hidden="false" customHeight="false" outlineLevel="1" collapsed="false">
      <c r="A30" s="5" t="s">
        <v>1957</v>
      </c>
      <c r="C30" s="49" t="n">
        <f aca="false">MAX(0,(C24+C27)/C28)</f>
        <v>0</v>
      </c>
    </row>
    <row r="31" customFormat="false" ht="15" hidden="false" customHeight="false" outlineLevel="1" collapsed="false">
      <c r="A31" s="5" t="s">
        <v>1958</v>
      </c>
      <c r="C31" s="49" t="n">
        <f aca="false">IF((C22+C27)&lt;=0,0,((C22+C27)*NORMSDIST(C32)-輸入與假設!$C$215*EXP(-輸入與假設!$C$234*輸入與假設!$C$235)*NORMSDIST(C33))/C28)</f>
        <v>0.0355659537495063</v>
      </c>
      <c r="I31" s="12" t="s">
        <v>1959</v>
      </c>
    </row>
    <row r="32" customFormat="false" ht="15" hidden="false" customHeight="false" outlineLevel="1" collapsed="false">
      <c r="A32" s="3" t="s">
        <v>1960</v>
      </c>
      <c r="C32" s="99" t="n">
        <f aca="false">IF((C22+C27)&lt;=0,0,(LN((C22+C27)/輸入與假設!$C$215)+(輸入與假設!$C$234+輸入與假設!$C$233^2/2)*輸入與假設!$C$235)/(輸入與假設!$C$233*SQRT(輸入與假設!$C$235)))</f>
        <v>-1.72153732891333</v>
      </c>
    </row>
    <row r="33" customFormat="false" ht="15" hidden="false" customHeight="false" outlineLevel="1" collapsed="false">
      <c r="A33" s="3" t="s">
        <v>1961</v>
      </c>
      <c r="C33" s="99" t="n">
        <f aca="false">C32-輸入與假設!$C$233*SQRT(輸入與假設!$C$235)</f>
        <v>-2.78219750069316</v>
      </c>
    </row>
    <row r="35" customFormat="false" ht="15" hidden="false" customHeight="false" outlineLevel="0" collapsed="false">
      <c r="A35" s="54" t="s">
        <v>1962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1963</v>
      </c>
      <c r="C36" s="100" t="str">
        <f aca="false">CHOOSE(輸入與假設!$C$224,"FY27","FY28","FY29","FY30")</f>
        <v>FY29</v>
      </c>
      <c r="I36" s="7" t="s">
        <v>1964</v>
      </c>
    </row>
    <row r="37" customFormat="false" ht="15" hidden="false" customHeight="false" outlineLevel="1" collapsed="false">
      <c r="A37" s="3" t="s">
        <v>1965</v>
      </c>
      <c r="C37" s="11" t="n">
        <f aca="false">INDEX(損益!$D$19:$G$19,1,輸入與假設!$C$224)</f>
        <v>25.0023619298802</v>
      </c>
    </row>
    <row r="38" customFormat="false" ht="15" hidden="false" customHeight="false" outlineLevel="1" collapsed="false">
      <c r="A38" s="3" t="s">
        <v>1966</v>
      </c>
      <c r="C38" s="60" t="n">
        <f aca="false">C37*輸入與假設!$C$223</f>
        <v>150.014171579281</v>
      </c>
    </row>
    <row r="39" customFormat="false" ht="15" hidden="false" customHeight="false" outlineLevel="1" collapsed="false">
      <c r="A39" s="3" t="s">
        <v>1967</v>
      </c>
      <c r="C39" s="11" t="n">
        <f aca="false">INDEX(各期收支!$D$70:$G$70,1,輸入與假設!$C$224)-INDEX(各期收支!$D$41:$G$41,1,輸入與假設!$C$224)</f>
        <v>84.6777415514657</v>
      </c>
      <c r="I39" s="7" t="s">
        <v>1968</v>
      </c>
    </row>
    <row r="40" customFormat="false" ht="15" hidden="false" customHeight="false" outlineLevel="1" collapsed="false">
      <c r="A40" s="3" t="s">
        <v>1969</v>
      </c>
      <c r="C40" s="101" t="n">
        <f aca="false">INDEX(損益!$D$21:$G$21,1,輸入與假設!$C$224)</f>
        <v>0.865453353666667</v>
      </c>
      <c r="I40" s="7" t="s">
        <v>1970</v>
      </c>
    </row>
    <row r="41" customFormat="false" ht="15" hidden="false" customHeight="false" outlineLevel="1" collapsed="false">
      <c r="A41" s="3" t="s">
        <v>1971</v>
      </c>
      <c r="C41" s="101" t="n">
        <f aca="false">1/(1+輸入與假設!$C$216)^(輸入與假設!$C$224-輸入與假設!$C$245)</f>
        <v>0.770357922045693</v>
      </c>
      <c r="I41" s="7" t="s">
        <v>1972</v>
      </c>
    </row>
    <row r="42" customFormat="false" ht="15" hidden="false" customHeight="false" outlineLevel="1" collapsed="false">
      <c r="A42" s="4" t="s">
        <v>1973</v>
      </c>
      <c r="C42" s="49" t="n">
        <f aca="false">MAX(0,(C38-C39)/C40)*C41</f>
        <v>58.157307100225</v>
      </c>
      <c r="I42" s="7" t="s">
        <v>1974</v>
      </c>
    </row>
    <row r="44" customFormat="false" ht="15" hidden="false" customHeight="false" outlineLevel="0" collapsed="false">
      <c r="A44" s="54" t="s">
        <v>1497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1" collapsed="false">
      <c r="A45" s="4" t="s">
        <v>1975</v>
      </c>
      <c r="C45" s="13" t="n">
        <f aca="false">C25*(1+輸入與假設!$C$216)^輸入與假設!$C$241</f>
        <v>0</v>
      </c>
      <c r="I45" s="7" t="s">
        <v>1976</v>
      </c>
    </row>
    <row r="46" customFormat="false" ht="15" hidden="false" customHeight="false" outlineLevel="1" collapsed="false">
      <c r="A46" s="4" t="s">
        <v>1977</v>
      </c>
      <c r="C46" s="13" t="n">
        <f aca="false">C45*輸入與假設!$C$225</f>
        <v>0</v>
      </c>
    </row>
    <row r="47" customFormat="false" ht="15" hidden="false" customHeight="false" outlineLevel="1" collapsed="false">
      <c r="A47" s="4" t="s">
        <v>1978</v>
      </c>
      <c r="C47" s="13" t="n">
        <f aca="false">C42*(1-輸入與假設!$C$225)</f>
        <v>31.9865189051237</v>
      </c>
    </row>
    <row r="48" customFormat="false" ht="15" hidden="false" customHeight="false" outlineLevel="1" collapsed="false">
      <c r="A48" s="2" t="s">
        <v>1497</v>
      </c>
      <c r="C48" s="102" t="n">
        <f aca="false">SUM(C46:C47)</f>
        <v>31.9865189051237</v>
      </c>
      <c r="I48" s="7" t="s">
        <v>1979</v>
      </c>
    </row>
    <row r="49" customFormat="false" ht="15" hidden="false" customHeight="false" outlineLevel="1" collapsed="false">
      <c r="A49" s="3" t="s">
        <v>1980</v>
      </c>
      <c r="C49" s="13" t="n">
        <f aca="false">輸入與假設!$C$213</f>
        <v>90.13</v>
      </c>
    </row>
    <row r="50" customFormat="false" ht="15" hidden="false" customHeight="false" outlineLevel="1" collapsed="false">
      <c r="A50" s="3" t="s">
        <v>1981</v>
      </c>
      <c r="C50" s="28" t="n">
        <f aca="false">C48/C49-1</f>
        <v>-0.645106857815115</v>
      </c>
    </row>
    <row r="51" customFormat="false" ht="15" hidden="false" customHeight="false" outlineLevel="1" collapsed="false">
      <c r="A51" s="4" t="s">
        <v>1982</v>
      </c>
      <c r="C51" s="3" t="str">
        <f aca="false">IF(C29=1,"DCF：失效（以 0 計入）。DCF 腿以 $0 計入 "&amp;TEXT(輸入與假設!$C$225,"0%")&amp;" 權重，與股權為負時的 0 截斷同口徑；若不計 DCF，目標價為 $"&amp;TEXT(C42,"0.0")&amp;"（"&amp;CHOOSE(D65+2,"賣出","中立","買進")&amp;"）。",IF(AND(輸入與假設!$C$232&lt;&gt;2,C66&lt;0),"DCF 為 $0 仍計 "&amp;TEXT(輸入與假設!$C$225,"0%")&amp;" 權重的原因：DCF 沒有失效，而是算出的股權價值為負（每股約 −$"&amp;TEXT(ABS(C66),"0.0")&amp;"），代表自由現金流折現後的企業價值不足以償還淨負債。EV/EBITDA 沒有扣除 GPU 汰換與擴張支出，保留 DCF 權重，是為了讓目標價反映「EBITDA 付不起資本成本」。若不計 DCF，目標價為 $"&amp;TEXT(C42,"0.0")&amp;"（"&amp;CHOOSE(D65+2,"賣出","中立","買進")&amp;"）；"&amp;TEXT(輸入與假設!$C$225,"0%")&amp;"／"&amp;TEXT(1-輸入與假設!$C$225,"0%")&amp;" 為判斷值。",""))</f>
        <v>DCF 為 $0 仍計 45% 權重的原因：DCF 沒有失效，而是算出的股權價值為負（每股約 −$32.6），代表自由現金流折現後的企業價值不足以償還淨負債。EV/EBITDA 沒有扣除 GPU 汰換與擴張支出，保留 DCF 權重，是為了讓目標價反映「EBITDA 付不起資本成本」。若不計 DCF，目標價為 $58.2（賣出）；45%／55% 為判斷值。</v>
      </c>
      <c r="I51" s="7" t="s">
        <v>1983</v>
      </c>
    </row>
    <row r="53" customFormat="false" ht="15" hidden="false" customHeight="false" outlineLevel="0" collapsed="false">
      <c r="A53" s="54" t="s">
        <v>1984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1" collapsed="false">
      <c r="A54" s="3" t="s">
        <v>1985</v>
      </c>
      <c r="C54" s="13" t="n">
        <f aca="false">C48</f>
        <v>31.9865189051237</v>
      </c>
      <c r="I54" s="7" t="str">
        <f aca="false">"評等規則不變：空間 ≥"&amp;IF(ROUND(ABS(輸入與假設!$C$251)*100,4)=INT(ROUND(ABS(輸入與假設!$C$251)*100,4)),TEXT(ROUND(ABS(輸入與假設!$C$251)*100,4),"0"),TEXT(ROUND(ABS(輸入與假設!$C$251)*100,4),"0.0"))&amp;"%"&amp;" 且終值占比 &lt;"&amp;IF(ROUND(ABS(輸入與假設!$C$252)*100,4)=INT(ROUND(ABS(輸入與假設!$C$252)*100,4)),TEXT(ROUND(ABS(輸入與假設!$C$252)*100,4),"0"),TEXT(ROUND(ABS(輸入與假設!$C$252)*100,4),"0.0"))&amp;"%"&amp;"、股權募資 ≤"&amp;IF(輸入與假設!$C$254=INT(輸入與假設!$C$254),TEXT(輸入與假設!$C$254,"0"),TEXT(輸入與假設!$C$254,"0.0"))&amp;" 倍現市值 → 買進；空間 ≤−"&amp;IF(ROUND(ABS(輸入與假設!$C$253)*100,4)=INT(ROUND(ABS(輸入與假設!$C$253)*100,4)),TEXT(ROUND(ABS(輸入與假設!$C$253)*100,4),"0"),TEXT(ROUND(ABS(輸入與假設!$C$253)*100,4),"0.0"))&amp;"%"&amp;"，或股權募資 &gt;"&amp;IF(輸入與假設!$C$254=INT(輸入與假設!$C$254),TEXT(輸入與假設!$C$254,"0"),TEXT(輸入與假設!$C$254,"0.0"))&amp;" 倍且空間 ≤−"&amp;IF(ROUND(ABS(輸入與假設!$C$255)*100,4)=INT(ROUND(ABS(輸入與假設!$C$255)*100,4)),TEXT(ROUND(ABS(輸入與假設!$C$255)*100,4),"0"),TEXT(ROUND(ABS(輸入與假設!$C$255)*100,4),"0.0"))&amp;"%"&amp;"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55" customFormat="false" ht="15" hidden="false" customHeight="false" outlineLevel="1" collapsed="false">
      <c r="A55" s="3" t="s">
        <v>1986</v>
      </c>
      <c r="C55" s="14" t="n">
        <f aca="false">C21/MAX(ABS(C22),1)*IF(C22=0,1,SIGN(C22))</f>
        <v>-2.17869974521663</v>
      </c>
    </row>
    <row r="56" customFormat="false" ht="15" hidden="false" customHeight="false" outlineLevel="1" collapsed="false">
      <c r="A56" s="3" t="s">
        <v>1987</v>
      </c>
      <c r="C56" s="17" t="n">
        <f aca="false">SUM(各期收支!C61:G61)/(輸入與假設!$C$213*輸入與假設!$C$214)</f>
        <v>0.404565301109885</v>
      </c>
    </row>
    <row r="57" customFormat="false" ht="15" hidden="false" customHeight="false" outlineLevel="1" collapsed="false">
      <c r="A57" s="3" t="s">
        <v>1988</v>
      </c>
      <c r="C57" s="10" t="n">
        <f aca="false">IF(AND((C48/MAX(輸入與假設!$C$213,0.01)-1)&gt;=輸入與假設!$C$251,$C$55&lt;輸入與假設!$C$252,$C$56&lt;=輸入與假設!$C$254),1,IF(OR((C48/MAX(輸入與假設!$C$213,0.01)-1)&lt;=輸入與假設!$C$253,AND($C$56&gt;輸入與假設!$C$254,(C48/MAX(輸入與假設!$C$213,0.01)-1)&lt;=輸入與假設!$C$255)),-1,0))</f>
        <v>-1</v>
      </c>
      <c r="D57" s="10" t="str">
        <f aca="false">CHOOSE(C57+2,"賣出","中立","買進")</f>
        <v>賣出</v>
      </c>
    </row>
    <row r="58" customFormat="false" ht="15" hidden="false" customHeight="false" outlineLevel="1" collapsed="false">
      <c r="A58" s="3" t="s">
        <v>1989</v>
      </c>
      <c r="C58" s="13" t="n">
        <f aca="false">輸入與假設!$C$213*(1+輸入與假設!$C$253)</f>
        <v>76.6105</v>
      </c>
    </row>
    <row r="59" customFormat="false" ht="15" hidden="false" customHeight="false" outlineLevel="1" collapsed="false">
      <c r="A59" s="3" t="s">
        <v>1990</v>
      </c>
      <c r="C59" s="13" t="n">
        <f aca="false">輸入與假設!D283</f>
        <v>42.7024438874061</v>
      </c>
      <c r="D59" s="10" t="n">
        <f aca="false">輸入與假設!E283</f>
        <v>-1</v>
      </c>
      <c r="E59" s="13" t="n">
        <f aca="false">C59-$C$58</f>
        <v>-33.9080561125939</v>
      </c>
      <c r="I59" s="7" t="s">
        <v>1991</v>
      </c>
    </row>
    <row r="60" customFormat="false" ht="15" hidden="false" customHeight="false" outlineLevel="1" collapsed="false">
      <c r="A60" s="3" t="s">
        <v>1992</v>
      </c>
      <c r="C60" s="13" t="n">
        <f aca="false">輸入與假設!D284</f>
        <v>31.9865189051237</v>
      </c>
      <c r="D60" s="10" t="n">
        <f aca="false">輸入與假設!E284</f>
        <v>-1</v>
      </c>
      <c r="E60" s="13" t="n">
        <f aca="false">C60-$C$58</f>
        <v>-44.6239810948763</v>
      </c>
    </row>
    <row r="61" customFormat="false" ht="15" hidden="false" customHeight="false" outlineLevel="1" collapsed="false">
      <c r="A61" s="3" t="s">
        <v>1993</v>
      </c>
      <c r="C61" s="13" t="n">
        <f aca="false">輸入與假設!D285</f>
        <v>14.7158090153289</v>
      </c>
      <c r="D61" s="10" t="n">
        <f aca="false">輸入與假設!E285</f>
        <v>-1</v>
      </c>
      <c r="E61" s="13" t="n">
        <f aca="false">C61-$C$58</f>
        <v>-61.8946909846711</v>
      </c>
    </row>
    <row r="62" customFormat="false" ht="15" hidden="false" customHeight="false" outlineLevel="1" collapsed="false">
      <c r="A62" s="3" t="s">
        <v>1994</v>
      </c>
      <c r="C62" s="13" t="n">
        <f aca="false">MIN(C59,C61)</f>
        <v>14.7158090153289</v>
      </c>
      <c r="D62" s="13" t="n">
        <f aca="false">MAX(C59,C61)</f>
        <v>42.7024438874061</v>
      </c>
    </row>
    <row r="63" customFormat="false" ht="15" hidden="false" customHeight="false" outlineLevel="1" collapsed="false">
      <c r="A63" s="3" t="s">
        <v>1995</v>
      </c>
      <c r="C63" s="17" t="n">
        <f aca="false">MIN(輸入與假設!$C$227,輸入與假設!$C$228)</f>
        <v>5</v>
      </c>
      <c r="D63" s="17" t="n">
        <f aca="false">MAX(輸入與假設!$C$227,輸入與假設!$C$228)</f>
        <v>6</v>
      </c>
    </row>
    <row r="64" customFormat="false" ht="15" hidden="false" customHeight="false" outlineLevel="1" collapsed="false">
      <c r="A64" s="3" t="s">
        <v>1996</v>
      </c>
      <c r="C64" s="13" t="n">
        <f aca="false">MIN(C45*輸入與假設!$C$225+MAX(0,(C37*C63-C39)/C40)*C41*(1-輸入與假設!$C$225),C45*輸入與假設!$C$225+MAX(0,(C37*D63-C39)/C40)*C41*(1-輸入與假設!$C$225))</f>
        <v>19.7462033231064</v>
      </c>
      <c r="D64" s="13" t="n">
        <f aca="false">MAX(C45*輸入與假設!$C$225+MAX(0,(C37*C63-C39)/C40)*C41*(1-輸入與假設!$C$225),C45*輸入與假設!$C$225+MAX(0,(C37*D63-C39)/C40)*C41*(1-輸入與假設!$C$225))</f>
        <v>31.9865189051237</v>
      </c>
      <c r="I64" s="7" t="s">
        <v>1997</v>
      </c>
    </row>
    <row r="65" customFormat="false" ht="15" hidden="false" customHeight="false" outlineLevel="1" collapsed="false">
      <c r="A65" s="3" t="s">
        <v>1998</v>
      </c>
      <c r="C65" s="13" t="n">
        <f aca="false">C42</f>
        <v>58.157307100225</v>
      </c>
      <c r="D65" s="10" t="n">
        <f aca="false">IF(AND((C42/MAX(輸入與假設!$C$213,0.01)-1)&gt;=輸入與假設!$C$251,$C$55&lt;輸入與假設!$C$252,$C$56&lt;=輸入與假設!$C$254),1,IF(OR((C42/MAX(輸入與假設!$C$213,0.01)-1)&lt;=輸入與假設!$C$253,AND($C$56&gt;輸入與假設!$C$254,(C42/MAX(輸入與假設!$C$213,0.01)-1)&lt;=輸入與假設!$C$255)),-1,0))</f>
        <v>-1</v>
      </c>
      <c r="E65" s="13" t="str">
        <f aca="false">CHOOSE(D65+2,"賣出","中立","買進")</f>
        <v>賣出</v>
      </c>
    </row>
    <row r="66" customFormat="false" ht="15" hidden="false" customHeight="false" outlineLevel="1" collapsed="false">
      <c r="A66" s="3" t="s">
        <v>1999</v>
      </c>
      <c r="C66" s="13" t="n">
        <f aca="false">(C24+C27)/C28</f>
        <v>-32.5555296987138</v>
      </c>
    </row>
    <row r="67" customFormat="false" ht="15" hidden="false" customHeight="false" outlineLevel="1" collapsed="false">
      <c r="A67" s="3" t="s">
        <v>2000</v>
      </c>
      <c r="C67" s="3" t="str">
        <f aca="false">"目標價 $"&amp;TEXT(C48,"0.0")&amp;"（情境區間 $"&amp;TEXT(C62,"0.0")&amp;"–$"&amp;TEXT(D62,"0.0")&amp;"）"</f>
        <v>目標價 $32.0（情境區間 $14.7–$42.7）</v>
      </c>
    </row>
    <row r="68" customFormat="false" ht="15" hidden="false" customHeight="false" outlineLevel="1" collapsed="false">
      <c r="A68" s="3" t="s">
        <v>2001</v>
      </c>
      <c r="C68" s="3" t="str">
        <f aca="false">"方法區間（目前情境，"&amp;IF(C63=INT(C63),TEXT(C63,"0"),TEXT(C63,"0.0"))&amp;"–"&amp;IF(D63=INT(D63),TEXT(D63,"0"),TEXT(D63,"0.0"))&amp;"x）"</f>
        <v>方法區間（目前情境，5–6x）</v>
      </c>
    </row>
    <row r="69" customFormat="false" ht="15" hidden="false" customHeight="false" outlineLevel="1" collapsed="false">
      <c r="A69" s="3" t="s">
        <v>2002</v>
      </c>
      <c r="C69" s="3" t="str">
        <f aca="false">IF(ABS(輸入與假設!$C$223-D63)&lt;0.000000001,"目前點位位於方法區間上緣（"&amp;IF(D63=INT(D63),TEXT(D63,"0"),TEXT(D63,"0.0"))&amp;"x 為穩態倍數上緣）",IF(ABS(輸入與假設!$C$223-C63)&lt;0.000000001,"目前點位位於方法區間下緣（"&amp;IF(C63=INT(C63),TEXT(C63,"0"),TEXT(C63,"0.0"))&amp;"x）","目前點位"&amp;IF(AND(輸入與假設!$C$223&gt;C63,輸入與假設!$C$223&lt;D63),"位於方法區間內",IF(輸入與假設!$C$223&gt;D63,"高於方法區間上緣","低於方法區間下緣"))&amp;"（目前倍數 "&amp;IF(輸入與假設!$C$223=INT(輸入與假設!$C$223),TEXT(輸入與假設!$C$223,"0"),TEXT(輸入與假設!$C$223,"0.0"))&amp;"x）"))</f>
        <v>目前點位位於方法區間上緣（6x 為穩態倍數上緣）</v>
      </c>
    </row>
    <row r="70" customFormat="false" ht="15" hidden="false" customHeight="false" outlineLevel="1" collapsed="false">
      <c r="A70" s="2" t="s">
        <v>2003</v>
      </c>
      <c r="C70" s="3" t="str">
        <f aca="false">IF(D62&lt;輸入與假設!$C$213,"情境區間上緣 $"&amp;TEXT(D62,"0.0")&amp;" 低於現價 $"&amp;TEXT(輸入與假設!$C$213,"0.00")&amp;IF((D59&lt;&gt;-1)+(D60&lt;&gt;-1)+(D61&lt;&gt;-1)&gt;0,"，但"&amp;SUBSTITUTE(TRIM(IF(D59&lt;&gt;-1,"保守","")&amp;" "&amp;IF(D60&lt;&gt;-1,"基準","")&amp;" "&amp;IF(D61&lt;&gt;-1,"積極",""))," ","、")&amp;"情境未達賣出門檻 $"&amp;TEXT($C$58,"0.0"),"：賣出在三個擴張情境下都成立"),"情境區間上緣 $"&amp;TEXT(D62,"0.0")&amp;" 不低於現價 $"&amp;TEXT(輸入與假設!$C$213,"0.00")&amp;"：賣出並非在三個擴張情境下都成立")&amp;"。"&amp;IF(ABS(E59)&lt;輸入與假設!$C$256*輸入與假設!$C$213,"保守情境 $"&amp;TEXT(C59,"0.0")&amp;"，"&amp;IF(E59&lt;0,"距賣出門檻","高於賣出門檻")&amp;" $"&amp;TEXT($C$58,"0.0")&amp;" 僅 $"&amp;TEXT(ABS(E59),"0.0")&amp;"。","")&amp;IF(ABS(E60)&lt;輸入與假設!$C$256*輸入與假設!$C$213,"基準情境 $"&amp;TEXT(C60,"0.0")&amp;"，"&amp;IF(E60&lt;0,"距賣出門檻","高於賣出門檻")&amp;" $"&amp;TEXT($C$58,"0.0")&amp;" 僅 $"&amp;TEXT(ABS(E60),"0.0")&amp;"。","")&amp;IF(ABS(E61)&lt;輸入與假設!$C$256*輸入與假設!$C$213,"積極情境 $"&amp;TEXT(C61,"0.0")&amp;"，"&amp;IF(E61&lt;0,"距賣出門檻","高於賣出門檻")&amp;" $"&amp;TEXT($C$58,"0.0")&amp;" 僅 $"&amp;TEXT(ABS(E61),"0.0")&amp;"。","")</f>
        <v>情境區間上緣 $42.7 低於現價 $90.13：賣出在三個擴張情境下都成立。</v>
      </c>
    </row>
    <row r="72" customFormat="false" ht="15" hidden="false" customHeight="false" outlineLevel="0" collapsed="false">
      <c r="A72" s="54" t="s">
        <v>2004</v>
      </c>
      <c r="B72" s="9"/>
      <c r="C72" s="9"/>
      <c r="D72" s="9"/>
      <c r="E72" s="9"/>
      <c r="F72" s="9"/>
      <c r="G72" s="9"/>
      <c r="H72" s="9"/>
    </row>
    <row r="73" customFormat="false" ht="17.15" hidden="false" customHeight="false" outlineLevel="1" collapsed="false">
      <c r="A73" s="15" t="s">
        <v>2005</v>
      </c>
      <c r="B73" s="15" t="s">
        <v>1422</v>
      </c>
      <c r="C73" s="16" t="s">
        <v>90</v>
      </c>
      <c r="D73" s="16" t="s">
        <v>91</v>
      </c>
      <c r="E73" s="16" t="s">
        <v>175</v>
      </c>
      <c r="F73" s="16" t="s">
        <v>176</v>
      </c>
      <c r="I73" s="12" t="s">
        <v>2006</v>
      </c>
    </row>
    <row r="74" customFormat="false" ht="15" hidden="false" customHeight="false" outlineLevel="1" collapsed="false">
      <c r="A74" s="3" t="s">
        <v>2007</v>
      </c>
      <c r="B74" s="103" t="n">
        <v>3.4</v>
      </c>
      <c r="C74" s="13" t="n">
        <f aca="false">MAX(0,(INDEX(損益!$D$19:$G$19,1,1)*$B74-(INDEX(各期收支!$D$70:$G$70,1,1)-INDEX(各期收支!$D$41:$G$41,1,1)))/INDEX(損益!$D$21:$G$21,1,1))/(1+輸入與假設!$C$216)^(1-輸入與假設!$C$245)</f>
        <v>0</v>
      </c>
      <c r="D74" s="13" t="n">
        <f aca="false">MAX(0,(INDEX(損益!$D$19:$G$19,1,2)*$B74-(INDEX(各期收支!$D$70:$G$70,1,2)-INDEX(各期收支!$D$41:$G$41,1,2)))/INDEX(損益!$D$21:$G$21,1,2))/(1+輸入與假設!$C$216)^(2-輸入與假設!$C$245)</f>
        <v>0</v>
      </c>
      <c r="E74" s="13" t="n">
        <f aca="false">MAX(0,(INDEX(損益!$D$19:$G$19,1,3)*$B74-(INDEX(各期收支!$D$70:$G$70,1,3)-INDEX(各期收支!$D$41:$G$41,1,3)))/INDEX(損益!$D$21:$G$21,1,3))/(1+輸入與假設!$C$216)^(3-輸入與假設!$C$245)</f>
        <v>0.293997076142861</v>
      </c>
      <c r="F74" s="13" t="n">
        <f aca="false">MAX(0,(INDEX(損益!$D$19:$G$19,1,4)*$B74-(INDEX(各期收支!$D$70:$G$70,1,4)-INDEX(各期收支!$D$41:$G$41,1,4)))/INDEX(損益!$D$21:$G$21,1,4))/(1+輸入與假設!$C$216)^(4-輸入與假設!$C$245)</f>
        <v>0</v>
      </c>
    </row>
    <row r="75" customFormat="false" ht="15" hidden="false" customHeight="false" outlineLevel="1" collapsed="false">
      <c r="A75" s="3" t="s">
        <v>2008</v>
      </c>
      <c r="B75" s="103" t="n">
        <v>4.5</v>
      </c>
      <c r="C75" s="13" t="n">
        <f aca="false">MAX(0,(INDEX(損益!$D$19:$G$19,1,1)*$B75-(INDEX(各期收支!$D$70:$G$70,1,1)-INDEX(各期收支!$D$41:$G$41,1,1)))/INDEX(損益!$D$21:$G$21,1,1))/(1+輸入與假設!$C$216)^(1-輸入與假設!$C$245)</f>
        <v>0</v>
      </c>
      <c r="D75" s="13" t="n">
        <f aca="false">MAX(0,(INDEX(損益!$D$19:$G$19,1,2)*$B75-(INDEX(各期收支!$D$70:$G$70,1,2)-INDEX(各期收支!$D$41:$G$41,1,2)))/INDEX(損益!$D$21:$G$21,1,2))/(1+輸入與假設!$C$216)^(2-輸入與假設!$C$245)</f>
        <v>10.7809893688695</v>
      </c>
      <c r="E75" s="13" t="n">
        <f aca="false">MAX(0,(INDEX(損益!$D$19:$G$19,1,3)*$B75-(INDEX(各期收支!$D$70:$G$70,1,3)-INDEX(各期收支!$D$41:$G$41,1,3)))/INDEX(損益!$D$21:$G$21,1,3))/(1+輸入與假設!$C$216)^(3-輸入與假設!$C$245)</f>
        <v>24.7746282401776</v>
      </c>
      <c r="F75" s="13" t="n">
        <f aca="false">MAX(0,(INDEX(損益!$D$19:$G$19,1,4)*$B75-(INDEX(各期收支!$D$70:$G$70,1,4)-INDEX(各期收支!$D$41:$G$41,1,4)))/INDEX(損益!$D$21:$G$21,1,4))/(1+輸入與假設!$C$216)^(4-輸入與假設!$C$245)</f>
        <v>18.7847761071144</v>
      </c>
    </row>
    <row r="76" customFormat="false" ht="15" hidden="false" customHeight="false" outlineLevel="1" collapsed="false">
      <c r="A76" s="3" t="s">
        <v>2009</v>
      </c>
      <c r="B76" s="103" t="n">
        <v>5</v>
      </c>
      <c r="C76" s="13" t="n">
        <f aca="false">MAX(0,(INDEX(損益!$D$19:$G$19,1,1)*$B76-(INDEX(各期收支!$D$70:$G$70,1,1)-INDEX(各期收支!$D$41:$G$41,1,1)))/INDEX(損益!$D$21:$G$21,1,1))/(1+輸入與假設!$C$216)^(1-輸入與假設!$C$245)</f>
        <v>0</v>
      </c>
      <c r="D76" s="13" t="n">
        <f aca="false">MAX(0,(INDEX(損益!$D$19:$G$19,1,2)*$B76-(INDEX(各期收支!$D$70:$G$70,1,2)-INDEX(各期收支!$D$41:$G$41,1,2)))/INDEX(損益!$D$21:$G$21,1,2))/(1+輸入與假設!$C$216)^(2-輸入與假設!$C$245)</f>
        <v>22.649186201906</v>
      </c>
      <c r="E76" s="13" t="n">
        <f aca="false">MAX(0,(INDEX(損益!$D$19:$G$19,1,3)*$B76-(INDEX(各期收支!$D$70:$G$70,1,3)-INDEX(各期收支!$D$41:$G$41,1,3)))/INDEX(損益!$D$21:$G$21,1,3))/(1+輸入與假設!$C$216)^(3-輸入與假設!$C$245)</f>
        <v>35.9021878601934</v>
      </c>
      <c r="F76" s="13" t="n">
        <f aca="false">MAX(0,(INDEX(損益!$D$19:$G$19,1,4)*$B76-(INDEX(各期收支!$D$70:$G$70,1,4)-INDEX(各期收支!$D$41:$G$41,1,4)))/INDEX(損益!$D$21:$G$21,1,4))/(1+輸入與假設!$C$216)^(4-輸入與假設!$C$245)</f>
        <v>29.7505266461792</v>
      </c>
    </row>
    <row r="77" customFormat="false" ht="15" hidden="false" customHeight="false" outlineLevel="1" collapsed="false">
      <c r="A77" s="3" t="s">
        <v>2010</v>
      </c>
      <c r="B77" s="103" t="n">
        <v>6</v>
      </c>
      <c r="C77" s="13" t="n">
        <f aca="false">MAX(0,(INDEX(損益!$D$19:$G$19,1,1)*$B77-(INDEX(各期收支!$D$70:$G$70,1,1)-INDEX(各期收支!$D$41:$G$41,1,1)))/INDEX(損益!$D$21:$G$21,1,1))/(1+輸入與假設!$C$216)^(1-輸入與假設!$C$245)</f>
        <v>6.01695639803833</v>
      </c>
      <c r="D77" s="13" t="n">
        <f aca="false">MAX(0,(INDEX(損益!$D$19:$G$19,1,2)*$B77-(INDEX(各期收支!$D$70:$G$70,1,2)-INDEX(各期收支!$D$41:$G$41,1,2)))/INDEX(損益!$D$21:$G$21,1,2))/(1+輸入與假設!$C$216)^(2-輸入與假設!$C$245)</f>
        <v>46.3855798679789</v>
      </c>
      <c r="E77" s="13" t="n">
        <f aca="false">MAX(0,(INDEX(損益!$D$19:$G$19,1,3)*$B77-(INDEX(各期收支!$D$70:$G$70,1,3)-INDEX(各期收支!$D$41:$G$41,1,3)))/INDEX(損益!$D$21:$G$21,1,3))/(1+輸入與假設!$C$216)^(3-輸入與假設!$C$245)</f>
        <v>58.157307100225</v>
      </c>
      <c r="F77" s="13" t="n">
        <f aca="false">MAX(0,(INDEX(損益!$D$19:$G$19,1,4)*$B77-(INDEX(各期收支!$D$70:$G$70,1,4)-INDEX(各期收支!$D$41:$G$41,1,4)))/INDEX(損益!$D$21:$G$21,1,4))/(1+輸入與假設!$C$216)^(4-輸入與假設!$C$245)</f>
        <v>51.6820277243088</v>
      </c>
    </row>
    <row r="78" customFormat="false" ht="15" hidden="false" customHeight="false" outlineLevel="1" collapsed="false">
      <c r="A78" s="3" t="s">
        <v>2011</v>
      </c>
      <c r="B78" s="103" t="n">
        <v>7</v>
      </c>
      <c r="C78" s="13" t="n">
        <f aca="false">MAX(0,(INDEX(損益!$D$19:$G$19,1,1)*$B78-(INDEX(各期收支!$D$70:$G$70,1,1)-INDEX(各期收支!$D$41:$G$41,1,1)))/INDEX(損益!$D$21:$G$21,1,1))/(1+輸入與假設!$C$216)^(1-輸入與假設!$C$245)</f>
        <v>26.9834305634639</v>
      </c>
      <c r="D78" s="13" t="n">
        <f aca="false">MAX(0,(INDEX(損益!$D$19:$G$19,1,2)*$B78-(INDEX(各期收支!$D$70:$G$70,1,2)-INDEX(各期收支!$D$41:$G$41,1,2)))/INDEX(損益!$D$21:$G$21,1,2))/(1+輸入與假設!$C$216)^(2-輸入與假設!$C$245)</f>
        <v>70.1219735340519</v>
      </c>
      <c r="E78" s="13" t="n">
        <f aca="false">MAX(0,(INDEX(損益!$D$19:$G$19,1,3)*$B78-(INDEX(各期收支!$D$70:$G$70,1,3)-INDEX(各期收支!$D$41:$G$41,1,3)))/INDEX(損益!$D$21:$G$21,1,3))/(1+輸入與假設!$C$216)^(3-輸入與假設!$C$245)</f>
        <v>80.4124263402566</v>
      </c>
      <c r="F78" s="13" t="n">
        <f aca="false">MAX(0,(INDEX(損益!$D$19:$G$19,1,4)*$B78-(INDEX(各期收支!$D$70:$G$70,1,4)-INDEX(各期收支!$D$41:$G$41,1,4)))/INDEX(損益!$D$21:$G$21,1,4))/(1+輸入與假設!$C$216)^(4-輸入與假設!$C$245)</f>
        <v>73.6135288024385</v>
      </c>
    </row>
    <row r="79" customFormat="false" ht="15" hidden="false" customHeight="false" outlineLevel="1" collapsed="false"/>
    <row r="80" customFormat="false" ht="15" hidden="false" customHeight="false" outlineLevel="1" collapsed="false">
      <c r="A80" s="15" t="s">
        <v>2012</v>
      </c>
      <c r="B80" s="15" t="s">
        <v>1422</v>
      </c>
      <c r="C80" s="16" t="s">
        <v>90</v>
      </c>
      <c r="D80" s="16" t="s">
        <v>91</v>
      </c>
      <c r="E80" s="16" t="s">
        <v>175</v>
      </c>
      <c r="F80" s="16" t="s">
        <v>176</v>
      </c>
    </row>
    <row r="81" customFormat="false" ht="15" hidden="false" customHeight="false" outlineLevel="1" collapsed="false">
      <c r="A81" s="3" t="s">
        <v>2013</v>
      </c>
      <c r="B81" s="103" t="n">
        <v>3.4</v>
      </c>
      <c r="C81" s="13" t="n">
        <f aca="false">C45*輸入與假設!$C$225+C74*(1-輸入與假設!$C$225)</f>
        <v>0</v>
      </c>
      <c r="D81" s="13" t="n">
        <f aca="false">C45*輸入與假設!$C$225+D74*(1-輸入與假設!$C$225)</f>
        <v>0</v>
      </c>
      <c r="E81" s="13" t="n">
        <f aca="false">C45*輸入與假設!$C$225+E74*(1-輸入與假設!$C$225)</f>
        <v>0.161698391878573</v>
      </c>
      <c r="F81" s="13" t="n">
        <f aca="false">C45*輸入與假設!$C$225+F74*(1-輸入與假設!$C$225)</f>
        <v>0</v>
      </c>
    </row>
    <row r="82" customFormat="false" ht="15" hidden="false" customHeight="false" outlineLevel="1" collapsed="false">
      <c r="A82" s="3" t="s">
        <v>2014</v>
      </c>
      <c r="B82" s="103" t="n">
        <v>4.5</v>
      </c>
      <c r="C82" s="13" t="n">
        <f aca="false">C45*輸入與假設!$C$225+C75*(1-輸入與假設!$C$225)</f>
        <v>0</v>
      </c>
      <c r="D82" s="13" t="n">
        <f aca="false">C45*輸入與假設!$C$225+D75*(1-輸入與假設!$C$225)</f>
        <v>5.92954415287823</v>
      </c>
      <c r="E82" s="13" t="n">
        <f aca="false">C45*輸入與假設!$C$225+E75*(1-輸入與假設!$C$225)</f>
        <v>13.6260455320977</v>
      </c>
      <c r="F82" s="13" t="n">
        <f aca="false">C45*輸入與假設!$C$225+F75*(1-輸入與假設!$C$225)</f>
        <v>10.3316268589129</v>
      </c>
    </row>
    <row r="83" customFormat="false" ht="15" hidden="false" customHeight="false" outlineLevel="1" collapsed="false">
      <c r="A83" s="3" t="s">
        <v>2015</v>
      </c>
      <c r="B83" s="103" t="n">
        <v>5</v>
      </c>
      <c r="C83" s="13" t="n">
        <f aca="false">C45*輸入與假設!$C$225+C76*(1-輸入與假設!$C$225)</f>
        <v>0</v>
      </c>
      <c r="D83" s="13" t="n">
        <f aca="false">C45*輸入與假設!$C$225+D76*(1-輸入與假設!$C$225)</f>
        <v>12.4570524110483</v>
      </c>
      <c r="E83" s="13" t="n">
        <f aca="false">C45*輸入與假設!$C$225+E76*(1-輸入與假設!$C$225)</f>
        <v>19.7462033231064</v>
      </c>
      <c r="F83" s="13" t="n">
        <f aca="false">C45*輸入與假設!$C$225+F76*(1-輸入與假設!$C$225)</f>
        <v>16.3627896553986</v>
      </c>
    </row>
    <row r="84" customFormat="false" ht="15" hidden="false" customHeight="false" outlineLevel="1" collapsed="false">
      <c r="A84" s="3" t="s">
        <v>2016</v>
      </c>
      <c r="B84" s="103" t="n">
        <v>6</v>
      </c>
      <c r="C84" s="13" t="n">
        <f aca="false">C45*輸入與假設!$C$225+C77*(1-輸入與假設!$C$225)</f>
        <v>3.30932601892108</v>
      </c>
      <c r="D84" s="13" t="n">
        <f aca="false">C45*輸入與假設!$C$225+D77*(1-輸入與假設!$C$225)</f>
        <v>25.5120689273884</v>
      </c>
      <c r="E84" s="13" t="n">
        <f aca="false">C45*輸入與假設!$C$225+E77*(1-輸入與假設!$C$225)</f>
        <v>31.9865189051237</v>
      </c>
      <c r="F84" s="13" t="n">
        <f aca="false">C45*輸入與假設!$C$225+F77*(1-輸入與假設!$C$225)</f>
        <v>28.4251152483699</v>
      </c>
    </row>
    <row r="85" customFormat="false" ht="15" hidden="false" customHeight="false" outlineLevel="1" collapsed="false">
      <c r="A85" s="3" t="s">
        <v>2017</v>
      </c>
      <c r="B85" s="103" t="n">
        <v>7</v>
      </c>
      <c r="C85" s="13" t="n">
        <f aca="false">C45*輸入與假設!$C$225+C78*(1-輸入與假設!$C$225)</f>
        <v>14.8408868099051</v>
      </c>
      <c r="D85" s="13" t="n">
        <f aca="false">C45*輸入與假設!$C$225+D78*(1-輸入與假設!$C$225)</f>
        <v>38.5670854437285</v>
      </c>
      <c r="E85" s="13" t="n">
        <f aca="false">C45*輸入與假設!$C$225+E78*(1-輸入與假設!$C$225)</f>
        <v>44.2268344871411</v>
      </c>
      <c r="F85" s="13" t="n">
        <f aca="false">C45*輸入與假設!$C$225+F78*(1-輸入與假設!$C$225)</f>
        <v>40.4874408413412</v>
      </c>
    </row>
  </sheetData>
  <conditionalFormatting sqref="C74:F78">
    <cfRule type="cellIs" priority="2" operator="greaterThanOrEqual" aboveAverage="0" equalAverage="0" bottom="0" percent="0" rank="0" text="" dxfId="0">
      <formula>輸入與假設!$C$213</formula>
    </cfRule>
  </conditionalFormatting>
  <conditionalFormatting sqref="C81:F85">
    <cfRule type="cellIs" priority="3" operator="greaterThanOrEqual" aboveAverage="0" equalAverage="0" bottom="0" percent="0" rank="0" text="" dxfId="0">
      <formula>輸入與假設!$C$213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6" t="s">
        <v>2018</v>
      </c>
    </row>
    <row r="2" customFormat="false" ht="15" hidden="false" customHeight="false" outlineLevel="0" collapsed="false">
      <c r="A2" s="7" t="s">
        <v>2019</v>
      </c>
    </row>
    <row r="4" customFormat="false" ht="15" hidden="false" customHeight="false" outlineLevel="0" collapsed="false">
      <c r="A4" s="54" t="s">
        <v>2020</v>
      </c>
      <c r="B4" s="9"/>
      <c r="C4" s="9"/>
      <c r="D4" s="9"/>
      <c r="E4" s="9"/>
      <c r="F4" s="9"/>
      <c r="G4" s="9"/>
    </row>
    <row r="5" customFormat="false" ht="15" hidden="false" customHeight="false" outlineLevel="1" collapsed="false">
      <c r="A5" s="3" t="s">
        <v>1980</v>
      </c>
      <c r="B5" s="104" t="n">
        <f aca="false">輸入與假設!$C$213</f>
        <v>90.13</v>
      </c>
    </row>
    <row r="6" customFormat="false" ht="15" hidden="false" customHeight="false" outlineLevel="1" collapsed="false">
      <c r="A6" s="3" t="s">
        <v>2021</v>
      </c>
      <c r="B6" s="104" t="n">
        <f aca="false">評價_DCF與目標價!C25</f>
        <v>0</v>
      </c>
    </row>
    <row r="7" customFormat="false" ht="15" hidden="false" customHeight="false" outlineLevel="1" collapsed="false">
      <c r="A7" s="2" t="s">
        <v>2022</v>
      </c>
      <c r="B7" s="102" t="n">
        <f aca="false">B6-B5</f>
        <v>-90.13</v>
      </c>
    </row>
    <row r="8" customFormat="false" ht="15" hidden="false" customHeight="false" outlineLevel="1" collapsed="false">
      <c r="A8" s="3" t="s">
        <v>2023</v>
      </c>
      <c r="B8" s="105" t="n">
        <f aca="false">輸入與假設!$C$22</f>
        <v>1</v>
      </c>
      <c r="C8" s="105" t="n">
        <f aca="false">輸入與假設!$C$166</f>
        <v>1</v>
      </c>
    </row>
    <row r="10" customFormat="false" ht="15" hidden="false" customHeight="false" outlineLevel="0" collapsed="false">
      <c r="A10" s="54" t="s">
        <v>2024</v>
      </c>
      <c r="B10" s="9"/>
      <c r="C10" s="9"/>
      <c r="D10" s="9"/>
      <c r="E10" s="9"/>
      <c r="F10" s="9"/>
      <c r="G10" s="9"/>
    </row>
    <row r="11" customFormat="false" ht="15" hidden="false" customHeight="false" outlineLevel="1" collapsed="false">
      <c r="A11" s="7" t="s">
        <v>2025</v>
      </c>
    </row>
    <row r="12" customFormat="false" ht="15" hidden="false" customHeight="false" outlineLevel="1" collapsed="false">
      <c r="A12" s="7" t="s">
        <v>2026</v>
      </c>
    </row>
    <row r="13" customFormat="false" ht="15" hidden="false" customHeight="false" outlineLevel="1" collapsed="false">
      <c r="A13" s="7" t="s">
        <v>2027</v>
      </c>
    </row>
    <row r="14" customFormat="false" ht="15" hidden="false" customHeight="false" outlineLevel="1" collapsed="false">
      <c r="A14" s="7" t="s">
        <v>2028</v>
      </c>
    </row>
    <row r="16" customFormat="false" ht="15" hidden="false" customHeight="false" outlineLevel="0" collapsed="false">
      <c r="A16" s="54" t="s">
        <v>2029</v>
      </c>
      <c r="B16" s="9"/>
      <c r="C16" s="9"/>
      <c r="D16" s="9"/>
      <c r="E16" s="9"/>
      <c r="F16" s="9"/>
      <c r="G16" s="9"/>
    </row>
    <row r="17" customFormat="false" ht="15" hidden="false" customHeight="false" outlineLevel="1" collapsed="false">
      <c r="A17" s="15" t="s">
        <v>2030</v>
      </c>
      <c r="B17" s="15" t="s">
        <v>2031</v>
      </c>
      <c r="C17" s="15" t="s">
        <v>2032</v>
      </c>
      <c r="D17" s="15" t="s">
        <v>2033</v>
      </c>
      <c r="G17" s="15" t="s">
        <v>2034</v>
      </c>
    </row>
    <row r="18" customFormat="false" ht="15" hidden="false" customHeight="false" outlineLevel="1" collapsed="false">
      <c r="A18" s="4" t="s">
        <v>2035</v>
      </c>
      <c r="B18" s="106" t="n">
        <v>10.2123</v>
      </c>
      <c r="C18" s="106" t="n">
        <v>15.1438</v>
      </c>
      <c r="D18" s="63" t="n">
        <v>0.4829</v>
      </c>
      <c r="G18" s="7" t="s">
        <v>2036</v>
      </c>
    </row>
    <row r="19" customFormat="false" ht="15" hidden="false" customHeight="false" outlineLevel="1" collapsed="false">
      <c r="A19" s="3" t="s">
        <v>2037</v>
      </c>
      <c r="B19" s="106" t="n">
        <v>37.5864</v>
      </c>
      <c r="C19" s="106" t="n">
        <v>17.463</v>
      </c>
      <c r="D19" s="63" t="n">
        <v>-0.5354</v>
      </c>
      <c r="G19" s="12" t="s">
        <v>2038</v>
      </c>
    </row>
    <row r="20" customFormat="false" ht="15" hidden="false" customHeight="false" outlineLevel="1" collapsed="false">
      <c r="A20" s="3" t="s">
        <v>382</v>
      </c>
      <c r="B20" s="63" t="n">
        <v>0.6287</v>
      </c>
      <c r="C20" s="63" t="n">
        <v>0.9317</v>
      </c>
      <c r="D20" s="63" t="n">
        <v>0.303</v>
      </c>
      <c r="G20" s="12" t="s">
        <v>2039</v>
      </c>
    </row>
    <row r="21" customFormat="false" ht="15" hidden="false" customHeight="false" outlineLevel="1" collapsed="false">
      <c r="A21" s="3" t="s">
        <v>2040</v>
      </c>
      <c r="B21" s="106" t="n">
        <v>10.2123</v>
      </c>
      <c r="C21" s="106" t="n">
        <v>13.2972</v>
      </c>
      <c r="D21" s="63" t="n">
        <v>0.3021</v>
      </c>
      <c r="G21" s="7" t="s">
        <v>2041</v>
      </c>
    </row>
    <row r="23" customFormat="false" ht="15" hidden="false" customHeight="false" outlineLevel="0" collapsed="false">
      <c r="A23" s="54" t="s">
        <v>2042</v>
      </c>
      <c r="B23" s="9"/>
      <c r="C23" s="9"/>
      <c r="D23" s="9"/>
      <c r="E23" s="9"/>
      <c r="F23" s="9"/>
      <c r="G23" s="9"/>
    </row>
    <row r="24" customFormat="false" ht="17.15" hidden="false" customHeight="false" outlineLevel="1" collapsed="false">
      <c r="A24" s="15" t="s">
        <v>2043</v>
      </c>
      <c r="B24" s="107" t="n">
        <v>0.59</v>
      </c>
      <c r="C24" s="107" t="n">
        <v>0.65</v>
      </c>
      <c r="D24" s="107" t="n">
        <v>0.7</v>
      </c>
      <c r="E24" s="107" t="n">
        <v>0.75</v>
      </c>
    </row>
    <row r="25" customFormat="false" ht="15" hidden="false" customHeight="false" outlineLevel="1" collapsed="false">
      <c r="A25" s="4" t="s">
        <v>2044</v>
      </c>
      <c r="B25" s="106" t="n">
        <v>13.19</v>
      </c>
      <c r="C25" s="106" t="n">
        <v>11.97</v>
      </c>
      <c r="D25" s="106" t="n">
        <v>11.09</v>
      </c>
      <c r="E25" s="106" t="n">
        <v>10.32</v>
      </c>
    </row>
    <row r="26" customFormat="false" ht="15" hidden="false" customHeight="false" outlineLevel="1" collapsed="false">
      <c r="A26" s="4" t="s">
        <v>2045</v>
      </c>
      <c r="B26" s="106" t="n">
        <v>14.17</v>
      </c>
      <c r="C26" s="106" t="n">
        <v>12.86</v>
      </c>
      <c r="D26" s="106" t="n">
        <v>11.93</v>
      </c>
      <c r="E26" s="106" t="n">
        <v>11.1</v>
      </c>
    </row>
    <row r="27" customFormat="false" ht="15" hidden="false" customHeight="false" outlineLevel="1" collapsed="false">
      <c r="A27" s="4" t="s">
        <v>2046</v>
      </c>
      <c r="B27" s="106" t="n">
        <v>15.14</v>
      </c>
      <c r="C27" s="106" t="n">
        <v>13.76</v>
      </c>
      <c r="D27" s="106" t="n">
        <v>12.77</v>
      </c>
      <c r="E27" s="106" t="n">
        <v>11.89</v>
      </c>
    </row>
    <row r="28" customFormat="false" ht="15" hidden="false" customHeight="false" outlineLevel="1" collapsed="false">
      <c r="A28" s="4" t="s">
        <v>2047</v>
      </c>
      <c r="B28" s="106" t="n">
        <v>16.11</v>
      </c>
      <c r="C28" s="106" t="n">
        <v>14.65</v>
      </c>
      <c r="D28" s="106" t="n">
        <v>13.61</v>
      </c>
      <c r="E28" s="106" t="n">
        <v>12.68</v>
      </c>
    </row>
    <row r="29" customFormat="false" ht="15" hidden="false" customHeight="false" outlineLevel="1" collapsed="false">
      <c r="A29" s="4" t="s">
        <v>2048</v>
      </c>
      <c r="B29" s="106" t="n">
        <v>17.22</v>
      </c>
      <c r="C29" s="106" t="n">
        <v>15.67</v>
      </c>
      <c r="D29" s="106" t="n">
        <v>14.56</v>
      </c>
      <c r="E29" s="106" t="n">
        <v>13.58</v>
      </c>
    </row>
    <row r="30" customFormat="false" ht="15" hidden="false" customHeight="false" outlineLevel="1" collapsed="false">
      <c r="A30" s="7" t="s">
        <v>2049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6" t="s">
        <v>2050</v>
      </c>
    </row>
    <row r="2" customFormat="false" ht="15" hidden="false" customHeight="false" outlineLevel="0" collapsed="false">
      <c r="A2" s="12" t="s">
        <v>2051</v>
      </c>
    </row>
    <row r="4" customFormat="false" ht="17.15" hidden="false" customHeight="false" outlineLevel="0" collapsed="false">
      <c r="A4" s="15" t="s">
        <v>2052</v>
      </c>
      <c r="B4" s="15" t="s">
        <v>2053</v>
      </c>
      <c r="C4" s="15" t="s">
        <v>2054</v>
      </c>
      <c r="D4" s="16" t="s">
        <v>2055</v>
      </c>
      <c r="E4" s="16" t="s">
        <v>2056</v>
      </c>
      <c r="F4" s="108" t="s">
        <v>2057</v>
      </c>
      <c r="G4" s="15" t="s">
        <v>2058</v>
      </c>
      <c r="H4" s="16" t="s">
        <v>2059</v>
      </c>
      <c r="I4" s="16" t="s">
        <v>2060</v>
      </c>
      <c r="J4" s="15" t="s">
        <v>2061</v>
      </c>
      <c r="K4" s="15" t="s">
        <v>660</v>
      </c>
    </row>
    <row r="5" customFormat="false" ht="15" hidden="false" customHeight="false" outlineLevel="0" collapsed="false">
      <c r="A5" s="4" t="s">
        <v>2062</v>
      </c>
      <c r="B5" s="24" t="n">
        <v>63.81</v>
      </c>
      <c r="C5" s="24" t="n">
        <v>2.16</v>
      </c>
      <c r="D5" s="62" t="n">
        <f aca="false">B5+C5</f>
        <v>65.97</v>
      </c>
      <c r="E5" s="24" t="n">
        <v>1.36</v>
      </c>
      <c r="F5" s="109" t="n">
        <f aca="false">D5/E5</f>
        <v>48.5073529411765</v>
      </c>
      <c r="G5" s="110" t="n">
        <f aca="false">(D5+0)/E5</f>
        <v>48.5073529411765</v>
      </c>
      <c r="H5" s="24" t="n">
        <f aca="false">-0.612+0.418</f>
        <v>-0.194</v>
      </c>
      <c r="I5" s="110" t="str">
        <f aca="false">IF(H5&gt;0,D5/H5,"n/m")</f>
        <v>n/m</v>
      </c>
      <c r="J5" s="12" t="s">
        <v>2063</v>
      </c>
      <c r="K5" s="7" t="s">
        <v>2064</v>
      </c>
    </row>
    <row r="6" customFormat="false" ht="15" hidden="false" customHeight="false" outlineLevel="0" collapsed="false">
      <c r="A6" s="4" t="s">
        <v>2065</v>
      </c>
      <c r="B6" s="24" t="n">
        <v>18.61</v>
      </c>
      <c r="C6" s="24" t="n">
        <v>1.7</v>
      </c>
      <c r="D6" s="62" t="n">
        <f aca="false">B6+C6</f>
        <v>20.31</v>
      </c>
      <c r="E6" s="24" t="n">
        <v>0.707</v>
      </c>
      <c r="F6" s="109" t="n">
        <f aca="false">D6/E6</f>
        <v>28.7270155586987</v>
      </c>
      <c r="G6" s="110" t="n">
        <f aca="false">(D6+0.003)/E6</f>
        <v>28.7312588401697</v>
      </c>
      <c r="H6" s="24" t="n">
        <f aca="false">-1.047+0.418</f>
        <v>-0.629</v>
      </c>
      <c r="I6" s="110" t="str">
        <f aca="false">IF(H6&gt;0,D6/H6,"n/m")</f>
        <v>n/m</v>
      </c>
      <c r="J6" s="12" t="s">
        <v>2066</v>
      </c>
      <c r="K6" s="7" t="s">
        <v>2067</v>
      </c>
    </row>
    <row r="7" customFormat="false" ht="15" hidden="false" customHeight="false" outlineLevel="0" collapsed="false">
      <c r="A7" s="4" t="s">
        <v>2068</v>
      </c>
      <c r="B7" s="24" t="n">
        <v>8.22</v>
      </c>
      <c r="C7" s="24" t="n">
        <v>3.37</v>
      </c>
      <c r="D7" s="62" t="n">
        <f aca="false">B7+C7</f>
        <v>11.59</v>
      </c>
      <c r="E7" s="24" t="n">
        <v>0.6113</v>
      </c>
      <c r="F7" s="109" t="n">
        <f aca="false">D7/E7</f>
        <v>18.9595943072141</v>
      </c>
      <c r="G7" s="110" t="n">
        <f aca="false">(D7+0.066)/E7</f>
        <v>19.0675609357108</v>
      </c>
      <c r="H7" s="24" t="n">
        <f aca="false">-0.236+0.067</f>
        <v>-0.169</v>
      </c>
      <c r="I7" s="110" t="str">
        <f aca="false">IF(H7&gt;0,D7/H7,"n/m")</f>
        <v>n/m</v>
      </c>
      <c r="J7" s="12" t="s">
        <v>2069</v>
      </c>
      <c r="K7" s="7" t="s">
        <v>2070</v>
      </c>
    </row>
    <row r="8" customFormat="false" ht="15" hidden="false" customHeight="false" outlineLevel="0" collapsed="false">
      <c r="A8" s="4" t="s">
        <v>2071</v>
      </c>
      <c r="B8" s="24" t="n">
        <v>5.9</v>
      </c>
      <c r="C8" s="24" t="n">
        <v>2.53</v>
      </c>
      <c r="D8" s="62" t="n">
        <f aca="false">B8+C8</f>
        <v>8.43</v>
      </c>
      <c r="E8" s="24" t="n">
        <v>0.4403</v>
      </c>
      <c r="F8" s="109" t="n">
        <f aca="false">D8/E8</f>
        <v>19.1460367930956</v>
      </c>
      <c r="G8" s="110" t="n">
        <f aca="false">(D8+0.109)/E8</f>
        <v>19.3935952759482</v>
      </c>
      <c r="H8" s="24" t="n">
        <f aca="false">-0.561+0.063</f>
        <v>-0.498</v>
      </c>
      <c r="I8" s="110" t="str">
        <f aca="false">IF(H8&gt;0,D8/H8,"n/m")</f>
        <v>n/m</v>
      </c>
      <c r="J8" s="12" t="s">
        <v>2072</v>
      </c>
      <c r="K8" s="7" t="s">
        <v>2073</v>
      </c>
    </row>
    <row r="9" customFormat="false" ht="15" hidden="false" customHeight="false" outlineLevel="0" collapsed="false">
      <c r="A9" s="2" t="s">
        <v>2074</v>
      </c>
      <c r="F9" s="95" t="n">
        <f aca="false">MEDIAN(F5:F8)</f>
        <v>23.9365261758972</v>
      </c>
      <c r="G9" s="111" t="n">
        <f aca="false">MEDIAN(G5:G8)</f>
        <v>24.062427058059</v>
      </c>
    </row>
    <row r="10" customFormat="false" ht="15" hidden="false" customHeight="false" outlineLevel="0" collapsed="false">
      <c r="A10" s="5" t="s">
        <v>2075</v>
      </c>
      <c r="B10" s="92" t="n">
        <v>47.12</v>
      </c>
      <c r="C10" s="94" t="n">
        <f aca="false">輸入與假設!$C$215</f>
        <v>30</v>
      </c>
      <c r="D10" s="60" t="n">
        <f aca="false">B10+C10</f>
        <v>77.12</v>
      </c>
      <c r="E10" s="92" t="n">
        <v>7.59</v>
      </c>
      <c r="F10" s="95" t="n">
        <f aca="false">D10/E10</f>
        <v>10.1607378129117</v>
      </c>
      <c r="G10" s="111" t="n">
        <f aca="false">(D10+16.319)/E10</f>
        <v>12.3108036890646</v>
      </c>
      <c r="H10" s="92" t="n">
        <f aca="false">-0.231+3.991</f>
        <v>3.76</v>
      </c>
      <c r="I10" s="111" t="n">
        <f aca="false">IF(H10&gt;0,D10/H10,"n/m")</f>
        <v>20.5106382978723</v>
      </c>
      <c r="J10" s="12" t="s">
        <v>2076</v>
      </c>
      <c r="K10" s="12" t="s">
        <v>2077</v>
      </c>
    </row>
    <row r="11" customFormat="false" ht="15" hidden="false" customHeight="false" outlineLevel="0" collapsed="false">
      <c r="A11" s="4" t="s">
        <v>2078</v>
      </c>
      <c r="B11" s="60" t="n">
        <f aca="false">輸入與假設!$C$213*輸入與假設!$C$214</f>
        <v>52.90631</v>
      </c>
      <c r="C11" s="60" t="n">
        <f aca="false">輸入與假設!$C$215</f>
        <v>30</v>
      </c>
      <c r="D11" s="60" t="n">
        <f aca="false">B11+C11</f>
        <v>82.90631</v>
      </c>
      <c r="E11" s="94" t="n">
        <f aca="false">損益!D8</f>
        <v>21.5968269467532</v>
      </c>
      <c r="F11" s="111" t="n">
        <f aca="false">D11/E11</f>
        <v>3.83881901746052</v>
      </c>
      <c r="G11" s="111" t="n">
        <f aca="false">(D11+16.319)/E11</f>
        <v>4.59443927779943</v>
      </c>
      <c r="H11" s="94" t="n">
        <f aca="false">損益!D19</f>
        <v>13.0962322332869</v>
      </c>
      <c r="I11" s="111" t="n">
        <f aca="false">D11/H11</f>
        <v>6.33054671932862</v>
      </c>
      <c r="K11" s="7" t="s">
        <v>2079</v>
      </c>
    </row>
    <row r="13" customFormat="false" ht="15" hidden="false" customHeight="false" outlineLevel="0" collapsed="false">
      <c r="A13" s="7" t="s">
        <v>2080</v>
      </c>
    </row>
    <row r="14" customFormat="false" ht="15" hidden="false" customHeight="false" outlineLevel="0" collapsed="false">
      <c r="A14" s="12" t="s">
        <v>2081</v>
      </c>
    </row>
    <row r="15" customFormat="false" ht="15" hidden="false" customHeight="false" outlineLevel="0" collapsed="false">
      <c r="A15" s="7" t="s">
        <v>2082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6" t="s">
        <v>2083</v>
      </c>
    </row>
    <row r="3" customFormat="false" ht="15" hidden="false" customHeight="false" outlineLevel="0" collapsed="false">
      <c r="A3" s="15" t="s">
        <v>2084</v>
      </c>
      <c r="B3" s="15" t="s">
        <v>2085</v>
      </c>
      <c r="C3" s="15" t="s">
        <v>2086</v>
      </c>
      <c r="D3" s="15" t="s">
        <v>2087</v>
      </c>
      <c r="E3" s="15" t="s">
        <v>763</v>
      </c>
    </row>
    <row r="4" customFormat="false" ht="15" hidden="false" customHeight="false" outlineLevel="0" collapsed="false">
      <c r="A4" s="4" t="s">
        <v>198</v>
      </c>
      <c r="B4" s="14" t="n">
        <f aca="false">SUM(輸入與假設!C25:G25)</f>
        <v>0.84</v>
      </c>
      <c r="C4" s="112" t="n">
        <f aca="false">輸入與假設!$C$18</f>
        <v>0.84</v>
      </c>
      <c r="D4" s="2" t="str">
        <f aca="false">IF(ABS(B4-C4)&lt;0.0001,"通過","不一致")</f>
        <v>通過</v>
      </c>
      <c r="E4" s="12" t="s">
        <v>2088</v>
      </c>
    </row>
    <row r="5" customFormat="false" ht="15" hidden="false" customHeight="false" outlineLevel="0" collapsed="false">
      <c r="A5" s="3" t="s">
        <v>2089</v>
      </c>
      <c r="B5" s="11" t="n">
        <f aca="false">各期收支!C84</f>
        <v>-1.15463194561016E-014</v>
      </c>
      <c r="C5" s="7" t="n">
        <f aca="false">0</f>
        <v>0</v>
      </c>
      <c r="D5" s="2" t="str">
        <f aca="false">IF(ABS(B5)&lt;0.01,"通過","不一致")</f>
        <v>通過</v>
      </c>
      <c r="E5" s="7" t="s">
        <v>2090</v>
      </c>
    </row>
    <row r="6" customFormat="false" ht="15" hidden="false" customHeight="false" outlineLevel="0" collapsed="false">
      <c r="A6" s="4" t="s">
        <v>2091</v>
      </c>
      <c r="B6" s="10" t="n">
        <f aca="false">運營_產能與收入!G9-運營_產能與收入!G10</f>
        <v>350</v>
      </c>
      <c r="C6" s="12" t="s">
        <v>2092</v>
      </c>
      <c r="D6" s="2" t="str">
        <f aca="false">IF(B6&gt;=0,"通過","不一致")</f>
        <v>通過</v>
      </c>
      <c r="E6" s="7" t="s">
        <v>2093</v>
      </c>
    </row>
    <row r="7" customFormat="false" ht="15" hidden="false" customHeight="false" outlineLevel="0" collapsed="false">
      <c r="A7" s="4" t="s">
        <v>2094</v>
      </c>
      <c r="B7" s="11" t="n">
        <f aca="false">各期收支!C88</f>
        <v>35</v>
      </c>
      <c r="C7" s="12" t="s">
        <v>2095</v>
      </c>
      <c r="D7" s="2" t="str">
        <f aca="false">IF(AND(B7&gt;=35,B7&lt;=39),"通過","觀察")</f>
        <v>通過</v>
      </c>
      <c r="E7" s="12" t="s">
        <v>2096</v>
      </c>
    </row>
    <row r="8" customFormat="false" ht="15" hidden="false" customHeight="false" outlineLevel="0" collapsed="false">
      <c r="A8" s="4" t="s">
        <v>2097</v>
      </c>
      <c r="B8" s="11" t="n">
        <f aca="false">各期收支!C87</f>
        <v>11.5476176117778</v>
      </c>
      <c r="C8" s="12" t="s">
        <v>2098</v>
      </c>
      <c r="D8" s="2" t="str">
        <f aca="false">IF(AND(B8&gt;=12.4,B8&lt;=13.2),"通過","觀察")</f>
        <v>觀察</v>
      </c>
      <c r="E8" s="12" t="s">
        <v>2099</v>
      </c>
    </row>
    <row r="9" customFormat="false" ht="15" hidden="false" customHeight="false" outlineLevel="0" collapsed="false">
      <c r="A9" s="4" t="s">
        <v>2100</v>
      </c>
      <c r="B9" s="50" t="n">
        <f aca="false">SUM(各期收支!C6:G6)/((運營_產能與收入!G9-輸入與假設!$C$20)/1000)/1000*1000</f>
        <v>41.5524513905882</v>
      </c>
      <c r="C9" s="12" t="s">
        <v>2101</v>
      </c>
      <c r="D9" s="2" t="str">
        <f aca="false">IF(AND(B9&gt;=20,B9&lt;=45),"通過","觀察")</f>
        <v>通過</v>
      </c>
      <c r="E9" s="7" t="s">
        <v>2102</v>
      </c>
    </row>
    <row r="10" customFormat="false" ht="15" hidden="false" customHeight="false" outlineLevel="0" collapsed="false">
      <c r="A10" s="3" t="s">
        <v>2103</v>
      </c>
      <c r="B10" s="17" t="n">
        <f aca="false">資產負債_租賃承諾!C27</f>
        <v>0.892218223878679</v>
      </c>
      <c r="C10" s="12" t="s">
        <v>2104</v>
      </c>
      <c r="D10" s="2" t="str">
        <f aca="false">IF(B10&gt;=0.8,"通過","不一致")</f>
        <v>通過</v>
      </c>
      <c r="E10" s="12" t="s">
        <v>2105</v>
      </c>
    </row>
    <row r="11" customFormat="false" ht="15" hidden="false" customHeight="false" outlineLevel="0" collapsed="false">
      <c r="A11" s="4" t="s">
        <v>2106</v>
      </c>
      <c r="B11" s="11" t="n">
        <f aca="false">各期收支!C89</f>
        <v>3.50304939826146</v>
      </c>
      <c r="C11" s="12" t="s">
        <v>2107</v>
      </c>
      <c r="D11" s="2" t="str">
        <f aca="false">IF(B11&gt;=2.9,"通過","觀察")</f>
        <v>通過</v>
      </c>
      <c r="E11" s="7" t="str">
        <f aca="false">"1H 實際 1.176＋2H 模型 "&amp;TEXT(各期收支!C13,"0.0")&amp;"；Q3 指引 0.86–0.94／季"</f>
        <v>1H 實際 1.176＋2H 模型 1.8；Q3 指引 0.86–0.94／季</v>
      </c>
    </row>
    <row r="12" customFormat="false" ht="15" hidden="false" customHeight="false" outlineLevel="0" collapsed="false">
      <c r="A12" s="4" t="s">
        <v>2108</v>
      </c>
      <c r="B12" s="28" t="n">
        <f aca="false">SUM(運營_產能與收入!E23:G23)/SUM(運營_產能與收入!E25:G25)</f>
        <v>0.35646829097226</v>
      </c>
      <c r="C12" s="12" t="s">
        <v>2109</v>
      </c>
      <c r="D12" s="2" t="str">
        <f aca="false">IF(B12&lt;0.5,"通過","觀察")</f>
        <v>通過</v>
      </c>
      <c r="E12" s="12" t="s">
        <v>2110</v>
      </c>
    </row>
    <row r="13" customFormat="false" ht="15" hidden="false" customHeight="false" outlineLevel="0" collapsed="false">
      <c r="A13" s="3" t="s">
        <v>2111</v>
      </c>
      <c r="B13" s="60" t="n">
        <f aca="false">損益!D6-運營_產能與收入!D25</f>
        <v>0</v>
      </c>
      <c r="C13" s="7" t="n">
        <f aca="false">0</f>
        <v>0</v>
      </c>
      <c r="D13" s="2" t="str">
        <f aca="false">IF(ABS(B13)&lt;0.001,"通過","不一致")</f>
        <v>通過</v>
      </c>
      <c r="E13" s="12" t="s">
        <v>2112</v>
      </c>
    </row>
    <row r="14" customFormat="false" ht="15" hidden="false" customHeight="false" outlineLevel="0" collapsed="false">
      <c r="A14" s="3" t="s">
        <v>1951</v>
      </c>
      <c r="B14" s="14" t="n">
        <f aca="false">評價_DCF與目標價!C26</f>
        <v>-2.17869974521663</v>
      </c>
      <c r="C14" s="7" t="str">
        <f aca="false">"&lt;"&amp;IF(ROUND(ABS(輸入與假設!$C$257)*100,4)=INT(ROUND(ABS(輸入與假設!$C$257)*100,4)),TEXT(ROUND(ABS(輸入與假設!$C$257)*100,4),"0"),TEXT(ROUND(ABS(輸入與假設!$C$257)*100,4),"0.0"))&amp;"%"</f>
        <v>&lt;85%</v>
      </c>
      <c r="D14" s="2" t="str">
        <f aca="false">IF(B14&lt;輸入與假設!$C$257,"通過","觀察")</f>
        <v>通過</v>
      </c>
      <c r="E14" s="7" t="s">
        <v>2113</v>
      </c>
    </row>
    <row r="15" customFormat="false" ht="15" hidden="false" customHeight="false" outlineLevel="0" collapsed="false">
      <c r="A15" s="4" t="s">
        <v>2114</v>
      </c>
      <c r="B15" s="113" t="n">
        <f aca="false">損益!D19/損益!D8-輸入與假設!D134</f>
        <v>0</v>
      </c>
      <c r="C15" s="7" t="n">
        <f aca="false">0</f>
        <v>0</v>
      </c>
      <c r="D15" s="2" t="str">
        <f aca="false">IF(ABS(B15)&lt;0.0001,"通過","不一致")</f>
        <v>通過</v>
      </c>
      <c r="E15" s="7" t="s">
        <v>2115</v>
      </c>
    </row>
    <row r="16" customFormat="false" ht="15" hidden="false" customHeight="false" outlineLevel="0" collapsed="false">
      <c r="A16" s="3" t="s">
        <v>2116</v>
      </c>
      <c r="B16" s="60" t="n">
        <f aca="false">(運營_產能與收入!D36+運營_產能與收入!D37+輸入與假設!D135-各期收支!D12)+(運營_產能與收入!D31+運營_產能與收入!D23*輸入與假設!D31*(1-輸入與假設!D32))*運營_產能與收入!D35-損益!D19</f>
        <v>0</v>
      </c>
      <c r="C16" s="7" t="n">
        <f aca="false">0</f>
        <v>0</v>
      </c>
      <c r="D16" s="2" t="str">
        <f aca="false">IF(ABS(B16)&lt;0.001,"通過","不一致")</f>
        <v>通過</v>
      </c>
      <c r="E16" s="7" t="s">
        <v>2117</v>
      </c>
    </row>
    <row r="17" customFormat="false" ht="15" hidden="false" customHeight="false" outlineLevel="0" collapsed="false">
      <c r="A17" s="4" t="s">
        <v>2118</v>
      </c>
      <c r="B17" s="50" t="n">
        <f aca="false">評價_DCF與目標價!C29</f>
        <v>0</v>
      </c>
      <c r="C17" s="12" t="s">
        <v>2119</v>
      </c>
      <c r="D17" s="2" t="str">
        <f aca="false">IF(B17=0,"通過","觀察")</f>
        <v>通過</v>
      </c>
      <c r="E17" s="7" t="s">
        <v>2120</v>
      </c>
    </row>
    <row r="18" customFormat="false" ht="15" hidden="false" customHeight="false" outlineLevel="0" collapsed="false">
      <c r="A18" s="3" t="s">
        <v>2121</v>
      </c>
      <c r="B18" s="60" t="n">
        <f aca="false">MIN(各期收支!C41:G41)</f>
        <v>2</v>
      </c>
      <c r="C18" s="12" t="s">
        <v>2122</v>
      </c>
      <c r="D18" s="2" t="str">
        <f aca="false">IF(B18&gt;=1.999,"通過","不一致")</f>
        <v>通過</v>
      </c>
      <c r="E18" s="7" t="s">
        <v>2123</v>
      </c>
    </row>
    <row r="19" customFormat="false" ht="15" hidden="false" customHeight="false" outlineLevel="0" collapsed="false">
      <c r="A19" s="3" t="s">
        <v>2124</v>
      </c>
      <c r="B19" s="111" t="n">
        <f aca="false">SUM(各期收支!C61:G61)/(輸入與假設!$C$213*輸入與假設!$C$214)</f>
        <v>0.404565301109885</v>
      </c>
      <c r="C19" s="7" t="str">
        <f aca="false">"≤"&amp;IF(輸入與假設!$C$254=INT(輸入與假設!$C$254),TEXT(輸入與假設!$C$254,"0"),TEXT(輸入與假設!$C$254,"0.0"))&amp;"x"</f>
        <v>≤1.5x</v>
      </c>
      <c r="D19" s="2" t="str">
        <f aca="false">IF(B19&lt;=輸入與假設!$C$254,"通過","觀察")</f>
        <v>通過</v>
      </c>
      <c r="E19" s="7" t="str">
        <f aca="false">"超過 "&amp;IF(輸入與假設!$C$254=INT(輸入與假設!$C$254),TEXT(輸入與假設!$C$254,"0"),TEXT(輸入與假設!$C$254,"0.0"))&amp;"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2125</v>
      </c>
      <c r="B20" s="60" t="n">
        <f aca="false">資產負債_既有債務!E21</f>
        <v>35.551</v>
      </c>
      <c r="C20" s="12" t="s">
        <v>2126</v>
      </c>
      <c r="D20" s="2" t="str">
        <f aca="false">IF(ABS(B20-35.551)&lt;0.01,"通過","不一致")</f>
        <v>通過</v>
      </c>
      <c r="E20" s="12" t="s">
        <v>2127</v>
      </c>
    </row>
    <row r="21" customFormat="false" ht="15" hidden="false" customHeight="false" outlineLevel="0" collapsed="false">
      <c r="A21" s="4" t="s">
        <v>2128</v>
      </c>
      <c r="B21" s="60" t="n">
        <f aca="false">輸入與假設!C180</f>
        <v>33.269685225</v>
      </c>
      <c r="C21" s="12" t="s">
        <v>2095</v>
      </c>
      <c r="D21" s="2" t="str">
        <f aca="false">IF(AND(B21&gt;=35,B21&lt;=39),"通過","觀察")</f>
        <v>觀察</v>
      </c>
      <c r="E21" s="7" t="s">
        <v>2129</v>
      </c>
    </row>
    <row r="22" customFormat="false" ht="15" hidden="false" customHeight="false" outlineLevel="0" collapsed="false">
      <c r="A22" s="4" t="s">
        <v>2130</v>
      </c>
      <c r="B22" s="60" t="n">
        <f aca="false">SUM(輸入與假設!C173:G173)</f>
        <v>1.15</v>
      </c>
      <c r="C22" s="7" t="n">
        <f aca="false">1.15</f>
        <v>1.15</v>
      </c>
      <c r="D22" s="2" t="str">
        <f aca="false">IF(ABS(B22-1.15)&lt;0.01,"通過","不一致")</f>
        <v>通過</v>
      </c>
      <c r="E22" s="12" t="s">
        <v>2131</v>
      </c>
    </row>
    <row r="23" customFormat="false" ht="15" hidden="false" customHeight="false" outlineLevel="0" collapsed="false">
      <c r="A23" s="3" t="s">
        <v>2132</v>
      </c>
      <c r="B23" s="60" t="n">
        <f aca="false">運營_站點!G25</f>
        <v>0.998180473372781</v>
      </c>
      <c r="C23" s="7" t="s">
        <v>2133</v>
      </c>
      <c r="D23" s="2" t="str">
        <f aca="false">IF(B23&gt;=運營_站點!$H$9*運營_站點!$C$26*0.8,"通過","觀察")</f>
        <v>觀察</v>
      </c>
      <c r="E23" s="7" t="s">
        <v>2134</v>
      </c>
    </row>
    <row r="24" customFormat="false" ht="15" hidden="false" customHeight="false" outlineLevel="0" collapsed="false">
      <c r="A24" s="3" t="s">
        <v>2135</v>
      </c>
      <c r="B24" s="60" t="n">
        <f aca="false">運營_站點!$C$29</f>
        <v>3.29166034970789</v>
      </c>
      <c r="C24" s="12" t="s">
        <v>2136</v>
      </c>
      <c r="D24" s="2" t="str">
        <f aca="false">IF(B24&lt;10,"通過","觀察")</f>
        <v>通過</v>
      </c>
      <c r="E24" s="7" t="s">
        <v>2137</v>
      </c>
    </row>
    <row r="25" customFormat="false" ht="15" hidden="false" customHeight="false" outlineLevel="0" collapsed="false">
      <c r="A25" s="3" t="s">
        <v>2138</v>
      </c>
      <c r="B25" s="14" t="n">
        <f aca="false">MAX(每MW經濟性!C145:G145)</f>
        <v>0.45279365891282</v>
      </c>
      <c r="C25" s="12" t="s">
        <v>2139</v>
      </c>
      <c r="D25" s="2" t="str">
        <f aca="false">IF(B25&lt;=0.5,"通過","警示")</f>
        <v>通過</v>
      </c>
      <c r="E25" s="12" t="s">
        <v>2140</v>
      </c>
    </row>
    <row r="27" customFormat="false" ht="15" hidden="false" customHeight="false" outlineLevel="0" collapsed="false">
      <c r="A27" s="2" t="s">
        <v>2141</v>
      </c>
    </row>
    <row r="28" customFormat="false" ht="15" hidden="false" customHeight="false" outlineLevel="0" collapsed="false">
      <c r="A28" s="3" t="s">
        <v>2142</v>
      </c>
      <c r="B28" s="11" t="n">
        <f aca="false">SUM(運營_產能與收入!C17:G17)</f>
        <v>108.108</v>
      </c>
    </row>
    <row r="29" customFormat="false" ht="15" hidden="false" customHeight="false" outlineLevel="0" collapsed="false">
      <c r="A29" s="3" t="s">
        <v>2143</v>
      </c>
      <c r="B29" s="11" t="n">
        <f aca="false">SUM(運營_產能與收入!C19:G19)</f>
        <v>12.383805441469</v>
      </c>
    </row>
    <row r="30" customFormat="false" ht="15" hidden="false" customHeight="false" outlineLevel="0" collapsed="false">
      <c r="A30" s="3" t="s">
        <v>2144</v>
      </c>
      <c r="B30" s="11" t="n">
        <f aca="false">SUM(運營_產能與收入!C23:G23)</f>
        <v>37.9620023775333</v>
      </c>
    </row>
    <row r="31" customFormat="false" ht="15" hidden="false" customHeight="false" outlineLevel="0" collapsed="false">
      <c r="A31" s="3" t="s">
        <v>2145</v>
      </c>
      <c r="B31" s="11" t="n">
        <f aca="false">SUM(輸入與假設!C185:G185)</f>
        <v>160.45891841</v>
      </c>
    </row>
    <row r="32" customFormat="false" ht="15" hidden="false" customHeight="false" outlineLevel="0" collapsed="false">
      <c r="A32" s="3" t="s">
        <v>2146</v>
      </c>
      <c r="B32" s="11" t="n">
        <f aca="false">SUM(各期收支!C12:G12)</f>
        <v>20.3178933002481</v>
      </c>
    </row>
    <row r="33" customFormat="false" ht="15" hidden="false" customHeight="false" outlineLevel="0" collapsed="false">
      <c r="A33" s="3" t="s">
        <v>2147</v>
      </c>
      <c r="B33" s="11" t="n">
        <f aca="false">SUM(各期收支!C17:G17)</f>
        <v>33.7195068710611</v>
      </c>
    </row>
    <row r="34" customFormat="false" ht="15" hidden="false" customHeight="false" outlineLevel="0" collapsed="false">
      <c r="A34" s="3" t="s">
        <v>2148</v>
      </c>
      <c r="B34" s="11" t="n">
        <f aca="false">SUM(輸入與假設!C208:G208)*輸入與假設!$C$194</f>
        <v>20.655</v>
      </c>
    </row>
    <row r="35" customFormat="false" ht="15" hidden="false" customHeight="false" outlineLevel="0" collapsed="false">
      <c r="A35" s="3" t="s">
        <v>2149</v>
      </c>
      <c r="B35" s="11" t="n">
        <f aca="false">SUM(各期收支!C39:G39)-(輸入與假設!$C$261-輸入與假設!$C$262-輸入與假設!$C$264)</f>
        <v>-94.5635627525181</v>
      </c>
    </row>
    <row r="36" customFormat="false" ht="15" hidden="false" customHeight="false" outlineLevel="0" collapsed="false">
      <c r="A36" s="4" t="s">
        <v>2150</v>
      </c>
      <c r="B36" s="11" t="n">
        <f aca="false">SUM(各期收支!C39:G39)</f>
        <v>-105.705562752518</v>
      </c>
    </row>
    <row r="37" customFormat="false" ht="15" hidden="false" customHeight="false" outlineLevel="0" collapsed="false">
      <c r="A37" s="3" t="s">
        <v>1799</v>
      </c>
      <c r="B37" s="11" t="n">
        <f aca="false">各期收支!G41</f>
        <v>2</v>
      </c>
    </row>
    <row r="38" customFormat="false" ht="15" hidden="false" customHeight="false" outlineLevel="0" collapsed="false">
      <c r="A38" s="4" t="s">
        <v>2151</v>
      </c>
      <c r="B38" s="13" t="n">
        <f aca="false">評價_DCF與目標價!C25</f>
        <v>0</v>
      </c>
    </row>
    <row r="39" customFormat="false" ht="15" hidden="false" customHeight="false" outlineLevel="0" collapsed="false">
      <c r="A39" s="3" t="s">
        <v>1497</v>
      </c>
      <c r="B39" s="13" t="n">
        <f aca="false">評價_DCF與目標價!C48</f>
        <v>31.9865189051237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6" t="s">
        <v>2152</v>
      </c>
    </row>
    <row r="2" customFormat="false" ht="15" hidden="false" customHeight="false" outlineLevel="0" collapsed="false">
      <c r="A2" s="12" t="s">
        <v>2153</v>
      </c>
    </row>
    <row r="4" customFormat="false" ht="15" hidden="false" customHeight="false" outlineLevel="0" collapsed="false">
      <c r="A4" s="15" t="s">
        <v>2154</v>
      </c>
      <c r="B4" s="15" t="s">
        <v>2155</v>
      </c>
      <c r="C4" s="15" t="s">
        <v>2156</v>
      </c>
      <c r="D4" s="15" t="s">
        <v>2157</v>
      </c>
      <c r="E4" s="15" t="s">
        <v>2158</v>
      </c>
    </row>
    <row r="5" customFormat="false" ht="72.35" hidden="false" customHeight="false" outlineLevel="0" collapsed="false">
      <c r="A5" s="114" t="s">
        <v>2159</v>
      </c>
      <c r="B5" s="114" t="s">
        <v>2160</v>
      </c>
      <c r="C5" s="115" t="s">
        <v>2161</v>
      </c>
      <c r="D5" s="116" t="s">
        <v>2162</v>
      </c>
      <c r="E5" s="117" t="s">
        <v>2163</v>
      </c>
    </row>
    <row r="6" customFormat="false" ht="72.35" hidden="false" customHeight="false" outlineLevel="0" collapsed="false">
      <c r="A6" s="114" t="s">
        <v>2164</v>
      </c>
      <c r="B6" s="114" t="s">
        <v>2165</v>
      </c>
      <c r="C6" s="115" t="s">
        <v>2166</v>
      </c>
      <c r="D6" s="116" t="s">
        <v>2162</v>
      </c>
      <c r="E6" s="117" t="s">
        <v>2167</v>
      </c>
    </row>
    <row r="7" customFormat="false" ht="143.25" hidden="false" customHeight="false" outlineLevel="0" collapsed="false">
      <c r="A7" s="114" t="s">
        <v>2168</v>
      </c>
      <c r="B7" s="114" t="s">
        <v>2169</v>
      </c>
      <c r="C7" s="117" t="s">
        <v>2170</v>
      </c>
      <c r="D7" s="116" t="s">
        <v>2162</v>
      </c>
      <c r="E7" s="117" t="s">
        <v>2171</v>
      </c>
    </row>
    <row r="8" customFormat="false" ht="129.1" hidden="false" customHeight="false" outlineLevel="0" collapsed="false">
      <c r="A8" s="114" t="s">
        <v>2172</v>
      </c>
      <c r="B8" s="114" t="s">
        <v>2173</v>
      </c>
      <c r="C8" s="117" t="s">
        <v>2174</v>
      </c>
      <c r="D8" s="116" t="s">
        <v>2175</v>
      </c>
      <c r="E8" s="117" t="s">
        <v>2176</v>
      </c>
    </row>
    <row r="9" customFormat="false" ht="100.7" hidden="false" customHeight="false" outlineLevel="0" collapsed="false">
      <c r="A9" s="114" t="s">
        <v>2177</v>
      </c>
      <c r="B9" s="114" t="s">
        <v>2173</v>
      </c>
      <c r="C9" s="117" t="s">
        <v>2178</v>
      </c>
      <c r="D9" s="116" t="s">
        <v>2179</v>
      </c>
      <c r="E9" s="117" t="s">
        <v>2180</v>
      </c>
    </row>
    <row r="10" customFormat="false" ht="72.35" hidden="false" customHeight="false" outlineLevel="0" collapsed="false">
      <c r="A10" s="114" t="s">
        <v>2181</v>
      </c>
      <c r="B10" s="114" t="s">
        <v>2182</v>
      </c>
      <c r="C10" s="117" t="s">
        <v>2183</v>
      </c>
      <c r="D10" s="116" t="s">
        <v>2184</v>
      </c>
      <c r="E10" s="117" t="s">
        <v>2185</v>
      </c>
    </row>
    <row r="11" customFormat="false" ht="72.35" hidden="false" customHeight="false" outlineLevel="0" collapsed="false">
      <c r="A11" s="114" t="s">
        <v>2186</v>
      </c>
      <c r="B11" s="114" t="s">
        <v>2182</v>
      </c>
      <c r="C11" s="117" t="s">
        <v>2187</v>
      </c>
      <c r="D11" s="116" t="s">
        <v>2188</v>
      </c>
      <c r="E11" s="117" t="s">
        <v>2189</v>
      </c>
    </row>
    <row r="12" customFormat="false" ht="44" hidden="false" customHeight="false" outlineLevel="0" collapsed="false">
      <c r="A12" s="114" t="s">
        <v>2190</v>
      </c>
      <c r="B12" s="114" t="s">
        <v>2191</v>
      </c>
      <c r="C12" s="117" t="s">
        <v>2192</v>
      </c>
      <c r="D12" s="116" t="s">
        <v>2188</v>
      </c>
      <c r="E12" s="117" t="s">
        <v>2193</v>
      </c>
    </row>
    <row r="13" customFormat="false" ht="44" hidden="false" customHeight="false" outlineLevel="0" collapsed="false">
      <c r="A13" s="114" t="s">
        <v>2194</v>
      </c>
      <c r="B13" s="114" t="s">
        <v>2191</v>
      </c>
      <c r="C13" s="117" t="s">
        <v>2195</v>
      </c>
      <c r="D13" s="116" t="s">
        <v>2196</v>
      </c>
      <c r="E13" s="117" t="s">
        <v>2197</v>
      </c>
    </row>
    <row r="14" customFormat="false" ht="44" hidden="false" customHeight="false" outlineLevel="0" collapsed="false">
      <c r="A14" s="114" t="s">
        <v>2198</v>
      </c>
      <c r="B14" s="114" t="s">
        <v>2191</v>
      </c>
      <c r="C14" s="117" t="s">
        <v>2199</v>
      </c>
      <c r="D14" s="116" t="s">
        <v>2196</v>
      </c>
      <c r="E14" s="117" t="s">
        <v>2200</v>
      </c>
    </row>
    <row r="15" customFormat="false" ht="29.85" hidden="false" customHeight="false" outlineLevel="0" collapsed="false">
      <c r="A15" s="114" t="s">
        <v>2201</v>
      </c>
      <c r="B15" s="114" t="s">
        <v>2202</v>
      </c>
      <c r="C15" s="117" t="s">
        <v>2203</v>
      </c>
      <c r="D15" s="116" t="s">
        <v>2196</v>
      </c>
      <c r="E15" s="117" t="s">
        <v>2197</v>
      </c>
    </row>
    <row r="16" customFormat="false" ht="29.85" hidden="false" customHeight="false" outlineLevel="0" collapsed="false">
      <c r="A16" s="114" t="s">
        <v>2204</v>
      </c>
      <c r="B16" s="114" t="s">
        <v>2202</v>
      </c>
      <c r="C16" s="115" t="s">
        <v>2205</v>
      </c>
      <c r="D16" s="116" t="s">
        <v>2196</v>
      </c>
      <c r="E16" s="117" t="s">
        <v>2206</v>
      </c>
    </row>
    <row r="17" customFormat="false" ht="29.85" hidden="false" customHeight="false" outlineLevel="0" collapsed="false">
      <c r="A17" s="114" t="s">
        <v>2207</v>
      </c>
      <c r="B17" s="114" t="s">
        <v>2202</v>
      </c>
      <c r="C17" s="115" t="s">
        <v>2208</v>
      </c>
      <c r="D17" s="116" t="s">
        <v>2209</v>
      </c>
      <c r="E17" s="117" t="s">
        <v>2210</v>
      </c>
    </row>
    <row r="18" customFormat="false" ht="29.85" hidden="false" customHeight="false" outlineLevel="0" collapsed="false">
      <c r="A18" s="114" t="s">
        <v>2211</v>
      </c>
      <c r="B18" s="114" t="s">
        <v>2202</v>
      </c>
      <c r="C18" s="117" t="s">
        <v>2212</v>
      </c>
      <c r="D18" s="116" t="s">
        <v>2209</v>
      </c>
      <c r="E18" s="117" t="s">
        <v>2213</v>
      </c>
    </row>
    <row r="19" customFormat="false" ht="15" hidden="false" customHeight="false" outlineLevel="0" collapsed="false">
      <c r="A19" s="114" t="s">
        <v>2214</v>
      </c>
      <c r="B19" s="114" t="s">
        <v>2215</v>
      </c>
      <c r="C19" s="117" t="s">
        <v>2216</v>
      </c>
      <c r="D19" s="116" t="s">
        <v>2209</v>
      </c>
      <c r="E19" s="117" t="s">
        <v>2217</v>
      </c>
    </row>
    <row r="20" customFormat="false" ht="15" hidden="false" customHeight="false" outlineLevel="0" collapsed="false">
      <c r="A20" s="114" t="s">
        <v>2218</v>
      </c>
      <c r="B20" s="114" t="s">
        <v>2215</v>
      </c>
      <c r="C20" s="117" t="s">
        <v>2219</v>
      </c>
      <c r="D20" s="116" t="s">
        <v>2209</v>
      </c>
      <c r="E20" s="117" t="s">
        <v>2213</v>
      </c>
    </row>
    <row r="21" customFormat="false" ht="15" hidden="false" customHeight="false" outlineLevel="0" collapsed="false">
      <c r="A21" s="114" t="s">
        <v>2220</v>
      </c>
      <c r="B21" s="114" t="s">
        <v>2215</v>
      </c>
      <c r="C21" s="117" t="s">
        <v>2221</v>
      </c>
      <c r="D21" s="116" t="s">
        <v>2209</v>
      </c>
      <c r="E21" s="117" t="s">
        <v>2213</v>
      </c>
    </row>
    <row r="22" customFormat="false" ht="15" hidden="false" customHeight="false" outlineLevel="0" collapsed="false">
      <c r="A22" s="114" t="s">
        <v>2222</v>
      </c>
      <c r="B22" s="114" t="s">
        <v>2215</v>
      </c>
      <c r="C22" s="115" t="s">
        <v>2223</v>
      </c>
      <c r="D22" s="116" t="s">
        <v>2209</v>
      </c>
      <c r="E22" s="117" t="s">
        <v>2224</v>
      </c>
    </row>
    <row r="23" customFormat="false" ht="15" hidden="false" customHeight="false" outlineLevel="0" collapsed="false">
      <c r="A23" s="114" t="s">
        <v>2225</v>
      </c>
      <c r="B23" s="114" t="s">
        <v>2215</v>
      </c>
      <c r="C23" s="115" t="s">
        <v>2226</v>
      </c>
      <c r="D23" s="116" t="s">
        <v>2209</v>
      </c>
      <c r="E23" s="117" t="s">
        <v>2213</v>
      </c>
    </row>
    <row r="24" customFormat="false" ht="15" hidden="false" customHeight="false" outlineLevel="0" collapsed="false">
      <c r="A24" s="114" t="s">
        <v>2227</v>
      </c>
      <c r="B24" s="114" t="s">
        <v>2215</v>
      </c>
      <c r="C24" s="117" t="s">
        <v>2228</v>
      </c>
      <c r="D24" s="116" t="s">
        <v>2209</v>
      </c>
      <c r="E24" s="117" t="s">
        <v>2229</v>
      </c>
    </row>
    <row r="25" customFormat="false" ht="15" hidden="false" customHeight="false" outlineLevel="0" collapsed="false">
      <c r="A25" s="114" t="s">
        <v>2230</v>
      </c>
      <c r="B25" s="114" t="s">
        <v>2231</v>
      </c>
      <c r="C25" s="117" t="s">
        <v>2232</v>
      </c>
      <c r="D25" s="116" t="s">
        <v>2209</v>
      </c>
      <c r="E25" s="117" t="s">
        <v>2213</v>
      </c>
    </row>
    <row r="26" customFormat="false" ht="15" hidden="false" customHeight="false" outlineLevel="0" collapsed="false">
      <c r="A26" s="114" t="s">
        <v>2233</v>
      </c>
      <c r="B26" s="114" t="s">
        <v>2231</v>
      </c>
      <c r="C26" s="117" t="s">
        <v>2234</v>
      </c>
      <c r="D26" s="116" t="s">
        <v>2209</v>
      </c>
      <c r="E26" s="117" t="s">
        <v>2213</v>
      </c>
    </row>
    <row r="27" customFormat="false" ht="15" hidden="false" customHeight="false" outlineLevel="0" collapsed="false">
      <c r="A27" s="114" t="s">
        <v>2235</v>
      </c>
      <c r="B27" s="114" t="s">
        <v>2231</v>
      </c>
      <c r="C27" s="115" t="s">
        <v>2236</v>
      </c>
      <c r="D27" s="116" t="s">
        <v>2209</v>
      </c>
      <c r="E27" s="117" t="s">
        <v>2237</v>
      </c>
    </row>
    <row r="28" customFormat="false" ht="15" hidden="false" customHeight="false" outlineLevel="0" collapsed="false">
      <c r="A28" s="114" t="s">
        <v>2238</v>
      </c>
      <c r="B28" s="114" t="s">
        <v>2231</v>
      </c>
      <c r="C28" s="115" t="s">
        <v>2239</v>
      </c>
      <c r="D28" s="116" t="s">
        <v>2240</v>
      </c>
      <c r="E28" s="117" t="s">
        <v>2213</v>
      </c>
    </row>
    <row r="29" customFormat="false" ht="15" hidden="false" customHeight="false" outlineLevel="0" collapsed="false">
      <c r="A29" s="114" t="s">
        <v>2241</v>
      </c>
      <c r="B29" s="114" t="s">
        <v>2231</v>
      </c>
      <c r="C29" s="117" t="s">
        <v>2242</v>
      </c>
      <c r="D29" s="116" t="s">
        <v>2240</v>
      </c>
      <c r="E29" s="117" t="s">
        <v>2213</v>
      </c>
    </row>
    <row r="30" customFormat="false" ht="15" hidden="false" customHeight="false" outlineLevel="0" collapsed="false">
      <c r="A30" s="114" t="s">
        <v>2243</v>
      </c>
      <c r="B30" s="114" t="s">
        <v>2231</v>
      </c>
      <c r="C30" s="117" t="s">
        <v>2244</v>
      </c>
      <c r="D30" s="116" t="s">
        <v>2240</v>
      </c>
      <c r="E30" s="117" t="s">
        <v>2245</v>
      </c>
    </row>
    <row r="31" customFormat="false" ht="15" hidden="false" customHeight="false" outlineLevel="0" collapsed="false">
      <c r="A31" s="114" t="s">
        <v>2246</v>
      </c>
      <c r="B31" s="114" t="s">
        <v>2247</v>
      </c>
      <c r="C31" s="117" t="s">
        <v>2248</v>
      </c>
      <c r="D31" s="116" t="s">
        <v>2249</v>
      </c>
      <c r="E31" s="117" t="s">
        <v>2250</v>
      </c>
    </row>
    <row r="32" customFormat="false" ht="15" hidden="false" customHeight="false" outlineLevel="0" collapsed="false">
      <c r="A32" s="114" t="s">
        <v>2251</v>
      </c>
      <c r="B32" s="114" t="s">
        <v>2252</v>
      </c>
      <c r="C32" s="117" t="s">
        <v>2253</v>
      </c>
      <c r="D32" s="116" t="s">
        <v>2254</v>
      </c>
      <c r="E32" s="117" t="s">
        <v>2255</v>
      </c>
    </row>
    <row r="33" customFormat="false" ht="15" hidden="false" customHeight="false" outlineLevel="0" collapsed="false">
      <c r="A33" s="114" t="s">
        <v>2256</v>
      </c>
      <c r="B33" s="114" t="s">
        <v>2252</v>
      </c>
      <c r="C33" s="117" t="s">
        <v>2257</v>
      </c>
      <c r="D33" s="116" t="s">
        <v>2209</v>
      </c>
      <c r="E33" s="117" t="s">
        <v>2258</v>
      </c>
    </row>
    <row r="34" customFormat="false" ht="15" hidden="false" customHeight="false" outlineLevel="0" collapsed="false">
      <c r="A34" s="114" t="s">
        <v>2259</v>
      </c>
      <c r="B34" s="114" t="s">
        <v>2252</v>
      </c>
      <c r="C34" s="115" t="s">
        <v>2260</v>
      </c>
      <c r="D34" s="116" t="s">
        <v>2261</v>
      </c>
      <c r="E34" s="117" t="s">
        <v>2213</v>
      </c>
    </row>
    <row r="35" customFormat="false" ht="15" hidden="false" customHeight="false" outlineLevel="0" collapsed="false">
      <c r="A35" s="114" t="s">
        <v>2262</v>
      </c>
      <c r="B35" s="114" t="s">
        <v>2252</v>
      </c>
      <c r="C35" s="117" t="s">
        <v>2263</v>
      </c>
      <c r="D35" s="116" t="s">
        <v>2261</v>
      </c>
      <c r="E35" s="115" t="s">
        <v>2264</v>
      </c>
    </row>
    <row r="36" customFormat="false" ht="15" hidden="false" customHeight="false" outlineLevel="0" collapsed="false">
      <c r="A36" s="114" t="s">
        <v>2265</v>
      </c>
      <c r="B36" s="114" t="s">
        <v>2252</v>
      </c>
      <c r="C36" s="115" t="s">
        <v>2266</v>
      </c>
      <c r="D36" s="116" t="s">
        <v>2267</v>
      </c>
      <c r="E36" s="117" t="s">
        <v>2213</v>
      </c>
    </row>
    <row r="37" customFormat="false" ht="15" hidden="false" customHeight="false" outlineLevel="0" collapsed="false">
      <c r="A37" s="114" t="s">
        <v>2268</v>
      </c>
      <c r="B37" s="114" t="s">
        <v>2252</v>
      </c>
      <c r="C37" s="117" t="s">
        <v>2269</v>
      </c>
      <c r="D37" s="116" t="s">
        <v>2267</v>
      </c>
      <c r="E37" s="115" t="s">
        <v>2270</v>
      </c>
    </row>
    <row r="38" customFormat="false" ht="15" hidden="false" customHeight="false" outlineLevel="0" collapsed="false">
      <c r="A38" s="114" t="s">
        <v>2271</v>
      </c>
      <c r="B38" s="114" t="s">
        <v>2252</v>
      </c>
      <c r="C38" s="117" t="s">
        <v>2272</v>
      </c>
      <c r="D38" s="116" t="s">
        <v>2273</v>
      </c>
      <c r="E38" s="117" t="s">
        <v>2213</v>
      </c>
    </row>
    <row r="39" customFormat="false" ht="15" hidden="false" customHeight="false" outlineLevel="0" collapsed="false">
      <c r="A39" s="114" t="s">
        <v>2274</v>
      </c>
      <c r="B39" s="114" t="s">
        <v>2252</v>
      </c>
      <c r="C39" s="115" t="s">
        <v>2275</v>
      </c>
      <c r="D39" s="116" t="s">
        <v>2273</v>
      </c>
      <c r="E39" s="117" t="s">
        <v>2213</v>
      </c>
    </row>
    <row r="40" customFormat="false" ht="15" hidden="false" customHeight="false" outlineLevel="0" collapsed="false">
      <c r="A40" s="114" t="s">
        <v>2276</v>
      </c>
      <c r="B40" s="114" t="s">
        <v>2252</v>
      </c>
      <c r="C40" s="115" t="s">
        <v>2277</v>
      </c>
      <c r="D40" s="116" t="s">
        <v>2273</v>
      </c>
      <c r="E40" s="117" t="s">
        <v>2278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6" t="s">
        <v>2279</v>
      </c>
    </row>
    <row r="3" customFormat="false" ht="15" hidden="false" customHeight="false" outlineLevel="0" collapsed="false">
      <c r="A3" s="15" t="s">
        <v>2280</v>
      </c>
      <c r="B3" s="15" t="s">
        <v>2281</v>
      </c>
    </row>
    <row r="4" customFormat="false" ht="45.75" hidden="false" customHeight="true" outlineLevel="0" collapsed="false">
      <c r="A4" s="5" t="s">
        <v>662</v>
      </c>
      <c r="B4" s="115" t="s">
        <v>2282</v>
      </c>
    </row>
    <row r="5" customFormat="false" ht="45.75" hidden="false" customHeight="true" outlineLevel="0" collapsed="false">
      <c r="A5" s="5" t="s">
        <v>662</v>
      </c>
      <c r="B5" s="117" t="s">
        <v>2283</v>
      </c>
    </row>
    <row r="6" customFormat="false" ht="45.75" hidden="false" customHeight="true" outlineLevel="0" collapsed="false">
      <c r="A6" s="5" t="s">
        <v>662</v>
      </c>
      <c r="B6" s="115" t="s">
        <v>2284</v>
      </c>
    </row>
    <row r="7" customFormat="false" ht="45.75" hidden="false" customHeight="true" outlineLevel="0" collapsed="false">
      <c r="A7" s="5" t="s">
        <v>662</v>
      </c>
      <c r="B7" s="117" t="s">
        <v>2285</v>
      </c>
    </row>
    <row r="8" customFormat="false" ht="45.75" hidden="false" customHeight="true" outlineLevel="0" collapsed="false">
      <c r="A8" s="5" t="s">
        <v>662</v>
      </c>
      <c r="B8" s="117" t="s">
        <v>2286</v>
      </c>
    </row>
    <row r="9" customFormat="false" ht="45.75" hidden="false" customHeight="true" outlineLevel="0" collapsed="false">
      <c r="A9" s="5" t="s">
        <v>662</v>
      </c>
      <c r="B9" s="115" t="s">
        <v>2287</v>
      </c>
    </row>
    <row r="10" customFormat="false" ht="45.75" hidden="false" customHeight="true" outlineLevel="0" collapsed="false">
      <c r="A10" s="5" t="s">
        <v>662</v>
      </c>
      <c r="B10" s="117" t="s">
        <v>2288</v>
      </c>
    </row>
    <row r="11" customFormat="false" ht="45.75" hidden="false" customHeight="true" outlineLevel="0" collapsed="false">
      <c r="A11" s="5" t="s">
        <v>666</v>
      </c>
      <c r="B11" s="117" t="s">
        <v>2289</v>
      </c>
    </row>
    <row r="12" customFormat="false" ht="45.75" hidden="false" customHeight="true" outlineLevel="0" collapsed="false">
      <c r="A12" s="5" t="s">
        <v>666</v>
      </c>
      <c r="B12" s="117" t="s">
        <v>2290</v>
      </c>
    </row>
    <row r="13" customFormat="false" ht="45.75" hidden="false" customHeight="true" outlineLevel="0" collapsed="false">
      <c r="A13" s="5" t="s">
        <v>666</v>
      </c>
      <c r="B13" s="115" t="s">
        <v>2291</v>
      </c>
    </row>
    <row r="14" customFormat="false" ht="45.75" hidden="false" customHeight="true" outlineLevel="0" collapsed="false">
      <c r="A14" s="5" t="s">
        <v>2292</v>
      </c>
      <c r="B14" s="115" t="s">
        <v>2293</v>
      </c>
    </row>
    <row r="15" customFormat="false" ht="45.75" hidden="false" customHeight="true" outlineLevel="0" collapsed="false">
      <c r="A15" s="5" t="s">
        <v>2294</v>
      </c>
      <c r="B15" s="115" t="s">
        <v>2295</v>
      </c>
    </row>
    <row r="16" customFormat="false" ht="45.75" hidden="false" customHeight="true" outlineLevel="0" collapsed="false">
      <c r="A16" s="5" t="s">
        <v>2296</v>
      </c>
      <c r="B16" s="115" t="s">
        <v>2297</v>
      </c>
    </row>
    <row r="17" customFormat="false" ht="45.75" hidden="false" customHeight="true" outlineLevel="0" collapsed="false">
      <c r="A17" s="5" t="s">
        <v>666</v>
      </c>
      <c r="B17" s="117" t="s">
        <v>2298</v>
      </c>
    </row>
    <row r="18" customFormat="false" ht="45.75" hidden="false" customHeight="true" outlineLevel="0" collapsed="false">
      <c r="A18" s="5" t="s">
        <v>662</v>
      </c>
      <c r="B18" s="115" t="s">
        <v>2299</v>
      </c>
    </row>
    <row r="19" customFormat="false" ht="45.75" hidden="false" customHeight="true" outlineLevel="0" collapsed="false">
      <c r="A19" s="2" t="s">
        <v>2300</v>
      </c>
      <c r="B19" s="115" t="s">
        <v>2301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2302</v>
      </c>
    </row>
    <row r="2" customFormat="false" ht="15" hidden="false" customHeight="false" outlineLevel="0" collapsed="false">
      <c r="A2" s="7" t="s">
        <v>2303</v>
      </c>
    </row>
    <row r="3" customFormat="false" ht="15" hidden="false" customHeight="false" outlineLevel="0" collapsed="false">
      <c r="A3" s="7" t="s">
        <v>2304</v>
      </c>
    </row>
    <row r="4" customFormat="false" ht="17.15" hidden="false" customHeight="false" outlineLevel="0" collapsed="false">
      <c r="A4" s="15" t="s">
        <v>2305</v>
      </c>
      <c r="B4" s="15" t="s">
        <v>2306</v>
      </c>
      <c r="C4" s="15" t="s">
        <v>2307</v>
      </c>
      <c r="D4" s="15" t="s">
        <v>88</v>
      </c>
      <c r="E4" s="15" t="s">
        <v>309</v>
      </c>
      <c r="F4" s="15" t="s">
        <v>2308</v>
      </c>
      <c r="G4" s="15" t="s">
        <v>2309</v>
      </c>
      <c r="H4" s="15" t="s">
        <v>2310</v>
      </c>
      <c r="I4" s="16" t="s">
        <v>2311</v>
      </c>
      <c r="J4" s="15" t="s">
        <v>2312</v>
      </c>
    </row>
    <row r="5" customFormat="false" ht="15" hidden="false" customHeight="false" outlineLevel="0" collapsed="false">
      <c r="A5" s="4" t="s">
        <v>2313</v>
      </c>
      <c r="B5" s="4" t="s">
        <v>2314</v>
      </c>
      <c r="C5" s="3" t="s">
        <v>2315</v>
      </c>
      <c r="D5" s="7" t="s">
        <v>2316</v>
      </c>
      <c r="E5" s="4" t="s">
        <v>2317</v>
      </c>
      <c r="F5" s="22" t="n">
        <v>22439</v>
      </c>
      <c r="G5" s="22" t="n">
        <v>22439</v>
      </c>
      <c r="H5" s="22" t="n">
        <v>22439</v>
      </c>
      <c r="I5" s="12" t="s">
        <v>2318</v>
      </c>
      <c r="J5" s="12" t="s">
        <v>2319</v>
      </c>
    </row>
    <row r="6" customFormat="false" ht="15" hidden="false" customHeight="false" outlineLevel="0" collapsed="false">
      <c r="A6" s="4" t="s">
        <v>2320</v>
      </c>
      <c r="B6" s="4" t="s">
        <v>2314</v>
      </c>
      <c r="C6" s="3" t="s">
        <v>2315</v>
      </c>
      <c r="D6" s="7" t="s">
        <v>2316</v>
      </c>
      <c r="E6" s="4" t="s">
        <v>2321</v>
      </c>
      <c r="F6" s="22" t="n">
        <v>6969</v>
      </c>
      <c r="G6" s="22" t="n">
        <v>6969</v>
      </c>
      <c r="H6" s="22" t="n">
        <v>6969</v>
      </c>
      <c r="I6" s="12" t="s">
        <v>2322</v>
      </c>
      <c r="J6" s="12" t="s">
        <v>2319</v>
      </c>
    </row>
    <row r="7" customFormat="false" ht="15" hidden="false" customHeight="false" outlineLevel="0" collapsed="false">
      <c r="A7" s="4" t="s">
        <v>2323</v>
      </c>
      <c r="B7" s="4" t="s">
        <v>2314</v>
      </c>
      <c r="C7" s="3" t="s">
        <v>2315</v>
      </c>
      <c r="D7" s="7" t="s">
        <v>2316</v>
      </c>
      <c r="E7" s="4" t="s">
        <v>2324</v>
      </c>
      <c r="F7" s="22" t="n">
        <v>6764</v>
      </c>
      <c r="G7" s="22" t="n">
        <v>6764</v>
      </c>
      <c r="H7" s="22" t="n">
        <v>6764</v>
      </c>
      <c r="I7" s="12" t="s">
        <v>2325</v>
      </c>
      <c r="J7" s="12" t="s">
        <v>2319</v>
      </c>
    </row>
    <row r="8" customFormat="false" ht="15" hidden="false" customHeight="false" outlineLevel="0" collapsed="false">
      <c r="A8" s="4" t="s">
        <v>2326</v>
      </c>
      <c r="B8" s="4" t="s">
        <v>2314</v>
      </c>
      <c r="C8" s="3" t="s">
        <v>2315</v>
      </c>
      <c r="D8" s="7" t="s">
        <v>2316</v>
      </c>
      <c r="E8" s="4" t="s">
        <v>2327</v>
      </c>
      <c r="F8" s="22" t="n">
        <v>4052</v>
      </c>
      <c r="G8" s="22" t="n">
        <v>4052</v>
      </c>
      <c r="H8" s="22" t="n">
        <v>4052</v>
      </c>
      <c r="I8" s="12" t="s">
        <v>2328</v>
      </c>
      <c r="J8" s="12" t="s">
        <v>2319</v>
      </c>
    </row>
    <row r="9" customFormat="false" ht="15" hidden="false" customHeight="false" outlineLevel="0" collapsed="false">
      <c r="A9" s="4" t="s">
        <v>2329</v>
      </c>
      <c r="B9" s="4" t="s">
        <v>2314</v>
      </c>
      <c r="C9" s="3" t="s">
        <v>2315</v>
      </c>
      <c r="D9" s="7" t="s">
        <v>2316</v>
      </c>
      <c r="E9" s="4" t="s">
        <v>2330</v>
      </c>
      <c r="F9" s="22" t="n">
        <v>2705</v>
      </c>
      <c r="G9" s="22" t="n">
        <v>2705</v>
      </c>
      <c r="H9" s="22" t="n">
        <v>2705</v>
      </c>
      <c r="I9" s="12" t="s">
        <v>2331</v>
      </c>
      <c r="J9" s="12" t="s">
        <v>2319</v>
      </c>
    </row>
    <row r="10" customFormat="false" ht="15" hidden="false" customHeight="false" outlineLevel="0" collapsed="false">
      <c r="A10" s="4" t="s">
        <v>2332</v>
      </c>
      <c r="B10" s="4" t="s">
        <v>2333</v>
      </c>
      <c r="C10" s="3" t="s">
        <v>2334</v>
      </c>
      <c r="D10" s="7" t="s">
        <v>2335</v>
      </c>
      <c r="E10" s="4" t="s">
        <v>2317</v>
      </c>
      <c r="F10" s="22" t="n">
        <v>718048</v>
      </c>
      <c r="G10" s="22" t="n">
        <v>718048</v>
      </c>
      <c r="H10" s="22" t="n">
        <v>718048</v>
      </c>
      <c r="I10" s="12" t="s">
        <v>2336</v>
      </c>
      <c r="J10" s="12" t="s">
        <v>2319</v>
      </c>
    </row>
    <row r="11" customFormat="false" ht="15" hidden="false" customHeight="false" outlineLevel="0" collapsed="false">
      <c r="A11" s="4" t="s">
        <v>2337</v>
      </c>
      <c r="B11" s="4" t="s">
        <v>2333</v>
      </c>
      <c r="C11" s="3" t="s">
        <v>2334</v>
      </c>
      <c r="D11" s="7" t="s">
        <v>2335</v>
      </c>
      <c r="E11" s="4" t="s">
        <v>2321</v>
      </c>
      <c r="F11" s="22" t="n">
        <v>501768</v>
      </c>
      <c r="G11" s="22" t="n">
        <v>501768</v>
      </c>
      <c r="H11" s="22" t="n">
        <v>501768</v>
      </c>
      <c r="I11" s="12" t="s">
        <v>2338</v>
      </c>
      <c r="J11" s="12" t="s">
        <v>2319</v>
      </c>
    </row>
    <row r="12" customFormat="false" ht="15" hidden="false" customHeight="false" outlineLevel="0" collapsed="false">
      <c r="A12" s="4" t="s">
        <v>2339</v>
      </c>
      <c r="B12" s="4" t="s">
        <v>2333</v>
      </c>
      <c r="C12" s="3" t="s">
        <v>2334</v>
      </c>
      <c r="D12" s="7" t="s">
        <v>2335</v>
      </c>
      <c r="E12" s="4" t="s">
        <v>2324</v>
      </c>
      <c r="F12" s="22" t="n">
        <v>487008</v>
      </c>
      <c r="G12" s="22" t="n">
        <v>487008</v>
      </c>
      <c r="H12" s="22" t="n">
        <v>487008</v>
      </c>
      <c r="I12" s="12" t="s">
        <v>2340</v>
      </c>
      <c r="J12" s="12" t="s">
        <v>2319</v>
      </c>
    </row>
    <row r="13" customFormat="false" ht="15" hidden="false" customHeight="false" outlineLevel="0" collapsed="false">
      <c r="A13" s="4" t="s">
        <v>2341</v>
      </c>
      <c r="B13" s="4" t="s">
        <v>2333</v>
      </c>
      <c r="C13" s="3" t="s">
        <v>2334</v>
      </c>
      <c r="D13" s="7" t="s">
        <v>2335</v>
      </c>
      <c r="E13" s="4" t="s">
        <v>2327</v>
      </c>
      <c r="F13" s="22" t="n">
        <v>291744</v>
      </c>
      <c r="G13" s="22" t="n">
        <v>291744</v>
      </c>
      <c r="H13" s="22" t="n">
        <v>291744</v>
      </c>
      <c r="I13" s="12" t="s">
        <v>2342</v>
      </c>
      <c r="J13" s="12" t="s">
        <v>2319</v>
      </c>
    </row>
    <row r="14" customFormat="false" ht="15" hidden="false" customHeight="false" outlineLevel="0" collapsed="false">
      <c r="A14" s="4" t="s">
        <v>2343</v>
      </c>
      <c r="B14" s="4" t="s">
        <v>2333</v>
      </c>
      <c r="C14" s="3" t="s">
        <v>2334</v>
      </c>
      <c r="D14" s="7" t="s">
        <v>2335</v>
      </c>
      <c r="E14" s="4" t="s">
        <v>2330</v>
      </c>
      <c r="F14" s="22" t="n">
        <v>194760</v>
      </c>
      <c r="G14" s="22" t="n">
        <v>194760</v>
      </c>
      <c r="H14" s="22" t="n">
        <v>194760</v>
      </c>
      <c r="I14" s="12" t="s">
        <v>2344</v>
      </c>
      <c r="J14" s="12" t="s">
        <v>2319</v>
      </c>
    </row>
    <row r="15" customFormat="false" ht="15" hidden="false" customHeight="false" outlineLevel="0" collapsed="false">
      <c r="A15" s="4" t="s">
        <v>2345</v>
      </c>
      <c r="B15" s="4" t="s">
        <v>2346</v>
      </c>
      <c r="C15" s="3" t="s">
        <v>2347</v>
      </c>
      <c r="D15" s="12" t="s">
        <v>2348</v>
      </c>
      <c r="E15" s="4" t="s">
        <v>2317</v>
      </c>
      <c r="F15" s="118" t="n">
        <v>1.1</v>
      </c>
      <c r="G15" s="118" t="n">
        <v>1.2</v>
      </c>
      <c r="H15" s="118" t="n">
        <v>1.3</v>
      </c>
      <c r="I15" s="12" t="s">
        <v>2349</v>
      </c>
      <c r="J15" s="12" t="s">
        <v>2319</v>
      </c>
    </row>
    <row r="16" customFormat="false" ht="15" hidden="false" customHeight="false" outlineLevel="0" collapsed="false">
      <c r="A16" s="4" t="s">
        <v>2350</v>
      </c>
      <c r="B16" s="4" t="s">
        <v>2346</v>
      </c>
      <c r="C16" s="3" t="s">
        <v>2347</v>
      </c>
      <c r="D16" s="12" t="s">
        <v>2348</v>
      </c>
      <c r="E16" s="4" t="s">
        <v>2321</v>
      </c>
      <c r="F16" s="118" t="n">
        <v>1.1</v>
      </c>
      <c r="G16" s="118" t="n">
        <v>1.2</v>
      </c>
      <c r="H16" s="118" t="n">
        <v>1.3</v>
      </c>
      <c r="I16" s="12" t="s">
        <v>2351</v>
      </c>
      <c r="J16" s="12" t="s">
        <v>2319</v>
      </c>
    </row>
    <row r="17" customFormat="false" ht="15" hidden="false" customHeight="false" outlineLevel="0" collapsed="false">
      <c r="A17" s="4" t="s">
        <v>2352</v>
      </c>
      <c r="B17" s="4" t="s">
        <v>2346</v>
      </c>
      <c r="C17" s="3" t="s">
        <v>2347</v>
      </c>
      <c r="D17" s="12" t="s">
        <v>2348</v>
      </c>
      <c r="E17" s="4" t="s">
        <v>2324</v>
      </c>
      <c r="F17" s="118" t="n">
        <v>1.1</v>
      </c>
      <c r="G17" s="118" t="n">
        <v>1.2</v>
      </c>
      <c r="H17" s="118" t="n">
        <v>1.3</v>
      </c>
      <c r="I17" s="12" t="s">
        <v>2353</v>
      </c>
      <c r="J17" s="12" t="s">
        <v>2319</v>
      </c>
    </row>
    <row r="18" customFormat="false" ht="15" hidden="false" customHeight="false" outlineLevel="0" collapsed="false">
      <c r="A18" s="4" t="s">
        <v>2354</v>
      </c>
      <c r="B18" s="4" t="s">
        <v>2346</v>
      </c>
      <c r="C18" s="3" t="s">
        <v>2347</v>
      </c>
      <c r="D18" s="12" t="s">
        <v>2348</v>
      </c>
      <c r="E18" s="4" t="s">
        <v>2327</v>
      </c>
      <c r="F18" s="118" t="n">
        <v>1.1</v>
      </c>
      <c r="G18" s="118" t="n">
        <v>1.2</v>
      </c>
      <c r="H18" s="118" t="n">
        <v>1.3</v>
      </c>
      <c r="I18" s="12" t="s">
        <v>2355</v>
      </c>
      <c r="J18" s="12" t="s">
        <v>2319</v>
      </c>
    </row>
    <row r="19" customFormat="false" ht="15" hidden="false" customHeight="false" outlineLevel="0" collapsed="false">
      <c r="A19" s="4" t="s">
        <v>2356</v>
      </c>
      <c r="B19" s="4" t="s">
        <v>2346</v>
      </c>
      <c r="C19" s="3" t="s">
        <v>2347</v>
      </c>
      <c r="D19" s="12" t="s">
        <v>2348</v>
      </c>
      <c r="E19" s="4" t="s">
        <v>2330</v>
      </c>
      <c r="F19" s="118" t="n">
        <v>1.1</v>
      </c>
      <c r="G19" s="118" t="n">
        <v>1.2</v>
      </c>
      <c r="H19" s="118" t="n">
        <v>1.3</v>
      </c>
      <c r="I19" s="12" t="s">
        <v>2357</v>
      </c>
      <c r="J19" s="12" t="s">
        <v>2319</v>
      </c>
    </row>
    <row r="20" customFormat="false" ht="15" hidden="false" customHeight="false" outlineLevel="0" collapsed="false">
      <c r="A20" s="4" t="s">
        <v>2358</v>
      </c>
      <c r="B20" s="4" t="s">
        <v>2359</v>
      </c>
      <c r="C20" s="3" t="s">
        <v>2360</v>
      </c>
      <c r="D20" s="12" t="s">
        <v>2361</v>
      </c>
      <c r="E20" s="4" t="s">
        <v>2317</v>
      </c>
      <c r="F20" s="118" t="n">
        <v>21.4202694</v>
      </c>
      <c r="G20" s="118" t="n">
        <v>27.510214</v>
      </c>
      <c r="H20" s="118" t="n">
        <v>34.1207434</v>
      </c>
      <c r="I20" s="12" t="s">
        <v>2362</v>
      </c>
      <c r="J20" s="12" t="s">
        <v>2319</v>
      </c>
    </row>
    <row r="21" customFormat="false" ht="15" hidden="false" customHeight="false" outlineLevel="0" collapsed="false">
      <c r="A21" s="4" t="s">
        <v>2363</v>
      </c>
      <c r="B21" s="4" t="s">
        <v>2359</v>
      </c>
      <c r="C21" s="3" t="s">
        <v>2360</v>
      </c>
      <c r="D21" s="12" t="s">
        <v>2361</v>
      </c>
      <c r="E21" s="4" t="s">
        <v>2321</v>
      </c>
      <c r="F21" s="118" t="n">
        <v>20.6393904</v>
      </c>
      <c r="G21" s="118" t="n">
        <v>24.015174</v>
      </c>
      <c r="H21" s="118" t="n">
        <v>27.6502044</v>
      </c>
      <c r="I21" s="12" t="s">
        <v>2364</v>
      </c>
      <c r="J21" s="12" t="s">
        <v>2319</v>
      </c>
    </row>
    <row r="22" customFormat="false" ht="15" hidden="false" customHeight="false" outlineLevel="0" collapsed="false">
      <c r="A22" s="4" t="s">
        <v>2365</v>
      </c>
      <c r="B22" s="4" t="s">
        <v>2359</v>
      </c>
      <c r="C22" s="3" t="s">
        <v>2360</v>
      </c>
      <c r="D22" s="12" t="s">
        <v>2361</v>
      </c>
      <c r="E22" s="4" t="s">
        <v>2324</v>
      </c>
      <c r="F22" s="118" t="n">
        <v>28.5549024</v>
      </c>
      <c r="G22" s="118" t="n">
        <v>32.237224</v>
      </c>
      <c r="H22" s="118" t="n">
        <v>39.2826064</v>
      </c>
      <c r="I22" s="12" t="s">
        <v>2366</v>
      </c>
      <c r="J22" s="12" t="s">
        <v>2319</v>
      </c>
    </row>
    <row r="23" customFormat="false" ht="15" hidden="false" customHeight="false" outlineLevel="0" collapsed="false">
      <c r="A23" s="4" t="s">
        <v>2367</v>
      </c>
      <c r="B23" s="4" t="s">
        <v>2359</v>
      </c>
      <c r="C23" s="3" t="s">
        <v>2360</v>
      </c>
      <c r="D23" s="12" t="s">
        <v>2361</v>
      </c>
      <c r="E23" s="4" t="s">
        <v>2327</v>
      </c>
      <c r="F23" s="118" t="n">
        <v>33.2734032</v>
      </c>
      <c r="G23" s="118" t="n">
        <v>37.586352</v>
      </c>
      <c r="H23" s="118" t="n">
        <v>42.6375752</v>
      </c>
      <c r="I23" s="12" t="s">
        <v>2368</v>
      </c>
      <c r="J23" s="12" t="s">
        <v>2319</v>
      </c>
    </row>
    <row r="24" customFormat="false" ht="15" hidden="false" customHeight="false" outlineLevel="0" collapsed="false">
      <c r="A24" s="4" t="s">
        <v>2369</v>
      </c>
      <c r="B24" s="4" t="s">
        <v>2359</v>
      </c>
      <c r="C24" s="3" t="s">
        <v>2360</v>
      </c>
      <c r="D24" s="12" t="s">
        <v>2361</v>
      </c>
      <c r="E24" s="4" t="s">
        <v>2330</v>
      </c>
      <c r="F24" s="118" t="n">
        <v>35.845578</v>
      </c>
      <c r="G24" s="118" t="n">
        <v>50.08578</v>
      </c>
      <c r="H24" s="118" t="n">
        <v>65.481558</v>
      </c>
      <c r="I24" s="12" t="s">
        <v>2370</v>
      </c>
      <c r="J24" s="12" t="s">
        <v>2319</v>
      </c>
    </row>
    <row r="25" customFormat="false" ht="15" hidden="false" customHeight="false" outlineLevel="0" collapsed="false">
      <c r="A25" s="4" t="s">
        <v>2371</v>
      </c>
      <c r="B25" s="4" t="s">
        <v>2372</v>
      </c>
      <c r="C25" s="3" t="s">
        <v>2373</v>
      </c>
      <c r="D25" s="12" t="s">
        <v>2361</v>
      </c>
      <c r="E25" s="4" t="s">
        <v>2317</v>
      </c>
      <c r="F25" s="118" t="n">
        <v>10.212</v>
      </c>
      <c r="G25" s="118" t="n">
        <v>12.67</v>
      </c>
      <c r="H25" s="118" t="n">
        <v>16.186</v>
      </c>
      <c r="I25" s="12" t="s">
        <v>2374</v>
      </c>
      <c r="J25" s="12" t="s">
        <v>2319</v>
      </c>
    </row>
    <row r="26" customFormat="false" ht="15" hidden="false" customHeight="false" outlineLevel="0" collapsed="false">
      <c r="A26" s="4" t="s">
        <v>2375</v>
      </c>
      <c r="B26" s="4" t="s">
        <v>2372</v>
      </c>
      <c r="C26" s="3" t="s">
        <v>2373</v>
      </c>
      <c r="D26" s="12" t="s">
        <v>2361</v>
      </c>
      <c r="E26" s="4" t="s">
        <v>2321</v>
      </c>
      <c r="F26" s="118" t="n">
        <v>10.212</v>
      </c>
      <c r="G26" s="118" t="n">
        <v>12.67</v>
      </c>
      <c r="H26" s="118" t="n">
        <v>16.186</v>
      </c>
      <c r="I26" s="12" t="s">
        <v>2376</v>
      </c>
      <c r="J26" s="12" t="s">
        <v>2319</v>
      </c>
    </row>
    <row r="27" customFormat="false" ht="15" hidden="false" customHeight="false" outlineLevel="0" collapsed="false">
      <c r="A27" s="4" t="s">
        <v>2377</v>
      </c>
      <c r="B27" s="4" t="s">
        <v>2372</v>
      </c>
      <c r="C27" s="3" t="s">
        <v>2373</v>
      </c>
      <c r="D27" s="12" t="s">
        <v>2361</v>
      </c>
      <c r="E27" s="4" t="s">
        <v>2324</v>
      </c>
      <c r="F27" s="118" t="n">
        <v>10.212</v>
      </c>
      <c r="G27" s="118" t="n">
        <v>12.67</v>
      </c>
      <c r="H27" s="118" t="n">
        <v>16.186</v>
      </c>
      <c r="I27" s="12" t="s">
        <v>2378</v>
      </c>
      <c r="J27" s="12" t="s">
        <v>2319</v>
      </c>
    </row>
    <row r="28" customFormat="false" ht="15" hidden="false" customHeight="false" outlineLevel="0" collapsed="false">
      <c r="A28" s="4" t="s">
        <v>2379</v>
      </c>
      <c r="B28" s="4" t="s">
        <v>2372</v>
      </c>
      <c r="C28" s="3" t="s">
        <v>2373</v>
      </c>
      <c r="D28" s="12" t="s">
        <v>2361</v>
      </c>
      <c r="E28" s="4" t="s">
        <v>2327</v>
      </c>
      <c r="F28" s="118" t="n">
        <v>10.212</v>
      </c>
      <c r="G28" s="118" t="n">
        <v>12.67</v>
      </c>
      <c r="H28" s="118" t="n">
        <v>16.186</v>
      </c>
      <c r="I28" s="12" t="s">
        <v>2380</v>
      </c>
      <c r="J28" s="12" t="s">
        <v>2319</v>
      </c>
    </row>
    <row r="29" customFormat="false" ht="15" hidden="false" customHeight="false" outlineLevel="0" collapsed="false">
      <c r="A29" s="4" t="s">
        <v>2381</v>
      </c>
      <c r="B29" s="4" t="s">
        <v>2372</v>
      </c>
      <c r="C29" s="3" t="s">
        <v>2373</v>
      </c>
      <c r="D29" s="12" t="s">
        <v>2361</v>
      </c>
      <c r="E29" s="4" t="s">
        <v>2330</v>
      </c>
      <c r="F29" s="118" t="n">
        <v>10.212</v>
      </c>
      <c r="G29" s="118" t="n">
        <v>12.67</v>
      </c>
      <c r="H29" s="118" t="n">
        <v>16.186</v>
      </c>
      <c r="I29" s="12" t="s">
        <v>2382</v>
      </c>
      <c r="J29" s="12" t="s">
        <v>2319</v>
      </c>
    </row>
    <row r="30" customFormat="false" ht="15" hidden="false" customHeight="false" outlineLevel="0" collapsed="false">
      <c r="A30" s="4" t="s">
        <v>2383</v>
      </c>
      <c r="B30" s="4" t="s">
        <v>2384</v>
      </c>
      <c r="C30" s="3" t="s">
        <v>2385</v>
      </c>
      <c r="D30" s="12" t="s">
        <v>2361</v>
      </c>
      <c r="E30" s="4" t="s">
        <v>2317</v>
      </c>
      <c r="F30" s="118" t="n">
        <v>31.6322694</v>
      </c>
      <c r="G30" s="118" t="n">
        <v>40.180214</v>
      </c>
      <c r="H30" s="118" t="n">
        <v>50.3067434</v>
      </c>
      <c r="I30" s="12" t="s">
        <v>2386</v>
      </c>
      <c r="J30" s="12" t="s">
        <v>2319</v>
      </c>
    </row>
    <row r="31" customFormat="false" ht="15" hidden="false" customHeight="false" outlineLevel="0" collapsed="false">
      <c r="A31" s="4" t="s">
        <v>2387</v>
      </c>
      <c r="B31" s="4" t="s">
        <v>2384</v>
      </c>
      <c r="C31" s="3" t="s">
        <v>2385</v>
      </c>
      <c r="D31" s="12" t="s">
        <v>2361</v>
      </c>
      <c r="E31" s="4" t="s">
        <v>2321</v>
      </c>
      <c r="F31" s="118" t="n">
        <v>30.8513904</v>
      </c>
      <c r="G31" s="118" t="n">
        <v>36.685174</v>
      </c>
      <c r="H31" s="118" t="n">
        <v>43.8362044</v>
      </c>
      <c r="I31" s="12" t="s">
        <v>2388</v>
      </c>
      <c r="J31" s="12" t="s">
        <v>2319</v>
      </c>
    </row>
    <row r="32" customFormat="false" ht="15" hidden="false" customHeight="false" outlineLevel="0" collapsed="false">
      <c r="A32" s="4" t="s">
        <v>2389</v>
      </c>
      <c r="B32" s="4" t="s">
        <v>2384</v>
      </c>
      <c r="C32" s="3" t="s">
        <v>2385</v>
      </c>
      <c r="D32" s="12" t="s">
        <v>2361</v>
      </c>
      <c r="E32" s="4" t="s">
        <v>2324</v>
      </c>
      <c r="F32" s="118" t="n">
        <v>38.7669024</v>
      </c>
      <c r="G32" s="118" t="n">
        <v>44.907224</v>
      </c>
      <c r="H32" s="118" t="n">
        <v>55.4686064</v>
      </c>
      <c r="I32" s="12" t="s">
        <v>2390</v>
      </c>
      <c r="J32" s="12" t="s">
        <v>2319</v>
      </c>
    </row>
    <row r="33" customFormat="false" ht="15" hidden="false" customHeight="false" outlineLevel="0" collapsed="false">
      <c r="A33" s="4" t="s">
        <v>2391</v>
      </c>
      <c r="B33" s="4" t="s">
        <v>2384</v>
      </c>
      <c r="C33" s="3" t="s">
        <v>2385</v>
      </c>
      <c r="D33" s="12" t="s">
        <v>2361</v>
      </c>
      <c r="E33" s="4" t="s">
        <v>2327</v>
      </c>
      <c r="F33" s="118" t="n">
        <v>43.4854032</v>
      </c>
      <c r="G33" s="118" t="n">
        <v>50.256352</v>
      </c>
      <c r="H33" s="118" t="n">
        <v>58.8235752</v>
      </c>
      <c r="I33" s="12" t="s">
        <v>2392</v>
      </c>
      <c r="J33" s="12" t="s">
        <v>2319</v>
      </c>
    </row>
    <row r="34" customFormat="false" ht="15" hidden="false" customHeight="false" outlineLevel="0" collapsed="false">
      <c r="A34" s="4" t="s">
        <v>2393</v>
      </c>
      <c r="B34" s="4" t="s">
        <v>2384</v>
      </c>
      <c r="C34" s="3" t="s">
        <v>2385</v>
      </c>
      <c r="D34" s="12" t="s">
        <v>2361</v>
      </c>
      <c r="E34" s="4" t="s">
        <v>2330</v>
      </c>
      <c r="F34" s="118" t="n">
        <v>46.057578</v>
      </c>
      <c r="G34" s="118" t="n">
        <v>62.75578</v>
      </c>
      <c r="H34" s="118" t="n">
        <v>81.667558</v>
      </c>
      <c r="I34" s="12" t="s">
        <v>2394</v>
      </c>
      <c r="J34" s="12" t="s">
        <v>2319</v>
      </c>
    </row>
    <row r="35" customFormat="false" ht="15" hidden="false" customHeight="false" outlineLevel="0" collapsed="false">
      <c r="A35" s="4" t="s">
        <v>2395</v>
      </c>
      <c r="B35" s="4" t="s">
        <v>2396</v>
      </c>
      <c r="C35" s="3" t="s">
        <v>2397</v>
      </c>
      <c r="D35" s="12" t="s">
        <v>2398</v>
      </c>
      <c r="E35" s="4" t="s">
        <v>2317</v>
      </c>
      <c r="F35" s="118" t="n">
        <v>5.19000377241587</v>
      </c>
      <c r="G35" s="118" t="n">
        <v>7.10411981353067</v>
      </c>
      <c r="H35" s="118" t="n">
        <v>12.2070705365445</v>
      </c>
      <c r="I35" s="12" t="s">
        <v>2399</v>
      </c>
      <c r="J35" s="12" t="s">
        <v>2319</v>
      </c>
    </row>
    <row r="36" customFormat="false" ht="15" hidden="false" customHeight="false" outlineLevel="0" collapsed="false">
      <c r="A36" s="4" t="s">
        <v>2400</v>
      </c>
      <c r="B36" s="4" t="s">
        <v>2396</v>
      </c>
      <c r="C36" s="3" t="s">
        <v>2397</v>
      </c>
      <c r="D36" s="12" t="s">
        <v>2398</v>
      </c>
      <c r="E36" s="4" t="s">
        <v>2321</v>
      </c>
      <c r="F36" s="118" t="n">
        <v>5.04951503784896</v>
      </c>
      <c r="G36" s="118" t="n">
        <v>6.44917840537967</v>
      </c>
      <c r="H36" s="118" t="n">
        <v>10.4195985807088</v>
      </c>
      <c r="I36" s="12" t="s">
        <v>2401</v>
      </c>
      <c r="J36" s="12" t="s">
        <v>2319</v>
      </c>
    </row>
    <row r="37" customFormat="false" ht="15" hidden="false" customHeight="false" outlineLevel="0" collapsed="false">
      <c r="A37" s="4" t="s">
        <v>2402</v>
      </c>
      <c r="B37" s="4" t="s">
        <v>2396</v>
      </c>
      <c r="C37" s="3" t="s">
        <v>2397</v>
      </c>
      <c r="D37" s="12" t="s">
        <v>2398</v>
      </c>
      <c r="E37" s="4" t="s">
        <v>2324</v>
      </c>
      <c r="F37" s="118" t="n">
        <v>6.47360284700915</v>
      </c>
      <c r="G37" s="118" t="n">
        <v>7.98992214647791</v>
      </c>
      <c r="H37" s="118" t="n">
        <v>13.6330236684808</v>
      </c>
      <c r="I37" s="12" t="s">
        <v>2403</v>
      </c>
      <c r="J37" s="12" t="s">
        <v>2319</v>
      </c>
    </row>
    <row r="38" customFormat="false" ht="15" hidden="false" customHeight="false" outlineLevel="0" collapsed="false">
      <c r="A38" s="4" t="s">
        <v>2404</v>
      </c>
      <c r="B38" s="4" t="s">
        <v>2396</v>
      </c>
      <c r="C38" s="3" t="s">
        <v>2397</v>
      </c>
      <c r="D38" s="12" t="s">
        <v>2398</v>
      </c>
      <c r="E38" s="4" t="s">
        <v>2327</v>
      </c>
      <c r="F38" s="118" t="n">
        <v>7.32251312176997</v>
      </c>
      <c r="G38" s="118" t="n">
        <v>8.9923042149807</v>
      </c>
      <c r="H38" s="118" t="n">
        <v>14.5598263108425</v>
      </c>
      <c r="I38" s="12" t="s">
        <v>2405</v>
      </c>
      <c r="J38" s="12" t="s">
        <v>2319</v>
      </c>
    </row>
    <row r="39" customFormat="false" ht="15" hidden="false" customHeight="false" outlineLevel="0" collapsed="false">
      <c r="A39" s="4" t="s">
        <v>2406</v>
      </c>
      <c r="B39" s="4" t="s">
        <v>2396</v>
      </c>
      <c r="C39" s="3" t="s">
        <v>2397</v>
      </c>
      <c r="D39" s="12" t="s">
        <v>2398</v>
      </c>
      <c r="E39" s="4" t="s">
        <v>2330</v>
      </c>
      <c r="F39" s="118" t="n">
        <v>7.78527570436843</v>
      </c>
      <c r="G39" s="118" t="n">
        <v>11.3345929943372</v>
      </c>
      <c r="H39" s="118" t="n">
        <v>20.8704255692031</v>
      </c>
      <c r="I39" s="12" t="s">
        <v>2407</v>
      </c>
      <c r="J39" s="12" t="s">
        <v>2319</v>
      </c>
    </row>
    <row r="40" customFormat="false" ht="15" hidden="false" customHeight="false" outlineLevel="0" collapsed="false">
      <c r="A40" s="4" t="s">
        <v>2408</v>
      </c>
      <c r="B40" s="4" t="s">
        <v>2409</v>
      </c>
      <c r="C40" s="3" t="s">
        <v>2410</v>
      </c>
      <c r="D40" s="12" t="s">
        <v>2398</v>
      </c>
      <c r="E40" s="4" t="s">
        <v>2317</v>
      </c>
      <c r="F40" s="118" t="n">
        <v>6.79107465326444</v>
      </c>
      <c r="G40" s="118" t="n">
        <v>9.70308728611469</v>
      </c>
      <c r="H40" s="118" t="n">
        <v>16.6637697337026</v>
      </c>
      <c r="I40" s="12" t="s">
        <v>2411</v>
      </c>
      <c r="J40" s="12" t="s">
        <v>2319</v>
      </c>
    </row>
    <row r="41" customFormat="false" ht="15" hidden="false" customHeight="false" outlineLevel="0" collapsed="false">
      <c r="A41" s="4" t="s">
        <v>2412</v>
      </c>
      <c r="B41" s="4" t="s">
        <v>2409</v>
      </c>
      <c r="C41" s="3" t="s">
        <v>2410</v>
      </c>
      <c r="D41" s="12" t="s">
        <v>2398</v>
      </c>
      <c r="E41" s="4" t="s">
        <v>2321</v>
      </c>
      <c r="F41" s="118" t="n">
        <v>6.6118162762144</v>
      </c>
      <c r="G41" s="118" t="n">
        <v>8.82816556596761</v>
      </c>
      <c r="H41" s="118" t="n">
        <v>14.3185748619737</v>
      </c>
      <c r="I41" s="12" t="s">
        <v>2413</v>
      </c>
      <c r="J41" s="12" t="s">
        <v>2319</v>
      </c>
    </row>
    <row r="42" customFormat="false" ht="15" hidden="false" customHeight="false" outlineLevel="0" collapsed="false">
      <c r="A42" s="4" t="s">
        <v>2414</v>
      </c>
      <c r="B42" s="4" t="s">
        <v>2409</v>
      </c>
      <c r="C42" s="3" t="s">
        <v>2410</v>
      </c>
      <c r="D42" s="12" t="s">
        <v>2398</v>
      </c>
      <c r="E42" s="4" t="s">
        <v>2324</v>
      </c>
      <c r="F42" s="118" t="n">
        <v>8.42889912085495</v>
      </c>
      <c r="G42" s="118" t="n">
        <v>10.8864110021101</v>
      </c>
      <c r="H42" s="118" t="n">
        <v>18.5346455040469</v>
      </c>
      <c r="I42" s="12" t="s">
        <v>2415</v>
      </c>
      <c r="J42" s="12" t="s">
        <v>2319</v>
      </c>
    </row>
    <row r="43" customFormat="false" ht="15" hidden="false" customHeight="false" outlineLevel="0" collapsed="false">
      <c r="A43" s="4" t="s">
        <v>2416</v>
      </c>
      <c r="B43" s="4" t="s">
        <v>2409</v>
      </c>
      <c r="C43" s="3" t="s">
        <v>2410</v>
      </c>
      <c r="D43" s="12" t="s">
        <v>2398</v>
      </c>
      <c r="E43" s="4" t="s">
        <v>2327</v>
      </c>
      <c r="F43" s="118" t="n">
        <v>9.51207691858967</v>
      </c>
      <c r="G43" s="118" t="n">
        <v>12.2254710045841</v>
      </c>
      <c r="H43" s="118" t="n">
        <v>19.7506269894487</v>
      </c>
      <c r="I43" s="12" t="s">
        <v>2417</v>
      </c>
      <c r="J43" s="12" t="s">
        <v>2319</v>
      </c>
    </row>
    <row r="44" customFormat="false" ht="15" hidden="false" customHeight="false" outlineLevel="0" collapsed="false">
      <c r="A44" s="4" t="s">
        <v>2418</v>
      </c>
      <c r="B44" s="4" t="s">
        <v>2409</v>
      </c>
      <c r="C44" s="3" t="s">
        <v>2410</v>
      </c>
      <c r="D44" s="12" t="s">
        <v>2398</v>
      </c>
      <c r="E44" s="4" t="s">
        <v>2330</v>
      </c>
      <c r="F44" s="118" t="n">
        <v>10.1025446864987</v>
      </c>
      <c r="G44" s="118" t="n">
        <v>15.3544827030524</v>
      </c>
      <c r="H44" s="118" t="n">
        <v>28.0302450108258</v>
      </c>
      <c r="I44" s="12" t="s">
        <v>2419</v>
      </c>
      <c r="J44" s="12" t="s">
        <v>2319</v>
      </c>
    </row>
    <row r="45" customFormat="false" ht="15" hidden="false" customHeight="false" outlineLevel="0" collapsed="false">
      <c r="A45" s="4" t="s">
        <v>2420</v>
      </c>
      <c r="B45" s="4" t="s">
        <v>2421</v>
      </c>
      <c r="C45" s="3" t="s">
        <v>2422</v>
      </c>
      <c r="D45" s="12" t="s">
        <v>2423</v>
      </c>
      <c r="E45" s="4" t="s">
        <v>2317</v>
      </c>
      <c r="F45" s="118" t="n">
        <v>1.07964486018265</v>
      </c>
      <c r="G45" s="118" t="n">
        <v>1.54259654785589</v>
      </c>
      <c r="H45" s="118" t="n">
        <v>2.64920565047995</v>
      </c>
      <c r="I45" s="12" t="s">
        <v>2424</v>
      </c>
      <c r="J45" s="12" t="s">
        <v>2319</v>
      </c>
    </row>
    <row r="46" customFormat="false" ht="15" hidden="false" customHeight="false" outlineLevel="0" collapsed="false">
      <c r="A46" s="4" t="s">
        <v>2425</v>
      </c>
      <c r="B46" s="4" t="s">
        <v>2421</v>
      </c>
      <c r="C46" s="3" t="s">
        <v>2422</v>
      </c>
      <c r="D46" s="12" t="s">
        <v>2423</v>
      </c>
      <c r="E46" s="4" t="s">
        <v>2321</v>
      </c>
      <c r="F46" s="118" t="n">
        <v>1.50422814430785</v>
      </c>
      <c r="G46" s="118" t="n">
        <v>2.00846099652078</v>
      </c>
      <c r="H46" s="118" t="n">
        <v>3.25756227849869</v>
      </c>
      <c r="I46" s="12" t="s">
        <v>2426</v>
      </c>
      <c r="J46" s="12" t="s">
        <v>2319</v>
      </c>
    </row>
    <row r="47" customFormat="false" ht="15" hidden="false" customHeight="false" outlineLevel="0" collapsed="false">
      <c r="A47" s="4" t="s">
        <v>2427</v>
      </c>
      <c r="B47" s="4" t="s">
        <v>2421</v>
      </c>
      <c r="C47" s="3" t="s">
        <v>2422</v>
      </c>
      <c r="D47" s="12" t="s">
        <v>2423</v>
      </c>
      <c r="E47" s="4" t="s">
        <v>2324</v>
      </c>
      <c r="F47" s="118" t="n">
        <v>1.97574392204647</v>
      </c>
      <c r="G47" s="118" t="n">
        <v>2.55178761329595</v>
      </c>
      <c r="H47" s="118" t="n">
        <v>4.34454282544458</v>
      </c>
      <c r="I47" s="12" t="s">
        <v>2428</v>
      </c>
      <c r="J47" s="12" t="s">
        <v>2319</v>
      </c>
    </row>
    <row r="48" customFormat="false" ht="15" hidden="false" customHeight="false" outlineLevel="0" collapsed="false">
      <c r="A48" s="4" t="s">
        <v>2429</v>
      </c>
      <c r="B48" s="4" t="s">
        <v>2421</v>
      </c>
      <c r="C48" s="3" t="s">
        <v>2422</v>
      </c>
      <c r="D48" s="12" t="s">
        <v>2423</v>
      </c>
      <c r="E48" s="4" t="s">
        <v>2327</v>
      </c>
      <c r="F48" s="118" t="n">
        <v>3.72193954123947</v>
      </c>
      <c r="G48" s="118" t="n">
        <v>4.78365180724219</v>
      </c>
      <c r="H48" s="118" t="n">
        <v>7.72813762813851</v>
      </c>
      <c r="I48" s="12" t="s">
        <v>2430</v>
      </c>
      <c r="J48" s="12" t="s">
        <v>2319</v>
      </c>
    </row>
    <row r="49" customFormat="false" ht="15" hidden="false" customHeight="false" outlineLevel="0" collapsed="false">
      <c r="A49" s="4" t="s">
        <v>2431</v>
      </c>
      <c r="B49" s="4" t="s">
        <v>2421</v>
      </c>
      <c r="C49" s="3" t="s">
        <v>2422</v>
      </c>
      <c r="D49" s="12" t="s">
        <v>2423</v>
      </c>
      <c r="E49" s="4" t="s">
        <v>2330</v>
      </c>
      <c r="F49" s="118" t="n">
        <v>5.92143420546319</v>
      </c>
      <c r="G49" s="118" t="n">
        <v>8.99976806898525</v>
      </c>
      <c r="H49" s="118" t="n">
        <v>16.4294498807254</v>
      </c>
      <c r="I49" s="12" t="s">
        <v>2432</v>
      </c>
      <c r="J49" s="12" t="s">
        <v>2319</v>
      </c>
    </row>
    <row r="50" customFormat="false" ht="15" hidden="false" customHeight="false" outlineLevel="0" collapsed="false">
      <c r="A50" s="4" t="s">
        <v>2433</v>
      </c>
      <c r="B50" s="4" t="s">
        <v>2434</v>
      </c>
      <c r="C50" s="3" t="s">
        <v>2435</v>
      </c>
      <c r="D50" s="12" t="s">
        <v>2398</v>
      </c>
      <c r="E50" s="4" t="s">
        <v>2317</v>
      </c>
      <c r="F50" s="118" t="n">
        <v>0.404712</v>
      </c>
      <c r="G50" s="118" t="n">
        <v>0.672768</v>
      </c>
      <c r="H50" s="118" t="n">
        <v>1.02492</v>
      </c>
      <c r="I50" s="12" t="s">
        <v>2436</v>
      </c>
      <c r="J50" s="12" t="s">
        <v>2319</v>
      </c>
    </row>
    <row r="51" customFormat="false" ht="15" hidden="false" customHeight="false" outlineLevel="0" collapsed="false">
      <c r="A51" s="4" t="s">
        <v>2437</v>
      </c>
      <c r="B51" s="4" t="s">
        <v>2434</v>
      </c>
      <c r="C51" s="3" t="s">
        <v>2435</v>
      </c>
      <c r="D51" s="12" t="s">
        <v>2398</v>
      </c>
      <c r="E51" s="4" t="s">
        <v>2321</v>
      </c>
      <c r="F51" s="118" t="n">
        <v>0.404712</v>
      </c>
      <c r="G51" s="118" t="n">
        <v>0.672768</v>
      </c>
      <c r="H51" s="118" t="n">
        <v>1.02492</v>
      </c>
      <c r="I51" s="12" t="s">
        <v>2438</v>
      </c>
      <c r="J51" s="12" t="s">
        <v>2319</v>
      </c>
    </row>
    <row r="52" customFormat="false" ht="15" hidden="false" customHeight="false" outlineLevel="0" collapsed="false">
      <c r="A52" s="4" t="s">
        <v>2439</v>
      </c>
      <c r="B52" s="4" t="s">
        <v>2434</v>
      </c>
      <c r="C52" s="3" t="s">
        <v>2435</v>
      </c>
      <c r="D52" s="12" t="s">
        <v>2398</v>
      </c>
      <c r="E52" s="4" t="s">
        <v>2324</v>
      </c>
      <c r="F52" s="118" t="n">
        <v>0.404712</v>
      </c>
      <c r="G52" s="118" t="n">
        <v>0.672768</v>
      </c>
      <c r="H52" s="118" t="n">
        <v>1.02492</v>
      </c>
      <c r="I52" s="12" t="s">
        <v>2440</v>
      </c>
      <c r="J52" s="12" t="s">
        <v>2319</v>
      </c>
    </row>
    <row r="53" customFormat="false" ht="15" hidden="false" customHeight="false" outlineLevel="0" collapsed="false">
      <c r="A53" s="4" t="s">
        <v>2441</v>
      </c>
      <c r="B53" s="4" t="s">
        <v>2434</v>
      </c>
      <c r="C53" s="3" t="s">
        <v>2435</v>
      </c>
      <c r="D53" s="12" t="s">
        <v>2398</v>
      </c>
      <c r="E53" s="4" t="s">
        <v>2327</v>
      </c>
      <c r="F53" s="118" t="n">
        <v>0.404712</v>
      </c>
      <c r="G53" s="118" t="n">
        <v>0.672768</v>
      </c>
      <c r="H53" s="118" t="n">
        <v>1.02492</v>
      </c>
      <c r="I53" s="12" t="s">
        <v>2442</v>
      </c>
      <c r="J53" s="12" t="s">
        <v>2319</v>
      </c>
    </row>
    <row r="54" customFormat="false" ht="15" hidden="false" customHeight="false" outlineLevel="0" collapsed="false">
      <c r="A54" s="4" t="s">
        <v>2443</v>
      </c>
      <c r="B54" s="4" t="s">
        <v>2434</v>
      </c>
      <c r="C54" s="3" t="s">
        <v>2435</v>
      </c>
      <c r="D54" s="12" t="s">
        <v>2398</v>
      </c>
      <c r="E54" s="4" t="s">
        <v>2330</v>
      </c>
      <c r="F54" s="118" t="n">
        <v>0.404712</v>
      </c>
      <c r="G54" s="118" t="n">
        <v>0.672768</v>
      </c>
      <c r="H54" s="118" t="n">
        <v>1.02492</v>
      </c>
      <c r="I54" s="12" t="s">
        <v>2444</v>
      </c>
      <c r="J54" s="12" t="s">
        <v>2319</v>
      </c>
    </row>
    <row r="55" customFormat="false" ht="15" hidden="false" customHeight="false" outlineLevel="0" collapsed="false">
      <c r="A55" s="4" t="s">
        <v>2445</v>
      </c>
      <c r="B55" s="4" t="s">
        <v>2446</v>
      </c>
      <c r="C55" s="3" t="s">
        <v>2447</v>
      </c>
      <c r="D55" s="12" t="s">
        <v>77</v>
      </c>
      <c r="E55" s="4" t="s">
        <v>1861</v>
      </c>
      <c r="F55" s="119"/>
      <c r="G55" s="23" t="n">
        <v>0.6</v>
      </c>
      <c r="H55" s="119"/>
      <c r="I55" s="12" t="s">
        <v>2448</v>
      </c>
      <c r="J55" s="12" t="s">
        <v>2319</v>
      </c>
    </row>
    <row r="56" customFormat="false" ht="15" hidden="false" customHeight="false" outlineLevel="0" collapsed="false">
      <c r="A56" s="4" t="s">
        <v>2449</v>
      </c>
      <c r="B56" s="4" t="s">
        <v>2450</v>
      </c>
      <c r="C56" s="3" t="s">
        <v>2451</v>
      </c>
      <c r="D56" s="12" t="s">
        <v>2452</v>
      </c>
      <c r="E56" s="4" t="s">
        <v>1861</v>
      </c>
      <c r="F56" s="118" t="n">
        <v>10.212</v>
      </c>
      <c r="G56" s="118" t="n">
        <v>12.67</v>
      </c>
      <c r="H56" s="118" t="n">
        <v>16.186</v>
      </c>
      <c r="I56" s="12" t="s">
        <v>2453</v>
      </c>
      <c r="J56" s="12" t="s">
        <v>2319</v>
      </c>
    </row>
    <row r="57" customFormat="false" ht="15" hidden="false" customHeight="false" outlineLevel="0" collapsed="false">
      <c r="A57" s="4" t="s">
        <v>2454</v>
      </c>
      <c r="B57" s="4" t="s">
        <v>2455</v>
      </c>
      <c r="C57" s="3" t="s">
        <v>2456</v>
      </c>
      <c r="D57" s="12" t="s">
        <v>2423</v>
      </c>
      <c r="E57" s="4" t="s">
        <v>1861</v>
      </c>
      <c r="F57" s="118" t="n">
        <v>1.50422814430785</v>
      </c>
      <c r="G57" s="118" t="n">
        <v>2.00846099652078</v>
      </c>
      <c r="H57" s="118" t="n">
        <v>3.25756227849869</v>
      </c>
      <c r="I57" s="12" t="s">
        <v>2457</v>
      </c>
      <c r="J57" s="12" t="s">
        <v>2319</v>
      </c>
    </row>
    <row r="58" customFormat="false" ht="15" hidden="false" customHeight="false" outlineLevel="0" collapsed="false">
      <c r="A58" s="4" t="s">
        <v>2458</v>
      </c>
      <c r="B58" s="4" t="s">
        <v>2459</v>
      </c>
      <c r="C58" s="3" t="s">
        <v>2460</v>
      </c>
      <c r="D58" s="12" t="s">
        <v>2423</v>
      </c>
      <c r="E58" s="4" t="s">
        <v>1861</v>
      </c>
      <c r="F58" s="118" t="n">
        <v>1.97574392204647</v>
      </c>
      <c r="G58" s="118" t="n">
        <v>2.55178761329595</v>
      </c>
      <c r="H58" s="118" t="n">
        <v>4.34454282544458</v>
      </c>
      <c r="I58" s="12" t="s">
        <v>2461</v>
      </c>
      <c r="J58" s="12" t="s">
        <v>2319</v>
      </c>
    </row>
    <row r="59" customFormat="false" ht="15" hidden="false" customHeight="false" outlineLevel="0" collapsed="false">
      <c r="A59" s="4" t="s">
        <v>2462</v>
      </c>
      <c r="B59" s="4" t="s">
        <v>2463</v>
      </c>
      <c r="C59" s="4" t="s">
        <v>2464</v>
      </c>
      <c r="D59" s="12" t="s">
        <v>2465</v>
      </c>
      <c r="E59" s="4" t="s">
        <v>1861</v>
      </c>
      <c r="F59" s="118" t="n">
        <v>32.4824679759956</v>
      </c>
      <c r="G59" s="118" t="n">
        <v>48.7237019639935</v>
      </c>
      <c r="H59" s="118" t="n">
        <v>64.9649359519913</v>
      </c>
      <c r="I59" s="12" t="s">
        <v>2466</v>
      </c>
      <c r="J59" s="12" t="s">
        <v>2319</v>
      </c>
    </row>
    <row r="60" customFormat="false" ht="15" hidden="false" customHeight="false" outlineLevel="0" collapsed="false">
      <c r="A60" s="4" t="s">
        <v>2467</v>
      </c>
      <c r="B60" s="4" t="s">
        <v>2468</v>
      </c>
      <c r="C60" s="4" t="s">
        <v>2469</v>
      </c>
      <c r="D60" s="7" t="s">
        <v>254</v>
      </c>
      <c r="E60" s="4" t="s">
        <v>2317</v>
      </c>
      <c r="F60" s="118" t="n">
        <v>6</v>
      </c>
      <c r="G60" s="118" t="n">
        <v>6</v>
      </c>
      <c r="H60" s="118" t="n">
        <v>4</v>
      </c>
      <c r="I60" s="12" t="s">
        <v>2470</v>
      </c>
      <c r="J60" s="12" t="s">
        <v>2319</v>
      </c>
    </row>
    <row r="61" customFormat="false" ht="15" hidden="false" customHeight="false" outlineLevel="0" collapsed="false">
      <c r="A61" s="4" t="s">
        <v>2471</v>
      </c>
      <c r="B61" s="4" t="s">
        <v>2468</v>
      </c>
      <c r="C61" s="4" t="s">
        <v>2469</v>
      </c>
      <c r="D61" s="7" t="s">
        <v>254</v>
      </c>
      <c r="E61" s="4" t="s">
        <v>2321</v>
      </c>
      <c r="F61" s="118" t="n">
        <v>6</v>
      </c>
      <c r="G61" s="118" t="n">
        <v>6</v>
      </c>
      <c r="H61" s="118" t="n">
        <v>4</v>
      </c>
      <c r="I61" s="12" t="s">
        <v>2472</v>
      </c>
      <c r="J61" s="12" t="s">
        <v>2319</v>
      </c>
    </row>
    <row r="62" customFormat="false" ht="15" hidden="false" customHeight="false" outlineLevel="0" collapsed="false">
      <c r="A62" s="4" t="s">
        <v>2473</v>
      </c>
      <c r="B62" s="4" t="s">
        <v>2468</v>
      </c>
      <c r="C62" s="4" t="s">
        <v>2469</v>
      </c>
      <c r="D62" s="7" t="s">
        <v>254</v>
      </c>
      <c r="E62" s="4" t="s">
        <v>2324</v>
      </c>
      <c r="F62" s="118" t="n">
        <v>6</v>
      </c>
      <c r="G62" s="118" t="n">
        <v>6</v>
      </c>
      <c r="H62" s="118" t="n">
        <v>4</v>
      </c>
      <c r="I62" s="12" t="s">
        <v>2474</v>
      </c>
      <c r="J62" s="12" t="s">
        <v>2319</v>
      </c>
    </row>
    <row r="63" customFormat="false" ht="15" hidden="false" customHeight="false" outlineLevel="0" collapsed="false">
      <c r="A63" s="4" t="s">
        <v>2475</v>
      </c>
      <c r="B63" s="4" t="s">
        <v>2468</v>
      </c>
      <c r="C63" s="4" t="s">
        <v>2469</v>
      </c>
      <c r="D63" s="7" t="s">
        <v>254</v>
      </c>
      <c r="E63" s="4" t="s">
        <v>2327</v>
      </c>
      <c r="F63" s="118" t="n">
        <v>6</v>
      </c>
      <c r="G63" s="118" t="n">
        <v>6</v>
      </c>
      <c r="H63" s="118" t="n">
        <v>4</v>
      </c>
      <c r="I63" s="12" t="s">
        <v>2476</v>
      </c>
      <c r="J63" s="12" t="s">
        <v>2319</v>
      </c>
    </row>
    <row r="64" customFormat="false" ht="15" hidden="false" customHeight="false" outlineLevel="0" collapsed="false">
      <c r="A64" s="4" t="s">
        <v>2477</v>
      </c>
      <c r="B64" s="4" t="s">
        <v>2468</v>
      </c>
      <c r="C64" s="4" t="s">
        <v>2469</v>
      </c>
      <c r="D64" s="7" t="s">
        <v>254</v>
      </c>
      <c r="E64" s="4" t="s">
        <v>2330</v>
      </c>
      <c r="F64" s="118" t="n">
        <v>6</v>
      </c>
      <c r="G64" s="118" t="n">
        <v>6</v>
      </c>
      <c r="H64" s="118" t="n">
        <v>4</v>
      </c>
      <c r="I64" s="12" t="s">
        <v>2478</v>
      </c>
      <c r="J64" s="12" t="s">
        <v>2319</v>
      </c>
    </row>
    <row r="65" customFormat="false" ht="15" hidden="false" customHeight="false" outlineLevel="0" collapsed="false">
      <c r="A65" s="4" t="s">
        <v>2479</v>
      </c>
      <c r="B65" s="4" t="s">
        <v>2480</v>
      </c>
      <c r="C65" s="3" t="s">
        <v>2481</v>
      </c>
      <c r="D65" s="12" t="s">
        <v>2398</v>
      </c>
      <c r="E65" s="4" t="s">
        <v>2317</v>
      </c>
      <c r="F65" s="118" t="n">
        <v>3.5700449</v>
      </c>
      <c r="G65" s="118" t="n">
        <v>4.58503566666667</v>
      </c>
      <c r="H65" s="118" t="n">
        <v>8.53018585</v>
      </c>
      <c r="I65" s="12" t="s">
        <v>2482</v>
      </c>
      <c r="J65" s="12" t="s">
        <v>2319</v>
      </c>
    </row>
    <row r="66" customFormat="false" ht="15" hidden="false" customHeight="false" outlineLevel="0" collapsed="false">
      <c r="A66" s="4" t="s">
        <v>2483</v>
      </c>
      <c r="B66" s="4" t="s">
        <v>2480</v>
      </c>
      <c r="C66" s="3" t="s">
        <v>2481</v>
      </c>
      <c r="D66" s="12" t="s">
        <v>2398</v>
      </c>
      <c r="E66" s="4" t="s">
        <v>2321</v>
      </c>
      <c r="F66" s="118" t="n">
        <v>3.4398984</v>
      </c>
      <c r="G66" s="118" t="n">
        <v>4.002529</v>
      </c>
      <c r="H66" s="118" t="n">
        <v>6.9125511</v>
      </c>
      <c r="I66" s="12" t="s">
        <v>2484</v>
      </c>
      <c r="J66" s="12" t="s">
        <v>2319</v>
      </c>
    </row>
    <row r="67" customFormat="false" ht="15" hidden="false" customHeight="false" outlineLevel="0" collapsed="false">
      <c r="A67" s="4" t="s">
        <v>2485</v>
      </c>
      <c r="B67" s="4" t="s">
        <v>2480</v>
      </c>
      <c r="C67" s="3" t="s">
        <v>2481</v>
      </c>
      <c r="D67" s="12" t="s">
        <v>2398</v>
      </c>
      <c r="E67" s="4" t="s">
        <v>2324</v>
      </c>
      <c r="F67" s="118" t="n">
        <v>4.7591504</v>
      </c>
      <c r="G67" s="118" t="n">
        <v>5.37287066666667</v>
      </c>
      <c r="H67" s="118" t="n">
        <v>9.8206516</v>
      </c>
      <c r="I67" s="12" t="s">
        <v>2486</v>
      </c>
      <c r="J67" s="12" t="s">
        <v>2319</v>
      </c>
    </row>
    <row r="68" customFormat="false" ht="15" hidden="false" customHeight="false" outlineLevel="0" collapsed="false">
      <c r="A68" s="4" t="s">
        <v>2487</v>
      </c>
      <c r="B68" s="4" t="s">
        <v>2480</v>
      </c>
      <c r="C68" s="3" t="s">
        <v>2481</v>
      </c>
      <c r="D68" s="12" t="s">
        <v>2398</v>
      </c>
      <c r="E68" s="4" t="s">
        <v>2327</v>
      </c>
      <c r="F68" s="118" t="n">
        <v>5.5455672</v>
      </c>
      <c r="G68" s="118" t="n">
        <v>6.264392</v>
      </c>
      <c r="H68" s="118" t="n">
        <v>10.6593938</v>
      </c>
      <c r="I68" s="12" t="s">
        <v>2488</v>
      </c>
      <c r="J68" s="12" t="s">
        <v>2319</v>
      </c>
    </row>
    <row r="69" customFormat="false" ht="15" hidden="false" customHeight="false" outlineLevel="0" collapsed="false">
      <c r="A69" s="4" t="s">
        <v>2489</v>
      </c>
      <c r="B69" s="4" t="s">
        <v>2480</v>
      </c>
      <c r="C69" s="3" t="s">
        <v>2481</v>
      </c>
      <c r="D69" s="12" t="s">
        <v>2398</v>
      </c>
      <c r="E69" s="4" t="s">
        <v>2330</v>
      </c>
      <c r="F69" s="118" t="n">
        <v>5.974263</v>
      </c>
      <c r="G69" s="118" t="n">
        <v>8.34763</v>
      </c>
      <c r="H69" s="118" t="n">
        <v>16.3703895</v>
      </c>
      <c r="I69" s="12" t="s">
        <v>2490</v>
      </c>
      <c r="J69" s="12" t="s">
        <v>2319</v>
      </c>
    </row>
    <row r="70" customFormat="false" ht="15" hidden="false" customHeight="false" outlineLevel="0" collapsed="false">
      <c r="A70" s="4" t="s">
        <v>2491</v>
      </c>
      <c r="B70" s="4" t="s">
        <v>2492</v>
      </c>
      <c r="C70" s="3" t="s">
        <v>2493</v>
      </c>
      <c r="D70" s="12" t="s">
        <v>2398</v>
      </c>
      <c r="E70" s="4" t="s">
        <v>2317</v>
      </c>
      <c r="F70" s="118" t="n">
        <v>0.507733333333333</v>
      </c>
      <c r="G70" s="118" t="n">
        <v>0.634416666666667</v>
      </c>
      <c r="H70" s="118" t="n">
        <v>0.812233333333334</v>
      </c>
      <c r="I70" s="12" t="s">
        <v>2494</v>
      </c>
      <c r="J70" s="12" t="s">
        <v>2319</v>
      </c>
    </row>
    <row r="71" customFormat="false" ht="15" hidden="false" customHeight="false" outlineLevel="0" collapsed="false">
      <c r="A71" s="4" t="s">
        <v>2495</v>
      </c>
      <c r="B71" s="4" t="s">
        <v>2492</v>
      </c>
      <c r="C71" s="3" t="s">
        <v>2493</v>
      </c>
      <c r="D71" s="12" t="s">
        <v>2398</v>
      </c>
      <c r="E71" s="4" t="s">
        <v>2321</v>
      </c>
      <c r="F71" s="118" t="n">
        <v>0.507733333333333</v>
      </c>
      <c r="G71" s="118" t="n">
        <v>0.634416666666667</v>
      </c>
      <c r="H71" s="118" t="n">
        <v>0.812233333333334</v>
      </c>
      <c r="I71" s="12" t="s">
        <v>2496</v>
      </c>
      <c r="J71" s="12" t="s">
        <v>2319</v>
      </c>
    </row>
    <row r="72" customFormat="false" ht="15" hidden="false" customHeight="false" outlineLevel="0" collapsed="false">
      <c r="A72" s="4" t="s">
        <v>2497</v>
      </c>
      <c r="B72" s="4" t="s">
        <v>2492</v>
      </c>
      <c r="C72" s="3" t="s">
        <v>2493</v>
      </c>
      <c r="D72" s="12" t="s">
        <v>2398</v>
      </c>
      <c r="E72" s="4" t="s">
        <v>2324</v>
      </c>
      <c r="F72" s="118" t="n">
        <v>0.507733333333333</v>
      </c>
      <c r="G72" s="118" t="n">
        <v>0.634416666666667</v>
      </c>
      <c r="H72" s="118" t="n">
        <v>0.812233333333334</v>
      </c>
      <c r="I72" s="12" t="s">
        <v>2498</v>
      </c>
      <c r="J72" s="12" t="s">
        <v>2319</v>
      </c>
    </row>
    <row r="73" customFormat="false" ht="15" hidden="false" customHeight="false" outlineLevel="0" collapsed="false">
      <c r="A73" s="4" t="s">
        <v>2499</v>
      </c>
      <c r="B73" s="4" t="s">
        <v>2492</v>
      </c>
      <c r="C73" s="3" t="s">
        <v>2493</v>
      </c>
      <c r="D73" s="12" t="s">
        <v>2398</v>
      </c>
      <c r="E73" s="4" t="s">
        <v>2327</v>
      </c>
      <c r="F73" s="118" t="n">
        <v>0.507733333333333</v>
      </c>
      <c r="G73" s="118" t="n">
        <v>0.634416666666667</v>
      </c>
      <c r="H73" s="118" t="n">
        <v>0.812233333333334</v>
      </c>
      <c r="I73" s="12" t="s">
        <v>2500</v>
      </c>
      <c r="J73" s="12" t="s">
        <v>2319</v>
      </c>
    </row>
    <row r="74" customFormat="false" ht="15" hidden="false" customHeight="false" outlineLevel="0" collapsed="false">
      <c r="A74" s="4" t="s">
        <v>2501</v>
      </c>
      <c r="B74" s="4" t="s">
        <v>2492</v>
      </c>
      <c r="C74" s="3" t="s">
        <v>2493</v>
      </c>
      <c r="D74" s="12" t="s">
        <v>2398</v>
      </c>
      <c r="E74" s="4" t="s">
        <v>2330</v>
      </c>
      <c r="F74" s="118" t="n">
        <v>0.507733333333333</v>
      </c>
      <c r="G74" s="118" t="n">
        <v>0.634416666666667</v>
      </c>
      <c r="H74" s="118" t="n">
        <v>0.812233333333334</v>
      </c>
      <c r="I74" s="12" t="s">
        <v>2502</v>
      </c>
      <c r="J74" s="12" t="s">
        <v>2319</v>
      </c>
    </row>
    <row r="75" customFormat="false" ht="15" hidden="false" customHeight="false" outlineLevel="0" collapsed="false">
      <c r="A75" s="4" t="s">
        <v>2503</v>
      </c>
      <c r="B75" s="4" t="s">
        <v>2504</v>
      </c>
      <c r="C75" s="3" t="s">
        <v>2505</v>
      </c>
      <c r="D75" s="12" t="s">
        <v>77</v>
      </c>
      <c r="E75" s="4" t="s">
        <v>2317</v>
      </c>
      <c r="F75" s="23" t="n">
        <v>0.7</v>
      </c>
      <c r="G75" s="23" t="n">
        <v>0.8</v>
      </c>
      <c r="H75" s="23" t="n">
        <v>0.9</v>
      </c>
      <c r="I75" s="12" t="s">
        <v>2506</v>
      </c>
      <c r="J75" s="12" t="s">
        <v>2319</v>
      </c>
    </row>
    <row r="76" customFormat="false" ht="15" hidden="false" customHeight="false" outlineLevel="0" collapsed="false">
      <c r="A76" s="4" t="s">
        <v>2507</v>
      </c>
      <c r="B76" s="4" t="s">
        <v>2504</v>
      </c>
      <c r="C76" s="3" t="s">
        <v>2505</v>
      </c>
      <c r="D76" s="12" t="s">
        <v>77</v>
      </c>
      <c r="E76" s="4" t="s">
        <v>2321</v>
      </c>
      <c r="F76" s="23" t="n">
        <v>0.7</v>
      </c>
      <c r="G76" s="23" t="n">
        <v>0.8</v>
      </c>
      <c r="H76" s="23" t="n">
        <v>0.9</v>
      </c>
      <c r="I76" s="12" t="s">
        <v>2508</v>
      </c>
      <c r="J76" s="12" t="s">
        <v>2319</v>
      </c>
    </row>
    <row r="77" customFormat="false" ht="15" hidden="false" customHeight="false" outlineLevel="0" collapsed="false">
      <c r="A77" s="4" t="s">
        <v>2509</v>
      </c>
      <c r="B77" s="4" t="s">
        <v>2504</v>
      </c>
      <c r="C77" s="3" t="s">
        <v>2505</v>
      </c>
      <c r="D77" s="12" t="s">
        <v>77</v>
      </c>
      <c r="E77" s="4" t="s">
        <v>2324</v>
      </c>
      <c r="F77" s="23" t="n">
        <v>0.7</v>
      </c>
      <c r="G77" s="23" t="n">
        <v>0.8</v>
      </c>
      <c r="H77" s="23" t="n">
        <v>0.9</v>
      </c>
      <c r="I77" s="12" t="s">
        <v>2510</v>
      </c>
      <c r="J77" s="12" t="s">
        <v>2319</v>
      </c>
    </row>
    <row r="78" customFormat="false" ht="15" hidden="false" customHeight="false" outlineLevel="0" collapsed="false">
      <c r="A78" s="4" t="s">
        <v>2511</v>
      </c>
      <c r="B78" s="4" t="s">
        <v>2504</v>
      </c>
      <c r="C78" s="3" t="s">
        <v>2505</v>
      </c>
      <c r="D78" s="12" t="s">
        <v>77</v>
      </c>
      <c r="E78" s="4" t="s">
        <v>2327</v>
      </c>
      <c r="F78" s="23" t="n">
        <v>0.7</v>
      </c>
      <c r="G78" s="23" t="n">
        <v>0.8</v>
      </c>
      <c r="H78" s="23" t="n">
        <v>0.9</v>
      </c>
      <c r="I78" s="12" t="s">
        <v>2512</v>
      </c>
      <c r="J78" s="12" t="s">
        <v>2319</v>
      </c>
    </row>
    <row r="79" customFormat="false" ht="15" hidden="false" customHeight="false" outlineLevel="0" collapsed="false">
      <c r="A79" s="4" t="s">
        <v>2513</v>
      </c>
      <c r="B79" s="4" t="s">
        <v>2504</v>
      </c>
      <c r="C79" s="3" t="s">
        <v>2505</v>
      </c>
      <c r="D79" s="12" t="s">
        <v>77</v>
      </c>
      <c r="E79" s="4" t="s">
        <v>2330</v>
      </c>
      <c r="F79" s="23" t="n">
        <v>0.7</v>
      </c>
      <c r="G79" s="23" t="n">
        <v>0.8</v>
      </c>
      <c r="H79" s="23" t="n">
        <v>0.9</v>
      </c>
      <c r="I79" s="12" t="s">
        <v>2514</v>
      </c>
      <c r="J79" s="12" t="s">
        <v>2319</v>
      </c>
    </row>
    <row r="80" customFormat="false" ht="15" hidden="false" customHeight="false" outlineLevel="0" collapsed="false">
      <c r="A80" s="4" t="s">
        <v>2515</v>
      </c>
      <c r="B80" s="4" t="s">
        <v>2516</v>
      </c>
      <c r="C80" s="3" t="s">
        <v>391</v>
      </c>
      <c r="D80" s="12" t="s">
        <v>2517</v>
      </c>
      <c r="E80" s="4" t="s">
        <v>2317</v>
      </c>
      <c r="F80" s="118" t="n">
        <v>0.06</v>
      </c>
      <c r="G80" s="118" t="n">
        <v>0.08</v>
      </c>
      <c r="H80" s="118" t="n">
        <v>0.1</v>
      </c>
      <c r="I80" s="12" t="s">
        <v>2518</v>
      </c>
      <c r="J80" s="12" t="s">
        <v>2319</v>
      </c>
    </row>
    <row r="81" customFormat="false" ht="15" hidden="false" customHeight="false" outlineLevel="0" collapsed="false">
      <c r="A81" s="4" t="s">
        <v>2519</v>
      </c>
      <c r="B81" s="4" t="s">
        <v>2516</v>
      </c>
      <c r="C81" s="3" t="s">
        <v>391</v>
      </c>
      <c r="D81" s="12" t="s">
        <v>2517</v>
      </c>
      <c r="E81" s="4" t="s">
        <v>2321</v>
      </c>
      <c r="F81" s="118" t="n">
        <v>0.06</v>
      </c>
      <c r="G81" s="118" t="n">
        <v>0.08</v>
      </c>
      <c r="H81" s="118" t="n">
        <v>0.1</v>
      </c>
      <c r="I81" s="12" t="s">
        <v>2520</v>
      </c>
      <c r="J81" s="12" t="s">
        <v>2319</v>
      </c>
    </row>
    <row r="82" customFormat="false" ht="15" hidden="false" customHeight="false" outlineLevel="0" collapsed="false">
      <c r="A82" s="4" t="s">
        <v>2521</v>
      </c>
      <c r="B82" s="4" t="s">
        <v>2516</v>
      </c>
      <c r="C82" s="3" t="s">
        <v>391</v>
      </c>
      <c r="D82" s="12" t="s">
        <v>2517</v>
      </c>
      <c r="E82" s="4" t="s">
        <v>2324</v>
      </c>
      <c r="F82" s="118" t="n">
        <v>0.06</v>
      </c>
      <c r="G82" s="118" t="n">
        <v>0.08</v>
      </c>
      <c r="H82" s="118" t="n">
        <v>0.1</v>
      </c>
      <c r="I82" s="12" t="s">
        <v>2522</v>
      </c>
      <c r="J82" s="12" t="s">
        <v>2319</v>
      </c>
    </row>
    <row r="83" customFormat="false" ht="15" hidden="false" customHeight="false" outlineLevel="0" collapsed="false">
      <c r="A83" s="4" t="s">
        <v>2523</v>
      </c>
      <c r="B83" s="4" t="s">
        <v>2516</v>
      </c>
      <c r="C83" s="3" t="s">
        <v>391</v>
      </c>
      <c r="D83" s="12" t="s">
        <v>2517</v>
      </c>
      <c r="E83" s="4" t="s">
        <v>2327</v>
      </c>
      <c r="F83" s="118" t="n">
        <v>0.06</v>
      </c>
      <c r="G83" s="118" t="n">
        <v>0.08</v>
      </c>
      <c r="H83" s="118" t="n">
        <v>0.1</v>
      </c>
      <c r="I83" s="12" t="s">
        <v>2524</v>
      </c>
      <c r="J83" s="12" t="s">
        <v>2319</v>
      </c>
    </row>
    <row r="84" customFormat="false" ht="15" hidden="false" customHeight="false" outlineLevel="0" collapsed="false">
      <c r="A84" s="4" t="s">
        <v>2525</v>
      </c>
      <c r="B84" s="4" t="s">
        <v>2516</v>
      </c>
      <c r="C84" s="3" t="s">
        <v>391</v>
      </c>
      <c r="D84" s="12" t="s">
        <v>2517</v>
      </c>
      <c r="E84" s="4" t="s">
        <v>2330</v>
      </c>
      <c r="F84" s="118" t="n">
        <v>0.06</v>
      </c>
      <c r="G84" s="118" t="n">
        <v>0.08</v>
      </c>
      <c r="H84" s="118" t="n">
        <v>0.1</v>
      </c>
      <c r="I84" s="12" t="s">
        <v>2526</v>
      </c>
      <c r="J84" s="12" t="s">
        <v>2319</v>
      </c>
    </row>
    <row r="85" customFormat="false" ht="15" hidden="false" customHeight="false" outlineLevel="0" collapsed="false">
      <c r="A85" s="4" t="s">
        <v>2527</v>
      </c>
      <c r="B85" s="4" t="s">
        <v>2528</v>
      </c>
      <c r="C85" s="3" t="s">
        <v>2529</v>
      </c>
      <c r="D85" s="12" t="s">
        <v>2398</v>
      </c>
      <c r="E85" s="4" t="s">
        <v>2317</v>
      </c>
      <c r="F85" s="118" t="n">
        <v>0.219436730882534</v>
      </c>
      <c r="G85" s="118" t="n">
        <v>0.43259841019734</v>
      </c>
      <c r="H85" s="118" t="n">
        <v>0.6226274060112</v>
      </c>
      <c r="I85" s="12" t="s">
        <v>2530</v>
      </c>
      <c r="J85" s="12" t="s">
        <v>2319</v>
      </c>
    </row>
    <row r="86" customFormat="false" ht="15" hidden="false" customHeight="false" outlineLevel="0" collapsed="false">
      <c r="A86" s="4" t="s">
        <v>2531</v>
      </c>
      <c r="B86" s="4" t="s">
        <v>2528</v>
      </c>
      <c r="C86" s="3" t="s">
        <v>2529</v>
      </c>
      <c r="D86" s="12" t="s">
        <v>2398</v>
      </c>
      <c r="E86" s="4" t="s">
        <v>2321</v>
      </c>
      <c r="F86" s="118" t="n">
        <v>0.211437133315623</v>
      </c>
      <c r="G86" s="118" t="n">
        <v>0.377638868712999</v>
      </c>
      <c r="H86" s="118" t="n">
        <v>0.504554512175472</v>
      </c>
      <c r="I86" s="12" t="s">
        <v>2532</v>
      </c>
      <c r="J86" s="12" t="s">
        <v>2319</v>
      </c>
    </row>
    <row r="87" customFormat="false" ht="15" hidden="false" customHeight="false" outlineLevel="0" collapsed="false">
      <c r="A87" s="4" t="s">
        <v>2533</v>
      </c>
      <c r="B87" s="4" t="s">
        <v>2528</v>
      </c>
      <c r="C87" s="3" t="s">
        <v>2529</v>
      </c>
      <c r="D87" s="12" t="s">
        <v>2398</v>
      </c>
      <c r="E87" s="4" t="s">
        <v>2324</v>
      </c>
      <c r="F87" s="118" t="n">
        <v>0.292526406475813</v>
      </c>
      <c r="G87" s="118" t="n">
        <v>0.506930693144573</v>
      </c>
      <c r="H87" s="118" t="n">
        <v>0.716819883947515</v>
      </c>
      <c r="I87" s="12" t="s">
        <v>2534</v>
      </c>
      <c r="J87" s="12" t="s">
        <v>2319</v>
      </c>
    </row>
    <row r="88" customFormat="false" ht="15" hidden="false" customHeight="false" outlineLevel="0" collapsed="false">
      <c r="A88" s="4" t="s">
        <v>2535</v>
      </c>
      <c r="B88" s="4" t="s">
        <v>2528</v>
      </c>
      <c r="C88" s="3" t="s">
        <v>2529</v>
      </c>
      <c r="D88" s="12" t="s">
        <v>2398</v>
      </c>
      <c r="E88" s="4" t="s">
        <v>2327</v>
      </c>
      <c r="F88" s="118" t="n">
        <v>0.340864378836638</v>
      </c>
      <c r="G88" s="118" t="n">
        <v>0.591045788314028</v>
      </c>
      <c r="H88" s="118" t="n">
        <v>0.778040575909124</v>
      </c>
      <c r="I88" s="12" t="s">
        <v>2536</v>
      </c>
      <c r="J88" s="12" t="s">
        <v>2319</v>
      </c>
    </row>
    <row r="89" customFormat="false" ht="15" hidden="false" customHeight="false" outlineLevel="0" collapsed="false">
      <c r="A89" s="4" t="s">
        <v>2537</v>
      </c>
      <c r="B89" s="4" t="s">
        <v>2528</v>
      </c>
      <c r="C89" s="3" t="s">
        <v>2529</v>
      </c>
      <c r="D89" s="12" t="s">
        <v>2398</v>
      </c>
      <c r="E89" s="4" t="s">
        <v>2330</v>
      </c>
      <c r="F89" s="118" t="n">
        <v>0.367214637035091</v>
      </c>
      <c r="G89" s="118" t="n">
        <v>0.787599427670528</v>
      </c>
      <c r="H89" s="118" t="n">
        <v>1.19489227186978</v>
      </c>
      <c r="I89" s="12" t="s">
        <v>2538</v>
      </c>
      <c r="J89" s="12" t="s">
        <v>2319</v>
      </c>
    </row>
    <row r="90" customFormat="false" ht="15" hidden="false" customHeight="false" outlineLevel="0" collapsed="false">
      <c r="A90" s="4" t="s">
        <v>2539</v>
      </c>
      <c r="B90" s="4" t="s">
        <v>2540</v>
      </c>
      <c r="C90" s="3" t="s">
        <v>2541</v>
      </c>
      <c r="D90" s="12" t="s">
        <v>2398</v>
      </c>
      <c r="E90" s="4" t="s">
        <v>2317</v>
      </c>
      <c r="F90" s="118" t="n">
        <v>0.15318</v>
      </c>
      <c r="G90" s="118" t="n">
        <v>0.2534</v>
      </c>
      <c r="H90" s="118" t="n">
        <v>0.40465</v>
      </c>
      <c r="I90" s="12" t="s">
        <v>2542</v>
      </c>
      <c r="J90" s="12" t="s">
        <v>2319</v>
      </c>
    </row>
    <row r="91" customFormat="false" ht="15" hidden="false" customHeight="false" outlineLevel="0" collapsed="false">
      <c r="A91" s="4" t="s">
        <v>2543</v>
      </c>
      <c r="B91" s="4" t="s">
        <v>2540</v>
      </c>
      <c r="C91" s="3" t="s">
        <v>2541</v>
      </c>
      <c r="D91" s="12" t="s">
        <v>2398</v>
      </c>
      <c r="E91" s="4" t="s">
        <v>2321</v>
      </c>
      <c r="F91" s="118" t="n">
        <v>0.15318</v>
      </c>
      <c r="G91" s="118" t="n">
        <v>0.2534</v>
      </c>
      <c r="H91" s="118" t="n">
        <v>0.40465</v>
      </c>
      <c r="I91" s="12" t="s">
        <v>2544</v>
      </c>
      <c r="J91" s="12" t="s">
        <v>2319</v>
      </c>
    </row>
    <row r="92" customFormat="false" ht="15" hidden="false" customHeight="false" outlineLevel="0" collapsed="false">
      <c r="A92" s="4" t="s">
        <v>2545</v>
      </c>
      <c r="B92" s="4" t="s">
        <v>2540</v>
      </c>
      <c r="C92" s="3" t="s">
        <v>2541</v>
      </c>
      <c r="D92" s="12" t="s">
        <v>2398</v>
      </c>
      <c r="E92" s="4" t="s">
        <v>2324</v>
      </c>
      <c r="F92" s="118" t="n">
        <v>0.15318</v>
      </c>
      <c r="G92" s="118" t="n">
        <v>0.2534</v>
      </c>
      <c r="H92" s="118" t="n">
        <v>0.40465</v>
      </c>
      <c r="I92" s="12" t="s">
        <v>2546</v>
      </c>
      <c r="J92" s="12" t="s">
        <v>2319</v>
      </c>
    </row>
    <row r="93" customFormat="false" ht="15" hidden="false" customHeight="false" outlineLevel="0" collapsed="false">
      <c r="A93" s="4" t="s">
        <v>2547</v>
      </c>
      <c r="B93" s="4" t="s">
        <v>2540</v>
      </c>
      <c r="C93" s="3" t="s">
        <v>2541</v>
      </c>
      <c r="D93" s="12" t="s">
        <v>2398</v>
      </c>
      <c r="E93" s="4" t="s">
        <v>2327</v>
      </c>
      <c r="F93" s="118" t="n">
        <v>0.15318</v>
      </c>
      <c r="G93" s="118" t="n">
        <v>0.2534</v>
      </c>
      <c r="H93" s="118" t="n">
        <v>0.40465</v>
      </c>
      <c r="I93" s="12" t="s">
        <v>2548</v>
      </c>
      <c r="J93" s="12" t="s">
        <v>2319</v>
      </c>
    </row>
    <row r="94" customFormat="false" ht="15" hidden="false" customHeight="false" outlineLevel="0" collapsed="false">
      <c r="A94" s="4" t="s">
        <v>2549</v>
      </c>
      <c r="B94" s="4" t="s">
        <v>2540</v>
      </c>
      <c r="C94" s="3" t="s">
        <v>2541</v>
      </c>
      <c r="D94" s="12" t="s">
        <v>2398</v>
      </c>
      <c r="E94" s="4" t="s">
        <v>2330</v>
      </c>
      <c r="F94" s="118" t="n">
        <v>0.15318</v>
      </c>
      <c r="G94" s="118" t="n">
        <v>0.2534</v>
      </c>
      <c r="H94" s="118" t="n">
        <v>0.40465</v>
      </c>
      <c r="I94" s="12" t="s">
        <v>2550</v>
      </c>
      <c r="J94" s="12" t="s">
        <v>2319</v>
      </c>
    </row>
    <row r="95" customFormat="false" ht="15" hidden="false" customHeight="false" outlineLevel="0" collapsed="false">
      <c r="A95" s="4" t="s">
        <v>2551</v>
      </c>
      <c r="B95" s="4" t="s">
        <v>1616</v>
      </c>
      <c r="C95" s="3" t="s">
        <v>2552</v>
      </c>
      <c r="D95" s="12" t="s">
        <v>2398</v>
      </c>
      <c r="E95" s="4" t="s">
        <v>2317</v>
      </c>
      <c r="F95" s="118" t="n">
        <v>0.24</v>
      </c>
      <c r="G95" s="118" t="n">
        <v>0.325</v>
      </c>
      <c r="H95" s="118" t="n">
        <v>0.41</v>
      </c>
      <c r="I95" s="12" t="s">
        <v>2553</v>
      </c>
      <c r="J95" s="12" t="s">
        <v>2319</v>
      </c>
    </row>
    <row r="96" customFormat="false" ht="15" hidden="false" customHeight="false" outlineLevel="0" collapsed="false">
      <c r="A96" s="4" t="s">
        <v>2554</v>
      </c>
      <c r="B96" s="4" t="s">
        <v>1616</v>
      </c>
      <c r="C96" s="3" t="s">
        <v>2552</v>
      </c>
      <c r="D96" s="12" t="s">
        <v>2398</v>
      </c>
      <c r="E96" s="4" t="s">
        <v>2321</v>
      </c>
      <c r="F96" s="118" t="n">
        <v>0.24</v>
      </c>
      <c r="G96" s="118" t="n">
        <v>0.325</v>
      </c>
      <c r="H96" s="118" t="n">
        <v>0.41</v>
      </c>
      <c r="I96" s="12" t="s">
        <v>2555</v>
      </c>
      <c r="J96" s="12" t="s">
        <v>2319</v>
      </c>
    </row>
    <row r="97" customFormat="false" ht="15" hidden="false" customHeight="false" outlineLevel="0" collapsed="false">
      <c r="A97" s="4" t="s">
        <v>2556</v>
      </c>
      <c r="B97" s="4" t="s">
        <v>1616</v>
      </c>
      <c r="C97" s="3" t="s">
        <v>2552</v>
      </c>
      <c r="D97" s="12" t="s">
        <v>2398</v>
      </c>
      <c r="E97" s="4" t="s">
        <v>2324</v>
      </c>
      <c r="F97" s="118" t="n">
        <v>0.24</v>
      </c>
      <c r="G97" s="118" t="n">
        <v>0.325</v>
      </c>
      <c r="H97" s="118" t="n">
        <v>0.41</v>
      </c>
      <c r="I97" s="12" t="s">
        <v>2557</v>
      </c>
      <c r="J97" s="12" t="s">
        <v>2319</v>
      </c>
    </row>
    <row r="98" customFormat="false" ht="15" hidden="false" customHeight="false" outlineLevel="0" collapsed="false">
      <c r="A98" s="4" t="s">
        <v>2558</v>
      </c>
      <c r="B98" s="4" t="s">
        <v>1616</v>
      </c>
      <c r="C98" s="3" t="s">
        <v>2552</v>
      </c>
      <c r="D98" s="12" t="s">
        <v>2398</v>
      </c>
      <c r="E98" s="4" t="s">
        <v>2327</v>
      </c>
      <c r="F98" s="118" t="n">
        <v>0.24</v>
      </c>
      <c r="G98" s="118" t="n">
        <v>0.325</v>
      </c>
      <c r="H98" s="118" t="n">
        <v>0.41</v>
      </c>
      <c r="I98" s="12" t="s">
        <v>2559</v>
      </c>
      <c r="J98" s="12" t="s">
        <v>2319</v>
      </c>
    </row>
    <row r="99" customFormat="false" ht="15" hidden="false" customHeight="false" outlineLevel="0" collapsed="false">
      <c r="A99" s="4" t="s">
        <v>2560</v>
      </c>
      <c r="B99" s="4" t="s">
        <v>1616</v>
      </c>
      <c r="C99" s="3" t="s">
        <v>2552</v>
      </c>
      <c r="D99" s="12" t="s">
        <v>2398</v>
      </c>
      <c r="E99" s="4" t="s">
        <v>2330</v>
      </c>
      <c r="F99" s="118" t="n">
        <v>0.24</v>
      </c>
      <c r="G99" s="118" t="n">
        <v>0.325</v>
      </c>
      <c r="H99" s="118" t="n">
        <v>0.41</v>
      </c>
      <c r="I99" s="12" t="s">
        <v>2561</v>
      </c>
      <c r="J99" s="12" t="s">
        <v>2319</v>
      </c>
    </row>
    <row r="100" customFormat="false" ht="15" hidden="false" customHeight="false" outlineLevel="0" collapsed="false">
      <c r="A100" s="4" t="s">
        <v>2562</v>
      </c>
      <c r="B100" s="4" t="s">
        <v>2563</v>
      </c>
      <c r="C100" s="3" t="s">
        <v>2564</v>
      </c>
      <c r="D100" s="12" t="s">
        <v>2398</v>
      </c>
      <c r="E100" s="4" t="s">
        <v>2317</v>
      </c>
      <c r="F100" s="118" t="n">
        <v>0.0948968082</v>
      </c>
      <c r="G100" s="118" t="n">
        <v>0.20090107</v>
      </c>
      <c r="H100" s="118" t="n">
        <v>0.4024539472</v>
      </c>
      <c r="I100" s="12" t="s">
        <v>2565</v>
      </c>
      <c r="J100" s="12" t="s">
        <v>2319</v>
      </c>
    </row>
    <row r="101" customFormat="false" ht="15" hidden="false" customHeight="false" outlineLevel="0" collapsed="false">
      <c r="A101" s="4" t="s">
        <v>2566</v>
      </c>
      <c r="B101" s="4" t="s">
        <v>2563</v>
      </c>
      <c r="C101" s="3" t="s">
        <v>2564</v>
      </c>
      <c r="D101" s="12" t="s">
        <v>2398</v>
      </c>
      <c r="E101" s="4" t="s">
        <v>2321</v>
      </c>
      <c r="F101" s="118" t="n">
        <v>0.0925541712</v>
      </c>
      <c r="G101" s="118" t="n">
        <v>0.18342587</v>
      </c>
      <c r="H101" s="118" t="n">
        <v>0.3506896352</v>
      </c>
      <c r="I101" s="12" t="s">
        <v>2567</v>
      </c>
      <c r="J101" s="12" t="s">
        <v>2319</v>
      </c>
    </row>
    <row r="102" customFormat="false" ht="15" hidden="false" customHeight="false" outlineLevel="0" collapsed="false">
      <c r="A102" s="4" t="s">
        <v>2568</v>
      </c>
      <c r="B102" s="4" t="s">
        <v>2563</v>
      </c>
      <c r="C102" s="3" t="s">
        <v>2564</v>
      </c>
      <c r="D102" s="12" t="s">
        <v>2398</v>
      </c>
      <c r="E102" s="4" t="s">
        <v>2324</v>
      </c>
      <c r="F102" s="118" t="n">
        <v>0.1163007072</v>
      </c>
      <c r="G102" s="118" t="n">
        <v>0.22453612</v>
      </c>
      <c r="H102" s="118" t="n">
        <v>0.4437488512</v>
      </c>
      <c r="I102" s="12" t="s">
        <v>2569</v>
      </c>
      <c r="J102" s="12" t="s">
        <v>2319</v>
      </c>
    </row>
    <row r="103" customFormat="false" ht="15" hidden="false" customHeight="false" outlineLevel="0" collapsed="false">
      <c r="A103" s="4" t="s">
        <v>2570</v>
      </c>
      <c r="B103" s="4" t="s">
        <v>2563</v>
      </c>
      <c r="C103" s="3" t="s">
        <v>2564</v>
      </c>
      <c r="D103" s="12" t="s">
        <v>2398</v>
      </c>
      <c r="E103" s="4" t="s">
        <v>2327</v>
      </c>
      <c r="F103" s="118" t="n">
        <v>0.1304562096</v>
      </c>
      <c r="G103" s="118" t="n">
        <v>0.25128176</v>
      </c>
      <c r="H103" s="118" t="n">
        <v>0.4705886016</v>
      </c>
      <c r="I103" s="12" t="s">
        <v>2571</v>
      </c>
      <c r="J103" s="12" t="s">
        <v>2319</v>
      </c>
    </row>
    <row r="104" customFormat="false" ht="15" hidden="false" customHeight="false" outlineLevel="0" collapsed="false">
      <c r="A104" s="4" t="s">
        <v>2572</v>
      </c>
      <c r="B104" s="4" t="s">
        <v>2563</v>
      </c>
      <c r="C104" s="3" t="s">
        <v>2564</v>
      </c>
      <c r="D104" s="12" t="s">
        <v>2398</v>
      </c>
      <c r="E104" s="4" t="s">
        <v>2330</v>
      </c>
      <c r="F104" s="118" t="n">
        <v>0.138172734</v>
      </c>
      <c r="G104" s="118" t="n">
        <v>0.3137789</v>
      </c>
      <c r="H104" s="118" t="n">
        <v>0.653340464</v>
      </c>
      <c r="I104" s="12" t="s">
        <v>2573</v>
      </c>
      <c r="J104" s="12" t="s">
        <v>2319</v>
      </c>
    </row>
    <row r="105" customFormat="false" ht="15" hidden="false" customHeight="false" outlineLevel="0" collapsed="false">
      <c r="A105" s="4" t="s">
        <v>2574</v>
      </c>
      <c r="B105" s="4" t="s">
        <v>2575</v>
      </c>
      <c r="C105" s="3" t="s">
        <v>2576</v>
      </c>
      <c r="D105" s="12" t="s">
        <v>2398</v>
      </c>
      <c r="E105" s="4" t="s">
        <v>2317</v>
      </c>
      <c r="F105" s="118" t="n">
        <v>1.11222553908253</v>
      </c>
      <c r="G105" s="118" t="n">
        <v>1.88466748019734</v>
      </c>
      <c r="H105" s="118" t="n">
        <v>2.8646513532112</v>
      </c>
      <c r="I105" s="12" t="s">
        <v>2577</v>
      </c>
      <c r="J105" s="12" t="s">
        <v>2319</v>
      </c>
    </row>
    <row r="106" customFormat="false" ht="15" hidden="false" customHeight="false" outlineLevel="0" collapsed="false">
      <c r="A106" s="4" t="s">
        <v>2578</v>
      </c>
      <c r="B106" s="4" t="s">
        <v>2575</v>
      </c>
      <c r="C106" s="3" t="s">
        <v>2576</v>
      </c>
      <c r="D106" s="12" t="s">
        <v>2398</v>
      </c>
      <c r="E106" s="4" t="s">
        <v>2321</v>
      </c>
      <c r="F106" s="118" t="n">
        <v>1.10188330451562</v>
      </c>
      <c r="G106" s="118" t="n">
        <v>1.812232738713</v>
      </c>
      <c r="H106" s="118" t="n">
        <v>2.69481414737547</v>
      </c>
      <c r="I106" s="12" t="s">
        <v>2579</v>
      </c>
      <c r="J106" s="12" t="s">
        <v>2319</v>
      </c>
    </row>
    <row r="107" customFormat="false" ht="15" hidden="false" customHeight="false" outlineLevel="0" collapsed="false">
      <c r="A107" s="4" t="s">
        <v>2580</v>
      </c>
      <c r="B107" s="4" t="s">
        <v>2575</v>
      </c>
      <c r="C107" s="3" t="s">
        <v>2576</v>
      </c>
      <c r="D107" s="12" t="s">
        <v>2398</v>
      </c>
      <c r="E107" s="4" t="s">
        <v>2324</v>
      </c>
      <c r="F107" s="118" t="n">
        <v>1.20671911367581</v>
      </c>
      <c r="G107" s="118" t="n">
        <v>1.98263481314457</v>
      </c>
      <c r="H107" s="118" t="n">
        <v>3.00013873514752</v>
      </c>
      <c r="I107" s="12" t="s">
        <v>2581</v>
      </c>
      <c r="J107" s="12" t="s">
        <v>2319</v>
      </c>
    </row>
    <row r="108" customFormat="false" ht="15" hidden="false" customHeight="false" outlineLevel="0" collapsed="false">
      <c r="A108" s="4" t="s">
        <v>2582</v>
      </c>
      <c r="B108" s="4" t="s">
        <v>2575</v>
      </c>
      <c r="C108" s="3" t="s">
        <v>2576</v>
      </c>
      <c r="D108" s="12" t="s">
        <v>2398</v>
      </c>
      <c r="E108" s="4" t="s">
        <v>2327</v>
      </c>
      <c r="F108" s="118" t="n">
        <v>1.26921258843664</v>
      </c>
      <c r="G108" s="118" t="n">
        <v>2.09349554831403</v>
      </c>
      <c r="H108" s="118" t="n">
        <v>3.08819917750912</v>
      </c>
      <c r="I108" s="12" t="s">
        <v>2583</v>
      </c>
      <c r="J108" s="12" t="s">
        <v>2319</v>
      </c>
    </row>
    <row r="109" customFormat="false" ht="15" hidden="false" customHeight="false" outlineLevel="0" collapsed="false">
      <c r="A109" s="4" t="s">
        <v>2584</v>
      </c>
      <c r="B109" s="4" t="s">
        <v>2575</v>
      </c>
      <c r="C109" s="3" t="s">
        <v>2576</v>
      </c>
      <c r="D109" s="12" t="s">
        <v>2398</v>
      </c>
      <c r="E109" s="4" t="s">
        <v>2330</v>
      </c>
      <c r="F109" s="118" t="n">
        <v>1.30327937103509</v>
      </c>
      <c r="G109" s="118" t="n">
        <v>2.35254632767053</v>
      </c>
      <c r="H109" s="118" t="n">
        <v>3.68780273586978</v>
      </c>
      <c r="I109" s="12" t="s">
        <v>2585</v>
      </c>
      <c r="J109" s="12" t="s">
        <v>2319</v>
      </c>
    </row>
    <row r="110" customFormat="false" ht="15" hidden="false" customHeight="false" outlineLevel="0" collapsed="false">
      <c r="A110" s="4" t="s">
        <v>2586</v>
      </c>
      <c r="B110" s="4" t="s">
        <v>2587</v>
      </c>
      <c r="C110" s="3" t="s">
        <v>2588</v>
      </c>
      <c r="D110" s="12" t="s">
        <v>2398</v>
      </c>
      <c r="E110" s="4" t="s">
        <v>2317</v>
      </c>
      <c r="F110" s="118" t="n">
        <v>4.00488774987164</v>
      </c>
      <c r="G110" s="118" t="n">
        <v>4.00488774987164</v>
      </c>
      <c r="H110" s="118" t="n">
        <v>4.00488774987164</v>
      </c>
      <c r="I110" s="12" t="s">
        <v>2589</v>
      </c>
      <c r="J110" s="12" t="s">
        <v>2319</v>
      </c>
    </row>
    <row r="111" customFormat="false" ht="15" hidden="false" customHeight="false" outlineLevel="0" collapsed="false">
      <c r="A111" s="4" t="s">
        <v>2590</v>
      </c>
      <c r="B111" s="4" t="s">
        <v>2587</v>
      </c>
      <c r="C111" s="3" t="s">
        <v>2588</v>
      </c>
      <c r="D111" s="12" t="s">
        <v>2398</v>
      </c>
      <c r="E111" s="4" t="s">
        <v>2321</v>
      </c>
      <c r="F111" s="118" t="n">
        <v>20.1746158611128</v>
      </c>
      <c r="G111" s="118" t="n">
        <v>20.1746158611128</v>
      </c>
      <c r="H111" s="118" t="n">
        <v>20.1746158611128</v>
      </c>
      <c r="I111" s="12" t="s">
        <v>2591</v>
      </c>
      <c r="J111" s="12" t="s">
        <v>2319</v>
      </c>
    </row>
    <row r="112" customFormat="false" ht="15" hidden="false" customHeight="false" outlineLevel="0" collapsed="false">
      <c r="A112" s="4" t="s">
        <v>2592</v>
      </c>
      <c r="B112" s="4" t="s">
        <v>2587</v>
      </c>
      <c r="C112" s="3" t="s">
        <v>2588</v>
      </c>
      <c r="D112" s="12" t="s">
        <v>2398</v>
      </c>
      <c r="E112" s="4" t="s">
        <v>2324</v>
      </c>
      <c r="F112" s="118" t="n">
        <v>26.2652356996766</v>
      </c>
      <c r="G112" s="118" t="n">
        <v>26.2652356996766</v>
      </c>
      <c r="H112" s="118" t="n">
        <v>26.2652356996766</v>
      </c>
      <c r="I112" s="12" t="s">
        <v>2593</v>
      </c>
      <c r="J112" s="12" t="s">
        <v>2319</v>
      </c>
    </row>
    <row r="113" customFormat="false" ht="15" hidden="false" customHeight="false" outlineLevel="0" collapsed="false">
      <c r="A113" s="4" t="s">
        <v>2594</v>
      </c>
      <c r="B113" s="4" t="s">
        <v>2587</v>
      </c>
      <c r="C113" s="3" t="s">
        <v>2588</v>
      </c>
      <c r="D113" s="12" t="s">
        <v>2398</v>
      </c>
      <c r="E113" s="4" t="s">
        <v>2327</v>
      </c>
      <c r="F113" s="118" t="n">
        <v>48.7237019639935</v>
      </c>
      <c r="G113" s="118" t="n">
        <v>48.7237019639935</v>
      </c>
      <c r="H113" s="118" t="n">
        <v>48.7237019639935</v>
      </c>
      <c r="I113" s="12" t="s">
        <v>2595</v>
      </c>
      <c r="J113" s="12" t="s">
        <v>2319</v>
      </c>
    </row>
    <row r="114" customFormat="false" ht="15" hidden="false" customHeight="false" outlineLevel="0" collapsed="false">
      <c r="A114" s="4" t="s">
        <v>2596</v>
      </c>
      <c r="B114" s="4" t="s">
        <v>2587</v>
      </c>
      <c r="C114" s="3" t="s">
        <v>2588</v>
      </c>
      <c r="D114" s="12" t="s">
        <v>2398</v>
      </c>
      <c r="E114" s="4" t="s">
        <v>2330</v>
      </c>
      <c r="F114" s="118" t="n">
        <v>68.9276257152094</v>
      </c>
      <c r="G114" s="118" t="n">
        <v>68.9276257152094</v>
      </c>
      <c r="H114" s="118" t="n">
        <v>68.9276257152094</v>
      </c>
      <c r="I114" s="12" t="s">
        <v>2597</v>
      </c>
      <c r="J114" s="12" t="s">
        <v>2319</v>
      </c>
    </row>
    <row r="115" customFormat="false" ht="15" hidden="false" customHeight="false" outlineLevel="0" collapsed="false">
      <c r="A115" s="4" t="s">
        <v>2598</v>
      </c>
      <c r="B115" s="4" t="s">
        <v>2599</v>
      </c>
      <c r="C115" s="3" t="s">
        <v>2600</v>
      </c>
      <c r="D115" s="12" t="s">
        <v>2398</v>
      </c>
      <c r="E115" s="4" t="s">
        <v>2317</v>
      </c>
      <c r="F115" s="118" t="n">
        <v>0.0535506735</v>
      </c>
      <c r="G115" s="118" t="n">
        <v>0.13755107</v>
      </c>
      <c r="H115" s="118" t="n">
        <v>0.341207434</v>
      </c>
      <c r="I115" s="12" t="s">
        <v>2601</v>
      </c>
      <c r="J115" s="12" t="s">
        <v>2319</v>
      </c>
    </row>
    <row r="116" customFormat="false" ht="15" hidden="false" customHeight="false" outlineLevel="0" collapsed="false">
      <c r="A116" s="4" t="s">
        <v>2602</v>
      </c>
      <c r="B116" s="4" t="s">
        <v>2599</v>
      </c>
      <c r="C116" s="3" t="s">
        <v>2600</v>
      </c>
      <c r="D116" s="12" t="s">
        <v>2398</v>
      </c>
      <c r="E116" s="4" t="s">
        <v>2321</v>
      </c>
      <c r="F116" s="118" t="n">
        <v>0.051598476</v>
      </c>
      <c r="G116" s="118" t="n">
        <v>0.12007587</v>
      </c>
      <c r="H116" s="118" t="n">
        <v>0.276502044</v>
      </c>
      <c r="I116" s="12" t="s">
        <v>2603</v>
      </c>
      <c r="J116" s="12" t="s">
        <v>2319</v>
      </c>
    </row>
    <row r="117" customFormat="false" ht="15" hidden="false" customHeight="false" outlineLevel="0" collapsed="false">
      <c r="A117" s="4" t="s">
        <v>2604</v>
      </c>
      <c r="B117" s="4" t="s">
        <v>2599</v>
      </c>
      <c r="C117" s="3" t="s">
        <v>2600</v>
      </c>
      <c r="D117" s="12" t="s">
        <v>2398</v>
      </c>
      <c r="E117" s="4" t="s">
        <v>2324</v>
      </c>
      <c r="F117" s="118" t="n">
        <v>0.071387256</v>
      </c>
      <c r="G117" s="118" t="n">
        <v>0.16118612</v>
      </c>
      <c r="H117" s="118" t="n">
        <v>0.392826064</v>
      </c>
      <c r="I117" s="12" t="s">
        <v>2605</v>
      </c>
      <c r="J117" s="12" t="s">
        <v>2319</v>
      </c>
    </row>
    <row r="118" customFormat="false" ht="15" hidden="false" customHeight="false" outlineLevel="0" collapsed="false">
      <c r="A118" s="4" t="s">
        <v>2606</v>
      </c>
      <c r="B118" s="4" t="s">
        <v>2599</v>
      </c>
      <c r="C118" s="3" t="s">
        <v>2600</v>
      </c>
      <c r="D118" s="12" t="s">
        <v>2398</v>
      </c>
      <c r="E118" s="4" t="s">
        <v>2327</v>
      </c>
      <c r="F118" s="118" t="n">
        <v>0.083183508</v>
      </c>
      <c r="G118" s="118" t="n">
        <v>0.18793176</v>
      </c>
      <c r="H118" s="118" t="n">
        <v>0.426375752</v>
      </c>
      <c r="I118" s="12" t="s">
        <v>2607</v>
      </c>
      <c r="J118" s="12" t="s">
        <v>2319</v>
      </c>
    </row>
    <row r="119" customFormat="false" ht="15" hidden="false" customHeight="false" outlineLevel="0" collapsed="false">
      <c r="A119" s="4" t="s">
        <v>2608</v>
      </c>
      <c r="B119" s="4" t="s">
        <v>2599</v>
      </c>
      <c r="C119" s="3" t="s">
        <v>2600</v>
      </c>
      <c r="D119" s="12" t="s">
        <v>2398</v>
      </c>
      <c r="E119" s="4" t="s">
        <v>2330</v>
      </c>
      <c r="F119" s="118" t="n">
        <v>0.089613945</v>
      </c>
      <c r="G119" s="118" t="n">
        <v>0.2504289</v>
      </c>
      <c r="H119" s="118" t="n">
        <v>0.65481558</v>
      </c>
      <c r="I119" s="12" t="s">
        <v>2609</v>
      </c>
      <c r="J119" s="12" t="s">
        <v>2319</v>
      </c>
    </row>
    <row r="120" customFormat="false" ht="15" hidden="false" customHeight="false" outlineLevel="0" collapsed="false">
      <c r="A120" s="4" t="s">
        <v>2610</v>
      </c>
      <c r="B120" s="4" t="s">
        <v>2611</v>
      </c>
      <c r="C120" s="3" t="s">
        <v>2612</v>
      </c>
      <c r="D120" s="12" t="s">
        <v>2398</v>
      </c>
      <c r="E120" s="4" t="s">
        <v>2317</v>
      </c>
      <c r="F120" s="118" t="n">
        <v>0.428405388</v>
      </c>
      <c r="G120" s="118" t="n">
        <v>0.82530642</v>
      </c>
      <c r="H120" s="118" t="n">
        <v>1.70603717</v>
      </c>
      <c r="I120" s="12" t="s">
        <v>2613</v>
      </c>
      <c r="J120" s="12" t="s">
        <v>2319</v>
      </c>
    </row>
    <row r="121" customFormat="false" ht="15" hidden="false" customHeight="false" outlineLevel="0" collapsed="false">
      <c r="A121" s="4" t="s">
        <v>2614</v>
      </c>
      <c r="B121" s="4" t="s">
        <v>2611</v>
      </c>
      <c r="C121" s="3" t="s">
        <v>2612</v>
      </c>
      <c r="D121" s="12" t="s">
        <v>2398</v>
      </c>
      <c r="E121" s="4" t="s">
        <v>2321</v>
      </c>
      <c r="F121" s="118" t="n">
        <v>0.412787808</v>
      </c>
      <c r="G121" s="118" t="n">
        <v>0.72045522</v>
      </c>
      <c r="H121" s="118" t="n">
        <v>1.38251022</v>
      </c>
      <c r="I121" s="12" t="s">
        <v>2615</v>
      </c>
      <c r="J121" s="12" t="s">
        <v>2319</v>
      </c>
    </row>
    <row r="122" customFormat="false" ht="15" hidden="false" customHeight="false" outlineLevel="0" collapsed="false">
      <c r="A122" s="4" t="s">
        <v>2616</v>
      </c>
      <c r="B122" s="4" t="s">
        <v>2611</v>
      </c>
      <c r="C122" s="3" t="s">
        <v>2612</v>
      </c>
      <c r="D122" s="12" t="s">
        <v>2398</v>
      </c>
      <c r="E122" s="4" t="s">
        <v>2324</v>
      </c>
      <c r="F122" s="118" t="n">
        <v>0.571098048</v>
      </c>
      <c r="G122" s="118" t="n">
        <v>0.96711672</v>
      </c>
      <c r="H122" s="118" t="n">
        <v>1.96413032</v>
      </c>
      <c r="I122" s="12" t="s">
        <v>2617</v>
      </c>
      <c r="J122" s="12" t="s">
        <v>2319</v>
      </c>
    </row>
    <row r="123" customFormat="false" ht="15" hidden="false" customHeight="false" outlineLevel="0" collapsed="false">
      <c r="A123" s="4" t="s">
        <v>2618</v>
      </c>
      <c r="B123" s="4" t="s">
        <v>2611</v>
      </c>
      <c r="C123" s="3" t="s">
        <v>2612</v>
      </c>
      <c r="D123" s="12" t="s">
        <v>2398</v>
      </c>
      <c r="E123" s="4" t="s">
        <v>2327</v>
      </c>
      <c r="F123" s="118" t="n">
        <v>0.665468064</v>
      </c>
      <c r="G123" s="118" t="n">
        <v>1.12759056</v>
      </c>
      <c r="H123" s="118" t="n">
        <v>2.13187876</v>
      </c>
      <c r="I123" s="12" t="s">
        <v>2619</v>
      </c>
      <c r="J123" s="12" t="s">
        <v>2319</v>
      </c>
    </row>
    <row r="124" customFormat="false" ht="15" hidden="false" customHeight="false" outlineLevel="0" collapsed="false">
      <c r="A124" s="4" t="s">
        <v>2620</v>
      </c>
      <c r="B124" s="4" t="s">
        <v>2611</v>
      </c>
      <c r="C124" s="3" t="s">
        <v>2612</v>
      </c>
      <c r="D124" s="12" t="s">
        <v>2398</v>
      </c>
      <c r="E124" s="4" t="s">
        <v>2330</v>
      </c>
      <c r="F124" s="118" t="n">
        <v>0.71691156</v>
      </c>
      <c r="G124" s="118" t="n">
        <v>1.5025734</v>
      </c>
      <c r="H124" s="118" t="n">
        <v>3.2740779</v>
      </c>
      <c r="I124" s="12" t="s">
        <v>2621</v>
      </c>
      <c r="J124" s="12" t="s">
        <v>2319</v>
      </c>
    </row>
    <row r="125" customFormat="false" ht="15" hidden="false" customHeight="false" outlineLevel="0" collapsed="false">
      <c r="A125" s="4" t="s">
        <v>2622</v>
      </c>
      <c r="B125" s="4" t="s">
        <v>2623</v>
      </c>
      <c r="C125" s="4" t="s">
        <v>2624</v>
      </c>
      <c r="D125" s="7" t="s">
        <v>254</v>
      </c>
      <c r="E125" s="4" t="s">
        <v>1861</v>
      </c>
      <c r="F125" s="119"/>
      <c r="G125" s="118" t="n">
        <v>3</v>
      </c>
      <c r="H125" s="119"/>
      <c r="I125" s="12" t="s">
        <v>2625</v>
      </c>
      <c r="J125" s="12" t="s">
        <v>2319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2026-10-15T06:41:26Z</dcterms:created>
  <dc:creator>openpyxl</dc:creator>
  <dc:description/>
  <dc:language>en-US</dc:language>
  <cp:lastModifiedBy/>
  <dcterms:modified xsi:type="dcterms:W3CDTF">2026-10-15T06:41:27Z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